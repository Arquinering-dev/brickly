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archivos\output\"/>
    </mc:Choice>
  </mc:AlternateContent>
  <xr:revisionPtr revIDLastSave="0" documentId="13_ncr:1_{086D8808-740D-4773-9396-9CE71AB5F1BC}" xr6:coauthVersionLast="47" xr6:coauthVersionMax="47" xr10:uidLastSave="{00000000-0000-0000-0000-000000000000}"/>
  <bookViews>
    <workbookView xWindow="10710" yWindow="-10380" windowWidth="14400" windowHeight="8175" tabRatio="500" firstSheet="5" activeTab="5" xr2:uid="{00000000-000D-0000-FFFF-FFFF00000000}"/>
  </bookViews>
  <sheets>
    <sheet name="0_CONFIG" sheetId="1" r:id="rId1"/>
    <sheet name="0_Indice_CAC" sheetId="2" r:id="rId2"/>
    <sheet name="0_Jornales_MO" sheetId="3" r:id="rId3"/>
    <sheet name="1_Presupuesto" sheetId="4" r:id="rId4"/>
    <sheet name="1_GGBB" sheetId="5" r:id="rId5"/>
    <sheet name="2_Movimientos" sheetId="6" r:id="rId6"/>
    <sheet name="1_Composicion" sheetId="7" r:id="rId7"/>
    <sheet name="2_Gastos_DirInd" sheetId="8" r:id="rId8"/>
    <sheet name="2_Quincenas" sheetId="9" r:id="rId9"/>
    <sheet name="2_Subcontratos" sheetId="10" r:id="rId10"/>
    <sheet name="_Listas" sheetId="11" state="hidden" r:id="rId11"/>
    <sheet name="Cert_OC_Cliente" sheetId="12" r:id="rId12"/>
    <sheet name="Cert_App_Output" sheetId="13" r:id="rId13"/>
    <sheet name="Cert_Cabecera" sheetId="14" r:id="rId14"/>
    <sheet name="Cert_Calculo" sheetId="15" r:id="rId15"/>
    <sheet name="Cert_Facturacion" sheetId="16" r:id="rId16"/>
    <sheet name="Cert_Control_OC" sheetId="17" r:id="rId17"/>
  </sheets>
  <definedNames>
    <definedName name="_xlnm._FilterDatabase" localSheetId="6" hidden="1">'1_Composicion'!$A$1:$S$1879</definedName>
    <definedName name="_xlnm._FilterDatabase" localSheetId="5" hidden="1">'2_Movimientos'!$A$1:$R$851</definedName>
    <definedName name="_xlnm._FilterDatabase" localSheetId="8" hidden="1">'2_Quincenas'!$A$3:$O$77</definedName>
    <definedName name="GASTOS_CONCEPTO">_Listas!$I$2:$I$17</definedName>
    <definedName name="RUBROS_PLAN">_Listas!$A$2:$A$34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7" l="1"/>
  <c r="D4" i="17" s="1"/>
  <c r="A3" i="17"/>
  <c r="C3" i="17" s="1"/>
  <c r="B2" i="17"/>
  <c r="A2" i="17"/>
  <c r="D2" i="17" s="1"/>
  <c r="X57" i="15"/>
  <c r="J57" i="15"/>
  <c r="F57" i="15"/>
  <c r="N57" i="15" s="1"/>
  <c r="D57" i="15"/>
  <c r="X56" i="15"/>
  <c r="J56" i="15"/>
  <c r="F56" i="15"/>
  <c r="N56" i="15" s="1"/>
  <c r="D56" i="15"/>
  <c r="X55" i="15"/>
  <c r="J55" i="15"/>
  <c r="F55" i="15"/>
  <c r="N55" i="15" s="1"/>
  <c r="D55" i="15"/>
  <c r="X54" i="15"/>
  <c r="J54" i="15"/>
  <c r="F54" i="15"/>
  <c r="N54" i="15" s="1"/>
  <c r="D54" i="15"/>
  <c r="X53" i="15"/>
  <c r="V53" i="15"/>
  <c r="J53" i="15"/>
  <c r="F53" i="15"/>
  <c r="N53" i="15" s="1"/>
  <c r="D53" i="15"/>
  <c r="X52" i="15"/>
  <c r="J52" i="15"/>
  <c r="F52" i="15"/>
  <c r="N52" i="15" s="1"/>
  <c r="D52" i="15"/>
  <c r="X51" i="15"/>
  <c r="V51" i="15"/>
  <c r="J51" i="15"/>
  <c r="F51" i="15"/>
  <c r="N51" i="15" s="1"/>
  <c r="D51" i="15"/>
  <c r="X50" i="15"/>
  <c r="J50" i="15"/>
  <c r="F50" i="15"/>
  <c r="N50" i="15" s="1"/>
  <c r="D50" i="15"/>
  <c r="X49" i="15"/>
  <c r="V49" i="15"/>
  <c r="J49" i="15"/>
  <c r="F49" i="15"/>
  <c r="N49" i="15" s="1"/>
  <c r="D49" i="15"/>
  <c r="X48" i="15"/>
  <c r="J48" i="15"/>
  <c r="F48" i="15"/>
  <c r="N48" i="15" s="1"/>
  <c r="D48" i="15"/>
  <c r="X47" i="15"/>
  <c r="V47" i="15"/>
  <c r="J47" i="15"/>
  <c r="F47" i="15"/>
  <c r="N47" i="15" s="1"/>
  <c r="D47" i="15"/>
  <c r="X46" i="15"/>
  <c r="J46" i="15"/>
  <c r="F46" i="15"/>
  <c r="N46" i="15" s="1"/>
  <c r="D46" i="15"/>
  <c r="X45" i="15"/>
  <c r="V45" i="15"/>
  <c r="J45" i="15"/>
  <c r="F45" i="15"/>
  <c r="N45" i="15" s="1"/>
  <c r="D45" i="15"/>
  <c r="X44" i="15"/>
  <c r="J44" i="15"/>
  <c r="F44" i="15"/>
  <c r="N44" i="15" s="1"/>
  <c r="D44" i="15"/>
  <c r="X43" i="15"/>
  <c r="V43" i="15"/>
  <c r="J43" i="15"/>
  <c r="F43" i="15"/>
  <c r="N43" i="15" s="1"/>
  <c r="D43" i="15"/>
  <c r="X42" i="15"/>
  <c r="J42" i="15"/>
  <c r="F42" i="15"/>
  <c r="N42" i="15" s="1"/>
  <c r="D42" i="15"/>
  <c r="X41" i="15"/>
  <c r="V41" i="15"/>
  <c r="J41" i="15"/>
  <c r="F41" i="15"/>
  <c r="N41" i="15" s="1"/>
  <c r="D41" i="15"/>
  <c r="X40" i="15"/>
  <c r="J40" i="15"/>
  <c r="F40" i="15"/>
  <c r="N40" i="15" s="1"/>
  <c r="D40" i="15"/>
  <c r="X39" i="15"/>
  <c r="V39" i="15"/>
  <c r="J39" i="15"/>
  <c r="F39" i="15"/>
  <c r="N39" i="15" s="1"/>
  <c r="D39" i="15"/>
  <c r="X38" i="15"/>
  <c r="J38" i="15"/>
  <c r="F38" i="15"/>
  <c r="N38" i="15" s="1"/>
  <c r="D38" i="15"/>
  <c r="X37" i="15"/>
  <c r="V37" i="15"/>
  <c r="J37" i="15"/>
  <c r="F37" i="15"/>
  <c r="N37" i="15" s="1"/>
  <c r="D37" i="15"/>
  <c r="X36" i="15"/>
  <c r="J36" i="15"/>
  <c r="F36" i="15"/>
  <c r="N36" i="15" s="1"/>
  <c r="D36" i="15"/>
  <c r="X35" i="15"/>
  <c r="V35" i="15"/>
  <c r="J35" i="15"/>
  <c r="F35" i="15"/>
  <c r="N35" i="15" s="1"/>
  <c r="D35" i="15"/>
  <c r="X34" i="15"/>
  <c r="J34" i="15"/>
  <c r="F34" i="15"/>
  <c r="N34" i="15" s="1"/>
  <c r="D34" i="15"/>
  <c r="X33" i="15"/>
  <c r="V33" i="15"/>
  <c r="J33" i="15"/>
  <c r="F33" i="15"/>
  <c r="N33" i="15" s="1"/>
  <c r="D33" i="15"/>
  <c r="X32" i="15"/>
  <c r="J32" i="15"/>
  <c r="F32" i="15"/>
  <c r="N32" i="15" s="1"/>
  <c r="D32" i="15"/>
  <c r="X31" i="15"/>
  <c r="V31" i="15"/>
  <c r="J31" i="15"/>
  <c r="F31" i="15"/>
  <c r="N31" i="15" s="1"/>
  <c r="D31" i="15"/>
  <c r="X30" i="15"/>
  <c r="J30" i="15"/>
  <c r="F30" i="15"/>
  <c r="N30" i="15" s="1"/>
  <c r="D30" i="15"/>
  <c r="X29" i="15"/>
  <c r="V29" i="15"/>
  <c r="J29" i="15"/>
  <c r="F29" i="15"/>
  <c r="N29" i="15" s="1"/>
  <c r="D29" i="15"/>
  <c r="X28" i="15"/>
  <c r="J28" i="15"/>
  <c r="F28" i="15"/>
  <c r="N28" i="15" s="1"/>
  <c r="D28" i="15"/>
  <c r="X27" i="15"/>
  <c r="V27" i="15"/>
  <c r="J27" i="15"/>
  <c r="F27" i="15"/>
  <c r="N27" i="15" s="1"/>
  <c r="D27" i="15"/>
  <c r="X26" i="15"/>
  <c r="J26" i="15"/>
  <c r="F26" i="15"/>
  <c r="N26" i="15" s="1"/>
  <c r="D26" i="15"/>
  <c r="X25" i="15"/>
  <c r="V25" i="15"/>
  <c r="J25" i="15"/>
  <c r="F25" i="15"/>
  <c r="N25" i="15" s="1"/>
  <c r="D25" i="15"/>
  <c r="X24" i="15"/>
  <c r="J24" i="15"/>
  <c r="F24" i="15"/>
  <c r="N24" i="15" s="1"/>
  <c r="D24" i="15"/>
  <c r="X23" i="15"/>
  <c r="V23" i="15"/>
  <c r="J23" i="15"/>
  <c r="F23" i="15"/>
  <c r="N23" i="15" s="1"/>
  <c r="D23" i="15"/>
  <c r="X22" i="15"/>
  <c r="J22" i="15"/>
  <c r="F22" i="15"/>
  <c r="N22" i="15" s="1"/>
  <c r="D22" i="15"/>
  <c r="X21" i="15"/>
  <c r="V21" i="15"/>
  <c r="J21" i="15"/>
  <c r="F21" i="15"/>
  <c r="N21" i="15" s="1"/>
  <c r="D21" i="15"/>
  <c r="X20" i="15"/>
  <c r="J20" i="15"/>
  <c r="F20" i="15"/>
  <c r="N20" i="15" s="1"/>
  <c r="D20" i="15"/>
  <c r="X19" i="15"/>
  <c r="V19" i="15"/>
  <c r="J19" i="15"/>
  <c r="F19" i="15"/>
  <c r="N19" i="15" s="1"/>
  <c r="D19" i="15"/>
  <c r="X18" i="15"/>
  <c r="J18" i="15"/>
  <c r="F18" i="15"/>
  <c r="N18" i="15" s="1"/>
  <c r="D18" i="15"/>
  <c r="X17" i="15"/>
  <c r="V17" i="15"/>
  <c r="J17" i="15"/>
  <c r="F17" i="15"/>
  <c r="N17" i="15" s="1"/>
  <c r="D17" i="15"/>
  <c r="X16" i="15"/>
  <c r="J16" i="15"/>
  <c r="F16" i="15"/>
  <c r="N16" i="15" s="1"/>
  <c r="D16" i="15"/>
  <c r="X15" i="15"/>
  <c r="V15" i="15"/>
  <c r="J15" i="15"/>
  <c r="F15" i="15"/>
  <c r="N15" i="15" s="1"/>
  <c r="D15" i="15"/>
  <c r="X14" i="15"/>
  <c r="J14" i="15"/>
  <c r="F14" i="15"/>
  <c r="N14" i="15" s="1"/>
  <c r="D14" i="15"/>
  <c r="X13" i="15"/>
  <c r="V13" i="15"/>
  <c r="J13" i="15"/>
  <c r="F13" i="15"/>
  <c r="N13" i="15" s="1"/>
  <c r="D13" i="15"/>
  <c r="X12" i="15"/>
  <c r="J12" i="15"/>
  <c r="F12" i="15"/>
  <c r="N12" i="15" s="1"/>
  <c r="D12" i="15"/>
  <c r="X11" i="15"/>
  <c r="V11" i="15"/>
  <c r="J11" i="15"/>
  <c r="F11" i="15"/>
  <c r="N11" i="15" s="1"/>
  <c r="D11" i="15"/>
  <c r="X10" i="15"/>
  <c r="J10" i="15"/>
  <c r="F10" i="15"/>
  <c r="N10" i="15" s="1"/>
  <c r="D10" i="15"/>
  <c r="X9" i="15"/>
  <c r="V9" i="15"/>
  <c r="J9" i="15"/>
  <c r="F9" i="15"/>
  <c r="N9" i="15" s="1"/>
  <c r="D9" i="15"/>
  <c r="X8" i="15"/>
  <c r="J8" i="15"/>
  <c r="F8" i="15"/>
  <c r="N8" i="15" s="1"/>
  <c r="D8" i="15"/>
  <c r="X7" i="15"/>
  <c r="V7" i="15"/>
  <c r="J7" i="15"/>
  <c r="F7" i="15"/>
  <c r="N7" i="15" s="1"/>
  <c r="D7" i="15"/>
  <c r="X6" i="15"/>
  <c r="N6" i="15"/>
  <c r="J6" i="15"/>
  <c r="K6" i="15" s="1"/>
  <c r="I6" i="15"/>
  <c r="X5" i="15"/>
  <c r="N5" i="15"/>
  <c r="K5" i="15"/>
  <c r="J5" i="15"/>
  <c r="I5" i="15"/>
  <c r="X4" i="15"/>
  <c r="V4" i="15"/>
  <c r="N4" i="15"/>
  <c r="J4" i="15"/>
  <c r="I4" i="15"/>
  <c r="K4" i="15" s="1"/>
  <c r="L4" i="15" s="1"/>
  <c r="X3" i="15"/>
  <c r="N3" i="15"/>
  <c r="J3" i="15"/>
  <c r="I3" i="15"/>
  <c r="X2" i="15"/>
  <c r="V2" i="15"/>
  <c r="N2" i="15"/>
  <c r="K2" i="15"/>
  <c r="L2" i="15" s="1"/>
  <c r="J2" i="15"/>
  <c r="I2" i="15"/>
  <c r="H31" i="14"/>
  <c r="C31" i="14"/>
  <c r="B31" i="14"/>
  <c r="H30" i="14"/>
  <c r="C30" i="14"/>
  <c r="B30" i="14"/>
  <c r="H29" i="14"/>
  <c r="C29" i="14"/>
  <c r="B29" i="14"/>
  <c r="H28" i="14"/>
  <c r="C28" i="14"/>
  <c r="B28" i="14"/>
  <c r="H27" i="14"/>
  <c r="C27" i="14"/>
  <c r="B27" i="14"/>
  <c r="H26" i="14"/>
  <c r="C26" i="14"/>
  <c r="B26" i="14"/>
  <c r="H25" i="14"/>
  <c r="C25" i="14"/>
  <c r="B25" i="14"/>
  <c r="H24" i="14"/>
  <c r="C24" i="14"/>
  <c r="B24" i="14"/>
  <c r="H23" i="14"/>
  <c r="C23" i="14"/>
  <c r="B23" i="14"/>
  <c r="H22" i="14"/>
  <c r="C22" i="14"/>
  <c r="B22" i="14"/>
  <c r="H21" i="14"/>
  <c r="C21" i="14"/>
  <c r="B21" i="14"/>
  <c r="H20" i="14"/>
  <c r="C20" i="14"/>
  <c r="B20" i="14"/>
  <c r="H19" i="14"/>
  <c r="C19" i="14"/>
  <c r="B19" i="14"/>
  <c r="H18" i="14"/>
  <c r="C18" i="14"/>
  <c r="B18" i="14"/>
  <c r="H17" i="14"/>
  <c r="C17" i="14"/>
  <c r="B17" i="14"/>
  <c r="H16" i="14"/>
  <c r="C16" i="14"/>
  <c r="B16" i="14"/>
  <c r="H15" i="14"/>
  <c r="C15" i="14"/>
  <c r="B15" i="14"/>
  <c r="H14" i="14"/>
  <c r="C14" i="14"/>
  <c r="B14" i="14"/>
  <c r="H13" i="14"/>
  <c r="C13" i="14"/>
  <c r="B13" i="14"/>
  <c r="H12" i="14"/>
  <c r="C12" i="14"/>
  <c r="B12" i="14"/>
  <c r="H11" i="14"/>
  <c r="C11" i="14"/>
  <c r="B11" i="14"/>
  <c r="H10" i="14"/>
  <c r="C10" i="14"/>
  <c r="B10" i="14"/>
  <c r="H9" i="14"/>
  <c r="C9" i="14"/>
  <c r="B9" i="14"/>
  <c r="H8" i="14"/>
  <c r="C8" i="14"/>
  <c r="B8" i="14"/>
  <c r="H7" i="14"/>
  <c r="C7" i="14"/>
  <c r="B7" i="14"/>
  <c r="H6" i="14"/>
  <c r="C6" i="14"/>
  <c r="B6" i="14"/>
  <c r="H5" i="14"/>
  <c r="C5" i="14"/>
  <c r="B5" i="14"/>
  <c r="H4" i="14"/>
  <c r="D4" i="14"/>
  <c r="C4" i="14"/>
  <c r="B4" i="14"/>
  <c r="H3" i="14"/>
  <c r="D3" i="14"/>
  <c r="C3" i="14"/>
  <c r="B3" i="14"/>
  <c r="H2" i="14"/>
  <c r="F2" i="14"/>
  <c r="G2" i="14" s="1"/>
  <c r="D2" i="14"/>
  <c r="C2" i="14"/>
  <c r="B2" i="14"/>
  <c r="K472" i="13"/>
  <c r="J472" i="13"/>
  <c r="H472" i="13"/>
  <c r="L472" i="13" s="1"/>
  <c r="K471" i="13"/>
  <c r="J471" i="13"/>
  <c r="H471" i="13"/>
  <c r="L471" i="13" s="1"/>
  <c r="K470" i="13"/>
  <c r="J470" i="13"/>
  <c r="H470" i="13"/>
  <c r="L470" i="13" s="1"/>
  <c r="K469" i="13"/>
  <c r="J469" i="13"/>
  <c r="H469" i="13"/>
  <c r="L469" i="13" s="1"/>
  <c r="K468" i="13"/>
  <c r="H468" i="13"/>
  <c r="K467" i="13"/>
  <c r="H467" i="13"/>
  <c r="K466" i="13"/>
  <c r="H466" i="13"/>
  <c r="K465" i="13"/>
  <c r="H465" i="13"/>
  <c r="K464" i="13"/>
  <c r="H464" i="13"/>
  <c r="K463" i="13"/>
  <c r="H463" i="13"/>
  <c r="K462" i="13"/>
  <c r="H462" i="13"/>
  <c r="K461" i="13"/>
  <c r="H461" i="13"/>
  <c r="K460" i="13"/>
  <c r="H460" i="13"/>
  <c r="K459" i="13"/>
  <c r="H459" i="13"/>
  <c r="K458" i="13"/>
  <c r="H458" i="13"/>
  <c r="K457" i="13"/>
  <c r="H457" i="13"/>
  <c r="K456" i="13"/>
  <c r="H456" i="13"/>
  <c r="K455" i="13"/>
  <c r="H455" i="13"/>
  <c r="K454" i="13"/>
  <c r="H454" i="13"/>
  <c r="K453" i="13"/>
  <c r="H453" i="13"/>
  <c r="K452" i="13"/>
  <c r="H452" i="13"/>
  <c r="K451" i="13"/>
  <c r="H451" i="13"/>
  <c r="K450" i="13"/>
  <c r="H450" i="13"/>
  <c r="K449" i="13"/>
  <c r="H449" i="13"/>
  <c r="K448" i="13"/>
  <c r="H448" i="13"/>
  <c r="K447" i="13"/>
  <c r="H447" i="13"/>
  <c r="K446" i="13"/>
  <c r="H446" i="13"/>
  <c r="K445" i="13"/>
  <c r="H445" i="13"/>
  <c r="K444" i="13"/>
  <c r="H444" i="13"/>
  <c r="K443" i="13"/>
  <c r="H443" i="13"/>
  <c r="K442" i="13"/>
  <c r="H442" i="13"/>
  <c r="K441" i="13"/>
  <c r="H441" i="13"/>
  <c r="K440" i="13"/>
  <c r="H440" i="13"/>
  <c r="K439" i="13"/>
  <c r="I439" i="13"/>
  <c r="J439" i="13" s="1"/>
  <c r="H439" i="13"/>
  <c r="K438" i="13"/>
  <c r="Y133" i="4" s="1"/>
  <c r="H438" i="13"/>
  <c r="K437" i="13"/>
  <c r="Y119" i="4" s="1"/>
  <c r="H437" i="13"/>
  <c r="K436" i="13"/>
  <c r="Y118" i="4" s="1"/>
  <c r="H436" i="13"/>
  <c r="K435" i="13"/>
  <c r="H435" i="13"/>
  <c r="K434" i="13"/>
  <c r="H434" i="13"/>
  <c r="K433" i="13"/>
  <c r="H433" i="13"/>
  <c r="K432" i="13"/>
  <c r="H432" i="13"/>
  <c r="K431" i="13"/>
  <c r="Y81" i="4" s="1"/>
  <c r="H431" i="13"/>
  <c r="K430" i="13"/>
  <c r="H430" i="13"/>
  <c r="K429" i="13"/>
  <c r="Y78" i="4" s="1"/>
  <c r="H429" i="13"/>
  <c r="K428" i="13"/>
  <c r="Y77" i="4" s="1"/>
  <c r="H428" i="13"/>
  <c r="K427" i="13"/>
  <c r="H427" i="13"/>
  <c r="K426" i="13"/>
  <c r="H426" i="13"/>
  <c r="K425" i="13"/>
  <c r="H425" i="13"/>
  <c r="K424" i="13"/>
  <c r="H424" i="13"/>
  <c r="K423" i="13"/>
  <c r="H423" i="13"/>
  <c r="K422" i="13"/>
  <c r="H422" i="13"/>
  <c r="K421" i="13"/>
  <c r="H421" i="13"/>
  <c r="K420" i="13"/>
  <c r="H420" i="13"/>
  <c r="K419" i="13"/>
  <c r="H419" i="13"/>
  <c r="K418" i="13"/>
  <c r="H418" i="13"/>
  <c r="K417" i="13"/>
  <c r="H417" i="13"/>
  <c r="K416" i="13"/>
  <c r="H416" i="13"/>
  <c r="K415" i="13"/>
  <c r="H415" i="13"/>
  <c r="K414" i="13"/>
  <c r="H414" i="13"/>
  <c r="K413" i="13"/>
  <c r="H413" i="13"/>
  <c r="K412" i="13"/>
  <c r="H412" i="13"/>
  <c r="K411" i="13"/>
  <c r="H411" i="13"/>
  <c r="K410" i="13"/>
  <c r="H410" i="13"/>
  <c r="K409" i="13"/>
  <c r="H409" i="13"/>
  <c r="K408" i="13"/>
  <c r="H408" i="13"/>
  <c r="K407" i="13"/>
  <c r="H407" i="13"/>
  <c r="K406" i="13"/>
  <c r="H406" i="13"/>
  <c r="K405" i="13"/>
  <c r="H405" i="13"/>
  <c r="K404" i="13"/>
  <c r="H404" i="13"/>
  <c r="K403" i="13"/>
  <c r="H403" i="13"/>
  <c r="K402" i="13"/>
  <c r="H402" i="13"/>
  <c r="K401" i="13"/>
  <c r="H401" i="13"/>
  <c r="K400" i="13"/>
  <c r="H400" i="13"/>
  <c r="K399" i="13"/>
  <c r="H399" i="13"/>
  <c r="K398" i="13"/>
  <c r="H398" i="13"/>
  <c r="K397" i="13"/>
  <c r="H397" i="13"/>
  <c r="K396" i="13"/>
  <c r="H396" i="13"/>
  <c r="K395" i="13"/>
  <c r="H395" i="13"/>
  <c r="K394" i="13"/>
  <c r="H394" i="13"/>
  <c r="K393" i="13"/>
  <c r="Y161" i="4" s="1"/>
  <c r="H393" i="13"/>
  <c r="K392" i="13"/>
  <c r="H392" i="13"/>
  <c r="K391" i="13"/>
  <c r="H391" i="13"/>
  <c r="K390" i="13"/>
  <c r="H390" i="13"/>
  <c r="K389" i="13"/>
  <c r="H389" i="13"/>
  <c r="K388" i="13"/>
  <c r="H388" i="13"/>
  <c r="K387" i="13"/>
  <c r="H387" i="13"/>
  <c r="K386" i="13"/>
  <c r="I386" i="13" s="1"/>
  <c r="J386" i="13"/>
  <c r="H386" i="13"/>
  <c r="K385" i="13"/>
  <c r="Y139" i="4" s="1"/>
  <c r="H385" i="13"/>
  <c r="K384" i="13"/>
  <c r="H384" i="13"/>
  <c r="K383" i="13"/>
  <c r="H383" i="13"/>
  <c r="K382" i="13"/>
  <c r="H382" i="13"/>
  <c r="K381" i="13"/>
  <c r="H381" i="13"/>
  <c r="K380" i="13"/>
  <c r="H380" i="13"/>
  <c r="K379" i="13"/>
  <c r="H379" i="13"/>
  <c r="K378" i="13"/>
  <c r="H378" i="13"/>
  <c r="K377" i="13"/>
  <c r="H377" i="13"/>
  <c r="K376" i="13"/>
  <c r="H376" i="13"/>
  <c r="K375" i="13"/>
  <c r="H375" i="13"/>
  <c r="K374" i="13"/>
  <c r="H374" i="13"/>
  <c r="K373" i="13"/>
  <c r="H373" i="13"/>
  <c r="K372" i="13"/>
  <c r="H372" i="13"/>
  <c r="K371" i="13"/>
  <c r="H371" i="13"/>
  <c r="K370" i="13"/>
  <c r="H370" i="13"/>
  <c r="K369" i="13"/>
  <c r="H369" i="13"/>
  <c r="K368" i="13"/>
  <c r="H368" i="13"/>
  <c r="K367" i="13"/>
  <c r="H367" i="13"/>
  <c r="K366" i="13"/>
  <c r="H366" i="13"/>
  <c r="K365" i="13"/>
  <c r="H365" i="13"/>
  <c r="K364" i="13"/>
  <c r="H364" i="13"/>
  <c r="K363" i="13"/>
  <c r="H363" i="13"/>
  <c r="K362" i="13"/>
  <c r="H362" i="13"/>
  <c r="K361" i="13"/>
  <c r="H361" i="13"/>
  <c r="K360" i="13"/>
  <c r="H360" i="13"/>
  <c r="K359" i="13"/>
  <c r="H359" i="13"/>
  <c r="K358" i="13"/>
  <c r="H358" i="13"/>
  <c r="K357" i="13"/>
  <c r="H357" i="13"/>
  <c r="K356" i="13"/>
  <c r="H356" i="13"/>
  <c r="K355" i="13"/>
  <c r="H355" i="13"/>
  <c r="K354" i="13"/>
  <c r="H354" i="13"/>
  <c r="K353" i="13"/>
  <c r="H353" i="13"/>
  <c r="K352" i="13"/>
  <c r="H352" i="13"/>
  <c r="K351" i="13"/>
  <c r="H351" i="13"/>
  <c r="K350" i="13"/>
  <c r="H350" i="13"/>
  <c r="K349" i="13"/>
  <c r="Y163" i="4" s="1"/>
  <c r="H349" i="13"/>
  <c r="K348" i="13"/>
  <c r="H348" i="13"/>
  <c r="K347" i="13"/>
  <c r="H347" i="13"/>
  <c r="K346" i="13"/>
  <c r="H346" i="13"/>
  <c r="K345" i="13"/>
  <c r="H345" i="13"/>
  <c r="K344" i="13"/>
  <c r="H344" i="13"/>
  <c r="K343" i="13"/>
  <c r="H343" i="13"/>
  <c r="K342" i="13"/>
  <c r="H342" i="13"/>
  <c r="K341" i="13"/>
  <c r="J341" i="13"/>
  <c r="I341" i="13"/>
  <c r="L341" i="13" s="1"/>
  <c r="H341" i="13"/>
  <c r="K340" i="13"/>
  <c r="H340" i="13"/>
  <c r="K339" i="13"/>
  <c r="I339" i="13" s="1"/>
  <c r="H339" i="13"/>
  <c r="K338" i="13"/>
  <c r="H338" i="13"/>
  <c r="K337" i="13"/>
  <c r="H337" i="13"/>
  <c r="K336" i="13"/>
  <c r="Y88" i="4" s="1"/>
  <c r="H336" i="13"/>
  <c r="K335" i="13"/>
  <c r="H335" i="13"/>
  <c r="K334" i="13"/>
  <c r="H334" i="13"/>
  <c r="K333" i="13"/>
  <c r="H333" i="13"/>
  <c r="K332" i="13"/>
  <c r="H332" i="13"/>
  <c r="K331" i="13"/>
  <c r="H331" i="13"/>
  <c r="K330" i="13"/>
  <c r="H330" i="13"/>
  <c r="K329" i="13"/>
  <c r="H329" i="13"/>
  <c r="K328" i="13"/>
  <c r="H328" i="13"/>
  <c r="K327" i="13"/>
  <c r="H327" i="13"/>
  <c r="K326" i="13"/>
  <c r="H326" i="13"/>
  <c r="K325" i="13"/>
  <c r="H325" i="13"/>
  <c r="K324" i="13"/>
  <c r="H324" i="13"/>
  <c r="K323" i="13"/>
  <c r="H323" i="13"/>
  <c r="K322" i="13"/>
  <c r="H322" i="13"/>
  <c r="K321" i="13"/>
  <c r="H321" i="13"/>
  <c r="K320" i="13"/>
  <c r="H320" i="13"/>
  <c r="K319" i="13"/>
  <c r="H319" i="13"/>
  <c r="K318" i="13"/>
  <c r="H318" i="13"/>
  <c r="K317" i="13"/>
  <c r="H317" i="13"/>
  <c r="K316" i="13"/>
  <c r="H316" i="13"/>
  <c r="K315" i="13"/>
  <c r="H315" i="13"/>
  <c r="K314" i="13"/>
  <c r="H314" i="13"/>
  <c r="K313" i="13"/>
  <c r="H313" i="13"/>
  <c r="K312" i="13"/>
  <c r="H312" i="13"/>
  <c r="K311" i="13"/>
  <c r="H311" i="13"/>
  <c r="K310" i="13"/>
  <c r="H310" i="13"/>
  <c r="K309" i="13"/>
  <c r="H309" i="13"/>
  <c r="K308" i="13"/>
  <c r="H308" i="13"/>
  <c r="K307" i="13"/>
  <c r="I307" i="13" s="1"/>
  <c r="J307" i="13"/>
  <c r="H307" i="13"/>
  <c r="K306" i="13"/>
  <c r="H306" i="13"/>
  <c r="K305" i="13"/>
  <c r="I305" i="13" s="1"/>
  <c r="J305" i="13" s="1"/>
  <c r="H305" i="13"/>
  <c r="L305" i="13" s="1"/>
  <c r="K304" i="13"/>
  <c r="Y120" i="4" s="1"/>
  <c r="H304" i="13"/>
  <c r="K303" i="13"/>
  <c r="H303" i="13"/>
  <c r="K302" i="13"/>
  <c r="Y116" i="4" s="1"/>
  <c r="H302" i="13"/>
  <c r="K301" i="13"/>
  <c r="Y73" i="4" s="1"/>
  <c r="H301" i="13"/>
  <c r="K300" i="13"/>
  <c r="H300" i="13"/>
  <c r="K299" i="13"/>
  <c r="H299" i="13"/>
  <c r="K298" i="13"/>
  <c r="H298" i="13"/>
  <c r="K297" i="13"/>
  <c r="H297" i="13"/>
  <c r="K296" i="13"/>
  <c r="H296" i="13"/>
  <c r="K295" i="13"/>
  <c r="H295" i="13"/>
  <c r="K294" i="13"/>
  <c r="H294" i="13"/>
  <c r="K293" i="13"/>
  <c r="H293" i="13"/>
  <c r="K292" i="13"/>
  <c r="H292" i="13"/>
  <c r="K291" i="13"/>
  <c r="H291" i="13"/>
  <c r="K290" i="13"/>
  <c r="H290" i="13"/>
  <c r="K289" i="13"/>
  <c r="H289" i="13"/>
  <c r="K288" i="13"/>
  <c r="H288" i="13"/>
  <c r="K287" i="13"/>
  <c r="H287" i="13"/>
  <c r="K286" i="13"/>
  <c r="Y201" i="4" s="1"/>
  <c r="H286" i="13"/>
  <c r="K285" i="13"/>
  <c r="H285" i="13"/>
  <c r="K284" i="13"/>
  <c r="H284" i="13"/>
  <c r="K283" i="13"/>
  <c r="H283" i="13"/>
  <c r="K282" i="13"/>
  <c r="H282" i="13"/>
  <c r="K281" i="13"/>
  <c r="H281" i="13"/>
  <c r="K280" i="13"/>
  <c r="Y179" i="4" s="1"/>
  <c r="H280" i="13"/>
  <c r="K279" i="13"/>
  <c r="H279" i="13"/>
  <c r="K278" i="13"/>
  <c r="Y160" i="4" s="1"/>
  <c r="H278" i="13"/>
  <c r="K277" i="13"/>
  <c r="H277" i="13"/>
  <c r="K276" i="13"/>
  <c r="H276" i="13"/>
  <c r="K275" i="13"/>
  <c r="H275" i="13"/>
  <c r="K274" i="13"/>
  <c r="H274" i="13"/>
  <c r="K273" i="13"/>
  <c r="H273" i="13"/>
  <c r="K272" i="13"/>
  <c r="I272" i="13" s="1"/>
  <c r="H272" i="13"/>
  <c r="K271" i="13"/>
  <c r="H271" i="13"/>
  <c r="K270" i="13"/>
  <c r="I270" i="13" s="1"/>
  <c r="H270" i="13"/>
  <c r="K269" i="13"/>
  <c r="H269" i="13"/>
  <c r="K268" i="13"/>
  <c r="H268" i="13"/>
  <c r="K267" i="13"/>
  <c r="H267" i="13"/>
  <c r="K266" i="13"/>
  <c r="Y71" i="4" s="1"/>
  <c r="H266" i="13"/>
  <c r="K265" i="13"/>
  <c r="H265" i="13"/>
  <c r="K264" i="13"/>
  <c r="H264" i="13"/>
  <c r="K263" i="13"/>
  <c r="H263" i="13"/>
  <c r="K262" i="13"/>
  <c r="H262" i="13"/>
  <c r="K261" i="13"/>
  <c r="H261" i="13"/>
  <c r="K260" i="13"/>
  <c r="H260" i="13"/>
  <c r="K259" i="13"/>
  <c r="H259" i="13"/>
  <c r="K258" i="13"/>
  <c r="H258" i="13"/>
  <c r="K257" i="13"/>
  <c r="H257" i="13"/>
  <c r="K256" i="13"/>
  <c r="H256" i="13"/>
  <c r="K255" i="13"/>
  <c r="H255" i="13"/>
  <c r="K254" i="13"/>
  <c r="H254" i="13"/>
  <c r="K253" i="13"/>
  <c r="H253" i="13"/>
  <c r="K252" i="13"/>
  <c r="H252" i="13"/>
  <c r="K251" i="13"/>
  <c r="H251" i="13"/>
  <c r="K250" i="13"/>
  <c r="H250" i="13"/>
  <c r="K249" i="13"/>
  <c r="H249" i="13"/>
  <c r="K248" i="13"/>
  <c r="Y191" i="4" s="1"/>
  <c r="H248" i="13"/>
  <c r="K247" i="13"/>
  <c r="H247" i="13"/>
  <c r="K246" i="13"/>
  <c r="H246" i="13"/>
  <c r="K245" i="13"/>
  <c r="H245" i="13"/>
  <c r="K244" i="13"/>
  <c r="H244" i="13"/>
  <c r="K243" i="13"/>
  <c r="H243" i="13"/>
  <c r="K242" i="13"/>
  <c r="H242" i="13"/>
  <c r="K241" i="13"/>
  <c r="H241" i="13"/>
  <c r="K240" i="13"/>
  <c r="H240" i="13"/>
  <c r="K239" i="13"/>
  <c r="H239" i="13"/>
  <c r="K238" i="13"/>
  <c r="I238" i="13" s="1"/>
  <c r="J238" i="13" s="1"/>
  <c r="H238" i="13"/>
  <c r="K237" i="13"/>
  <c r="H237" i="13"/>
  <c r="K236" i="13"/>
  <c r="H236" i="13"/>
  <c r="K235" i="13"/>
  <c r="H235" i="13"/>
  <c r="K234" i="13"/>
  <c r="Y45" i="4" s="1"/>
  <c r="H234" i="13"/>
  <c r="K233" i="13"/>
  <c r="H233" i="13"/>
  <c r="K232" i="13"/>
  <c r="H232" i="13"/>
  <c r="K231" i="13"/>
  <c r="H231" i="13"/>
  <c r="K230" i="13"/>
  <c r="H230" i="13"/>
  <c r="K229" i="13"/>
  <c r="H229" i="13"/>
  <c r="K228" i="13"/>
  <c r="H228" i="13"/>
  <c r="K227" i="13"/>
  <c r="H227" i="13"/>
  <c r="K226" i="13"/>
  <c r="H226" i="13"/>
  <c r="K225" i="13"/>
  <c r="H225" i="13"/>
  <c r="K224" i="13"/>
  <c r="H224" i="13"/>
  <c r="K223" i="13"/>
  <c r="H223" i="13"/>
  <c r="K222" i="13"/>
  <c r="H222" i="13"/>
  <c r="K221" i="13"/>
  <c r="H221" i="13"/>
  <c r="K220" i="13"/>
  <c r="H220" i="13"/>
  <c r="K219" i="13"/>
  <c r="H219" i="13"/>
  <c r="K218" i="13"/>
  <c r="Y148" i="4" s="1"/>
  <c r="H218" i="13"/>
  <c r="K217" i="13"/>
  <c r="H217" i="13"/>
  <c r="K216" i="13"/>
  <c r="H216" i="13"/>
  <c r="K215" i="13"/>
  <c r="H215" i="13"/>
  <c r="K214" i="13"/>
  <c r="H214" i="13"/>
  <c r="K213" i="13"/>
  <c r="I213" i="13" s="1"/>
  <c r="J213" i="13"/>
  <c r="H213" i="13"/>
  <c r="K212" i="13"/>
  <c r="H212" i="13"/>
  <c r="K211" i="13"/>
  <c r="H211" i="13"/>
  <c r="K210" i="13"/>
  <c r="H210" i="13"/>
  <c r="K209" i="13"/>
  <c r="H209" i="13"/>
  <c r="K208" i="13"/>
  <c r="H208" i="13"/>
  <c r="K207" i="13"/>
  <c r="H207" i="13"/>
  <c r="K206" i="13"/>
  <c r="H206" i="13"/>
  <c r="K205" i="13"/>
  <c r="I205" i="13"/>
  <c r="H205" i="13"/>
  <c r="K204" i="13"/>
  <c r="H204" i="13"/>
  <c r="K203" i="13"/>
  <c r="H203" i="13"/>
  <c r="K202" i="13"/>
  <c r="H202" i="13"/>
  <c r="K201" i="13"/>
  <c r="H201" i="13"/>
  <c r="K200" i="13"/>
  <c r="H200" i="13"/>
  <c r="K199" i="13"/>
  <c r="H199" i="13"/>
  <c r="K198" i="13"/>
  <c r="H198" i="13"/>
  <c r="K197" i="13"/>
  <c r="H197" i="13"/>
  <c r="K196" i="13"/>
  <c r="H196" i="13"/>
  <c r="K195" i="13"/>
  <c r="H195" i="13"/>
  <c r="K194" i="13"/>
  <c r="H194" i="13"/>
  <c r="K193" i="13"/>
  <c r="H193" i="13"/>
  <c r="L192" i="13"/>
  <c r="K192" i="13"/>
  <c r="I192" i="13" s="1"/>
  <c r="J192" i="13" s="1"/>
  <c r="H192" i="13"/>
  <c r="K191" i="13"/>
  <c r="H191" i="13"/>
  <c r="K190" i="13"/>
  <c r="H190" i="13"/>
  <c r="K189" i="13"/>
  <c r="H189" i="13"/>
  <c r="K188" i="13"/>
  <c r="H188" i="13"/>
  <c r="K187" i="13"/>
  <c r="H187" i="13"/>
  <c r="K186" i="13"/>
  <c r="I186" i="13" s="1"/>
  <c r="H186" i="13"/>
  <c r="K185" i="13"/>
  <c r="Y219" i="4" s="1"/>
  <c r="H185" i="13"/>
  <c r="K184" i="13"/>
  <c r="H184" i="13"/>
  <c r="K183" i="13"/>
  <c r="H183" i="13"/>
  <c r="K182" i="13"/>
  <c r="H182" i="13"/>
  <c r="K181" i="13"/>
  <c r="H181" i="13"/>
  <c r="K180" i="13"/>
  <c r="I180" i="13" s="1"/>
  <c r="H180" i="13"/>
  <c r="K179" i="13"/>
  <c r="H179" i="13"/>
  <c r="K178" i="13"/>
  <c r="H178" i="13"/>
  <c r="K177" i="13"/>
  <c r="Y147" i="4" s="1"/>
  <c r="H177" i="13"/>
  <c r="K176" i="13"/>
  <c r="H176" i="13"/>
  <c r="K175" i="13"/>
  <c r="H175" i="13"/>
  <c r="K174" i="13"/>
  <c r="H174" i="13"/>
  <c r="K173" i="13"/>
  <c r="I173" i="13" s="1"/>
  <c r="J173" i="13" s="1"/>
  <c r="H173" i="13"/>
  <c r="K172" i="13"/>
  <c r="H172" i="13"/>
  <c r="K171" i="13"/>
  <c r="H171" i="13"/>
  <c r="K170" i="13"/>
  <c r="H170" i="13"/>
  <c r="K169" i="13"/>
  <c r="H169" i="13"/>
  <c r="K168" i="13"/>
  <c r="H168" i="13"/>
  <c r="K167" i="13"/>
  <c r="H167" i="13"/>
  <c r="K166" i="13"/>
  <c r="H166" i="13"/>
  <c r="K165" i="13"/>
  <c r="H165" i="13"/>
  <c r="K164" i="13"/>
  <c r="Y155" i="4" s="1"/>
  <c r="H164" i="13"/>
  <c r="K163" i="13"/>
  <c r="Y153" i="4" s="1"/>
  <c r="H163" i="13"/>
  <c r="K162" i="13"/>
  <c r="H162" i="13"/>
  <c r="K161" i="13"/>
  <c r="Y149" i="4" s="1"/>
  <c r="H161" i="13"/>
  <c r="K160" i="13"/>
  <c r="H160" i="13"/>
  <c r="K159" i="13"/>
  <c r="H159" i="13"/>
  <c r="K158" i="13"/>
  <c r="H158" i="13"/>
  <c r="K157" i="13"/>
  <c r="H157" i="13"/>
  <c r="K156" i="13"/>
  <c r="H156" i="13"/>
  <c r="K155" i="13"/>
  <c r="I155" i="13"/>
  <c r="J155" i="13" s="1"/>
  <c r="H155" i="13"/>
  <c r="K154" i="13"/>
  <c r="H154" i="13"/>
  <c r="K153" i="13"/>
  <c r="H153" i="13"/>
  <c r="K152" i="13"/>
  <c r="H152" i="13"/>
  <c r="K151" i="13"/>
  <c r="H151" i="13"/>
  <c r="K150" i="13"/>
  <c r="H150" i="13"/>
  <c r="K149" i="13"/>
  <c r="H149" i="13"/>
  <c r="K148" i="13"/>
  <c r="H148" i="13"/>
  <c r="K147" i="13"/>
  <c r="H147" i="13"/>
  <c r="K146" i="13"/>
  <c r="Y216" i="4" s="1"/>
  <c r="H146" i="13"/>
  <c r="K145" i="13"/>
  <c r="H145" i="13"/>
  <c r="K144" i="13"/>
  <c r="H144" i="13"/>
  <c r="K143" i="13"/>
  <c r="H143" i="13"/>
  <c r="K142" i="13"/>
  <c r="H142" i="13"/>
  <c r="K141" i="13"/>
  <c r="H141" i="13"/>
  <c r="K140" i="13"/>
  <c r="H140" i="13"/>
  <c r="K139" i="13"/>
  <c r="I139" i="13" s="1"/>
  <c r="L139" i="13" s="1"/>
  <c r="H139" i="13"/>
  <c r="K138" i="13"/>
  <c r="H138" i="13"/>
  <c r="K137" i="13"/>
  <c r="H137" i="13"/>
  <c r="K136" i="13"/>
  <c r="H136" i="13"/>
  <c r="K135" i="13"/>
  <c r="H135" i="13"/>
  <c r="K134" i="13"/>
  <c r="I134" i="13" s="1"/>
  <c r="H134" i="13"/>
  <c r="K133" i="13"/>
  <c r="H133" i="13"/>
  <c r="K132" i="13"/>
  <c r="H132" i="13"/>
  <c r="K131" i="13"/>
  <c r="H131" i="13"/>
  <c r="K130" i="13"/>
  <c r="H130" i="13"/>
  <c r="K129" i="13"/>
  <c r="H129" i="13"/>
  <c r="K128" i="13"/>
  <c r="H128" i="13"/>
  <c r="K127" i="13"/>
  <c r="H127" i="13"/>
  <c r="K126" i="13"/>
  <c r="I126" i="13" s="1"/>
  <c r="H126" i="13"/>
  <c r="K125" i="13"/>
  <c r="H125" i="13"/>
  <c r="K124" i="13"/>
  <c r="H124" i="13"/>
  <c r="K123" i="13"/>
  <c r="H123" i="13"/>
  <c r="K122" i="13"/>
  <c r="H122" i="13"/>
  <c r="K121" i="13"/>
  <c r="H121" i="13"/>
  <c r="K120" i="13"/>
  <c r="H120" i="13"/>
  <c r="K119" i="13"/>
  <c r="H119" i="13"/>
  <c r="K118" i="13"/>
  <c r="H118" i="13"/>
  <c r="K117" i="13"/>
  <c r="H117" i="13"/>
  <c r="K116" i="13"/>
  <c r="Y227" i="4" s="1"/>
  <c r="H116" i="13"/>
  <c r="K115" i="13"/>
  <c r="H115" i="13"/>
  <c r="K114" i="13"/>
  <c r="H114" i="13"/>
  <c r="K113" i="13"/>
  <c r="H113" i="13"/>
  <c r="K112" i="13"/>
  <c r="I112" i="13"/>
  <c r="H112" i="13"/>
  <c r="K111" i="13"/>
  <c r="H111" i="13"/>
  <c r="K110" i="13"/>
  <c r="H110" i="13"/>
  <c r="K109" i="13"/>
  <c r="H109" i="13"/>
  <c r="K108" i="13"/>
  <c r="H108" i="13"/>
  <c r="K107" i="13"/>
  <c r="H107" i="13"/>
  <c r="K106" i="13"/>
  <c r="H106" i="13"/>
  <c r="K105" i="13"/>
  <c r="H105" i="13"/>
  <c r="K104" i="13"/>
  <c r="H104" i="13"/>
  <c r="K103" i="13"/>
  <c r="H103" i="13"/>
  <c r="K102" i="13"/>
  <c r="H102" i="13"/>
  <c r="K101" i="13"/>
  <c r="H101" i="13"/>
  <c r="K100" i="13"/>
  <c r="H100" i="13"/>
  <c r="K99" i="13"/>
  <c r="H99" i="13"/>
  <c r="K98" i="13"/>
  <c r="Y12" i="4" s="1"/>
  <c r="H98" i="13"/>
  <c r="K97" i="13"/>
  <c r="H97" i="13"/>
  <c r="K96" i="13"/>
  <c r="Y9" i="4" s="1"/>
  <c r="H96" i="13"/>
  <c r="K95" i="13"/>
  <c r="H95" i="13"/>
  <c r="K94" i="13"/>
  <c r="H94" i="13"/>
  <c r="K93" i="13"/>
  <c r="H93" i="13"/>
  <c r="K92" i="13"/>
  <c r="H92" i="13"/>
  <c r="K91" i="13"/>
  <c r="H91" i="13"/>
  <c r="K90" i="13"/>
  <c r="H90" i="13"/>
  <c r="K89" i="13"/>
  <c r="H89" i="13"/>
  <c r="K88" i="13"/>
  <c r="H88" i="13"/>
  <c r="K87" i="13"/>
  <c r="H87" i="13"/>
  <c r="K86" i="13"/>
  <c r="H86" i="13"/>
  <c r="K85" i="13"/>
  <c r="H85" i="13"/>
  <c r="K84" i="13"/>
  <c r="H84" i="13"/>
  <c r="K83" i="13"/>
  <c r="H83" i="13"/>
  <c r="K82" i="13"/>
  <c r="H82" i="13"/>
  <c r="K81" i="13"/>
  <c r="H81" i="13"/>
  <c r="K80" i="13"/>
  <c r="Y38" i="4" s="1"/>
  <c r="H80" i="13"/>
  <c r="K79" i="13"/>
  <c r="H79" i="13"/>
  <c r="K78" i="13"/>
  <c r="H78" i="13"/>
  <c r="K77" i="13"/>
  <c r="H77" i="13"/>
  <c r="K76" i="13"/>
  <c r="H76" i="13"/>
  <c r="K75" i="13"/>
  <c r="H75" i="13"/>
  <c r="K74" i="13"/>
  <c r="H74" i="13"/>
  <c r="K73" i="13"/>
  <c r="H73" i="13"/>
  <c r="K72" i="13"/>
  <c r="Y41" i="4" s="1"/>
  <c r="H72" i="13"/>
  <c r="K71" i="13"/>
  <c r="H71" i="13"/>
  <c r="K70" i="13"/>
  <c r="H70" i="13"/>
  <c r="K69" i="13"/>
  <c r="H69" i="13"/>
  <c r="K68" i="13"/>
  <c r="H68" i="13"/>
  <c r="K67" i="13"/>
  <c r="H67" i="13"/>
  <c r="K66" i="13"/>
  <c r="H66" i="13"/>
  <c r="K65" i="13"/>
  <c r="H65" i="13"/>
  <c r="K64" i="13"/>
  <c r="Y31" i="4" s="1"/>
  <c r="H64" i="13"/>
  <c r="K63" i="13"/>
  <c r="H63" i="13"/>
  <c r="K62" i="13"/>
  <c r="H62" i="13"/>
  <c r="K61" i="13"/>
  <c r="H61" i="13"/>
  <c r="K60" i="13"/>
  <c r="H60" i="13"/>
  <c r="K59" i="13"/>
  <c r="H59" i="13"/>
  <c r="K58" i="13"/>
  <c r="H58" i="13"/>
  <c r="K57" i="13"/>
  <c r="H57" i="13"/>
  <c r="K56" i="13"/>
  <c r="Y33" i="4" s="1"/>
  <c r="H56" i="13"/>
  <c r="K55" i="13"/>
  <c r="H55" i="13"/>
  <c r="K54" i="13"/>
  <c r="H54" i="13"/>
  <c r="K53" i="13"/>
  <c r="H53" i="13"/>
  <c r="K52" i="13"/>
  <c r="H52" i="13"/>
  <c r="K51" i="13"/>
  <c r="H51" i="13"/>
  <c r="K50" i="13"/>
  <c r="Y13" i="4" s="1"/>
  <c r="H50" i="13"/>
  <c r="K49" i="13"/>
  <c r="H49" i="13"/>
  <c r="K48" i="13"/>
  <c r="H48" i="13"/>
  <c r="K47" i="13"/>
  <c r="H47" i="13"/>
  <c r="K46" i="13"/>
  <c r="H46" i="13"/>
  <c r="K45" i="13"/>
  <c r="H45" i="13"/>
  <c r="K44" i="13"/>
  <c r="H44" i="13"/>
  <c r="K43" i="13"/>
  <c r="H43" i="13"/>
  <c r="K42" i="13"/>
  <c r="H42" i="13"/>
  <c r="K41" i="13"/>
  <c r="H41" i="13"/>
  <c r="K40" i="13"/>
  <c r="Y21" i="4" s="1"/>
  <c r="H40" i="13"/>
  <c r="K39" i="13"/>
  <c r="H39" i="13"/>
  <c r="K38" i="13"/>
  <c r="H38" i="13"/>
  <c r="K37" i="13"/>
  <c r="H37" i="13"/>
  <c r="K36" i="13"/>
  <c r="H36" i="13"/>
  <c r="K35" i="13"/>
  <c r="H35" i="13"/>
  <c r="K34" i="13"/>
  <c r="Y28" i="4" s="1"/>
  <c r="H34" i="13"/>
  <c r="K33" i="13"/>
  <c r="H33" i="13"/>
  <c r="K32" i="13"/>
  <c r="Y26" i="4" s="1"/>
  <c r="H32" i="13"/>
  <c r="K31" i="13"/>
  <c r="H31" i="13"/>
  <c r="K30" i="13"/>
  <c r="H30" i="13"/>
  <c r="K29" i="13"/>
  <c r="H29" i="13"/>
  <c r="K28" i="13"/>
  <c r="H28" i="13"/>
  <c r="K27" i="13"/>
  <c r="H27" i="13"/>
  <c r="K26" i="13"/>
  <c r="H26" i="13"/>
  <c r="K25" i="13"/>
  <c r="H25" i="13"/>
  <c r="K24" i="13"/>
  <c r="Y10" i="4" s="1"/>
  <c r="H24" i="13"/>
  <c r="K23" i="13"/>
  <c r="H23" i="13"/>
  <c r="K22" i="13"/>
  <c r="H22" i="13"/>
  <c r="K21" i="13"/>
  <c r="H21" i="13"/>
  <c r="K20" i="13"/>
  <c r="H20" i="13"/>
  <c r="K19" i="13"/>
  <c r="H19" i="13"/>
  <c r="K18" i="13"/>
  <c r="H18" i="13"/>
  <c r="K17" i="13"/>
  <c r="H17" i="13"/>
  <c r="K16" i="13"/>
  <c r="Y16" i="4" s="1"/>
  <c r="H16" i="13"/>
  <c r="K15" i="13"/>
  <c r="H15" i="13"/>
  <c r="K14" i="13"/>
  <c r="H14" i="13"/>
  <c r="K13" i="13"/>
  <c r="H13" i="13"/>
  <c r="K12" i="13"/>
  <c r="H12" i="13"/>
  <c r="K11" i="13"/>
  <c r="H11" i="13"/>
  <c r="K10" i="13"/>
  <c r="Y22" i="4" s="1"/>
  <c r="H10" i="13"/>
  <c r="K9" i="13"/>
  <c r="H9" i="13"/>
  <c r="K8" i="13"/>
  <c r="Y15" i="4" s="1"/>
  <c r="H8" i="13"/>
  <c r="K7" i="13"/>
  <c r="H7" i="13"/>
  <c r="K6" i="13"/>
  <c r="H6" i="13"/>
  <c r="K5" i="13"/>
  <c r="H5" i="13"/>
  <c r="K4" i="13"/>
  <c r="H4" i="13"/>
  <c r="K3" i="13"/>
  <c r="H3" i="13"/>
  <c r="K2" i="13"/>
  <c r="H2" i="13"/>
  <c r="G4" i="12"/>
  <c r="G3" i="12"/>
  <c r="G2" i="12"/>
  <c r="F3" i="11"/>
  <c r="G3" i="11" s="1"/>
  <c r="F2" i="11"/>
  <c r="G2" i="11" s="1"/>
  <c r="M94" i="9"/>
  <c r="L94" i="9"/>
  <c r="K94" i="9"/>
  <c r="M93" i="9"/>
  <c r="L93" i="9"/>
  <c r="K93" i="9"/>
  <c r="M92" i="9"/>
  <c r="L92" i="9"/>
  <c r="K92" i="9"/>
  <c r="M91" i="9"/>
  <c r="L91" i="9"/>
  <c r="K91" i="9"/>
  <c r="N91" i="9" s="1"/>
  <c r="O91" i="9" s="1"/>
  <c r="M90" i="9"/>
  <c r="L90" i="9"/>
  <c r="N90" i="9" s="1"/>
  <c r="O90" i="9" s="1"/>
  <c r="K90" i="9"/>
  <c r="M89" i="9"/>
  <c r="L89" i="9"/>
  <c r="K89" i="9"/>
  <c r="M88" i="9"/>
  <c r="L88" i="9"/>
  <c r="K88" i="9"/>
  <c r="M87" i="9"/>
  <c r="L87" i="9"/>
  <c r="K87" i="9"/>
  <c r="N87" i="9" s="1"/>
  <c r="O87" i="9" s="1"/>
  <c r="M86" i="9"/>
  <c r="L86" i="9"/>
  <c r="K86" i="9"/>
  <c r="N86" i="9" s="1"/>
  <c r="O86" i="9" s="1"/>
  <c r="M85" i="9"/>
  <c r="N85" i="9" s="1"/>
  <c r="O85" i="9" s="1"/>
  <c r="L85" i="9"/>
  <c r="K85" i="9"/>
  <c r="M84" i="9"/>
  <c r="N84" i="9" s="1"/>
  <c r="O84" i="9" s="1"/>
  <c r="L84" i="9"/>
  <c r="K84" i="9"/>
  <c r="M83" i="9"/>
  <c r="L83" i="9"/>
  <c r="K83" i="9"/>
  <c r="M82" i="9"/>
  <c r="L82" i="9"/>
  <c r="K82" i="9"/>
  <c r="M81" i="9"/>
  <c r="L81" i="9"/>
  <c r="K81" i="9"/>
  <c r="N81" i="9" s="1"/>
  <c r="O81" i="9" s="1"/>
  <c r="M80" i="9"/>
  <c r="L80" i="9"/>
  <c r="K80" i="9"/>
  <c r="M79" i="9"/>
  <c r="L79" i="9"/>
  <c r="K79" i="9"/>
  <c r="M78" i="9"/>
  <c r="L78" i="9"/>
  <c r="K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63" i="5"/>
  <c r="G59" i="5"/>
  <c r="H57" i="5"/>
  <c r="H56" i="5"/>
  <c r="H55" i="5"/>
  <c r="H54" i="5"/>
  <c r="H53" i="5"/>
  <c r="G47" i="5"/>
  <c r="F46" i="5"/>
  <c r="E46" i="5"/>
  <c r="D46" i="5"/>
  <c r="G45" i="5"/>
  <c r="D43" i="5"/>
  <c r="G37" i="5"/>
  <c r="G36" i="5"/>
  <c r="G35" i="5"/>
  <c r="G34" i="5"/>
  <c r="G33" i="5"/>
  <c r="J28" i="5"/>
  <c r="K28" i="5" s="1"/>
  <c r="D28" i="5"/>
  <c r="F27" i="5"/>
  <c r="G26" i="5"/>
  <c r="D26" i="5"/>
  <c r="G25" i="5"/>
  <c r="F24" i="5"/>
  <c r="G24" i="5" s="1"/>
  <c r="D24" i="5"/>
  <c r="D23" i="5"/>
  <c r="G23" i="5" s="1"/>
  <c r="D22" i="5"/>
  <c r="K22" i="5" s="1"/>
  <c r="N17" i="5"/>
  <c r="D17" i="5"/>
  <c r="G17" i="5" s="1"/>
  <c r="O16" i="5"/>
  <c r="O15" i="5"/>
  <c r="D15" i="5"/>
  <c r="G15" i="5" s="1"/>
  <c r="O14" i="5"/>
  <c r="O13" i="5"/>
  <c r="R12" i="5"/>
  <c r="Q12" i="5"/>
  <c r="O12" i="5"/>
  <c r="O11" i="5"/>
  <c r="O10" i="5"/>
  <c r="F10" i="5"/>
  <c r="D10" i="5"/>
  <c r="G10" i="5" s="1"/>
  <c r="O9" i="5"/>
  <c r="F9" i="5"/>
  <c r="O8" i="5"/>
  <c r="F8" i="5"/>
  <c r="G8" i="5" s="1"/>
  <c r="D8" i="5"/>
  <c r="O7" i="5"/>
  <c r="F7" i="5"/>
  <c r="D7" i="5"/>
  <c r="O6" i="5"/>
  <c r="Q5" i="5"/>
  <c r="D12" i="5" s="1"/>
  <c r="K12" i="5" s="1"/>
  <c r="O5" i="5"/>
  <c r="O4" i="5"/>
  <c r="F4" i="5"/>
  <c r="D25" i="5" s="1"/>
  <c r="V227" i="4"/>
  <c r="I191" i="13" s="1"/>
  <c r="T227" i="4"/>
  <c r="N227" i="4"/>
  <c r="Y226" i="4"/>
  <c r="V226" i="4"/>
  <c r="N226" i="4"/>
  <c r="V224" i="4"/>
  <c r="I170" i="13" s="1"/>
  <c r="U224" i="4"/>
  <c r="T224" i="4"/>
  <c r="R224" i="4"/>
  <c r="P224" i="4"/>
  <c r="N224" i="4"/>
  <c r="Q224" i="4" s="1"/>
  <c r="V223" i="4"/>
  <c r="N223" i="4"/>
  <c r="U223" i="4" s="1"/>
  <c r="Y222" i="4"/>
  <c r="V222" i="4"/>
  <c r="R222" i="4"/>
  <c r="Q222" i="4"/>
  <c r="P222" i="4"/>
  <c r="O222" i="4"/>
  <c r="N222" i="4"/>
  <c r="T222" i="4" s="1"/>
  <c r="V221" i="4"/>
  <c r="I290" i="13" s="1"/>
  <c r="R221" i="4"/>
  <c r="N221" i="4"/>
  <c r="U221" i="4" s="1"/>
  <c r="V220" i="4"/>
  <c r="O220" i="4"/>
  <c r="N220" i="4"/>
  <c r="V219" i="4"/>
  <c r="I185" i="13" s="1"/>
  <c r="U219" i="4"/>
  <c r="T219" i="4"/>
  <c r="R219" i="4"/>
  <c r="Q219" i="4"/>
  <c r="P219" i="4"/>
  <c r="O219" i="4"/>
  <c r="N219" i="4"/>
  <c r="V218" i="4"/>
  <c r="N218" i="4"/>
  <c r="Y217" i="4"/>
  <c r="V217" i="4"/>
  <c r="T217" i="4"/>
  <c r="N217" i="4"/>
  <c r="P217" i="4" s="1"/>
  <c r="V216" i="4"/>
  <c r="P216" i="4"/>
  <c r="N216" i="4"/>
  <c r="Y214" i="4"/>
  <c r="V214" i="4"/>
  <c r="N214" i="4"/>
  <c r="R214" i="4" s="1"/>
  <c r="Y213" i="4"/>
  <c r="V213" i="4"/>
  <c r="N213" i="4"/>
  <c r="R213" i="4" s="1"/>
  <c r="Y212" i="4"/>
  <c r="V212" i="4"/>
  <c r="R212" i="4"/>
  <c r="P212" i="4"/>
  <c r="N212" i="4"/>
  <c r="U212" i="4" s="1"/>
  <c r="V211" i="4"/>
  <c r="N211" i="4"/>
  <c r="R211" i="4" s="1"/>
  <c r="Y209" i="4"/>
  <c r="V209" i="4"/>
  <c r="Q209" i="4"/>
  <c r="N209" i="4"/>
  <c r="Y208" i="4"/>
  <c r="V208" i="4"/>
  <c r="P208" i="4"/>
  <c r="N208" i="4"/>
  <c r="O208" i="4" s="1"/>
  <c r="Y206" i="4"/>
  <c r="V206" i="4"/>
  <c r="T206" i="4"/>
  <c r="N206" i="4"/>
  <c r="Y204" i="4"/>
  <c r="V204" i="4"/>
  <c r="P204" i="4"/>
  <c r="N204" i="4"/>
  <c r="Q204" i="4" s="1"/>
  <c r="Y203" i="4"/>
  <c r="V203" i="4"/>
  <c r="N203" i="4"/>
  <c r="U203" i="4" s="1"/>
  <c r="V201" i="4"/>
  <c r="N201" i="4"/>
  <c r="P201" i="4" s="1"/>
  <c r="Y200" i="4"/>
  <c r="V200" i="4"/>
  <c r="R200" i="4"/>
  <c r="P200" i="4"/>
  <c r="N200" i="4"/>
  <c r="U200" i="4" s="1"/>
  <c r="Y199" i="4"/>
  <c r="V199" i="4"/>
  <c r="O199" i="4"/>
  <c r="N199" i="4"/>
  <c r="Y198" i="4"/>
  <c r="V198" i="4"/>
  <c r="U198" i="4"/>
  <c r="T198" i="4"/>
  <c r="R198" i="4"/>
  <c r="Q198" i="4"/>
  <c r="P198" i="4"/>
  <c r="N198" i="4"/>
  <c r="O198" i="4" s="1"/>
  <c r="Y196" i="4"/>
  <c r="V196" i="4"/>
  <c r="I457" i="13" s="1"/>
  <c r="R196" i="4"/>
  <c r="N196" i="4"/>
  <c r="Y194" i="4"/>
  <c r="V194" i="4"/>
  <c r="N194" i="4"/>
  <c r="P194" i="4" s="1"/>
  <c r="Y193" i="4"/>
  <c r="V193" i="4"/>
  <c r="I456" i="13" s="1"/>
  <c r="O193" i="4"/>
  <c r="N193" i="4"/>
  <c r="U193" i="4" s="1"/>
  <c r="V191" i="4"/>
  <c r="N191" i="4"/>
  <c r="R191" i="4" s="1"/>
  <c r="Y189" i="4"/>
  <c r="V189" i="4"/>
  <c r="N189" i="4"/>
  <c r="Y188" i="4"/>
  <c r="V188" i="4"/>
  <c r="T188" i="4"/>
  <c r="R188" i="4"/>
  <c r="O188" i="4"/>
  <c r="N188" i="4"/>
  <c r="U188" i="4" s="1"/>
  <c r="Y187" i="4"/>
  <c r="V187" i="4"/>
  <c r="R187" i="4"/>
  <c r="P187" i="4"/>
  <c r="O187" i="4"/>
  <c r="N187" i="4"/>
  <c r="Q187" i="4" s="1"/>
  <c r="Y186" i="4"/>
  <c r="V186" i="4"/>
  <c r="I399" i="13" s="1"/>
  <c r="U186" i="4"/>
  <c r="T186" i="4"/>
  <c r="R186" i="4"/>
  <c r="Q186" i="4"/>
  <c r="P186" i="4"/>
  <c r="O186" i="4"/>
  <c r="N186" i="4"/>
  <c r="Y185" i="4"/>
  <c r="V185" i="4"/>
  <c r="O185" i="4"/>
  <c r="N185" i="4"/>
  <c r="T185" i="4" s="1"/>
  <c r="Y183" i="4"/>
  <c r="V183" i="4"/>
  <c r="N183" i="4"/>
  <c r="Y182" i="4"/>
  <c r="V182" i="4"/>
  <c r="O182" i="4"/>
  <c r="N182" i="4"/>
  <c r="T182" i="4" s="1"/>
  <c r="Y181" i="4"/>
  <c r="V181" i="4"/>
  <c r="N181" i="4"/>
  <c r="V179" i="4"/>
  <c r="N179" i="4"/>
  <c r="Y178" i="4"/>
  <c r="V178" i="4"/>
  <c r="N178" i="4"/>
  <c r="Y177" i="4"/>
  <c r="V177" i="4"/>
  <c r="U177" i="4"/>
  <c r="T177" i="4"/>
  <c r="N177" i="4"/>
  <c r="R177" i="4" s="1"/>
  <c r="Y174" i="4"/>
  <c r="V174" i="4"/>
  <c r="N174" i="4"/>
  <c r="Y173" i="4"/>
  <c r="V173" i="4"/>
  <c r="U173" i="4"/>
  <c r="R173" i="4"/>
  <c r="N173" i="4"/>
  <c r="Y172" i="4"/>
  <c r="V172" i="4"/>
  <c r="N172" i="4"/>
  <c r="Y171" i="4"/>
  <c r="V171" i="4"/>
  <c r="N171" i="4"/>
  <c r="P171" i="4" s="1"/>
  <c r="Y170" i="4"/>
  <c r="V170" i="4"/>
  <c r="N170" i="4"/>
  <c r="P170" i="4" s="1"/>
  <c r="Y169" i="4"/>
  <c r="V169" i="4"/>
  <c r="N169" i="4"/>
  <c r="Y168" i="4"/>
  <c r="V168" i="4"/>
  <c r="N168" i="4"/>
  <c r="Y167" i="4"/>
  <c r="V167" i="4"/>
  <c r="N167" i="4"/>
  <c r="Y166" i="4"/>
  <c r="V166" i="4"/>
  <c r="U166" i="4"/>
  <c r="T166" i="4"/>
  <c r="R166" i="4"/>
  <c r="Q166" i="4"/>
  <c r="P166" i="4"/>
  <c r="N166" i="4"/>
  <c r="O166" i="4" s="1"/>
  <c r="Y165" i="4"/>
  <c r="V165" i="4"/>
  <c r="Q165" i="4"/>
  <c r="O165" i="4"/>
  <c r="N165" i="4"/>
  <c r="Y164" i="4"/>
  <c r="V164" i="4"/>
  <c r="U164" i="4"/>
  <c r="T164" i="4"/>
  <c r="R164" i="4"/>
  <c r="N164" i="4"/>
  <c r="V163" i="4"/>
  <c r="P163" i="4"/>
  <c r="O163" i="4"/>
  <c r="N163" i="4"/>
  <c r="Y162" i="4"/>
  <c r="V162" i="4"/>
  <c r="T162" i="4"/>
  <c r="N162" i="4"/>
  <c r="U162" i="4" s="1"/>
  <c r="V161" i="4"/>
  <c r="N161" i="4"/>
  <c r="U161" i="4" s="1"/>
  <c r="V160" i="4"/>
  <c r="T160" i="4"/>
  <c r="R160" i="4"/>
  <c r="P160" i="4"/>
  <c r="O160" i="4"/>
  <c r="N160" i="4"/>
  <c r="U160" i="4" s="1"/>
  <c r="Y159" i="4"/>
  <c r="V159" i="4"/>
  <c r="T159" i="4"/>
  <c r="N159" i="4"/>
  <c r="U159" i="4" s="1"/>
  <c r="Y158" i="4"/>
  <c r="V158" i="4"/>
  <c r="O158" i="4"/>
  <c r="N158" i="4"/>
  <c r="T158" i="4" s="1"/>
  <c r="Y157" i="4"/>
  <c r="V157" i="4"/>
  <c r="N157" i="4"/>
  <c r="Y156" i="4"/>
  <c r="V156" i="4"/>
  <c r="I145" i="13" s="1"/>
  <c r="N156" i="4"/>
  <c r="V155" i="4"/>
  <c r="N155" i="4"/>
  <c r="Y154" i="4"/>
  <c r="V154" i="4"/>
  <c r="N154" i="4"/>
  <c r="T154" i="4" s="1"/>
  <c r="V153" i="4"/>
  <c r="N153" i="4"/>
  <c r="Y152" i="4"/>
  <c r="V152" i="4"/>
  <c r="U152" i="4"/>
  <c r="R152" i="4"/>
  <c r="Q152" i="4"/>
  <c r="P152" i="4"/>
  <c r="O152" i="4"/>
  <c r="N152" i="4"/>
  <c r="T152" i="4" s="1"/>
  <c r="V151" i="4"/>
  <c r="N151" i="4"/>
  <c r="O151" i="4" s="1"/>
  <c r="Y150" i="4"/>
  <c r="V150" i="4"/>
  <c r="U150" i="4"/>
  <c r="T150" i="4"/>
  <c r="R150" i="4"/>
  <c r="Q150" i="4"/>
  <c r="P150" i="4"/>
  <c r="N150" i="4"/>
  <c r="O150" i="4" s="1"/>
  <c r="V149" i="4"/>
  <c r="N149" i="4"/>
  <c r="V148" i="4"/>
  <c r="T148" i="4"/>
  <c r="N148" i="4"/>
  <c r="U148" i="4" s="1"/>
  <c r="V147" i="4"/>
  <c r="N147" i="4"/>
  <c r="T147" i="4" s="1"/>
  <c r="Y146" i="4"/>
  <c r="V146" i="4"/>
  <c r="N146" i="4"/>
  <c r="O146" i="4" s="1"/>
  <c r="Y145" i="4"/>
  <c r="V145" i="4"/>
  <c r="N145" i="4"/>
  <c r="V144" i="4"/>
  <c r="T144" i="4"/>
  <c r="N144" i="4"/>
  <c r="U144" i="4" s="1"/>
  <c r="V143" i="4"/>
  <c r="N143" i="4"/>
  <c r="Q143" i="4" s="1"/>
  <c r="Y142" i="4"/>
  <c r="V142" i="4"/>
  <c r="T142" i="4"/>
  <c r="R142" i="4"/>
  <c r="Q142" i="4"/>
  <c r="N142" i="4"/>
  <c r="Y140" i="4"/>
  <c r="V140" i="4"/>
  <c r="P140" i="4"/>
  <c r="N140" i="4"/>
  <c r="U140" i="4" s="1"/>
  <c r="V139" i="4"/>
  <c r="N139" i="4"/>
  <c r="Y138" i="4"/>
  <c r="V138" i="4"/>
  <c r="I384" i="13" s="1"/>
  <c r="U138" i="4"/>
  <c r="N138" i="4"/>
  <c r="Y137" i="4"/>
  <c r="V137" i="4"/>
  <c r="N137" i="4"/>
  <c r="V133" i="4"/>
  <c r="N133" i="4"/>
  <c r="Y132" i="4"/>
  <c r="V132" i="4"/>
  <c r="Q132" i="4"/>
  <c r="P132" i="4"/>
  <c r="O132" i="4"/>
  <c r="N132" i="4"/>
  <c r="Y131" i="4"/>
  <c r="V131" i="4"/>
  <c r="U131" i="4"/>
  <c r="T131" i="4"/>
  <c r="N131" i="4"/>
  <c r="R131" i="4" s="1"/>
  <c r="Y130" i="4"/>
  <c r="V130" i="4"/>
  <c r="U130" i="4"/>
  <c r="T130" i="4"/>
  <c r="R130" i="4"/>
  <c r="Q130" i="4"/>
  <c r="P130" i="4"/>
  <c r="O130" i="4"/>
  <c r="N130" i="4"/>
  <c r="Y129" i="4"/>
  <c r="V129" i="4"/>
  <c r="O129" i="4"/>
  <c r="N129" i="4"/>
  <c r="U129" i="4" s="1"/>
  <c r="Y128" i="4"/>
  <c r="V128" i="4"/>
  <c r="N128" i="4"/>
  <c r="T128" i="4" s="1"/>
  <c r="Y127" i="4"/>
  <c r="V127" i="4"/>
  <c r="U127" i="4"/>
  <c r="Q127" i="4"/>
  <c r="O127" i="4"/>
  <c r="N127" i="4"/>
  <c r="T127" i="4" s="1"/>
  <c r="Y126" i="4"/>
  <c r="V126" i="4"/>
  <c r="N126" i="4"/>
  <c r="P126" i="4" s="1"/>
  <c r="Y125" i="4"/>
  <c r="V125" i="4"/>
  <c r="N125" i="4"/>
  <c r="Y124" i="4"/>
  <c r="V124" i="4"/>
  <c r="T124" i="4"/>
  <c r="R124" i="4"/>
  <c r="Q124" i="4"/>
  <c r="P124" i="4"/>
  <c r="O124" i="4"/>
  <c r="N124" i="4"/>
  <c r="U124" i="4" s="1"/>
  <c r="Y123" i="4"/>
  <c r="V123" i="4"/>
  <c r="P123" i="4"/>
  <c r="N123" i="4"/>
  <c r="U123" i="4" s="1"/>
  <c r="Y122" i="4"/>
  <c r="V122" i="4"/>
  <c r="N122" i="4"/>
  <c r="T122" i="4" s="1"/>
  <c r="V120" i="4"/>
  <c r="T120" i="4"/>
  <c r="R120" i="4"/>
  <c r="P120" i="4"/>
  <c r="N120" i="4"/>
  <c r="U120" i="4" s="1"/>
  <c r="V119" i="4"/>
  <c r="I437" i="13" s="1"/>
  <c r="N119" i="4"/>
  <c r="U119" i="4" s="1"/>
  <c r="V118" i="4"/>
  <c r="O118" i="4"/>
  <c r="N118" i="4"/>
  <c r="U118" i="4" s="1"/>
  <c r="Y117" i="4"/>
  <c r="V117" i="4"/>
  <c r="N117" i="4"/>
  <c r="V116" i="4"/>
  <c r="N116" i="4"/>
  <c r="Q116" i="4" s="1"/>
  <c r="Y115" i="4"/>
  <c r="V115" i="4"/>
  <c r="N115" i="4"/>
  <c r="O115" i="4" s="1"/>
  <c r="Y114" i="4"/>
  <c r="V114" i="4"/>
  <c r="U114" i="4"/>
  <c r="T114" i="4"/>
  <c r="R114" i="4"/>
  <c r="Q114" i="4"/>
  <c r="P114" i="4"/>
  <c r="N114" i="4"/>
  <c r="O114" i="4" s="1"/>
  <c r="Y112" i="4"/>
  <c r="V112" i="4"/>
  <c r="Q112" i="4"/>
  <c r="P112" i="4"/>
  <c r="O112" i="4"/>
  <c r="N112" i="4"/>
  <c r="Y111" i="4"/>
  <c r="V111" i="4"/>
  <c r="U111" i="4"/>
  <c r="T111" i="4"/>
  <c r="N111" i="4"/>
  <c r="R111" i="4" s="1"/>
  <c r="Y110" i="4"/>
  <c r="V110" i="4"/>
  <c r="T110" i="4"/>
  <c r="N110" i="4"/>
  <c r="U110" i="4" s="1"/>
  <c r="Y109" i="4"/>
  <c r="V109" i="4"/>
  <c r="N109" i="4"/>
  <c r="Y107" i="4"/>
  <c r="V107" i="4"/>
  <c r="N107" i="4"/>
  <c r="P107" i="4" s="1"/>
  <c r="Y106" i="4"/>
  <c r="V106" i="4"/>
  <c r="N106" i="4"/>
  <c r="Y105" i="4"/>
  <c r="V105" i="4"/>
  <c r="T105" i="4"/>
  <c r="R105" i="4"/>
  <c r="P105" i="4"/>
  <c r="O105" i="4"/>
  <c r="N105" i="4"/>
  <c r="U105" i="4" s="1"/>
  <c r="Y103" i="4"/>
  <c r="V103" i="4"/>
  <c r="N103" i="4"/>
  <c r="T103" i="4" s="1"/>
  <c r="Y102" i="4"/>
  <c r="V102" i="4"/>
  <c r="N102" i="4"/>
  <c r="U102" i="4" s="1"/>
  <c r="Y101" i="4"/>
  <c r="V101" i="4"/>
  <c r="T101" i="4"/>
  <c r="N101" i="4"/>
  <c r="Y100" i="4"/>
  <c r="V100" i="4"/>
  <c r="N100" i="4"/>
  <c r="Y99" i="4"/>
  <c r="V99" i="4"/>
  <c r="R99" i="4"/>
  <c r="O99" i="4"/>
  <c r="N99" i="4"/>
  <c r="U99" i="4" s="1"/>
  <c r="Y98" i="4"/>
  <c r="V98" i="4"/>
  <c r="P98" i="4"/>
  <c r="N98" i="4"/>
  <c r="Y97" i="4"/>
  <c r="V97" i="4"/>
  <c r="Q97" i="4"/>
  <c r="P97" i="4"/>
  <c r="N97" i="4"/>
  <c r="U97" i="4" s="1"/>
  <c r="Y96" i="4"/>
  <c r="V96" i="4"/>
  <c r="N96" i="4"/>
  <c r="Y95" i="4"/>
  <c r="V95" i="4"/>
  <c r="U95" i="4"/>
  <c r="T95" i="4"/>
  <c r="R95" i="4"/>
  <c r="Q95" i="4"/>
  <c r="P95" i="4"/>
  <c r="O95" i="4"/>
  <c r="N95" i="4"/>
  <c r="Y94" i="4"/>
  <c r="V94" i="4"/>
  <c r="P94" i="4"/>
  <c r="O94" i="4"/>
  <c r="N94" i="4"/>
  <c r="Y93" i="4"/>
  <c r="V93" i="4"/>
  <c r="U93" i="4"/>
  <c r="T93" i="4"/>
  <c r="R93" i="4"/>
  <c r="Q93" i="4"/>
  <c r="N93" i="4"/>
  <c r="P93" i="4" s="1"/>
  <c r="Y91" i="4"/>
  <c r="V91" i="4"/>
  <c r="N91" i="4"/>
  <c r="O91" i="4" s="1"/>
  <c r="Y90" i="4"/>
  <c r="V90" i="4"/>
  <c r="U90" i="4"/>
  <c r="O90" i="4"/>
  <c r="N90" i="4"/>
  <c r="Y89" i="4"/>
  <c r="V89" i="4"/>
  <c r="O89" i="4"/>
  <c r="N89" i="4"/>
  <c r="P89" i="4" s="1"/>
  <c r="V88" i="4"/>
  <c r="I432" i="13" s="1"/>
  <c r="N88" i="4"/>
  <c r="T88" i="4" s="1"/>
  <c r="Y86" i="4"/>
  <c r="V86" i="4"/>
  <c r="R86" i="4"/>
  <c r="Q86" i="4"/>
  <c r="P86" i="4"/>
  <c r="N86" i="4"/>
  <c r="U86" i="4" s="1"/>
  <c r="Y85" i="4"/>
  <c r="V85" i="4"/>
  <c r="Q85" i="4"/>
  <c r="N85" i="4"/>
  <c r="T85" i="4" s="1"/>
  <c r="Y84" i="4"/>
  <c r="V84" i="4"/>
  <c r="U84" i="4"/>
  <c r="N84" i="4"/>
  <c r="O84" i="4" s="1"/>
  <c r="Y82" i="4"/>
  <c r="V82" i="4"/>
  <c r="N82" i="4"/>
  <c r="P82" i="4" s="1"/>
  <c r="V81" i="4"/>
  <c r="N81" i="4"/>
  <c r="U81" i="4" s="1"/>
  <c r="Y80" i="4"/>
  <c r="V80" i="4"/>
  <c r="O80" i="4"/>
  <c r="N80" i="4"/>
  <c r="U80" i="4" s="1"/>
  <c r="Y79" i="4"/>
  <c r="V79" i="4"/>
  <c r="U79" i="4"/>
  <c r="R79" i="4"/>
  <c r="N79" i="4"/>
  <c r="V78" i="4"/>
  <c r="P78" i="4"/>
  <c r="N78" i="4"/>
  <c r="T78" i="4" s="1"/>
  <c r="V77" i="4"/>
  <c r="U77" i="4"/>
  <c r="R77" i="4"/>
  <c r="Q77" i="4"/>
  <c r="N77" i="4"/>
  <c r="Y76" i="4"/>
  <c r="V76" i="4"/>
  <c r="P76" i="4"/>
  <c r="O76" i="4"/>
  <c r="N76" i="4"/>
  <c r="U76" i="4" s="1"/>
  <c r="Y75" i="4"/>
  <c r="V75" i="4"/>
  <c r="U75" i="4"/>
  <c r="T75" i="4"/>
  <c r="R75" i="4"/>
  <c r="P75" i="4"/>
  <c r="O75" i="4"/>
  <c r="N75" i="4"/>
  <c r="Q75" i="4" s="1"/>
  <c r="V73" i="4"/>
  <c r="N73" i="4"/>
  <c r="Y72" i="4"/>
  <c r="V72" i="4"/>
  <c r="U72" i="4"/>
  <c r="Q72" i="4"/>
  <c r="O72" i="4"/>
  <c r="N72" i="4"/>
  <c r="T72" i="4" s="1"/>
  <c r="V71" i="4"/>
  <c r="Q71" i="4"/>
  <c r="O71" i="4"/>
  <c r="N71" i="4"/>
  <c r="R71" i="4" s="1"/>
  <c r="Y70" i="4"/>
  <c r="V70" i="4"/>
  <c r="I375" i="13" s="1"/>
  <c r="T70" i="4"/>
  <c r="Q70" i="4"/>
  <c r="P70" i="4"/>
  <c r="N70" i="4"/>
  <c r="Y69" i="4"/>
  <c r="V69" i="4"/>
  <c r="O69" i="4"/>
  <c r="N69" i="4"/>
  <c r="V68" i="4"/>
  <c r="N68" i="4"/>
  <c r="Y66" i="4"/>
  <c r="V66" i="4"/>
  <c r="N66" i="4"/>
  <c r="Q66" i="4" s="1"/>
  <c r="Y64" i="4"/>
  <c r="V64" i="4"/>
  <c r="I421" i="13" s="1"/>
  <c r="T64" i="4"/>
  <c r="Q64" i="4"/>
  <c r="N64" i="4"/>
  <c r="U64" i="4" s="1"/>
  <c r="Y63" i="4"/>
  <c r="V63" i="4"/>
  <c r="T63" i="4"/>
  <c r="N63" i="4"/>
  <c r="R63" i="4" s="1"/>
  <c r="Y62" i="4"/>
  <c r="V62" i="4"/>
  <c r="I263" i="13" s="1"/>
  <c r="T62" i="4"/>
  <c r="Q62" i="4"/>
  <c r="P62" i="4"/>
  <c r="N62" i="4"/>
  <c r="O62" i="4" s="1"/>
  <c r="Y61" i="4"/>
  <c r="V61" i="4"/>
  <c r="T61" i="4"/>
  <c r="N61" i="4"/>
  <c r="Q61" i="4" s="1"/>
  <c r="Y60" i="4"/>
  <c r="V60" i="4"/>
  <c r="P60" i="4"/>
  <c r="O60" i="4"/>
  <c r="N60" i="4"/>
  <c r="Q60" i="4" s="1"/>
  <c r="Y59" i="4"/>
  <c r="V59" i="4"/>
  <c r="I420" i="13" s="1"/>
  <c r="N59" i="4"/>
  <c r="T59" i="4" s="1"/>
  <c r="Y58" i="4"/>
  <c r="V58" i="4"/>
  <c r="R58" i="4"/>
  <c r="P58" i="4"/>
  <c r="O58" i="4"/>
  <c r="N58" i="4"/>
  <c r="T58" i="4" s="1"/>
  <c r="Y56" i="4"/>
  <c r="V56" i="4"/>
  <c r="O56" i="4"/>
  <c r="N56" i="4"/>
  <c r="Q56" i="4" s="1"/>
  <c r="Y55" i="4"/>
  <c r="V55" i="4"/>
  <c r="U55" i="4"/>
  <c r="T55" i="4"/>
  <c r="N55" i="4"/>
  <c r="P55" i="4" s="1"/>
  <c r="Y54" i="4"/>
  <c r="V54" i="4"/>
  <c r="N54" i="4"/>
  <c r="Y53" i="4"/>
  <c r="V53" i="4"/>
  <c r="U53" i="4"/>
  <c r="N53" i="4"/>
  <c r="Y52" i="4"/>
  <c r="V52" i="4"/>
  <c r="Q52" i="4"/>
  <c r="O52" i="4"/>
  <c r="N52" i="4"/>
  <c r="P52" i="4" s="1"/>
  <c r="Y51" i="4"/>
  <c r="V51" i="4"/>
  <c r="N51" i="4"/>
  <c r="Y50" i="4"/>
  <c r="V50" i="4"/>
  <c r="O50" i="4"/>
  <c r="N50" i="4"/>
  <c r="R50" i="4" s="1"/>
  <c r="Y49" i="4"/>
  <c r="V49" i="4"/>
  <c r="I416" i="13" s="1"/>
  <c r="T49" i="4"/>
  <c r="R49" i="4"/>
  <c r="Q49" i="4"/>
  <c r="P49" i="4"/>
  <c r="N49" i="4"/>
  <c r="U49" i="4" s="1"/>
  <c r="Y48" i="4"/>
  <c r="V48" i="4"/>
  <c r="N48" i="4"/>
  <c r="U48" i="4" s="1"/>
  <c r="Y47" i="4"/>
  <c r="V47" i="4"/>
  <c r="N47" i="4"/>
  <c r="U47" i="4" s="1"/>
  <c r="Y46" i="4"/>
  <c r="V46" i="4"/>
  <c r="N46" i="4"/>
  <c r="O46" i="4" s="1"/>
  <c r="V45" i="4"/>
  <c r="N45" i="4"/>
  <c r="O45" i="4" s="1"/>
  <c r="V44" i="4"/>
  <c r="N44" i="4"/>
  <c r="Q44" i="4" s="1"/>
  <c r="Y43" i="4"/>
  <c r="V43" i="4"/>
  <c r="N43" i="4"/>
  <c r="Q43" i="4" s="1"/>
  <c r="V41" i="4"/>
  <c r="N41" i="4"/>
  <c r="T41" i="4" s="1"/>
  <c r="Y40" i="4"/>
  <c r="V40" i="4"/>
  <c r="N40" i="4"/>
  <c r="T40" i="4" s="1"/>
  <c r="Y39" i="4"/>
  <c r="V39" i="4"/>
  <c r="I35" i="13" s="1"/>
  <c r="T39" i="4"/>
  <c r="N39" i="4"/>
  <c r="U39" i="4" s="1"/>
  <c r="V38" i="4"/>
  <c r="U38" i="4"/>
  <c r="T38" i="4"/>
  <c r="R38" i="4"/>
  <c r="Q38" i="4"/>
  <c r="P38" i="4"/>
  <c r="O38" i="4"/>
  <c r="N38" i="4"/>
  <c r="Y37" i="4"/>
  <c r="V37" i="4"/>
  <c r="O37" i="4"/>
  <c r="N37" i="4"/>
  <c r="U37" i="4" s="1"/>
  <c r="Y36" i="4"/>
  <c r="V36" i="4"/>
  <c r="N36" i="4"/>
  <c r="P36" i="4" s="1"/>
  <c r="Y35" i="4"/>
  <c r="V35" i="4"/>
  <c r="N35" i="4"/>
  <c r="P35" i="4" s="1"/>
  <c r="V34" i="4"/>
  <c r="N34" i="4"/>
  <c r="R34" i="4" s="1"/>
  <c r="V33" i="4"/>
  <c r="I66" i="13" s="1"/>
  <c r="O33" i="4"/>
  <c r="N33" i="4"/>
  <c r="Y32" i="4"/>
  <c r="V32" i="4"/>
  <c r="N32" i="4"/>
  <c r="V31" i="4"/>
  <c r="N31" i="4"/>
  <c r="U31" i="4" s="1"/>
  <c r="Y30" i="4"/>
  <c r="V30" i="4"/>
  <c r="N30" i="4"/>
  <c r="Y29" i="4"/>
  <c r="V29" i="4"/>
  <c r="U29" i="4"/>
  <c r="T29" i="4"/>
  <c r="R29" i="4"/>
  <c r="Q29" i="4"/>
  <c r="N29" i="4"/>
  <c r="O29" i="4" s="1"/>
  <c r="V28" i="4"/>
  <c r="R28" i="4"/>
  <c r="Q28" i="4"/>
  <c r="N28" i="4"/>
  <c r="U28" i="4" s="1"/>
  <c r="Y27" i="4"/>
  <c r="V27" i="4"/>
  <c r="U27" i="4"/>
  <c r="T27" i="4"/>
  <c r="R27" i="4"/>
  <c r="P27" i="4"/>
  <c r="O27" i="4"/>
  <c r="N27" i="4"/>
  <c r="Q27" i="4" s="1"/>
  <c r="V26" i="4"/>
  <c r="I20" i="13" s="1"/>
  <c r="N26" i="4"/>
  <c r="R26" i="4" s="1"/>
  <c r="Y25" i="4"/>
  <c r="V25" i="4"/>
  <c r="I31" i="13" s="1"/>
  <c r="Q25" i="4"/>
  <c r="N25" i="4"/>
  <c r="O25" i="4" s="1"/>
  <c r="Y24" i="4"/>
  <c r="V24" i="4"/>
  <c r="N24" i="4"/>
  <c r="U24" i="4" s="1"/>
  <c r="Y23" i="4"/>
  <c r="V23" i="4"/>
  <c r="T23" i="4"/>
  <c r="N23" i="4"/>
  <c r="Q23" i="4" s="1"/>
  <c r="V22" i="4"/>
  <c r="T22" i="4"/>
  <c r="R22" i="4"/>
  <c r="Q22" i="4"/>
  <c r="P22" i="4"/>
  <c r="N22" i="4"/>
  <c r="U22" i="4" s="1"/>
  <c r="V21" i="4"/>
  <c r="T21" i="4"/>
  <c r="R21" i="4"/>
  <c r="Q21" i="4"/>
  <c r="N21" i="4"/>
  <c r="U21" i="4" s="1"/>
  <c r="Y19" i="4"/>
  <c r="V19" i="4"/>
  <c r="N19" i="4"/>
  <c r="U19" i="4" s="1"/>
  <c r="Y18" i="4"/>
  <c r="V18" i="4"/>
  <c r="U18" i="4"/>
  <c r="T18" i="4"/>
  <c r="R18" i="4"/>
  <c r="N18" i="4"/>
  <c r="Y17" i="4"/>
  <c r="V17" i="4"/>
  <c r="N17" i="4"/>
  <c r="R17" i="4" s="1"/>
  <c r="V16" i="4"/>
  <c r="I38" i="13" s="1"/>
  <c r="N16" i="4"/>
  <c r="T16" i="4" s="1"/>
  <c r="V15" i="4"/>
  <c r="I15" i="13" s="1"/>
  <c r="N15" i="4"/>
  <c r="P15" i="4" s="1"/>
  <c r="V13" i="4"/>
  <c r="N13" i="4"/>
  <c r="U13" i="4" s="1"/>
  <c r="V12" i="4"/>
  <c r="N12" i="4"/>
  <c r="R12" i="4" s="1"/>
  <c r="Y11" i="4"/>
  <c r="V11" i="4"/>
  <c r="U11" i="4"/>
  <c r="T11" i="4"/>
  <c r="R11" i="4"/>
  <c r="Q11" i="4"/>
  <c r="P11" i="4"/>
  <c r="N11" i="4"/>
  <c r="O11" i="4" s="1"/>
  <c r="V10" i="4"/>
  <c r="R10" i="4"/>
  <c r="N10" i="4"/>
  <c r="U10" i="4" s="1"/>
  <c r="V9" i="4"/>
  <c r="T9" i="4"/>
  <c r="R9" i="4"/>
  <c r="Q9" i="4"/>
  <c r="N9" i="4"/>
  <c r="U9" i="4" s="1"/>
  <c r="Y8" i="4"/>
  <c r="V8" i="4"/>
  <c r="I95" i="13" s="1"/>
  <c r="U8" i="4"/>
  <c r="T8" i="4"/>
  <c r="N8" i="4"/>
  <c r="R8" i="4" s="1"/>
  <c r="Y7" i="4"/>
  <c r="V7" i="4"/>
  <c r="N7" i="4"/>
  <c r="O7" i="4" s="1"/>
  <c r="Y6" i="4"/>
  <c r="V6" i="4"/>
  <c r="N6" i="4"/>
  <c r="U6" i="4" s="1"/>
  <c r="Y5" i="4"/>
  <c r="V5" i="4"/>
  <c r="T5" i="4"/>
  <c r="O5" i="4"/>
  <c r="N5" i="4"/>
  <c r="Q5" i="4" s="1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K62" i="9" s="1"/>
  <c r="I18" i="3"/>
  <c r="H18" i="3"/>
  <c r="M59" i="9" s="1"/>
  <c r="G18" i="3"/>
  <c r="J17" i="3"/>
  <c r="I17" i="3"/>
  <c r="L33" i="9" s="1"/>
  <c r="H17" i="3"/>
  <c r="L46" i="9" s="1"/>
  <c r="G17" i="3"/>
  <c r="J16" i="3"/>
  <c r="I16" i="3"/>
  <c r="H16" i="3"/>
  <c r="M23" i="9" s="1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B11" i="1" s="1"/>
  <c r="B45" i="1"/>
  <c r="B47" i="1" s="1"/>
  <c r="B18" i="1"/>
  <c r="B16" i="1"/>
  <c r="B10" i="1"/>
  <c r="R501" i="6"/>
  <c r="Q501" i="6"/>
  <c r="R500" i="6"/>
  <c r="Q500" i="6"/>
  <c r="R499" i="6"/>
  <c r="Q499" i="6"/>
  <c r="R498" i="6"/>
  <c r="Q498" i="6"/>
  <c r="R497" i="6"/>
  <c r="Q497" i="6"/>
  <c r="R496" i="6"/>
  <c r="Q496" i="6"/>
  <c r="R495" i="6"/>
  <c r="Q495" i="6"/>
  <c r="R494" i="6"/>
  <c r="Q494" i="6"/>
  <c r="R493" i="6"/>
  <c r="Q493" i="6"/>
  <c r="R492" i="6"/>
  <c r="Q492" i="6"/>
  <c r="R491" i="6"/>
  <c r="Q491" i="6"/>
  <c r="R490" i="6"/>
  <c r="Q490" i="6"/>
  <c r="R489" i="6"/>
  <c r="Q489" i="6"/>
  <c r="R488" i="6"/>
  <c r="Q488" i="6"/>
  <c r="R487" i="6"/>
  <c r="Q487" i="6"/>
  <c r="R486" i="6"/>
  <c r="Q486" i="6"/>
  <c r="R485" i="6"/>
  <c r="Q485" i="6"/>
  <c r="R484" i="6"/>
  <c r="Q484" i="6"/>
  <c r="R483" i="6"/>
  <c r="Q483" i="6"/>
  <c r="R482" i="6"/>
  <c r="Q482" i="6"/>
  <c r="R481" i="6"/>
  <c r="Q481" i="6"/>
  <c r="R480" i="6"/>
  <c r="Q480" i="6"/>
  <c r="R479" i="6"/>
  <c r="Q479" i="6"/>
  <c r="R478" i="6"/>
  <c r="Q478" i="6"/>
  <c r="R477" i="6"/>
  <c r="Q477" i="6"/>
  <c r="R476" i="6"/>
  <c r="Q476" i="6"/>
  <c r="R475" i="6"/>
  <c r="Q475" i="6"/>
  <c r="R474" i="6"/>
  <c r="Q474" i="6"/>
  <c r="R473" i="6"/>
  <c r="Q473" i="6"/>
  <c r="R472" i="6"/>
  <c r="Q472" i="6"/>
  <c r="R471" i="6"/>
  <c r="Q471" i="6"/>
  <c r="R470" i="6"/>
  <c r="Q470" i="6"/>
  <c r="R469" i="6"/>
  <c r="Q469" i="6"/>
  <c r="R468" i="6"/>
  <c r="Q468" i="6"/>
  <c r="R467" i="6"/>
  <c r="Q467" i="6"/>
  <c r="R466" i="6"/>
  <c r="Q466" i="6"/>
  <c r="R465" i="6"/>
  <c r="Q465" i="6"/>
  <c r="R464" i="6"/>
  <c r="Q464" i="6"/>
  <c r="R463" i="6"/>
  <c r="Q463" i="6"/>
  <c r="R462" i="6"/>
  <c r="Q462" i="6"/>
  <c r="R461" i="6"/>
  <c r="Q461" i="6"/>
  <c r="R460" i="6"/>
  <c r="Q460" i="6"/>
  <c r="R459" i="6"/>
  <c r="Q459" i="6"/>
  <c r="R458" i="6"/>
  <c r="Q458" i="6"/>
  <c r="R457" i="6"/>
  <c r="Q457" i="6"/>
  <c r="R456" i="6"/>
  <c r="Q456" i="6"/>
  <c r="R455" i="6"/>
  <c r="Q455" i="6"/>
  <c r="R454" i="6"/>
  <c r="Q454" i="6"/>
  <c r="R453" i="6"/>
  <c r="Q453" i="6"/>
  <c r="R452" i="6"/>
  <c r="Q452" i="6"/>
  <c r="R451" i="6"/>
  <c r="Q451" i="6"/>
  <c r="R450" i="6"/>
  <c r="Q450" i="6"/>
  <c r="R449" i="6"/>
  <c r="Q449" i="6"/>
  <c r="R448" i="6"/>
  <c r="Q448" i="6"/>
  <c r="R447" i="6"/>
  <c r="Q447" i="6"/>
  <c r="R446" i="6"/>
  <c r="Q446" i="6"/>
  <c r="R445" i="6"/>
  <c r="Q445" i="6"/>
  <c r="R444" i="6"/>
  <c r="Q444" i="6"/>
  <c r="R443" i="6"/>
  <c r="Q443" i="6"/>
  <c r="R442" i="6"/>
  <c r="Q442" i="6"/>
  <c r="R441" i="6"/>
  <c r="Q441" i="6"/>
  <c r="R440" i="6"/>
  <c r="Q440" i="6"/>
  <c r="R439" i="6"/>
  <c r="Q439" i="6"/>
  <c r="R438" i="6"/>
  <c r="Q438" i="6"/>
  <c r="R437" i="6"/>
  <c r="Q437" i="6"/>
  <c r="R436" i="6"/>
  <c r="Q436" i="6"/>
  <c r="R435" i="6"/>
  <c r="Q435" i="6"/>
  <c r="R434" i="6"/>
  <c r="Q434" i="6"/>
  <c r="R433" i="6"/>
  <c r="Q433" i="6"/>
  <c r="R432" i="6"/>
  <c r="Q432" i="6"/>
  <c r="R431" i="6"/>
  <c r="Q431" i="6"/>
  <c r="R430" i="6"/>
  <c r="Q430" i="6"/>
  <c r="R429" i="6"/>
  <c r="Q429" i="6"/>
  <c r="R428" i="6"/>
  <c r="Q428" i="6"/>
  <c r="R427" i="6"/>
  <c r="Q427" i="6"/>
  <c r="R426" i="6"/>
  <c r="Q426" i="6"/>
  <c r="R425" i="6"/>
  <c r="Q425" i="6"/>
  <c r="R424" i="6"/>
  <c r="Q424" i="6"/>
  <c r="R423" i="6"/>
  <c r="Q423" i="6"/>
  <c r="R422" i="6"/>
  <c r="Q422" i="6"/>
  <c r="R421" i="6"/>
  <c r="Q421" i="6"/>
  <c r="R420" i="6"/>
  <c r="Q420" i="6"/>
  <c r="R419" i="6"/>
  <c r="Q419" i="6"/>
  <c r="R418" i="6"/>
  <c r="Q418" i="6"/>
  <c r="R417" i="6"/>
  <c r="Q417" i="6"/>
  <c r="R416" i="6"/>
  <c r="Q416" i="6"/>
  <c r="R415" i="6"/>
  <c r="Q415" i="6"/>
  <c r="R414" i="6"/>
  <c r="Q414" i="6"/>
  <c r="R413" i="6"/>
  <c r="Q413" i="6"/>
  <c r="R412" i="6"/>
  <c r="Q412" i="6"/>
  <c r="R411" i="6"/>
  <c r="Q411" i="6"/>
  <c r="R410" i="6"/>
  <c r="Q410" i="6"/>
  <c r="R409" i="6"/>
  <c r="Q409" i="6"/>
  <c r="R408" i="6"/>
  <c r="Q408" i="6"/>
  <c r="R407" i="6"/>
  <c r="Q407" i="6"/>
  <c r="R406" i="6"/>
  <c r="Q406" i="6"/>
  <c r="R405" i="6"/>
  <c r="Q405" i="6"/>
  <c r="R404" i="6"/>
  <c r="Q404" i="6"/>
  <c r="R403" i="6"/>
  <c r="Q403" i="6"/>
  <c r="R402" i="6"/>
  <c r="Q402" i="6"/>
  <c r="R401" i="6"/>
  <c r="Q401" i="6"/>
  <c r="R400" i="6"/>
  <c r="Q400" i="6"/>
  <c r="R399" i="6"/>
  <c r="Q399" i="6"/>
  <c r="R398" i="6"/>
  <c r="Q398" i="6"/>
  <c r="R397" i="6"/>
  <c r="Q397" i="6"/>
  <c r="R396" i="6"/>
  <c r="Q396" i="6"/>
  <c r="R395" i="6"/>
  <c r="Q395" i="6"/>
  <c r="R394" i="6"/>
  <c r="Q394" i="6"/>
  <c r="R393" i="6"/>
  <c r="Q393" i="6"/>
  <c r="R392" i="6"/>
  <c r="Q392" i="6"/>
  <c r="R391" i="6"/>
  <c r="Q391" i="6"/>
  <c r="R390" i="6"/>
  <c r="Q390" i="6"/>
  <c r="R389" i="6"/>
  <c r="Q389" i="6"/>
  <c r="R388" i="6"/>
  <c r="Q388" i="6"/>
  <c r="R387" i="6"/>
  <c r="Q387" i="6"/>
  <c r="R386" i="6"/>
  <c r="Q386" i="6"/>
  <c r="R385" i="6"/>
  <c r="Q385" i="6"/>
  <c r="R384" i="6"/>
  <c r="Q384" i="6"/>
  <c r="R383" i="6"/>
  <c r="Q383" i="6"/>
  <c r="R382" i="6"/>
  <c r="Q382" i="6"/>
  <c r="R381" i="6"/>
  <c r="Q381" i="6"/>
  <c r="R380" i="6"/>
  <c r="Q380" i="6"/>
  <c r="R379" i="6"/>
  <c r="Q379" i="6"/>
  <c r="R378" i="6"/>
  <c r="Q378" i="6"/>
  <c r="R377" i="6"/>
  <c r="Q377" i="6"/>
  <c r="R376" i="6"/>
  <c r="Q376" i="6"/>
  <c r="R375" i="6"/>
  <c r="Q375" i="6"/>
  <c r="R374" i="6"/>
  <c r="Q374" i="6"/>
  <c r="R373" i="6"/>
  <c r="Q373" i="6"/>
  <c r="R372" i="6"/>
  <c r="Q372" i="6"/>
  <c r="R371" i="6"/>
  <c r="Q371" i="6"/>
  <c r="R370" i="6"/>
  <c r="Q370" i="6"/>
  <c r="R369" i="6"/>
  <c r="Q369" i="6"/>
  <c r="R368" i="6"/>
  <c r="Q368" i="6"/>
  <c r="R367" i="6"/>
  <c r="Q367" i="6"/>
  <c r="R366" i="6"/>
  <c r="Q366" i="6"/>
  <c r="R365" i="6"/>
  <c r="Q365" i="6"/>
  <c r="R364" i="6"/>
  <c r="Q364" i="6"/>
  <c r="R363" i="6"/>
  <c r="Q363" i="6"/>
  <c r="R362" i="6"/>
  <c r="Q362" i="6"/>
  <c r="R361" i="6"/>
  <c r="Q361" i="6"/>
  <c r="R360" i="6"/>
  <c r="Q360" i="6"/>
  <c r="R359" i="6"/>
  <c r="Q359" i="6"/>
  <c r="R358" i="6"/>
  <c r="Q358" i="6"/>
  <c r="R357" i="6"/>
  <c r="Q357" i="6"/>
  <c r="R356" i="6"/>
  <c r="Q356" i="6"/>
  <c r="R355" i="6"/>
  <c r="Q355" i="6"/>
  <c r="R354" i="6"/>
  <c r="Q354" i="6"/>
  <c r="R353" i="6"/>
  <c r="Q353" i="6"/>
  <c r="R352" i="6"/>
  <c r="Q352" i="6"/>
  <c r="R351" i="6"/>
  <c r="Q351" i="6"/>
  <c r="R350" i="6"/>
  <c r="Q350" i="6"/>
  <c r="R349" i="6"/>
  <c r="Q349" i="6"/>
  <c r="R348" i="6"/>
  <c r="Q348" i="6"/>
  <c r="R347" i="6"/>
  <c r="Q347" i="6"/>
  <c r="R346" i="6"/>
  <c r="Q346" i="6"/>
  <c r="R345" i="6"/>
  <c r="Q345" i="6"/>
  <c r="R344" i="6"/>
  <c r="Q344" i="6"/>
  <c r="R343" i="6"/>
  <c r="Q343" i="6"/>
  <c r="R342" i="6"/>
  <c r="Q342" i="6"/>
  <c r="R341" i="6"/>
  <c r="Q341" i="6"/>
  <c r="R340" i="6"/>
  <c r="Q340" i="6"/>
  <c r="R339" i="6"/>
  <c r="Q339" i="6"/>
  <c r="R338" i="6"/>
  <c r="Q338" i="6"/>
  <c r="R337" i="6"/>
  <c r="Q337" i="6"/>
  <c r="R336" i="6"/>
  <c r="Q336" i="6"/>
  <c r="R335" i="6"/>
  <c r="Q335" i="6"/>
  <c r="R334" i="6"/>
  <c r="Q334" i="6"/>
  <c r="R333" i="6"/>
  <c r="Q333" i="6"/>
  <c r="R332" i="6"/>
  <c r="Q332" i="6"/>
  <c r="R331" i="6"/>
  <c r="Q331" i="6"/>
  <c r="R330" i="6"/>
  <c r="Q330" i="6"/>
  <c r="R329" i="6"/>
  <c r="Q329" i="6"/>
  <c r="R328" i="6"/>
  <c r="Q328" i="6"/>
  <c r="R327" i="6"/>
  <c r="Q327" i="6"/>
  <c r="R326" i="6"/>
  <c r="Q326" i="6"/>
  <c r="R325" i="6"/>
  <c r="Q325" i="6"/>
  <c r="R324" i="6"/>
  <c r="Q324" i="6"/>
  <c r="R323" i="6"/>
  <c r="Q323" i="6"/>
  <c r="R322" i="6"/>
  <c r="Q322" i="6"/>
  <c r="R321" i="6"/>
  <c r="Q321" i="6"/>
  <c r="R320" i="6"/>
  <c r="Q320" i="6"/>
  <c r="R319" i="6"/>
  <c r="Q319" i="6"/>
  <c r="R318" i="6"/>
  <c r="Q318" i="6"/>
  <c r="R317" i="6"/>
  <c r="Q317" i="6"/>
  <c r="R316" i="6"/>
  <c r="Q316" i="6"/>
  <c r="R315" i="6"/>
  <c r="Q315" i="6"/>
  <c r="R314" i="6"/>
  <c r="Q314" i="6"/>
  <c r="R313" i="6"/>
  <c r="Q313" i="6"/>
  <c r="R312" i="6"/>
  <c r="Q312" i="6"/>
  <c r="R311" i="6"/>
  <c r="Q311" i="6"/>
  <c r="R310" i="6"/>
  <c r="Q310" i="6"/>
  <c r="R309" i="6"/>
  <c r="Q309" i="6"/>
  <c r="R308" i="6"/>
  <c r="Q308" i="6"/>
  <c r="R307" i="6"/>
  <c r="Q307" i="6"/>
  <c r="R306" i="6"/>
  <c r="Q306" i="6"/>
  <c r="R305" i="6"/>
  <c r="Q305" i="6"/>
  <c r="R304" i="6"/>
  <c r="Q304" i="6"/>
  <c r="R303" i="6"/>
  <c r="Q303" i="6"/>
  <c r="R302" i="6"/>
  <c r="Q302" i="6"/>
  <c r="R301" i="6"/>
  <c r="Q301" i="6"/>
  <c r="R300" i="6"/>
  <c r="Q300" i="6"/>
  <c r="R299" i="6"/>
  <c r="Q299" i="6"/>
  <c r="R298" i="6"/>
  <c r="Q298" i="6"/>
  <c r="R297" i="6"/>
  <c r="Q297" i="6"/>
  <c r="R296" i="6"/>
  <c r="Q296" i="6"/>
  <c r="R295" i="6"/>
  <c r="Q295" i="6"/>
  <c r="R294" i="6"/>
  <c r="Q294" i="6"/>
  <c r="R293" i="6"/>
  <c r="Q293" i="6"/>
  <c r="R292" i="6"/>
  <c r="Q292" i="6"/>
  <c r="R291" i="6"/>
  <c r="Q291" i="6"/>
  <c r="R290" i="6"/>
  <c r="Q290" i="6"/>
  <c r="R289" i="6"/>
  <c r="Q289" i="6"/>
  <c r="R288" i="6"/>
  <c r="Q288" i="6"/>
  <c r="R287" i="6"/>
  <c r="Q287" i="6"/>
  <c r="R286" i="6"/>
  <c r="Q286" i="6"/>
  <c r="R285" i="6"/>
  <c r="Q285" i="6"/>
  <c r="R284" i="6"/>
  <c r="Q284" i="6"/>
  <c r="R283" i="6"/>
  <c r="Q283" i="6"/>
  <c r="R282" i="6"/>
  <c r="Q282" i="6"/>
  <c r="R281" i="6"/>
  <c r="Q281" i="6"/>
  <c r="R280" i="6"/>
  <c r="Q280" i="6"/>
  <c r="R279" i="6"/>
  <c r="Q279" i="6"/>
  <c r="R278" i="6"/>
  <c r="Q278" i="6"/>
  <c r="R277" i="6"/>
  <c r="Q277" i="6"/>
  <c r="R276" i="6"/>
  <c r="Q276" i="6"/>
  <c r="R275" i="6"/>
  <c r="Q275" i="6"/>
  <c r="R274" i="6"/>
  <c r="Q274" i="6"/>
  <c r="R273" i="6"/>
  <c r="Q273" i="6"/>
  <c r="R272" i="6"/>
  <c r="Q272" i="6"/>
  <c r="R271" i="6"/>
  <c r="Q271" i="6"/>
  <c r="R270" i="6"/>
  <c r="Q270" i="6"/>
  <c r="R269" i="6"/>
  <c r="Q269" i="6"/>
  <c r="R268" i="6"/>
  <c r="Q268" i="6"/>
  <c r="R267" i="6"/>
  <c r="Q267" i="6"/>
  <c r="R266" i="6"/>
  <c r="Q266" i="6"/>
  <c r="R265" i="6"/>
  <c r="Q265" i="6"/>
  <c r="R264" i="6"/>
  <c r="Q264" i="6"/>
  <c r="R263" i="6"/>
  <c r="Q263" i="6"/>
  <c r="R262" i="6"/>
  <c r="Q262" i="6"/>
  <c r="R261" i="6"/>
  <c r="Q261" i="6"/>
  <c r="R260" i="6"/>
  <c r="Q260" i="6"/>
  <c r="R259" i="6"/>
  <c r="Q259" i="6"/>
  <c r="R258" i="6"/>
  <c r="Q258" i="6"/>
  <c r="R257" i="6"/>
  <c r="Q257" i="6"/>
  <c r="R256" i="6"/>
  <c r="Q256" i="6"/>
  <c r="R255" i="6"/>
  <c r="Q255" i="6"/>
  <c r="R254" i="6"/>
  <c r="Q254" i="6"/>
  <c r="R253" i="6"/>
  <c r="Q253" i="6"/>
  <c r="R252" i="6"/>
  <c r="Q252" i="6"/>
  <c r="R251" i="6"/>
  <c r="Q251" i="6"/>
  <c r="R250" i="6"/>
  <c r="Q250" i="6"/>
  <c r="R249" i="6"/>
  <c r="Q249" i="6"/>
  <c r="R248" i="6"/>
  <c r="Q248" i="6"/>
  <c r="R247" i="6"/>
  <c r="Q247" i="6"/>
  <c r="R246" i="6"/>
  <c r="Q246" i="6"/>
  <c r="R245" i="6"/>
  <c r="Q245" i="6"/>
  <c r="R244" i="6"/>
  <c r="Q244" i="6"/>
  <c r="R243" i="6"/>
  <c r="Q243" i="6"/>
  <c r="R242" i="6"/>
  <c r="Q242" i="6"/>
  <c r="R241" i="6"/>
  <c r="Q241" i="6"/>
  <c r="R240" i="6"/>
  <c r="Q240" i="6"/>
  <c r="R239" i="6"/>
  <c r="Q239" i="6"/>
  <c r="R238" i="6"/>
  <c r="Q238" i="6"/>
  <c r="R237" i="6"/>
  <c r="Q237" i="6"/>
  <c r="R236" i="6"/>
  <c r="Q236" i="6"/>
  <c r="R235" i="6"/>
  <c r="Q235" i="6"/>
  <c r="R234" i="6"/>
  <c r="Q234" i="6"/>
  <c r="R233" i="6"/>
  <c r="Q233" i="6"/>
  <c r="R232" i="6"/>
  <c r="Q232" i="6"/>
  <c r="R231" i="6"/>
  <c r="Q231" i="6"/>
  <c r="R230" i="6"/>
  <c r="Q230" i="6"/>
  <c r="R229" i="6"/>
  <c r="Q229" i="6"/>
  <c r="R228" i="6"/>
  <c r="Q228" i="6"/>
  <c r="R227" i="6"/>
  <c r="Q227" i="6"/>
  <c r="R226" i="6"/>
  <c r="Q226" i="6"/>
  <c r="R225" i="6"/>
  <c r="Q225" i="6"/>
  <c r="R224" i="6"/>
  <c r="Q224" i="6"/>
  <c r="R223" i="6"/>
  <c r="Q223" i="6"/>
  <c r="R222" i="6"/>
  <c r="Q222" i="6"/>
  <c r="R221" i="6"/>
  <c r="Q221" i="6"/>
  <c r="R220" i="6"/>
  <c r="Q220" i="6"/>
  <c r="R219" i="6"/>
  <c r="Q219" i="6"/>
  <c r="R218" i="6"/>
  <c r="Q218" i="6"/>
  <c r="R217" i="6"/>
  <c r="Q217" i="6"/>
  <c r="R216" i="6"/>
  <c r="Q216" i="6"/>
  <c r="R215" i="6"/>
  <c r="Q215" i="6"/>
  <c r="R214" i="6"/>
  <c r="Q214" i="6"/>
  <c r="R213" i="6"/>
  <c r="Q213" i="6"/>
  <c r="R212" i="6"/>
  <c r="Q212" i="6"/>
  <c r="R211" i="6"/>
  <c r="Q211" i="6"/>
  <c r="R210" i="6"/>
  <c r="Q210" i="6"/>
  <c r="R209" i="6"/>
  <c r="Q209" i="6"/>
  <c r="R208" i="6"/>
  <c r="Q208" i="6"/>
  <c r="R207" i="6"/>
  <c r="Q207" i="6"/>
  <c r="R206" i="6"/>
  <c r="Q206" i="6"/>
  <c r="R205" i="6"/>
  <c r="Q205" i="6"/>
  <c r="R204" i="6"/>
  <c r="Q204" i="6"/>
  <c r="R203" i="6"/>
  <c r="Q203" i="6"/>
  <c r="R202" i="6"/>
  <c r="Q202" i="6"/>
  <c r="R201" i="6"/>
  <c r="Q201" i="6"/>
  <c r="R200" i="6"/>
  <c r="Q200" i="6"/>
  <c r="R199" i="6"/>
  <c r="Q199" i="6"/>
  <c r="R198" i="6"/>
  <c r="Q198" i="6"/>
  <c r="R197" i="6"/>
  <c r="Q197" i="6"/>
  <c r="R196" i="6"/>
  <c r="Q196" i="6"/>
  <c r="R195" i="6"/>
  <c r="Q195" i="6"/>
  <c r="R194" i="6"/>
  <c r="Q194" i="6"/>
  <c r="R193" i="6"/>
  <c r="Q193" i="6"/>
  <c r="R192" i="6"/>
  <c r="Q192" i="6"/>
  <c r="R191" i="6"/>
  <c r="Q191" i="6"/>
  <c r="R190" i="6"/>
  <c r="Q190" i="6"/>
  <c r="R189" i="6"/>
  <c r="Q189" i="6"/>
  <c r="R188" i="6"/>
  <c r="Q188" i="6"/>
  <c r="R187" i="6"/>
  <c r="Q187" i="6"/>
  <c r="R186" i="6"/>
  <c r="Q186" i="6"/>
  <c r="R185" i="6"/>
  <c r="Q185" i="6"/>
  <c r="R184" i="6"/>
  <c r="Q184" i="6"/>
  <c r="R183" i="6"/>
  <c r="Q183" i="6"/>
  <c r="R182" i="6"/>
  <c r="Q182" i="6"/>
  <c r="R181" i="6"/>
  <c r="Q181" i="6"/>
  <c r="R180" i="6"/>
  <c r="Q180" i="6"/>
  <c r="R179" i="6"/>
  <c r="Q179" i="6"/>
  <c r="R178" i="6"/>
  <c r="Q178" i="6"/>
  <c r="R177" i="6"/>
  <c r="Q177" i="6"/>
  <c r="R176" i="6"/>
  <c r="Q176" i="6"/>
  <c r="R175" i="6"/>
  <c r="Q175" i="6"/>
  <c r="R174" i="6"/>
  <c r="Q174" i="6"/>
  <c r="R173" i="6"/>
  <c r="Q173" i="6"/>
  <c r="R172" i="6"/>
  <c r="Q172" i="6"/>
  <c r="R171" i="6"/>
  <c r="Q171" i="6"/>
  <c r="R170" i="6"/>
  <c r="Q170" i="6"/>
  <c r="R169" i="6"/>
  <c r="Q169" i="6"/>
  <c r="R168" i="6"/>
  <c r="Q168" i="6"/>
  <c r="R167" i="6"/>
  <c r="Q167" i="6"/>
  <c r="R166" i="6"/>
  <c r="Q166" i="6"/>
  <c r="R165" i="6"/>
  <c r="Q165" i="6"/>
  <c r="R164" i="6"/>
  <c r="Q164" i="6"/>
  <c r="R163" i="6"/>
  <c r="Q163" i="6"/>
  <c r="R162" i="6"/>
  <c r="Q162" i="6"/>
  <c r="R161" i="6"/>
  <c r="Q161" i="6"/>
  <c r="R160" i="6"/>
  <c r="Q160" i="6"/>
  <c r="R159" i="6"/>
  <c r="Q159" i="6"/>
  <c r="R158" i="6"/>
  <c r="Q158" i="6"/>
  <c r="R157" i="6"/>
  <c r="Q157" i="6"/>
  <c r="R156" i="6"/>
  <c r="Q156" i="6"/>
  <c r="R155" i="6"/>
  <c r="Q155" i="6"/>
  <c r="R154" i="6"/>
  <c r="Q154" i="6"/>
  <c r="R153" i="6"/>
  <c r="Q153" i="6"/>
  <c r="R152" i="6"/>
  <c r="Q152" i="6"/>
  <c r="R151" i="6"/>
  <c r="Q151" i="6"/>
  <c r="R150" i="6"/>
  <c r="Q150" i="6"/>
  <c r="R149" i="6"/>
  <c r="Q149" i="6"/>
  <c r="R148" i="6"/>
  <c r="Q148" i="6"/>
  <c r="R147" i="6"/>
  <c r="Q147" i="6"/>
  <c r="R146" i="6"/>
  <c r="Q146" i="6"/>
  <c r="R145" i="6"/>
  <c r="Q145" i="6"/>
  <c r="R144" i="6"/>
  <c r="Q144" i="6"/>
  <c r="R143" i="6"/>
  <c r="Q143" i="6"/>
  <c r="R142" i="6"/>
  <c r="Q142" i="6"/>
  <c r="R141" i="6"/>
  <c r="Q141" i="6"/>
  <c r="R140" i="6"/>
  <c r="Q140" i="6"/>
  <c r="R139" i="6"/>
  <c r="Q139" i="6"/>
  <c r="R138" i="6"/>
  <c r="Q138" i="6"/>
  <c r="R137" i="6"/>
  <c r="Q137" i="6"/>
  <c r="R136" i="6"/>
  <c r="Q136" i="6"/>
  <c r="R135" i="6"/>
  <c r="Q135" i="6"/>
  <c r="R134" i="6"/>
  <c r="Q134" i="6"/>
  <c r="R133" i="6"/>
  <c r="Q133" i="6"/>
  <c r="R132" i="6"/>
  <c r="Q132" i="6"/>
  <c r="R131" i="6"/>
  <c r="Q131" i="6"/>
  <c r="R130" i="6"/>
  <c r="Q130" i="6"/>
  <c r="R129" i="6"/>
  <c r="Q129" i="6"/>
  <c r="R128" i="6"/>
  <c r="Q128" i="6"/>
  <c r="R127" i="6"/>
  <c r="Q127" i="6"/>
  <c r="R126" i="6"/>
  <c r="Q126" i="6"/>
  <c r="R125" i="6"/>
  <c r="Q125" i="6"/>
  <c r="R124" i="6"/>
  <c r="Q124" i="6"/>
  <c r="R123" i="6"/>
  <c r="Q123" i="6"/>
  <c r="R122" i="6"/>
  <c r="Q122" i="6"/>
  <c r="R121" i="6"/>
  <c r="Q121" i="6"/>
  <c r="R120" i="6"/>
  <c r="Q120" i="6"/>
  <c r="R119" i="6"/>
  <c r="Q119" i="6"/>
  <c r="R118" i="6"/>
  <c r="Q118" i="6"/>
  <c r="R117" i="6"/>
  <c r="Q117" i="6"/>
  <c r="R116" i="6"/>
  <c r="Q116" i="6"/>
  <c r="R115" i="6"/>
  <c r="Q115" i="6"/>
  <c r="R114" i="6"/>
  <c r="Q114" i="6"/>
  <c r="R113" i="6"/>
  <c r="Q113" i="6"/>
  <c r="R112" i="6"/>
  <c r="Q112" i="6"/>
  <c r="R111" i="6"/>
  <c r="Q111" i="6"/>
  <c r="R110" i="6"/>
  <c r="Q110" i="6"/>
  <c r="R109" i="6"/>
  <c r="Q109" i="6"/>
  <c r="R108" i="6"/>
  <c r="Q108" i="6"/>
  <c r="R107" i="6"/>
  <c r="Q107" i="6"/>
  <c r="R106" i="6"/>
  <c r="Q106" i="6"/>
  <c r="R105" i="6"/>
  <c r="Q105" i="6"/>
  <c r="R104" i="6"/>
  <c r="Q104" i="6"/>
  <c r="R103" i="6"/>
  <c r="Q103" i="6"/>
  <c r="R102" i="6"/>
  <c r="Q102" i="6"/>
  <c r="R101" i="6"/>
  <c r="Q101" i="6"/>
  <c r="R100" i="6"/>
  <c r="Q100" i="6"/>
  <c r="R99" i="6"/>
  <c r="Q99" i="6"/>
  <c r="R98" i="6"/>
  <c r="Q98" i="6"/>
  <c r="R97" i="6"/>
  <c r="Q97" i="6"/>
  <c r="R96" i="6"/>
  <c r="Q96" i="6"/>
  <c r="R95" i="6"/>
  <c r="Q95" i="6"/>
  <c r="R94" i="6"/>
  <c r="Q94" i="6"/>
  <c r="R93" i="6"/>
  <c r="Q93" i="6"/>
  <c r="R92" i="6"/>
  <c r="Q92" i="6"/>
  <c r="R91" i="6"/>
  <c r="Q91" i="6"/>
  <c r="R90" i="6"/>
  <c r="Q90" i="6"/>
  <c r="R89" i="6"/>
  <c r="Q89" i="6"/>
  <c r="R88" i="6"/>
  <c r="Q88" i="6"/>
  <c r="R87" i="6"/>
  <c r="Q87" i="6"/>
  <c r="R86" i="6"/>
  <c r="Q86" i="6"/>
  <c r="R85" i="6"/>
  <c r="Q85" i="6"/>
  <c r="R84" i="6"/>
  <c r="Q84" i="6"/>
  <c r="R83" i="6"/>
  <c r="Q83" i="6"/>
  <c r="R82" i="6"/>
  <c r="Q82" i="6"/>
  <c r="R81" i="6"/>
  <c r="Q81" i="6"/>
  <c r="R80" i="6"/>
  <c r="Q80" i="6"/>
  <c r="R79" i="6"/>
  <c r="Q79" i="6"/>
  <c r="R78" i="6"/>
  <c r="Q78" i="6"/>
  <c r="R77" i="6"/>
  <c r="Q77" i="6"/>
  <c r="R76" i="6"/>
  <c r="Q76" i="6"/>
  <c r="R75" i="6"/>
  <c r="Q75" i="6"/>
  <c r="R74" i="6"/>
  <c r="Q74" i="6"/>
  <c r="R73" i="6"/>
  <c r="Q73" i="6"/>
  <c r="R72" i="6"/>
  <c r="Q72" i="6"/>
  <c r="R71" i="6"/>
  <c r="Q71" i="6"/>
  <c r="R70" i="6"/>
  <c r="Q70" i="6"/>
  <c r="R69" i="6"/>
  <c r="Q69" i="6"/>
  <c r="R68" i="6"/>
  <c r="Q68" i="6"/>
  <c r="R67" i="6"/>
  <c r="Q67" i="6"/>
  <c r="R66" i="6"/>
  <c r="Q66" i="6"/>
  <c r="R65" i="6"/>
  <c r="Q65" i="6"/>
  <c r="R64" i="6"/>
  <c r="Q64" i="6"/>
  <c r="R63" i="6"/>
  <c r="Q63" i="6"/>
  <c r="R62" i="6"/>
  <c r="Q62" i="6"/>
  <c r="R61" i="6"/>
  <c r="Q61" i="6"/>
  <c r="R60" i="6"/>
  <c r="Q60" i="6"/>
  <c r="R59" i="6"/>
  <c r="Q59" i="6"/>
  <c r="R58" i="6"/>
  <c r="Q58" i="6"/>
  <c r="R57" i="6"/>
  <c r="Q57" i="6"/>
  <c r="R56" i="6"/>
  <c r="Q56" i="6"/>
  <c r="R55" i="6"/>
  <c r="Q55" i="6"/>
  <c r="R54" i="6"/>
  <c r="Q54" i="6"/>
  <c r="R53" i="6"/>
  <c r="Q53" i="6"/>
  <c r="R52" i="6"/>
  <c r="Q52" i="6"/>
  <c r="R51" i="6"/>
  <c r="Q51" i="6"/>
  <c r="R50" i="6"/>
  <c r="Q50" i="6"/>
  <c r="R49" i="6"/>
  <c r="Q49" i="6"/>
  <c r="R48" i="6"/>
  <c r="Q48" i="6"/>
  <c r="R47" i="6"/>
  <c r="Q47" i="6"/>
  <c r="R46" i="6"/>
  <c r="Q46" i="6"/>
  <c r="R45" i="6"/>
  <c r="Q45" i="6"/>
  <c r="R44" i="6"/>
  <c r="Q44" i="6"/>
  <c r="R43" i="6"/>
  <c r="Q43" i="6"/>
  <c r="R42" i="6"/>
  <c r="Q42" i="6"/>
  <c r="R41" i="6"/>
  <c r="Q41" i="6"/>
  <c r="R40" i="6"/>
  <c r="Q40" i="6"/>
  <c r="R39" i="6"/>
  <c r="Q39" i="6"/>
  <c r="R38" i="6"/>
  <c r="Q38" i="6"/>
  <c r="R37" i="6"/>
  <c r="Q37" i="6"/>
  <c r="R36" i="6"/>
  <c r="Q36" i="6"/>
  <c r="R35" i="6"/>
  <c r="Q35" i="6"/>
  <c r="R34" i="6"/>
  <c r="Q34" i="6"/>
  <c r="R33" i="6"/>
  <c r="Q33" i="6"/>
  <c r="R32" i="6"/>
  <c r="Q32" i="6"/>
  <c r="R31" i="6"/>
  <c r="Q31" i="6"/>
  <c r="R30" i="6"/>
  <c r="Q30" i="6"/>
  <c r="R29" i="6"/>
  <c r="Q29" i="6"/>
  <c r="R28" i="6"/>
  <c r="Q28" i="6"/>
  <c r="R27" i="6"/>
  <c r="Q27" i="6"/>
  <c r="R26" i="6"/>
  <c r="Q26" i="6"/>
  <c r="R25" i="6"/>
  <c r="Q25" i="6"/>
  <c r="R24" i="6"/>
  <c r="Q24" i="6"/>
  <c r="R23" i="6"/>
  <c r="Q23" i="6"/>
  <c r="R22" i="6"/>
  <c r="Q22" i="6"/>
  <c r="R21" i="6"/>
  <c r="Q21" i="6"/>
  <c r="R20" i="6"/>
  <c r="Q20" i="6"/>
  <c r="R19" i="6"/>
  <c r="Q19" i="6"/>
  <c r="R18" i="6"/>
  <c r="Q18" i="6"/>
  <c r="R17" i="6"/>
  <c r="Q17" i="6"/>
  <c r="R16" i="6"/>
  <c r="Q16" i="6"/>
  <c r="R15" i="6"/>
  <c r="Q15" i="6"/>
  <c r="R14" i="6"/>
  <c r="Q14" i="6"/>
  <c r="R13" i="6"/>
  <c r="Q13" i="6"/>
  <c r="R12" i="6"/>
  <c r="Q12" i="6"/>
  <c r="R11" i="6"/>
  <c r="Q11" i="6"/>
  <c r="R10" i="6"/>
  <c r="Q10" i="6"/>
  <c r="R9" i="6"/>
  <c r="Q9" i="6"/>
  <c r="R8" i="6"/>
  <c r="Q8" i="6"/>
  <c r="R7" i="6"/>
  <c r="Q7" i="6"/>
  <c r="R6" i="6"/>
  <c r="Q6" i="6"/>
  <c r="R5" i="6"/>
  <c r="Q5" i="6"/>
  <c r="R4" i="6"/>
  <c r="Q4" i="6"/>
  <c r="R3" i="6"/>
  <c r="Q3" i="6"/>
  <c r="R2" i="6"/>
  <c r="Q2" i="6"/>
  <c r="U163" i="4" l="1"/>
  <c r="T163" i="4"/>
  <c r="R163" i="4"/>
  <c r="Q163" i="4"/>
  <c r="U33" i="4"/>
  <c r="R33" i="4"/>
  <c r="U101" i="4"/>
  <c r="R101" i="4"/>
  <c r="P101" i="4"/>
  <c r="I127" i="13"/>
  <c r="Y221" i="4"/>
  <c r="I135" i="13"/>
  <c r="R51" i="4"/>
  <c r="P51" i="4"/>
  <c r="O170" i="4"/>
  <c r="O201" i="4"/>
  <c r="Y218" i="4"/>
  <c r="Y211" i="4"/>
  <c r="R41" i="4"/>
  <c r="T51" i="4"/>
  <c r="U51" i="4"/>
  <c r="T66" i="4"/>
  <c r="U112" i="4"/>
  <c r="T112" i="4"/>
  <c r="R112" i="4"/>
  <c r="P143" i="4"/>
  <c r="R201" i="4"/>
  <c r="O213" i="4"/>
  <c r="Y223" i="4"/>
  <c r="Y68" i="4"/>
  <c r="U91" i="4"/>
  <c r="Q91" i="4"/>
  <c r="U156" i="4"/>
  <c r="R156" i="4"/>
  <c r="P156" i="4"/>
  <c r="P209" i="4"/>
  <c r="O209" i="4"/>
  <c r="P213" i="4"/>
  <c r="K3" i="15"/>
  <c r="L3" i="15" s="1"/>
  <c r="P3" i="15" s="1"/>
  <c r="Q3" i="15" s="1"/>
  <c r="U128" i="4"/>
  <c r="U143" i="4"/>
  <c r="T143" i="4"/>
  <c r="U151" i="4"/>
  <c r="T151" i="4"/>
  <c r="R151" i="4"/>
  <c r="Q151" i="4"/>
  <c r="P151" i="4"/>
  <c r="Q51" i="4"/>
  <c r="T54" i="4"/>
  <c r="U54" i="4"/>
  <c r="Q54" i="4"/>
  <c r="R54" i="4"/>
  <c r="P54" i="4"/>
  <c r="O54" i="4"/>
  <c r="R30" i="4"/>
  <c r="U30" i="4"/>
  <c r="O55" i="4"/>
  <c r="U149" i="4"/>
  <c r="T149" i="4"/>
  <c r="R149" i="4"/>
  <c r="P30" i="4"/>
  <c r="O35" i="4"/>
  <c r="Q55" i="4"/>
  <c r="U68" i="4"/>
  <c r="T68" i="4"/>
  <c r="Q68" i="4"/>
  <c r="P68" i="4"/>
  <c r="O68" i="4"/>
  <c r="T109" i="4"/>
  <c r="U109" i="4"/>
  <c r="Q109" i="4"/>
  <c r="U122" i="4"/>
  <c r="O149" i="4"/>
  <c r="T167" i="4"/>
  <c r="U167" i="4"/>
  <c r="R167" i="4"/>
  <c r="Q167" i="4"/>
  <c r="P167" i="4"/>
  <c r="R209" i="4"/>
  <c r="U218" i="4"/>
  <c r="T218" i="4"/>
  <c r="R218" i="4"/>
  <c r="Q218" i="4"/>
  <c r="O30" i="4"/>
  <c r="Q125" i="4"/>
  <c r="T125" i="4"/>
  <c r="O16" i="4"/>
  <c r="Q88" i="4"/>
  <c r="U16" i="4"/>
  <c r="R55" i="4"/>
  <c r="R59" i="4"/>
  <c r="P84" i="4"/>
  <c r="O109" i="4"/>
  <c r="R117" i="4"/>
  <c r="P117" i="4"/>
  <c r="T132" i="4"/>
  <c r="U132" i="4"/>
  <c r="R132" i="4"/>
  <c r="P149" i="4"/>
  <c r="O167" i="4"/>
  <c r="U199" i="4"/>
  <c r="T199" i="4"/>
  <c r="R199" i="4"/>
  <c r="Q199" i="4"/>
  <c r="P199" i="4"/>
  <c r="T209" i="4"/>
  <c r="Y151" i="4"/>
  <c r="Q149" i="4"/>
  <c r="U165" i="4"/>
  <c r="T165" i="4"/>
  <c r="R165" i="4"/>
  <c r="I314" i="13"/>
  <c r="I244" i="13"/>
  <c r="U209" i="4"/>
  <c r="I187" i="13"/>
  <c r="O36" i="4"/>
  <c r="P165" i="4"/>
  <c r="T179" i="4"/>
  <c r="U179" i="4"/>
  <c r="Q179" i="4"/>
  <c r="O179" i="4"/>
  <c r="Y34" i="4"/>
  <c r="Y143" i="4"/>
  <c r="T201" i="4"/>
  <c r="U201" i="4"/>
  <c r="P33" i="4"/>
  <c r="T115" i="4"/>
  <c r="R115" i="4"/>
  <c r="U115" i="4"/>
  <c r="Q115" i="4"/>
  <c r="P115" i="4"/>
  <c r="P53" i="4"/>
  <c r="R53" i="4"/>
  <c r="T96" i="4"/>
  <c r="U96" i="4"/>
  <c r="Q96" i="4"/>
  <c r="R96" i="4"/>
  <c r="P96" i="4"/>
  <c r="O96" i="4"/>
  <c r="O9" i="4"/>
  <c r="P18" i="4"/>
  <c r="O18" i="4"/>
  <c r="U25" i="4"/>
  <c r="U32" i="4"/>
  <c r="R32" i="4"/>
  <c r="T46" i="4"/>
  <c r="Q53" i="4"/>
  <c r="U73" i="4"/>
  <c r="T73" i="4"/>
  <c r="R73" i="4"/>
  <c r="Q73" i="4"/>
  <c r="P73" i="4"/>
  <c r="T77" i="4"/>
  <c r="O77" i="4"/>
  <c r="P80" i="4"/>
  <c r="U220" i="4"/>
  <c r="R220" i="4"/>
  <c r="T220" i="4"/>
  <c r="Q220" i="4"/>
  <c r="P220" i="4"/>
  <c r="Y144" i="4"/>
  <c r="R36" i="4"/>
  <c r="P9" i="4"/>
  <c r="Q18" i="4"/>
  <c r="O22" i="4"/>
  <c r="T53" i="4"/>
  <c r="O73" i="4"/>
  <c r="P77" i="4"/>
  <c r="R80" i="4"/>
  <c r="T90" i="4"/>
  <c r="Q90" i="4"/>
  <c r="U94" i="4"/>
  <c r="T94" i="4"/>
  <c r="R94" i="4"/>
  <c r="Q94" i="4"/>
  <c r="R169" i="4"/>
  <c r="P169" i="4"/>
  <c r="N79" i="9"/>
  <c r="O79" i="9" s="1"/>
  <c r="Y44" i="4"/>
  <c r="L6" i="15"/>
  <c r="U222" i="4"/>
  <c r="D9" i="5"/>
  <c r="D16" i="5"/>
  <c r="G16" i="5" s="1"/>
  <c r="D27" i="5"/>
  <c r="I80" i="13"/>
  <c r="I286" i="13"/>
  <c r="G46" i="5"/>
  <c r="N82" i="9"/>
  <c r="O82" i="9" s="1"/>
  <c r="I113" i="13"/>
  <c r="L113" i="13" s="1"/>
  <c r="I150" i="13"/>
  <c r="L150" i="13" s="1"/>
  <c r="I181" i="13"/>
  <c r="O48" i="4"/>
  <c r="P50" i="4"/>
  <c r="R52" i="4"/>
  <c r="T56" i="4"/>
  <c r="T60" i="4"/>
  <c r="R140" i="4"/>
  <c r="O147" i="4"/>
  <c r="Q158" i="4"/>
  <c r="P161" i="4"/>
  <c r="Q185" i="4"/>
  <c r="T26" i="4"/>
  <c r="P37" i="4"/>
  <c r="Q103" i="4"/>
  <c r="O107" i="4"/>
  <c r="Q123" i="4"/>
  <c r="P129" i="4"/>
  <c r="U7" i="4"/>
  <c r="U26" i="4"/>
  <c r="Q89" i="4"/>
  <c r="I122" i="13"/>
  <c r="J122" i="13" s="1"/>
  <c r="Q7" i="4"/>
  <c r="O12" i="4"/>
  <c r="Q208" i="4"/>
  <c r="P211" i="4"/>
  <c r="Q214" i="4"/>
  <c r="T123" i="4"/>
  <c r="Q129" i="4"/>
  <c r="O131" i="4"/>
  <c r="T140" i="4"/>
  <c r="O144" i="4"/>
  <c r="Q147" i="4"/>
  <c r="U158" i="4"/>
  <c r="R161" i="4"/>
  <c r="P203" i="4"/>
  <c r="R208" i="4"/>
  <c r="U214" i="4"/>
  <c r="I91" i="13"/>
  <c r="Q31" i="4"/>
  <c r="Q34" i="4"/>
  <c r="R37" i="4"/>
  <c r="Q39" i="4"/>
  <c r="T44" i="4"/>
  <c r="Q48" i="4"/>
  <c r="T50" i="4"/>
  <c r="U52" i="4"/>
  <c r="O64" i="4"/>
  <c r="T76" i="4"/>
  <c r="T81" i="4"/>
  <c r="T89" i="4"/>
  <c r="O93" i="4"/>
  <c r="T107" i="4"/>
  <c r="P111" i="4"/>
  <c r="R129" i="4"/>
  <c r="P131" i="4"/>
  <c r="P144" i="4"/>
  <c r="U147" i="4"/>
  <c r="I162" i="13"/>
  <c r="J162" i="13" s="1"/>
  <c r="T161" i="4"/>
  <c r="U171" i="4"/>
  <c r="P177" i="4"/>
  <c r="U187" i="4"/>
  <c r="T191" i="4"/>
  <c r="T208" i="4"/>
  <c r="I321" i="13"/>
  <c r="D18" i="5"/>
  <c r="G18" i="5" s="1"/>
  <c r="D29" i="5"/>
  <c r="G29" i="5" s="1"/>
  <c r="N88" i="9"/>
  <c r="O88" i="9" s="1"/>
  <c r="L386" i="13"/>
  <c r="T71" i="4"/>
  <c r="Q76" i="4"/>
  <c r="Q78" i="4"/>
  <c r="P12" i="4"/>
  <c r="P17" i="4"/>
  <c r="P31" i="4"/>
  <c r="O34" i="4"/>
  <c r="Q37" i="4"/>
  <c r="O39" i="4"/>
  <c r="P48" i="4"/>
  <c r="Q50" i="4"/>
  <c r="T52" i="4"/>
  <c r="U71" i="4"/>
  <c r="R76" i="4"/>
  <c r="R78" i="4"/>
  <c r="R81" i="4"/>
  <c r="O111" i="4"/>
  <c r="O177" i="4"/>
  <c r="U185" i="4"/>
  <c r="T187" i="4"/>
  <c r="P191" i="4"/>
  <c r="T211" i="4"/>
  <c r="I203" i="13"/>
  <c r="N92" i="9"/>
  <c r="O92" i="9" s="1"/>
  <c r="L307" i="13"/>
  <c r="U12" i="4"/>
  <c r="T17" i="4"/>
  <c r="O21" i="4"/>
  <c r="Q10" i="4"/>
  <c r="U17" i="4"/>
  <c r="P21" i="4"/>
  <c r="O23" i="4"/>
  <c r="P29" i="4"/>
  <c r="T31" i="4"/>
  <c r="T37" i="4"/>
  <c r="R39" i="4"/>
  <c r="I233" i="13"/>
  <c r="R48" i="4"/>
  <c r="U50" i="4"/>
  <c r="I417" i="13"/>
  <c r="P64" i="4"/>
  <c r="Q111" i="4"/>
  <c r="T129" i="4"/>
  <c r="Q131" i="4"/>
  <c r="Q144" i="4"/>
  <c r="Q177" i="4"/>
  <c r="U208" i="4"/>
  <c r="Y220" i="4"/>
  <c r="D19" i="5"/>
  <c r="G19" i="5" s="1"/>
  <c r="T48" i="4"/>
  <c r="R144" i="4"/>
  <c r="D21" i="5"/>
  <c r="G21" i="5" s="1"/>
  <c r="D30" i="5"/>
  <c r="K30" i="5" s="1"/>
  <c r="N93" i="9"/>
  <c r="O93" i="9" s="1"/>
  <c r="H32" i="5"/>
  <c r="I116" i="13"/>
  <c r="L116" i="13" s="1"/>
  <c r="L5" i="15"/>
  <c r="Q105" i="4"/>
  <c r="Q182" i="4"/>
  <c r="P188" i="4"/>
  <c r="P193" i="4"/>
  <c r="U204" i="4"/>
  <c r="D13" i="5"/>
  <c r="K13" i="5" s="1"/>
  <c r="K49" i="5" s="1"/>
  <c r="U182" i="4"/>
  <c r="Q188" i="4"/>
  <c r="L126" i="13"/>
  <c r="L35" i="13"/>
  <c r="J35" i="13"/>
  <c r="I82" i="13"/>
  <c r="I62" i="13"/>
  <c r="I47" i="13"/>
  <c r="I13" i="13"/>
  <c r="I72" i="13"/>
  <c r="J8" i="10"/>
  <c r="H6" i="10"/>
  <c r="I7" i="10"/>
  <c r="H7" i="10"/>
  <c r="J4" i="10"/>
  <c r="I8" i="10"/>
  <c r="H8" i="10"/>
  <c r="J5" i="10"/>
  <c r="I4" i="10"/>
  <c r="H4" i="10"/>
  <c r="J7" i="10"/>
  <c r="J6" i="10"/>
  <c r="I6" i="10"/>
  <c r="I5" i="10"/>
  <c r="H5" i="10"/>
  <c r="L7" i="9"/>
  <c r="M14" i="9"/>
  <c r="L14" i="9"/>
  <c r="K14" i="9"/>
  <c r="M7" i="9"/>
  <c r="K7" i="9"/>
  <c r="M72" i="9"/>
  <c r="L72" i="9"/>
  <c r="R5" i="4"/>
  <c r="P7" i="4"/>
  <c r="I14" i="13"/>
  <c r="I4" i="13"/>
  <c r="I36" i="13"/>
  <c r="T12" i="4"/>
  <c r="Q15" i="4"/>
  <c r="O17" i="4"/>
  <c r="R23" i="4"/>
  <c r="P25" i="4"/>
  <c r="I34" i="13"/>
  <c r="I45" i="13"/>
  <c r="T30" i="4"/>
  <c r="Q32" i="4"/>
  <c r="P34" i="4"/>
  <c r="Q36" i="4"/>
  <c r="I262" i="13"/>
  <c r="I299" i="13"/>
  <c r="R56" i="4"/>
  <c r="Q59" i="4"/>
  <c r="R61" i="4"/>
  <c r="I374" i="13"/>
  <c r="I331" i="13"/>
  <c r="I264" i="13"/>
  <c r="R72" i="4"/>
  <c r="P72" i="4"/>
  <c r="P81" i="4"/>
  <c r="T84" i="4"/>
  <c r="O97" i="4"/>
  <c r="T102" i="4"/>
  <c r="O157" i="4"/>
  <c r="U157" i="4"/>
  <c r="T157" i="4"/>
  <c r="R157" i="4"/>
  <c r="Q157" i="4"/>
  <c r="P157" i="4"/>
  <c r="O17" i="5"/>
  <c r="L15" i="9"/>
  <c r="L10" i="9"/>
  <c r="M17" i="9"/>
  <c r="K9" i="9"/>
  <c r="L17" i="9"/>
  <c r="M16" i="9"/>
  <c r="K16" i="9"/>
  <c r="M9" i="9"/>
  <c r="L9" i="9"/>
  <c r="M15" i="9"/>
  <c r="K15" i="9"/>
  <c r="M8" i="9"/>
  <c r="L8" i="9"/>
  <c r="K8" i="9"/>
  <c r="N8" i="9" s="1"/>
  <c r="O8" i="9" s="1"/>
  <c r="K17" i="9"/>
  <c r="M10" i="9"/>
  <c r="K73" i="9"/>
  <c r="N73" i="9" s="1"/>
  <c r="O73" i="9" s="1"/>
  <c r="K77" i="9"/>
  <c r="M74" i="9"/>
  <c r="L77" i="9"/>
  <c r="K74" i="9"/>
  <c r="N74" i="9" s="1"/>
  <c r="O74" i="9" s="1"/>
  <c r="M76" i="9"/>
  <c r="L73" i="9"/>
  <c r="L76" i="9"/>
  <c r="K76" i="9"/>
  <c r="M75" i="9"/>
  <c r="L75" i="9"/>
  <c r="K75" i="9"/>
  <c r="L74" i="9"/>
  <c r="M77" i="9"/>
  <c r="M73" i="9"/>
  <c r="R100" i="4"/>
  <c r="Q100" i="4"/>
  <c r="O100" i="4"/>
  <c r="J437" i="13"/>
  <c r="L437" i="13"/>
  <c r="K10" i="9"/>
  <c r="I40" i="13"/>
  <c r="L417" i="13"/>
  <c r="J417" i="13"/>
  <c r="M12" i="9"/>
  <c r="L12" i="9"/>
  <c r="K12" i="9"/>
  <c r="M5" i="9"/>
  <c r="L5" i="9"/>
  <c r="M11" i="9"/>
  <c r="K5" i="9"/>
  <c r="L11" i="9"/>
  <c r="K11" i="9"/>
  <c r="N11" i="9" s="1"/>
  <c r="O11" i="9" s="1"/>
  <c r="M4" i="9"/>
  <c r="L4" i="9"/>
  <c r="K4" i="9"/>
  <c r="L70" i="9"/>
  <c r="K70" i="9"/>
  <c r="K69" i="9"/>
  <c r="M70" i="9"/>
  <c r="M69" i="9"/>
  <c r="U5" i="4"/>
  <c r="R7" i="4"/>
  <c r="I98" i="13"/>
  <c r="I6" i="13"/>
  <c r="T15" i="4"/>
  <c r="Q17" i="4"/>
  <c r="O19" i="4"/>
  <c r="U23" i="4"/>
  <c r="R25" i="4"/>
  <c r="I63" i="13"/>
  <c r="I101" i="13"/>
  <c r="I73" i="13"/>
  <c r="T32" i="4"/>
  <c r="T34" i="4"/>
  <c r="T36" i="4"/>
  <c r="O40" i="4"/>
  <c r="O43" i="4"/>
  <c r="P45" i="4"/>
  <c r="O47" i="4"/>
  <c r="U56" i="4"/>
  <c r="U59" i="4"/>
  <c r="U61" i="4"/>
  <c r="U70" i="4"/>
  <c r="R70" i="4"/>
  <c r="T79" i="4"/>
  <c r="Q79" i="4"/>
  <c r="O79" i="4"/>
  <c r="U88" i="4"/>
  <c r="R88" i="4"/>
  <c r="P88" i="4"/>
  <c r="P100" i="4"/>
  <c r="U106" i="4"/>
  <c r="R106" i="4"/>
  <c r="P106" i="4"/>
  <c r="T138" i="4"/>
  <c r="R138" i="4"/>
  <c r="Q138" i="4"/>
  <c r="P138" i="4"/>
  <c r="U154" i="4"/>
  <c r="R154" i="4"/>
  <c r="P154" i="4"/>
  <c r="O154" i="4"/>
  <c r="I447" i="13"/>
  <c r="I278" i="13"/>
  <c r="M65" i="9"/>
  <c r="R15" i="4"/>
  <c r="K13" i="9"/>
  <c r="L6" i="9"/>
  <c r="K6" i="9"/>
  <c r="M13" i="9"/>
  <c r="L13" i="9"/>
  <c r="L71" i="9"/>
  <c r="M71" i="9"/>
  <c r="K71" i="9"/>
  <c r="V228" i="4"/>
  <c r="T7" i="4"/>
  <c r="U15" i="4"/>
  <c r="P19" i="4"/>
  <c r="I18" i="13"/>
  <c r="I41" i="13"/>
  <c r="T25" i="4"/>
  <c r="I75" i="13"/>
  <c r="I65" i="13"/>
  <c r="U34" i="4"/>
  <c r="U36" i="4"/>
  <c r="P40" i="4"/>
  <c r="P43" i="4"/>
  <c r="Q45" i="4"/>
  <c r="P47" i="4"/>
  <c r="O49" i="4"/>
  <c r="O51" i="4"/>
  <c r="O53" i="4"/>
  <c r="J420" i="13"/>
  <c r="L420" i="13"/>
  <c r="O70" i="4"/>
  <c r="P79" i="4"/>
  <c r="O88" i="4"/>
  <c r="T100" i="4"/>
  <c r="O106" i="4"/>
  <c r="U117" i="4"/>
  <c r="T117" i="4"/>
  <c r="Q117" i="4"/>
  <c r="O117" i="4"/>
  <c r="O138" i="4"/>
  <c r="P142" i="4"/>
  <c r="O142" i="4"/>
  <c r="U142" i="4"/>
  <c r="Q154" i="4"/>
  <c r="U170" i="4"/>
  <c r="T170" i="4"/>
  <c r="R170" i="4"/>
  <c r="Q170" i="4"/>
  <c r="I461" i="13"/>
  <c r="I319" i="13"/>
  <c r="I357" i="13"/>
  <c r="I223" i="13"/>
  <c r="I250" i="13"/>
  <c r="I146" i="13"/>
  <c r="I110" i="13"/>
  <c r="I123" i="13"/>
  <c r="M21" i="9"/>
  <c r="M28" i="9"/>
  <c r="L28" i="9"/>
  <c r="K28" i="9"/>
  <c r="N28" i="9" s="1"/>
  <c r="O28" i="9" s="1"/>
  <c r="L21" i="9"/>
  <c r="K21" i="9"/>
  <c r="L15" i="13"/>
  <c r="J15" i="13"/>
  <c r="Q19" i="4"/>
  <c r="I77" i="13"/>
  <c r="I67" i="13"/>
  <c r="I57" i="13"/>
  <c r="I88" i="13"/>
  <c r="I106" i="13"/>
  <c r="I90" i="13"/>
  <c r="I69" i="13"/>
  <c r="Q40" i="4"/>
  <c r="R43" i="4"/>
  <c r="R45" i="4"/>
  <c r="Q47" i="4"/>
  <c r="U85" i="4"/>
  <c r="R85" i="4"/>
  <c r="O85" i="4"/>
  <c r="U100" i="4"/>
  <c r="U103" i="4"/>
  <c r="R103" i="4"/>
  <c r="O103" i="4"/>
  <c r="Q106" i="4"/>
  <c r="R110" i="4"/>
  <c r="P110" i="4"/>
  <c r="O110" i="4"/>
  <c r="U126" i="4"/>
  <c r="T126" i="4"/>
  <c r="R126" i="4"/>
  <c r="Q126" i="4"/>
  <c r="I159" i="13"/>
  <c r="I196" i="13"/>
  <c r="I217" i="13"/>
  <c r="I177" i="13"/>
  <c r="G64" i="5"/>
  <c r="H64" i="5" s="1"/>
  <c r="J60" i="5"/>
  <c r="J62" i="5" s="1"/>
  <c r="F62" i="5" s="1"/>
  <c r="G62" i="5" s="1"/>
  <c r="H62" i="5" s="1"/>
  <c r="K56" i="9"/>
  <c r="L181" i="13"/>
  <c r="J181" i="13"/>
  <c r="L31" i="9"/>
  <c r="L23" i="9"/>
  <c r="L24" i="9"/>
  <c r="M31" i="9"/>
  <c r="K31" i="9"/>
  <c r="K23" i="9"/>
  <c r="M29" i="9"/>
  <c r="K29" i="9"/>
  <c r="M22" i="9"/>
  <c r="L22" i="9"/>
  <c r="K22" i="9"/>
  <c r="M24" i="9"/>
  <c r="K24" i="9"/>
  <c r="M30" i="9"/>
  <c r="L30" i="9"/>
  <c r="K30" i="9"/>
  <c r="O13" i="4"/>
  <c r="R19" i="4"/>
  <c r="L31" i="13"/>
  <c r="J31" i="13"/>
  <c r="O31" i="4"/>
  <c r="R40" i="4"/>
  <c r="T43" i="4"/>
  <c r="T45" i="4"/>
  <c r="R47" i="4"/>
  <c r="P85" i="4"/>
  <c r="R91" i="4"/>
  <c r="P91" i="4"/>
  <c r="P103" i="4"/>
  <c r="T106" i="4"/>
  <c r="Q110" i="4"/>
  <c r="O126" i="4"/>
  <c r="U178" i="4"/>
  <c r="T178" i="4"/>
  <c r="R178" i="4"/>
  <c r="Q178" i="4"/>
  <c r="P178" i="4"/>
  <c r="O178" i="4"/>
  <c r="M26" i="9"/>
  <c r="L26" i="9"/>
  <c r="L19" i="9"/>
  <c r="M25" i="9"/>
  <c r="K19" i="9"/>
  <c r="L25" i="9"/>
  <c r="K25" i="9"/>
  <c r="M18" i="9"/>
  <c r="L18" i="9"/>
  <c r="K18" i="9"/>
  <c r="O6" i="4"/>
  <c r="P13" i="4"/>
  <c r="I51" i="13"/>
  <c r="I39" i="13"/>
  <c r="T19" i="4"/>
  <c r="O24" i="4"/>
  <c r="J80" i="13"/>
  <c r="L80" i="13"/>
  <c r="U40" i="4"/>
  <c r="U43" i="4"/>
  <c r="U45" i="4"/>
  <c r="T47" i="4"/>
  <c r="U82" i="4"/>
  <c r="Q82" i="4"/>
  <c r="O82" i="4"/>
  <c r="U98" i="4"/>
  <c r="T98" i="4"/>
  <c r="Q98" i="4"/>
  <c r="O98" i="4"/>
  <c r="I303" i="13"/>
  <c r="I338" i="13"/>
  <c r="I435" i="13"/>
  <c r="L170" i="13"/>
  <c r="J170" i="13"/>
  <c r="M68" i="9"/>
  <c r="I143" i="13"/>
  <c r="K20" i="9"/>
  <c r="M27" i="9"/>
  <c r="L27" i="9"/>
  <c r="K27" i="9"/>
  <c r="M20" i="9"/>
  <c r="L20" i="9"/>
  <c r="P6" i="4"/>
  <c r="I96" i="13"/>
  <c r="I3" i="13"/>
  <c r="I84" i="13"/>
  <c r="Q13" i="4"/>
  <c r="L375" i="13"/>
  <c r="J375" i="13"/>
  <c r="U133" i="4"/>
  <c r="T133" i="4"/>
  <c r="R133" i="4"/>
  <c r="R139" i="4"/>
  <c r="Q139" i="4"/>
  <c r="O139" i="4"/>
  <c r="U145" i="4"/>
  <c r="R145" i="4"/>
  <c r="P145" i="4"/>
  <c r="O145" i="4"/>
  <c r="Q155" i="4"/>
  <c r="U155" i="4"/>
  <c r="T155" i="4"/>
  <c r="R155" i="4"/>
  <c r="P155" i="4"/>
  <c r="U174" i="4"/>
  <c r="T174" i="4"/>
  <c r="R174" i="4"/>
  <c r="Q174" i="4"/>
  <c r="I400" i="13"/>
  <c r="I353" i="13"/>
  <c r="J185" i="13"/>
  <c r="L185" i="13"/>
  <c r="R226" i="4"/>
  <c r="Q226" i="4"/>
  <c r="U226" i="4"/>
  <c r="T226" i="4"/>
  <c r="P226" i="4"/>
  <c r="O226" i="4"/>
  <c r="L91" i="13"/>
  <c r="J91" i="13"/>
  <c r="P24" i="4"/>
  <c r="I21" i="13"/>
  <c r="I44" i="13"/>
  <c r="I23" i="13"/>
  <c r="I93" i="13"/>
  <c r="I413" i="13"/>
  <c r="I259" i="13"/>
  <c r="I297" i="13"/>
  <c r="I261" i="13"/>
  <c r="L45" i="9"/>
  <c r="K45" i="9"/>
  <c r="N45" i="9" s="1"/>
  <c r="O45" i="9" s="1"/>
  <c r="K36" i="9"/>
  <c r="M45" i="9"/>
  <c r="M36" i="9"/>
  <c r="Q6" i="4"/>
  <c r="O8" i="4"/>
  <c r="R13" i="4"/>
  <c r="P16" i="4"/>
  <c r="Q24" i="4"/>
  <c r="O26" i="4"/>
  <c r="R31" i="4"/>
  <c r="Q33" i="4"/>
  <c r="Q35" i="4"/>
  <c r="I368" i="13"/>
  <c r="I415" i="13"/>
  <c r="J416" i="13"/>
  <c r="L416" i="13"/>
  <c r="Q58" i="4"/>
  <c r="R60" i="4"/>
  <c r="R62" i="4"/>
  <c r="R64" i="4"/>
  <c r="R68" i="4"/>
  <c r="T80" i="4"/>
  <c r="Q80" i="4"/>
  <c r="R82" i="4"/>
  <c r="U89" i="4"/>
  <c r="R89" i="4"/>
  <c r="T91" i="4"/>
  <c r="R98" i="4"/>
  <c r="U107" i="4"/>
  <c r="R107" i="4"/>
  <c r="Q107" i="4"/>
  <c r="T118" i="4"/>
  <c r="R118" i="4"/>
  <c r="Q118" i="4"/>
  <c r="P118" i="4"/>
  <c r="O133" i="4"/>
  <c r="P139" i="4"/>
  <c r="Q145" i="4"/>
  <c r="O155" i="4"/>
  <c r="I448" i="13"/>
  <c r="I393" i="13"/>
  <c r="O174" i="4"/>
  <c r="K26" i="9"/>
  <c r="N26" i="9" s="1"/>
  <c r="O26" i="9" s="1"/>
  <c r="L36" i="9"/>
  <c r="L69" i="9"/>
  <c r="L47" i="9"/>
  <c r="L39" i="9"/>
  <c r="L49" i="9"/>
  <c r="M46" i="9"/>
  <c r="K38" i="9"/>
  <c r="K48" i="9"/>
  <c r="M49" i="9"/>
  <c r="K46" i="9"/>
  <c r="M39" i="9"/>
  <c r="K49" i="9"/>
  <c r="K39" i="9"/>
  <c r="N39" i="9" s="1"/>
  <c r="O39" i="9" s="1"/>
  <c r="M48" i="9"/>
  <c r="M38" i="9"/>
  <c r="L48" i="9"/>
  <c r="L38" i="9"/>
  <c r="M47" i="9"/>
  <c r="M37" i="9"/>
  <c r="K47" i="9"/>
  <c r="L37" i="9"/>
  <c r="M40" i="9"/>
  <c r="K37" i="9"/>
  <c r="L40" i="9"/>
  <c r="K40" i="9"/>
  <c r="P8" i="4"/>
  <c r="R24" i="4"/>
  <c r="P26" i="4"/>
  <c r="R35" i="4"/>
  <c r="T82" i="4"/>
  <c r="P122" i="4"/>
  <c r="O122" i="4"/>
  <c r="P133" i="4"/>
  <c r="T139" i="4"/>
  <c r="T145" i="4"/>
  <c r="U168" i="4"/>
  <c r="T168" i="4"/>
  <c r="R168" i="4"/>
  <c r="Q168" i="4"/>
  <c r="P174" i="4"/>
  <c r="U189" i="4"/>
  <c r="T189" i="4"/>
  <c r="P189" i="4"/>
  <c r="O189" i="4"/>
  <c r="R189" i="4"/>
  <c r="L16" i="9"/>
  <c r="I12" i="13"/>
  <c r="R6" i="4"/>
  <c r="I97" i="13"/>
  <c r="I5" i="13"/>
  <c r="T13" i="4"/>
  <c r="Q16" i="4"/>
  <c r="M42" i="9"/>
  <c r="L42" i="9"/>
  <c r="K33" i="9"/>
  <c r="M32" i="9"/>
  <c r="L32" i="9"/>
  <c r="K32" i="9"/>
  <c r="M41" i="9"/>
  <c r="L41" i="9"/>
  <c r="K41" i="9"/>
  <c r="M33" i="9"/>
  <c r="T6" i="4"/>
  <c r="Q8" i="4"/>
  <c r="O10" i="4"/>
  <c r="R16" i="4"/>
  <c r="T24" i="4"/>
  <c r="Q26" i="4"/>
  <c r="O28" i="4"/>
  <c r="T33" i="4"/>
  <c r="T35" i="4"/>
  <c r="P39" i="4"/>
  <c r="O41" i="4"/>
  <c r="O44" i="4"/>
  <c r="P46" i="4"/>
  <c r="U58" i="4"/>
  <c r="U60" i="4"/>
  <c r="U62" i="4"/>
  <c r="Q122" i="4"/>
  <c r="Q133" i="4"/>
  <c r="U139" i="4"/>
  <c r="R162" i="4"/>
  <c r="P162" i="4"/>
  <c r="O162" i="4"/>
  <c r="O168" i="4"/>
  <c r="Q189" i="4"/>
  <c r="L35" i="9"/>
  <c r="K34" i="9"/>
  <c r="M35" i="9"/>
  <c r="K35" i="9"/>
  <c r="N35" i="9" s="1"/>
  <c r="O35" i="9" s="1"/>
  <c r="M44" i="9"/>
  <c r="L44" i="9"/>
  <c r="K44" i="9"/>
  <c r="M34" i="9"/>
  <c r="L34" i="9"/>
  <c r="M43" i="9"/>
  <c r="L43" i="9"/>
  <c r="K43" i="9"/>
  <c r="P10" i="4"/>
  <c r="I7" i="13"/>
  <c r="I99" i="13"/>
  <c r="P28" i="4"/>
  <c r="I102" i="13"/>
  <c r="I85" i="13"/>
  <c r="I54" i="13"/>
  <c r="I64" i="13"/>
  <c r="U35" i="4"/>
  <c r="P41" i="4"/>
  <c r="P44" i="4"/>
  <c r="Q46" i="4"/>
  <c r="I370" i="13"/>
  <c r="I419" i="13"/>
  <c r="J263" i="13"/>
  <c r="L263" i="13"/>
  <c r="L421" i="13"/>
  <c r="J421" i="13"/>
  <c r="O78" i="4"/>
  <c r="O86" i="4"/>
  <c r="T99" i="4"/>
  <c r="Q99" i="4"/>
  <c r="P99" i="4"/>
  <c r="R122" i="4"/>
  <c r="I306" i="13"/>
  <c r="I340" i="13"/>
  <c r="Q162" i="4"/>
  <c r="P168" i="4"/>
  <c r="P196" i="4"/>
  <c r="O196" i="4"/>
  <c r="U196" i="4"/>
  <c r="T196" i="4"/>
  <c r="Q196" i="4"/>
  <c r="M6" i="9"/>
  <c r="I37" i="13"/>
  <c r="I53" i="13"/>
  <c r="B17" i="1"/>
  <c r="L63" i="9"/>
  <c r="K63" i="9"/>
  <c r="M54" i="9"/>
  <c r="L54" i="9"/>
  <c r="K54" i="9"/>
  <c r="M63" i="9"/>
  <c r="I94" i="13"/>
  <c r="I2" i="13"/>
  <c r="I42" i="13"/>
  <c r="I19" i="13"/>
  <c r="L66" i="13"/>
  <c r="J66" i="13"/>
  <c r="I105" i="13"/>
  <c r="I78" i="13"/>
  <c r="I58" i="13"/>
  <c r="I68" i="13"/>
  <c r="Q41" i="4"/>
  <c r="R44" i="4"/>
  <c r="R46" i="4"/>
  <c r="U69" i="4"/>
  <c r="R69" i="4"/>
  <c r="P69" i="4"/>
  <c r="U146" i="4"/>
  <c r="T146" i="4"/>
  <c r="R146" i="4"/>
  <c r="Q146" i="4"/>
  <c r="P146" i="4"/>
  <c r="J191" i="13"/>
  <c r="L191" i="13"/>
  <c r="K72" i="9"/>
  <c r="N72" i="9" s="1"/>
  <c r="O72" i="9" s="1"/>
  <c r="J38" i="13"/>
  <c r="L38" i="13"/>
  <c r="U63" i="4"/>
  <c r="O63" i="4"/>
  <c r="U66" i="4"/>
  <c r="R66" i="4"/>
  <c r="P102" i="4"/>
  <c r="O102" i="4"/>
  <c r="U116" i="4"/>
  <c r="T116" i="4"/>
  <c r="R116" i="4"/>
  <c r="R119" i="4"/>
  <c r="Q119" i="4"/>
  <c r="O119" i="4"/>
  <c r="U137" i="4"/>
  <c r="T137" i="4"/>
  <c r="Q137" i="4"/>
  <c r="O137" i="4"/>
  <c r="I387" i="13"/>
  <c r="I342" i="13"/>
  <c r="I273" i="13"/>
  <c r="T153" i="4"/>
  <c r="U153" i="4"/>
  <c r="R153" i="4"/>
  <c r="Q153" i="4"/>
  <c r="U172" i="4"/>
  <c r="T172" i="4"/>
  <c r="R172" i="4"/>
  <c r="Q172" i="4"/>
  <c r="J457" i="13"/>
  <c r="L457" i="13"/>
  <c r="L29" i="9"/>
  <c r="K52" i="9"/>
  <c r="N52" i="9" s="1"/>
  <c r="O52" i="9" s="1"/>
  <c r="L55" i="9"/>
  <c r="M67" i="9"/>
  <c r="K59" i="9"/>
  <c r="M56" i="9"/>
  <c r="L67" i="9"/>
  <c r="L56" i="9"/>
  <c r="L59" i="9"/>
  <c r="L68" i="9"/>
  <c r="L65" i="9"/>
  <c r="M55" i="9"/>
  <c r="K68" i="9"/>
  <c r="K65" i="9"/>
  <c r="M58" i="9"/>
  <c r="K55" i="9"/>
  <c r="L58" i="9"/>
  <c r="M64" i="9"/>
  <c r="K58" i="9"/>
  <c r="L64" i="9"/>
  <c r="K67" i="9"/>
  <c r="K64" i="9"/>
  <c r="M57" i="9"/>
  <c r="L57" i="9"/>
  <c r="K57" i="9"/>
  <c r="M66" i="9"/>
  <c r="L66" i="9"/>
  <c r="K66" i="9"/>
  <c r="L60" i="9"/>
  <c r="M61" i="9"/>
  <c r="L61" i="9"/>
  <c r="M51" i="9"/>
  <c r="K61" i="9"/>
  <c r="L51" i="9"/>
  <c r="K51" i="9"/>
  <c r="M60" i="9"/>
  <c r="M50" i="9"/>
  <c r="K60" i="9"/>
  <c r="L50" i="9"/>
  <c r="K50" i="9"/>
  <c r="P5" i="4"/>
  <c r="J95" i="13"/>
  <c r="L95" i="13"/>
  <c r="T10" i="4"/>
  <c r="Q12" i="4"/>
  <c r="O15" i="4"/>
  <c r="P23" i="4"/>
  <c r="J20" i="13"/>
  <c r="L20" i="13"/>
  <c r="T28" i="4"/>
  <c r="Q30" i="4"/>
  <c r="O32" i="4"/>
  <c r="U41" i="4"/>
  <c r="U44" i="4"/>
  <c r="U46" i="4"/>
  <c r="P56" i="4"/>
  <c r="O59" i="4"/>
  <c r="O61" i="4"/>
  <c r="P63" i="4"/>
  <c r="O66" i="4"/>
  <c r="Q69" i="4"/>
  <c r="I376" i="13"/>
  <c r="I425" i="13"/>
  <c r="I427" i="13"/>
  <c r="I301" i="13"/>
  <c r="Q84" i="4"/>
  <c r="Q102" i="4"/>
  <c r="O116" i="4"/>
  <c r="P119" i="4"/>
  <c r="U125" i="4"/>
  <c r="R125" i="4"/>
  <c r="P125" i="4"/>
  <c r="P137" i="4"/>
  <c r="O153" i="4"/>
  <c r="L145" i="13"/>
  <c r="J145" i="13"/>
  <c r="O172" i="4"/>
  <c r="J203" i="13"/>
  <c r="L203" i="13"/>
  <c r="M19" i="9"/>
  <c r="M53" i="9"/>
  <c r="M62" i="9"/>
  <c r="M52" i="9"/>
  <c r="L62" i="9"/>
  <c r="L52" i="9"/>
  <c r="L53" i="9"/>
  <c r="K53" i="9"/>
  <c r="P32" i="4"/>
  <c r="L233" i="13"/>
  <c r="J233" i="13"/>
  <c r="I367" i="13"/>
  <c r="I329" i="13"/>
  <c r="P59" i="4"/>
  <c r="P61" i="4"/>
  <c r="Q63" i="4"/>
  <c r="P66" i="4"/>
  <c r="T69" i="4"/>
  <c r="U78" i="4"/>
  <c r="Q81" i="4"/>
  <c r="O81" i="4"/>
  <c r="R84" i="4"/>
  <c r="T86" i="4"/>
  <c r="T97" i="4"/>
  <c r="R97" i="4"/>
  <c r="R102" i="4"/>
  <c r="P116" i="4"/>
  <c r="T119" i="4"/>
  <c r="O125" i="4"/>
  <c r="R128" i="4"/>
  <c r="Q128" i="4"/>
  <c r="P128" i="4"/>
  <c r="O128" i="4"/>
  <c r="R137" i="4"/>
  <c r="P153" i="4"/>
  <c r="P172" i="4"/>
  <c r="L321" i="13"/>
  <c r="J321" i="13"/>
  <c r="K42" i="9"/>
  <c r="I87" i="13"/>
  <c r="I103" i="13"/>
  <c r="I108" i="13"/>
  <c r="I128" i="13"/>
  <c r="I166" i="13"/>
  <c r="I211" i="13"/>
  <c r="I451" i="13"/>
  <c r="I280" i="13"/>
  <c r="I351" i="13"/>
  <c r="I352" i="13"/>
  <c r="I246" i="13"/>
  <c r="I452" i="13"/>
  <c r="I281" i="13"/>
  <c r="L456" i="13"/>
  <c r="J456" i="13"/>
  <c r="U211" i="4"/>
  <c r="H59" i="5"/>
  <c r="J53" i="5" s="1"/>
  <c r="I9" i="13"/>
  <c r="I48" i="13"/>
  <c r="I83" i="13"/>
  <c r="J113" i="13"/>
  <c r="I160" i="13"/>
  <c r="I197" i="13"/>
  <c r="J286" i="13"/>
  <c r="L286" i="13"/>
  <c r="T223" i="4"/>
  <c r="R223" i="4"/>
  <c r="I109" i="13"/>
  <c r="L134" i="13"/>
  <c r="J134" i="13"/>
  <c r="I212" i="13"/>
  <c r="I198" i="13"/>
  <c r="I161" i="13"/>
  <c r="I240" i="13"/>
  <c r="I344" i="13"/>
  <c r="T181" i="4"/>
  <c r="R181" i="4"/>
  <c r="Q183" i="4"/>
  <c r="P183" i="4"/>
  <c r="Q206" i="4"/>
  <c r="P206" i="4"/>
  <c r="O217" i="4"/>
  <c r="O221" i="4"/>
  <c r="O223" i="4"/>
  <c r="M24" i="15"/>
  <c r="M23" i="15"/>
  <c r="M22" i="15"/>
  <c r="M21" i="15"/>
  <c r="M20" i="15"/>
  <c r="M19" i="15"/>
  <c r="M18" i="15"/>
  <c r="M17" i="15"/>
  <c r="M16" i="15"/>
  <c r="M15" i="15"/>
  <c r="M14" i="15"/>
  <c r="M13" i="15"/>
  <c r="M12" i="15"/>
  <c r="M11" i="15"/>
  <c r="M10" i="15"/>
  <c r="M9" i="15"/>
  <c r="M8" i="15"/>
  <c r="M7" i="15"/>
  <c r="M2" i="15"/>
  <c r="O2" i="15" s="1"/>
  <c r="M3" i="15"/>
  <c r="I29" i="13"/>
  <c r="I144" i="13"/>
  <c r="O148" i="4"/>
  <c r="O159" i="4"/>
  <c r="O181" i="4"/>
  <c r="O183" i="4"/>
  <c r="O194" i="4"/>
  <c r="T203" i="4"/>
  <c r="R203" i="4"/>
  <c r="O206" i="4"/>
  <c r="O214" i="4"/>
  <c r="Q217" i="4"/>
  <c r="P221" i="4"/>
  <c r="P223" i="4"/>
  <c r="M4" i="15"/>
  <c r="O4" i="15" s="1"/>
  <c r="M5" i="15"/>
  <c r="M54" i="15"/>
  <c r="M53" i="15"/>
  <c r="M52" i="15"/>
  <c r="M51" i="15"/>
  <c r="M50" i="15"/>
  <c r="M49" i="15"/>
  <c r="M48" i="15"/>
  <c r="M47" i="15"/>
  <c r="M46" i="15"/>
  <c r="M45" i="15"/>
  <c r="M44" i="15"/>
  <c r="M43" i="15"/>
  <c r="M42" i="15"/>
  <c r="M41" i="15"/>
  <c r="M40" i="15"/>
  <c r="M39" i="15"/>
  <c r="M38" i="15"/>
  <c r="M37" i="15"/>
  <c r="M36" i="15"/>
  <c r="M35" i="15"/>
  <c r="O35" i="15" s="1"/>
  <c r="M34" i="15"/>
  <c r="M33" i="15"/>
  <c r="M32" i="15"/>
  <c r="M31" i="15"/>
  <c r="M30" i="15"/>
  <c r="M29" i="15"/>
  <c r="M28" i="15"/>
  <c r="M27" i="15"/>
  <c r="M26" i="15"/>
  <c r="M25" i="15"/>
  <c r="I10" i="13"/>
  <c r="I24" i="13"/>
  <c r="I49" i="13"/>
  <c r="I89" i="13"/>
  <c r="I119" i="13"/>
  <c r="J139" i="13"/>
  <c r="L155" i="13"/>
  <c r="L173" i="13"/>
  <c r="I298" i="13"/>
  <c r="I81" i="13"/>
  <c r="I46" i="13"/>
  <c r="O101" i="4"/>
  <c r="O120" i="4"/>
  <c r="O140" i="4"/>
  <c r="P148" i="4"/>
  <c r="P159" i="4"/>
  <c r="O161" i="4"/>
  <c r="P181" i="4"/>
  <c r="R183" i="4"/>
  <c r="O191" i="4"/>
  <c r="Q194" i="4"/>
  <c r="O200" i="4"/>
  <c r="O203" i="4"/>
  <c r="R206" i="4"/>
  <c r="O212" i="4"/>
  <c r="P214" i="4"/>
  <c r="R217" i="4"/>
  <c r="Q221" i="4"/>
  <c r="Q223" i="4"/>
  <c r="I115" i="13"/>
  <c r="I363" i="13"/>
  <c r="I257" i="13"/>
  <c r="I121" i="13"/>
  <c r="I153" i="13"/>
  <c r="N89" i="9"/>
  <c r="O89" i="9" s="1"/>
  <c r="I30" i="13"/>
  <c r="I60" i="13"/>
  <c r="I114" i="13"/>
  <c r="I194" i="13"/>
  <c r="I175" i="13"/>
  <c r="Q148" i="4"/>
  <c r="I163" i="13"/>
  <c r="I242" i="13"/>
  <c r="Q159" i="4"/>
  <c r="Q181" i="4"/>
  <c r="T183" i="4"/>
  <c r="R194" i="4"/>
  <c r="D44" i="5"/>
  <c r="G44" i="5" s="1"/>
  <c r="G43" i="5"/>
  <c r="I55" i="13"/>
  <c r="I125" i="13"/>
  <c r="L180" i="13"/>
  <c r="J180" i="13"/>
  <c r="J186" i="13"/>
  <c r="L186" i="13"/>
  <c r="I221" i="13"/>
  <c r="Q101" i="4"/>
  <c r="I337" i="13"/>
  <c r="I302" i="13"/>
  <c r="Q120" i="4"/>
  <c r="O123" i="4"/>
  <c r="Q140" i="4"/>
  <c r="O143" i="4"/>
  <c r="R148" i="4"/>
  <c r="I446" i="13"/>
  <c r="I391" i="13"/>
  <c r="I346" i="13"/>
  <c r="I222" i="13"/>
  <c r="I201" i="13"/>
  <c r="I312" i="13"/>
  <c r="R159" i="4"/>
  <c r="Q161" i="4"/>
  <c r="U181" i="4"/>
  <c r="U183" i="4"/>
  <c r="Q191" i="4"/>
  <c r="T194" i="4"/>
  <c r="Q200" i="4"/>
  <c r="Q203" i="4"/>
  <c r="U206" i="4"/>
  <c r="Q212" i="4"/>
  <c r="T214" i="4"/>
  <c r="U217" i="4"/>
  <c r="T221" i="4"/>
  <c r="I361" i="13"/>
  <c r="I409" i="13"/>
  <c r="I465" i="13"/>
  <c r="I323" i="13"/>
  <c r="I228" i="13"/>
  <c r="I136" i="13"/>
  <c r="U227" i="4"/>
  <c r="P227" i="4"/>
  <c r="G7" i="5"/>
  <c r="I11" i="13"/>
  <c r="I120" i="13"/>
  <c r="J314" i="13"/>
  <c r="L314" i="13"/>
  <c r="U194" i="4"/>
  <c r="I118" i="13"/>
  <c r="I147" i="13"/>
  <c r="L290" i="13"/>
  <c r="J290" i="13"/>
  <c r="O227" i="4"/>
  <c r="G27" i="5"/>
  <c r="H20" i="5" s="1"/>
  <c r="J55" i="5"/>
  <c r="G63" i="5"/>
  <c r="H63" i="5" s="1"/>
  <c r="I56" i="13"/>
  <c r="I61" i="13"/>
  <c r="I71" i="13"/>
  <c r="I100" i="13"/>
  <c r="I169" i="13"/>
  <c r="L187" i="13"/>
  <c r="J187" i="13"/>
  <c r="J384" i="13"/>
  <c r="L384" i="13"/>
  <c r="U169" i="4"/>
  <c r="T169" i="4"/>
  <c r="R171" i="4"/>
  <c r="Q171" i="4"/>
  <c r="P173" i="4"/>
  <c r="O173" i="4"/>
  <c r="U191" i="4"/>
  <c r="I403" i="13"/>
  <c r="I355" i="13"/>
  <c r="T200" i="4"/>
  <c r="T212" i="4"/>
  <c r="Q227" i="4"/>
  <c r="I215" i="13"/>
  <c r="I377" i="13"/>
  <c r="I334" i="13"/>
  <c r="I267" i="13"/>
  <c r="R123" i="4"/>
  <c r="R143" i="4"/>
  <c r="I443" i="13"/>
  <c r="I218" i="13"/>
  <c r="I178" i="13"/>
  <c r="I343" i="13"/>
  <c r="I274" i="13"/>
  <c r="I388" i="13"/>
  <c r="O156" i="4"/>
  <c r="O169" i="4"/>
  <c r="O171" i="4"/>
  <c r="Q173" i="4"/>
  <c r="L399" i="13"/>
  <c r="J399" i="13"/>
  <c r="I248" i="13"/>
  <c r="I354" i="13"/>
  <c r="I318" i="13"/>
  <c r="I401" i="13"/>
  <c r="P218" i="4"/>
  <c r="O218" i="4"/>
  <c r="O224" i="4"/>
  <c r="R227" i="4"/>
  <c r="N83" i="9"/>
  <c r="O83" i="9" s="1"/>
  <c r="I16" i="13"/>
  <c r="J116" i="13"/>
  <c r="J126" i="13"/>
  <c r="I131" i="13"/>
  <c r="I152" i="13"/>
  <c r="Y224" i="4"/>
  <c r="R216" i="4"/>
  <c r="Q216" i="4"/>
  <c r="I26" i="13"/>
  <c r="I32" i="13"/>
  <c r="I76" i="13"/>
  <c r="I111" i="13"/>
  <c r="I141" i="13"/>
  <c r="I70" i="13"/>
  <c r="I59" i="13"/>
  <c r="P71" i="4"/>
  <c r="P90" i="4"/>
  <c r="P109" i="4"/>
  <c r="P127" i="4"/>
  <c r="P147" i="4"/>
  <c r="Q156" i="4"/>
  <c r="P158" i="4"/>
  <c r="I395" i="13"/>
  <c r="I349" i="13"/>
  <c r="Q169" i="4"/>
  <c r="T171" i="4"/>
  <c r="T173" i="4"/>
  <c r="P179" i="4"/>
  <c r="P182" i="4"/>
  <c r="P185" i="4"/>
  <c r="R193" i="4"/>
  <c r="Q193" i="4"/>
  <c r="O204" i="4"/>
  <c r="O211" i="4"/>
  <c r="U213" i="4"/>
  <c r="T213" i="4"/>
  <c r="O216" i="4"/>
  <c r="I130" i="13"/>
  <c r="I468" i="13"/>
  <c r="I210" i="13"/>
  <c r="I258" i="13"/>
  <c r="I412" i="13"/>
  <c r="I154" i="13"/>
  <c r="I294" i="13"/>
  <c r="I17" i="13"/>
  <c r="I164" i="13"/>
  <c r="I202" i="13"/>
  <c r="I239" i="13"/>
  <c r="I22" i="13"/>
  <c r="I27" i="13"/>
  <c r="I52" i="13"/>
  <c r="I107" i="13"/>
  <c r="J112" i="13"/>
  <c r="L112" i="13"/>
  <c r="I137" i="13"/>
  <c r="I183" i="13"/>
  <c r="I195" i="13"/>
  <c r="R90" i="4"/>
  <c r="R109" i="4"/>
  <c r="R127" i="4"/>
  <c r="R147" i="4"/>
  <c r="T156" i="4"/>
  <c r="R158" i="4"/>
  <c r="Q164" i="4"/>
  <c r="P164" i="4"/>
  <c r="R179" i="4"/>
  <c r="R182" i="4"/>
  <c r="R185" i="4"/>
  <c r="R204" i="4"/>
  <c r="Q211" i="4"/>
  <c r="T216" i="4"/>
  <c r="G9" i="5"/>
  <c r="I8" i="13"/>
  <c r="I33" i="13"/>
  <c r="I43" i="13"/>
  <c r="I117" i="13"/>
  <c r="L122" i="13"/>
  <c r="J127" i="13"/>
  <c r="L127" i="13"/>
  <c r="I225" i="13"/>
  <c r="J432" i="13"/>
  <c r="L432" i="13"/>
  <c r="Q160" i="4"/>
  <c r="O164" i="4"/>
  <c r="T193" i="4"/>
  <c r="Q201" i="4"/>
  <c r="T204" i="4"/>
  <c r="Q213" i="4"/>
  <c r="U216" i="4"/>
  <c r="I462" i="13"/>
  <c r="I288" i="13"/>
  <c r="I324" i="13"/>
  <c r="I292" i="13"/>
  <c r="I189" i="13"/>
  <c r="I229" i="13"/>
  <c r="I28" i="13"/>
  <c r="I133" i="13"/>
  <c r="I148" i="13"/>
  <c r="I171" i="13"/>
  <c r="I190" i="13"/>
  <c r="I209" i="13"/>
  <c r="I287" i="13"/>
  <c r="I293" i="13"/>
  <c r="I345" i="13"/>
  <c r="I383" i="13"/>
  <c r="I176" i="13"/>
  <c r="I200" i="13"/>
  <c r="I214" i="13"/>
  <c r="I235" i="13"/>
  <c r="I252" i="13"/>
  <c r="I333" i="13"/>
  <c r="J205" i="13"/>
  <c r="L205" i="13"/>
  <c r="I219" i="13"/>
  <c r="I157" i="13"/>
  <c r="I167" i="13"/>
  <c r="I230" i="13"/>
  <c r="J270" i="13"/>
  <c r="L270" i="13"/>
  <c r="I247" i="13"/>
  <c r="I253" i="13"/>
  <c r="I276" i="13"/>
  <c r="I320" i="13"/>
  <c r="I392" i="13"/>
  <c r="I149" i="13"/>
  <c r="I168" i="13"/>
  <c r="I206" i="13"/>
  <c r="I283" i="13"/>
  <c r="I289" i="13"/>
  <c r="I74" i="13"/>
  <c r="I86" i="13"/>
  <c r="I231" i="13"/>
  <c r="I237" i="13"/>
  <c r="I254" i="13"/>
  <c r="I260" i="13"/>
  <c r="I328" i="13"/>
  <c r="I404" i="13"/>
  <c r="I460" i="13"/>
  <c r="D14" i="5"/>
  <c r="G14" i="5" s="1"/>
  <c r="H11" i="5" s="1"/>
  <c r="I50" i="13"/>
  <c r="I132" i="13"/>
  <c r="I158" i="13"/>
  <c r="I216" i="13"/>
  <c r="I450" i="13"/>
  <c r="I396" i="13"/>
  <c r="I350" i="13"/>
  <c r="I322" i="13"/>
  <c r="I464" i="13"/>
  <c r="I360" i="13"/>
  <c r="N80" i="9"/>
  <c r="O80" i="9" s="1"/>
  <c r="I124" i="13"/>
  <c r="I232" i="13"/>
  <c r="I255" i="13"/>
  <c r="I266" i="13"/>
  <c r="J272" i="13"/>
  <c r="L272" i="13"/>
  <c r="I296" i="13"/>
  <c r="I308" i="13"/>
  <c r="I336" i="13"/>
  <c r="I207" i="13"/>
  <c r="I243" i="13"/>
  <c r="I249" i="13"/>
  <c r="I315" i="13"/>
  <c r="I188" i="13"/>
  <c r="I193" i="13"/>
  <c r="I227" i="13"/>
  <c r="J244" i="13"/>
  <c r="L244" i="13"/>
  <c r="I256" i="13"/>
  <c r="I285" i="13"/>
  <c r="I291" i="13"/>
  <c r="I104" i="13"/>
  <c r="I129" i="13"/>
  <c r="I165" i="13"/>
  <c r="I174" i="13"/>
  <c r="I179" i="13"/>
  <c r="I279" i="13"/>
  <c r="I184" i="13"/>
  <c r="I199" i="13"/>
  <c r="I208" i="13"/>
  <c r="I138" i="13"/>
  <c r="I151" i="13"/>
  <c r="I234" i="13"/>
  <c r="I251" i="13"/>
  <c r="I304" i="13"/>
  <c r="I311" i="13"/>
  <c r="I366" i="13"/>
  <c r="I226" i="13"/>
  <c r="I407" i="13"/>
  <c r="N78" i="9"/>
  <c r="O78" i="9" s="1"/>
  <c r="M57" i="15"/>
  <c r="M56" i="15"/>
  <c r="O56" i="15" s="1"/>
  <c r="M55" i="15"/>
  <c r="O55" i="15" s="1"/>
  <c r="M6" i="15"/>
  <c r="O6" i="15" s="1"/>
  <c r="P6" i="15" s="1"/>
  <c r="Q6" i="15" s="1"/>
  <c r="I204" i="13"/>
  <c r="L213" i="13"/>
  <c r="I325" i="13"/>
  <c r="J339" i="13"/>
  <c r="L339" i="13"/>
  <c r="I364" i="13"/>
  <c r="I398" i="13"/>
  <c r="I428" i="13"/>
  <c r="N94" i="9"/>
  <c r="O94" i="9" s="1"/>
  <c r="I330" i="13"/>
  <c r="I335" i="13"/>
  <c r="I359" i="13"/>
  <c r="I382" i="13"/>
  <c r="I441" i="13"/>
  <c r="I422" i="13"/>
  <c r="I429" i="13"/>
  <c r="I449" i="13"/>
  <c r="I463" i="13"/>
  <c r="D30" i="14"/>
  <c r="G56" i="15"/>
  <c r="I56" i="15" s="1"/>
  <c r="I371" i="13"/>
  <c r="I411" i="13"/>
  <c r="I442" i="13"/>
  <c r="I405" i="13"/>
  <c r="I423" i="13"/>
  <c r="I430" i="13"/>
  <c r="I436" i="13"/>
  <c r="O3" i="15"/>
  <c r="I269" i="13"/>
  <c r="I277" i="13"/>
  <c r="I372" i="13"/>
  <c r="I172" i="13"/>
  <c r="I236" i="13"/>
  <c r="I265" i="13"/>
  <c r="I282" i="13"/>
  <c r="I418" i="13"/>
  <c r="I424" i="13"/>
  <c r="I431" i="13"/>
  <c r="D31" i="14"/>
  <c r="G57" i="15"/>
  <c r="I57" i="15" s="1"/>
  <c r="I25" i="13"/>
  <c r="I79" i="13"/>
  <c r="I327" i="13"/>
  <c r="I406" i="13"/>
  <c r="I241" i="13"/>
  <c r="I245" i="13"/>
  <c r="I317" i="13"/>
  <c r="I373" i="13"/>
  <c r="I379" i="13"/>
  <c r="I220" i="13"/>
  <c r="I224" i="13"/>
  <c r="I313" i="13"/>
  <c r="I356" i="13"/>
  <c r="I438" i="13"/>
  <c r="I445" i="13"/>
  <c r="I459" i="13"/>
  <c r="I300" i="13"/>
  <c r="I385" i="13"/>
  <c r="I426" i="13"/>
  <c r="I467" i="13"/>
  <c r="I271" i="13"/>
  <c r="I309" i="13"/>
  <c r="I347" i="13"/>
  <c r="I380" i="13"/>
  <c r="I402" i="13"/>
  <c r="I408" i="13"/>
  <c r="I433" i="13"/>
  <c r="I453" i="13"/>
  <c r="I369" i="13"/>
  <c r="L439" i="13"/>
  <c r="L238" i="13"/>
  <c r="I284" i="13"/>
  <c r="I348" i="13"/>
  <c r="I358" i="13"/>
  <c r="I397" i="13"/>
  <c r="I454" i="13"/>
  <c r="I92" i="13"/>
  <c r="I310" i="13"/>
  <c r="I381" i="13"/>
  <c r="I455" i="13"/>
  <c r="O48" i="15"/>
  <c r="I410" i="13"/>
  <c r="I414" i="13"/>
  <c r="O45" i="15"/>
  <c r="P4" i="15"/>
  <c r="Q4" i="15" s="1"/>
  <c r="I326" i="13"/>
  <c r="I362" i="13"/>
  <c r="I444" i="13"/>
  <c r="Q2" i="15"/>
  <c r="P2" i="15"/>
  <c r="I389" i="13"/>
  <c r="I440" i="13"/>
  <c r="G55" i="15"/>
  <c r="I55" i="15" s="1"/>
  <c r="D29" i="14"/>
  <c r="I142" i="13"/>
  <c r="I156" i="13"/>
  <c r="I378" i="13"/>
  <c r="O11" i="15"/>
  <c r="I316" i="13"/>
  <c r="O8" i="15"/>
  <c r="O15" i="15"/>
  <c r="I390" i="13"/>
  <c r="I394" i="13"/>
  <c r="F3" i="14"/>
  <c r="G3" i="14" s="1"/>
  <c r="I295" i="13"/>
  <c r="I466" i="13"/>
  <c r="O5" i="15"/>
  <c r="I458" i="13"/>
  <c r="O12" i="15"/>
  <c r="O9" i="15"/>
  <c r="I140" i="13"/>
  <c r="I182" i="13"/>
  <c r="G4" i="14"/>
  <c r="F4" i="14"/>
  <c r="I275" i="13"/>
  <c r="I332" i="13"/>
  <c r="I365" i="13"/>
  <c r="O17" i="15"/>
  <c r="O42" i="15"/>
  <c r="O14" i="15"/>
  <c r="O27" i="15"/>
  <c r="O21" i="15"/>
  <c r="O24" i="15"/>
  <c r="I268" i="13"/>
  <c r="O18" i="15"/>
  <c r="O46" i="15"/>
  <c r="O31" i="15"/>
  <c r="O34" i="15"/>
  <c r="O37" i="15"/>
  <c r="O40" i="15"/>
  <c r="O28" i="15"/>
  <c r="I434" i="13"/>
  <c r="O19" i="15"/>
  <c r="O51" i="15"/>
  <c r="O10" i="15"/>
  <c r="O13" i="15"/>
  <c r="O16" i="15"/>
  <c r="O32" i="15"/>
  <c r="O38" i="15"/>
  <c r="P5" i="15"/>
  <c r="Q5" i="15" s="1"/>
  <c r="O41" i="15"/>
  <c r="O44" i="15"/>
  <c r="O47" i="15"/>
  <c r="O50" i="15"/>
  <c r="O53" i="15"/>
  <c r="O30" i="15"/>
  <c r="O33" i="15"/>
  <c r="O7" i="15"/>
  <c r="O36" i="15"/>
  <c r="O39" i="15"/>
  <c r="O57" i="15"/>
  <c r="O22" i="15"/>
  <c r="O25" i="15"/>
  <c r="O54" i="15"/>
  <c r="E2" i="17"/>
  <c r="E5" i="17" s="1"/>
  <c r="O43" i="15"/>
  <c r="O49" i="15"/>
  <c r="O20" i="15"/>
  <c r="O23" i="15"/>
  <c r="O52" i="15"/>
  <c r="O26" i="15"/>
  <c r="O29" i="15"/>
  <c r="D3" i="17"/>
  <c r="D5" i="17" s="1"/>
  <c r="G4" i="17"/>
  <c r="H4" i="17"/>
  <c r="C2" i="17"/>
  <c r="G3" i="17"/>
  <c r="J4" i="17"/>
  <c r="H3" i="17"/>
  <c r="G2" i="17"/>
  <c r="H2" i="17"/>
  <c r="B4" i="17"/>
  <c r="E4" i="17" s="1"/>
  <c r="C4" i="17"/>
  <c r="B3" i="17"/>
  <c r="E3" i="17" s="1"/>
  <c r="L4" i="17" l="1"/>
  <c r="N4" i="9"/>
  <c r="O4" i="9" s="1"/>
  <c r="N9" i="9"/>
  <c r="O9" i="9" s="1"/>
  <c r="J150" i="13"/>
  <c r="N57" i="9"/>
  <c r="O57" i="9" s="1"/>
  <c r="N44" i="9"/>
  <c r="O44" i="9" s="1"/>
  <c r="N41" i="9"/>
  <c r="O41" i="9" s="1"/>
  <c r="L135" i="13"/>
  <c r="J135" i="13"/>
  <c r="N17" i="9"/>
  <c r="O17" i="9" s="1"/>
  <c r="L162" i="13"/>
  <c r="N62" i="9"/>
  <c r="O62" i="9" s="1"/>
  <c r="N75" i="9"/>
  <c r="O75" i="9" s="1"/>
  <c r="N36" i="9"/>
  <c r="O36" i="9" s="1"/>
  <c r="N12" i="9"/>
  <c r="O12" i="9" s="1"/>
  <c r="N61" i="9"/>
  <c r="O61" i="9" s="1"/>
  <c r="N18" i="9"/>
  <c r="O18" i="9" s="1"/>
  <c r="N30" i="9"/>
  <c r="O30" i="9" s="1"/>
  <c r="N43" i="9"/>
  <c r="O43" i="9" s="1"/>
  <c r="N70" i="9"/>
  <c r="O70" i="9" s="1"/>
  <c r="S3" i="15"/>
  <c r="T3" i="15" s="1"/>
  <c r="V3" i="15" s="1"/>
  <c r="S6" i="15"/>
  <c r="T6" i="15" s="1"/>
  <c r="L313" i="13"/>
  <c r="J313" i="13"/>
  <c r="J414" i="13"/>
  <c r="L414" i="13"/>
  <c r="J224" i="13"/>
  <c r="L224" i="13"/>
  <c r="L411" i="13"/>
  <c r="J411" i="13"/>
  <c r="L304" i="13"/>
  <c r="J304" i="13"/>
  <c r="L410" i="13"/>
  <c r="J410" i="13"/>
  <c r="L408" i="13"/>
  <c r="J408" i="13"/>
  <c r="L220" i="13"/>
  <c r="J220" i="13"/>
  <c r="J424" i="13"/>
  <c r="L424" i="13"/>
  <c r="L371" i="13"/>
  <c r="J371" i="13"/>
  <c r="J364" i="13"/>
  <c r="L364" i="13"/>
  <c r="L251" i="13"/>
  <c r="J251" i="13"/>
  <c r="L232" i="13"/>
  <c r="J232" i="13"/>
  <c r="J328" i="13"/>
  <c r="L328" i="13"/>
  <c r="J247" i="13"/>
  <c r="L247" i="13"/>
  <c r="J345" i="13"/>
  <c r="L345" i="13"/>
  <c r="J183" i="13"/>
  <c r="L183" i="13"/>
  <c r="L210" i="13"/>
  <c r="J210" i="13"/>
  <c r="J349" i="13"/>
  <c r="L349" i="13"/>
  <c r="J354" i="13"/>
  <c r="L354" i="13"/>
  <c r="L267" i="13"/>
  <c r="J267" i="13"/>
  <c r="L118" i="13"/>
  <c r="J118" i="13"/>
  <c r="J391" i="13"/>
  <c r="L391" i="13"/>
  <c r="L55" i="13"/>
  <c r="J55" i="13"/>
  <c r="J153" i="13"/>
  <c r="L153" i="13"/>
  <c r="L24" i="13"/>
  <c r="J24" i="13"/>
  <c r="J280" i="13"/>
  <c r="L280" i="13"/>
  <c r="L425" i="13"/>
  <c r="J425" i="13"/>
  <c r="L415" i="13"/>
  <c r="J415" i="13"/>
  <c r="L261" i="13"/>
  <c r="J261" i="13"/>
  <c r="L88" i="13"/>
  <c r="J88" i="13"/>
  <c r="L250" i="13"/>
  <c r="J250" i="13"/>
  <c r="N6" i="9"/>
  <c r="O6" i="9" s="1"/>
  <c r="U228" i="4"/>
  <c r="N15" i="9"/>
  <c r="O15" i="9" s="1"/>
  <c r="J262" i="13"/>
  <c r="L262" i="13"/>
  <c r="J316" i="13"/>
  <c r="L316" i="13"/>
  <c r="L378" i="13"/>
  <c r="J378" i="13"/>
  <c r="L402" i="13"/>
  <c r="J402" i="13"/>
  <c r="J379" i="13"/>
  <c r="L379" i="13"/>
  <c r="L418" i="13"/>
  <c r="J418" i="13"/>
  <c r="J234" i="13"/>
  <c r="L234" i="13"/>
  <c r="J124" i="13"/>
  <c r="L124" i="13"/>
  <c r="J260" i="13"/>
  <c r="L260" i="13"/>
  <c r="L293" i="13"/>
  <c r="J293" i="13"/>
  <c r="L137" i="13"/>
  <c r="J137" i="13"/>
  <c r="J468" i="13"/>
  <c r="L468" i="13"/>
  <c r="J395" i="13"/>
  <c r="L395" i="13"/>
  <c r="L248" i="13"/>
  <c r="J248" i="13"/>
  <c r="J334" i="13"/>
  <c r="L334" i="13"/>
  <c r="L446" i="13"/>
  <c r="J446" i="13"/>
  <c r="H42" i="5"/>
  <c r="L121" i="13"/>
  <c r="J121" i="13"/>
  <c r="L10" i="13"/>
  <c r="J10" i="13"/>
  <c r="L197" i="13"/>
  <c r="J197" i="13"/>
  <c r="L451" i="13"/>
  <c r="J451" i="13"/>
  <c r="L376" i="13"/>
  <c r="J376" i="13"/>
  <c r="N65" i="9"/>
  <c r="O65" i="9" s="1"/>
  <c r="L5" i="13"/>
  <c r="J5" i="13"/>
  <c r="L368" i="13"/>
  <c r="J368" i="13"/>
  <c r="J297" i="13"/>
  <c r="L297" i="13"/>
  <c r="N27" i="9"/>
  <c r="O27" i="9" s="1"/>
  <c r="N56" i="9"/>
  <c r="O56" i="9" s="1"/>
  <c r="L57" i="13"/>
  <c r="J57" i="13"/>
  <c r="J223" i="13"/>
  <c r="L223" i="13"/>
  <c r="L8" i="10"/>
  <c r="M8" i="10"/>
  <c r="K8" i="10"/>
  <c r="L332" i="13"/>
  <c r="J332" i="13"/>
  <c r="J455" i="13"/>
  <c r="L455" i="13"/>
  <c r="L380" i="13"/>
  <c r="J380" i="13"/>
  <c r="J373" i="13"/>
  <c r="L373" i="13"/>
  <c r="J282" i="13"/>
  <c r="L282" i="13"/>
  <c r="K56" i="15"/>
  <c r="L56" i="15" s="1"/>
  <c r="L151" i="13"/>
  <c r="J151" i="13"/>
  <c r="L227" i="13"/>
  <c r="J227" i="13"/>
  <c r="L254" i="13"/>
  <c r="J254" i="13"/>
  <c r="J287" i="13"/>
  <c r="L287" i="13"/>
  <c r="J130" i="13"/>
  <c r="L130" i="13"/>
  <c r="L377" i="13"/>
  <c r="J377" i="13"/>
  <c r="L257" i="13"/>
  <c r="J257" i="13"/>
  <c r="J144" i="13"/>
  <c r="L144" i="13"/>
  <c r="L344" i="13"/>
  <c r="J344" i="13"/>
  <c r="L160" i="13"/>
  <c r="J160" i="13"/>
  <c r="L211" i="13"/>
  <c r="J211" i="13"/>
  <c r="J329" i="13"/>
  <c r="L329" i="13"/>
  <c r="N68" i="9"/>
  <c r="O68" i="9" s="1"/>
  <c r="L19" i="13"/>
  <c r="J19" i="13"/>
  <c r="L97" i="13"/>
  <c r="J97" i="13"/>
  <c r="L259" i="13"/>
  <c r="J259" i="13"/>
  <c r="N25" i="9"/>
  <c r="O25" i="9" s="1"/>
  <c r="N24" i="9"/>
  <c r="O24" i="9" s="1"/>
  <c r="J67" i="13"/>
  <c r="L67" i="13"/>
  <c r="L357" i="13"/>
  <c r="J357" i="13"/>
  <c r="L65" i="13"/>
  <c r="J65" i="13"/>
  <c r="N13" i="9"/>
  <c r="O13" i="9" s="1"/>
  <c r="N76" i="9"/>
  <c r="O76" i="9" s="1"/>
  <c r="L453" i="13"/>
  <c r="J453" i="13"/>
  <c r="J381" i="13"/>
  <c r="L381" i="13"/>
  <c r="J265" i="13"/>
  <c r="L265" i="13"/>
  <c r="F30" i="14"/>
  <c r="G30" i="14" s="1"/>
  <c r="L325" i="13"/>
  <c r="J325" i="13"/>
  <c r="L138" i="13"/>
  <c r="J138" i="13"/>
  <c r="J193" i="13"/>
  <c r="L193" i="13"/>
  <c r="L360" i="13"/>
  <c r="J360" i="13"/>
  <c r="L237" i="13"/>
  <c r="J237" i="13"/>
  <c r="J230" i="13"/>
  <c r="L230" i="13"/>
  <c r="J209" i="13"/>
  <c r="L209" i="13"/>
  <c r="J152" i="13"/>
  <c r="L152" i="13"/>
  <c r="J215" i="13"/>
  <c r="L215" i="13"/>
  <c r="J363" i="13"/>
  <c r="L363" i="13"/>
  <c r="L29" i="13"/>
  <c r="J29" i="13"/>
  <c r="L240" i="13"/>
  <c r="J240" i="13"/>
  <c r="J166" i="13"/>
  <c r="L166" i="13"/>
  <c r="L367" i="13"/>
  <c r="J367" i="13"/>
  <c r="N66" i="9"/>
  <c r="O66" i="9" s="1"/>
  <c r="L42" i="13"/>
  <c r="J42" i="13"/>
  <c r="L419" i="13"/>
  <c r="J419" i="13"/>
  <c r="J413" i="13"/>
  <c r="L413" i="13"/>
  <c r="J353" i="13"/>
  <c r="L353" i="13"/>
  <c r="J77" i="13"/>
  <c r="L77" i="13"/>
  <c r="J319" i="13"/>
  <c r="L319" i="13"/>
  <c r="L75" i="13"/>
  <c r="J75" i="13"/>
  <c r="N69" i="9"/>
  <c r="O69" i="9" s="1"/>
  <c r="N7" i="9"/>
  <c r="O7" i="9" s="1"/>
  <c r="F29" i="14"/>
  <c r="G29" i="14" s="1"/>
  <c r="J236" i="13"/>
  <c r="L236" i="13"/>
  <c r="J463" i="13"/>
  <c r="L463" i="13"/>
  <c r="L208" i="13"/>
  <c r="J208" i="13"/>
  <c r="L188" i="13"/>
  <c r="J188" i="13"/>
  <c r="J464" i="13"/>
  <c r="L464" i="13"/>
  <c r="L231" i="13"/>
  <c r="J231" i="13"/>
  <c r="J167" i="13"/>
  <c r="L167" i="13"/>
  <c r="J190" i="13"/>
  <c r="L190" i="13"/>
  <c r="J107" i="13"/>
  <c r="L107" i="13"/>
  <c r="L131" i="13"/>
  <c r="J131" i="13"/>
  <c r="L169" i="13"/>
  <c r="J169" i="13"/>
  <c r="J120" i="13"/>
  <c r="L120" i="13"/>
  <c r="L115" i="13"/>
  <c r="J115" i="13"/>
  <c r="L161" i="13"/>
  <c r="J161" i="13"/>
  <c r="L83" i="13"/>
  <c r="J83" i="13"/>
  <c r="L128" i="13"/>
  <c r="J128" i="13"/>
  <c r="L2" i="13"/>
  <c r="J2" i="13"/>
  <c r="L370" i="13"/>
  <c r="J370" i="13"/>
  <c r="J12" i="13"/>
  <c r="L12" i="13"/>
  <c r="L93" i="13"/>
  <c r="J93" i="13"/>
  <c r="L400" i="13"/>
  <c r="J400" i="13"/>
  <c r="N20" i="9"/>
  <c r="O20" i="9" s="1"/>
  <c r="N19" i="9"/>
  <c r="O19" i="9" s="1"/>
  <c r="N22" i="9"/>
  <c r="O22" i="9" s="1"/>
  <c r="J461" i="13"/>
  <c r="L461" i="13"/>
  <c r="J40" i="13"/>
  <c r="L40" i="13"/>
  <c r="N16" i="9"/>
  <c r="O16" i="9" s="1"/>
  <c r="M7" i="10"/>
  <c r="L7" i="10"/>
  <c r="N7" i="10" s="1"/>
  <c r="K7" i="10"/>
  <c r="F31" i="14"/>
  <c r="G31" i="14" s="1"/>
  <c r="S5" i="15"/>
  <c r="T5" i="15" s="1"/>
  <c r="V5" i="15" s="1"/>
  <c r="L347" i="13"/>
  <c r="J347" i="13"/>
  <c r="L245" i="13"/>
  <c r="J245" i="13"/>
  <c r="J92" i="13"/>
  <c r="L92" i="13"/>
  <c r="J172" i="13"/>
  <c r="L172" i="13"/>
  <c r="L449" i="13"/>
  <c r="J449" i="13"/>
  <c r="J204" i="13"/>
  <c r="L204" i="13"/>
  <c r="L199" i="13"/>
  <c r="J199" i="13"/>
  <c r="L315" i="13"/>
  <c r="J315" i="13"/>
  <c r="L322" i="13"/>
  <c r="J322" i="13"/>
  <c r="L86" i="13"/>
  <c r="J86" i="13"/>
  <c r="J157" i="13"/>
  <c r="L157" i="13"/>
  <c r="L171" i="13"/>
  <c r="J171" i="13"/>
  <c r="J52" i="13"/>
  <c r="L52" i="13"/>
  <c r="L100" i="13"/>
  <c r="J100" i="13"/>
  <c r="L11" i="13"/>
  <c r="J11" i="13"/>
  <c r="L198" i="13"/>
  <c r="J198" i="13"/>
  <c r="J48" i="13"/>
  <c r="L48" i="13"/>
  <c r="J108" i="13"/>
  <c r="L108" i="13"/>
  <c r="L94" i="13"/>
  <c r="J94" i="13"/>
  <c r="J393" i="13"/>
  <c r="L393" i="13"/>
  <c r="L23" i="13"/>
  <c r="J23" i="13"/>
  <c r="J143" i="13"/>
  <c r="G34" i="15" s="1"/>
  <c r="I34" i="15" s="1"/>
  <c r="L143" i="13"/>
  <c r="J41" i="13"/>
  <c r="L41" i="13"/>
  <c r="L278" i="13"/>
  <c r="J278" i="13"/>
  <c r="L73" i="13"/>
  <c r="J73" i="13"/>
  <c r="N10" i="9"/>
  <c r="O10" i="9" s="1"/>
  <c r="J45" i="13"/>
  <c r="L45" i="13"/>
  <c r="N14" i="9"/>
  <c r="O14" i="9" s="1"/>
  <c r="J365" i="13"/>
  <c r="L365" i="13"/>
  <c r="L182" i="13"/>
  <c r="J182" i="13"/>
  <c r="K55" i="15"/>
  <c r="L55" i="15" s="1"/>
  <c r="J241" i="13"/>
  <c r="L241" i="13"/>
  <c r="L458" i="13"/>
  <c r="J458" i="13"/>
  <c r="J454" i="13"/>
  <c r="L454" i="13"/>
  <c r="J406" i="13"/>
  <c r="L406" i="13"/>
  <c r="J429" i="13"/>
  <c r="L429" i="13"/>
  <c r="L249" i="13"/>
  <c r="J249" i="13"/>
  <c r="J350" i="13"/>
  <c r="L350" i="13"/>
  <c r="J74" i="13"/>
  <c r="L74" i="13"/>
  <c r="L219" i="13"/>
  <c r="J219" i="13"/>
  <c r="L148" i="13"/>
  <c r="J148" i="13"/>
  <c r="J27" i="13"/>
  <c r="L27" i="13"/>
  <c r="L71" i="13"/>
  <c r="J71" i="13"/>
  <c r="G49" i="5"/>
  <c r="H6" i="5"/>
  <c r="H49" i="5" s="1"/>
  <c r="J212" i="13"/>
  <c r="L212" i="13"/>
  <c r="L9" i="13"/>
  <c r="J9" i="13"/>
  <c r="J103" i="13"/>
  <c r="L103" i="13"/>
  <c r="J448" i="13"/>
  <c r="L448" i="13"/>
  <c r="L44" i="13"/>
  <c r="J44" i="13"/>
  <c r="J177" i="13"/>
  <c r="L177" i="13"/>
  <c r="L18" i="13"/>
  <c r="J18" i="13"/>
  <c r="J447" i="13"/>
  <c r="L447" i="13"/>
  <c r="L101" i="13"/>
  <c r="J101" i="13"/>
  <c r="J34" i="13"/>
  <c r="L34" i="13"/>
  <c r="M6" i="10"/>
  <c r="L6" i="10"/>
  <c r="N6" i="10" s="1"/>
  <c r="K6" i="10"/>
  <c r="L442" i="13"/>
  <c r="J442" i="13"/>
  <c r="L140" i="13"/>
  <c r="J140" i="13"/>
  <c r="L310" i="13"/>
  <c r="J310" i="13"/>
  <c r="J271" i="13"/>
  <c r="L271" i="13"/>
  <c r="L268" i="13"/>
  <c r="J268" i="13"/>
  <c r="L440" i="13"/>
  <c r="J440" i="13"/>
  <c r="L467" i="13"/>
  <c r="J467" i="13"/>
  <c r="J372" i="13"/>
  <c r="L372" i="13"/>
  <c r="J184" i="13"/>
  <c r="L184" i="13"/>
  <c r="H5" i="17"/>
  <c r="L389" i="13"/>
  <c r="J389" i="13"/>
  <c r="J397" i="13"/>
  <c r="L397" i="13"/>
  <c r="L426" i="13"/>
  <c r="J426" i="13"/>
  <c r="J327" i="13"/>
  <c r="L327" i="13"/>
  <c r="L277" i="13"/>
  <c r="J277" i="13"/>
  <c r="L422" i="13"/>
  <c r="J422" i="13"/>
  <c r="J279" i="13"/>
  <c r="L279" i="13"/>
  <c r="L243" i="13"/>
  <c r="J243" i="13"/>
  <c r="L396" i="13"/>
  <c r="J396" i="13"/>
  <c r="J289" i="13"/>
  <c r="L289" i="13"/>
  <c r="L133" i="13"/>
  <c r="J133" i="13"/>
  <c r="J22" i="13"/>
  <c r="L22" i="13"/>
  <c r="L16" i="13"/>
  <c r="J16" i="13"/>
  <c r="J355" i="13"/>
  <c r="L355" i="13"/>
  <c r="L61" i="13"/>
  <c r="J61" i="13"/>
  <c r="L302" i="13"/>
  <c r="J302" i="13"/>
  <c r="L242" i="13"/>
  <c r="J242" i="13"/>
  <c r="J46" i="13"/>
  <c r="L46" i="13"/>
  <c r="J54" i="5"/>
  <c r="J58" i="5" s="1"/>
  <c r="L58" i="5" s="1"/>
  <c r="J56" i="5"/>
  <c r="L87" i="13"/>
  <c r="J87" i="13"/>
  <c r="N53" i="9"/>
  <c r="O53" i="9" s="1"/>
  <c r="N50" i="9"/>
  <c r="O50" i="9" s="1"/>
  <c r="N54" i="9"/>
  <c r="O54" i="9" s="1"/>
  <c r="J340" i="13"/>
  <c r="L340" i="13"/>
  <c r="N49" i="9"/>
  <c r="O49" i="9" s="1"/>
  <c r="L21" i="13"/>
  <c r="J21" i="13"/>
  <c r="N29" i="9"/>
  <c r="O29" i="9" s="1"/>
  <c r="J217" i="13"/>
  <c r="L217" i="13"/>
  <c r="N21" i="9"/>
  <c r="O21" i="9" s="1"/>
  <c r="J63" i="13"/>
  <c r="L63" i="13"/>
  <c r="L142" i="13"/>
  <c r="J142" i="13"/>
  <c r="L309" i="13"/>
  <c r="J309" i="13"/>
  <c r="L466" i="13"/>
  <c r="J466" i="13"/>
  <c r="J358" i="13"/>
  <c r="L358" i="13"/>
  <c r="L385" i="13"/>
  <c r="J385" i="13"/>
  <c r="L269" i="13"/>
  <c r="J269" i="13"/>
  <c r="J441" i="13"/>
  <c r="L441" i="13"/>
  <c r="L179" i="13"/>
  <c r="J179" i="13"/>
  <c r="J207" i="13"/>
  <c r="L207" i="13"/>
  <c r="L450" i="13"/>
  <c r="J450" i="13"/>
  <c r="J283" i="13"/>
  <c r="L283" i="13"/>
  <c r="J28" i="13"/>
  <c r="L28" i="13"/>
  <c r="J225" i="13"/>
  <c r="L225" i="13"/>
  <c r="J239" i="13"/>
  <c r="L239" i="13"/>
  <c r="J388" i="13"/>
  <c r="L388" i="13"/>
  <c r="L403" i="13"/>
  <c r="J403" i="13"/>
  <c r="J56" i="13"/>
  <c r="L56" i="13"/>
  <c r="J337" i="13"/>
  <c r="L337" i="13"/>
  <c r="J163" i="13"/>
  <c r="L163" i="13"/>
  <c r="L81" i="13"/>
  <c r="J81" i="13"/>
  <c r="N42" i="9"/>
  <c r="O42" i="9" s="1"/>
  <c r="J306" i="13"/>
  <c r="L306" i="13"/>
  <c r="L196" i="13"/>
  <c r="J196" i="13"/>
  <c r="J72" i="13"/>
  <c r="L72" i="13"/>
  <c r="L2" i="17"/>
  <c r="G5" i="17"/>
  <c r="L295" i="13"/>
  <c r="J295" i="13"/>
  <c r="S2" i="15"/>
  <c r="T2" i="15" s="1"/>
  <c r="J348" i="13"/>
  <c r="L348" i="13"/>
  <c r="J300" i="13"/>
  <c r="L300" i="13"/>
  <c r="J382" i="13"/>
  <c r="L382" i="13"/>
  <c r="J174" i="13"/>
  <c r="L174" i="13"/>
  <c r="J336" i="13"/>
  <c r="L336" i="13"/>
  <c r="L216" i="13"/>
  <c r="J216" i="13"/>
  <c r="J206" i="13"/>
  <c r="L206" i="13"/>
  <c r="L333" i="13"/>
  <c r="J333" i="13"/>
  <c r="L229" i="13"/>
  <c r="J229" i="13"/>
  <c r="L202" i="13"/>
  <c r="J202" i="13"/>
  <c r="L59" i="13"/>
  <c r="J59" i="13"/>
  <c r="L274" i="13"/>
  <c r="J274" i="13"/>
  <c r="J136" i="13"/>
  <c r="L136" i="13"/>
  <c r="J298" i="13"/>
  <c r="L298" i="13"/>
  <c r="N60" i="9"/>
  <c r="O60" i="9" s="1"/>
  <c r="N64" i="9"/>
  <c r="O64" i="9" s="1"/>
  <c r="L273" i="13"/>
  <c r="J273" i="13"/>
  <c r="L64" i="13"/>
  <c r="J64" i="13"/>
  <c r="N32" i="9"/>
  <c r="O32" i="9" s="1"/>
  <c r="N46" i="9"/>
  <c r="O46" i="9" s="1"/>
  <c r="L435" i="13"/>
  <c r="J435" i="13"/>
  <c r="N23" i="9"/>
  <c r="O23" i="9" s="1"/>
  <c r="J159" i="13"/>
  <c r="L159" i="13"/>
  <c r="N77" i="9"/>
  <c r="O77" i="9" s="1"/>
  <c r="J264" i="13"/>
  <c r="L264" i="13"/>
  <c r="M5" i="10"/>
  <c r="L5" i="10"/>
  <c r="K5" i="10"/>
  <c r="J13" i="13"/>
  <c r="L13" i="13"/>
  <c r="L3" i="17"/>
  <c r="J156" i="13"/>
  <c r="L156" i="13"/>
  <c r="L317" i="13"/>
  <c r="J317" i="13"/>
  <c r="L444" i="13"/>
  <c r="J444" i="13"/>
  <c r="L284" i="13"/>
  <c r="J284" i="13"/>
  <c r="L459" i="13"/>
  <c r="J459" i="13"/>
  <c r="L436" i="13"/>
  <c r="J436" i="13"/>
  <c r="J359" i="13"/>
  <c r="L359" i="13"/>
  <c r="L165" i="13"/>
  <c r="J165" i="13"/>
  <c r="J308" i="13"/>
  <c r="L308" i="13"/>
  <c r="L158" i="13"/>
  <c r="J158" i="13"/>
  <c r="L168" i="13"/>
  <c r="J168" i="13"/>
  <c r="L252" i="13"/>
  <c r="J252" i="13"/>
  <c r="L189" i="13"/>
  <c r="J189" i="13"/>
  <c r="L164" i="13"/>
  <c r="J164" i="13"/>
  <c r="L70" i="13"/>
  <c r="J70" i="13"/>
  <c r="J343" i="13"/>
  <c r="L343" i="13"/>
  <c r="J228" i="13"/>
  <c r="L228" i="13"/>
  <c r="L221" i="13"/>
  <c r="J221" i="13"/>
  <c r="J175" i="13"/>
  <c r="L175" i="13"/>
  <c r="N67" i="9"/>
  <c r="O67" i="9" s="1"/>
  <c r="N59" i="9"/>
  <c r="O59" i="9" s="1"/>
  <c r="L342" i="13"/>
  <c r="J342" i="13"/>
  <c r="N63" i="9"/>
  <c r="O63" i="9" s="1"/>
  <c r="L54" i="13"/>
  <c r="J54" i="13"/>
  <c r="N40" i="9"/>
  <c r="O40" i="9" s="1"/>
  <c r="J338" i="13"/>
  <c r="L338" i="13"/>
  <c r="N31" i="9"/>
  <c r="O31" i="9" s="1"/>
  <c r="L331" i="13"/>
  <c r="J331" i="13"/>
  <c r="J47" i="13"/>
  <c r="L47" i="13"/>
  <c r="L434" i="13"/>
  <c r="J434" i="13"/>
  <c r="J394" i="13"/>
  <c r="L394" i="13"/>
  <c r="L362" i="13"/>
  <c r="J362" i="13"/>
  <c r="J445" i="13"/>
  <c r="L445" i="13"/>
  <c r="J79" i="13"/>
  <c r="L79" i="13"/>
  <c r="L430" i="13"/>
  <c r="J430" i="13"/>
  <c r="J335" i="13"/>
  <c r="L335" i="13"/>
  <c r="J407" i="13"/>
  <c r="L407" i="13"/>
  <c r="L129" i="13"/>
  <c r="J129" i="13"/>
  <c r="J296" i="13"/>
  <c r="L296" i="13"/>
  <c r="L132" i="13"/>
  <c r="J132" i="13"/>
  <c r="L149" i="13"/>
  <c r="J149" i="13"/>
  <c r="L235" i="13"/>
  <c r="J235" i="13"/>
  <c r="L292" i="13"/>
  <c r="J292" i="13"/>
  <c r="J17" i="13"/>
  <c r="L17" i="13"/>
  <c r="L141" i="13"/>
  <c r="J141" i="13"/>
  <c r="L178" i="13"/>
  <c r="J178" i="13"/>
  <c r="L323" i="13"/>
  <c r="J323" i="13"/>
  <c r="J194" i="13"/>
  <c r="L194" i="13"/>
  <c r="L281" i="13"/>
  <c r="J281" i="13"/>
  <c r="L387" i="13"/>
  <c r="J387" i="13"/>
  <c r="L85" i="13"/>
  <c r="J85" i="13"/>
  <c r="N34" i="9"/>
  <c r="O34" i="9" s="1"/>
  <c r="N48" i="9"/>
  <c r="O48" i="9" s="1"/>
  <c r="J84" i="13"/>
  <c r="L84" i="13"/>
  <c r="J303" i="13"/>
  <c r="L303" i="13"/>
  <c r="L39" i="13"/>
  <c r="J39" i="13"/>
  <c r="N71" i="9"/>
  <c r="O71" i="9" s="1"/>
  <c r="N5" i="9"/>
  <c r="O5" i="9" s="1"/>
  <c r="J374" i="13"/>
  <c r="L374" i="13"/>
  <c r="J62" i="13"/>
  <c r="L62" i="13"/>
  <c r="L326" i="13"/>
  <c r="J326" i="13"/>
  <c r="L438" i="13"/>
  <c r="J438" i="13"/>
  <c r="L25" i="13"/>
  <c r="J25" i="13"/>
  <c r="L423" i="13"/>
  <c r="J423" i="13"/>
  <c r="L330" i="13"/>
  <c r="J330" i="13"/>
  <c r="L226" i="13"/>
  <c r="J226" i="13"/>
  <c r="L104" i="13"/>
  <c r="J104" i="13"/>
  <c r="L50" i="13"/>
  <c r="J50" i="13"/>
  <c r="J392" i="13"/>
  <c r="L392" i="13"/>
  <c r="J214" i="13"/>
  <c r="L214" i="13"/>
  <c r="J324" i="13"/>
  <c r="L324" i="13"/>
  <c r="L117" i="13"/>
  <c r="J117" i="13"/>
  <c r="L294" i="13"/>
  <c r="J294" i="13"/>
  <c r="J111" i="13"/>
  <c r="L111" i="13"/>
  <c r="L218" i="13"/>
  <c r="J218" i="13"/>
  <c r="L465" i="13"/>
  <c r="J465" i="13"/>
  <c r="L312" i="13"/>
  <c r="J312" i="13"/>
  <c r="J114" i="13"/>
  <c r="L114" i="13"/>
  <c r="D18" i="14"/>
  <c r="G33" i="15"/>
  <c r="I33" i="15" s="1"/>
  <c r="L109" i="13"/>
  <c r="J109" i="13"/>
  <c r="L452" i="13"/>
  <c r="J452" i="13"/>
  <c r="N51" i="9"/>
  <c r="O51" i="9" s="1"/>
  <c r="N58" i="9"/>
  <c r="O58" i="9" s="1"/>
  <c r="J68" i="13"/>
  <c r="L68" i="13"/>
  <c r="J102" i="13"/>
  <c r="L102" i="13"/>
  <c r="N33" i="9"/>
  <c r="O33" i="9" s="1"/>
  <c r="N37" i="9"/>
  <c r="O37" i="9" s="1"/>
  <c r="N38" i="9"/>
  <c r="O38" i="9" s="1"/>
  <c r="L3" i="13"/>
  <c r="J3" i="13"/>
  <c r="L51" i="13"/>
  <c r="J51" i="13"/>
  <c r="J36" i="13"/>
  <c r="L36" i="13"/>
  <c r="J82" i="13"/>
  <c r="L82" i="13"/>
  <c r="L369" i="13"/>
  <c r="J369" i="13"/>
  <c r="L356" i="13"/>
  <c r="J356" i="13"/>
  <c r="K57" i="15"/>
  <c r="L57" i="15" s="1"/>
  <c r="J405" i="13"/>
  <c r="L405" i="13"/>
  <c r="J366" i="13"/>
  <c r="L366" i="13"/>
  <c r="L291" i="13"/>
  <c r="J291" i="13"/>
  <c r="L320" i="13"/>
  <c r="J320" i="13"/>
  <c r="J200" i="13"/>
  <c r="L200" i="13"/>
  <c r="L288" i="13"/>
  <c r="J288" i="13"/>
  <c r="J43" i="13"/>
  <c r="L43" i="13"/>
  <c r="J154" i="13"/>
  <c r="L154" i="13"/>
  <c r="L76" i="13"/>
  <c r="J76" i="13"/>
  <c r="L443" i="13"/>
  <c r="J443" i="13"/>
  <c r="L409" i="13"/>
  <c r="J409" i="13"/>
  <c r="L201" i="13"/>
  <c r="J201" i="13"/>
  <c r="J60" i="13"/>
  <c r="L60" i="13"/>
  <c r="L119" i="13"/>
  <c r="J119" i="13"/>
  <c r="L246" i="13"/>
  <c r="J246" i="13"/>
  <c r="L58" i="13"/>
  <c r="J58" i="13"/>
  <c r="L53" i="13"/>
  <c r="J53" i="13"/>
  <c r="L96" i="13"/>
  <c r="J96" i="13"/>
  <c r="L69" i="13"/>
  <c r="J69" i="13"/>
  <c r="J123" i="13"/>
  <c r="L123" i="13"/>
  <c r="L6" i="13"/>
  <c r="J6" i="13"/>
  <c r="J4" i="13"/>
  <c r="L4" i="13"/>
  <c r="L390" i="13"/>
  <c r="J390" i="13"/>
  <c r="S4" i="15"/>
  <c r="T4" i="15" s="1"/>
  <c r="L428" i="13"/>
  <c r="J428" i="13"/>
  <c r="L311" i="13"/>
  <c r="J311" i="13"/>
  <c r="L285" i="13"/>
  <c r="J285" i="13"/>
  <c r="J266" i="13"/>
  <c r="L266" i="13"/>
  <c r="L460" i="13"/>
  <c r="J460" i="13"/>
  <c r="L276" i="13"/>
  <c r="J276" i="13"/>
  <c r="J176" i="13"/>
  <c r="L176" i="13"/>
  <c r="J462" i="13"/>
  <c r="L462" i="13"/>
  <c r="J33" i="13"/>
  <c r="L33" i="13"/>
  <c r="L412" i="13"/>
  <c r="J412" i="13"/>
  <c r="J32" i="13"/>
  <c r="L32" i="13"/>
  <c r="L401" i="13"/>
  <c r="J401" i="13"/>
  <c r="J361" i="13"/>
  <c r="L361" i="13"/>
  <c r="J222" i="13"/>
  <c r="L222" i="13"/>
  <c r="L30" i="13"/>
  <c r="J30" i="13"/>
  <c r="J89" i="13"/>
  <c r="L89" i="13"/>
  <c r="L352" i="13"/>
  <c r="J352" i="13"/>
  <c r="L301" i="13"/>
  <c r="J301" i="13"/>
  <c r="J78" i="13"/>
  <c r="L78" i="13"/>
  <c r="L37" i="13"/>
  <c r="J37" i="13"/>
  <c r="L99" i="13"/>
  <c r="J99" i="13"/>
  <c r="L90" i="13"/>
  <c r="J90" i="13"/>
  <c r="L110" i="13"/>
  <c r="J110" i="13"/>
  <c r="L98" i="13"/>
  <c r="J98" i="13"/>
  <c r="J14" i="13"/>
  <c r="L14" i="13"/>
  <c r="K4" i="10"/>
  <c r="M4" i="10"/>
  <c r="L4" i="10"/>
  <c r="N4" i="10" s="1"/>
  <c r="J275" i="13"/>
  <c r="L275" i="13"/>
  <c r="J433" i="13"/>
  <c r="L433" i="13"/>
  <c r="L431" i="13"/>
  <c r="J431" i="13"/>
  <c r="J398" i="13"/>
  <c r="L398" i="13"/>
  <c r="L256" i="13"/>
  <c r="J256" i="13"/>
  <c r="J255" i="13"/>
  <c r="L255" i="13"/>
  <c r="J404" i="13"/>
  <c r="L404" i="13"/>
  <c r="J253" i="13"/>
  <c r="L253" i="13"/>
  <c r="J383" i="13"/>
  <c r="L383" i="13"/>
  <c r="L8" i="13"/>
  <c r="J8" i="13"/>
  <c r="J195" i="13"/>
  <c r="L195" i="13"/>
  <c r="J258" i="13"/>
  <c r="L258" i="13"/>
  <c r="L26" i="13"/>
  <c r="J26" i="13"/>
  <c r="J318" i="13"/>
  <c r="L318" i="13"/>
  <c r="J147" i="13"/>
  <c r="L147" i="13"/>
  <c r="L346" i="13"/>
  <c r="J346" i="13"/>
  <c r="J125" i="13"/>
  <c r="L125" i="13"/>
  <c r="L49" i="13"/>
  <c r="J49" i="13"/>
  <c r="J351" i="13"/>
  <c r="L351" i="13"/>
  <c r="L427" i="13"/>
  <c r="J427" i="13"/>
  <c r="N55" i="9"/>
  <c r="O55" i="9" s="1"/>
  <c r="J105" i="13"/>
  <c r="L105" i="13"/>
  <c r="J7" i="13"/>
  <c r="L7" i="13"/>
  <c r="N47" i="9"/>
  <c r="O47" i="9" s="1"/>
  <c r="L106" i="13"/>
  <c r="J106" i="13"/>
  <c r="L146" i="13"/>
  <c r="J146" i="13"/>
  <c r="L299" i="13"/>
  <c r="J299" i="13"/>
  <c r="N8" i="10" l="1"/>
  <c r="P55" i="15"/>
  <c r="Q55" i="15" s="1"/>
  <c r="V6" i="15"/>
  <c r="I4" i="17"/>
  <c r="G7" i="15"/>
  <c r="I7" i="15" s="1"/>
  <c r="D5" i="14"/>
  <c r="G8" i="15"/>
  <c r="I8" i="15" s="1"/>
  <c r="G14" i="15"/>
  <c r="I14" i="15" s="1"/>
  <c r="G13" i="15"/>
  <c r="I13" i="15" s="1"/>
  <c r="D8" i="14"/>
  <c r="G30" i="15"/>
  <c r="I30" i="15" s="1"/>
  <c r="G29" i="15"/>
  <c r="I29" i="15" s="1"/>
  <c r="D16" i="14"/>
  <c r="L5" i="17"/>
  <c r="D26" i="14"/>
  <c r="G49" i="15"/>
  <c r="I49" i="15" s="1"/>
  <c r="G50" i="15"/>
  <c r="I50" i="15" s="1"/>
  <c r="D27" i="14"/>
  <c r="G52" i="15"/>
  <c r="I52" i="15" s="1"/>
  <c r="G51" i="15"/>
  <c r="I51" i="15" s="1"/>
  <c r="G44" i="15"/>
  <c r="I44" i="15" s="1"/>
  <c r="G43" i="15"/>
  <c r="I43" i="15" s="1"/>
  <c r="D23" i="14"/>
  <c r="H51" i="5"/>
  <c r="F61" i="5" s="1"/>
  <c r="L49" i="5"/>
  <c r="G23" i="15"/>
  <c r="I23" i="15" s="1"/>
  <c r="G24" i="15"/>
  <c r="I24" i="15" s="1"/>
  <c r="D13" i="14"/>
  <c r="G46" i="15"/>
  <c r="I46" i="15" s="1"/>
  <c r="D24" i="14"/>
  <c r="G45" i="15"/>
  <c r="I45" i="15" s="1"/>
  <c r="P56" i="15"/>
  <c r="Q56" i="15" s="1"/>
  <c r="L34" i="15"/>
  <c r="K34" i="15"/>
  <c r="D10" i="14"/>
  <c r="G17" i="15"/>
  <c r="I17" i="15" s="1"/>
  <c r="G18" i="15"/>
  <c r="I18" i="15" s="1"/>
  <c r="G22" i="15"/>
  <c r="I22" i="15" s="1"/>
  <c r="G21" i="15"/>
  <c r="I21" i="15" s="1"/>
  <c r="D12" i="14"/>
  <c r="K33" i="15"/>
  <c r="L33" i="15" s="1"/>
  <c r="F18" i="14"/>
  <c r="G18" i="14" s="1"/>
  <c r="G38" i="15"/>
  <c r="I38" i="15" s="1"/>
  <c r="G37" i="15"/>
  <c r="I37" i="15" s="1"/>
  <c r="D20" i="14"/>
  <c r="G20" i="15"/>
  <c r="I20" i="15" s="1"/>
  <c r="G19" i="15"/>
  <c r="I19" i="15" s="1"/>
  <c r="D11" i="14"/>
  <c r="D6" i="14"/>
  <c r="G10" i="15"/>
  <c r="I10" i="15" s="1"/>
  <c r="G9" i="15"/>
  <c r="I9" i="15" s="1"/>
  <c r="G16" i="15"/>
  <c r="I16" i="15" s="1"/>
  <c r="G15" i="15"/>
  <c r="I15" i="15" s="1"/>
  <c r="D9" i="14"/>
  <c r="G12" i="15"/>
  <c r="I12" i="15" s="1"/>
  <c r="D7" i="14"/>
  <c r="G11" i="15"/>
  <c r="I11" i="15" s="1"/>
  <c r="D19" i="14"/>
  <c r="G35" i="15"/>
  <c r="I35" i="15" s="1"/>
  <c r="G36" i="15"/>
  <c r="I36" i="15" s="1"/>
  <c r="Q57" i="15"/>
  <c r="P57" i="15"/>
  <c r="D21" i="14"/>
  <c r="G40" i="15"/>
  <c r="I40" i="15" s="1"/>
  <c r="G39" i="15"/>
  <c r="I39" i="15" s="1"/>
  <c r="D22" i="14"/>
  <c r="G41" i="15"/>
  <c r="I41" i="15" s="1"/>
  <c r="G42" i="15"/>
  <c r="I42" i="15" s="1"/>
  <c r="J3" i="17" s="1"/>
  <c r="I3" i="17"/>
  <c r="D14" i="14"/>
  <c r="G25" i="15"/>
  <c r="I25" i="15" s="1"/>
  <c r="G26" i="15"/>
  <c r="I26" i="15" s="1"/>
  <c r="I2" i="17"/>
  <c r="G32" i="15"/>
  <c r="I32" i="15" s="1"/>
  <c r="D17" i="14"/>
  <c r="G31" i="15"/>
  <c r="I31" i="15" s="1"/>
  <c r="G27" i="15"/>
  <c r="I27" i="15" s="1"/>
  <c r="G28" i="15"/>
  <c r="I28" i="15" s="1"/>
  <c r="D15" i="14"/>
  <c r="N5" i="10"/>
  <c r="D25" i="14"/>
  <c r="G48" i="15"/>
  <c r="I48" i="15" s="1"/>
  <c r="G47" i="15"/>
  <c r="I47" i="15" s="1"/>
  <c r="D28" i="14"/>
  <c r="G54" i="15"/>
  <c r="I54" i="15" s="1"/>
  <c r="G53" i="15"/>
  <c r="I53" i="15" s="1"/>
  <c r="I5" i="17" l="1"/>
  <c r="J2" i="17"/>
  <c r="J5" i="17" s="1"/>
  <c r="S56" i="15"/>
  <c r="T56" i="15" s="1"/>
  <c r="V56" i="15" s="1"/>
  <c r="P33" i="15"/>
  <c r="Q33" i="15" s="1"/>
  <c r="S55" i="15"/>
  <c r="T55" i="15" s="1"/>
  <c r="F22" i="14"/>
  <c r="G22" i="14" s="1"/>
  <c r="K35" i="15"/>
  <c r="L35" i="15" s="1"/>
  <c r="K38" i="15"/>
  <c r="L38" i="15" s="1"/>
  <c r="F24" i="14"/>
  <c r="G24" i="14" s="1"/>
  <c r="F19" i="14"/>
  <c r="G19" i="14" s="1"/>
  <c r="K46" i="15"/>
  <c r="L46" i="15" s="1"/>
  <c r="F16" i="14"/>
  <c r="G16" i="14" s="1"/>
  <c r="K26" i="15"/>
  <c r="L26" i="15" s="1"/>
  <c r="K11" i="15"/>
  <c r="L11" i="15" s="1"/>
  <c r="F13" i="14"/>
  <c r="G13" i="14" s="1"/>
  <c r="K29" i="15"/>
  <c r="L29" i="15" s="1"/>
  <c r="K25" i="15"/>
  <c r="L25" i="15" s="1"/>
  <c r="F7" i="14"/>
  <c r="G7" i="14" s="1"/>
  <c r="K24" i="15"/>
  <c r="L24" i="15" s="1"/>
  <c r="K30" i="15"/>
  <c r="L30" i="15" s="1"/>
  <c r="F28" i="14"/>
  <c r="G28" i="14"/>
  <c r="F14" i="14"/>
  <c r="G14" i="14" s="1"/>
  <c r="K12" i="15"/>
  <c r="L12" i="15" s="1"/>
  <c r="K23" i="15"/>
  <c r="L23" i="15" s="1"/>
  <c r="F8" i="14"/>
  <c r="G8" i="14" s="1"/>
  <c r="K54" i="15"/>
  <c r="L54" i="15" s="1"/>
  <c r="K47" i="15"/>
  <c r="L47" i="15" s="1"/>
  <c r="F9" i="14"/>
  <c r="G9" i="14" s="1"/>
  <c r="F12" i="14"/>
  <c r="G12" i="14" s="1"/>
  <c r="K13" i="15"/>
  <c r="L13" i="15" s="1"/>
  <c r="K48" i="15"/>
  <c r="L48" i="15" s="1"/>
  <c r="K15" i="15"/>
  <c r="L15" i="15" s="1"/>
  <c r="K21" i="15"/>
  <c r="L21" i="15" s="1"/>
  <c r="G61" i="5"/>
  <c r="F65" i="5"/>
  <c r="F67" i="5" s="1"/>
  <c r="K14" i="15"/>
  <c r="L14" i="15" s="1"/>
  <c r="F25" i="14"/>
  <c r="G25" i="14" s="1"/>
  <c r="K16" i="15"/>
  <c r="L16" i="15" s="1"/>
  <c r="K22" i="15"/>
  <c r="L22" i="15" s="1"/>
  <c r="F23" i="14"/>
  <c r="G23" i="14" s="1"/>
  <c r="K41" i="15"/>
  <c r="L41" i="15" s="1"/>
  <c r="K9" i="15"/>
  <c r="L9" i="15" s="1"/>
  <c r="K18" i="15"/>
  <c r="L18" i="15" s="1"/>
  <c r="K43" i="15"/>
  <c r="L43" i="15" s="1"/>
  <c r="K8" i="15"/>
  <c r="L8" i="15" s="1"/>
  <c r="K42" i="15"/>
  <c r="L42" i="15" s="1"/>
  <c r="K10" i="15"/>
  <c r="L10" i="15" s="1"/>
  <c r="K17" i="15"/>
  <c r="L17" i="15" s="1"/>
  <c r="K44" i="15"/>
  <c r="L44" i="15" s="1"/>
  <c r="F5" i="14"/>
  <c r="G5" i="14" s="1"/>
  <c r="F15" i="14"/>
  <c r="G15" i="14" s="1"/>
  <c r="F6" i="14"/>
  <c r="G6" i="14" s="1"/>
  <c r="F10" i="14"/>
  <c r="G10" i="14" s="1"/>
  <c r="K51" i="15"/>
  <c r="L51" i="15" s="1"/>
  <c r="K7" i="15"/>
  <c r="L7" i="15" s="1"/>
  <c r="K39" i="15"/>
  <c r="L39" i="15" s="1"/>
  <c r="K40" i="15"/>
  <c r="L40" i="15" s="1"/>
  <c r="F11" i="14"/>
  <c r="G11" i="14" s="1"/>
  <c r="K52" i="15"/>
  <c r="L52" i="15" s="1"/>
  <c r="K28" i="15"/>
  <c r="L28" i="15" s="1"/>
  <c r="F21" i="14"/>
  <c r="G21" i="14"/>
  <c r="K19" i="15"/>
  <c r="L19" i="15" s="1"/>
  <c r="P34" i="15"/>
  <c r="Q34" i="15" s="1"/>
  <c r="F27" i="14"/>
  <c r="G27" i="14" s="1"/>
  <c r="K53" i="15"/>
  <c r="L53" i="15" s="1"/>
  <c r="K31" i="15"/>
  <c r="L31" i="15" s="1"/>
  <c r="F17" i="14"/>
  <c r="G17" i="14"/>
  <c r="K20" i="15"/>
  <c r="L20" i="15" s="1"/>
  <c r="K50" i="15"/>
  <c r="L50" i="15" s="1"/>
  <c r="K27" i="15"/>
  <c r="L27" i="15" s="1"/>
  <c r="K32" i="15"/>
  <c r="L32" i="15" s="1"/>
  <c r="S57" i="15"/>
  <c r="T57" i="15" s="1"/>
  <c r="V57" i="15" s="1"/>
  <c r="F20" i="14"/>
  <c r="G20" i="14" s="1"/>
  <c r="K49" i="15"/>
  <c r="L49" i="15" s="1"/>
  <c r="K36" i="15"/>
  <c r="L36" i="15" s="1"/>
  <c r="K37" i="15"/>
  <c r="L37" i="15" s="1"/>
  <c r="K45" i="15"/>
  <c r="L45" i="15" s="1"/>
  <c r="F26" i="14"/>
  <c r="G26" i="14" s="1"/>
  <c r="P20" i="15" l="1"/>
  <c r="Q20" i="15" s="1"/>
  <c r="P40" i="15"/>
  <c r="Q40" i="15" s="1"/>
  <c r="P47" i="15"/>
  <c r="Q47" i="15" s="1"/>
  <c r="P13" i="15"/>
  <c r="Q13" i="15" s="1"/>
  <c r="P41" i="15"/>
  <c r="Q41" i="15" s="1"/>
  <c r="P50" i="15"/>
  <c r="Q50" i="15" s="1"/>
  <c r="P37" i="15"/>
  <c r="Q37" i="15" s="1"/>
  <c r="P12" i="15"/>
  <c r="Q12" i="15" s="1"/>
  <c r="P36" i="15"/>
  <c r="Q36" i="15" s="1"/>
  <c r="P44" i="15"/>
  <c r="Q44" i="15" s="1"/>
  <c r="P17" i="15"/>
  <c r="Q17" i="15" s="1"/>
  <c r="P24" i="15"/>
  <c r="Q24" i="15" s="1"/>
  <c r="V55" i="15"/>
  <c r="F4" i="17"/>
  <c r="P51" i="15"/>
  <c r="Q51" i="15" s="1"/>
  <c r="P54" i="15"/>
  <c r="Q54" i="15" s="1"/>
  <c r="P22" i="15"/>
  <c r="Q22" i="15" s="1"/>
  <c r="P46" i="15"/>
  <c r="Q46" i="15" s="1"/>
  <c r="P23" i="15"/>
  <c r="Q23" i="15" s="1"/>
  <c r="S34" i="15"/>
  <c r="T34" i="15" s="1"/>
  <c r="V34" i="15" s="1"/>
  <c r="P19" i="15"/>
  <c r="Q19" i="15" s="1"/>
  <c r="P38" i="15"/>
  <c r="Q38" i="15" s="1"/>
  <c r="P30" i="15"/>
  <c r="Q30" i="15" s="1"/>
  <c r="P8" i="15"/>
  <c r="Q8" i="15" s="1"/>
  <c r="P39" i="15"/>
  <c r="Q39" i="15" s="1"/>
  <c r="P7" i="15"/>
  <c r="Q7" i="15" s="1"/>
  <c r="P26" i="15"/>
  <c r="Q26" i="15" s="1"/>
  <c r="P53" i="15"/>
  <c r="Q53" i="15" s="1"/>
  <c r="P35" i="15"/>
  <c r="Q35" i="15" s="1"/>
  <c r="S33" i="15"/>
  <c r="T33" i="15" s="1"/>
  <c r="P29" i="15"/>
  <c r="Q29" i="15" s="1"/>
  <c r="P11" i="15"/>
  <c r="Q11" i="15" s="1"/>
  <c r="P45" i="15"/>
  <c r="Q45" i="15" s="1"/>
  <c r="P14" i="15"/>
  <c r="Q14" i="15" s="1"/>
  <c r="P10" i="15"/>
  <c r="Q10" i="15" s="1"/>
  <c r="P28" i="15"/>
  <c r="Q28" i="15" s="1"/>
  <c r="P52" i="15"/>
  <c r="Q52" i="15" s="1"/>
  <c r="P32" i="15"/>
  <c r="Q32" i="15" s="1"/>
  <c r="P43" i="15"/>
  <c r="Q43" i="15" s="1"/>
  <c r="P15" i="15"/>
  <c r="Q15" i="15" s="1"/>
  <c r="P27" i="15"/>
  <c r="Q27" i="15" s="1"/>
  <c r="P18" i="15"/>
  <c r="Q18" i="15" s="1"/>
  <c r="P48" i="15"/>
  <c r="Q48" i="15" s="1"/>
  <c r="P25" i="15"/>
  <c r="Q25" i="15" s="1"/>
  <c r="P16" i="15"/>
  <c r="Q16" i="15" s="1"/>
  <c r="P21" i="15"/>
  <c r="Q21" i="15" s="1"/>
  <c r="P9" i="15"/>
  <c r="Q9" i="15" s="1"/>
  <c r="P42" i="15"/>
  <c r="Q42" i="15" s="1"/>
  <c r="P31" i="15"/>
  <c r="Q31" i="15" s="1"/>
  <c r="P49" i="15"/>
  <c r="Q49" i="15" s="1"/>
  <c r="B13" i="1"/>
  <c r="B19" i="1" s="1"/>
  <c r="G67" i="5"/>
  <c r="G65" i="5"/>
  <c r="H61" i="5"/>
  <c r="S51" i="15" l="1"/>
  <c r="T51" i="15" s="1"/>
  <c r="S42" i="15"/>
  <c r="T42" i="15" s="1"/>
  <c r="V42" i="15" s="1"/>
  <c r="S9" i="15"/>
  <c r="T9" i="15" s="1"/>
  <c r="S35" i="15"/>
  <c r="T35" i="15" s="1"/>
  <c r="S17" i="15"/>
  <c r="T17" i="15" s="1"/>
  <c r="S28" i="15"/>
  <c r="T28" i="15" s="1"/>
  <c r="V28" i="15" s="1"/>
  <c r="S11" i="15"/>
  <c r="T11" i="15" s="1"/>
  <c r="S29" i="15"/>
  <c r="T29" i="15" s="1"/>
  <c r="S16" i="15"/>
  <c r="T16" i="15" s="1"/>
  <c r="V16" i="15" s="1"/>
  <c r="S24" i="15"/>
  <c r="T24" i="15" s="1"/>
  <c r="V24" i="15" s="1"/>
  <c r="S7" i="15"/>
  <c r="T7" i="15" s="1"/>
  <c r="F2" i="17" s="1"/>
  <c r="S39" i="15"/>
  <c r="T39" i="15" s="1"/>
  <c r="S12" i="15"/>
  <c r="T12" i="15" s="1"/>
  <c r="V12" i="15" s="1"/>
  <c r="S30" i="15"/>
  <c r="T30" i="15" s="1"/>
  <c r="V30" i="15" s="1"/>
  <c r="S32" i="15"/>
  <c r="T32" i="15" s="1"/>
  <c r="V32" i="15" s="1"/>
  <c r="S52" i="15"/>
  <c r="T52" i="15" s="1"/>
  <c r="V52" i="15" s="1"/>
  <c r="S19" i="15"/>
  <c r="T19" i="15" s="1"/>
  <c r="S23" i="15"/>
  <c r="T23" i="15" s="1"/>
  <c r="S47" i="15"/>
  <c r="T47" i="15" s="1"/>
  <c r="S54" i="15"/>
  <c r="T54" i="15" s="1"/>
  <c r="V54" i="15" s="1"/>
  <c r="S21" i="15"/>
  <c r="T21" i="15" s="1"/>
  <c r="S53" i="15"/>
  <c r="T53" i="15" s="1"/>
  <c r="S26" i="15"/>
  <c r="T26" i="15" s="1"/>
  <c r="V26" i="15" s="1"/>
  <c r="S18" i="15"/>
  <c r="T18" i="15" s="1"/>
  <c r="V18" i="15" s="1"/>
  <c r="S27" i="15"/>
  <c r="T27" i="15" s="1"/>
  <c r="S15" i="15"/>
  <c r="T15" i="15" s="1"/>
  <c r="S37" i="15"/>
  <c r="T37" i="15" s="1"/>
  <c r="S38" i="15"/>
  <c r="T38" i="15" s="1"/>
  <c r="V38" i="15" s="1"/>
  <c r="S41" i="15"/>
  <c r="T41" i="15" s="1"/>
  <c r="S40" i="15"/>
  <c r="T40" i="15" s="1"/>
  <c r="V40" i="15" s="1"/>
  <c r="S25" i="15"/>
  <c r="T25" i="15" s="1"/>
  <c r="F3" i="17" s="1"/>
  <c r="S48" i="15"/>
  <c r="T48" i="15" s="1"/>
  <c r="V48" i="15" s="1"/>
  <c r="S44" i="15"/>
  <c r="T44" i="15" s="1"/>
  <c r="V44" i="15" s="1"/>
  <c r="S36" i="15"/>
  <c r="T36" i="15" s="1"/>
  <c r="V36" i="15" s="1"/>
  <c r="S8" i="15"/>
  <c r="T8" i="15" s="1"/>
  <c r="V8" i="15" s="1"/>
  <c r="S43" i="15"/>
  <c r="T43" i="15" s="1"/>
  <c r="S50" i="15"/>
  <c r="T50" i="15" s="1"/>
  <c r="V50" i="15" s="1"/>
  <c r="S13" i="15"/>
  <c r="T13" i="15" s="1"/>
  <c r="S10" i="15"/>
  <c r="T10" i="15" s="1"/>
  <c r="V10" i="15" s="1"/>
  <c r="S49" i="15"/>
  <c r="T49" i="15" s="1"/>
  <c r="S14" i="15"/>
  <c r="T14" i="15" s="1"/>
  <c r="V14" i="15" s="1"/>
  <c r="S46" i="15"/>
  <c r="T46" i="15" s="1"/>
  <c r="V46" i="15" s="1"/>
  <c r="S31" i="15"/>
  <c r="T31" i="15" s="1"/>
  <c r="S45" i="15"/>
  <c r="T45" i="15" s="1"/>
  <c r="S22" i="15"/>
  <c r="T22" i="15" s="1"/>
  <c r="V22" i="15" s="1"/>
  <c r="S20" i="15"/>
  <c r="T20" i="15" s="1"/>
  <c r="V20" i="15" s="1"/>
  <c r="K4" i="17"/>
  <c r="M4" i="17"/>
  <c r="H65" i="5"/>
  <c r="G69" i="5"/>
  <c r="H69" i="5" s="1"/>
  <c r="K3" i="17" l="1"/>
  <c r="M3" i="17" s="1"/>
  <c r="K2" i="17"/>
  <c r="K5" i="17" s="1"/>
  <c r="F5" i="17"/>
  <c r="M2" i="17"/>
  <c r="K54" i="5"/>
  <c r="K53" i="5"/>
  <c r="K55" i="5"/>
  <c r="K56" i="5"/>
  <c r="K65" i="5"/>
  <c r="K57" i="5" l="1"/>
  <c r="K69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900-000001000000}">
      <text>
        <r>
          <rPr>
            <sz val="11"/>
            <color theme="1"/>
            <rFont val="Aptos Narrow"/>
            <family val="2"/>
            <charset val="1"/>
          </rPr>
          <t>Pedro Pagliaricci:
Usar formato SC-001, SC-002, etc. Este código debe aparecer al inicio de la columna Observaciones en cada pago cargado en Gastos (ej: SC-001_Cespedes_Certif #2) para que Pagos lo identifique automáticamente.</t>
        </r>
      </text>
    </comment>
  </commentList>
</comments>
</file>

<file path=xl/sharedStrings.xml><?xml version="1.0" encoding="utf-8"?>
<sst xmlns="http://schemas.openxmlformats.org/spreadsheetml/2006/main" count="29286" uniqueCount="5080">
  <si>
    <t>Cuenta</t>
  </si>
  <si>
    <t>Desc Cuenta</t>
  </si>
  <si>
    <t>Fecha Asiento</t>
  </si>
  <si>
    <t>Nº Asiento</t>
  </si>
  <si>
    <t>Observaciones</t>
  </si>
  <si>
    <t>Cliente/Proveedor</t>
  </si>
  <si>
    <t>Cód Comprobante</t>
  </si>
  <si>
    <t>Nº Comprobante</t>
  </si>
  <si>
    <t>Debe</t>
  </si>
  <si>
    <t>Haber</t>
  </si>
  <si>
    <t>Unidad</t>
  </si>
  <si>
    <t>Desc Unidad</t>
  </si>
  <si>
    <t>Centro de Costo</t>
  </si>
  <si>
    <t>Desc Centro Costo</t>
  </si>
  <si>
    <t>Saldo Inicial</t>
  </si>
  <si>
    <t>Observaciones original</t>
  </si>
  <si>
    <t>mov_id</t>
  </si>
  <si>
    <t>mov_tipo</t>
  </si>
  <si>
    <t>Obra civil Reforma</t>
  </si>
  <si>
    <t>Obras - Garcia del Rio 3760 CA</t>
  </si>
  <si>
    <t>Garcia del Rio 3760 CABA Fideicomiso</t>
  </si>
  <si>
    <t>FAWS</t>
  </si>
  <si>
    <t>DESA</t>
  </si>
  <si>
    <t>Desarrollos</t>
  </si>
  <si>
    <t xml:space="preserve">GDR            </t>
  </si>
  <si>
    <t>García del Río 3760</t>
  </si>
  <si>
    <t>Otros ingresos</t>
  </si>
  <si>
    <t>A cuent Ant Obra-10000 TC 1300</t>
  </si>
  <si>
    <t xml:space="preserve">  </t>
  </si>
  <si>
    <t>OIXX</t>
  </si>
  <si>
    <t xml:space="preserve">A cta Ant Obra-4000 TC 1270   </t>
  </si>
  <si>
    <t xml:space="preserve">Deposito factura GDR TC 1.190 </t>
  </si>
  <si>
    <t>A cta de Deuda de GDR TC 1.555</t>
  </si>
  <si>
    <t xml:space="preserve">A cta de Deuda de GDR TC 1155 </t>
  </si>
  <si>
    <t>A cta de Deuda de GDR TC 1.155</t>
  </si>
  <si>
    <t>Pago Cta Ant-usd 30000 tc 1190</t>
  </si>
  <si>
    <t xml:space="preserve">Pago Cta Ant-usd 3505 tc 1200 </t>
  </si>
  <si>
    <t xml:space="preserve">cta deu AING-usd 1200 tc 1310 </t>
  </si>
  <si>
    <t>A cta d deu AIN-usd 2650  1315</t>
  </si>
  <si>
    <t>Sueldos</t>
  </si>
  <si>
    <t xml:space="preserve">Javier Antequera - 06-2025    </t>
  </si>
  <si>
    <t>OPXX</t>
  </si>
  <si>
    <t xml:space="preserve">Javier Antequera - SAC        </t>
  </si>
  <si>
    <t xml:space="preserve">Javier Antequera 07-2025      </t>
  </si>
  <si>
    <t xml:space="preserve">Javier Antequera - 08-2025    </t>
  </si>
  <si>
    <t xml:space="preserve">Javier Antequera 2025-12      </t>
  </si>
  <si>
    <t>Yohen Rodriguez-Premio Hormigo</t>
  </si>
  <si>
    <t>Gastos en personal</t>
  </si>
  <si>
    <t>Gastos en Personales - Abrafer</t>
  </si>
  <si>
    <t>Abrafer S.R.L.</t>
  </si>
  <si>
    <t>FCA3</t>
  </si>
  <si>
    <t>NCA3</t>
  </si>
  <si>
    <t xml:space="preserve">EPP - Abrafer S.R.L.          </t>
  </si>
  <si>
    <t>Aysa</t>
  </si>
  <si>
    <t xml:space="preserve">AYSA - pendientes             </t>
  </si>
  <si>
    <t>Edenor</t>
  </si>
  <si>
    <t xml:space="preserve">EDENOR - Fact. 45239049       </t>
  </si>
  <si>
    <t xml:space="preserve">Deuda Edenor                  </t>
  </si>
  <si>
    <t xml:space="preserve">Edenor - Prestamo a GDR       </t>
  </si>
  <si>
    <t xml:space="preserve">OPG </t>
  </si>
  <si>
    <t>Internet</t>
  </si>
  <si>
    <t>Internet - Telecom Argentina S</t>
  </si>
  <si>
    <t>Telecom Argentina S.A.</t>
  </si>
  <si>
    <t>Librería</t>
  </si>
  <si>
    <t xml:space="preserve">Librería                      </t>
  </si>
  <si>
    <t>LIBRERIA - Parise Paola Beatri</t>
  </si>
  <si>
    <t>Parise Paola Beatriz</t>
  </si>
  <si>
    <t>Limpieza</t>
  </si>
  <si>
    <t xml:space="preserve">Limpieza - Dia Argentina S.A. </t>
  </si>
  <si>
    <t>Dia Argentina S.A.</t>
  </si>
  <si>
    <t>TIQA</t>
  </si>
  <si>
    <t>Limpieza - STRIETZEL WALTER FA</t>
  </si>
  <si>
    <t>STRIETZEL WALTER FABIAN</t>
  </si>
  <si>
    <t xml:space="preserve">FC3 </t>
  </si>
  <si>
    <t xml:space="preserve">Limpieza                      </t>
  </si>
  <si>
    <t>Supermercados</t>
  </si>
  <si>
    <t xml:space="preserve">Supermercados                 </t>
  </si>
  <si>
    <t>Supermercado - Dia Argentina S</t>
  </si>
  <si>
    <t xml:space="preserve">Supermercado - INC S.A        </t>
  </si>
  <si>
    <t>INC S.A</t>
  </si>
  <si>
    <t>Supermercado - Coto C.I.C.S.A.</t>
  </si>
  <si>
    <t>Coto C.I.C.S.A.</t>
  </si>
  <si>
    <t>Supermercado - SOLDADO DE MALV</t>
  </si>
  <si>
    <t>SOLDADO DE MALVINAS 2202 SRL</t>
  </si>
  <si>
    <t>Aguas</t>
  </si>
  <si>
    <t>Aguas - Martin Guillermo Ibarl</t>
  </si>
  <si>
    <t>Martin Guillermo Ibarlucia</t>
  </si>
  <si>
    <t xml:space="preserve">Aguas - OCEANUS NORTE SA      </t>
  </si>
  <si>
    <t>OCEANUS NORTE SA</t>
  </si>
  <si>
    <t>H. Contables</t>
  </si>
  <si>
    <t xml:space="preserve">Degli Esposti - Honorarios    </t>
  </si>
  <si>
    <t xml:space="preserve">Degli Esposti Norberto        </t>
  </si>
  <si>
    <t>H. Seguridad e Higiene</t>
  </si>
  <si>
    <t>Honorarios Seguridad e Higiene</t>
  </si>
  <si>
    <t>Petrini David Osvaldo</t>
  </si>
  <si>
    <t>RUBINO FERNANDO MIGUEL</t>
  </si>
  <si>
    <t>Seguridad e Higiene - RUBINO F</t>
  </si>
  <si>
    <t xml:space="preserve">H. Seguridad e Higiene        </t>
  </si>
  <si>
    <t xml:space="preserve">David Petrini - Adicional S&amp;H </t>
  </si>
  <si>
    <t>David Petrini - Monotributista</t>
  </si>
  <si>
    <t>Subcontrato electrico - Petrin</t>
  </si>
  <si>
    <t xml:space="preserve">David Petrini - Adicional     </t>
  </si>
  <si>
    <t xml:space="preserve">David Petrini                 </t>
  </si>
  <si>
    <t xml:space="preserve">David Petrini - S&amp;H           </t>
  </si>
  <si>
    <t>Petrini Omar Daniel</t>
  </si>
  <si>
    <t xml:space="preserve">Petrini David                 </t>
  </si>
  <si>
    <t xml:space="preserve">Guinche - Petrini Omar Daniel </t>
  </si>
  <si>
    <t>H. Escribanía</t>
  </si>
  <si>
    <t xml:space="preserve">Pto. 720 - Varios             </t>
  </si>
  <si>
    <t xml:space="preserve">Pto. 530 - Varios             </t>
  </si>
  <si>
    <t>H. Arquitectura</t>
  </si>
  <si>
    <t>Alejandro Ardiles - Agrimensor</t>
  </si>
  <si>
    <t xml:space="preserve">Javier Antequera              </t>
  </si>
  <si>
    <t xml:space="preserve">10-2025 - Javier Antequera    </t>
  </si>
  <si>
    <t>H. Gestoria</t>
  </si>
  <si>
    <t xml:space="preserve">Viarq U$ 250                  </t>
  </si>
  <si>
    <t>H. Gestoria- USD 450 A TC 1070</t>
  </si>
  <si>
    <t xml:space="preserve">Emanuel Pasquariello - Edenor </t>
  </si>
  <si>
    <t>Mov. Variables</t>
  </si>
  <si>
    <t xml:space="preserve">Agustin Fletes                </t>
  </si>
  <si>
    <t xml:space="preserve">Combustible - YPF S.A.        </t>
  </si>
  <si>
    <t>YPF S.A.</t>
  </si>
  <si>
    <t xml:space="preserve">ICO - YPF S.A.                </t>
  </si>
  <si>
    <t xml:space="preserve">ITC - YPF S.A.                </t>
  </si>
  <si>
    <t xml:space="preserve">ICO2 - YPF S.A.               </t>
  </si>
  <si>
    <t xml:space="preserve">INFINIA E 12 - YPF S.A.       </t>
  </si>
  <si>
    <t>Combustible General - ESTACION</t>
  </si>
  <si>
    <t>ESTACION DE SERVICIO NORTENA S.R.L.</t>
  </si>
  <si>
    <t xml:space="preserve">ICL - Yapay Neasa S.R.L.      </t>
  </si>
  <si>
    <t>Yapay Neasa S.R.L.</t>
  </si>
  <si>
    <t xml:space="preserve">IDC - Yapay Neasa S.R.L.      </t>
  </si>
  <si>
    <t xml:space="preserve">NAFTA - Yapay Neasa S.R.L.    </t>
  </si>
  <si>
    <t>Combustible General - Yapay Ne</t>
  </si>
  <si>
    <t xml:space="preserve">INFINIA DIESEL B10 - YPF S.A. </t>
  </si>
  <si>
    <t xml:space="preserve">NAFTA INFINIA E12 - YPF S.A.  </t>
  </si>
  <si>
    <t xml:space="preserve">VIATICO                       </t>
  </si>
  <si>
    <t>INFINIA DIESEL B 10 - YPF S.A.</t>
  </si>
  <si>
    <t>INFINIA DIESEL E 12 - YPF S.A.</t>
  </si>
  <si>
    <t xml:space="preserve">DIESEL 500 B 7 - YPF S.A.     </t>
  </si>
  <si>
    <t xml:space="preserve">INFINIA E12 - YPF S.A.        </t>
  </si>
  <si>
    <t xml:space="preserve">DIESEL 500 B1 - YPF S.A.      </t>
  </si>
  <si>
    <t>Movilidad Variable - PAZ CLAUD</t>
  </si>
  <si>
    <t>PAZ CLAUDIA SILVIA</t>
  </si>
  <si>
    <t xml:space="preserve">INFINIA DIESEL B4 - YPF S.A.  </t>
  </si>
  <si>
    <t xml:space="preserve">Infinia Diesel B4 - YPF S.A.  </t>
  </si>
  <si>
    <t xml:space="preserve">Infinia E12 - YPF S.A.        </t>
  </si>
  <si>
    <t xml:space="preserve">Diesel 500 B 0 - YPF S.A.     </t>
  </si>
  <si>
    <t>Infinia Diesel B 10 - YPF S.A.</t>
  </si>
  <si>
    <t xml:space="preserve">Viatico                       </t>
  </si>
  <si>
    <t xml:space="preserve">Diesel B11 - YPF S.A.         </t>
  </si>
  <si>
    <t xml:space="preserve">Infinie E12 - YPF S.A.        </t>
  </si>
  <si>
    <t xml:space="preserve">DIDI                          </t>
  </si>
  <si>
    <t>Flete gdr a tomkinson - ROBLES</t>
  </si>
  <si>
    <t>ROBLES EDUARDO NICOLAS</t>
  </si>
  <si>
    <t xml:space="preserve">Diesel B10 - YPF S.A.         </t>
  </si>
  <si>
    <t xml:space="preserve">Fletes a Tomkinson            </t>
  </si>
  <si>
    <t>Fletes - ROBLES EDUARDO NICOLA</t>
  </si>
  <si>
    <t>Combustible General - YPF S.A.</t>
  </si>
  <si>
    <t xml:space="preserve">ICL - YPF S.A.                </t>
  </si>
  <si>
    <t xml:space="preserve">IDC - YPF S.A.                </t>
  </si>
  <si>
    <t xml:space="preserve">TASA VIAL - YPF S.A.          </t>
  </si>
  <si>
    <t xml:space="preserve">Infinia Diesel - YPF S.A.     </t>
  </si>
  <si>
    <t xml:space="preserve">Nafta Infinia - YPF S.A.      </t>
  </si>
  <si>
    <t>Intereses</t>
  </si>
  <si>
    <t>Intereses Prestamo Galicia - A</t>
  </si>
  <si>
    <t>Acindar Industria Argentina de Aceros S.A.</t>
  </si>
  <si>
    <t xml:space="preserve">OP  </t>
  </si>
  <si>
    <t>Ajuste por Redondeo</t>
  </si>
  <si>
    <t>Ajuste por redondeo - Aserrade</t>
  </si>
  <si>
    <t>Aserradero Biel S.A.</t>
  </si>
  <si>
    <t>Ajuste por redondeo - TRANSPOR</t>
  </si>
  <si>
    <t>TRANSPORTES RT S.A.</t>
  </si>
  <si>
    <t xml:space="preserve">Ajuste por redondeo - INC S.A </t>
  </si>
  <si>
    <t>Ajuste por redondeo - Dia Arge</t>
  </si>
  <si>
    <t>Ajuste por redondeo - ESTACION</t>
  </si>
  <si>
    <t>Ajuste por redondeo - Casa Cas</t>
  </si>
  <si>
    <t>Casa Castelao S.A.</t>
  </si>
  <si>
    <t>Ajuste por redondeo - Material</t>
  </si>
  <si>
    <t>Materiales Huidobro S.A.</t>
  </si>
  <si>
    <t>Ajuste por redondeo - CUTULI H</t>
  </si>
  <si>
    <t>CUTULI HNOS S.A.</t>
  </si>
  <si>
    <t>Ajuste por redondeo - Coto C.I</t>
  </si>
  <si>
    <t>Ajuste por redondeo - CALERA E</t>
  </si>
  <si>
    <t>CALERA EL OMBU S.A.</t>
  </si>
  <si>
    <t>Ajuste por redondeo - D aria H</t>
  </si>
  <si>
    <t>D aria Hnos Sac</t>
  </si>
  <si>
    <t xml:space="preserve">Ajuste por redondeo - Palermo </t>
  </si>
  <si>
    <t>Palermo Materiales SA</t>
  </si>
  <si>
    <t>Ajuste por redondeo - Electrop</t>
  </si>
  <si>
    <t>Electropelba</t>
  </si>
  <si>
    <t>Ajuste por redondeo - Sanitari</t>
  </si>
  <si>
    <t>Sanitarios Panamericana S.A.</t>
  </si>
  <si>
    <t>Preliminares</t>
  </si>
  <si>
    <t xml:space="preserve">CLAVO - HOVSEPIAN HNOS. SH    </t>
  </si>
  <si>
    <t>HOVSEPIAN HNOS. SH</t>
  </si>
  <si>
    <t xml:space="preserve">preliminares - LUNA FERNANDO  </t>
  </si>
  <si>
    <t>LUNA FERNANDO</t>
  </si>
  <si>
    <t>preliminares - HOVSEPIAN HNOS.</t>
  </si>
  <si>
    <t xml:space="preserve">Preliminares                  </t>
  </si>
  <si>
    <t>BISAGRA - HERRAJES TRONADOR SR</t>
  </si>
  <si>
    <t>HERRAJES TRONADOR SRL</t>
  </si>
  <si>
    <t>preliminares - Denegri Gustavo</t>
  </si>
  <si>
    <t>Denegri Gustavo Ariel Jesus</t>
  </si>
  <si>
    <t>BISAGRA 1842 - HERRAJES TRONAD</t>
  </si>
  <si>
    <t>2Q 02-2025 Adelanto - Meza Raf</t>
  </si>
  <si>
    <t>2Q 02-2025 Adelanto - Espinoza</t>
  </si>
  <si>
    <t xml:space="preserve">2Q 02-2025 Adelanto - Cabrera </t>
  </si>
  <si>
    <t xml:space="preserve">preliminares - Centro Sec SRL </t>
  </si>
  <si>
    <t>Centro Sec SRL</t>
  </si>
  <si>
    <t xml:space="preserve">preliminares - TRANSPORTES RT </t>
  </si>
  <si>
    <t>preliminares - Boyadsian Andre</t>
  </si>
  <si>
    <t>Boyadsian Andrea Walter</t>
  </si>
  <si>
    <t>PINTURA ASFALTICA - Palermo Ma</t>
  </si>
  <si>
    <t xml:space="preserve">LIMPIEZA - Dia Argentina S.A. </t>
  </si>
  <si>
    <t>preliminares - HERRAJES TRONAD</t>
  </si>
  <si>
    <t>CAJA DE TOMA-CAÑO PILAR - Casa</t>
  </si>
  <si>
    <t>Cable - Pilar de obra - Boyads</t>
  </si>
  <si>
    <t>preliminares - Meirinhos Guill</t>
  </si>
  <si>
    <t>Meirinhos Guillermo Ruben</t>
  </si>
  <si>
    <t>FICHAS - Boyadsian Andrea Walt</t>
  </si>
  <si>
    <t>PROYECTORES - Boyadsian Andrea</t>
  </si>
  <si>
    <t>Obrador - Boyadsian Andrea Wal</t>
  </si>
  <si>
    <t xml:space="preserve">CERCO DE OBRA - Comercial cmp </t>
  </si>
  <si>
    <t>Comercial cmp S.A</t>
  </si>
  <si>
    <t>CERCO DE OBRA - Materiales Hui</t>
  </si>
  <si>
    <t>Caja estanca - Boyadsian Andre</t>
  </si>
  <si>
    <t xml:space="preserve">PRELIMINARES - Abrafer S.R.L. </t>
  </si>
  <si>
    <t>PRELIMINARES - Sanitriun S.R.L</t>
  </si>
  <si>
    <t>Sanitriun S.R.L</t>
  </si>
  <si>
    <t xml:space="preserve">CERCO OBRA DE TODAS LAS OBRAS </t>
  </si>
  <si>
    <t>Trotta Gabriel Guido</t>
  </si>
  <si>
    <t xml:space="preserve">CERCO DE OBRA TODAS LAS OBRAS </t>
  </si>
  <si>
    <t>Movimiento de Suelos</t>
  </si>
  <si>
    <t xml:space="preserve">Celsi Vial - Excavacion       </t>
  </si>
  <si>
    <t>Movimiento de Suelos - LUNA FE</t>
  </si>
  <si>
    <t xml:space="preserve">Celsi Vial - Certif. #2       </t>
  </si>
  <si>
    <t xml:space="preserve">Celsi Vial - Certif. #4       </t>
  </si>
  <si>
    <t xml:space="preserve">Celsi Vial - Certif. #5       </t>
  </si>
  <si>
    <t xml:space="preserve">Celsi Vial  - Certif. #7      </t>
  </si>
  <si>
    <t>Hormigón MT</t>
  </si>
  <si>
    <t>homigon MT - Aserradero Biel S</t>
  </si>
  <si>
    <t>homigon MT - TRANSPORTES RT S.</t>
  </si>
  <si>
    <t>Hierros - Acindar Industria Ar</t>
  </si>
  <si>
    <t xml:space="preserve">homigon MT - Separators SRL   </t>
  </si>
  <si>
    <t>Separators SRL</t>
  </si>
  <si>
    <t>homigon MT - Materiales San Fe</t>
  </si>
  <si>
    <t>Materiales San Fernando S.A.</t>
  </si>
  <si>
    <t xml:space="preserve">Pto. 30777-USD 13.600-TC 1315 </t>
  </si>
  <si>
    <t xml:space="preserve">FENOMIX                       </t>
  </si>
  <si>
    <t>homigon MT - BELSITO GERMAN GA</t>
  </si>
  <si>
    <t>BELSITO GERMAN GABRIEL</t>
  </si>
  <si>
    <t xml:space="preserve">Acopio - Materiales San Fern  </t>
  </si>
  <si>
    <t xml:space="preserve">Bomba Hormigon                </t>
  </si>
  <si>
    <t>Permiso GCBA Bomba en contrama</t>
  </si>
  <si>
    <t xml:space="preserve">Probetas - Instituto Nacional </t>
  </si>
  <si>
    <t>Instituto Nacional de Tecnologia Industrial</t>
  </si>
  <si>
    <t>FXX3</t>
  </si>
  <si>
    <t xml:space="preserve">PROBETAS - Instituto Nacional </t>
  </si>
  <si>
    <t>homigon MT - NOGUEROL Y MAURIC</t>
  </si>
  <si>
    <t>NOGUEROL Y MAURICIO SOC DE HECHO</t>
  </si>
  <si>
    <t xml:space="preserve">homigon MT - SINIS S.A.       </t>
  </si>
  <si>
    <t>SINIS S.A.</t>
  </si>
  <si>
    <t>homigon MT - Maderera Newton S</t>
  </si>
  <si>
    <t>Maderera Newton S.A.</t>
  </si>
  <si>
    <t>homigon MT - Instituto Naciona</t>
  </si>
  <si>
    <t>FENOLICO - Maderera Newton S.A</t>
  </si>
  <si>
    <t>HIERRO LISO Y ALAMBRE - CUTULI</t>
  </si>
  <si>
    <t>ANGULO REINER - Separators SRL</t>
  </si>
  <si>
    <t xml:space="preserve">HORMIGON MT - Maderera Newton </t>
  </si>
  <si>
    <t>HIERRO LISO - CUTULI HNOS S.A.</t>
  </si>
  <si>
    <t xml:space="preserve">Bomba de Hormigon             </t>
  </si>
  <si>
    <t xml:space="preserve">SALIGNA BRU - Maderera Newton </t>
  </si>
  <si>
    <t xml:space="preserve">Armaduras del Sur             </t>
  </si>
  <si>
    <t xml:space="preserve">Permiso Bomba de Hormigón     </t>
  </si>
  <si>
    <t>HORMIGON MT - CUTULI HNOS S.A.</t>
  </si>
  <si>
    <t>CARTUCHO INYECCION  FIS - Abra</t>
  </si>
  <si>
    <t>HORMIGON MT - Instituto Nacion</t>
  </si>
  <si>
    <t>PINO ELLIOTIS - Maderera Newto</t>
  </si>
  <si>
    <t>Barra hierro - CUTULI HNOS S.A</t>
  </si>
  <si>
    <t>HORMIGON MT - BELSITO GERMAN G</t>
  </si>
  <si>
    <t>Flete acopio hierros - RUIZ DI</t>
  </si>
  <si>
    <t>RUIZ DIAZ EMANUEL DAVID</t>
  </si>
  <si>
    <t>CARTUCHO INYECCION - Abrafer S</t>
  </si>
  <si>
    <t xml:space="preserve">HORMIGON MT - Aserradero Biel </t>
  </si>
  <si>
    <t>HORMIGON MT - ARMADURAS ARGENT</t>
  </si>
  <si>
    <t>ARMADURAS ARGENTINAS S.R.L.</t>
  </si>
  <si>
    <t xml:space="preserve">GCBA - Permiso de Bomba       </t>
  </si>
  <si>
    <t>HORMIGON MT - Materiales San F</t>
  </si>
  <si>
    <t>Homigón MO</t>
  </si>
  <si>
    <t xml:space="preserve">Anclajes Cima - Anticipo 30%  </t>
  </si>
  <si>
    <t xml:space="preserve">2Q 03-2025 - Torres Miguel    </t>
  </si>
  <si>
    <t xml:space="preserve">Anclajes CIMA - Certif. #1    </t>
  </si>
  <si>
    <t xml:space="preserve"> </t>
  </si>
  <si>
    <t>Anclajes CIMA - Certif. #1 - C</t>
  </si>
  <si>
    <t xml:space="preserve">Anclajes CIMA - Anticipo CAC  </t>
  </si>
  <si>
    <t xml:space="preserve">1Q 06-2025 - Rueda Rodrigo    </t>
  </si>
  <si>
    <t>Certif. #1 - Hormigon Fundacio</t>
  </si>
  <si>
    <t xml:space="preserve">Cuadrilla Hormigon            </t>
  </si>
  <si>
    <t xml:space="preserve">Hormigon - Bono 08-2025       </t>
  </si>
  <si>
    <t xml:space="preserve">2Q 09-2025 - Herrera N. Jesus </t>
  </si>
  <si>
    <t>Rafael Meza - Certif. #3 s/2Pi</t>
  </si>
  <si>
    <t xml:space="preserve">Meza Rafael - Bonos HORMIGON  </t>
  </si>
  <si>
    <t xml:space="preserve">Certif. #2 - Losa 3 Hormigon  </t>
  </si>
  <si>
    <t xml:space="preserve">Certif. #3 - Losa 4 Hormigon  </t>
  </si>
  <si>
    <t xml:space="preserve">Certif. Final - Hormigon      </t>
  </si>
  <si>
    <t>Albañilería MT</t>
  </si>
  <si>
    <t>ALBAÑILERIA MT - HOVSEPIAN HNO</t>
  </si>
  <si>
    <t>ALBAÑILERIA MT - TRANSPORTES R</t>
  </si>
  <si>
    <t>ALBAÑILERIA MT - LUNA FERNANDO</t>
  </si>
  <si>
    <t>ALBAÑILERIA MT - CUTULI HNOS S</t>
  </si>
  <si>
    <t>ALBAÑILERIA MT - Abrafer S.R.L</t>
  </si>
  <si>
    <t xml:space="preserve">Reglas aluminio - PAZ CLAUDIA </t>
  </si>
  <si>
    <t>ALBAÑILERIA MT - Materiales Hu</t>
  </si>
  <si>
    <t>Barra Hierro - CUTULI HNOS S.A</t>
  </si>
  <si>
    <t>ALBAÑILERIA MT - Ecometal S.R.</t>
  </si>
  <si>
    <t>Ecometal S.R.L</t>
  </si>
  <si>
    <t>Acopio mamposteria - CALERA EL</t>
  </si>
  <si>
    <t>ALBAÑILERIA MT - PAZ CLAUDIA S</t>
  </si>
  <si>
    <t xml:space="preserve">Materiales Palermo-Acopio GDR </t>
  </si>
  <si>
    <t>Membrana - Cisilotto Hnos. SAC</t>
  </si>
  <si>
    <t>Cisilotto Hnos. SACIFI</t>
  </si>
  <si>
    <t>Albañilería MO</t>
  </si>
  <si>
    <t xml:space="preserve">2Q 12-2024 - Almaraz Oscar    </t>
  </si>
  <si>
    <t xml:space="preserve">2Q 02-2025 - Adelanto - Godoy </t>
  </si>
  <si>
    <t xml:space="preserve">2Q 02-2025 - Ayala Angel      </t>
  </si>
  <si>
    <t>2Q 02-2025 - Ayala Angel - SER</t>
  </si>
  <si>
    <t xml:space="preserve">2Q 02-2025 - Espinosa Catriel </t>
  </si>
  <si>
    <t xml:space="preserve">2Q 02-2025 - Cabrera Ruben    </t>
  </si>
  <si>
    <t>2Q 02-2025 - Meza Iturbe Rafae</t>
  </si>
  <si>
    <t xml:space="preserve">2Q 02-2025 - Godoy Juan Ramon </t>
  </si>
  <si>
    <t>1Q 03-2025 - Ayala Angel - SER</t>
  </si>
  <si>
    <t xml:space="preserve">1Q 03-2025 - Sobres           </t>
  </si>
  <si>
    <t xml:space="preserve">1Q 04-2025                    </t>
  </si>
  <si>
    <t xml:space="preserve">1Q 04-2025 - SERENO           </t>
  </si>
  <si>
    <t>2Q 04-2025 Ayala Angel -SERENO</t>
  </si>
  <si>
    <t xml:space="preserve">2Q 04-2025                    </t>
  </si>
  <si>
    <t xml:space="preserve">1Q 05-2025                    </t>
  </si>
  <si>
    <t xml:space="preserve">2Q 05-2025                    </t>
  </si>
  <si>
    <t xml:space="preserve">1Q 06-2025                    </t>
  </si>
  <si>
    <t xml:space="preserve">2Q 06-2025                    </t>
  </si>
  <si>
    <t xml:space="preserve">1Q 07-2025                    </t>
  </si>
  <si>
    <t xml:space="preserve">2Q 07-2025                    </t>
  </si>
  <si>
    <t xml:space="preserve">1Q 08-2025                    </t>
  </si>
  <si>
    <t xml:space="preserve">2Q 08-2025 - Garcia del Rio   </t>
  </si>
  <si>
    <t xml:space="preserve">1Q 09-2025 - Garcia del Rio   </t>
  </si>
  <si>
    <t xml:space="preserve">2Q 09-2025 - Obra GRD         </t>
  </si>
  <si>
    <t xml:space="preserve">1Q 10-2025                    </t>
  </si>
  <si>
    <t xml:space="preserve">Sereno                        </t>
  </si>
  <si>
    <t>2Q 10-2025-Obra Garcia del Rio</t>
  </si>
  <si>
    <t xml:space="preserve">2Q 10-2025-Ayala Angel-SERENO </t>
  </si>
  <si>
    <t xml:space="preserve">1Q 11-25-Ayala Angel-SERENO   </t>
  </si>
  <si>
    <t xml:space="preserve">1Q 11-2025 - Garcia del Rio   </t>
  </si>
  <si>
    <t xml:space="preserve">2Q 11-2025-Ayala Angel-Sereno </t>
  </si>
  <si>
    <t>2Q 11-2025-Obra Garcia del Rio</t>
  </si>
  <si>
    <t xml:space="preserve">1Q 12-2025-Ayala Angel-Sereno </t>
  </si>
  <si>
    <t xml:space="preserve">1Q 12-2025 - Obra GDR         </t>
  </si>
  <si>
    <t xml:space="preserve">2Q 12-2025 - Obra GDR         </t>
  </si>
  <si>
    <t xml:space="preserve">2Q 12-2025-Ayala Angel-SERENO </t>
  </si>
  <si>
    <t xml:space="preserve">2Q 12-2025 - Zarza Angel      </t>
  </si>
  <si>
    <t>1Q 01-2026 - Obra Garcia del R</t>
  </si>
  <si>
    <t>1Q 01-2026 - SERENO - Ayala An</t>
  </si>
  <si>
    <t>2Q 01-2026 - Obra Garcia del R</t>
  </si>
  <si>
    <t xml:space="preserve">2Q 02-2026 - Garcia del Rio   </t>
  </si>
  <si>
    <t xml:space="preserve">2Q 02-2026-Ayala Angel-SERENO </t>
  </si>
  <si>
    <t>2Q 02-2026 - Santacruz Recalde</t>
  </si>
  <si>
    <t xml:space="preserve">Cespedes Elvio - Certif. #2 - </t>
  </si>
  <si>
    <t xml:space="preserve">1Q 03-2026 - Obra GDR         </t>
  </si>
  <si>
    <t>1Q 03-2026 - Acosta Alexis - D</t>
  </si>
  <si>
    <t>1Q 03-2026 - Samaniego Reynald</t>
  </si>
  <si>
    <t>1Q 03-2026 - Soto Anzaldo Jose</t>
  </si>
  <si>
    <t xml:space="preserve">1Q 03-2026 - Mansilla Julio - </t>
  </si>
  <si>
    <t>1Q 03-2026 - Davalos Ramon - D</t>
  </si>
  <si>
    <t xml:space="preserve">Elvio Cespedes - Certif. #3 - </t>
  </si>
  <si>
    <t>Elvio Cespedes - CAC * Certif.</t>
  </si>
  <si>
    <t xml:space="preserve">2Q 03-2026 Soto Anzaldo       </t>
  </si>
  <si>
    <t xml:space="preserve">Elvio Cespedes - Certif. #4 - </t>
  </si>
  <si>
    <t xml:space="preserve">1Q 04-2026                    </t>
  </si>
  <si>
    <t xml:space="preserve">1Q 04-26 - Ayala Angel-SERENO </t>
  </si>
  <si>
    <t>Durlock MT</t>
  </si>
  <si>
    <t xml:space="preserve">Durlock MT                    </t>
  </si>
  <si>
    <t>DURLOCK MT - Palermo Materiale</t>
  </si>
  <si>
    <t xml:space="preserve">DURLOCK MT - CUTULI HNOS S.A. </t>
  </si>
  <si>
    <t xml:space="preserve">Yeso - Palermo Materiales SA  </t>
  </si>
  <si>
    <t xml:space="preserve">Yeso - Alpeba S.A.            </t>
  </si>
  <si>
    <t>Alpeba S.A.</t>
  </si>
  <si>
    <t>Durlock MO</t>
  </si>
  <si>
    <t xml:space="preserve">Elvio Cespedes - Yesero       </t>
  </si>
  <si>
    <t>Cespedes Elvio - Yesero - Cert</t>
  </si>
  <si>
    <t>Elvio Cespedes - Yeso - Certif</t>
  </si>
  <si>
    <t>Revestimiento MT</t>
  </si>
  <si>
    <t>REVESTIMIENTO MT - CUTULI HNOS</t>
  </si>
  <si>
    <t>Revestimiento MO</t>
  </si>
  <si>
    <t>Elvio Cespedes - Revoque Certi</t>
  </si>
  <si>
    <t>Pintura MT</t>
  </si>
  <si>
    <t>PINTURA MT - Pinturerias Prest</t>
  </si>
  <si>
    <t>Pinturerias Prestigio S.A</t>
  </si>
  <si>
    <t xml:space="preserve">PINTURA MT - D aria Hnos Sac  </t>
  </si>
  <si>
    <t>Sanitaria MT</t>
  </si>
  <si>
    <t xml:space="preserve">TIRA PVC 40 - Denegri Gustavo </t>
  </si>
  <si>
    <t>SANITARIA MT - SANITARIOS RODR</t>
  </si>
  <si>
    <t>SANITARIOS RODRIGUEZ SH</t>
  </si>
  <si>
    <t>SANITARIA MT - Denegri Gustavo</t>
  </si>
  <si>
    <t>SANITARIA MT - Acopio - Sanita</t>
  </si>
  <si>
    <t>SANITARIA MT - Sanitriun S.R.L</t>
  </si>
  <si>
    <t>SANITARIA MT - Sanitarios Pana</t>
  </si>
  <si>
    <t xml:space="preserve">Sanitaria MT                  </t>
  </si>
  <si>
    <t>SANITARIA MT - Sanitarios Sion</t>
  </si>
  <si>
    <t>Sanitarios Sione SRL</t>
  </si>
  <si>
    <t>Inst Incendio - Sanitriun S.R.</t>
  </si>
  <si>
    <t>Sanitaria MO</t>
  </si>
  <si>
    <t>Ezequiel Mendoza - Tramite GAS</t>
  </si>
  <si>
    <t xml:space="preserve">Ezequiel Mendoza-Gestor GAS   </t>
  </si>
  <si>
    <t>1Q 03-2026 - Mendoza Rodrigo -</t>
  </si>
  <si>
    <t>SANITARIA MO - Pinturerias Pre</t>
  </si>
  <si>
    <t xml:space="preserve">GEORGIA Matafuegos - Valvulas </t>
  </si>
  <si>
    <t xml:space="preserve">GEORGIA Matafuegos-Gabinete   </t>
  </si>
  <si>
    <t>Eléctrico MT</t>
  </si>
  <si>
    <t>ELECTRICO MT - Casa Castelao S</t>
  </si>
  <si>
    <t xml:space="preserve">Resorte p/tubo SISTELECTRIC - </t>
  </si>
  <si>
    <t xml:space="preserve">ELECTRICO MT - Electropelba   </t>
  </si>
  <si>
    <t>Eléctrico MO</t>
  </si>
  <si>
    <t>Silvio Aguirre-Trabajos Bajada</t>
  </si>
  <si>
    <t xml:space="preserve">Silvio Aguirre - Cert # 1     </t>
  </si>
  <si>
    <t>Gustavo Espinola-Prem Electric</t>
  </si>
  <si>
    <t>Provisiones</t>
  </si>
  <si>
    <t xml:space="preserve">Provisiones - Abrafer S.R.L.  </t>
  </si>
  <si>
    <t xml:space="preserve">PROVISIONES - Abrafer S.R.L.  </t>
  </si>
  <si>
    <t>Gastos Generales</t>
  </si>
  <si>
    <t xml:space="preserve">Encomienda - Instalaciones DO </t>
  </si>
  <si>
    <t xml:space="preserve">Encomienda Obra - DO          </t>
  </si>
  <si>
    <t xml:space="preserve">Combustible para cortar pasto </t>
  </si>
  <si>
    <t>Combustible para desmalecedora</t>
  </si>
  <si>
    <t>GASTOS GENERALAES - ESTACION D</t>
  </si>
  <si>
    <t xml:space="preserve">Encomienda Demolicion         </t>
  </si>
  <si>
    <t>GASTOS GENERALES - triunfo seg</t>
  </si>
  <si>
    <t>triunfo seguros</t>
  </si>
  <si>
    <t xml:space="preserve">Baño Portatil - ECOBAT SRL    </t>
  </si>
  <si>
    <t>ECOBAT SRL</t>
  </si>
  <si>
    <t xml:space="preserve">Transporte Baño - ECOBAT SRL  </t>
  </si>
  <si>
    <t xml:space="preserve">ALQ DE BAÑO - ECOBAT SRL      </t>
  </si>
  <si>
    <t>VOLQUETE - BAZAN FERNANDO EXEQ</t>
  </si>
  <si>
    <t>BAZAN FERNANDO EXEQUIEL</t>
  </si>
  <si>
    <t xml:space="preserve">BAÑO PORTATIL - ECOBAT SRL    </t>
  </si>
  <si>
    <t>CARTEL OBRA - DESSINS CARTELER</t>
  </si>
  <si>
    <t>DESSINS CARTELERIA S.R.L</t>
  </si>
  <si>
    <t xml:space="preserve">BAÑO - ECOBAT SRL             </t>
  </si>
  <si>
    <t xml:space="preserve">Pedro Abregu-Auton 05-GDR     </t>
  </si>
  <si>
    <t xml:space="preserve">ALQUILER BAÑO - ECOBAT SRL    </t>
  </si>
  <si>
    <t xml:space="preserve">VOLQUETE                      </t>
  </si>
  <si>
    <t xml:space="preserve">Reparacion Vibrador           </t>
  </si>
  <si>
    <t xml:space="preserve">Pedro Abregu - Autonomos      </t>
  </si>
  <si>
    <t xml:space="preserve">Desacopio Volquetes           </t>
  </si>
  <si>
    <t>Volquetes Gustavo</t>
  </si>
  <si>
    <t xml:space="preserve">AD  </t>
  </si>
  <si>
    <t xml:space="preserve">Desacopio volquetes           </t>
  </si>
  <si>
    <t xml:space="preserve">Baño portatil - ECOBAT SRL    </t>
  </si>
  <si>
    <t xml:space="preserve">baño quimico - ECOBAT SRL     </t>
  </si>
  <si>
    <t>Pedro Abregu-Autono 09 y 10/25</t>
  </si>
  <si>
    <t xml:space="preserve">Volquetes                     </t>
  </si>
  <si>
    <t>Correo Argentino-Carta Documen</t>
  </si>
  <si>
    <t xml:space="preserve">PSICO - Camaras               </t>
  </si>
  <si>
    <t xml:space="preserve">Inflador de Bicicleta         </t>
  </si>
  <si>
    <t xml:space="preserve">Vidriera                      </t>
  </si>
  <si>
    <t xml:space="preserve">Pedro Abregu (11-25 a 03-26)  </t>
  </si>
  <si>
    <t>Varios Ferreteria</t>
  </si>
  <si>
    <t xml:space="preserve">Varios Ferreteria             </t>
  </si>
  <si>
    <t>Varios Ferreteria - Abrafer S.</t>
  </si>
  <si>
    <t xml:space="preserve">Varios Ferreteria - HOVSEPIAN </t>
  </si>
  <si>
    <t>Varios Ferreteria - Casa Caste</t>
  </si>
  <si>
    <t>Varios Ferreteria - Balbin 300</t>
  </si>
  <si>
    <t>Balbin 3001 S.R.L.</t>
  </si>
  <si>
    <t>Varios Ferreteria - ARCO MAQUI</t>
  </si>
  <si>
    <t>ARCO MAQUINARIAS ALQUILER Y VENTAS S.A.</t>
  </si>
  <si>
    <t>Varios Ferreteria - CAYFER SRL</t>
  </si>
  <si>
    <t>CAYFER SRL</t>
  </si>
  <si>
    <t xml:space="preserve">Varios Ferreteria - Meirinhos </t>
  </si>
  <si>
    <t>Varios Ferreteria - LUNA FERNA</t>
  </si>
  <si>
    <t xml:space="preserve">Varios Ferreteria - Boyadsian </t>
  </si>
  <si>
    <t xml:space="preserve">Varios Ferreteria - INC S.A   </t>
  </si>
  <si>
    <t>Varios Ferreteria - Centro Sec</t>
  </si>
  <si>
    <t>Varios Ferreteria - Sabatini D</t>
  </si>
  <si>
    <t>Sabatini Daniel Gerardo y Diamantini Luciano</t>
  </si>
  <si>
    <t>Seguridad e Higiene</t>
  </si>
  <si>
    <t xml:space="preserve">Seguridad e Higiene - Abrafer </t>
  </si>
  <si>
    <t>Matafuegos - Petrini Carlos Ja</t>
  </si>
  <si>
    <t>Petrini Carlos Javier</t>
  </si>
  <si>
    <t xml:space="preserve">Fernando Rubino - S&amp;H         </t>
  </si>
  <si>
    <t>Gastos GCBA Construccion</t>
  </si>
  <si>
    <t>Permiso Camiones bomba hormigo</t>
  </si>
  <si>
    <t>▌ CONFIGURACIÓN DE OBRA — GDR 3760</t>
  </si>
  <si>
    <t>Nombre de obra</t>
  </si>
  <si>
    <t>Edificio GDR 3760 — García del Río 3760</t>
  </si>
  <si>
    <t>Estado</t>
  </si>
  <si>
    <t>En ejecución</t>
  </si>
  <si>
    <t>Fecha inicio</t>
  </si>
  <si>
    <t>presupuesto cerrado dic-2024</t>
  </si>
  <si>
    <t>Duración estimada (meses)</t>
  </si>
  <si>
    <t>feb-2025 a ago-2026</t>
  </si>
  <si>
    <t>— ÍNDICE CAC —</t>
  </si>
  <si>
    <t>Mes base CAC</t>
  </si>
  <si>
    <t>fecha base del presupuesto</t>
  </si>
  <si>
    <t>Valor CAC base (INDEC)</t>
  </si>
  <si>
    <t>índice INDEC del mes base</t>
  </si>
  <si>
    <t>Mes corriente</t>
  </si>
  <si>
    <t>último mes cargado</t>
  </si>
  <si>
    <t>Ratio CAC corriente</t>
  </si>
  <si>
    <t>ratio del mes más reciente</t>
  </si>
  <si>
    <t>— COEFICIENTE K —</t>
  </si>
  <si>
    <t>K (Gastos Generales y Beneficio)</t>
  </si>
  <si>
    <t>CRÍTICO: no modificar manualmente</t>
  </si>
  <si>
    <t>— PRESUPUESTO —</t>
  </si>
  <si>
    <t>Apertura fiscal</t>
  </si>
  <si>
    <t>B70 / N30 / GGN</t>
  </si>
  <si>
    <t>Blanco 70% c/IVA · Negro 30% · GGN</t>
  </si>
  <si>
    <t>Costo controlable (sin EQ)</t>
  </si>
  <si>
    <t>MT+MO/OTR+MO/ALB × Cant (EQ excluido)</t>
  </si>
  <si>
    <t>Costo total (con EQ)</t>
  </si>
  <si>
    <t>Costo Unit. × Cant</t>
  </si>
  <si>
    <t>Precio de venta total</t>
  </si>
  <si>
    <t>P Unit. × Cant</t>
  </si>
  <si>
    <t>Sanity check (debe ser 0)</t>
  </si>
  <si>
    <t>EQ no tiene rubro → excluido de costo controlable</t>
  </si>
  <si>
    <t>— RECONCILIACIÓN MENSUAL —</t>
  </si>
  <si>
    <t>Total egresos (2_Movimientos)</t>
  </si>
  <si>
    <t>← se cablea en bloque 6 (crear 2_Movimientos)</t>
  </si>
  <si>
    <t>Total Tezamat (pegar mensual)</t>
  </si>
  <si>
    <t>input mensual</t>
  </si>
  <si>
    <t>Diferencia (debe ser 0)</t>
  </si>
  <si>
    <t>se activa al cablear B45</t>
  </si>
  <si>
    <t>Tolerancia conciliación ($)</t>
  </si>
  <si>
    <t>— PENDIENTES (celdas amarillas) —</t>
  </si>
  <si>
    <t>0_Indice_CAC col B</t>
  </si>
  <si>
    <t>CAC meses futuros sin publicar</t>
  </si>
  <si>
    <t>0_Jornales_MO</t>
  </si>
  <si>
    <t>Tarifas UOCRA meses futuros</t>
  </si>
  <si>
    <t>0_CONFIG!B46</t>
  </si>
  <si>
    <t>Input mensual total Tezamat</t>
  </si>
  <si>
    <t>1_Presupuesto cols A,B,C,D</t>
  </si>
  <si>
    <t>Asignación de rubros por ítem (4 cols input manual)</t>
  </si>
  <si>
    <t>INDICE CAC</t>
  </si>
  <si>
    <t>Escala de tiempo</t>
  </si>
  <si>
    <t>Valores</t>
  </si>
  <si>
    <t>Previsión</t>
  </si>
  <si>
    <t>Indice</t>
  </si>
  <si>
    <t>SECCIÓN A — TABLA DE TARIFAS POR CATEGORÍA (Costo por Día/Quincena)</t>
  </si>
  <si>
    <t>PERÍODO</t>
  </si>
  <si>
    <t>ESPEC.
($/día)</t>
  </si>
  <si>
    <t>OFICIAL
($/día)</t>
  </si>
  <si>
    <t>1/2 OFICIAL
($/día)</t>
  </si>
  <si>
    <t>AYUDANTE
($/día)</t>
  </si>
  <si>
    <t>ESPEC.
($/hr)</t>
  </si>
  <si>
    <t>PRESUPUESTO OBRA CIVIL y CERTIFICACIONES DE AVANCE</t>
  </si>
  <si>
    <t>Rubro MT</t>
  </si>
  <si>
    <t>Rubro MT/Prov</t>
  </si>
  <si>
    <t>Rubro MO/OTR</t>
  </si>
  <si>
    <t>Rubro MO/ALB</t>
  </si>
  <si>
    <t>Cod. Ítem</t>
  </si>
  <si>
    <t>Descripción</t>
  </si>
  <si>
    <t>U</t>
  </si>
  <si>
    <t>Cant</t>
  </si>
  <si>
    <t>MT</t>
  </si>
  <si>
    <t>MO/OTR</t>
  </si>
  <si>
    <t>MO/ALB</t>
  </si>
  <si>
    <t>EQ</t>
  </si>
  <si>
    <t>Costo Unit.</t>
  </si>
  <si>
    <t>P.Unit</t>
  </si>
  <si>
    <t>Margen</t>
  </si>
  <si>
    <t>Costo total</t>
  </si>
  <si>
    <t>PV subtotal</t>
  </si>
  <si>
    <t>Etapa</t>
  </si>
  <si>
    <t>Presupuesto</t>
  </si>
  <si>
    <t>% Acum Tot</t>
  </si>
  <si>
    <t>TAREAS PRELIMINARES</t>
  </si>
  <si>
    <t>-</t>
  </si>
  <si>
    <t>OK</t>
  </si>
  <si>
    <t>Limpieza y preparación del terreno - No cotiza</t>
  </si>
  <si>
    <t>gl</t>
  </si>
  <si>
    <t>PTO 01</t>
  </si>
  <si>
    <t>Topógrafo - Visita de obra replanteo</t>
  </si>
  <si>
    <t>Cartel de Obra - No cotiza</t>
  </si>
  <si>
    <t xml:space="preserve">Cerco de obra perimetral - En chapa C25 + Concertina + Porton corredizo </t>
  </si>
  <si>
    <t>ml</t>
  </si>
  <si>
    <t>Obrador, pañol y ducha.</t>
  </si>
  <si>
    <t>Alquiler de baños quimicos y duchas portatiles</t>
  </si>
  <si>
    <t>mes</t>
  </si>
  <si>
    <t>Conexión pilar y luz de obra + Tablero de obra</t>
  </si>
  <si>
    <t>Conexión agua de obra, tanque + bomba</t>
  </si>
  <si>
    <t>Tramite luz de obra, certificado luz de obra (2) y medición PAT</t>
  </si>
  <si>
    <t>MOVIMIENTO DE TIERRA, COMPACTACION Y RELLENO</t>
  </si>
  <si>
    <t>Excavación a maquina para submuración, subsuelo y fundaciones</t>
  </si>
  <si>
    <t>m3</t>
  </si>
  <si>
    <t>Perfilado manual de bases. Relleno y compactación de pozos</t>
  </si>
  <si>
    <t>Excavación manual para vigas de fundación</t>
  </si>
  <si>
    <t>IN</t>
  </si>
  <si>
    <t>Aporte y compactación de suelo seleccionado, e: 40 cm (2 capas de 20 cm) - Cotizado Hº Pobre en item 8,02</t>
  </si>
  <si>
    <t>m2</t>
  </si>
  <si>
    <t>Demolición de bases existentes - No cotiza</t>
  </si>
  <si>
    <t>ESTRUCTURA RESISTENTE</t>
  </si>
  <si>
    <t>Hormigón de limpieza - e: 10 cm</t>
  </si>
  <si>
    <t>Pilotes de tracción Ø 20 cm - (120 kg/m3 de hierro)</t>
  </si>
  <si>
    <t>u</t>
  </si>
  <si>
    <t>Tabique submuración - H35 (95 kg/m3 de hierro)</t>
  </si>
  <si>
    <t>Zapata corrida tabique - H35 (120 kg/m3 de hierro)</t>
  </si>
  <si>
    <t>Platea - H35 (95 kg/m3 de hierro)</t>
  </si>
  <si>
    <t>Bases aisladas - (60 kg/m3 de hierro)</t>
  </si>
  <si>
    <t>Troncos de columnas - H35 (240 kg/m3 de hierro)</t>
  </si>
  <si>
    <t>Viga de encadenado - H35 (180 kg/m3 de hierro)</t>
  </si>
  <si>
    <t>Losa maciza - H35 (100 kg/m3 de hierro)</t>
  </si>
  <si>
    <t xml:space="preserve">Losa maciza de Hº visto - H35 (100 kg/m3 de hierro) </t>
  </si>
  <si>
    <t>Vigas - H35 (180 kg/m3 de hierro)</t>
  </si>
  <si>
    <t xml:space="preserve">Vigas de H° visto - H35 (180 kg/m3 de hierro) </t>
  </si>
  <si>
    <t>Tabiques - H35 (100 kg/m3 de hierro)</t>
  </si>
  <si>
    <t>Columna - H35 (180 Kg/m3 de hierro)</t>
  </si>
  <si>
    <t>Columna vista- H35 (180 Kg/m3 de hierro)</t>
  </si>
  <si>
    <t>Escaleras de Hº visto - H35 (105 kg/m3 de hierro)</t>
  </si>
  <si>
    <t>Tanques de HºAº - H35 (100 kg/m3 de hierro) - Tanque de reserva</t>
  </si>
  <si>
    <t>Sistema de apuntalamiento y reapuntalamiento</t>
  </si>
  <si>
    <t xml:space="preserve">Ensayos de hormigon por etapas de hormigonado </t>
  </si>
  <si>
    <t>Permiso de estacionamiento de bomba de hormigón a contramano</t>
  </si>
  <si>
    <t>Picado de medianeras para columnas y vigas - Cotizado para PB y 1P</t>
  </si>
  <si>
    <t>MAMPOSTERÍA</t>
  </si>
  <si>
    <t>PTO 02</t>
  </si>
  <si>
    <t>Muro tipo 1 - Ladrillo hueco 8 x 18 x 33</t>
  </si>
  <si>
    <t xml:space="preserve">Muro tipo 2 - Ladrillo hueco 12 x 18 x 33 </t>
  </si>
  <si>
    <t>Muro tipo 3 - Ladrillo comun en panderete</t>
  </si>
  <si>
    <t>Muro tipo 4 - Ladrillo hueco portante 12 x 18 x 33</t>
  </si>
  <si>
    <t>Muro tipo 5 - Bloque HCCA e: 7,5 cm</t>
  </si>
  <si>
    <t>Muro tipo 6 - Ladrillo hueco 18 x 18 x 33</t>
  </si>
  <si>
    <t>Enchape de medianeras existentes - Contemplamos picado zonas sueltas y enchape con ladrillo comun para PB</t>
  </si>
  <si>
    <t>Cordón de hormigón en umbrales carpinterías</t>
  </si>
  <si>
    <t xml:space="preserve">Banquina Sala tanque de bombeo </t>
  </si>
  <si>
    <t>Banquina en parrillas</t>
  </si>
  <si>
    <t>Excavación y amurado con Hº tanque de recuperación de agua de lluvia</t>
  </si>
  <si>
    <t>Provisión y amurado de tapas de inspección para tanque de reserva</t>
  </si>
  <si>
    <t>Vigas de encadenado - Cuantía aprox. 60 kg/m3</t>
  </si>
  <si>
    <t xml:space="preserve">Amurado de bañera </t>
  </si>
  <si>
    <t>AISLACIONES</t>
  </si>
  <si>
    <t>Cajón hidrofugo</t>
  </si>
  <si>
    <t>Aislación hidrófuga horizontal (baños) - Inc. membrana geotextil y 35% en concepto de babetas</t>
  </si>
  <si>
    <t>Azotado hidrófugo - Contrapiso de PB</t>
  </si>
  <si>
    <t xml:space="preserve">Aislación térmica en terrazas, eps e:2,00 cm </t>
  </si>
  <si>
    <t>Barrera de vapor</t>
  </si>
  <si>
    <t>Membrana asfáltica geotextil 4mm - Balcones y azotea - Inc. 20% en concepto de babetas</t>
  </si>
  <si>
    <t>Impermeabilización de tanque de reserva de HºAº</t>
  </si>
  <si>
    <t>CUBIERTAS</t>
  </si>
  <si>
    <t>Babeta de chapa galvanizada en medianeras</t>
  </si>
  <si>
    <t>REVOQUES</t>
  </si>
  <si>
    <t xml:space="preserve">Revoque Grueso Impermeable Exterior </t>
  </si>
  <si>
    <t>Revoque Grueso Impermeable Exterior a mas de 3m - Medianero y fachadas</t>
  </si>
  <si>
    <t>Yeso interior</t>
  </si>
  <si>
    <t xml:space="preserve">Arista en yeso </t>
  </si>
  <si>
    <t xml:space="preserve">Provisión y colocación de guardacanto yesero </t>
  </si>
  <si>
    <t>un</t>
  </si>
  <si>
    <t>Revoque Grueso Impermeable Interior b/ revestimiento</t>
  </si>
  <si>
    <t>CONTRAPISOS Y CARPETAS</t>
  </si>
  <si>
    <t xml:space="preserve">Contrapiso de Hº armado e: 18 cm, incluye malla Ø 6 mm y film 200 mic. </t>
  </si>
  <si>
    <t>Contrapiso de H13 subase bajo intertrabado y garden block</t>
  </si>
  <si>
    <t xml:space="preserve">Monolítico e: 6 cm </t>
  </si>
  <si>
    <t>Contrapiso alivianado en azoteas (RDC), e: 15 cm</t>
  </si>
  <si>
    <t>Contrapiso con piedra binder e: 4/5 cm - En locales húmedos (baños)</t>
  </si>
  <si>
    <t>Carpeta autonivelante e: 4/10 mm - En locales húmedos (baños)</t>
  </si>
  <si>
    <t>Carpeta a la cal reforzada</t>
  </si>
  <si>
    <t>Carpeta a la cal reforzada s/membrana</t>
  </si>
  <si>
    <t>ESCALERAS</t>
  </si>
  <si>
    <t>Provisión y ejecución de cemento alisado arrodillado, e: 3,00 cm, en alzada y pedad</t>
  </si>
  <si>
    <t xml:space="preserve">Provisión nariz escalera, hierro angulo 5/8 x 1/8" </t>
  </si>
  <si>
    <t>Ejecución de zócalo rampante de concreto h: 10 cm</t>
  </si>
  <si>
    <t>VENTILACIONES - PROVISION A CARGO DEL COMITENTE</t>
  </si>
  <si>
    <t>Montaje de conductos de ventilación de baños C27 - Provisión a cargo del comitente</t>
  </si>
  <si>
    <t>Montaje de conductos de ventilación de parrillas C27 - Provisión a cargo del comitente</t>
  </si>
  <si>
    <t>Montaje de campanas de parrillas C22 - Provisión a cargo del comitente</t>
  </si>
  <si>
    <t>Montaje de sombreretes en chapa prepintada C25 - Provisión a cargo del comitente</t>
  </si>
  <si>
    <t>PISOS - PROVISION A CARGO DEL COMITENTE</t>
  </si>
  <si>
    <t>Provisión y ejecución de alisado de cemento a la llana metálica, e: 6,00 cm</t>
  </si>
  <si>
    <t>Provisión y ejecución de cemento alisado arrodillado, e: 3,00 cm</t>
  </si>
  <si>
    <t>Colocación de porcelanato a definir en sspacios comunes - Provisión a cargo del comitente</t>
  </si>
  <si>
    <t>Colocación de pavimento intertrabado de H°, incluye provisión y colocación de cama de arena + tomado de junta - Provisión a cargo del comitente</t>
  </si>
  <si>
    <t>Colocación de garden block, incluye provisión y colocación de cama de arena + tomado de junta - Provisión a cargo del comitente</t>
  </si>
  <si>
    <t>Provisión y colocación de relleno de piedra binder</t>
  </si>
  <si>
    <t>Colocación de baldoson granítico vereda 40 x 40 - Provisión a cargo del comitente</t>
  </si>
  <si>
    <t>Colocación de porcelanato a definir Interior UF - Provisión a cargo del comitente</t>
  </si>
  <si>
    <t>Colocación de porcelanato a definir Baños - Provisión a cargo del comitente</t>
  </si>
  <si>
    <t>Colocación de porcelanato a definir Balcones - Provisión a cargo del comitente</t>
  </si>
  <si>
    <t>Colocación de porcelanato a definir Palier - Provisión a cargo del comitente</t>
  </si>
  <si>
    <t>ZOCALOS Y SOLIAS - PROVISION A CARGO DEL COMITENTE</t>
  </si>
  <si>
    <t>Ejecución de zócalo de concreto h: 10 cm</t>
  </si>
  <si>
    <t>Provisión y colocación de zócalo de MDF prepintado color bco. h: 7cm</t>
  </si>
  <si>
    <t>Colocación de zócalo de porcelanato - Provisión a cargo del comitente</t>
  </si>
  <si>
    <t>REVESTIMIENTOS - PROVISION A CARGO DEL COMITENTE</t>
  </si>
  <si>
    <t>Colocación de porcelanato en baños - Provisión a cargo del comitente</t>
  </si>
  <si>
    <t>Colocación de revestimiento en cocinas - Provisión a cargo del comitente</t>
  </si>
  <si>
    <t>Colocación de listones refractarios en parrillas - Provisión a cargo del comitente</t>
  </si>
  <si>
    <t>Revestimiento Simil madera - Cotizado en provisiones</t>
  </si>
  <si>
    <t>CIELORRASOS</t>
  </si>
  <si>
    <t>Aplicado de yeso</t>
  </si>
  <si>
    <t>Buña en yeso aplicado</t>
  </si>
  <si>
    <t>Cielorraso suspendido en placa STD</t>
  </si>
  <si>
    <t>Cielorraso suspendido en placa RH</t>
  </si>
  <si>
    <t>Buña Z en cielorraso suspendido</t>
  </si>
  <si>
    <t xml:space="preserve">Cantonera / Cajón </t>
  </si>
  <si>
    <t>Hormigon visto, maquillaje</t>
  </si>
  <si>
    <t>PINTURA</t>
  </si>
  <si>
    <t>Pintura MO</t>
  </si>
  <si>
    <t>Latex exterior mate en paredes, color bco., sin enduido, a mas de 3 m de altura - Medianeras</t>
  </si>
  <si>
    <t>Latex interior mate en paredes, color bco., con enduido parcial</t>
  </si>
  <si>
    <t>Latex interior mate en paredes, color bco., con enduido completo</t>
  </si>
  <si>
    <t>Latex exterior acrílico en cielorraso, color a definir, sin enduido - Sector cocheras</t>
  </si>
  <si>
    <t>Latex interior mate en cielorraso, color bco., con enduido parcial</t>
  </si>
  <si>
    <t>Latex interior mate en cielorraso, color bco., con enduido completo</t>
  </si>
  <si>
    <t xml:space="preserve">Impermeabilizane de Hº, silicona transparente </t>
  </si>
  <si>
    <t>Revestimiento tipo Tarquini hasta 3 m de altura</t>
  </si>
  <si>
    <t>Revestimiento tipo Tarquini a mas de 3 m de altura</t>
  </si>
  <si>
    <t>Franjas división cocheras</t>
  </si>
  <si>
    <t>Esmalte sintetico en puertas color bco. - Puertas placa, de chapa y de ascensor</t>
  </si>
  <si>
    <t>Esmalte sintético convertidor antioxido color negro satinado en herrería - Barandas, herrerías, etc.</t>
  </si>
  <si>
    <t>MARMOLES Y GRANITOS - PROVISION  A CARGO DEL COMITENTE</t>
  </si>
  <si>
    <t>CARPINTERIA - PROVISION A CARGO DEL COMITENTE</t>
  </si>
  <si>
    <t xml:space="preserve">Amure de puertas placa  </t>
  </si>
  <si>
    <t xml:space="preserve">Amure de puertas de chapa e ingresos depto </t>
  </si>
  <si>
    <t xml:space="preserve">Amure de premarcos </t>
  </si>
  <si>
    <t xml:space="preserve">Amure Puertas de Ascensor </t>
  </si>
  <si>
    <t>INSTALACION ELECTRICA</t>
  </si>
  <si>
    <t>Tendido y cableado boca Iluminación en losa</t>
  </si>
  <si>
    <t>Tendido y cableado boca Iluminación en pared</t>
  </si>
  <si>
    <t>Tendido y cableado boca Iluminación emergencia</t>
  </si>
  <si>
    <t>Tendido y cableado boca sensor de movimiento</t>
  </si>
  <si>
    <t xml:space="preserve">Tendido y cableado boca semáforo </t>
  </si>
  <si>
    <t>Tendido y cableado boca de extractor de baño</t>
  </si>
  <si>
    <t>Tendido y cableado boca tomacorriente (simple/doble/exterior)</t>
  </si>
  <si>
    <t>Tendido y cableado boca tomacorriente especial (AA.CC)</t>
  </si>
  <si>
    <t>Tendido y cableado boca MBT Timbre</t>
  </si>
  <si>
    <t xml:space="preserve">Tendido y cableado boca de temostato </t>
  </si>
  <si>
    <t xml:space="preserve">Boca de TE - Cañería c/cable testigo </t>
  </si>
  <si>
    <t xml:space="preserve">Boca de TV - Cañería c/cable testigo </t>
  </si>
  <si>
    <t xml:space="preserve">Boca de PE - Cañería c/cable testigo </t>
  </si>
  <si>
    <t xml:space="preserve">Boca de DA - Cañería c/cable testigo </t>
  </si>
  <si>
    <t xml:space="preserve">Boca de CCTV - Cañería c/cable testigo </t>
  </si>
  <si>
    <t>Tablero servicios generales - TSG</t>
  </si>
  <si>
    <t>Tablero seccional, bombas de elevación - TSBE</t>
  </si>
  <si>
    <t>Tablero seccional ascensor - TSASC</t>
  </si>
  <si>
    <t>Tablero seccional departamento - TSD</t>
  </si>
  <si>
    <t>Montante eléctrica</t>
  </si>
  <si>
    <t xml:space="preserve">Montante TV + Tablero TV - Cañería c/cable testigo </t>
  </si>
  <si>
    <t>Montante PE + Tablero PE- Cañería c/cable testigo</t>
  </si>
  <si>
    <t>Colocación de sensor de movimiento - Provisión a cargo del comitente</t>
  </si>
  <si>
    <t>Colocación de teclas simples y/o combinadas, pulsadores - Provisión a cargo del comitente</t>
  </si>
  <si>
    <t>Colocación de tomas simples/dobles/encapsulados - Provisión a cargo del comitente</t>
  </si>
  <si>
    <t>Colocación de campanilla/zumbadores - Provisión a cargo del comitente</t>
  </si>
  <si>
    <t>Colocación de extractor de baño - Provisión a cargo del comitente</t>
  </si>
  <si>
    <t>Colocación de luz de emergencia - Provisión a cargo del comitente</t>
  </si>
  <si>
    <t>Colocación de semáforo - Provisión a cargo del comitente</t>
  </si>
  <si>
    <t>Colocación artefactos en espacios comunes y balcones - Provisión a cargo del comitente. NO incluye provisión, ni colocación de artefactos en interior de UF</t>
  </si>
  <si>
    <t xml:space="preserve">Acometida y gabiente de medidores </t>
  </si>
  <si>
    <t>Puesta a tierra, jabalinas y cableados</t>
  </si>
  <si>
    <t>Certificado DCI para servicios generales</t>
  </si>
  <si>
    <t>INSTALACION SANITARIA, GRIFERIA Y SANITARIOS</t>
  </si>
  <si>
    <t>INSTALACION CLOACAL</t>
  </si>
  <si>
    <t>Tendido caño cloacal en planta baja</t>
  </si>
  <si>
    <t>Por armar CDV en planta tipo</t>
  </si>
  <si>
    <t>Montantes, remate y ventilación a los 4 vientos</t>
  </si>
  <si>
    <t>INSTALACION PLUVIAL</t>
  </si>
  <si>
    <t xml:space="preserve">Tendido caño pluvial en planta baja </t>
  </si>
  <si>
    <t>Tendido caño pluvial por pisos</t>
  </si>
  <si>
    <t>Instalación tanque de recupero y bombeo pluvial</t>
  </si>
  <si>
    <t>INSTALACION AGUA FRIA Y CALIENTE</t>
  </si>
  <si>
    <t>Tendido caño de agua hasta TB. Colocación de TB, armado de colector y cuadro de bombas</t>
  </si>
  <si>
    <t>Armado de colector, subida y bajadas de AF</t>
  </si>
  <si>
    <t>Colocación de bomba presurizadora, armado de colector y montantes presurizadas (ultimo piso 4°) AF</t>
  </si>
  <si>
    <t>Distribución agua fria y caliente en planta tipo</t>
  </si>
  <si>
    <t>Colocación de artefactos y griferias</t>
  </si>
  <si>
    <t>INSTALACION DESCARGA SPLIT</t>
  </si>
  <si>
    <t>Armado y conexionado de desagües AA.CC</t>
  </si>
  <si>
    <t>INSTALACION CALEFACCION</t>
  </si>
  <si>
    <t>Tendido de cañerías de piso radiante - Colectores, gabinetes y termostatos a cargo del comitente</t>
  </si>
  <si>
    <t>Montaje de caldera y puesta en marcha - Provisión a cargo del comitente, incluida las ventilaciones</t>
  </si>
  <si>
    <t>INSTALACION DE INCENDIO</t>
  </si>
  <si>
    <t>Tendido cañeria de incendio - Gabinetes, tapas, mangueras y lanzas cotizadas en provisiones</t>
  </si>
  <si>
    <t>INSTALACION DE GAS</t>
  </si>
  <si>
    <t>Provisión y tendido de cañerías de gas a cada UF</t>
  </si>
  <si>
    <t>Colocación de anafes - Provisión a cargo del comitente</t>
  </si>
  <si>
    <t>Provisión y amure de rejillas de ventilación homologadas</t>
  </si>
  <si>
    <t>C</t>
  </si>
  <si>
    <t>Tramites gas - Prefactibilidad, inspección parcial, final</t>
  </si>
  <si>
    <t>AIRE ACONDICIONADO - PROVISION A CARGO DEL COMITENTE</t>
  </si>
  <si>
    <t>Preinstalación para AA.CC - Cotizado en provisiones</t>
  </si>
  <si>
    <t>Montaje, colocación y puesta en marcha de equipos - Cotizado en provisiones</t>
  </si>
  <si>
    <t>ASCENSOR  - PROVISION A CARGO DEL COMITENTE</t>
  </si>
  <si>
    <t xml:space="preserve">Ascensores </t>
  </si>
  <si>
    <t>EQUIPAMIENTO - PROVISION A CARGO DEL COMITENTE</t>
  </si>
  <si>
    <t>Instalación de artefactos de cocina, hornos - Provisión a cargo del comitente</t>
  </si>
  <si>
    <t>Instalacion de extractores de baños - Provisión a cargo del comitente</t>
  </si>
  <si>
    <t>TRABAJOS COMPLEMENTARIOS</t>
  </si>
  <si>
    <t xml:space="preserve">Albañilería parrilla completa - Losa y muros </t>
  </si>
  <si>
    <t>Amure de tapas para pleno eléctricos y gas en palieres - Provisión a cargo del comitente</t>
  </si>
  <si>
    <t>Demolición de vereda</t>
  </si>
  <si>
    <t xml:space="preserve">Tabique divisorio dormitorios - Tabique simple con aislacion de lana de vidrio </t>
  </si>
  <si>
    <t>AYUDA DE GREMIOS</t>
  </si>
  <si>
    <t>Sereno</t>
  </si>
  <si>
    <t>Tecnico de seguridad &amp; higiene permanente en Obra</t>
  </si>
  <si>
    <t>Higiene y seguridad Res 51</t>
  </si>
  <si>
    <t>Protecciones y defensas</t>
  </si>
  <si>
    <t>Ayuda de gremios</t>
  </si>
  <si>
    <t xml:space="preserve">Limpieza periodica </t>
  </si>
  <si>
    <t>Limpieza final de Obra</t>
  </si>
  <si>
    <t>Fletes</t>
  </si>
  <si>
    <t>Volquetes</t>
  </si>
  <si>
    <t>JEFATURA DE OBRA</t>
  </si>
  <si>
    <t>Supervisión de Obra MO</t>
  </si>
  <si>
    <t>Supervisión profesional de Obra</t>
  </si>
  <si>
    <t>Movilidad y viaticos</t>
  </si>
  <si>
    <t>SUB TOTAL OBRA GRIS</t>
  </si>
  <si>
    <t>MESES</t>
  </si>
  <si>
    <t>DÓLAR BNA</t>
  </si>
  <si>
    <t>DÓLAR MEP</t>
  </si>
  <si>
    <t>Descrip</t>
  </si>
  <si>
    <t>Mes</t>
  </si>
  <si>
    <t>Total Dias</t>
  </si>
  <si>
    <t>GASTOS GENERALES y BENEFICIO</t>
  </si>
  <si>
    <t>Prelim</t>
  </si>
  <si>
    <t>Syh permanente</t>
  </si>
  <si>
    <t>Mov de suelos y excav.</t>
  </si>
  <si>
    <t>Gastos Grales de obra en items</t>
  </si>
  <si>
    <t>Precio Unit</t>
  </si>
  <si>
    <t>Subtotal</t>
  </si>
  <si>
    <t>Losa sobre PB</t>
  </si>
  <si>
    <t>Oficina en obra (6x3 c/AA)</t>
  </si>
  <si>
    <t>Losa sobre 1</t>
  </si>
  <si>
    <t>Obrador 6x3 s/AA</t>
  </si>
  <si>
    <t>Losa sobre 2</t>
  </si>
  <si>
    <t>Pañol (6x3)</t>
  </si>
  <si>
    <t>Losa sobre 3</t>
  </si>
  <si>
    <t>Inicio mamposteria</t>
  </si>
  <si>
    <t>Baños</t>
  </si>
  <si>
    <t>Losa sobre 4</t>
  </si>
  <si>
    <t>Losa sobre SM</t>
  </si>
  <si>
    <t xml:space="preserve">Meses H° </t>
  </si>
  <si>
    <t>Estacionamiento en contramano</t>
  </si>
  <si>
    <t>HyS permanente</t>
  </si>
  <si>
    <t>Mampostería</t>
  </si>
  <si>
    <t>HyS</t>
  </si>
  <si>
    <t>Revoques, contrap y carp</t>
  </si>
  <si>
    <t>Energía de obra</t>
  </si>
  <si>
    <t>Colocación</t>
  </si>
  <si>
    <t>Agua de obra</t>
  </si>
  <si>
    <t>Pintura</t>
  </si>
  <si>
    <t>Terminaciones</t>
  </si>
  <si>
    <t>Alquiler cerco de obra chapa</t>
  </si>
  <si>
    <t>Proyecto Ejecutivo</t>
  </si>
  <si>
    <t>Proyecto (50%)</t>
  </si>
  <si>
    <t>Gastos Directos</t>
  </si>
  <si>
    <t>Coordinacion de obra</t>
  </si>
  <si>
    <t>Jefe de obra</t>
  </si>
  <si>
    <t>Sobrestante</t>
  </si>
  <si>
    <t>Administrativo en obra</t>
  </si>
  <si>
    <t>Capataz</t>
  </si>
  <si>
    <t>Logistica</t>
  </si>
  <si>
    <t>Vehiculo obra</t>
  </si>
  <si>
    <t>Mov y viaticos</t>
  </si>
  <si>
    <t>UOCRA</t>
  </si>
  <si>
    <t>Pañolero/Sereno</t>
  </si>
  <si>
    <t>Equipos</t>
  </si>
  <si>
    <t>Bobcat</t>
  </si>
  <si>
    <t>Camion limpieza</t>
  </si>
  <si>
    <t>Tijera electrica 12</t>
  </si>
  <si>
    <t>JLG</t>
  </si>
  <si>
    <t>Grua 20ton</t>
  </si>
  <si>
    <t>Gastos Indirectos</t>
  </si>
  <si>
    <t>Admin (50%Compras - 50%RRHH)</t>
  </si>
  <si>
    <t>Seguros</t>
  </si>
  <si>
    <t>IIBB (monto venta obra gris)</t>
  </si>
  <si>
    <t>Imp cheque</t>
  </si>
  <si>
    <t>Contrato</t>
  </si>
  <si>
    <t>Monto puesto en Ayuda de gremio que no se eroga</t>
  </si>
  <si>
    <t>Imputados en pres</t>
  </si>
  <si>
    <t>Total GGBB</t>
  </si>
  <si>
    <t>Total de Gastos Generales</t>
  </si>
  <si>
    <t>Otro</t>
  </si>
  <si>
    <t>Corralon</t>
  </si>
  <si>
    <t>Subcontratos</t>
  </si>
  <si>
    <t>Mano de obra</t>
  </si>
  <si>
    <t>A</t>
  </si>
  <si>
    <t>GG</t>
  </si>
  <si>
    <t>Imprevistos + Negociacion</t>
  </si>
  <si>
    <t>Beneficio</t>
  </si>
  <si>
    <t>B</t>
  </si>
  <si>
    <t>K</t>
  </si>
  <si>
    <t>A+B</t>
  </si>
  <si>
    <t>Partida</t>
  </si>
  <si>
    <t>Tipo</t>
  </si>
  <si>
    <t>Subtipo</t>
  </si>
  <si>
    <t>Cod_Insumo</t>
  </si>
  <si>
    <t>Unidad de medida</t>
  </si>
  <si>
    <t>%Desp</t>
  </si>
  <si>
    <t>Precio</t>
  </si>
  <si>
    <t>Costo</t>
  </si>
  <si>
    <t>Clave</t>
  </si>
  <si>
    <t>Count</t>
  </si>
  <si>
    <t>Clave2</t>
  </si>
  <si>
    <t>Rend. Part.</t>
  </si>
  <si>
    <t>Cant MO/ALB Unit</t>
  </si>
  <si>
    <t>Cant. Ej. Part.</t>
  </si>
  <si>
    <t>Cant MO/ALB Total</t>
  </si>
  <si>
    <t>Cod_Item_Ppto</t>
  </si>
  <si>
    <t>AIS-114</t>
  </si>
  <si>
    <t>EQ-SOLD00</t>
  </si>
  <si>
    <t>Soldador Soplete A Gas Techista Membrana 10 Kg Boca 50mm</t>
  </si>
  <si>
    <t>AIS-114|EQ</t>
  </si>
  <si>
    <t>AIS-114|EQ|1</t>
  </si>
  <si>
    <t>MAT</t>
  </si>
  <si>
    <t>OTR</t>
  </si>
  <si>
    <t>OTR-022</t>
  </si>
  <si>
    <t>Aguarras Hydrarras Hydra x 18lts</t>
  </si>
  <si>
    <t>b</t>
  </si>
  <si>
    <t>AIS-114|MAT</t>
  </si>
  <si>
    <t>AIS-114|MAT|1</t>
  </si>
  <si>
    <t>OTR-025</t>
  </si>
  <si>
    <t>Trapo</t>
  </si>
  <si>
    <t>AIS-114|MAT|2</t>
  </si>
  <si>
    <t>OTR-027</t>
  </si>
  <si>
    <t>Rodillo de lana pelo largo N°22 - El Galgo</t>
  </si>
  <si>
    <t>AIS-114|MAT|3</t>
  </si>
  <si>
    <t>OTR-028</t>
  </si>
  <si>
    <t>Pincel N° 20 - El Galgo</t>
  </si>
  <si>
    <t>AIS-114|MAT|4</t>
  </si>
  <si>
    <t>OTR-047</t>
  </si>
  <si>
    <t>Guante Vaqueta Medio Paseo</t>
  </si>
  <si>
    <t>par</t>
  </si>
  <si>
    <t>AIS-114|MAT|5</t>
  </si>
  <si>
    <t>OTR-048</t>
  </si>
  <si>
    <t>Recarga de garrafa</t>
  </si>
  <si>
    <t>AIS-114|MAT|6</t>
  </si>
  <si>
    <t>PIN-008</t>
  </si>
  <si>
    <t>Pintura Asfaltica Asfasol x18ts</t>
  </si>
  <si>
    <t>AIS-114|MAT|7</t>
  </si>
  <si>
    <t>AIS-002</t>
  </si>
  <si>
    <t>Membrana Geotextil Ormiflex 4mm - (35kg) x10m</t>
  </si>
  <si>
    <t>AIS-114|MAT|8</t>
  </si>
  <si>
    <t>MO</t>
  </si>
  <si>
    <t>ALB</t>
  </si>
  <si>
    <t>MO-EAYUD</t>
  </si>
  <si>
    <t>AYUDANTE</t>
  </si>
  <si>
    <t>j</t>
  </si>
  <si>
    <t>AIS-114|MO</t>
  </si>
  <si>
    <t>AIS-114|MO|1</t>
  </si>
  <si>
    <t>MO-EESPE</t>
  </si>
  <si>
    <t>ESPECIALIZADO</t>
  </si>
  <si>
    <t>AIS-114|MO|2</t>
  </si>
  <si>
    <t>ALB-033</t>
  </si>
  <si>
    <t>EQ-ANDAM0</t>
  </si>
  <si>
    <t>ANDAMIO TUBULAR DE UNO A TRES CUERPOS</t>
  </si>
  <si>
    <t>ALB-033|EQ</t>
  </si>
  <si>
    <t>ALB-033|EQ|1</t>
  </si>
  <si>
    <t>EQ-EQALBA</t>
  </si>
  <si>
    <t>EQUIPO DE ALBAÑILERIA, carpetas, ladrillo</t>
  </si>
  <si>
    <t>ALB-033|EQ|2</t>
  </si>
  <si>
    <t>EQ-TROMPO</t>
  </si>
  <si>
    <t>Hormigonera De 150 Litros 1hp Con Rueda Maciza</t>
  </si>
  <si>
    <t>ALB-033|EQ|3</t>
  </si>
  <si>
    <t>ACE-001</t>
  </si>
  <si>
    <t>Barra de Acero Aleteado - 6mm x 12m</t>
  </si>
  <si>
    <t>ALB-033|MAT</t>
  </si>
  <si>
    <t>ALB-033|MAT|1</t>
  </si>
  <si>
    <t>AGR-001</t>
  </si>
  <si>
    <t>ARENA LAVADA</t>
  </si>
  <si>
    <t>ALB-033|MAT|2</t>
  </si>
  <si>
    <t>AGR-004</t>
  </si>
  <si>
    <t>Cemento Portland x 50kg</t>
  </si>
  <si>
    <t>Bol</t>
  </si>
  <si>
    <t>ALB-033|MAT|3</t>
  </si>
  <si>
    <t>AGR-005</t>
  </si>
  <si>
    <t>Cal Comun x 25kg</t>
  </si>
  <si>
    <t>bol</t>
  </si>
  <si>
    <t>ALB-033|MAT|4</t>
  </si>
  <si>
    <t>CER-005</t>
  </si>
  <si>
    <t>Ladrillo Comun 12.5 x 5.5 x 25</t>
  </si>
  <si>
    <t>ALB-033|MAT|5</t>
  </si>
  <si>
    <t>MAT-CONS</t>
  </si>
  <si>
    <t>Consumibles</t>
  </si>
  <si>
    <t>ALB-033|MAT|6</t>
  </si>
  <si>
    <t>ALB-033|MO</t>
  </si>
  <si>
    <t>ALB-033|MO|1</t>
  </si>
  <si>
    <t>ALB-033|MO|2</t>
  </si>
  <si>
    <t>ALB-034</t>
  </si>
  <si>
    <t>ALB-034|EQ</t>
  </si>
  <si>
    <t>ALB-034|EQ|1</t>
  </si>
  <si>
    <t>Albañilería</t>
  </si>
  <si>
    <t>ALB-034|EQ|2</t>
  </si>
  <si>
    <t>ALB-034|EQ|3</t>
  </si>
  <si>
    <t>ALB-034|MAT</t>
  </si>
  <si>
    <t>ALB-034|MAT|1</t>
  </si>
  <si>
    <t>ALB-034|MAT|2</t>
  </si>
  <si>
    <t>ALB-034|MAT|3</t>
  </si>
  <si>
    <t>ALB-034|MAT|4</t>
  </si>
  <si>
    <t>CER-002</t>
  </si>
  <si>
    <t>LADRILLO CERAMICO 8 x 18 x 33 cm</t>
  </si>
  <si>
    <t>ALB-034|MAT|5</t>
  </si>
  <si>
    <t>ALB-034|MAT|6</t>
  </si>
  <si>
    <t>ALB-034|MO</t>
  </si>
  <si>
    <t>ALB-034|MO|1</t>
  </si>
  <si>
    <t>ALB-034|MO|2</t>
  </si>
  <si>
    <t>ALB-035</t>
  </si>
  <si>
    <t>ALB-035|EQ</t>
  </si>
  <si>
    <t>ALB-035|EQ|1</t>
  </si>
  <si>
    <t>ALB-035|EQ|2</t>
  </si>
  <si>
    <t>ALB-035|EQ|3</t>
  </si>
  <si>
    <t>ALB-035|MAT</t>
  </si>
  <si>
    <t>ALB-035|MAT|1</t>
  </si>
  <si>
    <t>ALB-035|MAT|2</t>
  </si>
  <si>
    <t>ALB-035|MAT|3</t>
  </si>
  <si>
    <t>ALB-035|MAT|4</t>
  </si>
  <si>
    <t>CER-003</t>
  </si>
  <si>
    <t>LADRILLO CERAMICO 12 x 18 x 33 cm</t>
  </si>
  <si>
    <t>ALB-035|MAT|5</t>
  </si>
  <si>
    <t>ALB-035|MAT|6</t>
  </si>
  <si>
    <t>ALB-035|MO</t>
  </si>
  <si>
    <t>ALB-035|MO|1</t>
  </si>
  <si>
    <t>ALB-035|MO|2</t>
  </si>
  <si>
    <t>ALB-036</t>
  </si>
  <si>
    <t>ALB-036|EQ</t>
  </si>
  <si>
    <t>ALB-036|EQ|1</t>
  </si>
  <si>
    <t>ALB-036|EQ|2</t>
  </si>
  <si>
    <t>ALB-036|EQ|3</t>
  </si>
  <si>
    <t>ALB-036|MAT</t>
  </si>
  <si>
    <t>ALB-036|MAT|1</t>
  </si>
  <si>
    <t>ALB-036|MAT|2</t>
  </si>
  <si>
    <t>ALB-036|MAT|3</t>
  </si>
  <si>
    <t>ALB-036|MAT|4</t>
  </si>
  <si>
    <t>CER-004</t>
  </si>
  <si>
    <t>LADRILLO CERAMICO 18 x 18 x 33 cm</t>
  </si>
  <si>
    <t>ALB-036|MAT|5</t>
  </si>
  <si>
    <t>ALB-036|MAT|6</t>
  </si>
  <si>
    <t>ALB-036|MO</t>
  </si>
  <si>
    <t>ALB-036|MO|1</t>
  </si>
  <si>
    <t>ALB-036|MO|2</t>
  </si>
  <si>
    <t>ALB-037</t>
  </si>
  <si>
    <t>ALB-037|EQ</t>
  </si>
  <si>
    <t>ALB-037|EQ|1</t>
  </si>
  <si>
    <t>ALB-037|EQ|2</t>
  </si>
  <si>
    <t>ALB-037|EQ|3</t>
  </si>
  <si>
    <t>ALB-037|MAT</t>
  </si>
  <si>
    <t>ALB-037|MAT|1</t>
  </si>
  <si>
    <t>ALB-037|MAT|2</t>
  </si>
  <si>
    <t>ALB-037|MAT|3</t>
  </si>
  <si>
    <t>ALB-037|MAT|4</t>
  </si>
  <si>
    <t>AIS-001</t>
  </si>
  <si>
    <t>Aditivo Hidrofugo en pasta - Ceresita x 1kg</t>
  </si>
  <si>
    <t>kg</t>
  </si>
  <si>
    <t>ALB-037|MAT|5</t>
  </si>
  <si>
    <t>ALB-037|MAT|6</t>
  </si>
  <si>
    <t>CER-001</t>
  </si>
  <si>
    <t>ladrillo a la vista 1 cara</t>
  </si>
  <si>
    <t>ALB-037|MAT|7</t>
  </si>
  <si>
    <t>ALB-037|MAT|8</t>
  </si>
  <si>
    <t>ALB-037|MAT|9</t>
  </si>
  <si>
    <t>ALB-037|MAT|10</t>
  </si>
  <si>
    <t>ALB-037|MAT|11</t>
  </si>
  <si>
    <t>ALB-037|MO</t>
  </si>
  <si>
    <t>ALB-037|MO|1</t>
  </si>
  <si>
    <t>ALB-037|MO|2</t>
  </si>
  <si>
    <t>ALB-038</t>
  </si>
  <si>
    <t>ALB-038|EQ</t>
  </si>
  <si>
    <t>ALB-038|EQ|1</t>
  </si>
  <si>
    <t>ALB-038|EQ|2</t>
  </si>
  <si>
    <t>ALB-038|EQ|3</t>
  </si>
  <si>
    <t>ALB-038|MAT</t>
  </si>
  <si>
    <t>ALB-038|MAT|1</t>
  </si>
  <si>
    <t>ALB-038|MAT|2</t>
  </si>
  <si>
    <t>ALB-038|MAT|3</t>
  </si>
  <si>
    <t>ALB-038|MAT|4</t>
  </si>
  <si>
    <t>CER-006</t>
  </si>
  <si>
    <t>Ladrillo hueco ceramico 12x19x33 - Portante</t>
  </si>
  <si>
    <t>ALB-038|MAT|5</t>
  </si>
  <si>
    <t>ALB-038|MAT|6</t>
  </si>
  <si>
    <t>ALB-038|MO</t>
  </si>
  <si>
    <t>ALB-038|MO|1</t>
  </si>
  <si>
    <t>ALB-038|MO|2</t>
  </si>
  <si>
    <t>ALB-039</t>
  </si>
  <si>
    <t>ALB-039|EQ</t>
  </si>
  <si>
    <t>ALB-039|EQ|1</t>
  </si>
  <si>
    <t>ALB-039|EQ|2</t>
  </si>
  <si>
    <t>ALB-039|MAT</t>
  </si>
  <si>
    <t>ALB-039|MAT|1</t>
  </si>
  <si>
    <t>ALB-039|MAT|2</t>
  </si>
  <si>
    <t>ALB-039|MO</t>
  </si>
  <si>
    <t>ALB-039|MO|1</t>
  </si>
  <si>
    <t>ALB-039|MO|2</t>
  </si>
  <si>
    <t>ALB-040</t>
  </si>
  <si>
    <t>ALB-040|EQ</t>
  </si>
  <si>
    <t>ALB-040|EQ|1</t>
  </si>
  <si>
    <t>ALB-040|EQ|2</t>
  </si>
  <si>
    <t>ALB-040|MAT</t>
  </si>
  <si>
    <t>ALB-040|MAT|1</t>
  </si>
  <si>
    <t>ALB-040|MAT|2</t>
  </si>
  <si>
    <t>ALB-040|MO</t>
  </si>
  <si>
    <t>ALB-040|MO|1</t>
  </si>
  <si>
    <t>ALB-040|MO|2</t>
  </si>
  <si>
    <t>ALB-041</t>
  </si>
  <si>
    <t>ALB-041|EQ</t>
  </si>
  <si>
    <t>ALB-041|EQ|1</t>
  </si>
  <si>
    <t>ALB-041|EQ|2</t>
  </si>
  <si>
    <t>ALB-041|MAT</t>
  </si>
  <si>
    <t>ALB-041|MAT|1</t>
  </si>
  <si>
    <t>ALB-041|MAT|2</t>
  </si>
  <si>
    <t>ALB-041|MAT|3</t>
  </si>
  <si>
    <t>ALB-041|MO</t>
  </si>
  <si>
    <t>ALB-041|MO|1</t>
  </si>
  <si>
    <t>ALB-041|MO|2</t>
  </si>
  <si>
    <t>ALB-042</t>
  </si>
  <si>
    <t>ALB-042|EQ</t>
  </si>
  <si>
    <t>ALB-042|EQ|1</t>
  </si>
  <si>
    <t>ALB-042|EQ|2</t>
  </si>
  <si>
    <t>ALB-042|EQ|3</t>
  </si>
  <si>
    <t>ALB-042|MAT</t>
  </si>
  <si>
    <t>ALB-042|MAT|1</t>
  </si>
  <si>
    <t>ALB-042|MAT|2</t>
  </si>
  <si>
    <t>ALB-042|MAT|3</t>
  </si>
  <si>
    <t>ALB-042|MO</t>
  </si>
  <si>
    <t>ALB-042|MO|1</t>
  </si>
  <si>
    <t>ALB-042|MO|2</t>
  </si>
  <si>
    <t>ALB-043</t>
  </si>
  <si>
    <t>ALB-043|EQ</t>
  </si>
  <si>
    <t>ALB-043|EQ|1</t>
  </si>
  <si>
    <t>ALB-043|EQ|2</t>
  </si>
  <si>
    <t>ALB-043|EQ|3</t>
  </si>
  <si>
    <t>ALB-043|MAT</t>
  </si>
  <si>
    <t>ALB-043|MAT|1</t>
  </si>
  <si>
    <t>ALB-043|MAT|2</t>
  </si>
  <si>
    <t>ALB-043|MAT|3</t>
  </si>
  <si>
    <t>AGR-006</t>
  </si>
  <si>
    <t>cal milagro</t>
  </si>
  <si>
    <t>ALB-043|MAT|4</t>
  </si>
  <si>
    <t>ALB-043|MO</t>
  </si>
  <si>
    <t>ALB-043|MO|1</t>
  </si>
  <si>
    <t>ALB-043|MO|2</t>
  </si>
  <si>
    <t>ALB-044</t>
  </si>
  <si>
    <t>ALB-044|EQ</t>
  </si>
  <si>
    <t>ALB-044|EQ|1</t>
  </si>
  <si>
    <t>ALB-044|EQ|2</t>
  </si>
  <si>
    <t>ALB-044|EQ|3</t>
  </si>
  <si>
    <t>ALB-044|MAT</t>
  </si>
  <si>
    <t>ALB-044|MAT|1</t>
  </si>
  <si>
    <t>ALB-044|MAT|2</t>
  </si>
  <si>
    <t>ALB-044|MAT|3</t>
  </si>
  <si>
    <t>ALB-044|MAT|4</t>
  </si>
  <si>
    <t>ALB-044|MO</t>
  </si>
  <si>
    <t>ALB-044|MO|1</t>
  </si>
  <si>
    <t>ALB-044|MO|2</t>
  </si>
  <si>
    <t>ALB-045</t>
  </si>
  <si>
    <t>EQ-BALANC</t>
  </si>
  <si>
    <t>Balancin</t>
  </si>
  <si>
    <t>ALB-045|EQ</t>
  </si>
  <si>
    <t>ALB-045|EQ|1</t>
  </si>
  <si>
    <t>ALB-045|EQ|2</t>
  </si>
  <si>
    <t>ALB-045|EQ|3</t>
  </si>
  <si>
    <t>ALB-045|MAT</t>
  </si>
  <si>
    <t>ALB-045|MAT|1</t>
  </si>
  <si>
    <t>ALB-045|MAT|2</t>
  </si>
  <si>
    <t>ALB-045|MAT|3</t>
  </si>
  <si>
    <t>ALB-045|MAT|4</t>
  </si>
  <si>
    <t>ALB-045|MO</t>
  </si>
  <si>
    <t>ALB-045|MO|1</t>
  </si>
  <si>
    <t>ALB-045|MO|2</t>
  </si>
  <si>
    <t>ALB-046</t>
  </si>
  <si>
    <t>ALB-046|EQ</t>
  </si>
  <si>
    <t>ALB-046|EQ|1</t>
  </si>
  <si>
    <t>ALB-046|EQ|2</t>
  </si>
  <si>
    <t>ALB-046|MAT</t>
  </si>
  <si>
    <t>ALB-046|MAT|1</t>
  </si>
  <si>
    <t>AGR-003</t>
  </si>
  <si>
    <t>Cascote</t>
  </si>
  <si>
    <t>ALB-046|MAT|2</t>
  </si>
  <si>
    <t>ALB-046|MAT|3</t>
  </si>
  <si>
    <t>ALB-046|MAT|4</t>
  </si>
  <si>
    <t>ALB-046|MO</t>
  </si>
  <si>
    <t>ALB-046|MO|1</t>
  </si>
  <si>
    <t>ALB-046|MO|2</t>
  </si>
  <si>
    <t>ALB-047</t>
  </si>
  <si>
    <t>ALB-047|EQ</t>
  </si>
  <si>
    <t>ALB-047|EQ|1</t>
  </si>
  <si>
    <t>ALB-047|EQ|2</t>
  </si>
  <si>
    <t>ALB-047|MAT</t>
  </si>
  <si>
    <t>ALB-047|MAT|1</t>
  </si>
  <si>
    <t>ALB-047|MAT|2</t>
  </si>
  <si>
    <t>ALB-047|MO</t>
  </si>
  <si>
    <t>ALB-047|MO|1</t>
  </si>
  <si>
    <t>ALB-047|MO|2</t>
  </si>
  <si>
    <t>ALB-048</t>
  </si>
  <si>
    <t>ALB-048|EQ</t>
  </si>
  <si>
    <t>ALB-048|EQ|1</t>
  </si>
  <si>
    <t>ALB-048|EQ|2</t>
  </si>
  <si>
    <t>ADT-001</t>
  </si>
  <si>
    <t>Sika Poro Plus x 10 kg</t>
  </si>
  <si>
    <t>ALB-048|MAT</t>
  </si>
  <si>
    <t>ALB-048|MAT|1</t>
  </si>
  <si>
    <t>ALB-048|MAT|2</t>
  </si>
  <si>
    <t>ALB-048|MAT|3</t>
  </si>
  <si>
    <t>ALB-048|MAT|4</t>
  </si>
  <si>
    <t>ALB-048|MO</t>
  </si>
  <si>
    <t>ALB-048|MO|1</t>
  </si>
  <si>
    <t>ALB-048|MO|2</t>
  </si>
  <si>
    <t>ALB-049</t>
  </si>
  <si>
    <t>ALB-049|EQ</t>
  </si>
  <si>
    <t>ALB-049|EQ|1</t>
  </si>
  <si>
    <t>ALB-049|EQ|2</t>
  </si>
  <si>
    <t>ALB-049|MAT</t>
  </si>
  <si>
    <t>ALB-049|MAT|1</t>
  </si>
  <si>
    <t>ALB-049|MAT|2</t>
  </si>
  <si>
    <t>ALB-049|MAT|3</t>
  </si>
  <si>
    <t>ALB-049|MO</t>
  </si>
  <si>
    <t>ALB-049|MO|1</t>
  </si>
  <si>
    <t>ALB-049|MO|2</t>
  </si>
  <si>
    <t>ALB-050</t>
  </si>
  <si>
    <t>ALB-050|EQ</t>
  </si>
  <si>
    <t>ALB-050|EQ|1</t>
  </si>
  <si>
    <t>ALB-050|EQ|2</t>
  </si>
  <si>
    <t>ALB-050|MAT</t>
  </si>
  <si>
    <t>ALB-050|MAT|1</t>
  </si>
  <si>
    <t>ALB-050|MAT|2</t>
  </si>
  <si>
    <t>ALB-050|MO</t>
  </si>
  <si>
    <t>ALB-050|MO|1</t>
  </si>
  <si>
    <t>ALB-050|MO|2</t>
  </si>
  <si>
    <t>ALB-068</t>
  </si>
  <si>
    <t>ALB-068|EQ</t>
  </si>
  <si>
    <t>ALB-068|EQ|1</t>
  </si>
  <si>
    <t>ALB-068|EQ|2</t>
  </si>
  <si>
    <t>ALB-068|EQ|3</t>
  </si>
  <si>
    <t>ALB-068|MAT</t>
  </si>
  <si>
    <t>ALB-068|MAT|1</t>
  </si>
  <si>
    <t>ALB-068|MAT|2</t>
  </si>
  <si>
    <t>ALB-068|MAT|3</t>
  </si>
  <si>
    <t>ALB-068|MAT|4</t>
  </si>
  <si>
    <t>ALB-068|MAT|5</t>
  </si>
  <si>
    <t>ALB-068|MO</t>
  </si>
  <si>
    <t>ALB-068|MO|1</t>
  </si>
  <si>
    <t>ALB-068|MO|2</t>
  </si>
  <si>
    <t>ALB-070</t>
  </si>
  <si>
    <t>ALB-070|EQ</t>
  </si>
  <si>
    <t>ALB-070|EQ|1</t>
  </si>
  <si>
    <t>ALB-070|MAT</t>
  </si>
  <si>
    <t>ALB-070|MAT|1</t>
  </si>
  <si>
    <t>ALB-070|MAT|2</t>
  </si>
  <si>
    <t>ALB-070|MAT|3</t>
  </si>
  <si>
    <t>ALB-070|MAT|4</t>
  </si>
  <si>
    <t>ALB-070|MAT|5</t>
  </si>
  <si>
    <t>ALB-070|MAT|6</t>
  </si>
  <si>
    <t>ALB-070|MAT|7</t>
  </si>
  <si>
    <t>ALB-070|MAT|8</t>
  </si>
  <si>
    <t>ALB-070|MO</t>
  </si>
  <si>
    <t>ALB-070|MO|1</t>
  </si>
  <si>
    <t>ALB-070|MO|2</t>
  </si>
  <si>
    <t>ALB-074</t>
  </si>
  <si>
    <t>EQ-EQUIPI</t>
  </si>
  <si>
    <t>EQUIPO PARA PINTAR</t>
  </si>
  <si>
    <t>ALB-074|EQ</t>
  </si>
  <si>
    <t>ALB-074|EQ|1</t>
  </si>
  <si>
    <t>EQ-PTO026</t>
  </si>
  <si>
    <t>ESCALERA MADERA PINTOR 8 ESCALONES</t>
  </si>
  <si>
    <t>ALB-074|EQ|2</t>
  </si>
  <si>
    <t>OTR-021</t>
  </si>
  <si>
    <t>Fijador al agua x 20 lts</t>
  </si>
  <si>
    <t>ALB-074|MAT</t>
  </si>
  <si>
    <t>ALB-074|MAT|1</t>
  </si>
  <si>
    <t>OTR-023</t>
  </si>
  <si>
    <t>Lija 180 al agua x 10u</t>
  </si>
  <si>
    <t>ALB-074|MAT|2</t>
  </si>
  <si>
    <t>OTR-024</t>
  </si>
  <si>
    <t>Cinta de Papel 36 mm x 40m</t>
  </si>
  <si>
    <t>ALB-074|MAT|3</t>
  </si>
  <si>
    <t>ALB-074|MAT|4</t>
  </si>
  <si>
    <t>ALB-074|MAT|5</t>
  </si>
  <si>
    <t>ALB-074|MAT|6</t>
  </si>
  <si>
    <t>OTR-029</t>
  </si>
  <si>
    <t>Rollo de cartón corrugado 0,90 x 25 mts</t>
  </si>
  <si>
    <t>ALB-074|MAT|7</t>
  </si>
  <si>
    <t>PIN-001</t>
  </si>
  <si>
    <t>Latex Loxon Interior Sherwin Williams Mate Bco x 20lts</t>
  </si>
  <si>
    <t>ALB-074|MAT|8</t>
  </si>
  <si>
    <t>ALB-074|MO</t>
  </si>
  <si>
    <t>ALB-074|MO|1</t>
  </si>
  <si>
    <t>ALB-075</t>
  </si>
  <si>
    <t>ALB-075|EQ</t>
  </si>
  <si>
    <t>ALB-075|EQ|1</t>
  </si>
  <si>
    <t>ALB-075|EQ|2</t>
  </si>
  <si>
    <t>ALB-075|EQ|3</t>
  </si>
  <si>
    <t>ALB-075|MAT</t>
  </si>
  <si>
    <t>ALB-075|MAT|1</t>
  </si>
  <si>
    <t>ALB-075|MAT|2</t>
  </si>
  <si>
    <t>ALB-075|MAT|3</t>
  </si>
  <si>
    <t>ALB-075|MAT|4</t>
  </si>
  <si>
    <t>ALB-075|MAT|5</t>
  </si>
  <si>
    <t>ALB-075|MAT|6</t>
  </si>
  <si>
    <t>MO-EMEDI</t>
  </si>
  <si>
    <t>MEDIO OFICIAL</t>
  </si>
  <si>
    <t>ALB-075|MO</t>
  </si>
  <si>
    <t>ALB-075|MO|1</t>
  </si>
  <si>
    <t>ALB-075|MO|2</t>
  </si>
  <si>
    <t>ALB-115</t>
  </si>
  <si>
    <t>ALB-115|MAT</t>
  </si>
  <si>
    <t>ALB-115|MAT|1</t>
  </si>
  <si>
    <t>ALB-115|MAT|2</t>
  </si>
  <si>
    <t>ALB-115|MAT|3</t>
  </si>
  <si>
    <t>ALB-115|MO</t>
  </si>
  <si>
    <t>ALB-115|MO|1</t>
  </si>
  <si>
    <t>ALB-115|MO|2</t>
  </si>
  <si>
    <t>ALB-118</t>
  </si>
  <si>
    <t>ALB-118|EQ</t>
  </si>
  <si>
    <t>ALB-118|EQ|1</t>
  </si>
  <si>
    <t>ALB-118|EQ|2</t>
  </si>
  <si>
    <t>ALB-118|EQ|3</t>
  </si>
  <si>
    <t>ALB-118|MAT</t>
  </si>
  <si>
    <t>ALB-118|MAT|1</t>
  </si>
  <si>
    <t>ALB-118|MAT|2</t>
  </si>
  <si>
    <t>ALB-118|MAT|3</t>
  </si>
  <si>
    <t>ALB-118|MAT|4</t>
  </si>
  <si>
    <t>BLO-002</t>
  </si>
  <si>
    <t>Bloque de Hormigon 10 x 19 x 39</t>
  </si>
  <si>
    <t>ALB-118|MAT|5</t>
  </si>
  <si>
    <t>ALB-118|MAT|6</t>
  </si>
  <si>
    <t>ALB-118|MO</t>
  </si>
  <si>
    <t>ALB-118|MO|1</t>
  </si>
  <si>
    <t>ALB-118|MO|2</t>
  </si>
  <si>
    <t>ALB-119</t>
  </si>
  <si>
    <t>ALB-119|EQ</t>
  </si>
  <si>
    <t>ALB-119|EQ|1</t>
  </si>
  <si>
    <t>ALB-119|EQ|2</t>
  </si>
  <si>
    <t>ALB-119|EQ|3</t>
  </si>
  <si>
    <t>ALB-119|MAT</t>
  </si>
  <si>
    <t>ALB-119|MAT|1</t>
  </si>
  <si>
    <t>ALB-119|MAT|2</t>
  </si>
  <si>
    <t>ALB-119|MAT|3</t>
  </si>
  <si>
    <t>ALB-119|MAT|4</t>
  </si>
  <si>
    <t>BLO-001</t>
  </si>
  <si>
    <t>Bloque de Hormigon 19 x 19 x 39</t>
  </si>
  <si>
    <t>ALB-119|MAT|5</t>
  </si>
  <si>
    <t>ALB-119|MAT|6</t>
  </si>
  <si>
    <t>ALB-119|MO</t>
  </si>
  <si>
    <t>ALB-119|MO|1</t>
  </si>
  <si>
    <t>ALB-119|MO|2</t>
  </si>
  <si>
    <t>ALB-136</t>
  </si>
  <si>
    <t>ALB-136|EQ</t>
  </si>
  <si>
    <t>ALB-136|EQ|1</t>
  </si>
  <si>
    <t>ALB-136|EQ|2</t>
  </si>
  <si>
    <t>ALB-136|MAT</t>
  </si>
  <si>
    <t>ALB-136|MAT|1</t>
  </si>
  <si>
    <t>ALB-136|MAT|2</t>
  </si>
  <si>
    <t>ALB-136|MAT|3</t>
  </si>
  <si>
    <t>ALB-136|MO</t>
  </si>
  <si>
    <t>ALB-136|MO|1</t>
  </si>
  <si>
    <t>ALB-136|MO|2</t>
  </si>
  <si>
    <t>COL-056</t>
  </si>
  <si>
    <t>EQ-CORTA</t>
  </si>
  <si>
    <t>CORTADORA CERAMICA PROFESIONAL 1200MM (PORCELANATO HASTA 16MM)</t>
  </si>
  <si>
    <t>COL-056|EQ</t>
  </si>
  <si>
    <t>COL-056|EQ|1</t>
  </si>
  <si>
    <t>Revestimiento</t>
  </si>
  <si>
    <t>EQ-EQCERA</t>
  </si>
  <si>
    <t>EQUIPO PARA COLOCACION DE CERAMICA</t>
  </si>
  <si>
    <t>COL-056|EQ|2</t>
  </si>
  <si>
    <t>COR</t>
  </si>
  <si>
    <t>ADH-001</t>
  </si>
  <si>
    <t>Adhesivo Klaukol Porcellanato Fluido x 30Kg</t>
  </si>
  <si>
    <t>COL-056|MAT</t>
  </si>
  <si>
    <t>COL-056|MAT|1</t>
  </si>
  <si>
    <t>ADH-003</t>
  </si>
  <si>
    <t>Pastina Klaukol x 1kg - Alta performance</t>
  </si>
  <si>
    <t>COL-056|MAT|2</t>
  </si>
  <si>
    <t>COL-056|MAT|3</t>
  </si>
  <si>
    <t>OTR-046</t>
  </si>
  <si>
    <t>Disco Diamantado Aliafor Turbo Fino TRF</t>
  </si>
  <si>
    <t>COL-056|MAT|4</t>
  </si>
  <si>
    <t>REV-012</t>
  </si>
  <si>
    <t>Arco y cuña niveladores porcelanatos x 150 un</t>
  </si>
  <si>
    <t>COL-056|MAT|5</t>
  </si>
  <si>
    <t>COL-056|MO</t>
  </si>
  <si>
    <t>COL-056|MO|1</t>
  </si>
  <si>
    <t>MO-EOFIC</t>
  </si>
  <si>
    <t>OFICIAL</t>
  </si>
  <si>
    <t>COL-056|MO|2</t>
  </si>
  <si>
    <t>COL-057</t>
  </si>
  <si>
    <t>COL-057|EQ</t>
  </si>
  <si>
    <t>COL-057|EQ|1</t>
  </si>
  <si>
    <t>COL-057|EQ|2</t>
  </si>
  <si>
    <t>COL-057|MAT</t>
  </si>
  <si>
    <t>COL-057|MAT|1</t>
  </si>
  <si>
    <t>COL-057|MAT|2</t>
  </si>
  <si>
    <t>COL-057|MAT|3</t>
  </si>
  <si>
    <t>COL-057|MAT|4</t>
  </si>
  <si>
    <t>COL-057|MAT|5</t>
  </si>
  <si>
    <t>COL-057|MO</t>
  </si>
  <si>
    <t>COL-057|MO|1</t>
  </si>
  <si>
    <t>COL-057|MO|2</t>
  </si>
  <si>
    <t>COL-058</t>
  </si>
  <si>
    <t>COL-058|EQ</t>
  </si>
  <si>
    <t>COL-058|EQ|1</t>
  </si>
  <si>
    <t>COL-058|EQ|2</t>
  </si>
  <si>
    <t>COL-058|MAT</t>
  </si>
  <si>
    <t>COL-058|MAT|1</t>
  </si>
  <si>
    <t>COL-058|MAT|2</t>
  </si>
  <si>
    <t>COL-058|MAT|3</t>
  </si>
  <si>
    <t>COL-058|MAT|4</t>
  </si>
  <si>
    <t>COL-058|MO</t>
  </si>
  <si>
    <t>COL-058|MO|1</t>
  </si>
  <si>
    <t>COL-058|MO|2</t>
  </si>
  <si>
    <t>COL-080</t>
  </si>
  <si>
    <t>ACE-010</t>
  </si>
  <si>
    <t>Alambre de Fardo</t>
  </si>
  <si>
    <t>COL-080|MAT</t>
  </si>
  <si>
    <t>COL-080|MAT|1</t>
  </si>
  <si>
    <t>ACE-016</t>
  </si>
  <si>
    <t>ACERO ESTRUCTURAL POR KILO</t>
  </si>
  <si>
    <t>KGF</t>
  </si>
  <si>
    <t>COL-080|MAT|2</t>
  </si>
  <si>
    <t>COL-080|MO</t>
  </si>
  <si>
    <t>COL-080|MO|1</t>
  </si>
  <si>
    <t>COL-080|MO|2</t>
  </si>
  <si>
    <t>COL-080|MO|3</t>
  </si>
  <si>
    <t>COL-081</t>
  </si>
  <si>
    <t>COL-081|MAT</t>
  </si>
  <si>
    <t>COL-081|MAT|1</t>
  </si>
  <si>
    <t>COL-081|MAT|2</t>
  </si>
  <si>
    <t>COL-081|MO</t>
  </si>
  <si>
    <t>COL-081|MO|1</t>
  </si>
  <si>
    <t>COL-081|MO|2</t>
  </si>
  <si>
    <t>COL-081|MO|3</t>
  </si>
  <si>
    <t>COL-082</t>
  </si>
  <si>
    <t>COL-082|MAT</t>
  </si>
  <si>
    <t>COL-082|MAT|1</t>
  </si>
  <si>
    <t>COL-082|MAT|2</t>
  </si>
  <si>
    <t>COL-082|MO</t>
  </si>
  <si>
    <t>COL-082|MO|1</t>
  </si>
  <si>
    <t>COL-082|MO|2</t>
  </si>
  <si>
    <t>COL-082|MO|3</t>
  </si>
  <si>
    <t>COL-083</t>
  </si>
  <si>
    <t>COL-083|MAT</t>
  </si>
  <si>
    <t>COL-083|MAT|1</t>
  </si>
  <si>
    <t>COL-083|MAT|2</t>
  </si>
  <si>
    <t>COL-083|MO</t>
  </si>
  <si>
    <t>COL-083|MO|1</t>
  </si>
  <si>
    <t>COL-083|MO|2</t>
  </si>
  <si>
    <t>COL-083|MO|3</t>
  </si>
  <si>
    <t>COL-084</t>
  </si>
  <si>
    <t>COL-084|MAT</t>
  </si>
  <si>
    <t>COL-084|MAT|1</t>
  </si>
  <si>
    <t>COL-084|MAT|2</t>
  </si>
  <si>
    <t>COL-084|MO</t>
  </si>
  <si>
    <t>COL-084|MO|1</t>
  </si>
  <si>
    <t>COL-084|MO|2</t>
  </si>
  <si>
    <t>COL-086</t>
  </si>
  <si>
    <t>COL-086|MAT</t>
  </si>
  <si>
    <t>COL-086|MAT|1</t>
  </si>
  <si>
    <t>COL-086|MAT|2</t>
  </si>
  <si>
    <t>COL-086|MO</t>
  </si>
  <si>
    <t>COL-086|MO|1</t>
  </si>
  <si>
    <t>COL-086|MO|2</t>
  </si>
  <si>
    <t>COL-086|MO|3</t>
  </si>
  <si>
    <t>DUR-060</t>
  </si>
  <si>
    <t>EQ-ESCALE</t>
  </si>
  <si>
    <t>ESCALERA GLOSS ALUMINIO ARTICULADA 4 X 4 ESCALONES HASTA 150KG</t>
  </si>
  <si>
    <t>DUR-060|EQ</t>
  </si>
  <si>
    <t>DUR-060|EQ|1</t>
  </si>
  <si>
    <t>EQ-PTO024</t>
  </si>
  <si>
    <t>EQUIPO DE CONSTRUCCION EN SECO</t>
  </si>
  <si>
    <t>DUR-060|EQ|2</t>
  </si>
  <si>
    <t>DUR-003</t>
  </si>
  <si>
    <t>Solera 35mm x 2.60m</t>
  </si>
  <si>
    <t>DUR-060|MAT</t>
  </si>
  <si>
    <t>DUR-060|MAT|1</t>
  </si>
  <si>
    <t>DUR-004</t>
  </si>
  <si>
    <t>Montante 34mm x 2.60m</t>
  </si>
  <si>
    <t>DUR-060|MAT|2</t>
  </si>
  <si>
    <t>DUR-005</t>
  </si>
  <si>
    <t>Masilla x 32kg</t>
  </si>
  <si>
    <t>DUR-060|MAT|3</t>
  </si>
  <si>
    <t>OTR-007</t>
  </si>
  <si>
    <t>Tornillo T1 - Aguja</t>
  </si>
  <si>
    <t>DUR-060|MAT|4</t>
  </si>
  <si>
    <t>OTR-008</t>
  </si>
  <si>
    <t>Tornillo T2 - Aguja</t>
  </si>
  <si>
    <t>DUR-060|MAT|5</t>
  </si>
  <si>
    <t>OTR-010</t>
  </si>
  <si>
    <t>Fijacion completa del 8</t>
  </si>
  <si>
    <t>DUR-060|MAT|6</t>
  </si>
  <si>
    <t>OTR-011</t>
  </si>
  <si>
    <t>Cinta Entramada - 90m</t>
  </si>
  <si>
    <t>DUR-060|MAT|7</t>
  </si>
  <si>
    <t>REV-006</t>
  </si>
  <si>
    <t>Placa Roca de Yeso 1220 x 2440 - 12.5mm - STD</t>
  </si>
  <si>
    <t>DUR-060|MAT|8</t>
  </si>
  <si>
    <t>DUR-060|MO</t>
  </si>
  <si>
    <t>DUR-060|MO|1</t>
  </si>
  <si>
    <t>DUR-060|MO|2</t>
  </si>
  <si>
    <t>DUR-061</t>
  </si>
  <si>
    <t>DUR-061|EQ</t>
  </si>
  <si>
    <t>DUR-061|EQ|1</t>
  </si>
  <si>
    <t>DUR-061|EQ|2</t>
  </si>
  <si>
    <t>DUR-001</t>
  </si>
  <si>
    <t>Solera 70mm x 2.60m</t>
  </si>
  <si>
    <t>DUR-061|MAT</t>
  </si>
  <si>
    <t>DUR-061|MAT|1</t>
  </si>
  <si>
    <t>DUR-002</t>
  </si>
  <si>
    <t>Montante 69mm x 2.60m</t>
  </si>
  <si>
    <t>DUR-061|MAT|2</t>
  </si>
  <si>
    <t>DUR-061|MAT|3</t>
  </si>
  <si>
    <t>DUR-061|MAT|4</t>
  </si>
  <si>
    <t>DUR-061|MAT|5</t>
  </si>
  <si>
    <t>DUR-061|MAT|6</t>
  </si>
  <si>
    <t>DUR-061|MAT|7</t>
  </si>
  <si>
    <t>REV-007</t>
  </si>
  <si>
    <t>Placa Roca de Yeso 1220 x 2440 - 12.5mm - RH</t>
  </si>
  <si>
    <t>DUR-061|MAT|8</t>
  </si>
  <si>
    <t>DUR-061|MO</t>
  </si>
  <si>
    <t>DUR-061|MO|1</t>
  </si>
  <si>
    <t>DUR-061|MO|2</t>
  </si>
  <si>
    <t>DUR-062</t>
  </si>
  <si>
    <t>DUR-062|EQ</t>
  </si>
  <si>
    <t>DUR-062|EQ|1</t>
  </si>
  <si>
    <t>DUR-062|EQ|2</t>
  </si>
  <si>
    <t>DUR-062|MAT</t>
  </si>
  <si>
    <t>DUR-062|MAT|1</t>
  </si>
  <si>
    <t>DUR-062|MAT|2</t>
  </si>
  <si>
    <t>DUR-062|MAT|3</t>
  </si>
  <si>
    <t>DUR-062|MAT|4</t>
  </si>
  <si>
    <t>DUR-062|MAT|5</t>
  </si>
  <si>
    <t>DUR-062|MAT|6</t>
  </si>
  <si>
    <t>DUR-062|MAT|7</t>
  </si>
  <si>
    <t>REV-008</t>
  </si>
  <si>
    <t>Placa Roca de Yeso 1220 x 2440 - 12.5mm - RF</t>
  </si>
  <si>
    <t>DUR-062|MAT|8</t>
  </si>
  <si>
    <t>DUR-062|MO</t>
  </si>
  <si>
    <t>DUR-062|MO|1</t>
  </si>
  <si>
    <t>DUR-062|MO|2</t>
  </si>
  <si>
    <t>DUR-063</t>
  </si>
  <si>
    <t>DUR-063|EQ</t>
  </si>
  <si>
    <t>DUR-063|EQ|1</t>
  </si>
  <si>
    <t>DUR-063|EQ|2</t>
  </si>
  <si>
    <t>ACE-014</t>
  </si>
  <si>
    <t>Alambre galvanizado N°14 x kg</t>
  </si>
  <si>
    <t>DUR-063|MAT</t>
  </si>
  <si>
    <t>DUR-063|MAT|1</t>
  </si>
  <si>
    <t>DUR-007</t>
  </si>
  <si>
    <t>Perfil Perimetral x 3.05</t>
  </si>
  <si>
    <t>DUR-063|MAT|2</t>
  </si>
  <si>
    <t>DUR-063|MAT|3</t>
  </si>
  <si>
    <t>OTR-015</t>
  </si>
  <si>
    <t>Larguero x 3.66</t>
  </si>
  <si>
    <t>DUR-063|MAT|4</t>
  </si>
  <si>
    <t>OTR-017</t>
  </si>
  <si>
    <t>Travesaño x 0.60</t>
  </si>
  <si>
    <t>DUR-063|MAT|5</t>
  </si>
  <si>
    <t>DUR-063|MO</t>
  </si>
  <si>
    <t>DUR-063|MO|1</t>
  </si>
  <si>
    <t>DUR-063|MO|2</t>
  </si>
  <si>
    <t>DUR-064</t>
  </si>
  <si>
    <t>DUR-064|EQ</t>
  </si>
  <si>
    <t>DUR-064|EQ|1</t>
  </si>
  <si>
    <t>DUR-064|EQ|2</t>
  </si>
  <si>
    <t>DUR-064|MAT</t>
  </si>
  <si>
    <t>DUR-064|MAT|1</t>
  </si>
  <si>
    <t>DUR-064|MAT|2</t>
  </si>
  <si>
    <t>DUR-064|MAT|3</t>
  </si>
  <si>
    <t>DUR-064|MAT|4</t>
  </si>
  <si>
    <t>DUR-064|MAT|5</t>
  </si>
  <si>
    <t>DUR-064|MAT|6</t>
  </si>
  <si>
    <t>DUR-064|MAT|7</t>
  </si>
  <si>
    <t>DUR-064|MAT|8</t>
  </si>
  <si>
    <t>DUR-064|MO</t>
  </si>
  <si>
    <t>DUR-064|MO|1</t>
  </si>
  <si>
    <t>DUR-064|MO|2</t>
  </si>
  <si>
    <t>DUR-065</t>
  </si>
  <si>
    <t>DUR-065|EQ</t>
  </si>
  <si>
    <t>DUR-065|EQ|1</t>
  </si>
  <si>
    <t>DUR-065|EQ|2</t>
  </si>
  <si>
    <t>DUR-065|MAT</t>
  </si>
  <si>
    <t>DUR-065|MAT|1</t>
  </si>
  <si>
    <t>DUR-065|MAT|2</t>
  </si>
  <si>
    <t>DUR-065|MAT|3</t>
  </si>
  <si>
    <t>DUR-006</t>
  </si>
  <si>
    <t>Lana De Vidrio 40mm X 21,6m2 Alta Densidad</t>
  </si>
  <si>
    <t>DUR-065|MAT|4</t>
  </si>
  <si>
    <t>DUR-065|MAT|5</t>
  </si>
  <si>
    <t>DUR-065|MAT|6</t>
  </si>
  <si>
    <t>OTR-009</t>
  </si>
  <si>
    <t>Tornillo T3 - Aguja</t>
  </si>
  <si>
    <t>DUR-065|MAT|7</t>
  </si>
  <si>
    <t>DUR-065|MAT|8</t>
  </si>
  <si>
    <t>DUR-065|MAT|9</t>
  </si>
  <si>
    <t>DUR-065|MAT|10</t>
  </si>
  <si>
    <t>DUR-065|MO</t>
  </si>
  <si>
    <t>DUR-065|MO|1</t>
  </si>
  <si>
    <t>DUR-065|MO|2</t>
  </si>
  <si>
    <t>DUR-066</t>
  </si>
  <si>
    <t>DUR-066|EQ</t>
  </si>
  <si>
    <t>DUR-066|EQ|1</t>
  </si>
  <si>
    <t>DUR-066|EQ|2</t>
  </si>
  <si>
    <t>DUR-066|MAT</t>
  </si>
  <si>
    <t>DUR-066|MAT|1</t>
  </si>
  <si>
    <t>DUR-066|MAT|2</t>
  </si>
  <si>
    <t>DUR-066|MAT|3</t>
  </si>
  <si>
    <t>DUR-066|MAT|4</t>
  </si>
  <si>
    <t>DUR-066|MAT|5</t>
  </si>
  <si>
    <t>DUR-066|MAT|6</t>
  </si>
  <si>
    <t>DUR-066|MAT|7</t>
  </si>
  <si>
    <t>DUR-066|MAT|8</t>
  </si>
  <si>
    <t>DUR-066|MO</t>
  </si>
  <si>
    <t>DUR-066|MO|1</t>
  </si>
  <si>
    <t>DUR-066|MO|2</t>
  </si>
  <si>
    <t>DUR-091</t>
  </si>
  <si>
    <t>DUR-091|MAT</t>
  </si>
  <si>
    <t>DUR-091|MAT|1</t>
  </si>
  <si>
    <t>ACE-015</t>
  </si>
  <si>
    <t>CLAVOS DE 21/2" X 12</t>
  </si>
  <si>
    <t>KG</t>
  </si>
  <si>
    <t>DUR-091|MAT|2</t>
  </si>
  <si>
    <t>MAD-004</t>
  </si>
  <si>
    <t>Estacas</t>
  </si>
  <si>
    <t>DUR-091|MAT|3</t>
  </si>
  <si>
    <t>OTR-031</t>
  </si>
  <si>
    <t>FENOLICO 18MM. COMUN 1.22 x 2.40</t>
  </si>
  <si>
    <t>UD</t>
  </si>
  <si>
    <t>DUR-091|MAT|4</t>
  </si>
  <si>
    <t>OTR-033</t>
  </si>
  <si>
    <t>tirante 3x3 para puntal 3.66</t>
  </si>
  <si>
    <t>DUR-091|MAT|5</t>
  </si>
  <si>
    <t>OTR-034</t>
  </si>
  <si>
    <t>tirante 3x6 3.66</t>
  </si>
  <si>
    <t>DUR-091|MAT|6</t>
  </si>
  <si>
    <t>DUR-091|MO</t>
  </si>
  <si>
    <t>DUR-091|MO|1</t>
  </si>
  <si>
    <t>DUR-091|MO|2</t>
  </si>
  <si>
    <t>DUR-091|MO|3</t>
  </si>
  <si>
    <t>DUR-116</t>
  </si>
  <si>
    <t>DUR-116|EQ</t>
  </si>
  <si>
    <t>DUR-116|EQ|1</t>
  </si>
  <si>
    <t>DUR-116|EQ|2</t>
  </si>
  <si>
    <t>DUR-116|MAT</t>
  </si>
  <si>
    <t>DUR-116|MAT|1</t>
  </si>
  <si>
    <t>DUR-116|MAT|2</t>
  </si>
  <si>
    <t>DUR-116|MAT|3</t>
  </si>
  <si>
    <t>DUR-116|MAT|4</t>
  </si>
  <si>
    <t>OTR-016</t>
  </si>
  <si>
    <t>Travesaño x 1.22</t>
  </si>
  <si>
    <t>DUR-116|MAT|5</t>
  </si>
  <si>
    <t>OTR-019</t>
  </si>
  <si>
    <t>Placa Decovinyl Liso 120x60</t>
  </si>
  <si>
    <t>DUR-116|MAT|6</t>
  </si>
  <si>
    <t>DUR-116|MO</t>
  </si>
  <si>
    <t>DUR-116|MO|1</t>
  </si>
  <si>
    <t>DUR-116|MO|2</t>
  </si>
  <si>
    <t>ELE-120</t>
  </si>
  <si>
    <t>ELE-120|EQ</t>
  </si>
  <si>
    <t>ELE-120|EQ|1</t>
  </si>
  <si>
    <t>EQ-EQUIP0</t>
  </si>
  <si>
    <t>EQUIPO PARA INSTALACION ELECTRICA</t>
  </si>
  <si>
    <t>ELE-120|EQ|2</t>
  </si>
  <si>
    <t>ELE-120|EQ|3</t>
  </si>
  <si>
    <t>ACE-018</t>
  </si>
  <si>
    <t>Conector hierro 7/8"</t>
  </si>
  <si>
    <t>ELE-120|MAT</t>
  </si>
  <si>
    <t>ELE-120|MAT|1</t>
  </si>
  <si>
    <t>ELE-003</t>
  </si>
  <si>
    <t>Caño rigido 7/8"</t>
  </si>
  <si>
    <t>ELE-120|MAT|2</t>
  </si>
  <si>
    <t>ELE-006</t>
  </si>
  <si>
    <t>Cupla PVC 7/8"</t>
  </si>
  <si>
    <t>ELE-120|MAT|3</t>
  </si>
  <si>
    <t>ELE-008</t>
  </si>
  <si>
    <t>Cable unipolar 1 x 1,50</t>
  </si>
  <si>
    <t>ELE-120|MAT|4</t>
  </si>
  <si>
    <t>ELE-009</t>
  </si>
  <si>
    <t>Cable unipolar 1 x 2,50 VA</t>
  </si>
  <si>
    <t>ELE-120|MAT|5</t>
  </si>
  <si>
    <t>ELE-010</t>
  </si>
  <si>
    <t>Cable unipolar 1 x 2,50 Rojo/Marron/Negro</t>
  </si>
  <si>
    <t>ELE-120|MAT|6</t>
  </si>
  <si>
    <t>ELE-012</t>
  </si>
  <si>
    <t>Caja octogonal chica</t>
  </si>
  <si>
    <t>ELE-120|MAT|7</t>
  </si>
  <si>
    <t>ELE-014</t>
  </si>
  <si>
    <t>Caja rectangular chica</t>
  </si>
  <si>
    <t>ELE-120|MAT|8</t>
  </si>
  <si>
    <t>ELE-120|MAT|9</t>
  </si>
  <si>
    <t>ELE-120|MO</t>
  </si>
  <si>
    <t>ELE-120|MO|1</t>
  </si>
  <si>
    <t>ELE-120|MO|2</t>
  </si>
  <si>
    <t>ELE-121</t>
  </si>
  <si>
    <t>ELE-121|EQ</t>
  </si>
  <si>
    <t>ELE-121|EQ|1</t>
  </si>
  <si>
    <t>ELE-121|EQ|2</t>
  </si>
  <si>
    <t>ELE-121|EQ|3</t>
  </si>
  <si>
    <t>ACE-017</t>
  </si>
  <si>
    <t>Conector hierro 3/4"</t>
  </si>
  <si>
    <t>ELE-121|MAT</t>
  </si>
  <si>
    <t>ELE-121|MAT|1</t>
  </si>
  <si>
    <t>ELE-004</t>
  </si>
  <si>
    <t>Caño rigido 3/4"</t>
  </si>
  <si>
    <t>ELE-121|MAT|2</t>
  </si>
  <si>
    <t>ELE-005</t>
  </si>
  <si>
    <t>Cupla PVC 3/4"</t>
  </si>
  <si>
    <t>ELE-121|MAT|3</t>
  </si>
  <si>
    <t>ELE-121|MAT|4</t>
  </si>
  <si>
    <t>ELE-121|MAT|5</t>
  </si>
  <si>
    <t>ELE-121|MAT|6</t>
  </si>
  <si>
    <t>ELE-121|MAT|7</t>
  </si>
  <si>
    <t>ELE-121|MO</t>
  </si>
  <si>
    <t>ELE-121|MO|1</t>
  </si>
  <si>
    <t>ELE-121|MO|2</t>
  </si>
  <si>
    <t>ELE-122</t>
  </si>
  <si>
    <t>ELE-015</t>
  </si>
  <si>
    <t>SMARTTRAY CUPLA UNION  JBCC-M6-100</t>
  </si>
  <si>
    <t>ELE-122|MAT</t>
  </si>
  <si>
    <t>ELE-122|MAT|1</t>
  </si>
  <si>
    <t>ELE-016</t>
  </si>
  <si>
    <t>GRAMPA FIJACIÓN CABLE</t>
  </si>
  <si>
    <t>ELE-122|MAT|2</t>
  </si>
  <si>
    <t>OTR-038</t>
  </si>
  <si>
    <t>SMARTTRAY TRX3M BJA PERF 200-22</t>
  </si>
  <si>
    <t>ELE-122|MAT|3</t>
  </si>
  <si>
    <t>OTR-039</t>
  </si>
  <si>
    <t>SMARTTRAY TAPA CIEGA P/BJA 200-22</t>
  </si>
  <si>
    <t>ELE-122|MAT|4</t>
  </si>
  <si>
    <t>OTR-040</t>
  </si>
  <si>
    <t>ACOMETIDA PARA TABLERO</t>
  </si>
  <si>
    <t>ELE-122|MAT|5</t>
  </si>
  <si>
    <t>OTR-041</t>
  </si>
  <si>
    <t>EMBUDO</t>
  </si>
  <si>
    <t>ELE-122|MAT|6</t>
  </si>
  <si>
    <t>OTR-042</t>
  </si>
  <si>
    <t>GRAMPA FIJACIÓN 200-22</t>
  </si>
  <si>
    <t>ELE-122|MAT|7</t>
  </si>
  <si>
    <t>OTR-044</t>
  </si>
  <si>
    <t>VARILLA ROSCADA 1/4</t>
  </si>
  <si>
    <t>ELE-122|MAT|8</t>
  </si>
  <si>
    <t>OTR-045</t>
  </si>
  <si>
    <t>TUERCA Y ARANDELA 1/4</t>
  </si>
  <si>
    <t>ELE-122|MAT|9</t>
  </si>
  <si>
    <t>ELE-122|MO</t>
  </si>
  <si>
    <t>ELE-122|MO|1</t>
  </si>
  <si>
    <t>ELE-122|MO|2</t>
  </si>
  <si>
    <t>ELE-147</t>
  </si>
  <si>
    <t>ELE-147|EQ</t>
  </si>
  <si>
    <t>ELE-147|EQ|1</t>
  </si>
  <si>
    <t>ELE-147|EQ|2</t>
  </si>
  <si>
    <t>ELE-147|EQ|3</t>
  </si>
  <si>
    <t>ELE-147|MAT</t>
  </si>
  <si>
    <t>ELE-147|MAT|1</t>
  </si>
  <si>
    <t>ELE-147|MAT|2</t>
  </si>
  <si>
    <t>ELE-147|MAT|3</t>
  </si>
  <si>
    <t>ELE-147|MAT|4</t>
  </si>
  <si>
    <t>ELE-147|MAT|5</t>
  </si>
  <si>
    <t>ELE-147|MAT|6</t>
  </si>
  <si>
    <t>ELE-013</t>
  </si>
  <si>
    <t>Caja octogonal profunda</t>
  </si>
  <si>
    <t>ELE-147|MAT|7</t>
  </si>
  <si>
    <t>ELE-147|MAT|8</t>
  </si>
  <si>
    <t>ELE-147|MAT|9</t>
  </si>
  <si>
    <t>ELE-147|MO</t>
  </si>
  <si>
    <t>ELE-147|MO|1</t>
  </si>
  <si>
    <t>ELE-147|MO|2</t>
  </si>
  <si>
    <t>ELE-148</t>
  </si>
  <si>
    <t>ELE-148|EQ</t>
  </si>
  <si>
    <t>ELE-148|EQ|1</t>
  </si>
  <si>
    <t>ELE-148|EQ|2</t>
  </si>
  <si>
    <t>ELE-148|EQ|3</t>
  </si>
  <si>
    <t>ACE-019</t>
  </si>
  <si>
    <t>Conector hierro 1"</t>
  </si>
  <si>
    <t>ELE-148|MAT</t>
  </si>
  <si>
    <t>ELE-148|MAT|1</t>
  </si>
  <si>
    <t>ELE-002</t>
  </si>
  <si>
    <t>Caño rigido 1"</t>
  </si>
  <si>
    <t>ELE-148|MAT|2</t>
  </si>
  <si>
    <t>ELE-007</t>
  </si>
  <si>
    <t>Cupla PVC 1"</t>
  </si>
  <si>
    <t>ELE-148|MAT|3</t>
  </si>
  <si>
    <t>ELE-011</t>
  </si>
  <si>
    <t>Cable unipolar 1 x 4,00</t>
  </si>
  <si>
    <t>ELE-148|MAT|4</t>
  </si>
  <si>
    <t>ELE-148|MAT|5</t>
  </si>
  <si>
    <t>ELE-148|MAT|6</t>
  </si>
  <si>
    <t>ELE-148|MO</t>
  </si>
  <si>
    <t>ELE-148|MO|1</t>
  </si>
  <si>
    <t>ELE-148|MO|2</t>
  </si>
  <si>
    <t>ELE-149</t>
  </si>
  <si>
    <t>ELE-149|EQ</t>
  </si>
  <si>
    <t>ELE-149|EQ|1</t>
  </si>
  <si>
    <t>ELE-149|EQ|2</t>
  </si>
  <si>
    <t>ELE-149|EQ|3</t>
  </si>
  <si>
    <t>ELE-149|MAT</t>
  </si>
  <si>
    <t>ELE-149|MAT|1</t>
  </si>
  <si>
    <t>ELE-149|MAT|2</t>
  </si>
  <si>
    <t>ELE-149|MAT|3</t>
  </si>
  <si>
    <t>ELE-149|MAT|4</t>
  </si>
  <si>
    <t>ELE-149|MAT|5</t>
  </si>
  <si>
    <t>ELE-149|MAT|6</t>
  </si>
  <si>
    <t>ELE-149|MO</t>
  </si>
  <si>
    <t>ELE-149|MO|1</t>
  </si>
  <si>
    <t>ELE-149|MO|2</t>
  </si>
  <si>
    <t>HOR-087</t>
  </si>
  <si>
    <t>HOR-087|MAT</t>
  </si>
  <si>
    <t>HOR-087|MAT|1</t>
  </si>
  <si>
    <t>HOR-087|MAT|2</t>
  </si>
  <si>
    <t>MAD-002</t>
  </si>
  <si>
    <t>Madera tabla corriente</t>
  </si>
  <si>
    <t>HOR-087|MAT|3</t>
  </si>
  <si>
    <t>MAD-001</t>
  </si>
  <si>
    <t>Madera tirante 5x5cm p/ traviesas</t>
  </si>
  <si>
    <t>HOR-087|MAT|4</t>
  </si>
  <si>
    <t>HOR-087|MO</t>
  </si>
  <si>
    <t>HOR-087|MO|1</t>
  </si>
  <si>
    <t>HOR-087|MO|2</t>
  </si>
  <si>
    <t>HOR-088</t>
  </si>
  <si>
    <t>HOR-088|MAT</t>
  </si>
  <si>
    <t>HOR-088|MAT|1</t>
  </si>
  <si>
    <t>HOR-088|MAT|2</t>
  </si>
  <si>
    <t>HOR-088|MAT|3</t>
  </si>
  <si>
    <t>HOR-088|MAT|4</t>
  </si>
  <si>
    <t>HOR-088|MAT|5</t>
  </si>
  <si>
    <t>HOR-088|MAT|6</t>
  </si>
  <si>
    <t>HOR-088|MO</t>
  </si>
  <si>
    <t>HOR-088|MO|1</t>
  </si>
  <si>
    <t>HOR-088|MO|2</t>
  </si>
  <si>
    <t>HOR-088|MO|3</t>
  </si>
  <si>
    <t>HOR-089</t>
  </si>
  <si>
    <t>HOR-089|MAT</t>
  </si>
  <si>
    <t>HOR-089|MAT|1</t>
  </si>
  <si>
    <t>HOR-089|MAT|2</t>
  </si>
  <si>
    <t>HOR-089|MAT|3</t>
  </si>
  <si>
    <t>HOR-089|MAT|4</t>
  </si>
  <si>
    <t>HOR-089|MAT|5</t>
  </si>
  <si>
    <t>HOR-089|MAT|6</t>
  </si>
  <si>
    <t>HOR-089|MO</t>
  </si>
  <si>
    <t>HOR-089|MO|1</t>
  </si>
  <si>
    <t>HOR-089|MO|2</t>
  </si>
  <si>
    <t>HOR-089|MO|3</t>
  </si>
  <si>
    <t>HOR-090</t>
  </si>
  <si>
    <t>HOR-090|MAT</t>
  </si>
  <si>
    <t>HOR-090|MAT|1</t>
  </si>
  <si>
    <t>HOR-090|MAT|2</t>
  </si>
  <si>
    <t>HOR-090|MAT|3</t>
  </si>
  <si>
    <t>OTR-032</t>
  </si>
  <si>
    <t>FENOLICO 18MM. LAMINADO MELAMINICO</t>
  </si>
  <si>
    <t>M2</t>
  </si>
  <si>
    <t>HOR-090|MAT|4</t>
  </si>
  <si>
    <t>HOR-090|MAT|5</t>
  </si>
  <si>
    <t>HOR-090|MAT|6</t>
  </si>
  <si>
    <t>HOR-090|MO</t>
  </si>
  <si>
    <t>HOR-090|MO|1</t>
  </si>
  <si>
    <t>HOR-090|MO|2</t>
  </si>
  <si>
    <t>HOR-090|MO|3</t>
  </si>
  <si>
    <t>HOR-106</t>
  </si>
  <si>
    <t>HOR-106|MO</t>
  </si>
  <si>
    <t>HOR-106|MO|1</t>
  </si>
  <si>
    <t>HOR-106|MO|2</t>
  </si>
  <si>
    <t>HOR-110</t>
  </si>
  <si>
    <t>HOR-110|MO</t>
  </si>
  <si>
    <t>HOR-110|MO|1</t>
  </si>
  <si>
    <t>HOR-110|MO|2</t>
  </si>
  <si>
    <t>HOR-123</t>
  </si>
  <si>
    <t>MAD-003</t>
  </si>
  <si>
    <t>Barrotes</t>
  </si>
  <si>
    <t>HOR-123|MAT</t>
  </si>
  <si>
    <t>HOR-123|MAT|1</t>
  </si>
  <si>
    <t>HOR-123|MAT|2</t>
  </si>
  <si>
    <t>MAD-005</t>
  </si>
  <si>
    <t>Fenólico común e: 18 mm</t>
  </si>
  <si>
    <t>HOR-123|MAT|3</t>
  </si>
  <si>
    <t>MAD-007</t>
  </si>
  <si>
    <t>Pie derecho saligna bruto</t>
  </si>
  <si>
    <t>HOR-123|MAT|4</t>
  </si>
  <si>
    <t>OTR-035</t>
  </si>
  <si>
    <t>Hormigon Elaborado H30</t>
  </si>
  <si>
    <t>HOR-123|MAT|5</t>
  </si>
  <si>
    <t>HOR-123|MO</t>
  </si>
  <si>
    <t>HOR-123|MO|1</t>
  </si>
  <si>
    <t>HOR-123|MO|2</t>
  </si>
  <si>
    <t>HOR-124</t>
  </si>
  <si>
    <t>HOR-124|MAT</t>
  </si>
  <si>
    <t>HOR-124|MAT|1</t>
  </si>
  <si>
    <t>HOR-124|MAT|2</t>
  </si>
  <si>
    <t>MAD-006</t>
  </si>
  <si>
    <t>Fenólico visto e: 18 mm</t>
  </si>
  <si>
    <t>HOR-124|MAT|3</t>
  </si>
  <si>
    <t>HOR-124|MAT|4</t>
  </si>
  <si>
    <t>HOR-124|MAT|5</t>
  </si>
  <si>
    <t>OTR-037</t>
  </si>
  <si>
    <t>Bombeo</t>
  </si>
  <si>
    <t>HOR-124|MAT|6</t>
  </si>
  <si>
    <t>HOR-124|MO</t>
  </si>
  <si>
    <t>HOR-124|MO|1</t>
  </si>
  <si>
    <t>HOR-124|MO|2</t>
  </si>
  <si>
    <t>OBR-138</t>
  </si>
  <si>
    <t>OBR-138|EQ</t>
  </si>
  <si>
    <t>OBR-138|EQ|1</t>
  </si>
  <si>
    <t>OBR-138|EQ|2</t>
  </si>
  <si>
    <t>OBR-138|MAT</t>
  </si>
  <si>
    <t>OBR-138|MAT|1</t>
  </si>
  <si>
    <t>OBR-138|MAT|2</t>
  </si>
  <si>
    <t>OBR-138|MAT|3</t>
  </si>
  <si>
    <t>OBR-138|MAT|4</t>
  </si>
  <si>
    <t>OTR-026</t>
  </si>
  <si>
    <t>Rodillo de lana pelo corto antigota N°22 - El Galgo</t>
  </si>
  <si>
    <t>OBR-138|MAT|5</t>
  </si>
  <si>
    <t>OBR-138|MAT|6</t>
  </si>
  <si>
    <t>OBR-138|MAT|7</t>
  </si>
  <si>
    <t>OBR-138|MAT|8</t>
  </si>
  <si>
    <t>PIN-007</t>
  </si>
  <si>
    <t>Enduido Interior x 20lts</t>
  </si>
  <si>
    <t>OBR-138|MAT|9</t>
  </si>
  <si>
    <t>REV-001</t>
  </si>
  <si>
    <t>Yeso Tuyango x 30kg</t>
  </si>
  <si>
    <t>OBR-138|MAT|10</t>
  </si>
  <si>
    <t>OBR-138|MO</t>
  </si>
  <si>
    <t>OBR-138|MO|1</t>
  </si>
  <si>
    <t>PIN-051</t>
  </si>
  <si>
    <t>PIN-051|EQ</t>
  </si>
  <si>
    <t>PIN-051|EQ|1</t>
  </si>
  <si>
    <t>PIN-051|EQ|2</t>
  </si>
  <si>
    <t>PIN-051|MAT</t>
  </si>
  <si>
    <t>PIN-051|MAT|1</t>
  </si>
  <si>
    <t>PIN-051|MAT|2</t>
  </si>
  <si>
    <t>PIN-051|MAT|3</t>
  </si>
  <si>
    <t>PIN-051|MAT|4</t>
  </si>
  <si>
    <t>PIN-051|MAT|5</t>
  </si>
  <si>
    <t>PIN-051|MAT|6</t>
  </si>
  <si>
    <t>PIN-051|MAT|7</t>
  </si>
  <si>
    <t>PIN-051|MAT|8</t>
  </si>
  <si>
    <t>PIN-051|MAT|9</t>
  </si>
  <si>
    <t>PIN-051|MAT|10</t>
  </si>
  <si>
    <t>PIN-051|MO</t>
  </si>
  <si>
    <t>PIN-051|MO|1</t>
  </si>
  <si>
    <t>PIN-051|MO|2</t>
  </si>
  <si>
    <t>PIN-052</t>
  </si>
  <si>
    <t>PIN-052|EQ</t>
  </si>
  <si>
    <t>PIN-052|EQ|1</t>
  </si>
  <si>
    <t>PIN-052|EQ|2</t>
  </si>
  <si>
    <t>PIN-052|EQ|3</t>
  </si>
  <si>
    <t>PIN-052|MAT</t>
  </si>
  <si>
    <t>PIN-052|MAT|1</t>
  </si>
  <si>
    <t>PIN-052|MAT|2</t>
  </si>
  <si>
    <t>PIN-052|MAT|3</t>
  </si>
  <si>
    <t>PIN-052|MAT|4</t>
  </si>
  <si>
    <t>PIN-052|MAT|5</t>
  </si>
  <si>
    <t>PIN-052|MAT|6</t>
  </si>
  <si>
    <t>PIN-052|MAT|7</t>
  </si>
  <si>
    <t>PIN-052|MAT|8</t>
  </si>
  <si>
    <t>PIN-052|MAT|9</t>
  </si>
  <si>
    <t>PIN-052|MAT|10</t>
  </si>
  <si>
    <t>PIN-052|MO</t>
  </si>
  <si>
    <t>PIN-052|MO|1</t>
  </si>
  <si>
    <t>PIN-052|MO|2</t>
  </si>
  <si>
    <t>PIN-053</t>
  </si>
  <si>
    <t>PIN-053|EQ</t>
  </si>
  <si>
    <t>PIN-053|EQ|1</t>
  </si>
  <si>
    <t>PIN-053|EQ|2</t>
  </si>
  <si>
    <t>PIN-053|MAT</t>
  </si>
  <si>
    <t>PIN-053|MAT|1</t>
  </si>
  <si>
    <t>PIN-053|MAT|2</t>
  </si>
  <si>
    <t>PIN-053|MAT|3</t>
  </si>
  <si>
    <t>PIN-053|MAT|4</t>
  </si>
  <si>
    <t>PIN-053|MAT|5</t>
  </si>
  <si>
    <t>PIN-053|MAT|6</t>
  </si>
  <si>
    <t>PIN-053|MAT|7</t>
  </si>
  <si>
    <t>PIN-053|MAT|8</t>
  </si>
  <si>
    <t>PIN-053|MO</t>
  </si>
  <si>
    <t>PIN-053|MO|1</t>
  </si>
  <si>
    <t>PIN-054</t>
  </si>
  <si>
    <t>PIN-054|EQ</t>
  </si>
  <si>
    <t>PIN-054|EQ|1</t>
  </si>
  <si>
    <t>PIN-054|EQ|2</t>
  </si>
  <si>
    <t>PIN-054|MAT</t>
  </si>
  <si>
    <t>PIN-054|MAT|1</t>
  </si>
  <si>
    <t>PIN-054|MAT|2</t>
  </si>
  <si>
    <t>PIN-054|MAT|3</t>
  </si>
  <si>
    <t>PIN-054|MAT|4</t>
  </si>
  <si>
    <t>PIN-054|MAT|5</t>
  </si>
  <si>
    <t>PIN-054|MAT|6</t>
  </si>
  <si>
    <t>PIN-054|MAT|7</t>
  </si>
  <si>
    <t>PIN-006</t>
  </si>
  <si>
    <t>Esmalte sintetico satinado Satinol Blanco x 4lts</t>
  </si>
  <si>
    <t>PIN-054|MAT|8</t>
  </si>
  <si>
    <t>PIN-054|MO</t>
  </si>
  <si>
    <t>PIN-054|MO|1</t>
  </si>
  <si>
    <t>PIN-055</t>
  </si>
  <si>
    <t>PIN-055|EQ</t>
  </si>
  <si>
    <t>PIN-055|EQ|1</t>
  </si>
  <si>
    <t>PIN-055|EQ|2</t>
  </si>
  <si>
    <t>PIN-055|EQ|3</t>
  </si>
  <si>
    <t>EQ-SILLET</t>
  </si>
  <si>
    <t>Kit Complementario Silleta Descensor Conector Soga X 50 Mts</t>
  </si>
  <si>
    <t>PIN-055|EQ|4</t>
  </si>
  <si>
    <t>PIN-055|MAT</t>
  </si>
  <si>
    <t>PIN-055|MAT|1</t>
  </si>
  <si>
    <t>PIN-055|MAT|2</t>
  </si>
  <si>
    <t>PIN-055|MAT|3</t>
  </si>
  <si>
    <t>OTR-030</t>
  </si>
  <si>
    <t>Llana Plástica 12 x 25 cm</t>
  </si>
  <si>
    <t>PIN-055|MAT|4</t>
  </si>
  <si>
    <t>REV-009</t>
  </si>
  <si>
    <t>Quimtex Romano Fino x 27 kg</t>
  </si>
  <si>
    <t>PIN-055|MAT|5</t>
  </si>
  <si>
    <t>REV-010</t>
  </si>
  <si>
    <t>Quimtex base cuarzo 18 lts</t>
  </si>
  <si>
    <t>PIN-055|MAT|6</t>
  </si>
  <si>
    <t>PIN-055|MO</t>
  </si>
  <si>
    <t>PIN-055|MO|1</t>
  </si>
  <si>
    <t>PIN-055|MO|2</t>
  </si>
  <si>
    <t>PIN-055|MO|3</t>
  </si>
  <si>
    <t>PIN-059</t>
  </si>
  <si>
    <t>PIN-059|EQ</t>
  </si>
  <si>
    <t>PIN-059|EQ|1</t>
  </si>
  <si>
    <t>PIN-059|EQ|2</t>
  </si>
  <si>
    <t>PIN-059|MAT</t>
  </si>
  <si>
    <t>PIN-059|MAT|1</t>
  </si>
  <si>
    <t>PIN-059|MAT|2</t>
  </si>
  <si>
    <t>PIN-059|MAT|3</t>
  </si>
  <si>
    <t>PIN-059|MAT|4</t>
  </si>
  <si>
    <t>PIN-059|MAT|5</t>
  </si>
  <si>
    <t>PIN-059|MAT|6</t>
  </si>
  <si>
    <t>PIN-059|MAT|7</t>
  </si>
  <si>
    <t>PIN-059|MAT|8</t>
  </si>
  <si>
    <t>PIN-059|MAT|9</t>
  </si>
  <si>
    <t>PIN-059|MAT|10</t>
  </si>
  <si>
    <t>PIN-059|MO</t>
  </si>
  <si>
    <t>PIN-059|MO|1</t>
  </si>
  <si>
    <t>PIN-059|MO|2</t>
  </si>
  <si>
    <t>PIN-067</t>
  </si>
  <si>
    <t>PIN-067|EQ</t>
  </si>
  <si>
    <t>PIN-067|EQ|1</t>
  </si>
  <si>
    <t>PIN-067|EQ|2</t>
  </si>
  <si>
    <t>PIN-067|MAT</t>
  </si>
  <si>
    <t>PIN-067|MAT|1</t>
  </si>
  <si>
    <t>PIN-067|MAT|2</t>
  </si>
  <si>
    <t>PIN-067|MAT|3</t>
  </si>
  <si>
    <t>PIN-067|MAT|4</t>
  </si>
  <si>
    <t>PIN-067|MAT|5</t>
  </si>
  <si>
    <t>PIN-067|MAT|6</t>
  </si>
  <si>
    <t>PIN-067|MAT|7</t>
  </si>
  <si>
    <t>PIN-067|MAT|8</t>
  </si>
  <si>
    <t>PIN-067|MAT|9</t>
  </si>
  <si>
    <t>PIN-067|MO</t>
  </si>
  <si>
    <t>PIN-067|MO|1</t>
  </si>
  <si>
    <t>PIN-067|MO|2</t>
  </si>
  <si>
    <t>PIN-071</t>
  </si>
  <si>
    <t>PIN-071|EQ</t>
  </si>
  <si>
    <t>PIN-071|EQ|1</t>
  </si>
  <si>
    <t>PIN-071|EQ|2</t>
  </si>
  <si>
    <t>ADT-002</t>
  </si>
  <si>
    <t>Venda SikaTEX 75 - Rollo</t>
  </si>
  <si>
    <t>PIN-071|MAT</t>
  </si>
  <si>
    <t>PIN-071|MAT|1</t>
  </si>
  <si>
    <t>ELE-001</t>
  </si>
  <si>
    <t>Recuplast Tradicional Blanco x 20 lts</t>
  </si>
  <si>
    <t>PIN-071|MAT|2</t>
  </si>
  <si>
    <t>PIN-071|MAT|3</t>
  </si>
  <si>
    <t>PIN-071|MAT|4</t>
  </si>
  <si>
    <t>PIN-071|MAT|5</t>
  </si>
  <si>
    <t>PIN-071|MO</t>
  </si>
  <si>
    <t>PIN-071|MO|1</t>
  </si>
  <si>
    <t>PIN-071|MO|2</t>
  </si>
  <si>
    <t>PIN-073</t>
  </si>
  <si>
    <t>PIN-073|EQ</t>
  </si>
  <si>
    <t>PIN-073|EQ|1</t>
  </si>
  <si>
    <t>PIN-073|EQ|2</t>
  </si>
  <si>
    <t>PIN-073|MAT</t>
  </si>
  <si>
    <t>PIN-073|MAT|1</t>
  </si>
  <si>
    <t>PIN-073|MAT|2</t>
  </si>
  <si>
    <t>PIN-073|MAT|3</t>
  </si>
  <si>
    <t>PIN-073|MAT|4</t>
  </si>
  <si>
    <t>PIN-073|MAT|5</t>
  </si>
  <si>
    <t>PIN-073|MAT|6</t>
  </si>
  <si>
    <t>PIN-073|MAT|7</t>
  </si>
  <si>
    <t>PIN-073|MO</t>
  </si>
  <si>
    <t>PIN-073|MO|1</t>
  </si>
  <si>
    <t>PIN-113</t>
  </si>
  <si>
    <t>PIN-113|EQ</t>
  </si>
  <si>
    <t>PIN-113|EQ|1</t>
  </si>
  <si>
    <t>PIN-113|MAT</t>
  </si>
  <si>
    <t>PIN-113|MAT|1</t>
  </si>
  <si>
    <t>PIN-113|MAT|2</t>
  </si>
  <si>
    <t>PIN-113|MAT|3</t>
  </si>
  <si>
    <t>PIN-113|MAT|4</t>
  </si>
  <si>
    <t>PIN-113|MAT|5</t>
  </si>
  <si>
    <t>PIN-113|MO</t>
  </si>
  <si>
    <t>PIN-113|MO|1</t>
  </si>
  <si>
    <t>PIN-113|MO|2</t>
  </si>
  <si>
    <t>PIN-137</t>
  </si>
  <si>
    <t>PIN-137|EQ</t>
  </si>
  <si>
    <t>PIN-137|EQ|1</t>
  </si>
  <si>
    <t>PIN-137|EQ|2</t>
  </si>
  <si>
    <t>PIN-137|MAT</t>
  </si>
  <si>
    <t>PIN-137|MAT|1</t>
  </si>
  <si>
    <t>PIN-137|MAT|2</t>
  </si>
  <si>
    <t>PIN-137|MAT|3</t>
  </si>
  <si>
    <t>PIN-137|MAT|4</t>
  </si>
  <si>
    <t>PIN-137|MAT|5</t>
  </si>
  <si>
    <t>PIN-137|MAT|6</t>
  </si>
  <si>
    <t>PIN-137|MAT|7</t>
  </si>
  <si>
    <t>PIN-137|MAT|8</t>
  </si>
  <si>
    <t>PIN-137|MAT|9</t>
  </si>
  <si>
    <t>PIN-137|MAT|10</t>
  </si>
  <si>
    <t>PIN-137|MO</t>
  </si>
  <si>
    <t>PIN-137|MO|1</t>
  </si>
  <si>
    <t>PIN-146</t>
  </si>
  <si>
    <t>PIN-146|EQ</t>
  </si>
  <si>
    <t>PIN-146|EQ|1</t>
  </si>
  <si>
    <t>PIN-146|EQ|2</t>
  </si>
  <si>
    <t>PIN-146|MAT</t>
  </si>
  <si>
    <t>PIN-146|MAT|1</t>
  </si>
  <si>
    <t>PIN-146|MAT|2</t>
  </si>
  <si>
    <t>PIN-146|MAT|3</t>
  </si>
  <si>
    <t>PIN-146|MAT|4</t>
  </si>
  <si>
    <t>PIN-146|MAT|5</t>
  </si>
  <si>
    <t>PIN-146|MAT|6</t>
  </si>
  <si>
    <t>PIN-146|MAT|7</t>
  </si>
  <si>
    <t>PIN-146|MAT|8</t>
  </si>
  <si>
    <t>PIN-146|MO</t>
  </si>
  <si>
    <t>PIN-146|MO|1</t>
  </si>
  <si>
    <t>PIN-53B</t>
  </si>
  <si>
    <t>PIN-53B|EQ</t>
  </si>
  <si>
    <t>PIN-53B|EQ|1</t>
  </si>
  <si>
    <t>PIN-53B|EQ|2</t>
  </si>
  <si>
    <t>PIN-53B|EQ|3</t>
  </si>
  <si>
    <t>PIN-53B|EQ|4</t>
  </si>
  <si>
    <t>PIN-53B|MAT</t>
  </si>
  <si>
    <t>PIN-53B|MAT|1</t>
  </si>
  <si>
    <t>PIN-53B|MAT|2</t>
  </si>
  <si>
    <t>PIN-53B|MAT|3</t>
  </si>
  <si>
    <t>PIN-53B|MAT|4</t>
  </si>
  <si>
    <t>PIN-53B|MAT|5</t>
  </si>
  <si>
    <t>PIN-53B|MAT|6</t>
  </si>
  <si>
    <t>PIN-53B|MAT|7</t>
  </si>
  <si>
    <t>PIN-003</t>
  </si>
  <si>
    <t>Latex Loxon Exterior Sherwin Williams Mate Bco x 20lts</t>
  </si>
  <si>
    <t>PIN-53B|MAT|8</t>
  </si>
  <si>
    <t>PIN-53B|MO</t>
  </si>
  <si>
    <t>PIN-53B|MO|1</t>
  </si>
  <si>
    <t>PIN-53B|MO|2</t>
  </si>
  <si>
    <t>PIN-53B|MO|3</t>
  </si>
  <si>
    <t>PRE-032</t>
  </si>
  <si>
    <t>EQ-COMPCT</t>
  </si>
  <si>
    <t>Compactador pata de cabra 612H - (c/operario y combustible) - Alq. X dia</t>
  </si>
  <si>
    <t>PRE-032|EQ</t>
  </si>
  <si>
    <t>PRE-032|EQ|1</t>
  </si>
  <si>
    <t>EQ-PALA310</t>
  </si>
  <si>
    <t>Pala y retro 310J (c/ operario y combustible)</t>
  </si>
  <si>
    <t>PRE-032|EQ|2</t>
  </si>
  <si>
    <t>EQ-VOLC</t>
  </si>
  <si>
    <t>Camion chasis volcador 170E22 - (c/ operario y combustible) - Alq. X dia</t>
  </si>
  <si>
    <t>PRE-032|EQ|3</t>
  </si>
  <si>
    <t>AGR-008</t>
  </si>
  <si>
    <t>Aporte de Tosca</t>
  </si>
  <si>
    <t>PRE-032|MAT</t>
  </si>
  <si>
    <t>PRE-032|MAT|1</t>
  </si>
  <si>
    <t>PRE-032|MO</t>
  </si>
  <si>
    <t>PRE-032|MO|1</t>
  </si>
  <si>
    <t>PRE-032|MO|2</t>
  </si>
  <si>
    <t>PTO-0102</t>
  </si>
  <si>
    <t>EQ-PTO028</t>
  </si>
  <si>
    <t>Herramientas menores y consumibles - Topógrafo - Visita de obra replanteo</t>
  </si>
  <si>
    <t>PTO-0102|EQ</t>
  </si>
  <si>
    <t>PTO-0102|EQ|1</t>
  </si>
  <si>
    <t>Preliminar</t>
  </si>
  <si>
    <t>OTR-PTO144</t>
  </si>
  <si>
    <t>Consumibles topógrafo y obras preliminares</t>
  </si>
  <si>
    <t>PTO-0102|MAT</t>
  </si>
  <si>
    <t>PTO-0102|MAT|1</t>
  </si>
  <si>
    <t>PTO-0102|MO</t>
  </si>
  <si>
    <t>PTO-0102|MO|1</t>
  </si>
  <si>
    <t>SUB-PTO001</t>
  </si>
  <si>
    <t>M.Obra topografo</t>
  </si>
  <si>
    <t>PTO-0102|MO|2</t>
  </si>
  <si>
    <t>PTO-0104</t>
  </si>
  <si>
    <t>EQ-PTO029</t>
  </si>
  <si>
    <t>Herramientas menores y consumibles - Cerco de obra perimetral - En chapa C25 + Concerti</t>
  </si>
  <si>
    <t>PTO-0104|EQ</t>
  </si>
  <si>
    <t>PTO-0104|EQ|1</t>
  </si>
  <si>
    <t>PTO-0104|MAT</t>
  </si>
  <si>
    <t>PTO-0104|MAT|1</t>
  </si>
  <si>
    <t>OTR-PTO002</t>
  </si>
  <si>
    <t>Chapa acanalada C25</t>
  </si>
  <si>
    <t>PTO-0104|MAT|2</t>
  </si>
  <si>
    <t>OTR-PTO003</t>
  </si>
  <si>
    <t>Perfiles UPN 100</t>
  </si>
  <si>
    <t>PTO-0104|MAT|3</t>
  </si>
  <si>
    <t>OTR-PTO004</t>
  </si>
  <si>
    <t xml:space="preserve">Bastidor para porton corredizo - Perfil 40 x 40 x 2 </t>
  </si>
  <si>
    <t>PTO-0104|MAT|4</t>
  </si>
  <si>
    <t>OTR-PTO005</t>
  </si>
  <si>
    <t>Riel Roma 174 e: 2,1 mm. 53 x 60 x 6000</t>
  </si>
  <si>
    <t>PTO-0104|MAT|5</t>
  </si>
  <si>
    <t>OTR-PTO006</t>
  </si>
  <si>
    <t>Carro acero 174 4 ruedas puertas portones Ø45mm</t>
  </si>
  <si>
    <t>PTO-0104|MAT|6</t>
  </si>
  <si>
    <t>OTR-PTO007</t>
  </si>
  <si>
    <t xml:space="preserve">Autoperforantes punta mecha 14 x 2 </t>
  </si>
  <si>
    <t>PTO-0104|MAT|7</t>
  </si>
  <si>
    <t>OTR-PTO008</t>
  </si>
  <si>
    <t>Rollo Concertina</t>
  </si>
  <si>
    <t>rol</t>
  </si>
  <si>
    <t>PTO-0104|MAT|8</t>
  </si>
  <si>
    <t>PTO-0104|MO</t>
  </si>
  <si>
    <t>PTO-0104|MO|1</t>
  </si>
  <si>
    <t>PTO-0104|MO|2</t>
  </si>
  <si>
    <t>PTO-0104|MO|3</t>
  </si>
  <si>
    <t>PTO-0105</t>
  </si>
  <si>
    <t>EQ-PTO030</t>
  </si>
  <si>
    <t>Herramientas menores y consumibles - Obrador, pañol y ducha.</t>
  </si>
  <si>
    <t>PTO-0105|EQ</t>
  </si>
  <si>
    <t>PTO-0105|EQ|1</t>
  </si>
  <si>
    <t>OTR-PTO015</t>
  </si>
  <si>
    <t xml:space="preserve">Materiales varios </t>
  </si>
  <si>
    <t>PTO-0105|MAT</t>
  </si>
  <si>
    <t>PTO-0105|MAT|1</t>
  </si>
  <si>
    <t>OTR-PTO009</t>
  </si>
  <si>
    <t>Chapa acanalada C25 - Reutilizado (estimado 3 usos)</t>
  </si>
  <si>
    <t>PTO-0105|MAT|2</t>
  </si>
  <si>
    <t>OTR-PTO010</t>
  </si>
  <si>
    <t>Fenolico 1,22 x 2,44 - Reutilizado (estimado 3 usos)</t>
  </si>
  <si>
    <t>PTO-0105|MAT|3</t>
  </si>
  <si>
    <t>OTR-PTO011</t>
  </si>
  <si>
    <t>Puntales 1 x 4 x 3,7 - Reutilizado (estimado 3 usos)</t>
  </si>
  <si>
    <t>PTO-0105|MAT|4</t>
  </si>
  <si>
    <t>OTR-PTO012</t>
  </si>
  <si>
    <t>Puntales 3 x 3 x 3,7 - Reutilizado (estimado 3 usos)</t>
  </si>
  <si>
    <t>PTO-0105|MAT|5</t>
  </si>
  <si>
    <t>OTR-PTO013</t>
  </si>
  <si>
    <t xml:space="preserve">Flechas 3 x 6 x 3,7 - Reutilizado (estimado 3 usos) </t>
  </si>
  <si>
    <t>PTO-0105|MAT|6</t>
  </si>
  <si>
    <t>OTR-PTO014</t>
  </si>
  <si>
    <t xml:space="preserve">Escalera </t>
  </si>
  <si>
    <t>PTO-0105|MAT|7</t>
  </si>
  <si>
    <t>OTR-PTO016</t>
  </si>
  <si>
    <t xml:space="preserve">Rollo de cable TPR 3 x 2,5 </t>
  </si>
  <si>
    <t xml:space="preserve">rol </t>
  </si>
  <si>
    <t>PTO-0105|MAT|8</t>
  </si>
  <si>
    <t>OTR-PTO017</t>
  </si>
  <si>
    <t>Zocalo E27</t>
  </si>
  <si>
    <t>PTO-0105|MAT|9</t>
  </si>
  <si>
    <t>OTR-PTO018</t>
  </si>
  <si>
    <t>Lampara Led 12 w</t>
  </si>
  <si>
    <t>PTO-0105|MAT|10</t>
  </si>
  <si>
    <t>OTR-PTO019</t>
  </si>
  <si>
    <t xml:space="preserve">Mat. Elect. (tomas, enchufes, etc.) </t>
  </si>
  <si>
    <t>PTO-0105|MAT|11</t>
  </si>
  <si>
    <t>OTR-PTO020</t>
  </si>
  <si>
    <t>Materiales Sanit</t>
  </si>
  <si>
    <t>PTO-0105|MAT|12</t>
  </si>
  <si>
    <t>OTR-PTO021</t>
  </si>
  <si>
    <t>Inodoro</t>
  </si>
  <si>
    <t>PTO-0105|MAT|13</t>
  </si>
  <si>
    <t>OTR-PTO022</t>
  </si>
  <si>
    <t xml:space="preserve">Mochila plastico </t>
  </si>
  <si>
    <t>PTO-0105|MAT|14</t>
  </si>
  <si>
    <t>OTR-PTO023</t>
  </si>
  <si>
    <t xml:space="preserve">Bacha </t>
  </si>
  <si>
    <t>PTO-0105|MAT|15</t>
  </si>
  <si>
    <t>OTR-PTO024</t>
  </si>
  <si>
    <t>Termo electrico 40 lts</t>
  </si>
  <si>
    <t>PTO-0105|MAT|16</t>
  </si>
  <si>
    <t>PTO-0105|MO</t>
  </si>
  <si>
    <t>PTO-0105|MO|1</t>
  </si>
  <si>
    <t>PTO-0105|MO|2</t>
  </si>
  <si>
    <t>PTO-0105|MO|3</t>
  </si>
  <si>
    <t>PTO-0105|MO|4</t>
  </si>
  <si>
    <t>SUB-PTO002</t>
  </si>
  <si>
    <t>Flete madera</t>
  </si>
  <si>
    <t>PTO-0105|MO|5</t>
  </si>
  <si>
    <t>SUB-PTO003</t>
  </si>
  <si>
    <t>Flete retiro</t>
  </si>
  <si>
    <t>PTO-0105|MO|6</t>
  </si>
  <si>
    <t>PTO-0106</t>
  </si>
  <si>
    <t>SUB-PTO078</t>
  </si>
  <si>
    <t xml:space="preserve">Baño portatil / Ducha </t>
  </si>
  <si>
    <t>PTO-0106|MO</t>
  </si>
  <si>
    <t>PTO-0106|MO|1</t>
  </si>
  <si>
    <t>SUB-PTO079</t>
  </si>
  <si>
    <t xml:space="preserve">Traslado flete entrega/ retiro </t>
  </si>
  <si>
    <t>PTO-0106|MO|2</t>
  </si>
  <si>
    <t>PTO-0107</t>
  </si>
  <si>
    <t>EQ-PTO031</t>
  </si>
  <si>
    <t>Herramientas menores y consumibles - Conexión pilar y luz de obra + Tablero de obra</t>
  </si>
  <si>
    <t>PTO-0107|EQ</t>
  </si>
  <si>
    <t>PTO-0107|EQ|1</t>
  </si>
  <si>
    <t>OTR-PTO025</t>
  </si>
  <si>
    <t>Pilar de obra, albañileria</t>
  </si>
  <si>
    <t>d</t>
  </si>
  <si>
    <t>PTO-0107|MAT</t>
  </si>
  <si>
    <t>PTO-0107|MAT|1</t>
  </si>
  <si>
    <t>OTR-PTO026</t>
  </si>
  <si>
    <t>Kit medidor pilar Edenor Conextube</t>
  </si>
  <si>
    <t>PTO-0107|MAT|2</t>
  </si>
  <si>
    <t>OTR-PTO027</t>
  </si>
  <si>
    <t>Kit jabalina + caja + toma cable</t>
  </si>
  <si>
    <t>PTO-0107|MAT|3</t>
  </si>
  <si>
    <t>OTR-PTO028</t>
  </si>
  <si>
    <t>Cable subterraneo 5 x 10 mm2</t>
  </si>
  <si>
    <t>mts</t>
  </si>
  <si>
    <t>PTO-0107|MAT|4</t>
  </si>
  <si>
    <t>OTR-PTO029</t>
  </si>
  <si>
    <t>Tablero de obra</t>
  </si>
  <si>
    <t>PTO-0107|MAT|5</t>
  </si>
  <si>
    <t>PTO-0107|MO</t>
  </si>
  <si>
    <t>PTO-0107|MO|1</t>
  </si>
  <si>
    <t>PTO-0107|MO|2</t>
  </si>
  <si>
    <t>PTO-0107|MO|3</t>
  </si>
  <si>
    <t>PTO-0108</t>
  </si>
  <si>
    <t>EQ-PTO032</t>
  </si>
  <si>
    <t>Herramientas menores y consumibles - Conexión agua de obra, tanque + bomba</t>
  </si>
  <si>
    <t>PTO-0108|EQ</t>
  </si>
  <si>
    <t>PTO-0108|EQ|1</t>
  </si>
  <si>
    <t>OTR-PTO030</t>
  </si>
  <si>
    <t>Tanque de Bombeo 500 lts (reutilizado)</t>
  </si>
  <si>
    <t>PTO-0108|MAT</t>
  </si>
  <si>
    <t>PTO-0108|MAT|1</t>
  </si>
  <si>
    <t>OTR-PTO031</t>
  </si>
  <si>
    <t xml:space="preserve">Bomba pres (reutilizada) </t>
  </si>
  <si>
    <t>PTO-0108|MAT|2</t>
  </si>
  <si>
    <t>OTR-PTO032</t>
  </si>
  <si>
    <t xml:space="preserve">Flotante mecanico 1" + boya </t>
  </si>
  <si>
    <t>PTO-0108|MAT|3</t>
  </si>
  <si>
    <t>OTR-PTO033</t>
  </si>
  <si>
    <t>Flotante automatico</t>
  </si>
  <si>
    <t>PTO-0108|MAT|4</t>
  </si>
  <si>
    <t>OTR-PTO034</t>
  </si>
  <si>
    <t>Caño 3/4"</t>
  </si>
  <si>
    <t>PTO-0108|MAT|5</t>
  </si>
  <si>
    <t>OTR-PTO035</t>
  </si>
  <si>
    <t>Val. esf doble media union 1"</t>
  </si>
  <si>
    <t>PTO-0108|MAT|6</t>
  </si>
  <si>
    <t>OTR-PTO036</t>
  </si>
  <si>
    <t xml:space="preserve">Canilla de pvc </t>
  </si>
  <si>
    <t>PTO-0108|MAT|7</t>
  </si>
  <si>
    <t>OTR-PTO037</t>
  </si>
  <si>
    <t>Desperdicio</t>
  </si>
  <si>
    <t>PTO-0108|MAT|8</t>
  </si>
  <si>
    <t>PTO-0108|MO</t>
  </si>
  <si>
    <t>PTO-0108|MO|1</t>
  </si>
  <si>
    <t>PTO-0108|MO|2</t>
  </si>
  <si>
    <t>PTO-0109</t>
  </si>
  <si>
    <t>SUB-CERTLUZ2</t>
  </si>
  <si>
    <t>Luz de Obra</t>
  </si>
  <si>
    <t>PTO-0109|MO</t>
  </si>
  <si>
    <t>PTO-0109|MO|1</t>
  </si>
  <si>
    <t>SUB-MEDPAT</t>
  </si>
  <si>
    <t>Medicion PAT luz de obra</t>
  </si>
  <si>
    <t>PTO-0109|MO|2</t>
  </si>
  <si>
    <t>SUB-PTO004</t>
  </si>
  <si>
    <t>Gestion suministro luz de obra</t>
  </si>
  <si>
    <t>PTO-0109|MO|3</t>
  </si>
  <si>
    <t>PTO-0201</t>
  </si>
  <si>
    <t>EQ-PTO033</t>
  </si>
  <si>
    <t xml:space="preserve">Herramientas menores y consumibles - Excavación a maquina para submuración, subsuelo y </t>
  </si>
  <si>
    <t>PTO-0201|EQ</t>
  </si>
  <si>
    <t>PTO-0201|EQ|1</t>
  </si>
  <si>
    <t>Hormigón</t>
  </si>
  <si>
    <t>PTO-0201|MO</t>
  </si>
  <si>
    <t>PTO-0201|MO|1</t>
  </si>
  <si>
    <t>SUB-PTO005</t>
  </si>
  <si>
    <t>Subcontrato + 50%  - Celsi VIAL</t>
  </si>
  <si>
    <t>PTO-0201|MO|2</t>
  </si>
  <si>
    <t>PTO-0202</t>
  </si>
  <si>
    <t>EQ-PTO034</t>
  </si>
  <si>
    <t xml:space="preserve">Herramientas menores y consumibles - Perfilado manual de bases. Relleno y compactación </t>
  </si>
  <si>
    <t>PTO-0202|EQ</t>
  </si>
  <si>
    <t>PTO-0202|EQ|1</t>
  </si>
  <si>
    <t>OTR-PTO038</t>
  </si>
  <si>
    <t>Alquiler vibropison</t>
  </si>
  <si>
    <t>PTO-0202|MAT</t>
  </si>
  <si>
    <t>PTO-0202|MAT|1</t>
  </si>
  <si>
    <t>PTO-0202|MO</t>
  </si>
  <si>
    <t>PTO-0202|MO|1</t>
  </si>
  <si>
    <t>SUB-VIBRO1</t>
  </si>
  <si>
    <t>Alquiler vibropisson</t>
  </si>
  <si>
    <t>PTO-0202|MO|2</t>
  </si>
  <si>
    <t>PTO-0203</t>
  </si>
  <si>
    <t>EQ-PTO004</t>
  </si>
  <si>
    <t>Herramientas y consumibles Excavación manual para vigas de fundación</t>
  </si>
  <si>
    <t>PTO-0203|EQ</t>
  </si>
  <si>
    <t>PTO-0203|EQ|1</t>
  </si>
  <si>
    <t>OTR-PTO039</t>
  </si>
  <si>
    <t>PTO-0203|MAT</t>
  </si>
  <si>
    <t>PTO-0203|MAT|1</t>
  </si>
  <si>
    <t>PTO-0203|MO</t>
  </si>
  <si>
    <t>PTO-0203|MO|1</t>
  </si>
  <si>
    <t>PTO-0301</t>
  </si>
  <si>
    <t>EQ-PTO035</t>
  </si>
  <si>
    <t>Herramientas menores y consumibles - Hormigón de limpieza - e: 10 cm</t>
  </si>
  <si>
    <t>PTO-0301|EQ</t>
  </si>
  <si>
    <t>PTO-0301|EQ|1</t>
  </si>
  <si>
    <t>PTO-0301|MAT</t>
  </si>
  <si>
    <t>PTO-0301|MAT|1</t>
  </si>
  <si>
    <t>OTR-PTO040</t>
  </si>
  <si>
    <t>H8</t>
  </si>
  <si>
    <t>PTO-0301|MAT|2</t>
  </si>
  <si>
    <t>OTR-PTO041</t>
  </si>
  <si>
    <t>Bomba</t>
  </si>
  <si>
    <t>PTO-0301|MAT|3</t>
  </si>
  <si>
    <t>PTO-0301|MO</t>
  </si>
  <si>
    <t>PTO-0301|MO|1</t>
  </si>
  <si>
    <t>PTO-0301|MO|2</t>
  </si>
  <si>
    <t>PTO-0301|MO|3</t>
  </si>
  <si>
    <t>PTO-0302</t>
  </si>
  <si>
    <t>EQ-PTO036</t>
  </si>
  <si>
    <t>Herramientas menores y consumibles - Pilotes de tracción Ø 20 cm - (120 kg/m3 de hierro</t>
  </si>
  <si>
    <t>PTO-0302|EQ</t>
  </si>
  <si>
    <t>PTO-0302|EQ|1</t>
  </si>
  <si>
    <t>PTO-0302|MAT</t>
  </si>
  <si>
    <t>PTO-0302|MAT|1</t>
  </si>
  <si>
    <t>OTR-PTO042</t>
  </si>
  <si>
    <t>Hierro del 6</t>
  </si>
  <si>
    <t>PTO-0302|MAT|2</t>
  </si>
  <si>
    <t>OTR-PTO043</t>
  </si>
  <si>
    <t>CEMENTO AVELLANEDA x 50 KG</t>
  </si>
  <si>
    <t>PTO-0302|MAT|3</t>
  </si>
  <si>
    <t>SUB-PTO007</t>
  </si>
  <si>
    <t>M.O</t>
  </si>
  <si>
    <t>PTO-0302|MO</t>
  </si>
  <si>
    <t>PTO-0302|MO|1</t>
  </si>
  <si>
    <t>PTO-0303</t>
  </si>
  <si>
    <t>EQ-PTO005</t>
  </si>
  <si>
    <t>Herramientas y consumibles Tabique submuración - H35 (95 kg/m3 de hierro)</t>
  </si>
  <si>
    <t>PTO-0303|EQ</t>
  </si>
  <si>
    <t>PTO-0303|EQ|1</t>
  </si>
  <si>
    <t>OTR-PTO044</t>
  </si>
  <si>
    <t>PTO-0303|MAT</t>
  </si>
  <si>
    <t>PTO-0303|MAT|1</t>
  </si>
  <si>
    <t>SUB-PTO008</t>
  </si>
  <si>
    <t>MO Tabique submuración - H35 (95 kg/m3 de hierro)</t>
  </si>
  <si>
    <t>PTO-0303|MO</t>
  </si>
  <si>
    <t>PTO-0303|MO|1</t>
  </si>
  <si>
    <t>PTO-0304</t>
  </si>
  <si>
    <t>EQ-PTO006</t>
  </si>
  <si>
    <t>Herramientas y consumibles Zapata corrida tabique - H35 (120 kg/m3 de hierro)</t>
  </si>
  <si>
    <t>PTO-0304|EQ</t>
  </si>
  <si>
    <t>PTO-0304|EQ|1</t>
  </si>
  <si>
    <t>OTR-PTO045</t>
  </si>
  <si>
    <t>PTO-0304|MAT</t>
  </si>
  <si>
    <t>PTO-0304|MAT|1</t>
  </si>
  <si>
    <t>SUB-PTO009</t>
  </si>
  <si>
    <t>MO Zapata corrida tabique - H35 (120 kg/m3 de hierro)</t>
  </si>
  <si>
    <t>PTO-0304|MO</t>
  </si>
  <si>
    <t>PTO-0304|MO|1</t>
  </si>
  <si>
    <t>PTO-0305</t>
  </si>
  <si>
    <t>EQ-PTO007</t>
  </si>
  <si>
    <t>Herramientas y consumibles Platea - H35 (95 kg/m3 de hierro)</t>
  </si>
  <si>
    <t>PTO-0305|EQ</t>
  </si>
  <si>
    <t>PTO-0305|EQ|1</t>
  </si>
  <si>
    <t>OTR-PTO046</t>
  </si>
  <si>
    <t>PTO-0305|MAT</t>
  </si>
  <si>
    <t>PTO-0305|MAT|1</t>
  </si>
  <si>
    <t>SUB-PTO010</t>
  </si>
  <si>
    <t>MO Platea - H35 (95 kg/m3 de hierro)</t>
  </si>
  <si>
    <t>PTO-0305|MO</t>
  </si>
  <si>
    <t>PTO-0305|MO|1</t>
  </si>
  <si>
    <t>PTO-0306</t>
  </si>
  <si>
    <t>EQ-PTO008</t>
  </si>
  <si>
    <t>Herramientas y consumibles Bases aisladas - (60 kg/m3 de hierro)</t>
  </si>
  <si>
    <t>PTO-0306|EQ</t>
  </si>
  <si>
    <t>PTO-0306|EQ|1</t>
  </si>
  <si>
    <t>OTR-PTO047</t>
  </si>
  <si>
    <t>PTO-0306|MAT</t>
  </si>
  <si>
    <t>PTO-0306|MAT|1</t>
  </si>
  <si>
    <t>SUB-PTO011</t>
  </si>
  <si>
    <t>MO Bases aisladas - (60 kg/m3 de hierro)</t>
  </si>
  <si>
    <t>PTO-0306|MO</t>
  </si>
  <si>
    <t>PTO-0306|MO|1</t>
  </si>
  <si>
    <t>PTO-0307</t>
  </si>
  <si>
    <t>EQ-PTO009</t>
  </si>
  <si>
    <t>Herramientas y consumibles Troncos de columnas - H35 (240 kg/m3 de hierro)</t>
  </si>
  <si>
    <t>PTO-0307|EQ</t>
  </si>
  <si>
    <t>PTO-0307|EQ|1</t>
  </si>
  <si>
    <t>OTR-PTO048</t>
  </si>
  <si>
    <t>PTO-0307|MAT</t>
  </si>
  <si>
    <t>PTO-0307|MAT|1</t>
  </si>
  <si>
    <t>SUB-PTO012</t>
  </si>
  <si>
    <t>MO Troncos de columnas - H35 (240 kg/m3 de hierro)</t>
  </si>
  <si>
    <t>PTO-0307|MO</t>
  </si>
  <si>
    <t>PTO-0307|MO|1</t>
  </si>
  <si>
    <t>PTO-0308</t>
  </si>
  <si>
    <t>EQ-PTO010</t>
  </si>
  <si>
    <t>Herramientas y consumibles Viga de encadenado - H35 (180 kg/m3 de hierro)</t>
  </si>
  <si>
    <t>PTO-0308|EQ</t>
  </si>
  <si>
    <t>PTO-0308|EQ|1</t>
  </si>
  <si>
    <t>OTR-PTO049</t>
  </si>
  <si>
    <t>PTO-0308|MAT</t>
  </si>
  <si>
    <t>PTO-0308|MAT|1</t>
  </si>
  <si>
    <t>SUB-PTO013</t>
  </si>
  <si>
    <t>MO Viga de encadenado - H35 (180 kg/m3 de hierro)</t>
  </si>
  <si>
    <t>PTO-0308|MO</t>
  </si>
  <si>
    <t>PTO-0308|MO|1</t>
  </si>
  <si>
    <t>PTO-0309</t>
  </si>
  <si>
    <t>EQ-PTO011</t>
  </si>
  <si>
    <t>Herramientas y consumibles Losa maciza - H35 (100 kg/m3 de hierro)</t>
  </si>
  <si>
    <t>PTO-0309|EQ</t>
  </si>
  <si>
    <t>PTO-0309|EQ|1</t>
  </si>
  <si>
    <t>OTR-PTO050</t>
  </si>
  <si>
    <t>PTO-0309|MAT</t>
  </si>
  <si>
    <t>PTO-0309|MAT|1</t>
  </si>
  <si>
    <t>SUB-PTO014</t>
  </si>
  <si>
    <t>MO Losa maciza - H35 (100 kg/m3 de hierro)</t>
  </si>
  <si>
    <t>PTO-0309|MO</t>
  </si>
  <si>
    <t>PTO-0309|MO|1</t>
  </si>
  <si>
    <t>PTO-0310</t>
  </si>
  <si>
    <t>EQ-PTO012</t>
  </si>
  <si>
    <t>Herramientas y consumibles Losa maciza de Hº visto - H35 (100 kg/m3 de hierro</t>
  </si>
  <si>
    <t>PTO-0310|EQ</t>
  </si>
  <si>
    <t>PTO-0310|EQ|1</t>
  </si>
  <si>
    <t>OTR-PTO051</t>
  </si>
  <si>
    <t>PTO-0310|MAT</t>
  </si>
  <si>
    <t>PTO-0310|MAT|1</t>
  </si>
  <si>
    <t>SUB-PTO015</t>
  </si>
  <si>
    <t xml:space="preserve">MO Losa maciza de Hº visto - H35 (100 kg/m3 de hierro) </t>
  </si>
  <si>
    <t>PTO-0310|MO</t>
  </si>
  <si>
    <t>PTO-0310|MO|1</t>
  </si>
  <si>
    <t>PTO-0311</t>
  </si>
  <si>
    <t>EQ-PTO013</t>
  </si>
  <si>
    <t>Herramientas y consumibles Vigas - H35 (180 kg/m3 de hierro)</t>
  </si>
  <si>
    <t>PTO-0311|EQ</t>
  </si>
  <si>
    <t>PTO-0311|EQ|1</t>
  </si>
  <si>
    <t>OTR-PTO052</t>
  </si>
  <si>
    <t>PTO-0311|MAT</t>
  </si>
  <si>
    <t>PTO-0311|MAT|1</t>
  </si>
  <si>
    <t>SUB-PTO016</t>
  </si>
  <si>
    <t>MO Vigas - H35 (180 kg/m3 de hierro)</t>
  </si>
  <si>
    <t>PTO-0311|MO</t>
  </si>
  <si>
    <t>PTO-0311|MO|1</t>
  </si>
  <si>
    <t>PTO-0312</t>
  </si>
  <si>
    <t>EQ-PTO014</t>
  </si>
  <si>
    <t xml:space="preserve">Herramientas y consumibles Vigas de H° visto - H35 (180 kg/m3 de hierro) </t>
  </si>
  <si>
    <t>PTO-0312|EQ</t>
  </si>
  <si>
    <t>PTO-0312|EQ|1</t>
  </si>
  <si>
    <t>OTR-PTO053</t>
  </si>
  <si>
    <t>PTO-0312|MAT</t>
  </si>
  <si>
    <t>PTO-0312|MAT|1</t>
  </si>
  <si>
    <t>SUB-PTO017</t>
  </si>
  <si>
    <t xml:space="preserve">MO Vigas de H° visto - H35 (180 kg/m3 de hierro) </t>
  </si>
  <si>
    <t>PTO-0312|MO</t>
  </si>
  <si>
    <t>PTO-0312|MO|1</t>
  </si>
  <si>
    <t>PTO-0313</t>
  </si>
  <si>
    <t>EQ-PTO015</t>
  </si>
  <si>
    <t>Herramientas y consumibles Tabiques - H35 (100 kg/m3 de hierro)</t>
  </si>
  <si>
    <t>PTO-0313|EQ</t>
  </si>
  <si>
    <t>PTO-0313|EQ|1</t>
  </si>
  <si>
    <t>OTR-PTO054</t>
  </si>
  <si>
    <t>PTO-0313|MAT</t>
  </si>
  <si>
    <t>PTO-0313|MAT|1</t>
  </si>
  <si>
    <t>SUB-PTO018</t>
  </si>
  <si>
    <t>MO Tabiques - H35 (100 kg/m3 de hierro)</t>
  </si>
  <si>
    <t>PTO-0313|MO</t>
  </si>
  <si>
    <t>PTO-0313|MO|1</t>
  </si>
  <si>
    <t>PTO-0314</t>
  </si>
  <si>
    <t>EQ-PTO016</t>
  </si>
  <si>
    <t>Herramientas y consumibles Columna - H35 (180 Kg/m3 de hierro)</t>
  </si>
  <si>
    <t>PTO-0314|EQ</t>
  </si>
  <si>
    <t>PTO-0314|EQ|1</t>
  </si>
  <si>
    <t>OTR-PTO055</t>
  </si>
  <si>
    <t>PTO-0314|MAT</t>
  </si>
  <si>
    <t>PTO-0314|MAT|1</t>
  </si>
  <si>
    <t>SUB-PTO019</t>
  </si>
  <si>
    <t>MO Columna - H35 (180 Kg/m3 de hierro)</t>
  </si>
  <si>
    <t>PTO-0314|MO</t>
  </si>
  <si>
    <t>PTO-0314|MO|1</t>
  </si>
  <si>
    <t>PTO-0316</t>
  </si>
  <si>
    <t>OTR-PTO056</t>
  </si>
  <si>
    <t>PTO-0316|MAT</t>
  </si>
  <si>
    <t>PTO-0316|MAT|1</t>
  </si>
  <si>
    <t>SUB-PTO020</t>
  </si>
  <si>
    <t>MO Columna vista- H35 (180 Kg/m3 de hierro)</t>
  </si>
  <si>
    <t>PTO-0316|MO</t>
  </si>
  <si>
    <t>PTO-0316|MO|1</t>
  </si>
  <si>
    <t>PTO-0317</t>
  </si>
  <si>
    <t>EQ-PTO017</t>
  </si>
  <si>
    <t>Herramientas y consumibles Escaleras de Hº visto - H35 (105 kg/m3 de hierro)</t>
  </si>
  <si>
    <t>PTO-0317|EQ</t>
  </si>
  <si>
    <t>PTO-0317|EQ|1</t>
  </si>
  <si>
    <t>OTR-PTO057</t>
  </si>
  <si>
    <t>PTO-0317|MAT</t>
  </si>
  <si>
    <t>PTO-0317|MAT|1</t>
  </si>
  <si>
    <t>SUB-PTO021</t>
  </si>
  <si>
    <t>MO Escaleras de Hº visto - H35 (105 kg/m3 de hierro)</t>
  </si>
  <si>
    <t>PTO-0317|MO</t>
  </si>
  <si>
    <t>PTO-0317|MO|1</t>
  </si>
  <si>
    <t>PTO-0318</t>
  </si>
  <si>
    <t>EQ-PTO018</t>
  </si>
  <si>
    <t>Herramientas y consumibles Tanques de HºAº - H35 (100 kg/m3 de hierro) - Tanq</t>
  </si>
  <si>
    <t>PTO-0318|EQ</t>
  </si>
  <si>
    <t>PTO-0318|EQ|1</t>
  </si>
  <si>
    <t>OTR-PTO058</t>
  </si>
  <si>
    <t>PTO-0318|MAT</t>
  </si>
  <si>
    <t>PTO-0318|MAT|1</t>
  </si>
  <si>
    <t>SUB-PTO022</t>
  </si>
  <si>
    <t>MO Tanques de HºAº - H35 (100 kg/m3 de hierro) - Tanque de reserva</t>
  </si>
  <si>
    <t>PTO-0318|MO</t>
  </si>
  <si>
    <t>PTO-0318|MO|1</t>
  </si>
  <si>
    <t>PTO-0319</t>
  </si>
  <si>
    <t>EQ-PTO019</t>
  </si>
  <si>
    <t>EQ Sistema de apuntalamiento y reapuntalamiento [ENCOFRADO]</t>
  </si>
  <si>
    <t>PTO-0319|EQ</t>
  </si>
  <si>
    <t>PTO-0319|EQ|1</t>
  </si>
  <si>
    <t>PTO-0320</t>
  </si>
  <si>
    <t>SUB-PTO023</t>
  </si>
  <si>
    <t xml:space="preserve">MO Ensayos de hormigon por etapas de hormigonado </t>
  </si>
  <si>
    <t>PTO-0320|MO</t>
  </si>
  <si>
    <t>PTO-0320|MO|1</t>
  </si>
  <si>
    <t>PTO-0321</t>
  </si>
  <si>
    <t>OTR-PTO059</t>
  </si>
  <si>
    <t>PTO-0321|MAT</t>
  </si>
  <si>
    <t>PTO-0321|MAT|1</t>
  </si>
  <si>
    <t>PTO-0322</t>
  </si>
  <si>
    <t>EQ-PTO037</t>
  </si>
  <si>
    <t>Herramientas menores y consumibles - Picado de medianeras para columnas y vigas - Cotiz</t>
  </si>
  <si>
    <t>PTO-0322|EQ</t>
  </si>
  <si>
    <t>PTO-0322|EQ|1</t>
  </si>
  <si>
    <t>PTO-0322|MAT</t>
  </si>
  <si>
    <t>PTO-0322|MAT|1</t>
  </si>
  <si>
    <t>OTR-PTO061</t>
  </si>
  <si>
    <t>PTO-0322|MAT|2</t>
  </si>
  <si>
    <t>PTO-0322|MO</t>
  </si>
  <si>
    <t>PTO-0322|MO|1</t>
  </si>
  <si>
    <t>PTO-0322|MO|2</t>
  </si>
  <si>
    <t>PTO-0401</t>
  </si>
  <si>
    <t>PTO-0401|EQ</t>
  </si>
  <si>
    <t>PTO-0401|EQ|1</t>
  </si>
  <si>
    <t>PTO-0401|EQ|2</t>
  </si>
  <si>
    <t>PTO-0401|EQ|3</t>
  </si>
  <si>
    <t>PTO-0401|MAT</t>
  </si>
  <si>
    <t>PTO-0401|MAT|1</t>
  </si>
  <si>
    <t>PTO-0401|MAT|2</t>
  </si>
  <si>
    <t>PTO-0401|MAT|3</t>
  </si>
  <si>
    <t>PTO-0401|MAT|4</t>
  </si>
  <si>
    <t>PTO-0401|MAT|5</t>
  </si>
  <si>
    <t>PTO-0401|MO</t>
  </si>
  <si>
    <t>PTO-0401|MO|1</t>
  </si>
  <si>
    <t>PTO-0401|MO|2</t>
  </si>
  <si>
    <t>PTO-0402</t>
  </si>
  <si>
    <t>PTO-0402|EQ</t>
  </si>
  <si>
    <t>PTO-0402|EQ|1</t>
  </si>
  <si>
    <t>PTO-0402|EQ|2</t>
  </si>
  <si>
    <t>PTO-0402|EQ|3</t>
  </si>
  <si>
    <t>PTO-0402|MAT</t>
  </si>
  <si>
    <t>PTO-0402|MAT|1</t>
  </si>
  <si>
    <t>PTO-0402|MAT|2</t>
  </si>
  <si>
    <t>PTO-0402|MAT|3</t>
  </si>
  <si>
    <t>PTO-0402|MAT|4</t>
  </si>
  <si>
    <t>PTO-0402|MAT|5</t>
  </si>
  <si>
    <t>PTO-0402|MO</t>
  </si>
  <si>
    <t>PTO-0402|MO|1</t>
  </si>
  <si>
    <t>PTO-0402|MO|2</t>
  </si>
  <si>
    <t>PTO-0403</t>
  </si>
  <si>
    <t>PTO-0403|EQ</t>
  </si>
  <si>
    <t>PTO-0403|EQ|1</t>
  </si>
  <si>
    <t>PTO-0403|EQ|2</t>
  </si>
  <si>
    <t>PTO-0403|EQ|3</t>
  </si>
  <si>
    <t>PTO-0403|MAT</t>
  </si>
  <si>
    <t>PTO-0403|MAT|1</t>
  </si>
  <si>
    <t>PTO-0403|MAT|2</t>
  </si>
  <si>
    <t>PTO-0403|MAT|3</t>
  </si>
  <si>
    <t>PTO-0403|MAT|4</t>
  </si>
  <si>
    <t>PTO-0403|MAT|5</t>
  </si>
  <si>
    <t>PTO-0403|MAT|6</t>
  </si>
  <si>
    <t>PTO-0403|MO</t>
  </si>
  <si>
    <t>PTO-0403|MO|1</t>
  </si>
  <si>
    <t>PTO-0403|MO|2</t>
  </si>
  <si>
    <t>PTO-0404</t>
  </si>
  <si>
    <t>PTO-0404|EQ</t>
  </si>
  <si>
    <t>PTO-0404|EQ|1</t>
  </si>
  <si>
    <t>PTO-0404|EQ|2</t>
  </si>
  <si>
    <t>PTO-0404|EQ|3</t>
  </si>
  <si>
    <t>PTO-0404|MAT</t>
  </si>
  <si>
    <t>PTO-0404|MAT|1</t>
  </si>
  <si>
    <t>PTO-0404|MAT|2</t>
  </si>
  <si>
    <t>PTO-0404|MAT|3</t>
  </si>
  <si>
    <t>PTO-0404|MAT|4</t>
  </si>
  <si>
    <t>PTO-0404|MAT|5</t>
  </si>
  <si>
    <t>PTO-0404|MO</t>
  </si>
  <si>
    <t>PTO-0404|MO|1</t>
  </si>
  <si>
    <t>PTO-0404|MO|2</t>
  </si>
  <si>
    <t>PTO-0405</t>
  </si>
  <si>
    <t>EQ-PTO038</t>
  </si>
  <si>
    <t>Herramientas menores y consumibles - Muro tipo 5 - Bloque HCCA e: 7,5 cm</t>
  </si>
  <si>
    <t>PTO-0405|EQ</t>
  </si>
  <si>
    <t>PTO-0405|EQ|1</t>
  </si>
  <si>
    <t>BLO-004</t>
  </si>
  <si>
    <t>Bloque HCCA Brimax 7,5 x 20 x 60</t>
  </si>
  <si>
    <t>PTO-0405|MAT</t>
  </si>
  <si>
    <t>PTO-0405|MAT|1</t>
  </si>
  <si>
    <t>PTO-0405|MAT|2</t>
  </si>
  <si>
    <t>PTO-0405|MAT|3</t>
  </si>
  <si>
    <t>OTR-PTO062</t>
  </si>
  <si>
    <t>Weber celublock x 30 kg</t>
  </si>
  <si>
    <t>PTO-0405|MAT|4</t>
  </si>
  <si>
    <t>PTO-0405|MO</t>
  </si>
  <si>
    <t>PTO-0405|MO|1</t>
  </si>
  <si>
    <t>PTO-0405|MO|2</t>
  </si>
  <si>
    <t>PTO-0406</t>
  </si>
  <si>
    <t>PTO-0406|EQ</t>
  </si>
  <si>
    <t>PTO-0406|EQ|1</t>
  </si>
  <si>
    <t>PTO-0406|EQ|2</t>
  </si>
  <si>
    <t>PTO-0406|EQ|3</t>
  </si>
  <si>
    <t>PTO-0406|MAT</t>
  </si>
  <si>
    <t>PTO-0406|MAT|1</t>
  </si>
  <si>
    <t>PTO-0406|MAT|2</t>
  </si>
  <si>
    <t>PTO-0406|MAT|3</t>
  </si>
  <si>
    <t>PTO-0406|MAT|4</t>
  </si>
  <si>
    <t>PTO-0406|MAT|5</t>
  </si>
  <si>
    <t>PTO-0406|MO</t>
  </si>
  <si>
    <t>PTO-0406|MO|1</t>
  </si>
  <si>
    <t>PTO-0406|MO|2</t>
  </si>
  <si>
    <t>PTO-0407</t>
  </si>
  <si>
    <t>PTO-0407|EQ</t>
  </si>
  <si>
    <t>PTO-0407|EQ|1</t>
  </si>
  <si>
    <t>PTO-0407|EQ|2</t>
  </si>
  <si>
    <t>PTO-0407|EQ|3</t>
  </si>
  <si>
    <t>PTO-0407|MAT</t>
  </si>
  <si>
    <t>PTO-0407|MAT|1</t>
  </si>
  <si>
    <t>PTO-0407|MAT|2</t>
  </si>
  <si>
    <t>PTO-0407|MAT|3</t>
  </si>
  <si>
    <t>PTO-0407|MAT|4</t>
  </si>
  <si>
    <t>PTO-0407|MAT|5</t>
  </si>
  <si>
    <t>PTO-0407|MAT|6</t>
  </si>
  <si>
    <t>PTO-0407|MO</t>
  </si>
  <si>
    <t>PTO-0407|MO|1</t>
  </si>
  <si>
    <t>PTO-0407|MO|2</t>
  </si>
  <si>
    <t>PTO-0408</t>
  </si>
  <si>
    <t>EQ-PTO039</t>
  </si>
  <si>
    <t>Herramientas menores y consumibles - Cordón de hormigón en umbrales carpinterías</t>
  </si>
  <si>
    <t>PTO-0408|EQ</t>
  </si>
  <si>
    <t>PTO-0408|EQ|1</t>
  </si>
  <si>
    <t>PTO-0408|MAT</t>
  </si>
  <si>
    <t>PTO-0408|MAT|1</t>
  </si>
  <si>
    <t>PTO-0408|MAT|2</t>
  </si>
  <si>
    <t>OTR-PTO063</t>
  </si>
  <si>
    <t>H30 6.20</t>
  </si>
  <si>
    <t>PTO-0408|MAT|3</t>
  </si>
  <si>
    <t>OTR-PTO064</t>
  </si>
  <si>
    <t>Taco quimico</t>
  </si>
  <si>
    <t>PTO-0408|MAT|4</t>
  </si>
  <si>
    <t>PTO-0408|MO</t>
  </si>
  <si>
    <t>PTO-0408|MO|1</t>
  </si>
  <si>
    <t>PTO-0408|MO|2</t>
  </si>
  <si>
    <t>PTO-0409</t>
  </si>
  <si>
    <t>EQ-PTO040</t>
  </si>
  <si>
    <t xml:space="preserve">Herramientas menores y consumibles - Banquina Sala tanque de bombeo </t>
  </si>
  <si>
    <t>PTO-0409|EQ</t>
  </si>
  <si>
    <t>PTO-0409|EQ|1</t>
  </si>
  <si>
    <t>PTO-0409|MAT</t>
  </si>
  <si>
    <t>PTO-0409|MAT|1</t>
  </si>
  <si>
    <t>OTR-PTO065</t>
  </si>
  <si>
    <t xml:space="preserve">Contrapiso </t>
  </si>
  <si>
    <t>PTO-0409|MAT|2</t>
  </si>
  <si>
    <t>OTR-PTO066</t>
  </si>
  <si>
    <t>Carpeta</t>
  </si>
  <si>
    <t>PTO-0409|MAT|3</t>
  </si>
  <si>
    <t>PTO-0409|MO</t>
  </si>
  <si>
    <t>PTO-0409|MO|1</t>
  </si>
  <si>
    <t>PTO-0409|MO|2</t>
  </si>
  <si>
    <t>PTO-0410</t>
  </si>
  <si>
    <t>EQ-PTO041</t>
  </si>
  <si>
    <t>Herramientas menores y consumibles - Banquina en parrillas</t>
  </si>
  <si>
    <t>PTO-0410|EQ</t>
  </si>
  <si>
    <t>PTO-0410|EQ|1</t>
  </si>
  <si>
    <t>PTO-0410|MAT</t>
  </si>
  <si>
    <t>PTO-0410|MAT|1</t>
  </si>
  <si>
    <t>PTO-0410|MAT|2</t>
  </si>
  <si>
    <t>PTO-0410|MAT|3</t>
  </si>
  <si>
    <t>PTO-0410|MO</t>
  </si>
  <si>
    <t>PTO-0410|MO|1</t>
  </si>
  <si>
    <t>PTO-0410|MO|2</t>
  </si>
  <si>
    <t>PTO-0411</t>
  </si>
  <si>
    <t>EQ-PTO042</t>
  </si>
  <si>
    <t>Herramientas menores y consumibles - Excavación y amurado con Hº tanque de recuperación</t>
  </si>
  <si>
    <t>PTO-0411|EQ</t>
  </si>
  <si>
    <t>PTO-0411|EQ|1</t>
  </si>
  <si>
    <t>OTR-PTO067</t>
  </si>
  <si>
    <t>HªAª</t>
  </si>
  <si>
    <t>PTO-0411|MAT</t>
  </si>
  <si>
    <t>PTO-0411|MAT|1</t>
  </si>
  <si>
    <t>OTR-PTO068</t>
  </si>
  <si>
    <t xml:space="preserve">Malla </t>
  </si>
  <si>
    <t>PTO-0411|MAT|2</t>
  </si>
  <si>
    <t>PTO-0411|MO</t>
  </si>
  <si>
    <t>PTO-0411|MO|1</t>
  </si>
  <si>
    <t>PTO-0411|MO|2</t>
  </si>
  <si>
    <t>PTO-0412</t>
  </si>
  <si>
    <t>EQ-PTO043</t>
  </si>
  <si>
    <t>Herramientas menores y consumibles - Provisión y amurado de tapas de inspección para ta</t>
  </si>
  <si>
    <t>PTO-0412|EQ</t>
  </si>
  <si>
    <t>PTO-0412|EQ|1</t>
  </si>
  <si>
    <t>OTR-PTO069</t>
  </si>
  <si>
    <t>Tapa Y Marco Para Tanque De Hormigón Poliéster 52 X 52 Cm</t>
  </si>
  <si>
    <t>PTO-0412|MAT</t>
  </si>
  <si>
    <t>PTO-0412|MAT|1</t>
  </si>
  <si>
    <t>PTO-0412|MO</t>
  </si>
  <si>
    <t>PTO-0412|MO|1</t>
  </si>
  <si>
    <t>PTO-0412|MO|2</t>
  </si>
  <si>
    <t>PTO-0413</t>
  </si>
  <si>
    <t>EQ-PTO044</t>
  </si>
  <si>
    <t>Herramientas menores y consumibles - Vigas de encadenado - Cuantía aprox. 60 kg/m3</t>
  </si>
  <si>
    <t>PTO-0413|EQ</t>
  </si>
  <si>
    <t>PTO-0413|EQ|1</t>
  </si>
  <si>
    <t>PTO-0413|MAT</t>
  </si>
  <si>
    <t>PTO-0413|MAT|1</t>
  </si>
  <si>
    <t>PTO-0413|MAT|2</t>
  </si>
  <si>
    <t>PTO-0413|MAT|3</t>
  </si>
  <si>
    <t>OTR-PTO070</t>
  </si>
  <si>
    <t>Volquete</t>
  </si>
  <si>
    <t>PTO-0413|MAT|4</t>
  </si>
  <si>
    <t>PTO-0413|MO</t>
  </si>
  <si>
    <t>PTO-0413|MO|1</t>
  </si>
  <si>
    <t>PTO-0413|MO|2</t>
  </si>
  <si>
    <t>PTO-0413|MO|3</t>
  </si>
  <si>
    <t>PTO-0414</t>
  </si>
  <si>
    <t>EQ-PTO045</t>
  </si>
  <si>
    <t xml:space="preserve">Herramientas menores y consumibles - Amurado de bañera </t>
  </si>
  <si>
    <t>PTO-0414|EQ</t>
  </si>
  <si>
    <t>PTO-0414|EQ|1</t>
  </si>
  <si>
    <t>PTO-0414|MAT</t>
  </si>
  <si>
    <t>PTO-0414|MAT|1</t>
  </si>
  <si>
    <t>OTR-PTO071</t>
  </si>
  <si>
    <t>Ladrillo del 8</t>
  </si>
  <si>
    <t>PTO-0414|MAT|2</t>
  </si>
  <si>
    <t>OTR-PTO072</t>
  </si>
  <si>
    <t>Revoque grueso bajo revest.</t>
  </si>
  <si>
    <t>PTO-0414|MAT|3</t>
  </si>
  <si>
    <t>OTR-PTO073</t>
  </si>
  <si>
    <t>Sellador / Silicona (2 bañeras)</t>
  </si>
  <si>
    <t>PTO-0414|MAT|4</t>
  </si>
  <si>
    <t>PTO-0414|MO</t>
  </si>
  <si>
    <t>PTO-0414|MO|1</t>
  </si>
  <si>
    <t>PTO-0414|MO|2</t>
  </si>
  <si>
    <t>PTO-0501</t>
  </si>
  <si>
    <t>PTO-0501|EQ</t>
  </si>
  <si>
    <t>PTO-0501|EQ|1</t>
  </si>
  <si>
    <t>PTO-0501|EQ|2</t>
  </si>
  <si>
    <t>PTO-0501|EQ|3</t>
  </si>
  <si>
    <t>PTO-0501|MAT</t>
  </si>
  <si>
    <t>PTO-0501|MAT|1</t>
  </si>
  <si>
    <t>PTO-0501|MAT|2</t>
  </si>
  <si>
    <t>PTO-0501|MAT|3</t>
  </si>
  <si>
    <t>PTO-0501|MO</t>
  </si>
  <si>
    <t>PTO-0501|MO|1</t>
  </si>
  <si>
    <t>PTO-0501|MO|2</t>
  </si>
  <si>
    <t>PTO-0502</t>
  </si>
  <si>
    <t>PTO-0502|EQ</t>
  </si>
  <si>
    <t>PTO-0502|EQ|1</t>
  </si>
  <si>
    <t>PTO-0502|MAT</t>
  </si>
  <si>
    <t>PTO-0502|MAT|1</t>
  </si>
  <si>
    <t>PTO-0502|MAT|2</t>
  </si>
  <si>
    <t>PTO-0502|MAT|3</t>
  </si>
  <si>
    <t>PTO-0502|MAT|4</t>
  </si>
  <si>
    <t>PTO-0502|MAT|5</t>
  </si>
  <si>
    <t>PTO-0502|MAT|6</t>
  </si>
  <si>
    <t>PTO-0502|MAT|7</t>
  </si>
  <si>
    <t>OTR-PTO145</t>
  </si>
  <si>
    <t>Materiales adicionales s/MAT 35% - PTO-0502</t>
  </si>
  <si>
    <t>PTO-0502|MAT|8</t>
  </si>
  <si>
    <t>PTO-0502|MAT|9</t>
  </si>
  <si>
    <t>PTO-0502|MO</t>
  </si>
  <si>
    <t>PTO-0502|MO|1</t>
  </si>
  <si>
    <t>PTO-0502|MO|2</t>
  </si>
  <si>
    <t>SUB-PTO082</t>
  </si>
  <si>
    <t>MO adicional s/MO 100% - PTO-0502</t>
  </si>
  <si>
    <t>PTO-0502|MO|3</t>
  </si>
  <si>
    <t>PTO-0503</t>
  </si>
  <si>
    <t>PTO-0503|EQ</t>
  </si>
  <si>
    <t>PTO-0503|EQ|1</t>
  </si>
  <si>
    <t>PTO-0503|EQ|2</t>
  </si>
  <si>
    <t>PTO-0503|EQ|3</t>
  </si>
  <si>
    <t>PTO-0503|MAT</t>
  </si>
  <si>
    <t>PTO-0503|MAT|1</t>
  </si>
  <si>
    <t>PTO-0503|MAT|2</t>
  </si>
  <si>
    <t>PTO-0503|MAT|3</t>
  </si>
  <si>
    <t>PTO-0503|MO</t>
  </si>
  <si>
    <t>PTO-0503|MO|1</t>
  </si>
  <si>
    <t>PTO-0503|MO|2</t>
  </si>
  <si>
    <t>PTO-0504</t>
  </si>
  <si>
    <t>OTR-PTO075</t>
  </si>
  <si>
    <t>Telgopor 1 x 1 x 20 mm densidad 20 kg</t>
  </si>
  <si>
    <t>PTO-0504|MAT</t>
  </si>
  <si>
    <t>PTO-0504|MAT|1</t>
  </si>
  <si>
    <t>PTO-0505</t>
  </si>
  <si>
    <t>PTO-0505|EQ</t>
  </si>
  <si>
    <t>PTO-0505|EQ|1</t>
  </si>
  <si>
    <t>PTO-0505|MAT</t>
  </si>
  <si>
    <t>PTO-0505|MAT|1</t>
  </si>
  <si>
    <t>PTO-0505|MAT|2</t>
  </si>
  <si>
    <t>PTO-0505|MAT|3</t>
  </si>
  <si>
    <t>PTO-0505|MAT|4</t>
  </si>
  <si>
    <t>PTO-0505|MAT|5</t>
  </si>
  <si>
    <t>PTO-0505|MO</t>
  </si>
  <si>
    <t>PTO-0505|MO|1</t>
  </si>
  <si>
    <t>PTO-0505|MO|2</t>
  </si>
  <si>
    <t>PTO-0506</t>
  </si>
  <si>
    <t>PTO-0506|EQ</t>
  </si>
  <si>
    <t>PTO-0506|EQ|1</t>
  </si>
  <si>
    <t>PTO-0506|MAT</t>
  </si>
  <si>
    <t>PTO-0506|MAT|1</t>
  </si>
  <si>
    <t>PTO-0506|MAT|2</t>
  </si>
  <si>
    <t>PTO-0506|MAT|3</t>
  </si>
  <si>
    <t>PTO-0506|MAT|4</t>
  </si>
  <si>
    <t>PTO-0506|MAT|5</t>
  </si>
  <si>
    <t>PTO-0506|MAT|6</t>
  </si>
  <si>
    <t>PTO-0506|MAT|7</t>
  </si>
  <si>
    <t>OTR-PTO146</t>
  </si>
  <si>
    <t>Materiales adicionales s/MAT 20% - PTO-0506</t>
  </si>
  <si>
    <t>PTO-0506|MAT|8</t>
  </si>
  <si>
    <t>PTO-0506|MAT|9</t>
  </si>
  <si>
    <t>PTO-0506|MO</t>
  </si>
  <si>
    <t>PTO-0506|MO|1</t>
  </si>
  <si>
    <t>PTO-0506|MO|2</t>
  </si>
  <si>
    <t>SUB-PTO083</t>
  </si>
  <si>
    <t>MO adicional s/MO 60% - PTO-0506</t>
  </si>
  <si>
    <t>PTO-0506|MO|3</t>
  </si>
  <si>
    <t>PTO-0507</t>
  </si>
  <si>
    <t>SUB-PTO024</t>
  </si>
  <si>
    <t>MO Impermeabilización de tanque de reserva de HºAº [SUBCONTRATOS]</t>
  </si>
  <si>
    <t>PTO-0507|MO</t>
  </si>
  <si>
    <t>PTO-0507|MO|1</t>
  </si>
  <si>
    <t>PTO-0602</t>
  </si>
  <si>
    <t>EQ-PTO046</t>
  </si>
  <si>
    <t>Herramientas menores y consumibles - Babeta de chapa galvanizada en medianeras</t>
  </si>
  <si>
    <t>PTO-0602|EQ</t>
  </si>
  <si>
    <t>PTO-0602|EQ|1</t>
  </si>
  <si>
    <t>PTO-0602|MAT</t>
  </si>
  <si>
    <t>PTO-0602|MAT|1</t>
  </si>
  <si>
    <t>OTR-PTO076</t>
  </si>
  <si>
    <t>Babeta de amure C25, des. 200 mm x 2,44 m</t>
  </si>
  <si>
    <t>PTO-0602|MAT|2</t>
  </si>
  <si>
    <t>OTR-PTO077</t>
  </si>
  <si>
    <t xml:space="preserve">Sellador / Silicona (rinde 5 mts) </t>
  </si>
  <si>
    <t>PTO-0602|MAT|3</t>
  </si>
  <si>
    <t>PTO-0602|MO</t>
  </si>
  <si>
    <t>PTO-0602|MO|1</t>
  </si>
  <si>
    <t>PTO-0602|MO|2</t>
  </si>
  <si>
    <t>PTO-0701</t>
  </si>
  <si>
    <t>PTO-0701|EQ</t>
  </si>
  <si>
    <t>PTO-0701|EQ|1</t>
  </si>
  <si>
    <t>PTO-0701|EQ|2</t>
  </si>
  <si>
    <t>PTO-0701|EQ|3</t>
  </si>
  <si>
    <t>PTO-0701|MAT</t>
  </si>
  <si>
    <t>PTO-0701|MAT|1</t>
  </si>
  <si>
    <t>PTO-0701|MAT|2</t>
  </si>
  <si>
    <t>PTO-0701|MAT|3</t>
  </si>
  <si>
    <t>PTO-0701|MAT|4</t>
  </si>
  <si>
    <t>PTO-0701|MO</t>
  </si>
  <si>
    <t>PTO-0701|MO|1</t>
  </si>
  <si>
    <t>PTO-0701|MO|2</t>
  </si>
  <si>
    <t>PTO-0702</t>
  </si>
  <si>
    <t>PTO-0702|EQ</t>
  </si>
  <si>
    <t>PTO-0702|EQ|1</t>
  </si>
  <si>
    <t>PTO-0702|EQ|2</t>
  </si>
  <si>
    <t>PTO-0702|EQ|3</t>
  </si>
  <si>
    <t>PTO-0702|MAT</t>
  </si>
  <si>
    <t>PTO-0702|MAT|1</t>
  </si>
  <si>
    <t>PTO-0702|MAT|2</t>
  </si>
  <si>
    <t>PTO-0702|MAT|3</t>
  </si>
  <si>
    <t>PTO-0702|MAT|4</t>
  </si>
  <si>
    <t>PTO-0702|MO</t>
  </si>
  <si>
    <t>PTO-0702|MO|1</t>
  </si>
  <si>
    <t>PTO-0702|MO|2</t>
  </si>
  <si>
    <t>PTO-0703</t>
  </si>
  <si>
    <t>EQ-PTO047</t>
  </si>
  <si>
    <t>Herramientas menores y consumibles - Yeso interior</t>
  </si>
  <si>
    <t>PTO-0703|EQ</t>
  </si>
  <si>
    <t>PTO-0703|EQ|1</t>
  </si>
  <si>
    <t>OTR-PTO078</t>
  </si>
  <si>
    <t>Yeso Knauf MP 40/75 Proyectable x 25 kg - (17 kg/m2)</t>
  </si>
  <si>
    <t>PTO-0703|MAT</t>
  </si>
  <si>
    <t>PTO-0703|MAT|1</t>
  </si>
  <si>
    <t>OTR-PTO079</t>
  </si>
  <si>
    <t>PA-MAX PUENTE DE ADHERENCIA 20LT (150 m2/tac) - Contemplo el 20% de los m2</t>
  </si>
  <si>
    <t>tac</t>
  </si>
  <si>
    <t>PTO-0703|MAT|2</t>
  </si>
  <si>
    <t>OTR-PTO080</t>
  </si>
  <si>
    <t xml:space="preserve">Malla de fibra 5 x 5 90 gr, rollo 1 x 50 mts - Contemplo el 20% de los m2 </t>
  </si>
  <si>
    <t>PTO-0703|MAT|3</t>
  </si>
  <si>
    <t>SUB-PTO025</t>
  </si>
  <si>
    <t>M.Obra</t>
  </si>
  <si>
    <t>PTO-0703|MO</t>
  </si>
  <si>
    <t>PTO-0703|MO|1</t>
  </si>
  <si>
    <t>PTO-0704</t>
  </si>
  <si>
    <t>EQ-PTO048</t>
  </si>
  <si>
    <t xml:space="preserve">Herramientas menores y consumibles - Arista en yeso </t>
  </si>
  <si>
    <t>PTO-0704|EQ</t>
  </si>
  <si>
    <t>PTO-0704|EQ|1</t>
  </si>
  <si>
    <t>SUB-PTO026</t>
  </si>
  <si>
    <t>PTO-0704|MO</t>
  </si>
  <si>
    <t>PTO-0704|MO|1</t>
  </si>
  <si>
    <t>PTO-0705</t>
  </si>
  <si>
    <t>EQ-PTO049</t>
  </si>
  <si>
    <t xml:space="preserve">Herramientas menores y consumibles - Provisión y colocación de guardacanto yesero </t>
  </si>
  <si>
    <t>PTO-0705|EQ</t>
  </si>
  <si>
    <t>PTO-0705|EQ|1</t>
  </si>
  <si>
    <t>OTR-PTO081</t>
  </si>
  <si>
    <t>Guardacanto yesero 2,00 mts</t>
  </si>
  <si>
    <t>PTO-0705|MAT</t>
  </si>
  <si>
    <t>PTO-0705|MAT|1</t>
  </si>
  <si>
    <t>SUB-PTO027</t>
  </si>
  <si>
    <t>PTO-0705|MO</t>
  </si>
  <si>
    <t>PTO-0705|MO|1</t>
  </si>
  <si>
    <t>PTO-0706</t>
  </si>
  <si>
    <t>PTO-0706|EQ</t>
  </si>
  <si>
    <t>PTO-0706|EQ|1</t>
  </si>
  <si>
    <t>PTO-0706|EQ|2</t>
  </si>
  <si>
    <t>PTO-0706|EQ|3</t>
  </si>
  <si>
    <t>PTO-0706|MAT</t>
  </si>
  <si>
    <t>PTO-0706|MAT|1</t>
  </si>
  <si>
    <t>PTO-0706|MAT|2</t>
  </si>
  <si>
    <t>PTO-0706|MAT|3</t>
  </si>
  <si>
    <t>PTO-0706|MAT|4</t>
  </si>
  <si>
    <t>PTO-0706|MO</t>
  </si>
  <si>
    <t>PTO-0706|MO|1</t>
  </si>
  <si>
    <t>PTO-0706|MO|2</t>
  </si>
  <si>
    <t>PTO-0801</t>
  </si>
  <si>
    <t>EQ-PTO050</t>
  </si>
  <si>
    <t xml:space="preserve">Herramientas menores y consumibles - Contrapiso de Hº armado e: 18 cm, incluye malla Ø </t>
  </si>
  <si>
    <t>PTO-0801|EQ</t>
  </si>
  <si>
    <t>PTO-0801|EQ|1</t>
  </si>
  <si>
    <t>PTO-0801|MAT</t>
  </si>
  <si>
    <t>PTO-0801|MAT|1</t>
  </si>
  <si>
    <t>OTR-PTO082</t>
  </si>
  <si>
    <t>Rollo Polietileno negro 2x50 mt x 200mic</t>
  </si>
  <si>
    <t>PTO-0801|MAT|2</t>
  </si>
  <si>
    <t>OTR-PTO083</t>
  </si>
  <si>
    <t>Malla Q188 15 x 15 6 mm 6x2,40</t>
  </si>
  <si>
    <t>PTO-0801|MAT|3</t>
  </si>
  <si>
    <t>OTR-PTO084</t>
  </si>
  <si>
    <t>H13 6.20</t>
  </si>
  <si>
    <t>PTO-0801|MAT|4</t>
  </si>
  <si>
    <t>PTO-0801|MO</t>
  </si>
  <si>
    <t>PTO-0801|MO|1</t>
  </si>
  <si>
    <t>PTO-0801|MO|2</t>
  </si>
  <si>
    <t>PTO-0801|MO|3</t>
  </si>
  <si>
    <t>PTO-0802</t>
  </si>
  <si>
    <t>EQ-PTO051</t>
  </si>
  <si>
    <t>Herramientas menores y consumibles - Contrapiso de H13 subase bajo intertrabado y garde</t>
  </si>
  <si>
    <t>PTO-0802|EQ</t>
  </si>
  <si>
    <t>PTO-0802|EQ|1</t>
  </si>
  <si>
    <t>PTO-0802|MAT</t>
  </si>
  <si>
    <t>PTO-0802|MAT|1</t>
  </si>
  <si>
    <t>PTO-0802|MAT|2</t>
  </si>
  <si>
    <t>PTO-0802|MAT|3</t>
  </si>
  <si>
    <t>PTO-0802|MAT|4</t>
  </si>
  <si>
    <t>OTR-PTO085</t>
  </si>
  <si>
    <t xml:space="preserve">Acarreo </t>
  </si>
  <si>
    <t>PTO-0802|MAT|5</t>
  </si>
  <si>
    <t>OTR-PTO086</t>
  </si>
  <si>
    <t>sem</t>
  </si>
  <si>
    <t>PTO-0802|MAT|6</t>
  </si>
  <si>
    <t>PTO-0802|MO</t>
  </si>
  <si>
    <t>PTO-0802|MO|1</t>
  </si>
  <si>
    <t>PTO-0802|MO|2</t>
  </si>
  <si>
    <t>PTO-0802|MO|3</t>
  </si>
  <si>
    <t>PTO-0802|MO|4</t>
  </si>
  <si>
    <t>SUB-VIBRO2</t>
  </si>
  <si>
    <t>PTO-0802|MO|5</t>
  </si>
  <si>
    <t>PTO-0803</t>
  </si>
  <si>
    <t>PTO-0803|EQ</t>
  </si>
  <si>
    <t>PTO-0803|EQ|1</t>
  </si>
  <si>
    <t>PTO-0803|EQ|2</t>
  </si>
  <si>
    <t>PTO-0803|MAT</t>
  </si>
  <si>
    <t>PTO-0803|MAT|1</t>
  </si>
  <si>
    <t>PTO-0803|MAT|2</t>
  </si>
  <si>
    <t>PTO-0803|MAT|3</t>
  </si>
  <si>
    <t>PTO-0803|MAT|4</t>
  </si>
  <si>
    <t>PTO-0803|MO</t>
  </si>
  <si>
    <t>PTO-0803|MO|1</t>
  </si>
  <si>
    <t>PTO-0803|MO|2</t>
  </si>
  <si>
    <t>PTO-0804</t>
  </si>
  <si>
    <t>EQ-PTO052</t>
  </si>
  <si>
    <t>Herramientas menores y consumibles - Contrapiso alivianado en azoteas (RDC), e: 15 cm</t>
  </si>
  <si>
    <t>PTO-0804|EQ</t>
  </si>
  <si>
    <t>PTO-0804|EQ|1</t>
  </si>
  <si>
    <t>OTR-PTO087</t>
  </si>
  <si>
    <t>Tomado de puntos y niveles</t>
  </si>
  <si>
    <t>PTO-0804|MAT</t>
  </si>
  <si>
    <t>PTO-0804|MAT|1</t>
  </si>
  <si>
    <t>PTO-0804|MAT|2</t>
  </si>
  <si>
    <t>PTO-0804|MAT|3</t>
  </si>
  <si>
    <t>OTR-PTO088</t>
  </si>
  <si>
    <t xml:space="preserve">RDC 350 </t>
  </si>
  <si>
    <t>PTO-0804|MAT|4</t>
  </si>
  <si>
    <t>PTO-0804|MO</t>
  </si>
  <si>
    <t>PTO-0804|MO|1</t>
  </si>
  <si>
    <t>PTO-0804|MO|2</t>
  </si>
  <si>
    <t>PTO-0804|MO|3</t>
  </si>
  <si>
    <t>PTO-0804|MO|4</t>
  </si>
  <si>
    <t>PTO-0805</t>
  </si>
  <si>
    <t>EQ-PTO053</t>
  </si>
  <si>
    <t>Herramientas menores y consumibles - Contrapiso con piedra binder e: 4/5 cm - En locale</t>
  </si>
  <si>
    <t>PTO-0805|EQ</t>
  </si>
  <si>
    <t>PTO-0805|EQ|1</t>
  </si>
  <si>
    <t>PTO-0805|MAT</t>
  </si>
  <si>
    <t>PTO-0805|MAT|1</t>
  </si>
  <si>
    <t>OTR-PTO089</t>
  </si>
  <si>
    <t>BOLSON DE BINDER 6/12</t>
  </si>
  <si>
    <t>PTO-0805|MAT|2</t>
  </si>
  <si>
    <t>OTR-PTO090</t>
  </si>
  <si>
    <t>BOLSON DE ARENA</t>
  </si>
  <si>
    <t>PTO-0805|MAT|3</t>
  </si>
  <si>
    <t>PTO-0805|MO</t>
  </si>
  <si>
    <t>PTO-0805|MO|1</t>
  </si>
  <si>
    <t>PTO-0805|MO|2</t>
  </si>
  <si>
    <t>PTO-0806</t>
  </si>
  <si>
    <t>EQ-PTO054</t>
  </si>
  <si>
    <t>Herramientas menores y consumibles - Carpeta autonivelante e: 4/10 mm - En locales húme</t>
  </si>
  <si>
    <t>PTO-0806|EQ</t>
  </si>
  <si>
    <t>PTO-0806|EQ|1</t>
  </si>
  <si>
    <t>PTO-0806|MAT</t>
  </si>
  <si>
    <t>PTO-0806|MAT|1</t>
  </si>
  <si>
    <t>OTR-PTO091</t>
  </si>
  <si>
    <t>Sika Floor 200 Level (25 kg) - 1,5 kg/m2/mm</t>
  </si>
  <si>
    <t>PTO-0806|MAT|2</t>
  </si>
  <si>
    <t>OTR-PTO092</t>
  </si>
  <si>
    <t>Sika latex x 5 kg - (200 gr/m2)</t>
  </si>
  <si>
    <t>PTO-0806|MAT|3</t>
  </si>
  <si>
    <t>PTO-0806|MO</t>
  </si>
  <si>
    <t>PTO-0806|MO|1</t>
  </si>
  <si>
    <t>PTO-0806|MO|2</t>
  </si>
  <si>
    <t>PTO-0807</t>
  </si>
  <si>
    <t>PTO-0807|EQ</t>
  </si>
  <si>
    <t>PTO-0807|EQ|1</t>
  </si>
  <si>
    <t>PTO-0807|EQ|2</t>
  </si>
  <si>
    <t>PTO-0807|MAT</t>
  </si>
  <si>
    <t>PTO-0807|MAT|1</t>
  </si>
  <si>
    <t>PTO-0807|MAT|2</t>
  </si>
  <si>
    <t>PTO-0807|MAT|3</t>
  </si>
  <si>
    <t>PTO-0807|MO</t>
  </si>
  <si>
    <t>PTO-0807|MO|1</t>
  </si>
  <si>
    <t>PTO-0807|MO|2</t>
  </si>
  <si>
    <t>PTO-0808</t>
  </si>
  <si>
    <t>PTO-0808|EQ</t>
  </si>
  <si>
    <t>PTO-0808|EQ|1</t>
  </si>
  <si>
    <t>PTO-0808|EQ|2</t>
  </si>
  <si>
    <t>PTO-0808|MAT</t>
  </si>
  <si>
    <t>PTO-0808|MAT|1</t>
  </si>
  <si>
    <t>PTO-0808|MAT|2</t>
  </si>
  <si>
    <t>PTO-0808|MAT|3</t>
  </si>
  <si>
    <t>PTO-0808|MO</t>
  </si>
  <si>
    <t>PTO-0808|MO|1</t>
  </si>
  <si>
    <t>PTO-0808|MO|2</t>
  </si>
  <si>
    <t>PTO-0901</t>
  </si>
  <si>
    <t>EQ-PTO055</t>
  </si>
  <si>
    <t>Herramientas menores y consumibles - Provisión y ejecución de cemento alisado arrodilla</t>
  </si>
  <si>
    <t>PTO-0901|EQ</t>
  </si>
  <si>
    <t>PTO-0901|EQ|1</t>
  </si>
  <si>
    <t>OTR-PTO093</t>
  </si>
  <si>
    <t>Carpeta cilindrada</t>
  </si>
  <si>
    <t>PTO-0901|MAT</t>
  </si>
  <si>
    <t>PTO-0901|MAT|1</t>
  </si>
  <si>
    <t>PTO-0901|MO</t>
  </si>
  <si>
    <t>PTO-0901|MO|1</t>
  </si>
  <si>
    <t>PTO-0901|MO|2</t>
  </si>
  <si>
    <t>PTO-0902</t>
  </si>
  <si>
    <t>EQ-PTO056</t>
  </si>
  <si>
    <t>Herramientas menores y consumibles - Provisión nariz escalera, hierro angulo 5/8 x 1/8"</t>
  </si>
  <si>
    <t>PTO-0902|EQ</t>
  </si>
  <si>
    <t>PTO-0902|EQ|1</t>
  </si>
  <si>
    <t>OTR-PTO094</t>
  </si>
  <si>
    <t>PERFIL ANGULO ALAS IGUALES ESTRUCTURAL ACERO 6M X 5/8" X 1/8</t>
  </si>
  <si>
    <t>PTO-0902|MAT</t>
  </si>
  <si>
    <t>PTO-0902|MAT|1</t>
  </si>
  <si>
    <t>OTR-PTO095</t>
  </si>
  <si>
    <t>Esmalte sintetico</t>
  </si>
  <si>
    <t xml:space="preserve">lts </t>
  </si>
  <si>
    <t>PTO-0902|MAT|2</t>
  </si>
  <si>
    <t>OTR-PTO096</t>
  </si>
  <si>
    <t>Electrodos</t>
  </si>
  <si>
    <t>PTO-0902|MAT|3</t>
  </si>
  <si>
    <t>PTO-0902|MO</t>
  </si>
  <si>
    <t>PTO-0902|MO|1</t>
  </si>
  <si>
    <t>PTO-0902|MO|2</t>
  </si>
  <si>
    <t>PTO-0903</t>
  </si>
  <si>
    <t>EQ-PTO057</t>
  </si>
  <si>
    <t>Herramientas menores y consumibles - Ejecución de zócalo rampante de concreto h: 10 cm</t>
  </si>
  <si>
    <t>PTO-0903|EQ</t>
  </si>
  <si>
    <t>PTO-0903|EQ|1</t>
  </si>
  <si>
    <t>PTO-0903|MAT</t>
  </si>
  <si>
    <t>PTO-0903|MAT|1</t>
  </si>
  <si>
    <t>PTO-0903|MO</t>
  </si>
  <si>
    <t>PTO-0903|MO|1</t>
  </si>
  <si>
    <t>PTO-0903|MO|2</t>
  </si>
  <si>
    <t>PTO-1001</t>
  </si>
  <si>
    <t>EQ-PTO058</t>
  </si>
  <si>
    <t>Herramientas menores y consumibles - Montaje de conductos de ventilación de baños C27 -</t>
  </si>
  <si>
    <t>PTO-1001|EQ</t>
  </si>
  <si>
    <t>PTO-1001|EQ|1</t>
  </si>
  <si>
    <t>PTO-1001|MAT</t>
  </si>
  <si>
    <t>PTO-1001|MAT|1</t>
  </si>
  <si>
    <t>PTO-1001|MO</t>
  </si>
  <si>
    <t>PTO-1001|MO|1</t>
  </si>
  <si>
    <t>PTO-1001|MO|2</t>
  </si>
  <si>
    <t>PTO-1002</t>
  </si>
  <si>
    <t>EQ-PTO059</t>
  </si>
  <si>
    <t>Herramientas menores y consumibles - Montaje de conductos de ventilación de parrillas C</t>
  </si>
  <si>
    <t>PTO-1002|EQ</t>
  </si>
  <si>
    <t>PTO-1002|EQ|1</t>
  </si>
  <si>
    <t>PTO-1002|MAT</t>
  </si>
  <si>
    <t>PTO-1002|MAT|1</t>
  </si>
  <si>
    <t>PTO-1002|MO</t>
  </si>
  <si>
    <t>PTO-1002|MO|1</t>
  </si>
  <si>
    <t>PTO-1002|MO|2</t>
  </si>
  <si>
    <t>PTO-1003</t>
  </si>
  <si>
    <t>EQ-PTO060</t>
  </si>
  <si>
    <t>Herramientas menores y consumibles - Montaje de campanas de parrillas C22 - Provisión a</t>
  </si>
  <si>
    <t>PTO-1003|EQ</t>
  </si>
  <si>
    <t>PTO-1003|EQ|1</t>
  </si>
  <si>
    <t>PTO-1003|MAT</t>
  </si>
  <si>
    <t>PTO-1003|MAT|1</t>
  </si>
  <si>
    <t>PTO-1003|MO</t>
  </si>
  <si>
    <t>PTO-1003|MO|1</t>
  </si>
  <si>
    <t>PTO-1003|MO|2</t>
  </si>
  <si>
    <t>PTO-1004</t>
  </si>
  <si>
    <t>EQ-PTO061</t>
  </si>
  <si>
    <t>Herramientas menores y consumibles - Montaje de sombreretes en chapa prepintada C25 - P</t>
  </si>
  <si>
    <t>PTO-1004|EQ</t>
  </si>
  <si>
    <t>PTO-1004|EQ|1</t>
  </si>
  <si>
    <t>PTO-1004|MAT</t>
  </si>
  <si>
    <t>PTO-1004|MAT|1</t>
  </si>
  <si>
    <t>PTO-1004|MO</t>
  </si>
  <si>
    <t>PTO-1004|MO|1</t>
  </si>
  <si>
    <t>PTO-1004|MO|2</t>
  </si>
  <si>
    <t>PTO-1102</t>
  </si>
  <si>
    <t>PTO-1102|EQ</t>
  </si>
  <si>
    <t>PTO-1102|EQ|1</t>
  </si>
  <si>
    <t>PTO-1102|EQ|2</t>
  </si>
  <si>
    <t>PTO-1102|MAT</t>
  </si>
  <si>
    <t>PTO-1102|MAT|1</t>
  </si>
  <si>
    <t>PTO-1102|MAT|2</t>
  </si>
  <si>
    <t>PTO-1102|MO</t>
  </si>
  <si>
    <t>PTO-1102|MO|1</t>
  </si>
  <si>
    <t>PTO-1102|MO|2</t>
  </si>
  <si>
    <t>PTO-1103</t>
  </si>
  <si>
    <t>PTO-1103|EQ</t>
  </si>
  <si>
    <t>PTO-1103|EQ|1</t>
  </si>
  <si>
    <t>PTO-1103|EQ|2</t>
  </si>
  <si>
    <t>PTO-1103|MAT</t>
  </si>
  <si>
    <t>PTO-1103|MAT|1</t>
  </si>
  <si>
    <t>PTO-1103|MAT|2</t>
  </si>
  <si>
    <t>PTO-1103|MAT|3</t>
  </si>
  <si>
    <t>PTO-1103|MAT|4</t>
  </si>
  <si>
    <t>PTO-1103|MO</t>
  </si>
  <si>
    <t>PTO-1103|MO|1</t>
  </si>
  <si>
    <t>PTO-1103|MO|2</t>
  </si>
  <si>
    <t>PTO-1104</t>
  </si>
  <si>
    <t>EQ-PTO062</t>
  </si>
  <si>
    <t>Herramientas menores y consumibles - Colocación de pavimento intertrabado de H°, incluy</t>
  </si>
  <si>
    <t>PTO-1104|EQ</t>
  </si>
  <si>
    <t>PTO-1104|EQ|1</t>
  </si>
  <si>
    <t>PTO-1104|MAT</t>
  </si>
  <si>
    <t>PTO-1104|MAT|1</t>
  </si>
  <si>
    <t>PTO-1104|MO</t>
  </si>
  <si>
    <t>PTO-1104|MO|1</t>
  </si>
  <si>
    <t>PTO-1104|MO|2</t>
  </si>
  <si>
    <t>PTO-1104|MO|3</t>
  </si>
  <si>
    <t>SUB-VIBRO3</t>
  </si>
  <si>
    <t>PTO-1104|MO|4</t>
  </si>
  <si>
    <t>SUB-PTO028</t>
  </si>
  <si>
    <t>Combustible</t>
  </si>
  <si>
    <t>PTO-1104|MO|5</t>
  </si>
  <si>
    <t>PTO-1105</t>
  </si>
  <si>
    <t>EQ-PTO023</t>
  </si>
  <si>
    <t>Herramientas y consumibles Colocación de garden block, incluye provisión y co</t>
  </si>
  <si>
    <t>PTO-1105|EQ</t>
  </si>
  <si>
    <t>PTO-1105|EQ|1</t>
  </si>
  <si>
    <t>PTO-1105|MAT</t>
  </si>
  <si>
    <t>PTO-1105|MAT|1</t>
  </si>
  <si>
    <t>PTO-1105|MO</t>
  </si>
  <si>
    <t>PTO-1105|MO|1</t>
  </si>
  <si>
    <t>PTO-1105|MO|2</t>
  </si>
  <si>
    <t>PTO-1105|MO|3</t>
  </si>
  <si>
    <t>PTO-1105|MO|4</t>
  </si>
  <si>
    <t>PTO-1105|MO|5</t>
  </si>
  <si>
    <t>PTO-1106</t>
  </si>
  <si>
    <t>EQ-PTO063</t>
  </si>
  <si>
    <t>Herramientas menores y consumibles - Provisión y colocación de relleno de piedra binder</t>
  </si>
  <si>
    <t>PTO-1106|EQ</t>
  </si>
  <si>
    <t>PTO-1106|EQ|1</t>
  </si>
  <si>
    <t>PTO-1106|MAT</t>
  </si>
  <si>
    <t>PTO-1106|MAT|1</t>
  </si>
  <si>
    <t>PTO-1106|MO</t>
  </si>
  <si>
    <t>PTO-1106|MO|1</t>
  </si>
  <si>
    <t>PTO-1107</t>
  </si>
  <si>
    <t>EQ-PTO064</t>
  </si>
  <si>
    <t xml:space="preserve">Herramientas menores y consumibles - Colocación de baldoson granítico vereda 40 x 40 - </t>
  </si>
  <si>
    <t>PTO-1107|EQ</t>
  </si>
  <si>
    <t>PTO-1107|EQ|1</t>
  </si>
  <si>
    <t>PTO-1107|MAT</t>
  </si>
  <si>
    <t>PTO-1107|MAT|1</t>
  </si>
  <si>
    <t>PTO-1107|MAT|2</t>
  </si>
  <si>
    <t>PTO-1107|MAT|3</t>
  </si>
  <si>
    <t>OTR-PTO098</t>
  </si>
  <si>
    <t>CAL MILAGRO x 25 KG</t>
  </si>
  <si>
    <t>PTO-1107|MAT|4</t>
  </si>
  <si>
    <t>OTR-PTO099</t>
  </si>
  <si>
    <t>PASTINA PRESTIGE NIEVE X 2KG</t>
  </si>
  <si>
    <t>PTO-1107|MAT|5</t>
  </si>
  <si>
    <t>PTO-1107|MO</t>
  </si>
  <si>
    <t>PTO-1107|MO|1</t>
  </si>
  <si>
    <t>PTO-1107|MO|2</t>
  </si>
  <si>
    <t>PTO-1108</t>
  </si>
  <si>
    <t>PTO-1108|EQ</t>
  </si>
  <si>
    <t>PTO-1108|EQ|1</t>
  </si>
  <si>
    <t>PTO-1108|EQ|2</t>
  </si>
  <si>
    <t>PTO-1108|MAT</t>
  </si>
  <si>
    <t>PTO-1108|MAT|1</t>
  </si>
  <si>
    <t>PTO-1108|MAT|2</t>
  </si>
  <si>
    <t>PTO-1108|MAT|3</t>
  </si>
  <si>
    <t>PTO-1108|MAT|4</t>
  </si>
  <si>
    <t>PTO-1108|MO</t>
  </si>
  <si>
    <t>PTO-1108|MO|1</t>
  </si>
  <si>
    <t>PTO-1108|MO|2</t>
  </si>
  <si>
    <t>PTO-1109</t>
  </si>
  <si>
    <t>PTO-1109|EQ</t>
  </si>
  <si>
    <t>PTO-1109|EQ|1</t>
  </si>
  <si>
    <t>PTO-1109|EQ|2</t>
  </si>
  <si>
    <t>PTO-1109|MAT</t>
  </si>
  <si>
    <t>PTO-1109|MAT|1</t>
  </si>
  <si>
    <t>PTO-1109|MAT|2</t>
  </si>
  <si>
    <t>PTO-1109|MAT|3</t>
  </si>
  <si>
    <t>PTO-1109|MAT|4</t>
  </si>
  <si>
    <t>PTO-1109|MO</t>
  </si>
  <si>
    <t>PTO-1109|MO|1</t>
  </si>
  <si>
    <t>PTO-1109|MO|2</t>
  </si>
  <si>
    <t>PTO-1110</t>
  </si>
  <si>
    <t>PTO-1110|EQ</t>
  </si>
  <si>
    <t>PTO-1110|EQ|1</t>
  </si>
  <si>
    <t>PTO-1110|EQ|2</t>
  </si>
  <si>
    <t>PTO-1110|MAT</t>
  </si>
  <si>
    <t>PTO-1110|MAT|1</t>
  </si>
  <si>
    <t>PTO-1110|MAT|2</t>
  </si>
  <si>
    <t>PTO-1110|MAT|3</t>
  </si>
  <si>
    <t>PTO-1110|MAT|4</t>
  </si>
  <si>
    <t>PTO-1110|MO</t>
  </si>
  <si>
    <t>PTO-1110|MO|1</t>
  </si>
  <si>
    <t>PTO-1110|MO|2</t>
  </si>
  <si>
    <t>PTO-1111</t>
  </si>
  <si>
    <t>PTO-1111|EQ</t>
  </si>
  <si>
    <t>PTO-1111|EQ|1</t>
  </si>
  <si>
    <t>PTO-1111|EQ|2</t>
  </si>
  <si>
    <t>PTO-1111|MAT</t>
  </si>
  <si>
    <t>PTO-1111|MAT|1</t>
  </si>
  <si>
    <t>PTO-1111|MAT|2</t>
  </si>
  <si>
    <t>PTO-1111|MAT|3</t>
  </si>
  <si>
    <t>PTO-1111|MAT|4</t>
  </si>
  <si>
    <t>PTO-1111|MO</t>
  </si>
  <si>
    <t>PTO-1111|MO|1</t>
  </si>
  <si>
    <t>PTO-1111|MO|2</t>
  </si>
  <si>
    <t>PTO-1201</t>
  </si>
  <si>
    <t>PTO-1201|EQ</t>
  </si>
  <si>
    <t>PTO-1201|EQ|1</t>
  </si>
  <si>
    <t>PTO-1201|EQ|2</t>
  </si>
  <si>
    <t>PTO-1201|EQ|3</t>
  </si>
  <si>
    <t>PTO-1201|MAT</t>
  </si>
  <si>
    <t>PTO-1201|MAT|1</t>
  </si>
  <si>
    <t>PTO-1201|MAT|2</t>
  </si>
  <si>
    <t>PTO-1201|MAT|3</t>
  </si>
  <si>
    <t>PTO-1201|MO</t>
  </si>
  <si>
    <t>PTO-1201|MO|1</t>
  </si>
  <si>
    <t>PTO-1201|MO|2</t>
  </si>
  <si>
    <t>PTO-1202</t>
  </si>
  <si>
    <t>EQ-PTO065</t>
  </si>
  <si>
    <t>Herramientas menores y consumibles - Provisión y colocación de zócalo de MDF prepintado</t>
  </si>
  <si>
    <t>PTO-1202|EQ</t>
  </si>
  <si>
    <t>PTO-1202|EQ|1</t>
  </si>
  <si>
    <t>PTO-1202|MAT</t>
  </si>
  <si>
    <t>PTO-1202|MAT|1</t>
  </si>
  <si>
    <t>OTR-PTO100</t>
  </si>
  <si>
    <t>Zocalo 5,6cm Madera Mdf Redondeado Prepintado Blanco Pz-56l</t>
  </si>
  <si>
    <t>PTO-1202|MAT|2</t>
  </si>
  <si>
    <t>PTO-1202|MO</t>
  </si>
  <si>
    <t>PTO-1202|MO|1</t>
  </si>
  <si>
    <t>PTO-1203</t>
  </si>
  <si>
    <t>PTO-1203|EQ</t>
  </si>
  <si>
    <t>PTO-1203|EQ|1</t>
  </si>
  <si>
    <t>PTO-1203|EQ|2</t>
  </si>
  <si>
    <t>PTO-1203|MAT</t>
  </si>
  <si>
    <t>PTO-1203|MAT|1</t>
  </si>
  <si>
    <t>PTO-1203|MAT|2</t>
  </si>
  <si>
    <t>PTO-1203|MAT|3</t>
  </si>
  <si>
    <t>PTO-1203|MO</t>
  </si>
  <si>
    <t>PTO-1203|MO|1</t>
  </si>
  <si>
    <t>PTO-1203|MO|2</t>
  </si>
  <si>
    <t>PTO-1301</t>
  </si>
  <si>
    <t>PTO-1301|EQ</t>
  </si>
  <si>
    <t>PTO-1301|EQ|1</t>
  </si>
  <si>
    <t>PTO-1301|EQ|2</t>
  </si>
  <si>
    <t>PTO-1301|MAT</t>
  </si>
  <si>
    <t>PTO-1301|MAT|1</t>
  </si>
  <si>
    <t>PTO-1301|MAT|2</t>
  </si>
  <si>
    <t>PTO-1301|MAT|3</t>
  </si>
  <si>
    <t>PTO-1301|MAT|4</t>
  </si>
  <si>
    <t>PTO-1301|MO</t>
  </si>
  <si>
    <t>PTO-1301|MO|1</t>
  </si>
  <si>
    <t>PTO-1301|MO|2</t>
  </si>
  <si>
    <t>PTO-1302</t>
  </si>
  <si>
    <t>PTO-1302|EQ</t>
  </si>
  <si>
    <t>PTO-1302|EQ|1</t>
  </si>
  <si>
    <t>PTO-1302|EQ|2</t>
  </si>
  <si>
    <t>PTO-1302|MAT</t>
  </si>
  <si>
    <t>PTO-1302|MAT|1</t>
  </si>
  <si>
    <t>PTO-1302|MAT|2</t>
  </si>
  <si>
    <t>PTO-1302|MAT|3</t>
  </si>
  <si>
    <t>PTO-1302|MAT|4</t>
  </si>
  <si>
    <t>PTO-1302|MO</t>
  </si>
  <si>
    <t>PTO-1302|MO|1</t>
  </si>
  <si>
    <t>PTO-1302|MO|2</t>
  </si>
  <si>
    <t>PTO-1303</t>
  </si>
  <si>
    <t>EQ-PTO066</t>
  </si>
  <si>
    <t>Herramientas menores y consumibles - Colocación de listones refractarios en parrillas -</t>
  </si>
  <si>
    <t>PTO-1303|EQ</t>
  </si>
  <si>
    <t>PTO-1303|EQ|1</t>
  </si>
  <si>
    <t>OTR-PTO101</t>
  </si>
  <si>
    <t>WEBER REFRACTARIO X 10KG (rend. 0,5 m2)</t>
  </si>
  <si>
    <t>PTO-1303|MAT</t>
  </si>
  <si>
    <t>PTO-1303|MAT|1</t>
  </si>
  <si>
    <t>PTO-1303|MAT|2</t>
  </si>
  <si>
    <t>PTO-1303|MO</t>
  </si>
  <si>
    <t>PTO-1303|MO|1</t>
  </si>
  <si>
    <t>PTO-1303|MO|2</t>
  </si>
  <si>
    <t>PTO-1401</t>
  </si>
  <si>
    <t>EQ-PTO067</t>
  </si>
  <si>
    <t>Herramientas menores y consumibles - Aplicado de yeso</t>
  </si>
  <si>
    <t>PTO-1401|EQ</t>
  </si>
  <si>
    <t>PTO-1401|EQ|1</t>
  </si>
  <si>
    <t>PTO-1401|MAT</t>
  </si>
  <si>
    <t>PTO-1401|MAT|1</t>
  </si>
  <si>
    <t>OTR-PTO102</t>
  </si>
  <si>
    <t>PA-MAX PUENTE DE ADHERENCIA 20LT (150 m2/tac) - Contemplo el 100% de los m2</t>
  </si>
  <si>
    <t>PTO-1401|MAT|2</t>
  </si>
  <si>
    <t>PTO-1401|MO</t>
  </si>
  <si>
    <t>PTO-1401|MO|1</t>
  </si>
  <si>
    <t>PTO-1402</t>
  </si>
  <si>
    <t>SUB-PTO030</t>
  </si>
  <si>
    <t>MO Buña en yeso aplicado [SUBCONTRATOS]</t>
  </si>
  <si>
    <t>PTO-1402|MO</t>
  </si>
  <si>
    <t>PTO-1402|MO|1</t>
  </si>
  <si>
    <t>PTO-1403</t>
  </si>
  <si>
    <t>PTO-1403|EQ</t>
  </si>
  <si>
    <t>PTO-1403|EQ|1</t>
  </si>
  <si>
    <t>PTO-1403|EQ|2</t>
  </si>
  <si>
    <t>PTO-1403|MAT</t>
  </si>
  <si>
    <t>PTO-1403|MAT|1</t>
  </si>
  <si>
    <t>PTO-1403|MAT|2</t>
  </si>
  <si>
    <t>PTO-1403|MAT|3</t>
  </si>
  <si>
    <t>PTO-1403|MAT|4</t>
  </si>
  <si>
    <t>PTO-1403|MAT|5</t>
  </si>
  <si>
    <t>PTO-1403|MAT|6</t>
  </si>
  <si>
    <t>PTO-1403|MAT|7</t>
  </si>
  <si>
    <t>PTO-1403|MAT|8</t>
  </si>
  <si>
    <t>PTO-1403|MO</t>
  </si>
  <si>
    <t>PTO-1403|MO|1</t>
  </si>
  <si>
    <t>PTO-1403|MO|2</t>
  </si>
  <si>
    <t>PTO-1404</t>
  </si>
  <si>
    <t>PTO-1404|EQ</t>
  </si>
  <si>
    <t>PTO-1404|EQ|1</t>
  </si>
  <si>
    <t>PTO-1404|EQ|2</t>
  </si>
  <si>
    <t>PTO-1404|MAT</t>
  </si>
  <si>
    <t>PTO-1404|MAT|1</t>
  </si>
  <si>
    <t>PTO-1404|MAT|2</t>
  </si>
  <si>
    <t>PTO-1404|MAT|3</t>
  </si>
  <si>
    <t>PTO-1404|MAT|4</t>
  </si>
  <si>
    <t>PTO-1404|MAT|5</t>
  </si>
  <si>
    <t>PTO-1404|MAT|6</t>
  </si>
  <si>
    <t>PTO-1404|MAT|7</t>
  </si>
  <si>
    <t>PTO-1404|MAT|8</t>
  </si>
  <si>
    <t>PTO-1404|MO</t>
  </si>
  <si>
    <t>PTO-1404|MO|1</t>
  </si>
  <si>
    <t>PTO-1404|MO|2</t>
  </si>
  <si>
    <t>PTO-1405</t>
  </si>
  <si>
    <t>PTO-1405|EQ</t>
  </si>
  <si>
    <t>PTO-1405|EQ|1</t>
  </si>
  <si>
    <t>PTO-1405|EQ|2</t>
  </si>
  <si>
    <t>PTO-1405|MAT</t>
  </si>
  <si>
    <t>PTO-1405|MAT|1</t>
  </si>
  <si>
    <t>OTR-014</t>
  </si>
  <si>
    <t>Buña Z x 2.60m</t>
  </si>
  <si>
    <t>PTO-1405|MAT|2</t>
  </si>
  <si>
    <t>PTO-1405|MO</t>
  </si>
  <si>
    <t>PTO-1405|MO|1</t>
  </si>
  <si>
    <t>PTO-1406</t>
  </si>
  <si>
    <t>EQ-PTO069</t>
  </si>
  <si>
    <t xml:space="preserve">Herramientas menores y consumibles - Cantonera / Cajón </t>
  </si>
  <si>
    <t>PTO-1406|EQ</t>
  </si>
  <si>
    <t>PTO-1406|EQ|1</t>
  </si>
  <si>
    <t>PTO-1407</t>
  </si>
  <si>
    <t>EQ-PTO070</t>
  </si>
  <si>
    <t>Herramientas menores y consumibles - Hormigon visto, maquillaje</t>
  </si>
  <si>
    <t>PTO-1407|EQ</t>
  </si>
  <si>
    <t>PTO-1407|EQ|1</t>
  </si>
  <si>
    <t>PTO-1407|MAT</t>
  </si>
  <si>
    <t>PTO-1407|MAT|1</t>
  </si>
  <si>
    <t>PTO-1407|MAT|2</t>
  </si>
  <si>
    <t>PTO-1407|MO</t>
  </si>
  <si>
    <t>PTO-1407|MO|1</t>
  </si>
  <si>
    <t>PTO-1407|MO|2</t>
  </si>
  <si>
    <t>PTO-1501</t>
  </si>
  <si>
    <t>EQ-PTO025</t>
  </si>
  <si>
    <t>[EQ] Latex exterior mate en paredes, color bco., sin enduido, a mas de 3 m de altura - Medianeras</t>
  </si>
  <si>
    <t>PTO-1501|EQ</t>
  </si>
  <si>
    <t>PTO-1501|EQ|1</t>
  </si>
  <si>
    <t>OTR-PTO103</t>
  </si>
  <si>
    <t>[Materiales] Latex exterior mate en paredes, color bco., sin enduido, a mas de 3 m de altura - Medianeras</t>
  </si>
  <si>
    <t>PTO-1501|MAT</t>
  </si>
  <si>
    <t>PTO-1501|MAT|1</t>
  </si>
  <si>
    <t>SUB-PTO031</t>
  </si>
  <si>
    <t>[MO] Latex exterior mate en paredes, color bco., sin enduido, a mas de 3 m de altura - Medianeras</t>
  </si>
  <si>
    <t>PTO-1501|MO</t>
  </si>
  <si>
    <t>PTO-1501|MO|1</t>
  </si>
  <si>
    <t>PTO-1502</t>
  </si>
  <si>
    <t>PTO-1502|EQ</t>
  </si>
  <si>
    <t>PTO-1502|EQ|1</t>
  </si>
  <si>
    <t>PTO-1502|EQ|2</t>
  </si>
  <si>
    <t>PTO-1502|MAT</t>
  </si>
  <si>
    <t>PTO-1502|MAT|1</t>
  </si>
  <si>
    <t>PTO-1502|MAT|2</t>
  </si>
  <si>
    <t>PTO-1502|MAT|3</t>
  </si>
  <si>
    <t>PTO-1502|MAT|4</t>
  </si>
  <si>
    <t>PTO-1502|MAT|5</t>
  </si>
  <si>
    <t>PTO-1502|MAT|6</t>
  </si>
  <si>
    <t>PTO-1502|MAT|7</t>
  </si>
  <si>
    <t>PTO-1502|MAT|8</t>
  </si>
  <si>
    <t>PTO-1502|MAT|9</t>
  </si>
  <si>
    <t>PTO-1502|MAT|10</t>
  </si>
  <si>
    <t>PTO-1502|MO</t>
  </si>
  <si>
    <t>PTO-1502|MO|1</t>
  </si>
  <si>
    <t>PTO-1503</t>
  </si>
  <si>
    <t>PTO-1503|EQ</t>
  </si>
  <si>
    <t>PTO-1503|EQ|1</t>
  </si>
  <si>
    <t>PTO-1503|EQ|2</t>
  </si>
  <si>
    <t>PTO-1503|MAT</t>
  </si>
  <si>
    <t>PTO-1503|MAT|1</t>
  </si>
  <si>
    <t>PTO-1503|MAT|2</t>
  </si>
  <si>
    <t>PTO-1503|MAT|3</t>
  </si>
  <si>
    <t>PTO-1503|MAT|4</t>
  </si>
  <si>
    <t>PTO-1503|MAT|5</t>
  </si>
  <si>
    <t>PTO-1503|MAT|6</t>
  </si>
  <si>
    <t>PTO-1503|MAT|7</t>
  </si>
  <si>
    <t>PTO-1503|MAT|8</t>
  </si>
  <si>
    <t>PTO-1503|MAT|9</t>
  </si>
  <si>
    <t>PTO-1503|MAT|10</t>
  </si>
  <si>
    <t>PTO-1503|MO</t>
  </si>
  <si>
    <t>PTO-1503|MO|1</t>
  </si>
  <si>
    <t>PTO-1503|MO|2</t>
  </si>
  <si>
    <t>PTO-1504</t>
  </si>
  <si>
    <t>PTO-1504|EQ</t>
  </si>
  <si>
    <t>PTO-1504|EQ|1</t>
  </si>
  <si>
    <t>PTO-1504|EQ|2</t>
  </si>
  <si>
    <t>PTO-1504|MAT</t>
  </si>
  <si>
    <t>PTO-1504|MAT|1</t>
  </si>
  <si>
    <t>PTO-1504|MAT|2</t>
  </si>
  <si>
    <t>PTO-1504|MAT|3</t>
  </si>
  <si>
    <t>PTO-1504|MAT|4</t>
  </si>
  <si>
    <t>PTO-1504|MAT|5</t>
  </si>
  <si>
    <t>PTO-1504|MAT|6</t>
  </si>
  <si>
    <t>PTO-1504|MAT|7</t>
  </si>
  <si>
    <t>PTO-1504|MAT|8</t>
  </si>
  <si>
    <t>PTO-1504|MO</t>
  </si>
  <si>
    <t>PTO-1504|MO|1</t>
  </si>
  <si>
    <t>PTO-1505</t>
  </si>
  <si>
    <t>PTO-1505|EQ</t>
  </si>
  <si>
    <t>PTO-1505|EQ|1</t>
  </si>
  <si>
    <t>PTO-1505|EQ|2</t>
  </si>
  <si>
    <t>PTO-1505|MAT</t>
  </si>
  <si>
    <t>PTO-1505|MAT|1</t>
  </si>
  <si>
    <t>PTO-1505|MAT|2</t>
  </si>
  <si>
    <t>PTO-1505|MAT|3</t>
  </si>
  <si>
    <t>PTO-1505|MAT|4</t>
  </si>
  <si>
    <t>PTO-1505|MAT|5</t>
  </si>
  <si>
    <t>PTO-1505|MAT|6</t>
  </si>
  <si>
    <t>PTO-1505|MAT|7</t>
  </si>
  <si>
    <t>PTO-1505|MAT|8</t>
  </si>
  <si>
    <t>PTO-1505|MAT|9</t>
  </si>
  <si>
    <t>PTO-1505|MAT|10</t>
  </si>
  <si>
    <t>PTO-1505|MO</t>
  </si>
  <si>
    <t>PTO-1505|MO|1</t>
  </si>
  <si>
    <t>PTO-1506</t>
  </si>
  <si>
    <t>PTO-1506|EQ</t>
  </si>
  <si>
    <t>PTO-1506|EQ|1</t>
  </si>
  <si>
    <t>PTO-1506|EQ|2</t>
  </si>
  <si>
    <t>PTO-1506|EQ|3</t>
  </si>
  <si>
    <t>PTO-1506|MAT</t>
  </si>
  <si>
    <t>PTO-1506|MAT|1</t>
  </si>
  <si>
    <t>PTO-1506|MAT|2</t>
  </si>
  <si>
    <t>PTO-1506|MAT|3</t>
  </si>
  <si>
    <t>PTO-1506|MAT|4</t>
  </si>
  <si>
    <t>PTO-1506|MAT|5</t>
  </si>
  <si>
    <t>PTO-1506|MAT|6</t>
  </si>
  <si>
    <t>PTO-1506|MAT|7</t>
  </si>
  <si>
    <t>PTO-1506|MAT|8</t>
  </si>
  <si>
    <t>PTO-1506|MAT|9</t>
  </si>
  <si>
    <t>PTO-1506|MAT|10</t>
  </si>
  <si>
    <t>PTO-1506|MO</t>
  </si>
  <si>
    <t>PTO-1506|MO|1</t>
  </si>
  <si>
    <t>PTO-1506|MO|2</t>
  </si>
  <si>
    <t>PTO-1507</t>
  </si>
  <si>
    <t>EQ-PTO071</t>
  </si>
  <si>
    <t xml:space="preserve">Herramientas menores y consumibles - Impermeabilizane de Hº, silicona transparente </t>
  </si>
  <si>
    <t>PTO-1507|EQ</t>
  </si>
  <si>
    <t>PTO-1507|EQ|1</t>
  </si>
  <si>
    <t>OTR-PTO104</t>
  </si>
  <si>
    <t>Sikaguard 0,350 lts/m2</t>
  </si>
  <si>
    <t>PTO-1507|MAT</t>
  </si>
  <si>
    <t>PTO-1507|MAT|1</t>
  </si>
  <si>
    <t>PTO-1507|MO</t>
  </si>
  <si>
    <t>PTO-1507|MO|1</t>
  </si>
  <si>
    <t>PTO-1507|MO|2</t>
  </si>
  <si>
    <t>PTO-1508</t>
  </si>
  <si>
    <t>EQ-PTO072</t>
  </si>
  <si>
    <t>Herramientas menores y consumibles - Revestimiento tipo Tarquini hasta 3 m de altura</t>
  </si>
  <si>
    <t>PTO-1508|EQ</t>
  </si>
  <si>
    <t>PTO-1508|EQ|1</t>
  </si>
  <si>
    <t>OTR-PTO141</t>
  </si>
  <si>
    <t>MT para Revestimiento tipo Tarquini hasta 3 m de altura</t>
  </si>
  <si>
    <t>PTO-1508|MAT</t>
  </si>
  <si>
    <t>PTO-1508|MAT|1</t>
  </si>
  <si>
    <t>SUB-PTO032</t>
  </si>
  <si>
    <t>MO Revestimiento tipo Tarquini hasta 3 m de altura [SUBCONTRATOS]</t>
  </si>
  <si>
    <t>PTO-1508|MO</t>
  </si>
  <si>
    <t>PTO-1508|MO|1</t>
  </si>
  <si>
    <t>PTO-1509</t>
  </si>
  <si>
    <t>EQ-PTO073</t>
  </si>
  <si>
    <t>Herramientas menores y consumibles - Revestimiento tipo Tarquini a mas de 3 m de altura</t>
  </si>
  <si>
    <t>PTO-1509|EQ</t>
  </si>
  <si>
    <t>PTO-1509|EQ|1</t>
  </si>
  <si>
    <t>PTO-1509|MAT</t>
  </si>
  <si>
    <t>PTO-1509|MAT|1</t>
  </si>
  <si>
    <t>SUB-PTO033</t>
  </si>
  <si>
    <t>MO Revestimiento tipo Tarquini a mas de 3 m de altura [SUBCONTRATOS]</t>
  </si>
  <si>
    <t>PTO-1509|MO</t>
  </si>
  <si>
    <t>PTO-1509|MO|1</t>
  </si>
  <si>
    <t>PTO-1510</t>
  </si>
  <si>
    <t>EQ-PTO074</t>
  </si>
  <si>
    <t>Herramientas menores y consumibles - Franjas división cocheras</t>
  </si>
  <si>
    <t>PTO-1510|EQ</t>
  </si>
  <si>
    <t>PTO-1510|EQ|1</t>
  </si>
  <si>
    <t>PTO-1510|MAT</t>
  </si>
  <si>
    <t>PTO-1510|MAT|1</t>
  </si>
  <si>
    <t>OTR-PTO105</t>
  </si>
  <si>
    <t>Pintura acrílica Sintevial para demarcación vial brillante amarillo</t>
  </si>
  <si>
    <t>PTO-1510|MAT|2</t>
  </si>
  <si>
    <t>PTO-1510|MO</t>
  </si>
  <si>
    <t>PTO-1510|MO|1</t>
  </si>
  <si>
    <t>PTO-1510|MO|2</t>
  </si>
  <si>
    <t>PTO-1511</t>
  </si>
  <si>
    <t>PTO-1511|MAT</t>
  </si>
  <si>
    <t>PTO-1511|MAT|1</t>
  </si>
  <si>
    <t>PTO-1511|MAT|2</t>
  </si>
  <si>
    <t>PTO-1511|MAT|3</t>
  </si>
  <si>
    <t>PTO-1511|MAT|4</t>
  </si>
  <si>
    <t>PTO-1511|MAT|5</t>
  </si>
  <si>
    <t>PTO-1511|MAT|6</t>
  </si>
  <si>
    <t>PTO-1511|MAT|7</t>
  </si>
  <si>
    <t>PTO-1511|MAT|8</t>
  </si>
  <si>
    <t>EQ-PTO075</t>
  </si>
  <si>
    <t xml:space="preserve">Herramientas menores y consumibles - Esmalte sintetico en puertas color bco. - Puertas </t>
  </si>
  <si>
    <t>PTO-1511|EQ</t>
  </si>
  <si>
    <t>PTO-1511|EQ|1</t>
  </si>
  <si>
    <t>SUB-PTO034</t>
  </si>
  <si>
    <t>PTO-1511|MO</t>
  </si>
  <si>
    <t>PTO-1511|MO|1</t>
  </si>
  <si>
    <t>PTO-1512</t>
  </si>
  <si>
    <t>EQ-PTO076</t>
  </si>
  <si>
    <t>Herramientas menores y consumibles - Esmalte sintético convertidor antioxido color negr</t>
  </si>
  <si>
    <t>PTO-1512|EQ</t>
  </si>
  <si>
    <t>PTO-1512|EQ|1</t>
  </si>
  <si>
    <t>PTO-1512|MAT</t>
  </si>
  <si>
    <t>PTO-1512|MAT|1</t>
  </si>
  <si>
    <t>PTO-1512|MAT|2</t>
  </si>
  <si>
    <t>PTO-1512|MAT|3</t>
  </si>
  <si>
    <t>PTO-1512|MAT|4</t>
  </si>
  <si>
    <t>PTO-1512|MAT|5</t>
  </si>
  <si>
    <t>PTO-1512|MAT|6</t>
  </si>
  <si>
    <t>PTO-1512|MAT|7</t>
  </si>
  <si>
    <t>PTO-1512|MAT|8</t>
  </si>
  <si>
    <t>SUB-PTO035</t>
  </si>
  <si>
    <t>MO Esmalte sintético sobre carpintería metálica</t>
  </si>
  <si>
    <t>PTO-1512|MO</t>
  </si>
  <si>
    <t>PTO-1512|MO|1</t>
  </si>
  <si>
    <t>PTO-1701</t>
  </si>
  <si>
    <t>PTO-1701|EQ</t>
  </si>
  <si>
    <t>PTO-1701|EQ|1</t>
  </si>
  <si>
    <t>PTO-1701|EQ|2</t>
  </si>
  <si>
    <t>PTO-1701|MAT</t>
  </si>
  <si>
    <t>PTO-1701|MAT|1</t>
  </si>
  <si>
    <t>PTO-1701|MAT|2</t>
  </si>
  <si>
    <t>PTO-1701|MO</t>
  </si>
  <si>
    <t>PTO-1701|MO|1</t>
  </si>
  <si>
    <t>PTO-1701|MO|2</t>
  </si>
  <si>
    <t>PTO-1702</t>
  </si>
  <si>
    <t>PTO-1702|EQ</t>
  </si>
  <si>
    <t>PTO-1702|EQ|1</t>
  </si>
  <si>
    <t>PTO-1702|EQ|2</t>
  </si>
  <si>
    <t>PTO-1702|MAT</t>
  </si>
  <si>
    <t>PTO-1702|MAT|1</t>
  </si>
  <si>
    <t>PTO-1702|MAT|2</t>
  </si>
  <si>
    <t>PTO-1702|MO</t>
  </si>
  <si>
    <t>PTO-1702|MO|1</t>
  </si>
  <si>
    <t>PTO-1702|MO|2</t>
  </si>
  <si>
    <t>PTO-1703</t>
  </si>
  <si>
    <t>PTO-1703|EQ</t>
  </si>
  <si>
    <t>PTO-1703|EQ|1</t>
  </si>
  <si>
    <t>PTO-1703|EQ|2</t>
  </si>
  <si>
    <t>PTO-1703|MAT</t>
  </si>
  <si>
    <t>PTO-1703|MAT|1</t>
  </si>
  <si>
    <t>PTO-1703|MAT|2</t>
  </si>
  <si>
    <t>PTO-1703|MO</t>
  </si>
  <si>
    <t>PTO-1703|MO|1</t>
  </si>
  <si>
    <t>PTO-1703|MO|2</t>
  </si>
  <si>
    <t>PTO-1704</t>
  </si>
  <si>
    <t>PTO-1704|EQ</t>
  </si>
  <si>
    <t>PTO-1704|EQ|1</t>
  </si>
  <si>
    <t>PTO-1704|EQ|2</t>
  </si>
  <si>
    <t>PTO-1704|MAT</t>
  </si>
  <si>
    <t>PTO-1704|MAT|1</t>
  </si>
  <si>
    <t>PTO-1704|MAT|2</t>
  </si>
  <si>
    <t>SUB-PTO085</t>
  </si>
  <si>
    <t xml:space="preserve">MO Amure Puertas de Ascensor </t>
  </si>
  <si>
    <t>PTO-1704|MO</t>
  </si>
  <si>
    <t>PTO-1704|MO|1</t>
  </si>
  <si>
    <t>PTO-1704|MO|2</t>
  </si>
  <si>
    <t>PTO-1704|MO|3</t>
  </si>
  <si>
    <t>PTO-1801</t>
  </si>
  <si>
    <t>PTO-1801|EQ</t>
  </si>
  <si>
    <t>PTO-1801|EQ|1</t>
  </si>
  <si>
    <t>PTO-1801|EQ|2</t>
  </si>
  <si>
    <t>PTO-1801|EQ|3</t>
  </si>
  <si>
    <t>PTO-1801|MAT</t>
  </si>
  <si>
    <t>PTO-1801|MAT|1</t>
  </si>
  <si>
    <t>PTO-1801|MAT|2</t>
  </si>
  <si>
    <t>PTO-1801|MAT|3</t>
  </si>
  <si>
    <t>PTO-1801|MAT|4</t>
  </si>
  <si>
    <t>PTO-1801|MAT|5</t>
  </si>
  <si>
    <t>PTO-1801|MAT|6</t>
  </si>
  <si>
    <t>PTO-1801|MAT|7</t>
  </si>
  <si>
    <t>PTO-1801|MAT|8</t>
  </si>
  <si>
    <t>PTO-1801|MAT|9</t>
  </si>
  <si>
    <t>SUB-BOCACOMP</t>
  </si>
  <si>
    <t>Boca completa</t>
  </si>
  <si>
    <t>PTO-1801|MO</t>
  </si>
  <si>
    <t>PTO-1801|MO|1</t>
  </si>
  <si>
    <t>PTO-1802</t>
  </si>
  <si>
    <t>PTO-1802|MO</t>
  </si>
  <si>
    <t>PTO-1802|MO|1</t>
  </si>
  <si>
    <t>PTO-1802|EQ</t>
  </si>
  <si>
    <t>PTO-1802|EQ|1</t>
  </si>
  <si>
    <t>PTO-1802|EQ|2</t>
  </si>
  <si>
    <t>PTO-1802|EQ|3</t>
  </si>
  <si>
    <t>PTO-1802|MAT</t>
  </si>
  <si>
    <t>PTO-1802|MAT|1</t>
  </si>
  <si>
    <t>PTO-1802|MAT|2</t>
  </si>
  <si>
    <t>PTO-1802|MAT|3</t>
  </si>
  <si>
    <t>PTO-1802|MAT|4</t>
  </si>
  <si>
    <t>PTO-1802|MAT|5</t>
  </si>
  <si>
    <t>PTO-1802|MAT|6</t>
  </si>
  <si>
    <t>PTO-1802|MAT|7</t>
  </si>
  <si>
    <t>PTO-1802|MAT|8</t>
  </si>
  <si>
    <t>PTO-1802|MAT|9</t>
  </si>
  <si>
    <t>PTO-1803</t>
  </si>
  <si>
    <t>PTO-1803|MO</t>
  </si>
  <si>
    <t>PTO-1803|MO|1</t>
  </si>
  <si>
    <t>PTO-1804</t>
  </si>
  <si>
    <t>PTO-1804|MO</t>
  </si>
  <si>
    <t>PTO-1804|MO|1</t>
  </si>
  <si>
    <t>PTO-1803|EQ</t>
  </si>
  <si>
    <t>PTO-1803|EQ|1</t>
  </si>
  <si>
    <t>PTO-1803|EQ|2</t>
  </si>
  <si>
    <t>PTO-1803|EQ|3</t>
  </si>
  <si>
    <t>PTO-1803|MAT</t>
  </si>
  <si>
    <t>PTO-1803|MAT|1</t>
  </si>
  <si>
    <t>PTO-1803|MAT|2</t>
  </si>
  <si>
    <t>PTO-1803|MAT|3</t>
  </si>
  <si>
    <t>PTO-1803|MAT|4</t>
  </si>
  <si>
    <t>PTO-1803|MAT|5</t>
  </si>
  <si>
    <t>PTO-1803|MAT|6</t>
  </si>
  <si>
    <t>PTO-1803|MAT|7</t>
  </si>
  <si>
    <t>PTO-1803|MAT|8</t>
  </si>
  <si>
    <t>PTO-1805</t>
  </si>
  <si>
    <t>PTO-1805|MO</t>
  </si>
  <si>
    <t>PTO-1805|MO|1</t>
  </si>
  <si>
    <t>PTO-1806</t>
  </si>
  <si>
    <t>PTO-1806|MO</t>
  </si>
  <si>
    <t>PTO-1806|MO|1</t>
  </si>
  <si>
    <t>PTO-1804|EQ</t>
  </si>
  <si>
    <t>PTO-1804|EQ|1</t>
  </si>
  <si>
    <t>PTO-1804|EQ|2</t>
  </si>
  <si>
    <t>PTO-1804|EQ|3</t>
  </si>
  <si>
    <t>PTO-1804|MAT</t>
  </si>
  <si>
    <t>PTO-1804|MAT|1</t>
  </si>
  <si>
    <t>PTO-1804|MAT|2</t>
  </si>
  <si>
    <t>PTO-1804|MAT|3</t>
  </si>
  <si>
    <t>PTO-1804|MAT|4</t>
  </si>
  <si>
    <t>PTO-1804|MAT|5</t>
  </si>
  <si>
    <t>PTO-1804|MAT|6</t>
  </si>
  <si>
    <t>PTO-1804|MAT|7</t>
  </si>
  <si>
    <t>PTO-1804|MAT|8</t>
  </si>
  <si>
    <t>PTO-1807</t>
  </si>
  <si>
    <t>PTO-1807|MO</t>
  </si>
  <si>
    <t>PTO-1807|MO|1</t>
  </si>
  <si>
    <t>PTO-1808</t>
  </si>
  <si>
    <t>PTO-1808|MO</t>
  </si>
  <si>
    <t>PTO-1808|MO|1</t>
  </si>
  <si>
    <t>PTO-1805|EQ</t>
  </si>
  <si>
    <t>PTO-1805|EQ|1</t>
  </si>
  <si>
    <t>PTO-1805|EQ|2</t>
  </si>
  <si>
    <t>PTO-1805|EQ|3</t>
  </si>
  <si>
    <t>PTO-1805|MAT</t>
  </si>
  <si>
    <t>PTO-1805|MAT|1</t>
  </si>
  <si>
    <t>PTO-1805|MAT|2</t>
  </si>
  <si>
    <t>PTO-1805|MAT|3</t>
  </si>
  <si>
    <t>PTO-1805|MAT|4</t>
  </si>
  <si>
    <t>PTO-1805|MAT|5</t>
  </si>
  <si>
    <t>PTO-1805|MAT|6</t>
  </si>
  <si>
    <t>PTO-1805|MAT|7</t>
  </si>
  <si>
    <t>PTO-1805|MAT|8</t>
  </si>
  <si>
    <t>PTO-1809</t>
  </si>
  <si>
    <t>PTO-1809|MO</t>
  </si>
  <si>
    <t>PTO-1809|MO|1</t>
  </si>
  <si>
    <t>PTO-1810</t>
  </si>
  <si>
    <t>PTO-1810|MO</t>
  </si>
  <si>
    <t>PTO-1810|MO|1</t>
  </si>
  <si>
    <t>PTO-1806|EQ</t>
  </si>
  <si>
    <t>PTO-1806|EQ|1</t>
  </si>
  <si>
    <t>PTO-1806|EQ|2</t>
  </si>
  <si>
    <t>PTO-1806|EQ|3</t>
  </si>
  <si>
    <t>PTO-1806|MAT</t>
  </si>
  <si>
    <t>PTO-1806|MAT|1</t>
  </si>
  <si>
    <t>PTO-1806|MAT|2</t>
  </si>
  <si>
    <t>PTO-1806|MAT|3</t>
  </si>
  <si>
    <t>PTO-1806|MAT|4</t>
  </si>
  <si>
    <t>PTO-1806|MAT|5</t>
  </si>
  <si>
    <t>PTO-1806|MAT|6</t>
  </si>
  <si>
    <t>PTO-1806|MAT|7</t>
  </si>
  <si>
    <t>PTO-1806|MAT|8</t>
  </si>
  <si>
    <t>PTO-1811</t>
  </si>
  <si>
    <t>SUB-CANAL</t>
  </si>
  <si>
    <t>Canalización</t>
  </si>
  <si>
    <t>PTO-1811|MO</t>
  </si>
  <si>
    <t>PTO-1811|MO|1</t>
  </si>
  <si>
    <t>PTO-1812</t>
  </si>
  <si>
    <t>PTO-1812|MO</t>
  </si>
  <si>
    <t>PTO-1812|MO|1</t>
  </si>
  <si>
    <t>PTO-1807|EQ</t>
  </si>
  <si>
    <t>PTO-1807|EQ|1</t>
  </si>
  <si>
    <t>PTO-1807|EQ|2</t>
  </si>
  <si>
    <t>PTO-1807|EQ|3</t>
  </si>
  <si>
    <t>PTO-1807|MAT</t>
  </si>
  <si>
    <t>PTO-1807|MAT|1</t>
  </si>
  <si>
    <t>PTO-1807|MAT|2</t>
  </si>
  <si>
    <t>PTO-1807|MAT|3</t>
  </si>
  <si>
    <t>PTO-1807|MAT|4</t>
  </si>
  <si>
    <t>PTO-1807|MAT|5</t>
  </si>
  <si>
    <t>PTO-1807|MAT|6</t>
  </si>
  <si>
    <t>PTO-1807|MAT|7</t>
  </si>
  <si>
    <t>PTO-1813</t>
  </si>
  <si>
    <t>PTO-1813|MO</t>
  </si>
  <si>
    <t>PTO-1813|MO|1</t>
  </si>
  <si>
    <t>PTO-1814</t>
  </si>
  <si>
    <t>PTO-1814|MO</t>
  </si>
  <si>
    <t>PTO-1814|MO|1</t>
  </si>
  <si>
    <t>PTO-1808|EQ</t>
  </si>
  <si>
    <t>PTO-1808|EQ|1</t>
  </si>
  <si>
    <t>PTO-1808|EQ|2</t>
  </si>
  <si>
    <t>PTO-1808|EQ|3</t>
  </si>
  <si>
    <t>PTO-1808|MAT</t>
  </si>
  <si>
    <t>PTO-1808|MAT|1</t>
  </si>
  <si>
    <t>PTO-1808|MAT|2</t>
  </si>
  <si>
    <t>PTO-1808|MAT|3</t>
  </si>
  <si>
    <t>PTO-1808|MAT|4</t>
  </si>
  <si>
    <t>PTO-1808|MAT|5</t>
  </si>
  <si>
    <t>PTO-1808|MAT|6</t>
  </si>
  <si>
    <t>PTO-1815</t>
  </si>
  <si>
    <t>PTO-1815|MO</t>
  </si>
  <si>
    <t>PTO-1815|MO|1</t>
  </si>
  <si>
    <t>PTO-1809|EQ</t>
  </si>
  <si>
    <t>PTO-1809|EQ|1</t>
  </si>
  <si>
    <t>PTO-1809|EQ|2</t>
  </si>
  <si>
    <t>PTO-1809|EQ|3</t>
  </si>
  <si>
    <t>PTO-1809|MAT</t>
  </si>
  <si>
    <t>PTO-1809|MAT|1</t>
  </si>
  <si>
    <t>PTO-1809|MAT|2</t>
  </si>
  <si>
    <t>PTO-1809|MAT|3</t>
  </si>
  <si>
    <t>PTO-1809|MAT|4</t>
  </si>
  <si>
    <t>PTO-1809|MAT|5</t>
  </si>
  <si>
    <t>PTO-1809|MAT|6</t>
  </si>
  <si>
    <t>PTO-1810|EQ</t>
  </si>
  <si>
    <t>PTO-1810|EQ|1</t>
  </si>
  <si>
    <t>PTO-1810|EQ|2</t>
  </si>
  <si>
    <t>PTO-1810|EQ|3</t>
  </si>
  <si>
    <t>PTO-1810|MAT</t>
  </si>
  <si>
    <t>PTO-1810|MAT|1</t>
  </si>
  <si>
    <t>PTO-1810|MAT|2</t>
  </si>
  <si>
    <t>PTO-1810|MAT|3</t>
  </si>
  <si>
    <t>PTO-1810|MAT|4</t>
  </si>
  <si>
    <t>PTO-1810|MAT|5</t>
  </si>
  <si>
    <t>PTO-1810|MAT|6</t>
  </si>
  <si>
    <t>PTO-1811|EQ</t>
  </si>
  <si>
    <t>PTO-1811|EQ|1</t>
  </si>
  <si>
    <t>PTO-1811|EQ|2</t>
  </si>
  <si>
    <t>PTO-1811|EQ|3</t>
  </si>
  <si>
    <t>PTO-1811|MAT</t>
  </si>
  <si>
    <t>PTO-1811|MAT|1</t>
  </si>
  <si>
    <t>PTO-1811|MAT|2</t>
  </si>
  <si>
    <t>PTO-1811|MAT|3</t>
  </si>
  <si>
    <t>PTO-1811|MAT|4</t>
  </si>
  <si>
    <t>PTO-1811|MAT|5</t>
  </si>
  <si>
    <t>PTO-1811|MAT|6</t>
  </si>
  <si>
    <t>PTO-1812|EQ</t>
  </si>
  <si>
    <t>PTO-1812|EQ|1</t>
  </si>
  <si>
    <t>PTO-1812|EQ|2</t>
  </si>
  <si>
    <t>PTO-1812|EQ|3</t>
  </si>
  <si>
    <t>PTO-1812|MAT</t>
  </si>
  <si>
    <t>PTO-1812|MAT|1</t>
  </si>
  <si>
    <t>PTO-1812|MAT|2</t>
  </si>
  <si>
    <t>PTO-1812|MAT|3</t>
  </si>
  <si>
    <t>PTO-1812|MAT|4</t>
  </si>
  <si>
    <t>PTO-1812|MAT|5</t>
  </si>
  <si>
    <t>PTO-1813|EQ</t>
  </si>
  <si>
    <t>PTO-1813|EQ|1</t>
  </si>
  <si>
    <t>PTO-1813|EQ|2</t>
  </si>
  <si>
    <t>PTO-1813|EQ|3</t>
  </si>
  <si>
    <t>PTO-1813|MAT</t>
  </si>
  <si>
    <t>PTO-1813|MAT|1</t>
  </si>
  <si>
    <t>PTO-1813|MAT|2</t>
  </si>
  <si>
    <t>PTO-1813|MAT|3</t>
  </si>
  <si>
    <t>PTO-1813|MAT|4</t>
  </si>
  <si>
    <t>PTO-1813|MAT|5</t>
  </si>
  <si>
    <t>PTO-1814|EQ</t>
  </si>
  <si>
    <t>PTO-1814|EQ|1</t>
  </si>
  <si>
    <t>PTO-1814|EQ|2</t>
  </si>
  <si>
    <t>PTO-1814|EQ|3</t>
  </si>
  <si>
    <t>PTO-1814|MAT</t>
  </si>
  <si>
    <t>PTO-1814|MAT|1</t>
  </si>
  <si>
    <t>PTO-1814|MAT|2</t>
  </si>
  <si>
    <t>PTO-1814|MAT|3</t>
  </si>
  <si>
    <t>PTO-1814|MAT|4</t>
  </si>
  <si>
    <t>PTO-1814|MAT|5</t>
  </si>
  <si>
    <t>PTO-1815|EQ</t>
  </si>
  <si>
    <t>PTO-1815|EQ|1</t>
  </si>
  <si>
    <t>PTO-1815|EQ|2</t>
  </si>
  <si>
    <t>PTO-1815|EQ|3</t>
  </si>
  <si>
    <t>PTO-1815|MAT</t>
  </si>
  <si>
    <t>PTO-1815|MAT|1</t>
  </si>
  <si>
    <t>PTO-1815|MAT|2</t>
  </si>
  <si>
    <t>PTO-1815|MAT|3</t>
  </si>
  <si>
    <t>PTO-1815|MAT|4</t>
  </si>
  <si>
    <t>PTO-1815|MAT|5</t>
  </si>
  <si>
    <t>PTO-1816</t>
  </si>
  <si>
    <t>EQ-PTO115</t>
  </si>
  <si>
    <t>Herramientas y consumibles - PTO-1816 TSG</t>
  </si>
  <si>
    <t>PTO-1816|EQ</t>
  </si>
  <si>
    <t>PTO-1816|EQ|1</t>
  </si>
  <si>
    <t>PTO-1816|MAT</t>
  </si>
  <si>
    <t>PTO-1816|MAT|1</t>
  </si>
  <si>
    <t>OTR-PTO147</t>
  </si>
  <si>
    <t>Voltimetro Display Ojo de Buey 22 mm (220vca ø22mm / IP44)</t>
  </si>
  <si>
    <t>PTO-1816|MAT|2</t>
  </si>
  <si>
    <t>OTR-PTO148</t>
  </si>
  <si>
    <t>STECK DIFERENCIAL 4X40A 30MA (4x40A)</t>
  </si>
  <si>
    <t>PTO-1816|MAT|3</t>
  </si>
  <si>
    <t>OTR-PTO149</t>
  </si>
  <si>
    <t>STECK DIFERENCIAL 2X25A 30MA (2X40A)</t>
  </si>
  <si>
    <t>PTO-1816|MAT|4</t>
  </si>
  <si>
    <t>OTR-PTO150</t>
  </si>
  <si>
    <t>STECK TM TETRAPOLAR 50A 6KA (4 x 50 A)</t>
  </si>
  <si>
    <t>PTO-1816|MAT|5</t>
  </si>
  <si>
    <t>OTR-PTO151</t>
  </si>
  <si>
    <t>STECK TM TETRAPOLAR 32A 6KA (4 X 25A)</t>
  </si>
  <si>
    <t>PTO-1816|MAT|6</t>
  </si>
  <si>
    <t>OTR-PTO152</t>
  </si>
  <si>
    <t>STECK TM BIPOLAR 16A 6KA (2 X 16A)</t>
  </si>
  <si>
    <t>PTO-1816|MAT|7</t>
  </si>
  <si>
    <t>OTR-PTO153</t>
  </si>
  <si>
    <t>STECK TM BIPOLAR 10A 6KA (2 X 10A)</t>
  </si>
  <si>
    <t>PTO-1816|MAT|8</t>
  </si>
  <si>
    <t>OTR-PTO154</t>
  </si>
  <si>
    <t>GAB. IP65 SERIE 9000 600X900X225</t>
  </si>
  <si>
    <t>PTO-1816|MAT|9</t>
  </si>
  <si>
    <t>OTR-PTO155</t>
  </si>
  <si>
    <t>CONTRAF ABISAG CALADO 60BIP S9000 600X900</t>
  </si>
  <si>
    <t>PTO-1816|MAT|10</t>
  </si>
  <si>
    <t>OTR-PTO156</t>
  </si>
  <si>
    <t>SOP REG P/CONTRAFRENTE PROF 225 X1</t>
  </si>
  <si>
    <t>PTO-1816|MAT|11</t>
  </si>
  <si>
    <t>OTR-PTO157</t>
  </si>
  <si>
    <t>RIEL PORTA ELEMENTOS X 1 METRO</t>
  </si>
  <si>
    <t>PTO-1816|MAT|12</t>
  </si>
  <si>
    <t>OTR-PTO158</t>
  </si>
  <si>
    <t>DISTRIBUIDOR TETRAP.160A 15 STD</t>
  </si>
  <si>
    <t>PTO-1816|MAT|13</t>
  </si>
  <si>
    <t>OTR-PTO159</t>
  </si>
  <si>
    <t>RLLOX100M 1X 6,0MM NEGRO N.IRAM (1 x 6 mm)</t>
  </si>
  <si>
    <t>PTO-1816|MAT|14</t>
  </si>
  <si>
    <t>SUB-TS36</t>
  </si>
  <si>
    <t>Tablero seccional de 36 a 54 polos</t>
  </si>
  <si>
    <t>PTO-1816|MO</t>
  </si>
  <si>
    <t>PTO-1816|MO|1</t>
  </si>
  <si>
    <t>PTO-1817</t>
  </si>
  <si>
    <t>EQ-PTO116</t>
  </si>
  <si>
    <t>Herramientas y consumibles - PTO-1817 TSBI</t>
  </si>
  <si>
    <t>PTO-1817|EQ</t>
  </si>
  <si>
    <t>PTO-1817|EQ|1</t>
  </si>
  <si>
    <t>PTO-1817|MAT</t>
  </si>
  <si>
    <t>PTO-1817|MAT|1</t>
  </si>
  <si>
    <t>PTO-1817|MAT|2</t>
  </si>
  <si>
    <t>PTO-1817|MAT|3</t>
  </si>
  <si>
    <t>PTO-1817|MAT|4</t>
  </si>
  <si>
    <t>PTO-1817|MAT|5</t>
  </si>
  <si>
    <t>OTR-PTO160</t>
  </si>
  <si>
    <t>GAB. IP65 SERIE 9000 300X300X150 (300 X 300 X 150)</t>
  </si>
  <si>
    <t>PTO-1817|MAT|6</t>
  </si>
  <si>
    <t>OTR-PTO161</t>
  </si>
  <si>
    <t>CONTRAF ABISAG.CALADO 10BIP S9000 300X300</t>
  </si>
  <si>
    <t>PTO-1817|MAT|7</t>
  </si>
  <si>
    <t>OTR-PTO162</t>
  </si>
  <si>
    <t>ALTERNADOR 2 BOMBA DIGITAL 24/110/220VCA (220/24v)</t>
  </si>
  <si>
    <t>PTO-1817|MAT|8</t>
  </si>
  <si>
    <t>OTR-PTO163</t>
  </si>
  <si>
    <t>Transformador 220/24 V 50 VA</t>
  </si>
  <si>
    <t>PTO-1817|MAT|9</t>
  </si>
  <si>
    <t>OTR-PTO164</t>
  </si>
  <si>
    <t>LC1D18M7 18A 7,5KW 1+1 220V</t>
  </si>
  <si>
    <t>PTO-1817|MAT|10</t>
  </si>
  <si>
    <t>SUB-TS8</t>
  </si>
  <si>
    <t>Tablero seccional de 8 a 36 polos</t>
  </si>
  <si>
    <t>PTO-1817|MO</t>
  </si>
  <si>
    <t>PTO-1817|MO|1</t>
  </si>
  <si>
    <t>PTO-1818</t>
  </si>
  <si>
    <t>EQ-PTO117</t>
  </si>
  <si>
    <t>Herramientas y consumibles - PTO-1818 TS.ASC</t>
  </si>
  <si>
    <t>PTO-1818|EQ</t>
  </si>
  <si>
    <t>PTO-1818|EQ|1</t>
  </si>
  <si>
    <t>PTO-1818|MAT</t>
  </si>
  <si>
    <t>PTO-1818|MAT|1</t>
  </si>
  <si>
    <t>PTO-1818|MAT|2</t>
  </si>
  <si>
    <t>PTO-1818|MAT|3</t>
  </si>
  <si>
    <t>PTO-1818|MAT|4</t>
  </si>
  <si>
    <t>PTO-1818|MAT|5</t>
  </si>
  <si>
    <t>PTO-1818|MAT|6</t>
  </si>
  <si>
    <t>OTR-PTO165</t>
  </si>
  <si>
    <t>STECK TM TETRAPOLAR 32A 6KA (4 X 32A)</t>
  </si>
  <si>
    <t>PTO-1818|MAT|7</t>
  </si>
  <si>
    <t>PTO-1818|MO</t>
  </si>
  <si>
    <t>PTO-1818|MO|1</t>
  </si>
  <si>
    <t>PTO-1819</t>
  </si>
  <si>
    <t>EQ-PTO118</t>
  </si>
  <si>
    <t>Herramientas y consumibles - PTO-1819 TUF</t>
  </si>
  <si>
    <t>PTO-1819|EQ</t>
  </si>
  <si>
    <t>PTO-1819|EQ|1</t>
  </si>
  <si>
    <t>PTO-1819|MAT</t>
  </si>
  <si>
    <t>PTO-1819|MAT|1</t>
  </si>
  <si>
    <t>PTO-1819|MAT|2</t>
  </si>
  <si>
    <t>PTO-1819|MAT|3</t>
  </si>
  <si>
    <t>OTR-PTO166</t>
  </si>
  <si>
    <t>STECK DIFERENCIAL 2X25A 30MA (2 x 25A)</t>
  </si>
  <si>
    <t>PTO-1819|MAT|4</t>
  </si>
  <si>
    <t>OTR-PTO167</t>
  </si>
  <si>
    <t>STECK TM BIPOLAR 10A 6KA (10A)</t>
  </si>
  <si>
    <t>PTO-1819|MAT|5</t>
  </si>
  <si>
    <t>OTR-PTO168</t>
  </si>
  <si>
    <t>STECK TM BIPOLAR 16A 6KA (16A)</t>
  </si>
  <si>
    <t>PTO-1819|MAT|6</t>
  </si>
  <si>
    <t>OTR-PTO169</t>
  </si>
  <si>
    <t>CAJA EMB P/ TM 36 POLOS BC T/FUME</t>
  </si>
  <si>
    <t>PTO-1819|MAT|7</t>
  </si>
  <si>
    <t>OTR-PTO170</t>
  </si>
  <si>
    <t>RIEL DIN 35MM 1 METRO PERFOR.</t>
  </si>
  <si>
    <t>PTO-1819|MAT|8</t>
  </si>
  <si>
    <t>PTO-1819|MO</t>
  </si>
  <si>
    <t>PTO-1819|MO|1</t>
  </si>
  <si>
    <t>PTO-1820</t>
  </si>
  <si>
    <t>EQ-PTO119</t>
  </si>
  <si>
    <t>Herramientas y consumibles - PTO-1820 MONTANTE</t>
  </si>
  <si>
    <t>PTO-1820|EQ</t>
  </si>
  <si>
    <t>PTO-1820|EQ|1</t>
  </si>
  <si>
    <t>Electricidad</t>
  </si>
  <si>
    <t>PTO-1820|MAT</t>
  </si>
  <si>
    <t>PTO-1820|MAT|1</t>
  </si>
  <si>
    <t>OTR-PTO171</t>
  </si>
  <si>
    <t>CAÑOX3M RIGIDO 25MM PVC TUBE</t>
  </si>
  <si>
    <t>PTO-1820|MAT|2</t>
  </si>
  <si>
    <t>OTR-PTO172</t>
  </si>
  <si>
    <t>RIEL DE FIJAC.1.22 OLMAR</t>
  </si>
  <si>
    <t>PTO-1820|MAT|3</t>
  </si>
  <si>
    <t>OTR-PTO173</t>
  </si>
  <si>
    <t>BROCA METALICA 1/4 CJA X 100</t>
  </si>
  <si>
    <t>PTO-1820|MAT|4</t>
  </si>
  <si>
    <t>OTR-PTO174</t>
  </si>
  <si>
    <t>VARILLA ROSCADA 1/4"X1MTC/BUL.</t>
  </si>
  <si>
    <t>PTO-1820|MAT|5</t>
  </si>
  <si>
    <t>OTR-PTO175</t>
  </si>
  <si>
    <t>GRAMPA P/RIEL 1</t>
  </si>
  <si>
    <t>PTO-1820|MAT|6</t>
  </si>
  <si>
    <t>OTR-PTO176</t>
  </si>
  <si>
    <t>CAJA DE CONEXION 30X40X10 CH20</t>
  </si>
  <si>
    <t>PTO-1820|MAT|7</t>
  </si>
  <si>
    <t>OTR-PTO177</t>
  </si>
  <si>
    <t>CONECTOR 25MM PVC RIG IP54 TUBE</t>
  </si>
  <si>
    <t>PTO-1820|MAT|8</t>
  </si>
  <si>
    <t>OTR-PTO178</t>
  </si>
  <si>
    <t>Cable unipolar 10 mm N.IRAM (UF monos (220 ml en syntenax))</t>
  </si>
  <si>
    <t>PTO-1820|MAT|9</t>
  </si>
  <si>
    <t>OTR-PTO179</t>
  </si>
  <si>
    <t>RLLOX100M 1X 6,0MM NEGRO N.IRAM (UF trifasicas (222 ml en syntenax))</t>
  </si>
  <si>
    <t>PTO-1820|MAT|10</t>
  </si>
  <si>
    <t>OTR-PTO180</t>
  </si>
  <si>
    <t>RLLOX100M 1X 4,0MM NEGRO N.IRAM (Bombas PB + Bombas Pres. (45 ml))</t>
  </si>
  <si>
    <t>PTO-1820|MAT|11</t>
  </si>
  <si>
    <t>OTR-PTO181</t>
  </si>
  <si>
    <t>RLLOX100M 1X16 MM VD/ AM N.IRAM (UF trifasicas (25 ml en syntenax))</t>
  </si>
  <si>
    <t>PTO-1820|MAT|12</t>
  </si>
  <si>
    <t>PTO-1820|MO</t>
  </si>
  <si>
    <t>PTO-1820|MO|1</t>
  </si>
  <si>
    <t>PTO-1820|MO|2</t>
  </si>
  <si>
    <t>PTO-1821</t>
  </si>
  <si>
    <t>EQ-PTO120</t>
  </si>
  <si>
    <t>Herramientas y consumibles - PTO-1821 MontanteTV</t>
  </si>
  <si>
    <t>PTO-1821|EQ</t>
  </si>
  <si>
    <t>PTO-1821|EQ|1</t>
  </si>
  <si>
    <t>PTO-1821|MAT</t>
  </si>
  <si>
    <t>PTO-1821|MAT|1</t>
  </si>
  <si>
    <t>PTO-1821|MAT|2</t>
  </si>
  <si>
    <t>PTO-1821|MAT|3</t>
  </si>
  <si>
    <t>PTO-1821|MAT|4</t>
  </si>
  <si>
    <t>PTO-1821|MAT|5</t>
  </si>
  <si>
    <t>PTO-1821|MAT|6</t>
  </si>
  <si>
    <t>PTO-1821|MAT|7</t>
  </si>
  <si>
    <t>PTO-1821|MAT|8</t>
  </si>
  <si>
    <t>OTR-PTO182</t>
  </si>
  <si>
    <t>RLLOX100M 1X 1,5MM NEGRO N.IRAM (Cable testigo)</t>
  </si>
  <si>
    <t>PTO-1821|MAT|9</t>
  </si>
  <si>
    <t>PTO-1821|MO</t>
  </si>
  <si>
    <t>PTO-1821|MO|1</t>
  </si>
  <si>
    <t>PTO-1821|MO|2</t>
  </si>
  <si>
    <t>PTO-1822</t>
  </si>
  <si>
    <t>EQ-PTO121</t>
  </si>
  <si>
    <t>Herramientas y consumibles - PTO-1822 MontanteTV</t>
  </si>
  <si>
    <t>PTO-1822|EQ</t>
  </si>
  <si>
    <t>PTO-1822|EQ|1</t>
  </si>
  <si>
    <t>PTO-1822|MAT</t>
  </si>
  <si>
    <t>PTO-1822|MAT|1</t>
  </si>
  <si>
    <t>PTO-1822|MAT|2</t>
  </si>
  <si>
    <t>PTO-1822|MAT|3</t>
  </si>
  <si>
    <t>PTO-1822|MAT|4</t>
  </si>
  <si>
    <t>PTO-1822|MAT|5</t>
  </si>
  <si>
    <t>PTO-1822|MAT|6</t>
  </si>
  <si>
    <t>PTO-1822|MAT|7</t>
  </si>
  <si>
    <t>PTO-1822|MAT|8</t>
  </si>
  <si>
    <t>PTO-1822|MAT|9</t>
  </si>
  <si>
    <t>PTO-1822|MO</t>
  </si>
  <si>
    <t>PTO-1822|MO|1</t>
  </si>
  <si>
    <t>PTO-1822|MO|2</t>
  </si>
  <si>
    <t>PTO-1823</t>
  </si>
  <si>
    <t>EQ-PTO084</t>
  </si>
  <si>
    <t>Herramientas menores y consumibles - Colocación de sensor de movimiento - Provisión a c</t>
  </si>
  <si>
    <t>PTO-1823|EQ</t>
  </si>
  <si>
    <t>PTO-1823|EQ|1</t>
  </si>
  <si>
    <t>SUB-PTO040</t>
  </si>
  <si>
    <t>MO Colocación de sensor de movimiento - Provisión a cargo del comitente [SUBCONTRATOS]</t>
  </si>
  <si>
    <t>PTO-1823|MO</t>
  </si>
  <si>
    <t>PTO-1823|MO|1</t>
  </si>
  <si>
    <t>PTO-1824</t>
  </si>
  <si>
    <t>EQ-PTO085</t>
  </si>
  <si>
    <t>Herramientas menores y consumibles - Colocación de teclas simples y/o combinadas, pulsa</t>
  </si>
  <si>
    <t>PTO-1824|EQ</t>
  </si>
  <si>
    <t>PTO-1824|EQ|1</t>
  </si>
  <si>
    <t>SUB-PTO041</t>
  </si>
  <si>
    <t>MO Colocación de teclas simples y/o combinadas, pulsadores - Provisión a cargo del comitente [SUBCONTRATOS]</t>
  </si>
  <si>
    <t>PTO-1824|MO</t>
  </si>
  <si>
    <t>PTO-1824|MO|1</t>
  </si>
  <si>
    <t>PTO-1825</t>
  </si>
  <si>
    <t>EQ-PTO086</t>
  </si>
  <si>
    <t xml:space="preserve">Herramientas menores y consumibles - Colocación de tomas simples/dobles/encapsulados - </t>
  </si>
  <si>
    <t>PTO-1825|EQ</t>
  </si>
  <si>
    <t>PTO-1825|EQ|1</t>
  </si>
  <si>
    <t>SUB-PTO042</t>
  </si>
  <si>
    <t>MO Colocación de tomas simples/dobles/encapsulados - Provisión a cargo del comitente [SUBCONTRATOS]</t>
  </si>
  <si>
    <t>PTO-1825|MO</t>
  </si>
  <si>
    <t>PTO-1825|MO|1</t>
  </si>
  <si>
    <t>PTO-1826</t>
  </si>
  <si>
    <t>EQ-PTO087</t>
  </si>
  <si>
    <t xml:space="preserve">Herramientas menores y consumibles - Colocación de campanilla/zumbadores - Provisión a </t>
  </si>
  <si>
    <t>PTO-1826|EQ</t>
  </si>
  <si>
    <t>PTO-1826|EQ|1</t>
  </si>
  <si>
    <t>SUB-PTO043</t>
  </si>
  <si>
    <t>MO Colocación de campanilla/zumbadores - Provisión a cargo del comitente [SUBCONTRATOS]</t>
  </si>
  <si>
    <t>PTO-1826|MO</t>
  </si>
  <si>
    <t>PTO-1826|MO|1</t>
  </si>
  <si>
    <t>PTO-1827</t>
  </si>
  <si>
    <t>EQ-PTO088</t>
  </si>
  <si>
    <t>Herramientas menores y consumibles - Colocación de extractor de baño - Provisión a carg</t>
  </si>
  <si>
    <t>PTO-1827|EQ</t>
  </si>
  <si>
    <t>PTO-1827|EQ|1</t>
  </si>
  <si>
    <t>SUB-PTO044</t>
  </si>
  <si>
    <t>MO Colocación de extractor de baño - Provisión a cargo del comitente [SUBCONTRATOS]</t>
  </si>
  <si>
    <t>PTO-1827|MO</t>
  </si>
  <si>
    <t>PTO-1827|MO|1</t>
  </si>
  <si>
    <t>PTO-1828</t>
  </si>
  <si>
    <t>EQ-PTO089</t>
  </si>
  <si>
    <t>Herramientas menores y consumibles - Colocación de luz de emergencia - Provisión a carg</t>
  </si>
  <si>
    <t>PTO-1828|EQ</t>
  </si>
  <si>
    <t>PTO-1828|EQ|1</t>
  </si>
  <si>
    <t>SUB-PTO045</t>
  </si>
  <si>
    <t>MO Colocación de luz de emergencia - Provisión a cargo del comitente [SUBCONTRATOS]</t>
  </si>
  <si>
    <t>PTO-1828|MO</t>
  </si>
  <si>
    <t>PTO-1828|MO|1</t>
  </si>
  <si>
    <t>PTO-1829</t>
  </si>
  <si>
    <t>EQ-PTO090</t>
  </si>
  <si>
    <t>Herramientas menores y consumibles - Colocación de semáforo - Provisión a cargo del com</t>
  </si>
  <si>
    <t>PTO-1829|EQ</t>
  </si>
  <si>
    <t>PTO-1829|EQ|1</t>
  </si>
  <si>
    <t>SUB-PTO046</t>
  </si>
  <si>
    <t>MO Colocación de semáforo - Provisión a cargo del comitente [SUBCONTRATOS]</t>
  </si>
  <si>
    <t>PTO-1829|MO</t>
  </si>
  <si>
    <t>PTO-1829|MO|1</t>
  </si>
  <si>
    <t>PTO-1830</t>
  </si>
  <si>
    <t>EQ-PTO091</t>
  </si>
  <si>
    <t>Herramientas menores y consumibles - Colocación artefactos en espacios comunes y balcon</t>
  </si>
  <si>
    <t>PTO-1830|EQ</t>
  </si>
  <si>
    <t>PTO-1830|EQ|1</t>
  </si>
  <si>
    <t>SUB-PTO047</t>
  </si>
  <si>
    <t>MO Colocación artefactos en espacios comunes y balcones - Provisión a cargo del comitente. NO incluye provisión, ni colocación de artefactos en interior de UF [SUBCONTRATOS]</t>
  </si>
  <si>
    <t>PTO-1830|MO</t>
  </si>
  <si>
    <t>PTO-1830|MO|1</t>
  </si>
  <si>
    <t>PTO-1831</t>
  </si>
  <si>
    <t>EQ-PTO122</t>
  </si>
  <si>
    <t>Herramientas y consumibles - PTO-1831 ACOMETIDA</t>
  </si>
  <si>
    <t>PTO-1831|EQ</t>
  </si>
  <si>
    <t>PTO-1831|EQ|1</t>
  </si>
  <si>
    <t>PTO-1831|MAT</t>
  </si>
  <si>
    <t>PTO-1831|MAT|1</t>
  </si>
  <si>
    <t>OTR-PTO183</t>
  </si>
  <si>
    <t>M SUBTERRANEO N IRAM 1X 120MM2 (1 x 120)</t>
  </si>
  <si>
    <t>PTO-1831|MAT|2</t>
  </si>
  <si>
    <t>OTR-PTO184</t>
  </si>
  <si>
    <t>[66039162] GAB 4 MED TRIF C/TM + DIF (EDENOR)</t>
  </si>
  <si>
    <t>PTO-1831|MAT|3</t>
  </si>
  <si>
    <t>OTR-PTO185</t>
  </si>
  <si>
    <t>[66039155] GAB 1 MED TRIF C/TM + DIF (EDENOR)</t>
  </si>
  <si>
    <t>PTO-1831|MAT|4</t>
  </si>
  <si>
    <t>OTR-PTO186</t>
  </si>
  <si>
    <t>[62009010] CAJA TOMA 500A C/ 6 BASES NH (EDENOR)</t>
  </si>
  <si>
    <t>PTO-1831|MAT|5</t>
  </si>
  <si>
    <t>OTR-PTO187</t>
  </si>
  <si>
    <t>Fusible NH 00 63 A</t>
  </si>
  <si>
    <t>PTO-1831|MAT|6</t>
  </si>
  <si>
    <t>OTR-PTO188</t>
  </si>
  <si>
    <t>Fusible NH 02 a 125 A</t>
  </si>
  <si>
    <t>PTO-1831|MAT|7</t>
  </si>
  <si>
    <t>SUB-CACOM</t>
  </si>
  <si>
    <t>Caño de acometida</t>
  </si>
  <si>
    <t>PTO-1831|MO</t>
  </si>
  <si>
    <t>PTO-1831|MO|1</t>
  </si>
  <si>
    <t>SUB-CAJTOM</t>
  </si>
  <si>
    <t>Caja de toma</t>
  </si>
  <si>
    <t>PTO-1831|MO|2</t>
  </si>
  <si>
    <t>SUB-PTO048</t>
  </si>
  <si>
    <t xml:space="preserve">Gabinete columna 4 modulos trifasico Edesur </t>
  </si>
  <si>
    <t>PTO-1831|MO|3</t>
  </si>
  <si>
    <t>SUB-PTO049</t>
  </si>
  <si>
    <t xml:space="preserve">Gabinete columna 2 modulos trifasico Edesur </t>
  </si>
  <si>
    <t>PTO-1831|MO|4</t>
  </si>
  <si>
    <t>PTO-1832</t>
  </si>
  <si>
    <t>EQ-PTO123</t>
  </si>
  <si>
    <t>Herramientas y consumibles - PTO-1832 Puesta tierra</t>
  </si>
  <si>
    <t>PTO-1832|EQ</t>
  </si>
  <si>
    <t>PTO-1832|EQ|1</t>
  </si>
  <si>
    <t>PTO-1832|MAT</t>
  </si>
  <si>
    <t>PTO-1832|MAT|1</t>
  </si>
  <si>
    <t>OTR-PTO189</t>
  </si>
  <si>
    <t>M COBRE DESNUDO 7H 25MM (1 x 25 desnudo)</t>
  </si>
  <si>
    <t>PTO-1832|MAT|2</t>
  </si>
  <si>
    <t>OTR-PTO190</t>
  </si>
  <si>
    <t>CONDUWELD JAB ST 3/4 1.5M (Jabalina 3/4" x 1,5 m)</t>
  </si>
  <si>
    <t>PTO-1832|MAT|3</t>
  </si>
  <si>
    <t>OTR-PTO191</t>
  </si>
  <si>
    <t>CAJA INSPECCION 15 x 15 PVC</t>
  </si>
  <si>
    <t>PTO-1832|MAT|4</t>
  </si>
  <si>
    <t>SUB-PATSERV</t>
  </si>
  <si>
    <t>PAT de Servicio</t>
  </si>
  <si>
    <t>PTO-1832|MO</t>
  </si>
  <si>
    <t>PTO-1832|MO|1</t>
  </si>
  <si>
    <t>PTO-1833</t>
  </si>
  <si>
    <t>SUB-PTO051</t>
  </si>
  <si>
    <t>MO Certificado DCI para servicios generales [SUBCONTRATOS]</t>
  </si>
  <si>
    <t>PTO-1833|MO</t>
  </si>
  <si>
    <t>PTO-1833|MO|1</t>
  </si>
  <si>
    <t>PTO-1901</t>
  </si>
  <si>
    <t>EQ-PTO094</t>
  </si>
  <si>
    <t>Herramientas menores y consumibles - Tendido caño cloacal en planta baja</t>
  </si>
  <si>
    <t>PTO-1901|EQ</t>
  </si>
  <si>
    <t>PTO-1901|EQ|1</t>
  </si>
  <si>
    <t>OTR-PTO113</t>
  </si>
  <si>
    <t>Tendido caño cloacal en planta baja [CLOACAL]</t>
  </si>
  <si>
    <t>PTO-1901|MAT</t>
  </si>
  <si>
    <t>PTO-1901|MAT|1</t>
  </si>
  <si>
    <t>SUB-PTO052</t>
  </si>
  <si>
    <t>MO Tendido caño cloacal en planta baja [CLOACAL]</t>
  </si>
  <si>
    <t>PTO-1901|MO</t>
  </si>
  <si>
    <t>PTO-1901|MO|1</t>
  </si>
  <si>
    <t>PTO-1902</t>
  </si>
  <si>
    <t>EQ-PTO095</t>
  </si>
  <si>
    <t>Herramientas menores y consumibles - Por armar CDV en planta tipo</t>
  </si>
  <si>
    <t>PTO-1902|EQ</t>
  </si>
  <si>
    <t>PTO-1902|EQ|1</t>
  </si>
  <si>
    <t>OTR-PTO114</t>
  </si>
  <si>
    <t>Por armar CDV en planta tipo [CLOACAL]</t>
  </si>
  <si>
    <t>PTO-1902|MAT</t>
  </si>
  <si>
    <t>PTO-1902|MAT|1</t>
  </si>
  <si>
    <t>SUB-PTO053</t>
  </si>
  <si>
    <t>MO Por armar CDV en planta tipo [CLOACAL]</t>
  </si>
  <si>
    <t>PTO-1902|MO</t>
  </si>
  <si>
    <t>PTO-1902|MO|1</t>
  </si>
  <si>
    <t>PTO-1903</t>
  </si>
  <si>
    <t>EQ-PTO096</t>
  </si>
  <si>
    <t>Herramientas menores y consumibles - Montantes, remate y ventilación a los 4 vientos</t>
  </si>
  <si>
    <t>PTO-1903|EQ</t>
  </si>
  <si>
    <t>PTO-1903|EQ|1</t>
  </si>
  <si>
    <t>OTR-PTO115</t>
  </si>
  <si>
    <t>Montantes, remate y ventilación a los 4 vientos [CLOACAL]</t>
  </si>
  <si>
    <t>PTO-1903|MAT</t>
  </si>
  <si>
    <t>PTO-1903|MAT|1</t>
  </si>
  <si>
    <t>SUB-PTO054</t>
  </si>
  <si>
    <t>MO Montantes, remate y ventilación a los 4 vientos [CLOACAL]</t>
  </si>
  <si>
    <t>PTO-1903|MO</t>
  </si>
  <si>
    <t>PTO-1903|MO|1</t>
  </si>
  <si>
    <t>PTO-1904</t>
  </si>
  <si>
    <t>EQ-PTO097</t>
  </si>
  <si>
    <t xml:space="preserve">Herramientas menores y consumibles - Tendido caño pluvial en planta baja </t>
  </si>
  <si>
    <t>PTO-1904|EQ</t>
  </si>
  <si>
    <t>PTO-1904|EQ|1</t>
  </si>
  <si>
    <t>OTR-PTO116</t>
  </si>
  <si>
    <t>Tendido caño pluvial en planta baja  [CLOACAL]</t>
  </si>
  <si>
    <t>PTO-1904|MAT</t>
  </si>
  <si>
    <t>PTO-1904|MAT|1</t>
  </si>
  <si>
    <t>SUB-PTO055</t>
  </si>
  <si>
    <t>MO Tendido caño pluvial en planta baja  [CLOACAL]</t>
  </si>
  <si>
    <t>PTO-1904|MO</t>
  </si>
  <si>
    <t>PTO-1904|MO|1</t>
  </si>
  <si>
    <t>PTO-1905</t>
  </si>
  <si>
    <t>EQ-PTO098</t>
  </si>
  <si>
    <t>Herramientas menores y consumibles - Tendido caño pluvial por pisos</t>
  </si>
  <si>
    <t>PTO-1905|EQ</t>
  </si>
  <si>
    <t>PTO-1905|EQ|1</t>
  </si>
  <si>
    <t>OTR-PTO117</t>
  </si>
  <si>
    <t>Tendido caño pluvial por pisos [CLOACAL]</t>
  </si>
  <si>
    <t>PTO-1905|MAT</t>
  </si>
  <si>
    <t>PTO-1905|MAT|1</t>
  </si>
  <si>
    <t>SUB-PTO056</t>
  </si>
  <si>
    <t>MO Tendido caño pluvial por pisos [CLOACAL]</t>
  </si>
  <si>
    <t>PTO-1905|MO</t>
  </si>
  <si>
    <t>PTO-1905|MO|1</t>
  </si>
  <si>
    <t>PTO-1906</t>
  </si>
  <si>
    <t>EQ-PTO099</t>
  </si>
  <si>
    <t>Herramientas menores y consumibles - Instalación tanque de recupero y bombeo pluvial</t>
  </si>
  <si>
    <t>PTO-1906|EQ</t>
  </si>
  <si>
    <t>PTO-1906|EQ|1</t>
  </si>
  <si>
    <t>OTR-PTO118</t>
  </si>
  <si>
    <t>Instalación tanque de recupero y bombeo pluvial [CLOACAL]</t>
  </si>
  <si>
    <t>PTO-1906|MAT</t>
  </si>
  <si>
    <t>PTO-1906|MAT|1</t>
  </si>
  <si>
    <t>SUB-PTO057</t>
  </si>
  <si>
    <t>MO Instalación tanque de recupero y bombeo pluvial [CLOACAL]</t>
  </si>
  <si>
    <t>PTO-1906|MO</t>
  </si>
  <si>
    <t>PTO-1906|MO|1</t>
  </si>
  <si>
    <t>PTO-1907</t>
  </si>
  <si>
    <t>EQ-PTO100</t>
  </si>
  <si>
    <t>Herramientas menores y consumibles - Tendido caño de agua hasta TB. Colocación de TB, a</t>
  </si>
  <si>
    <t>PTO-1907|EQ</t>
  </si>
  <si>
    <t>PTO-1907|EQ|1</t>
  </si>
  <si>
    <t>OTR-PTO119</t>
  </si>
  <si>
    <t>Tendido caño de agua hasta TB. Colocación de TB, armado de colector y cuadro de bombas [AF.AC]</t>
  </si>
  <si>
    <t>PTO-1907|MAT</t>
  </si>
  <si>
    <t>PTO-1907|MAT|1</t>
  </si>
  <si>
    <t>SUB-PTO058</t>
  </si>
  <si>
    <t>MO Tendido caño de agua hasta TB. Colocación de TB, armado de colector y cuadro de bombas [AF.AC]</t>
  </si>
  <si>
    <t>PTO-1907|MO</t>
  </si>
  <si>
    <t>PTO-1907|MO|1</t>
  </si>
  <si>
    <t>PTO-1908</t>
  </si>
  <si>
    <t>EQ-PTO101</t>
  </si>
  <si>
    <t>Herramientas menores y consumibles - Armado de colector, subida y bajadas de AF</t>
  </si>
  <si>
    <t>PTO-1908|EQ</t>
  </si>
  <si>
    <t>PTO-1908|EQ|1</t>
  </si>
  <si>
    <t>OTR-PTO120</t>
  </si>
  <si>
    <t>Armado de colector, subida y bajadas de AF [AF.AC]</t>
  </si>
  <si>
    <t>PTO-1908|MAT</t>
  </si>
  <si>
    <t>PTO-1908|MAT|1</t>
  </si>
  <si>
    <t>SUB-PTO059</t>
  </si>
  <si>
    <t>MO Armado de colector, subida y bajadas de AF [AF.AC]</t>
  </si>
  <si>
    <t>PTO-1908|MO</t>
  </si>
  <si>
    <t>PTO-1908|MO|1</t>
  </si>
  <si>
    <t>PTO-1909</t>
  </si>
  <si>
    <t>EQ-PTO102</t>
  </si>
  <si>
    <t>Herramientas menores y consumibles - Colocación de bomba presurizadora, armado de colec</t>
  </si>
  <si>
    <t>PTO-1909|EQ</t>
  </si>
  <si>
    <t>PTO-1909|EQ|1</t>
  </si>
  <si>
    <t>OTR-PTO121</t>
  </si>
  <si>
    <t>Colocación de bomba presurizadora, armado de colector y montantes presurizadas (ultimo piso 4°) AF [AF.AC]</t>
  </si>
  <si>
    <t>PTO-1909|MAT</t>
  </si>
  <si>
    <t>PTO-1909|MAT|1</t>
  </si>
  <si>
    <t>SUB-PTO060</t>
  </si>
  <si>
    <t>MO Colocación de bomba presurizadora, armado de colector y montantes presurizadas (ultimo piso 4°) AF [AF.AC]</t>
  </si>
  <si>
    <t>PTO-1909|MO</t>
  </si>
  <si>
    <t>PTO-1909|MO|1</t>
  </si>
  <si>
    <t>PTO-1910</t>
  </si>
  <si>
    <t>EQ-PTO103</t>
  </si>
  <si>
    <t>Herramientas menores y consumibles - Distribución agua fria y caliente en planta tipo</t>
  </si>
  <si>
    <t>PTO-1910|EQ</t>
  </si>
  <si>
    <t>PTO-1910|EQ|1</t>
  </si>
  <si>
    <t>OTR-PTO122</t>
  </si>
  <si>
    <t>Distribución agua fria y caliente en planta tipo [AF.AC]</t>
  </si>
  <si>
    <t>PTO-1910|MAT</t>
  </si>
  <si>
    <t>PTO-1910|MAT|1</t>
  </si>
  <si>
    <t>SUB-PTO061</t>
  </si>
  <si>
    <t>MO Distribución agua fria y caliente en planta tipo [AF.AC]</t>
  </si>
  <si>
    <t>PTO-1910|MO</t>
  </si>
  <si>
    <t>PTO-1910|MO|1</t>
  </si>
  <si>
    <t>PTO-1911</t>
  </si>
  <si>
    <t>EQ-PTO104</t>
  </si>
  <si>
    <t>Herramientas menores y consumibles - Colocación de artefactos y griferias</t>
  </si>
  <si>
    <t>PTO-1911|EQ</t>
  </si>
  <si>
    <t>PTO-1911|EQ|1</t>
  </si>
  <si>
    <t>OTR-PTO123</t>
  </si>
  <si>
    <t>Colocación de artefactos y griferias [AF.AC]</t>
  </si>
  <si>
    <t>PTO-1911|MAT</t>
  </si>
  <si>
    <t>PTO-1911|MAT|1</t>
  </si>
  <si>
    <t>SUB-PTO062</t>
  </si>
  <si>
    <t>MO Colocación de artefactos y griferias [AF.AC]</t>
  </si>
  <si>
    <t>PTO-1911|MO</t>
  </si>
  <si>
    <t>PTO-1911|MO|1</t>
  </si>
  <si>
    <t>PTO-1912</t>
  </si>
  <si>
    <t>EQ-PTO027</t>
  </si>
  <si>
    <t>Herramientas y consumibles Armado y conexionado de desagües AA.CC</t>
  </si>
  <si>
    <t>PTO-1912|EQ</t>
  </si>
  <si>
    <t>PTO-1912|EQ|1</t>
  </si>
  <si>
    <t>OTR-PTO124</t>
  </si>
  <si>
    <t>PTO-1912|MAT</t>
  </si>
  <si>
    <t>PTO-1912|MAT|1</t>
  </si>
  <si>
    <t>SUB-PTO063</t>
  </si>
  <si>
    <t>MO Armado y conexionado de desagües AA.CC</t>
  </si>
  <si>
    <t>PTO-1912|MO</t>
  </si>
  <si>
    <t>PTO-1912|MO|1</t>
  </si>
  <si>
    <t>PTO-1913</t>
  </si>
  <si>
    <t>EQ-PTO105</t>
  </si>
  <si>
    <t>Herramientas menores y consumibles - Tendido de cañerías de piso radiante - Colectores,</t>
  </si>
  <si>
    <t>PTO-1913|EQ</t>
  </si>
  <si>
    <t>PTO-1913|EQ|1</t>
  </si>
  <si>
    <t>OTR-PTO192</t>
  </si>
  <si>
    <t>Tubo Ø 16 mm PEX, rollo por 240 m - HidroFlex Saladillo</t>
  </si>
  <si>
    <t>PTO-1913|MAT</t>
  </si>
  <si>
    <t>PTO-1913|MAT|1</t>
  </si>
  <si>
    <t>OTR-PTO193</t>
  </si>
  <si>
    <t>Membrana térmica HidroFlex, rollo 1x20 m, e: 10 mm - HidroFlex Saladillo</t>
  </si>
  <si>
    <t>PTO-1913|MAT|2</t>
  </si>
  <si>
    <t>OTR-PTO194</t>
  </si>
  <si>
    <t>Curva tubos Ø 16 mm - HidroFlex Saladillo</t>
  </si>
  <si>
    <t>PTO-1913|MAT|3</t>
  </si>
  <si>
    <t>OTR-PTO195</t>
  </si>
  <si>
    <t>Precintos 200 mm x paquete</t>
  </si>
  <si>
    <t>paq</t>
  </si>
  <si>
    <t>PTO-1913|MAT|4</t>
  </si>
  <si>
    <t>OTR-PTO196</t>
  </si>
  <si>
    <t>Codo c/rosca 3/4"</t>
  </si>
  <si>
    <t>PTO-1913|MAT|5</t>
  </si>
  <si>
    <t>OTR-PTO197</t>
  </si>
  <si>
    <t>H-3 TUBO AGUA CALIENTE 19X3.9X6</t>
  </si>
  <si>
    <t>tira</t>
  </si>
  <si>
    <t>PTO-1913|MAT|6</t>
  </si>
  <si>
    <t>OTR-PTO198</t>
  </si>
  <si>
    <t>Codo 3/4"</t>
  </si>
  <si>
    <t>PTO-1913|MAT|7</t>
  </si>
  <si>
    <t>OTR-PTO199</t>
  </si>
  <si>
    <t>Coverthor blanco 3/8" (Ø 16mm) - Coverthor Saladillo</t>
  </si>
  <si>
    <t>PTO-1913|MAT|8</t>
  </si>
  <si>
    <t>PTO-1913|MAT|9</t>
  </si>
  <si>
    <t>OTR-PTO200</t>
  </si>
  <si>
    <t>Malla N° 4 Liv 15x15 3x2 mt</t>
  </si>
  <si>
    <t>PTO-1913|MAT|10</t>
  </si>
  <si>
    <t>PTO-1913|MAT|11</t>
  </si>
  <si>
    <t>SUB-PTO064</t>
  </si>
  <si>
    <t>MO Tendido de cañerías de piso radiante - Colectores, gabinetes y termostatos a cargo del comitente [SUBCONTRATOS]</t>
  </si>
  <si>
    <t>PTO-1913|MO</t>
  </si>
  <si>
    <t>PTO-1913|MO|1</t>
  </si>
  <si>
    <t>PTO-1914</t>
  </si>
  <si>
    <t>EQ-PTO106</t>
  </si>
  <si>
    <t xml:space="preserve">Herramientas menores y consumibles - Montaje de caldera y puesta en marcha - Provisión </t>
  </si>
  <si>
    <t>PTO-1914|EQ</t>
  </si>
  <si>
    <t>PTO-1914|EQ|1</t>
  </si>
  <si>
    <t>OTR-PTO201</t>
  </si>
  <si>
    <t>Kit flexible caldera</t>
  </si>
  <si>
    <t>PTO-1914|MAT</t>
  </si>
  <si>
    <t>PTO-1914|MAT|1</t>
  </si>
  <si>
    <t>SUB-PTO065</t>
  </si>
  <si>
    <t>MO Montaje de caldera y puesta en marcha - Provisión a cargo del comitente, incluida las ventilaciones [SUBCONTRATOS]</t>
  </si>
  <si>
    <t>PTO-1914|MO</t>
  </si>
  <si>
    <t>PTO-1914|MO|1</t>
  </si>
  <si>
    <t>PTO-1915</t>
  </si>
  <si>
    <t>EQ-PTO107</t>
  </si>
  <si>
    <t>Herramientas menores y consumibles - Tendido cañeria de incendio - Gabinetes, tapas, ma</t>
  </si>
  <si>
    <t>PTO-1915|EQ</t>
  </si>
  <si>
    <t>PTO-1915|EQ|1</t>
  </si>
  <si>
    <t>SUB-PTO086</t>
  </si>
  <si>
    <t>MO Incendio</t>
  </si>
  <si>
    <t>PTO-1915|MO</t>
  </si>
  <si>
    <t>PTO-1915|MO|1</t>
  </si>
  <si>
    <t>OTR-PTO202</t>
  </si>
  <si>
    <t>Caño HG sin cupla 2 1/2 x 6,40 mts</t>
  </si>
  <si>
    <t>PTO-1915|MAT</t>
  </si>
  <si>
    <t>PTO-1915|MAT|1</t>
  </si>
  <si>
    <t>OTR-PTO203</t>
  </si>
  <si>
    <t>Codo HG a 90 HH 2 1/2</t>
  </si>
  <si>
    <t>PTO-1915|MAT|2</t>
  </si>
  <si>
    <t>OTR-PTO204</t>
  </si>
  <si>
    <t>Rosca con tuerca de 2 1/2</t>
  </si>
  <si>
    <t>PTO-1915|MAT|3</t>
  </si>
  <si>
    <t>OTR-PTO205</t>
  </si>
  <si>
    <t>Cupla HG 2 1/2</t>
  </si>
  <si>
    <t>PTO-1915|MAT|4</t>
  </si>
  <si>
    <t>OTR-PTO206</t>
  </si>
  <si>
    <t>Tee reduccion HG 2 1/2 x 2</t>
  </si>
  <si>
    <t>PTO-1915|MAT|5</t>
  </si>
  <si>
    <t>OTR-PTO207</t>
  </si>
  <si>
    <t>Valvula teatro 2 x 1 3/4</t>
  </si>
  <si>
    <t>PTO-1915|MAT|6</t>
  </si>
  <si>
    <t>OTR-PTO208</t>
  </si>
  <si>
    <t>Valvula de impulsion de 2 1/2</t>
  </si>
  <si>
    <t>PTO-1915|MAT|7</t>
  </si>
  <si>
    <t>OTR-PTO209</t>
  </si>
  <si>
    <t>VR 2 1/2 BR</t>
  </si>
  <si>
    <t>PTO-1915|MAT|8</t>
  </si>
  <si>
    <t>PTO-1915|MAT|9</t>
  </si>
  <si>
    <t>PTO-1916</t>
  </si>
  <si>
    <t>SUB-PTO087</t>
  </si>
  <si>
    <t>MO Provisión y tendido de cañerías de gas a cada UF</t>
  </si>
  <si>
    <t>PTO-1916|MO</t>
  </si>
  <si>
    <t>PTO-1916|MO|1</t>
  </si>
  <si>
    <t>OTR-PTO210</t>
  </si>
  <si>
    <t>Llave de paso esférica de 20mm</t>
  </si>
  <si>
    <t>PTO-1916|MAT</t>
  </si>
  <si>
    <t>PTO-1916|MAT|1</t>
  </si>
  <si>
    <t>OTR-PTO211</t>
  </si>
  <si>
    <t>Llave de paso esférica de 32mm</t>
  </si>
  <si>
    <t>PTO-1916|MAT|2</t>
  </si>
  <si>
    <t>OTR-PTO212</t>
  </si>
  <si>
    <t>Codo a 90° de 20mm</t>
  </si>
  <si>
    <t>PTO-1916|MAT|3</t>
  </si>
  <si>
    <t>OTR-PTO213</t>
  </si>
  <si>
    <t>Codo a 90° de 32mm</t>
  </si>
  <si>
    <t>PTO-1916|MAT|4</t>
  </si>
  <si>
    <t>OTR-PTO214</t>
  </si>
  <si>
    <t>Cupla de reduccion de 32x20mm</t>
  </si>
  <si>
    <t>PTO-1916|MAT|5</t>
  </si>
  <si>
    <t>OTR-PTO215</t>
  </si>
  <si>
    <t>Niple corto con tope 32mm</t>
  </si>
  <si>
    <t>PTO-1916|MAT|6</t>
  </si>
  <si>
    <t>OTR-PTO216</t>
  </si>
  <si>
    <t>Te de reduccion central de 32x20mm</t>
  </si>
  <si>
    <t>PTO-1916|MAT|7</t>
  </si>
  <si>
    <t>OTR-PTO217</t>
  </si>
  <si>
    <t>Te normal de 32mm</t>
  </si>
  <si>
    <t>PTO-1916|MAT|8</t>
  </si>
  <si>
    <t>OTR-PTO218</t>
  </si>
  <si>
    <t>Tubo acero polietileno de 20mm L=4m</t>
  </si>
  <si>
    <t>PTO-1916|MAT|9</t>
  </si>
  <si>
    <t>OTR-PTO219</t>
  </si>
  <si>
    <t>Tubo acero polietileno de 32mm L=4m</t>
  </si>
  <si>
    <t>PTO-1916|MAT|10</t>
  </si>
  <si>
    <t>OTR-PTO220</t>
  </si>
  <si>
    <t>Codo a 90° de 20mm c/RH 1/2"</t>
  </si>
  <si>
    <t>PTO-1916|MAT|11</t>
  </si>
  <si>
    <t>OTR-PTO221</t>
  </si>
  <si>
    <t>Codo a 90° de 32mm c/RH 3/4"</t>
  </si>
  <si>
    <t>PTO-1916|MAT|12</t>
  </si>
  <si>
    <t>OTR-PTO222</t>
  </si>
  <si>
    <t>CAÑO EPOXI 1 1/4 x 6,40</t>
  </si>
  <si>
    <t>PTO-1916|MAT|13</t>
  </si>
  <si>
    <t>OTR-PTO223</t>
  </si>
  <si>
    <t>EPOXI TEE 1 1/4</t>
  </si>
  <si>
    <t>PTO-1916|MAT|14</t>
  </si>
  <si>
    <t>OTR-PTO224</t>
  </si>
  <si>
    <t>EPOXI CODO 90 HH 1 1/4</t>
  </si>
  <si>
    <t>PTO-1916|MAT|15</t>
  </si>
  <si>
    <t>OTR-PTO225</t>
  </si>
  <si>
    <t>BRONCE BUJE RED 1 1/4 x 1</t>
  </si>
  <si>
    <t>PTO-1916|MAT|16</t>
  </si>
  <si>
    <t>OTR-PTO226</t>
  </si>
  <si>
    <t>SUYAI ESFERICA P/GAS FORJADA 1 1/4</t>
  </si>
  <si>
    <t>PTO-1916|MAT|17</t>
  </si>
  <si>
    <t>OTR-PTO227</t>
  </si>
  <si>
    <t>FUSIOGAS TRANSICION HEMBRA 32 x 1</t>
  </si>
  <si>
    <t>PTO-1916|MAT|18</t>
  </si>
  <si>
    <t>OTR-PTO228</t>
  </si>
  <si>
    <t>REGULADOR GAS GS-25 N/M3H</t>
  </si>
  <si>
    <t>PTO-1916|MAT|19</t>
  </si>
  <si>
    <t>PTO-1916|MAT|20</t>
  </si>
  <si>
    <t>PTO-1917</t>
  </si>
  <si>
    <t>OTR-PTO129</t>
  </si>
  <si>
    <t>PTO-1917|MAT</t>
  </si>
  <si>
    <t>PTO-1917|MAT|1</t>
  </si>
  <si>
    <t>SUB-PTO066</t>
  </si>
  <si>
    <t>MO Colocación de anafes - Provisión a cargo del comitente</t>
  </si>
  <si>
    <t>PTO-1917|MO</t>
  </si>
  <si>
    <t>PTO-1917|MO|1</t>
  </si>
  <si>
    <t>PTO-1918</t>
  </si>
  <si>
    <t>OTR-PTO130</t>
  </si>
  <si>
    <t>PTO-1918|MAT</t>
  </si>
  <si>
    <t>PTO-1918|MAT|1</t>
  </si>
  <si>
    <t>SUB-PTO067</t>
  </si>
  <si>
    <t>MO Provisión y amure de rejillas de ventilación homologadas</t>
  </si>
  <si>
    <t>PTO-1918|MO</t>
  </si>
  <si>
    <t>PTO-1918|MO|1</t>
  </si>
  <si>
    <t>PTO-1919</t>
  </si>
  <si>
    <t>SUB-PTO068</t>
  </si>
  <si>
    <t>MO Tramites gas - Prefactibilidad, inspección parcial, final</t>
  </si>
  <si>
    <t>PTO-1919|MO</t>
  </si>
  <si>
    <t>PTO-1919|MO|1</t>
  </si>
  <si>
    <t>PTO-2201</t>
  </si>
  <si>
    <t>SUB-PTO069</t>
  </si>
  <si>
    <t>MO Instalación de artefactos de cocina, hornos - Provisión a cargo del comitente [SUBCONTRATOS]</t>
  </si>
  <si>
    <t>PTO-2201|MO</t>
  </si>
  <si>
    <t>PTO-2201|MO|1</t>
  </si>
  <si>
    <t>PTO-2202</t>
  </si>
  <si>
    <t>SUB-PTO070</t>
  </si>
  <si>
    <t>MO Instalacion de extractores de baños - Provisión a cargo del comitente [SUBCONTRATOS]</t>
  </si>
  <si>
    <t>PTO-2202|MO</t>
  </si>
  <si>
    <t>PTO-2202|MO|1</t>
  </si>
  <si>
    <t>PTO-2301</t>
  </si>
  <si>
    <t>EQ-PTO108</t>
  </si>
  <si>
    <t xml:space="preserve">Herramientas menores y consumibles - Albañilería parrilla completa - Losa y muros </t>
  </si>
  <si>
    <t>PTO-2301|EQ</t>
  </si>
  <si>
    <t>PTO-2301|EQ|1</t>
  </si>
  <si>
    <t>OTR-PTO131</t>
  </si>
  <si>
    <t>Mmaposteria</t>
  </si>
  <si>
    <t>PTO-2301|MAT</t>
  </si>
  <si>
    <t>PTO-2301|MAT|1</t>
  </si>
  <si>
    <t>OTR-PTO132</t>
  </si>
  <si>
    <t>Revoque</t>
  </si>
  <si>
    <t>PTO-2301|MAT|2</t>
  </si>
  <si>
    <t>PTO-2301|MAT|3</t>
  </si>
  <si>
    <t>PTO-2301|MAT|4</t>
  </si>
  <si>
    <t>PTO-2301|MAT|5</t>
  </si>
  <si>
    <t>OTR-PTO133</t>
  </si>
  <si>
    <t xml:space="preserve">Dintel </t>
  </si>
  <si>
    <t>PTO-2301|MAT|6</t>
  </si>
  <si>
    <t>PTO-2301|MO</t>
  </si>
  <si>
    <t>PTO-2301|MO|1</t>
  </si>
  <si>
    <t>PTO-2301|MO|2</t>
  </si>
  <si>
    <t>PTO-2302</t>
  </si>
  <si>
    <t>EQ-PTO109</t>
  </si>
  <si>
    <t>Herramientas menores y consumibles - Amure de tapas para pleno eléctricos y gas en pali</t>
  </si>
  <si>
    <t>PTO-2302|EQ</t>
  </si>
  <si>
    <t>PTO-2302|EQ|1</t>
  </si>
  <si>
    <t>OTR-PTO135</t>
  </si>
  <si>
    <t>PTO-2302|MAT</t>
  </si>
  <si>
    <t>PTO-2302|MAT|1</t>
  </si>
  <si>
    <t>PTO-2302|MO</t>
  </si>
  <si>
    <t>PTO-2302|MO|1</t>
  </si>
  <si>
    <t>PTO-2302|MO|2</t>
  </si>
  <si>
    <t>PTO-2303</t>
  </si>
  <si>
    <t>EQ-PTO110</t>
  </si>
  <si>
    <t>Herramientas menores y consumibles - Demolición de vereda</t>
  </si>
  <si>
    <t>PTO-2303|EQ</t>
  </si>
  <si>
    <t>PTO-2303|EQ|1</t>
  </si>
  <si>
    <t>PTO-2303|MAT</t>
  </si>
  <si>
    <t>PTO-2303|MAT|1</t>
  </si>
  <si>
    <t>PTO-2303|MAT|2</t>
  </si>
  <si>
    <t>PTO-2303|MO</t>
  </si>
  <si>
    <t>PTO-2303|MO|1</t>
  </si>
  <si>
    <t>PTO-2303|MO|2</t>
  </si>
  <si>
    <t>PTO-2304</t>
  </si>
  <si>
    <t>PTO-2304|EQ</t>
  </si>
  <si>
    <t>PTO-2304|EQ|1</t>
  </si>
  <si>
    <t>PTO-2304|EQ|2</t>
  </si>
  <si>
    <t>PTO-2304|MAT</t>
  </si>
  <si>
    <t>PTO-2304|MAT|1</t>
  </si>
  <si>
    <t>PTO-2304|MAT|2</t>
  </si>
  <si>
    <t>PTO-2304|MAT|3</t>
  </si>
  <si>
    <t>PTO-2304|MAT|4</t>
  </si>
  <si>
    <t>PTO-2304|MAT|5</t>
  </si>
  <si>
    <t>PTO-2304|MAT|6</t>
  </si>
  <si>
    <t>PTO-2304|MAT|7</t>
  </si>
  <si>
    <t>PTO-2304|MAT|8</t>
  </si>
  <si>
    <t>PTO-2304|MAT|9</t>
  </si>
  <si>
    <t>SUB-PTO088</t>
  </si>
  <si>
    <t>MO Tabique divisorio dormitorios</t>
  </si>
  <si>
    <t>PTO-2304|MO</t>
  </si>
  <si>
    <t>PTO-2304|MO|1</t>
  </si>
  <si>
    <t>PTO-2304|MO|2</t>
  </si>
  <si>
    <t>PTO-2304|MO|3</t>
  </si>
  <si>
    <t>PTO-2401</t>
  </si>
  <si>
    <t>SUB-PTO071</t>
  </si>
  <si>
    <t>MO Sereno</t>
  </si>
  <si>
    <t>PTO-2401|MO</t>
  </si>
  <si>
    <t>PTO-2401|MO|1</t>
  </si>
  <si>
    <t>PTO-2402</t>
  </si>
  <si>
    <t>SUB-PTO072</t>
  </si>
  <si>
    <t>MO Tecnico de seguridad &amp; higiene permanente en Obra</t>
  </si>
  <si>
    <t>PTO-2402|MO</t>
  </si>
  <si>
    <t>PTO-2402|MO|1</t>
  </si>
  <si>
    <t>PTO-2403</t>
  </si>
  <si>
    <t>SUB-PTO073</t>
  </si>
  <si>
    <t>MO Higiene y seguridad Res 51</t>
  </si>
  <si>
    <t>PTO-2403|MO</t>
  </si>
  <si>
    <t>PTO-2403|MO|1</t>
  </si>
  <si>
    <t>PTO-2404</t>
  </si>
  <si>
    <t>EQ-PTO111</t>
  </si>
  <si>
    <t>Herramientas menores y consumibles - Protecciones y defensas</t>
  </si>
  <si>
    <t>PTO-2404|EQ</t>
  </si>
  <si>
    <t>PTO-2404|EQ|1</t>
  </si>
  <si>
    <t>OTR-PTO137</t>
  </si>
  <si>
    <t>Defensas</t>
  </si>
  <si>
    <t>PTO-2404|MAT</t>
  </si>
  <si>
    <t>PTO-2404|MAT|1</t>
  </si>
  <si>
    <t>OTR-PTO138</t>
  </si>
  <si>
    <t>Tabla 4 x 1 x 3,6 Saligna bruto</t>
  </si>
  <si>
    <t>PTO-2404|MAT|2</t>
  </si>
  <si>
    <t>OTR-PTO139</t>
  </si>
  <si>
    <t>Tirante 3 x 3 x 3,6 Saligna bruto</t>
  </si>
  <si>
    <t>PTO-2404|MAT|3</t>
  </si>
  <si>
    <t>PTO-2404|MO</t>
  </si>
  <si>
    <t>PTO-2404|MO|1</t>
  </si>
  <si>
    <t>PTO-2404|MO|2</t>
  </si>
  <si>
    <t>PTO-2404|MO|3</t>
  </si>
  <si>
    <t>PTO-2405</t>
  </si>
  <si>
    <t>EQ-PTO112</t>
  </si>
  <si>
    <t>Herramientas menores y consumibles - Ayuda de gremios</t>
  </si>
  <si>
    <t>PTO-2405|EQ</t>
  </si>
  <si>
    <t>PTO-2405|EQ|1</t>
  </si>
  <si>
    <t>OTR-PTO140</t>
  </si>
  <si>
    <t xml:space="preserve">Mat. </t>
  </si>
  <si>
    <t>PTO-2405|MAT</t>
  </si>
  <si>
    <t>PTO-2405|MAT|1</t>
  </si>
  <si>
    <t>PTO-2405|MO</t>
  </si>
  <si>
    <t>PTO-2405|MO|1</t>
  </si>
  <si>
    <t>PTO-2405|MO|2</t>
  </si>
  <si>
    <t>PTO-2406</t>
  </si>
  <si>
    <t>EQ-PTO113</t>
  </si>
  <si>
    <t xml:space="preserve">Herramientas menores y consumibles - Limpieza periodica </t>
  </si>
  <si>
    <t>PTO-2406|EQ</t>
  </si>
  <si>
    <t>PTO-2406|EQ|1</t>
  </si>
  <si>
    <t>PTO-2406|MAT</t>
  </si>
  <si>
    <t>PTO-2406|MAT|1</t>
  </si>
  <si>
    <t>PTO-2406|MO</t>
  </si>
  <si>
    <t>PTO-2406|MO|1</t>
  </si>
  <si>
    <t>PTO-2407</t>
  </si>
  <si>
    <t>EQ-PTO114</t>
  </si>
  <si>
    <t>Herramientas menores y consumibles - Limpieza final de Obra</t>
  </si>
  <si>
    <t>PTO-2407|EQ</t>
  </si>
  <si>
    <t>PTO-2407|EQ|1</t>
  </si>
  <si>
    <t>PTO-2407|MAT</t>
  </si>
  <si>
    <t>PTO-2407|MAT|1</t>
  </si>
  <si>
    <t>PTO-2407|MO</t>
  </si>
  <si>
    <t>PTO-2407|MO|1</t>
  </si>
  <si>
    <t>PTO-2408</t>
  </si>
  <si>
    <t>SUB-PTO074</t>
  </si>
  <si>
    <t>MO Fletes</t>
  </si>
  <si>
    <t>PTO-2408|MO</t>
  </si>
  <si>
    <t>PTO-2408|MO|1</t>
  </si>
  <si>
    <t>PTO-2409</t>
  </si>
  <si>
    <t>PTO-2409|MAT</t>
  </si>
  <si>
    <t>PTO-2409|MAT|1</t>
  </si>
  <si>
    <t>SUB-PTO075</t>
  </si>
  <si>
    <t>MO Volquetes</t>
  </si>
  <si>
    <t>PTO-2409|MO</t>
  </si>
  <si>
    <t>PTO-2409|MO|1</t>
  </si>
  <si>
    <t>PTO-2501</t>
  </si>
  <si>
    <t>SUB-PTO076</t>
  </si>
  <si>
    <t>MO Supervisión profesional de Obra</t>
  </si>
  <si>
    <t>PTO-2501|MO</t>
  </si>
  <si>
    <t>PTO-2501|MO|1</t>
  </si>
  <si>
    <t>PTO-2502</t>
  </si>
  <si>
    <t>SUB-PTO077</t>
  </si>
  <si>
    <t>MO Movilidad y viaticos</t>
  </si>
  <si>
    <t>PTO-2502|MO</t>
  </si>
  <si>
    <t>PTO-2502|MO|1</t>
  </si>
  <si>
    <t>REV-072</t>
  </si>
  <si>
    <t>REV-072|EQ</t>
  </si>
  <si>
    <t>REV-072|EQ|1</t>
  </si>
  <si>
    <t>REV-072|EQ|2</t>
  </si>
  <si>
    <t>EQ-REVOC2</t>
  </si>
  <si>
    <t>Maquina revocadora Revoque/Yeso - Alq. X mes</t>
  </si>
  <si>
    <t>REV-072|EQ|3</t>
  </si>
  <si>
    <t>REV-072|MAT</t>
  </si>
  <si>
    <t>REV-072|MAT|1</t>
  </si>
  <si>
    <t>REV-013</t>
  </si>
  <si>
    <t>Conjunto rotor estator Yeso ASE</t>
  </si>
  <si>
    <t>REV-072|MAT|2</t>
  </si>
  <si>
    <t>REV-072|MO</t>
  </si>
  <si>
    <t>REV-072|MO|1</t>
  </si>
  <si>
    <t>REV-072|MO|2</t>
  </si>
  <si>
    <t>REV-072|MO|3</t>
  </si>
  <si>
    <t>REV-134</t>
  </si>
  <si>
    <t>REV-134|EQ</t>
  </si>
  <si>
    <t>REV-134|EQ|1</t>
  </si>
  <si>
    <t>REV-134|EQ|2</t>
  </si>
  <si>
    <t>REV-134|EQ|3</t>
  </si>
  <si>
    <t>REV-134|MAT</t>
  </si>
  <si>
    <t>REV-134|MAT|1</t>
  </si>
  <si>
    <t>REV-134|MAT|2</t>
  </si>
  <si>
    <t>REV-134|MAT|3</t>
  </si>
  <si>
    <t>REV-134|MO</t>
  </si>
  <si>
    <t>REV-134|MO|1</t>
  </si>
  <si>
    <t>REV-134|MO|2</t>
  </si>
  <si>
    <t>REV-135</t>
  </si>
  <si>
    <t>REV-135|EQ</t>
  </si>
  <si>
    <t>REV-135|EQ|1</t>
  </si>
  <si>
    <t>REV-135|EQ|2</t>
  </si>
  <si>
    <t>REV-135|EQ|3</t>
  </si>
  <si>
    <t>REV-135|MAT</t>
  </si>
  <si>
    <t>REV-135|MAT|1</t>
  </si>
  <si>
    <t>REV-135|MAT|2</t>
  </si>
  <si>
    <t>REV-135|MAT|3</t>
  </si>
  <si>
    <t>REV-135|MO</t>
  </si>
  <si>
    <t>REV-135|MO|1</t>
  </si>
  <si>
    <t>REV-135|MO|2</t>
  </si>
  <si>
    <t>Fecha</t>
  </si>
  <si>
    <t>Concepto</t>
  </si>
  <si>
    <t>Monto</t>
  </si>
  <si>
    <t>Directo</t>
  </si>
  <si>
    <t>Indirecto</t>
  </si>
  <si>
    <t>Payroll - Socios</t>
  </si>
  <si>
    <t>Payroll - Administración</t>
  </si>
  <si>
    <t>Intereses Financiamiento</t>
  </si>
  <si>
    <t>Resumen Consolidado por Obra (Horas)</t>
  </si>
  <si>
    <t>Período</t>
  </si>
  <si>
    <t>Obra</t>
  </si>
  <si>
    <t>Categoría</t>
  </si>
  <si>
    <t>Rubro</t>
  </si>
  <si>
    <t>Horas totales</t>
  </si>
  <si>
    <t>Horas normales</t>
  </si>
  <si>
    <t>Horas extra 50%</t>
  </si>
  <si>
    <t>Horas extra 100%</t>
  </si>
  <si>
    <t>Costo Hs. Normales</t>
  </si>
  <si>
    <t>Costo Hs. Extra 50%</t>
  </si>
  <si>
    <t>Costo Hs. Extra 100%</t>
  </si>
  <si>
    <t>Total</t>
  </si>
  <si>
    <t>Total Descontado</t>
  </si>
  <si>
    <t>1Q</t>
  </si>
  <si>
    <t>GARCIA DEL RIO</t>
  </si>
  <si>
    <t>2Q</t>
  </si>
  <si>
    <t>SUBCONTRATOS — MAESTRO DE CONTRATOS</t>
  </si>
  <si>
    <t>Contrato#</t>
  </si>
  <si>
    <t>Proveedor</t>
  </si>
  <si>
    <t>Monto Presup.</t>
  </si>
  <si>
    <t>Ajusta CAC</t>
  </si>
  <si>
    <t>% Anticipo</t>
  </si>
  <si>
    <t>Pagado BASE+ANT</t>
  </si>
  <si>
    <t>CAC pagado</t>
  </si>
  <si>
    <t>CS pagado</t>
  </si>
  <si>
    <t>Total pagado</t>
  </si>
  <si>
    <t>Saldo disponible</t>
  </si>
  <si>
    <t>% consumido</t>
  </si>
  <si>
    <t>GDR-SC-001</t>
  </si>
  <si>
    <t>ELVIO CESPEDES</t>
  </si>
  <si>
    <t>Durlock/Yeso</t>
  </si>
  <si>
    <t>Yeso</t>
  </si>
  <si>
    <t>SI</t>
  </si>
  <si>
    <t>GDR-SC-002</t>
  </si>
  <si>
    <t>Revoque Exterior</t>
  </si>
  <si>
    <t>GDR-SC-003</t>
  </si>
  <si>
    <t>ANCLAJES CIMA</t>
  </si>
  <si>
    <t>Fundaciones</t>
  </si>
  <si>
    <t>GDR-SC-004</t>
  </si>
  <si>
    <t>CELSI VIAL S.A.</t>
  </si>
  <si>
    <t>Exc. y Mov. de Suelos</t>
  </si>
  <si>
    <t>Excavacion y Mov. Suelos</t>
  </si>
  <si>
    <t>GDR-SC-005</t>
  </si>
  <si>
    <t>CUADRILLA HORMIGON</t>
  </si>
  <si>
    <t>Hormigón MO</t>
  </si>
  <si>
    <t>Hormigon M.O.</t>
  </si>
  <si>
    <t>RUBROS CANÓNICOS (Plan de Cuentas Tezamat — rama 53 OBRA + especiales)</t>
  </si>
  <si>
    <t>Código</t>
  </si>
  <si>
    <t>TIPOS</t>
  </si>
  <si>
    <t>VALIDACIÓN — rubros de tarea ∈ plan de cuentas</t>
  </si>
  <si>
    <t>CONCEPTOS GASTOS DIR/IND</t>
  </si>
  <si>
    <t>53001</t>
  </si>
  <si>
    <t>Rubros fuera de plan — 1_Presupuesto (A/B/C/D)</t>
  </si>
  <si>
    <t>Demolición</t>
  </si>
  <si>
    <t>53002</t>
  </si>
  <si>
    <t>Rubros fuera de plan — 2_Quincenas (E)</t>
  </si>
  <si>
    <t>53003</t>
  </si>
  <si>
    <t>53004</t>
  </si>
  <si>
    <t>53005</t>
  </si>
  <si>
    <t>Metálica MT</t>
  </si>
  <si>
    <t>53006</t>
  </si>
  <si>
    <t>Metálica MO</t>
  </si>
  <si>
    <t>53007</t>
  </si>
  <si>
    <t>53008</t>
  </si>
  <si>
    <t>53009</t>
  </si>
  <si>
    <t>53010</t>
  </si>
  <si>
    <t>53011</t>
  </si>
  <si>
    <t>Aberturas</t>
  </si>
  <si>
    <t>53012</t>
  </si>
  <si>
    <t>53013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</si>
  <si>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</si>
  <si>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</si>
  <si>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</si>
  <si>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</si>
  <si>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</si>
  <si>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</si>
  <si>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</si>
  <si>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</si>
  <si>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</si>
  <si>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53023</t>
  </si>
  <si>
    <t>Termomecánica MT</t>
  </si>
  <si>
    <t>53024</t>
  </si>
  <si>
    <t>Termomecánica MO</t>
  </si>
  <si>
    <t>53025</t>
  </si>
  <si>
    <t>53026</t>
  </si>
  <si>
    <t>Herrería MT</t>
  </si>
  <si>
    <t>53027</t>
  </si>
  <si>
    <t>Herrería MO</t>
  </si>
  <si>
    <t>53028</t>
  </si>
  <si>
    <t>Alquiler de Equipos</t>
  </si>
  <si>
    <t>53980</t>
  </si>
  <si>
    <t>Gastos a Reintegrar</t>
  </si>
  <si>
    <t>53990</t>
  </si>
  <si>
    <t>53999</t>
  </si>
  <si>
    <t>52302</t>
  </si>
  <si>
    <t>52209</t>
  </si>
  <si>
    <t>ID OC</t>
  </si>
  <si>
    <t>Descripcion</t>
  </si>
  <si>
    <t>Presupuesto aprobado</t>
  </si>
  <si>
    <t>% anticipo</t>
  </si>
  <si>
    <t>Indice base CAC</t>
  </si>
  <si>
    <t>% Blanco sugerido</t>
  </si>
  <si>
    <t>% Negro sugerido</t>
  </si>
  <si>
    <t>% desacopio sugerido</t>
  </si>
  <si>
    <t>% IVA sugerido</t>
  </si>
  <si>
    <t>Fecha anticipo</t>
  </si>
  <si>
    <t>GDR 3760</t>
  </si>
  <si>
    <t>GDR-OC01</t>
  </si>
  <si>
    <t>Pto 1 - Preliminar y Hormigón</t>
  </si>
  <si>
    <t>GDR-OC02</t>
  </si>
  <si>
    <t>Pto 2 - Albañilería e Instalaciones</t>
  </si>
  <si>
    <t>GDR-OC03</t>
  </si>
  <si>
    <t>Adicionales 01</t>
  </si>
  <si>
    <t>PTO 03</t>
  </si>
  <si>
    <t>ID Certif</t>
  </si>
  <si>
    <t>Cod. tarea</t>
  </si>
  <si>
    <t>% anterior</t>
  </si>
  <si>
    <t>% actual</t>
  </si>
  <si>
    <t>% total</t>
  </si>
  <si>
    <t>PV total tarea</t>
  </si>
  <si>
    <t>$ base tarea (cert act.)</t>
  </si>
  <si>
    <t>Control vs Ppto</t>
  </si>
  <si>
    <t>GDR-OC01-C01</t>
  </si>
  <si>
    <t>GDR-OC01-C02</t>
  </si>
  <si>
    <t>GDR-OC01-C03</t>
  </si>
  <si>
    <t>GDR-OC01-C04</t>
  </si>
  <si>
    <t>GDR-OC01-C05</t>
  </si>
  <si>
    <t>GDR-OC01-C06</t>
  </si>
  <si>
    <t>GDR-OC01-C07</t>
  </si>
  <si>
    <t>GDR-OC01-C08</t>
  </si>
  <si>
    <t>GDR-OC01-C09</t>
  </si>
  <si>
    <t>GDR-OC02-C01</t>
  </si>
  <si>
    <t>GDR-OC02-C02</t>
  </si>
  <si>
    <t>GDR-OC02-C03</t>
  </si>
  <si>
    <t>GDR-OC02-C04</t>
  </si>
  <si>
    <t>GDR-OC02-C05</t>
  </si>
  <si>
    <t>GDR-OC02-C06</t>
  </si>
  <si>
    <t>GDR-OC02-C07</t>
  </si>
  <si>
    <t>GDR-OC02-C08</t>
  </si>
  <si>
    <t>GDR-OC02-C09</t>
  </si>
  <si>
    <t>GDR-OC02-C10</t>
  </si>
  <si>
    <t>GDR-OC02-C11</t>
  </si>
  <si>
    <t>GDR-OC02-C12</t>
  </si>
  <si>
    <t>GDR-OC02-C13</t>
  </si>
  <si>
    <t>GDR-OC02-C14</t>
  </si>
  <si>
    <t>GDR-OC02-C15</t>
  </si>
  <si>
    <t>GDR-OC03-C01</t>
  </si>
  <si>
    <t>GDR-OC03-C02</t>
  </si>
  <si>
    <t>GDR-OC03-C03</t>
  </si>
  <si>
    <t>$ base bruta certif.</t>
  </si>
  <si>
    <t>% desacopio (madre)</t>
  </si>
  <si>
    <t>$ desacopio</t>
  </si>
  <si>
    <t>Subtotal neto</t>
  </si>
  <si>
    <t>Chequeo</t>
  </si>
  <si>
    <t>GDR-OC01-ANT</t>
  </si>
  <si>
    <t>GDR-OC02-ANT</t>
  </si>
  <si>
    <t>GDR-OC03-ANT</t>
  </si>
  <si>
    <t>ID Cert+Fact</t>
  </si>
  <si>
    <t>$ base certif (total)</t>
  </si>
  <si>
    <t>% facturacion</t>
  </si>
  <si>
    <t>$ base de esta parte</t>
  </si>
  <si>
    <t>% desacopio</t>
  </si>
  <si>
    <t>$ base neta</t>
  </si>
  <si>
    <t>Indice CAC a la fecha</t>
  </si>
  <si>
    <t>Ratio CAC</t>
  </si>
  <si>
    <t>$ CAC</t>
  </si>
  <si>
    <t>$ base + CAC</t>
  </si>
  <si>
    <t>% IVA</t>
  </si>
  <si>
    <t>$ IVA</t>
  </si>
  <si>
    <t>$ Total certificacion</t>
  </si>
  <si>
    <t>USD MEP a la fecha</t>
  </si>
  <si>
    <t>U$ Total</t>
  </si>
  <si>
    <t>Control B/N suma 100%</t>
  </si>
  <si>
    <t>Indice CAC override</t>
  </si>
  <si>
    <t>GDR-OC01-ANT-B</t>
  </si>
  <si>
    <t>Blanco</t>
  </si>
  <si>
    <t>GDR-OC01-ANT-N</t>
  </si>
  <si>
    <t>Negro</t>
  </si>
  <si>
    <t>GDR-OC02-ANT-B</t>
  </si>
  <si>
    <t>GDR-OC02-ANT-N</t>
  </si>
  <si>
    <t>GDR-OC03-ANT-N</t>
  </si>
  <si>
    <t>GDR-OC01-C01-B</t>
  </si>
  <si>
    <t>GDR-OC01-C01-N</t>
  </si>
  <si>
    <t>GDR-OC01-C02-B</t>
  </si>
  <si>
    <t>GDR-OC01-C02-N</t>
  </si>
  <si>
    <t>GDR-OC01-C03-B</t>
  </si>
  <si>
    <t>GDR-OC01-C03-N</t>
  </si>
  <si>
    <t>GDR-OC01-C04-B</t>
  </si>
  <si>
    <t>GDR-OC01-C04-N</t>
  </si>
  <si>
    <t>GDR-OC01-C05-B</t>
  </si>
  <si>
    <t>GDR-OC01-C05-N</t>
  </si>
  <si>
    <t>GDR-OC01-C06-B</t>
  </si>
  <si>
    <t>GDR-OC01-C06-N</t>
  </si>
  <si>
    <t>GDR-OC01-C07-B</t>
  </si>
  <si>
    <t>GDR-OC01-C07-N</t>
  </si>
  <si>
    <t>GDR-OC01-C08-B</t>
  </si>
  <si>
    <t>GDR-OC01-C08-N</t>
  </si>
  <si>
    <t>GDR-OC01-C09-B</t>
  </si>
  <si>
    <t>GDR-OC01-C09-N</t>
  </si>
  <si>
    <t>GDR-OC02-C01-B</t>
  </si>
  <si>
    <t>GDR-OC02-C01-N</t>
  </si>
  <si>
    <t>GDR-OC02-C02-B</t>
  </si>
  <si>
    <t>GDR-OC02-C02-N</t>
  </si>
  <si>
    <t>GDR-OC02-C03-B</t>
  </si>
  <si>
    <t>GDR-OC02-C03-N</t>
  </si>
  <si>
    <t>GDR-OC02-C04-B</t>
  </si>
  <si>
    <t>GDR-OC02-C04-N</t>
  </si>
  <si>
    <t>GDR-OC02-C05-B</t>
  </si>
  <si>
    <t>GDR-OC02-C05-N</t>
  </si>
  <si>
    <t>GDR-OC02-C06-B</t>
  </si>
  <si>
    <t>GDR-OC02-C06-N</t>
  </si>
  <si>
    <t>GDR-OC02-C07-B</t>
  </si>
  <si>
    <t>GDR-OC02-C07-N</t>
  </si>
  <si>
    <t>GDR-OC02-C08-B</t>
  </si>
  <si>
    <t>GDR-OC02-C08-N</t>
  </si>
  <si>
    <t>GDR-OC02-C09-B</t>
  </si>
  <si>
    <t>GDR-OC02-C09-N</t>
  </si>
  <si>
    <t>GDR-OC02-C10-B</t>
  </si>
  <si>
    <t>GDR-OC02-C10-N</t>
  </si>
  <si>
    <t>GDR-OC02-C11-B</t>
  </si>
  <si>
    <t>GDR-OC02-C11-N</t>
  </si>
  <si>
    <t>GDR-OC02-C12-B</t>
  </si>
  <si>
    <t>GDR-OC02-C12-N</t>
  </si>
  <si>
    <t>GDR-OC02-C13-B</t>
  </si>
  <si>
    <t>GDR-OC02-C13-N</t>
  </si>
  <si>
    <t>GDR-OC02-C14-B</t>
  </si>
  <si>
    <t>GDR-OC02-C14-N</t>
  </si>
  <si>
    <t>GDR-OC02-C15-B</t>
  </si>
  <si>
    <t>GDR-OC02-C15-N</t>
  </si>
  <si>
    <t>GDR-OC03-C01-N</t>
  </si>
  <si>
    <t>GDR-OC03-C02-N</t>
  </si>
  <si>
    <t>GDR-OC03-C03-N</t>
  </si>
  <si>
    <t>id_cert_fact</t>
  </si>
  <si>
    <t>Comprobante</t>
  </si>
  <si>
    <t>monto</t>
  </si>
  <si>
    <t>moneda</t>
  </si>
  <si>
    <t>Fecha cobro</t>
  </si>
  <si>
    <t>monto_ars_equiv</t>
  </si>
  <si>
    <t>Estado conciliado</t>
  </si>
  <si>
    <t>$ certificado (control)</t>
  </si>
  <si>
    <t>Saldo a facturar</t>
  </si>
  <si>
    <t>id_factura</t>
  </si>
  <si>
    <t>TC cobro</t>
  </si>
  <si>
    <t>id_cert_madre</t>
  </si>
  <si>
    <t>id_OC</t>
  </si>
  <si>
    <t>Clase</t>
  </si>
  <si>
    <t>Retención</t>
  </si>
  <si>
    <t>Haber conciliado</t>
  </si>
  <si>
    <t>$ Contrato</t>
  </si>
  <si>
    <t>% Avance fisico</t>
  </si>
  <si>
    <t>$ Certificado</t>
  </si>
  <si>
    <t>$ Facturado</t>
  </si>
  <si>
    <t>$ Cobrado</t>
  </si>
  <si>
    <t>$ Anticipo certif.</t>
  </si>
  <si>
    <t>$ Avance s/certificar</t>
  </si>
  <si>
    <t>Saldo a cobrar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</si>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</sst>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$&quot;#,##0_);[Red]\(&quot;$&quot;#,##0\)"/>
    <numFmt numFmtId="164" formatCode="dd/mm/yyyy"/>
    <numFmt numFmtId="165" formatCode="_(* #,##0.00_);_(* \(#,##0.00\);_(* \-??_);_(@_)"/>
    <numFmt numFmtId="166" formatCode="_(* #,##0_);_(* \(#,##0\);_(* \-??_);_(@_)"/>
    <numFmt numFmtId="167" formatCode="#,##0;\-#,##0;&quot;OK&quot;"/>
    <numFmt numFmtId="168" formatCode="_-* #,##0.00\ _$_-;\-* #,##0.00\ _$_-;_-* \-??\ _$_-;_-@_-"/>
    <numFmt numFmtId="169" formatCode="_ * #,##0.00_ ;_ * \-#,##0.00_ ;_ * \-??_ ;_ @_ "/>
    <numFmt numFmtId="170" formatCode="_ * #,##0.0_ ;_ * \-#,##0.0_ ;_ * \-??_ ;_ @_ "/>
    <numFmt numFmtId="171" formatCode="_-* #,##0.00\ _€_-;\-* #,##0.00\ _€_-;_-* \-??\ _€_-;_-@_-"/>
    <numFmt numFmtId="172" formatCode="_-* #,##0.00_-;\-* #,##0.00_-;_-* \-??_-;_-@_-"/>
    <numFmt numFmtId="173" formatCode="_-* #,##0_-;\-* #,##0_-;_-* \-??_-;_-@_-"/>
    <numFmt numFmtId="174" formatCode="_(* #,##0.0000_);_(* \(#,##0.0000\);_(* \-??_);_(@_)"/>
    <numFmt numFmtId="175" formatCode="\$#,##0;&quot;($&quot;#,##0\);\-"/>
    <numFmt numFmtId="176" formatCode="0.000"/>
    <numFmt numFmtId="177" formatCode="0.0%"/>
    <numFmt numFmtId="178" formatCode="&quot;$&quot;#,##0"/>
    <numFmt numFmtId="179" formatCode="\$#,##0"/>
    <numFmt numFmtId="180" formatCode="m/d/yyyy;@"/>
    <numFmt numFmtId="181" formatCode="_-* #,##0.00\ _p_t_a_-;\-* #,##0.00\ _p_t_a_-;_-* \-??\ _p_t_a_-;_-@_-"/>
    <numFmt numFmtId="182" formatCode="_-&quot;$ &quot;* #,##0.00_-;&quot;-$ &quot;* #,##0.00_-;_-&quot;$ &quot;* \-??_-;_-@_-"/>
    <numFmt numFmtId="183" formatCode="_ &quot;$ &quot;* #,##0.00_ ;_ &quot;$ &quot;* \-#,##0.00_ ;_ &quot;$ &quot;* \-??_ ;_ @_ "/>
    <numFmt numFmtId="184" formatCode="0.0000"/>
  </numFmts>
  <fonts count="49" x14ac:knownFonts="1">
    <font>
      <sz val="11"/>
      <color theme="1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1"/>
      <color rgb="FF9C0006"/>
      <name val="Aptos Narrow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MS Sans Serif"/>
      <charset val="1"/>
    </font>
    <font>
      <sz val="11"/>
      <color theme="1"/>
      <name val="Calibri"/>
      <family val="2"/>
      <charset val="1"/>
    </font>
    <font>
      <sz val="10"/>
      <color rgb="FF000000"/>
      <name val="MS Sans Serif"/>
      <charset val="1"/>
    </font>
    <font>
      <sz val="11"/>
      <color theme="1"/>
      <name val="Arial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0"/>
      <name val="Aptos Narrow"/>
      <family val="2"/>
      <charset val="1"/>
    </font>
    <font>
      <sz val="10"/>
      <name val="Aptos Narrow"/>
      <family val="2"/>
      <charset val="1"/>
    </font>
    <font>
      <i/>
      <sz val="10"/>
      <color rgb="FF606060"/>
      <name val="Aptos Narrow"/>
      <family val="2"/>
      <charset val="1"/>
    </font>
    <font>
      <b/>
      <i/>
      <sz val="10"/>
      <color rgb="FF808080"/>
      <name val="Aptos Narrow"/>
      <family val="2"/>
      <charset val="1"/>
    </font>
    <font>
      <b/>
      <sz val="10"/>
      <color rgb="FF1F3864"/>
      <name val="Aptos Narrow"/>
      <family val="2"/>
      <charset val="1"/>
    </font>
    <font>
      <b/>
      <sz val="10"/>
      <color rgb="FFFFFFFF"/>
      <name val="Aptos Narrow"/>
      <family val="2"/>
      <charset val="1"/>
    </font>
    <font>
      <sz val="10"/>
      <color rgb="FF0000FF"/>
      <name val="Aptos Narrow"/>
      <family val="2"/>
      <charset val="1"/>
    </font>
    <font>
      <i/>
      <sz val="10"/>
      <color rgb="FF0000FF"/>
      <name val="Aptos Narrow"/>
      <family val="2"/>
      <charset val="1"/>
    </font>
    <font>
      <b/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sz val="8"/>
      <name val="Aptos Narrow"/>
      <family val="2"/>
      <charset val="1"/>
    </font>
    <font>
      <b/>
      <sz val="8"/>
      <name val="Aptos Narrow"/>
      <family val="2"/>
      <charset val="1"/>
    </font>
    <font>
      <b/>
      <sz val="8"/>
      <color theme="1"/>
      <name val="Aptos Narrow"/>
      <family val="2"/>
      <charset val="1"/>
    </font>
    <font>
      <sz val="8"/>
      <color rgb="FFFF0000"/>
      <name val="Aptos Narrow"/>
      <family val="2"/>
      <charset val="1"/>
    </font>
    <font>
      <sz val="8"/>
      <color rgb="FF006100"/>
      <name val="Aptos Narrow"/>
      <family val="2"/>
      <charset val="1"/>
    </font>
    <font>
      <b/>
      <sz val="8"/>
      <color rgb="FFFF0000"/>
      <name val="Aptos Narrow"/>
      <family val="2"/>
      <charset val="1"/>
    </font>
    <font>
      <sz val="8"/>
      <color theme="9"/>
      <name val="Aptos Narrow"/>
      <family val="2"/>
      <charset val="1"/>
    </font>
    <font>
      <b/>
      <sz val="10"/>
      <color theme="0"/>
      <name val="Aptos Narrow"/>
      <family val="2"/>
      <charset val="1"/>
    </font>
    <font>
      <b/>
      <sz val="10"/>
      <color rgb="FF000000"/>
      <name val="Aptos Narrow"/>
      <family val="2"/>
      <charset val="1"/>
    </font>
    <font>
      <b/>
      <sz val="11"/>
      <color rgb="FFFFFFFF"/>
      <name val="Arial"/>
      <family val="2"/>
      <charset val="1"/>
    </font>
    <font>
      <sz val="11"/>
      <color theme="1"/>
      <name val="Aptos Narrow"/>
      <family val="2"/>
      <charset val="1"/>
    </font>
    <font>
      <b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0000"/>
      <name val="Aptos Narrow"/>
      <family val="2"/>
      <scheme val="minor"/>
    </font>
    <font>
      <sz val="9"/>
      <color rgb="FF008000"/>
      <name val="Aptos Narrow"/>
      <family val="2"/>
      <scheme val="minor"/>
    </font>
    <font>
      <sz val="9"/>
      <color rgb="FF0000FF"/>
      <name val="Aptos Narrow"/>
      <family val="2"/>
      <scheme val="minor"/>
    </font>
    <font>
      <b/>
      <sz val="10"/>
      <color rgb="FF0000FF"/>
      <name val="Aptos Narrow"/>
      <family val="2"/>
      <charset val="1"/>
    </font>
    <font>
      <sz val="10"/>
      <color rgb="FF00B050"/>
      <name val="Aptos Narrow"/>
      <family val="2"/>
      <charset val="1"/>
    </font>
    <font>
      <b/>
      <sz val="10"/>
      <color rgb="FFFF0000"/>
      <name val="Aptos Narrow"/>
      <family val="2"/>
      <charset val="1"/>
    </font>
    <font>
      <sz val="10"/>
      <color rgb="FFFF0000"/>
      <name val="Aptos Narrow"/>
      <family val="2"/>
      <charset val="1"/>
    </font>
    <font>
      <b/>
      <sz val="11"/>
      <name val="Aptos Narrow"/>
    </font>
    <font>
      <b/>
      <sz val="11"/>
      <color rgb="FFFFFFFF"/>
      <name val="Aptos Narrow"/>
    </font>
    <font>
      <b/>
      <sz val="11"/>
      <color rgb="FF1F3864"/>
      <name val="Aptos Narrow"/>
    </font>
    <font>
      <b/>
      <sz val="11"/>
      <color rgb="FFFFFFFF"/>
      <name val="Aptos Narrow"/>
    </font>
    <font>
      <sz val="11"/>
      <color rgb="FF000000"/>
      <name val="Aptos Narrow"/>
    </font>
    <font>
      <sz val="11"/>
      <color rgb="FF0000FF"/>
      <name val="Aptos Narrow"/>
    </font>
    <font>
      <sz val="11"/>
      <color rgb="FF008000"/>
      <name val="Aptos Narrow"/>
    </font>
  </fonts>
  <fills count="21">
    <fill>
      <patternFill patternType="none"/>
    </fill>
    <fill>
      <patternFill patternType="gray125"/>
    </fill>
    <fill>
      <patternFill patternType="solid">
        <fgColor rgb="FFC6EFCE"/>
        <bgColor rgb="FFC2F1C8"/>
      </patternFill>
    </fill>
    <fill>
      <patternFill patternType="solid">
        <fgColor rgb="FFFFC7CE"/>
        <bgColor rgb="FFF4CCCC"/>
      </patternFill>
    </fill>
    <fill>
      <patternFill patternType="solid">
        <fgColor rgb="FFFFF2CC"/>
        <bgColor rgb="FFFFF7CD"/>
      </patternFill>
    </fill>
    <fill>
      <patternFill patternType="solid">
        <fgColor rgb="FFD6E4F0"/>
        <bgColor rgb="FFD9E1F2"/>
      </patternFill>
    </fill>
    <fill>
      <patternFill patternType="solid">
        <fgColor rgb="FF1B2A4A"/>
        <bgColor rgb="FF262626"/>
      </patternFill>
    </fill>
    <fill>
      <patternFill patternType="solid">
        <fgColor theme="4"/>
        <bgColor rgb="FF1F4E78"/>
      </patternFill>
    </fill>
    <fill>
      <patternFill patternType="solid">
        <fgColor theme="6" tint="0.59959715567491678"/>
        <bgColor rgb="FFA6CAEC"/>
      </patternFill>
    </fill>
    <fill>
      <patternFill patternType="solid">
        <fgColor rgb="FFFFFFCC"/>
        <bgColor rgb="FFFFF7CD"/>
      </patternFill>
    </fill>
    <fill>
      <patternFill patternType="solid">
        <fgColor rgb="FFCCFFCC"/>
        <bgColor rgb="FFC2F1C8"/>
      </patternFill>
    </fill>
    <fill>
      <patternFill patternType="solid">
        <fgColor rgb="FFFFFF00"/>
        <bgColor rgb="FFFFC000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rgb="FF1F4E78"/>
        <bgColor rgb="FF156082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0" tint="-4.9989318521683403E-2"/>
        <bgColor rgb="FFD9E1F2"/>
      </patternFill>
    </fill>
    <fill>
      <patternFill patternType="solid">
        <fgColor theme="0" tint="-4.9989318521683403E-2"/>
        <bgColor rgb="FFBFBFBF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6E4F0"/>
      </patternFill>
    </fill>
    <fill>
      <patternFill patternType="solid">
        <fgColor rgb="FF1F4E78"/>
      </patternFill>
    </fill>
  </fills>
  <borders count="1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</borders>
  <cellStyleXfs count="124">
    <xf numFmtId="0" fontId="0" fillId="0" borderId="0"/>
    <xf numFmtId="0" fontId="1" fillId="2" borderId="0"/>
    <xf numFmtId="165" fontId="32" fillId="0" borderId="0"/>
    <xf numFmtId="0" fontId="2" fillId="3" borderId="0"/>
    <xf numFmtId="172" fontId="32" fillId="0" borderId="0"/>
    <xf numFmtId="172" fontId="32" fillId="0" borderId="0"/>
    <xf numFmtId="165" fontId="32" fillId="0" borderId="0"/>
    <xf numFmtId="165" fontId="32" fillId="0" borderId="0"/>
    <xf numFmtId="171" fontId="32" fillId="0" borderId="0"/>
    <xf numFmtId="171" fontId="32" fillId="0" borderId="0"/>
    <xf numFmtId="172" fontId="32" fillId="0" borderId="0"/>
    <xf numFmtId="172" fontId="3" fillId="0" borderId="0"/>
    <xf numFmtId="165" fontId="3" fillId="0" borderId="0"/>
    <xf numFmtId="172" fontId="3" fillId="0" borderId="0"/>
    <xf numFmtId="172" fontId="32" fillId="0" borderId="0"/>
    <xf numFmtId="169" fontId="32" fillId="0" borderId="0"/>
    <xf numFmtId="169" fontId="32" fillId="0" borderId="0"/>
    <xf numFmtId="169" fontId="32" fillId="0" borderId="0"/>
    <xf numFmtId="172" fontId="32" fillId="0" borderId="0"/>
    <xf numFmtId="165" fontId="3" fillId="0" borderId="0"/>
    <xf numFmtId="172" fontId="32" fillId="0" borderId="0"/>
    <xf numFmtId="172" fontId="3" fillId="0" borderId="0"/>
    <xf numFmtId="172" fontId="3" fillId="0" borderId="0"/>
    <xf numFmtId="171" fontId="32" fillId="0" borderId="0"/>
    <xf numFmtId="169" fontId="3" fillId="0" borderId="0"/>
    <xf numFmtId="169" fontId="3" fillId="0" borderId="0"/>
    <xf numFmtId="169" fontId="32" fillId="0" borderId="0"/>
    <xf numFmtId="172" fontId="3" fillId="0" borderId="0"/>
    <xf numFmtId="169" fontId="3" fillId="0" borderId="0"/>
    <xf numFmtId="172" fontId="3" fillId="0" borderId="0"/>
    <xf numFmtId="165" fontId="3" fillId="0" borderId="0"/>
    <xf numFmtId="171" fontId="4" fillId="0" borderId="0"/>
    <xf numFmtId="172" fontId="32" fillId="0" borderId="0"/>
    <xf numFmtId="169" fontId="32" fillId="0" borderId="0"/>
    <xf numFmtId="169" fontId="32" fillId="0" borderId="0"/>
    <xf numFmtId="172" fontId="5" fillId="0" borderId="0"/>
    <xf numFmtId="168" fontId="32" fillId="0" borderId="0"/>
    <xf numFmtId="168" fontId="32" fillId="0" borderId="0"/>
    <xf numFmtId="168" fontId="32" fillId="0" borderId="0"/>
    <xf numFmtId="171" fontId="32" fillId="0" borderId="0"/>
    <xf numFmtId="171" fontId="32" fillId="0" borderId="0"/>
    <xf numFmtId="171" fontId="32" fillId="0" borderId="0"/>
    <xf numFmtId="171" fontId="32" fillId="0" borderId="0"/>
    <xf numFmtId="171" fontId="32" fillId="0" borderId="0"/>
    <xf numFmtId="171" fontId="32" fillId="0" borderId="0"/>
    <xf numFmtId="172" fontId="32" fillId="0" borderId="0"/>
    <xf numFmtId="168" fontId="32" fillId="0" borderId="0"/>
    <xf numFmtId="181" fontId="3" fillId="0" borderId="0"/>
    <xf numFmtId="168" fontId="32" fillId="0" borderId="0"/>
    <xf numFmtId="172" fontId="32" fillId="0" borderId="0"/>
    <xf numFmtId="168" fontId="32" fillId="0" borderId="0"/>
    <xf numFmtId="172" fontId="32" fillId="0" borderId="0"/>
    <xf numFmtId="172" fontId="32" fillId="0" borderId="0"/>
    <xf numFmtId="172" fontId="32" fillId="0" borderId="0"/>
    <xf numFmtId="165" fontId="32" fillId="0" borderId="0"/>
    <xf numFmtId="172" fontId="32" fillId="0" borderId="0"/>
    <xf numFmtId="168" fontId="32" fillId="0" borderId="0"/>
    <xf numFmtId="172" fontId="6" fillId="0" borderId="0"/>
    <xf numFmtId="172" fontId="6" fillId="0" borderId="0"/>
    <xf numFmtId="172" fontId="32" fillId="0" borderId="0"/>
    <xf numFmtId="172" fontId="32" fillId="0" borderId="0"/>
    <xf numFmtId="172" fontId="3" fillId="0" borderId="0"/>
    <xf numFmtId="165" fontId="3" fillId="0" borderId="0"/>
    <xf numFmtId="172" fontId="32" fillId="0" borderId="0"/>
    <xf numFmtId="172" fontId="32" fillId="0" borderId="0"/>
    <xf numFmtId="172" fontId="32" fillId="0" borderId="0"/>
    <xf numFmtId="182" fontId="32" fillId="0" borderId="0"/>
    <xf numFmtId="183" fontId="3" fillId="0" borderId="0"/>
    <xf numFmtId="183" fontId="32" fillId="0" borderId="0"/>
    <xf numFmtId="182" fontId="32" fillId="0" borderId="0"/>
    <xf numFmtId="182" fontId="32" fillId="0" borderId="0"/>
    <xf numFmtId="182" fontId="32" fillId="0" borderId="0"/>
    <xf numFmtId="182" fontId="32" fillId="0" borderId="0"/>
    <xf numFmtId="183" fontId="3" fillId="0" borderId="0"/>
    <xf numFmtId="183" fontId="3" fillId="0" borderId="0"/>
    <xf numFmtId="182" fontId="32" fillId="0" borderId="0"/>
    <xf numFmtId="0" fontId="3" fillId="0" borderId="1"/>
    <xf numFmtId="0" fontId="3" fillId="0" borderId="1"/>
    <xf numFmtId="0" fontId="3" fillId="0" borderId="0"/>
    <xf numFmtId="0" fontId="7" fillId="0" borderId="0"/>
    <xf numFmtId="0" fontId="3" fillId="0" borderId="0"/>
    <xf numFmtId="0" fontId="32" fillId="0" borderId="0"/>
    <xf numFmtId="0" fontId="3" fillId="0" borderId="0"/>
    <xf numFmtId="0" fontId="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" fillId="0" borderId="1"/>
    <xf numFmtId="0" fontId="3" fillId="0" borderId="1"/>
    <xf numFmtId="0" fontId="32" fillId="0" borderId="0"/>
    <xf numFmtId="0" fontId="6" fillId="0" borderId="0"/>
    <xf numFmtId="0" fontId="32" fillId="0" borderId="0"/>
    <xf numFmtId="0" fontId="32" fillId="0" borderId="0"/>
    <xf numFmtId="0" fontId="3" fillId="0" borderId="1"/>
    <xf numFmtId="0" fontId="3" fillId="0" borderId="0"/>
    <xf numFmtId="0" fontId="32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1"/>
    <xf numFmtId="0" fontId="32" fillId="0" borderId="0">
      <alignment horizontal="left"/>
    </xf>
    <xf numFmtId="0" fontId="32" fillId="0" borderId="0"/>
    <xf numFmtId="0" fontId="32" fillId="0" borderId="0"/>
    <xf numFmtId="0" fontId="10" fillId="0" borderId="0"/>
    <xf numFmtId="0" fontId="10" fillId="0" borderId="0">
      <alignment horizontal="left"/>
    </xf>
    <xf numFmtId="0" fontId="32" fillId="0" borderId="0"/>
    <xf numFmtId="9" fontId="3" fillId="0" borderId="0"/>
    <xf numFmtId="9" fontId="3" fillId="0" borderId="0"/>
    <xf numFmtId="9" fontId="5" fillId="0" borderId="0"/>
    <xf numFmtId="9" fontId="3" fillId="0" borderId="0"/>
    <xf numFmtId="9" fontId="32" fillId="0" borderId="0"/>
    <xf numFmtId="9" fontId="32" fillId="0" borderId="0"/>
    <xf numFmtId="9" fontId="32" fillId="0" borderId="0"/>
    <xf numFmtId="9" fontId="3" fillId="0" borderId="0"/>
  </cellStyleXfs>
  <cellXfs count="232">
    <xf numFmtId="0" fontId="0" fillId="0" borderId="0" xfId="0"/>
    <xf numFmtId="0" fontId="11" fillId="0" borderId="0" xfId="0" applyFont="1"/>
    <xf numFmtId="0" fontId="12" fillId="0" borderId="0" xfId="0" applyFont="1"/>
    <xf numFmtId="0" fontId="13" fillId="0" borderId="0" xfId="0" applyFont="1"/>
    <xf numFmtId="164" fontId="13" fillId="4" borderId="0" xfId="0" applyNumberFormat="1" applyFont="1" applyFill="1"/>
    <xf numFmtId="0" fontId="14" fillId="0" borderId="0" xfId="0" applyFont="1"/>
    <xf numFmtId="1" fontId="13" fillId="4" borderId="0" xfId="0" applyNumberFormat="1" applyFont="1" applyFill="1"/>
    <xf numFmtId="0" fontId="15" fillId="0" borderId="0" xfId="0" applyFont="1"/>
    <xf numFmtId="14" fontId="13" fillId="0" borderId="0" xfId="0" applyNumberFormat="1" applyFont="1"/>
    <xf numFmtId="4" fontId="13" fillId="0" borderId="0" xfId="0" applyNumberFormat="1" applyFont="1"/>
    <xf numFmtId="165" fontId="13" fillId="0" borderId="0" xfId="0" applyNumberFormat="1" applyFont="1"/>
    <xf numFmtId="166" fontId="13" fillId="0" borderId="0" xfId="0" applyNumberFormat="1" applyFont="1"/>
    <xf numFmtId="3" fontId="13" fillId="0" borderId="0" xfId="0" applyNumberFormat="1" applyFont="1"/>
    <xf numFmtId="3" fontId="13" fillId="4" borderId="0" xfId="0" applyNumberFormat="1" applyFont="1" applyFill="1"/>
    <xf numFmtId="167" fontId="12" fillId="0" borderId="0" xfId="0" applyNumberFormat="1" applyFont="1"/>
    <xf numFmtId="0" fontId="16" fillId="5" borderId="0" xfId="0" applyFont="1" applyFill="1" applyAlignment="1">
      <alignment vertical="center"/>
    </xf>
    <xf numFmtId="0" fontId="11" fillId="0" borderId="0" xfId="0" applyFont="1" applyAlignment="1">
      <alignment horizontal="center"/>
    </xf>
    <xf numFmtId="9" fontId="11" fillId="0" borderId="0" xfId="0" applyNumberFormat="1" applyFont="1" applyAlignment="1">
      <alignment horizontal="center" vertical="center" wrapText="1"/>
    </xf>
    <xf numFmtId="0" fontId="21" fillId="0" borderId="0" xfId="0" applyFont="1"/>
    <xf numFmtId="3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168" fontId="22" fillId="0" borderId="0" xfId="0" applyNumberFormat="1" applyFont="1" applyAlignment="1">
      <alignment horizontal="right" vertical="center" wrapText="1"/>
    </xf>
    <xf numFmtId="166" fontId="22" fillId="0" borderId="0" xfId="0" applyNumberFormat="1" applyFont="1" applyAlignment="1">
      <alignment horizontal="center" vertical="center" wrapText="1"/>
    </xf>
    <xf numFmtId="169" fontId="22" fillId="0" borderId="0" xfId="0" applyNumberFormat="1" applyFont="1" applyAlignment="1">
      <alignment horizontal="center" vertical="center" wrapText="1"/>
    </xf>
    <xf numFmtId="14" fontId="23" fillId="0" borderId="0" xfId="0" applyNumberFormat="1" applyFont="1" applyAlignment="1">
      <alignment horizontal="center" wrapText="1"/>
    </xf>
    <xf numFmtId="170" fontId="22" fillId="0" borderId="0" xfId="0" applyNumberFormat="1" applyFont="1" applyAlignment="1">
      <alignment horizontal="center" vertical="center" wrapText="1"/>
    </xf>
    <xf numFmtId="170" fontId="23" fillId="0" borderId="0" xfId="0" applyNumberFormat="1" applyFont="1" applyAlignment="1">
      <alignment wrapText="1"/>
    </xf>
    <xf numFmtId="169" fontId="23" fillId="0" borderId="0" xfId="0" applyNumberFormat="1" applyFont="1" applyAlignment="1">
      <alignment horizontal="center" vertical="center" wrapText="1"/>
    </xf>
    <xf numFmtId="169" fontId="22" fillId="0" borderId="0" xfId="0" applyNumberFormat="1" applyFont="1" applyAlignment="1">
      <alignment vertical="center" wrapText="1"/>
    </xf>
    <xf numFmtId="14" fontId="23" fillId="0" borderId="0" xfId="0" applyNumberFormat="1" applyFont="1" applyAlignment="1">
      <alignment vertical="center" wrapText="1"/>
    </xf>
    <xf numFmtId="14" fontId="22" fillId="0" borderId="0" xfId="0" applyNumberFormat="1" applyFont="1" applyAlignment="1">
      <alignment vertical="center" wrapText="1"/>
    </xf>
    <xf numFmtId="171" fontId="22" fillId="0" borderId="3" xfId="0" applyNumberFormat="1" applyFont="1" applyBorder="1" applyAlignment="1">
      <alignment vertical="center" wrapText="1"/>
    </xf>
    <xf numFmtId="0" fontId="23" fillId="0" borderId="0" xfId="0" applyFont="1" applyAlignment="1">
      <alignment horizontal="left" vertical="center"/>
    </xf>
    <xf numFmtId="166" fontId="23" fillId="0" borderId="4" xfId="0" applyNumberFormat="1" applyFont="1" applyBorder="1" applyAlignment="1">
      <alignment horizontal="center" vertical="center" wrapText="1"/>
    </xf>
    <xf numFmtId="170" fontId="23" fillId="0" borderId="4" xfId="0" applyNumberFormat="1" applyFont="1" applyBorder="1" applyAlignment="1">
      <alignment horizontal="center" vertical="center" wrapText="1"/>
    </xf>
    <xf numFmtId="170" fontId="23" fillId="0" borderId="4" xfId="0" applyNumberFormat="1" applyFont="1" applyBorder="1" applyAlignment="1">
      <alignment horizontal="center" wrapText="1"/>
    </xf>
    <xf numFmtId="169" fontId="23" fillId="0" borderId="0" xfId="0" applyNumberFormat="1" applyFont="1" applyAlignment="1">
      <alignment vertical="center" wrapText="1"/>
    </xf>
    <xf numFmtId="170" fontId="23" fillId="0" borderId="0" xfId="0" applyNumberFormat="1" applyFont="1" applyAlignment="1">
      <alignment horizontal="center" wrapText="1"/>
    </xf>
    <xf numFmtId="170" fontId="23" fillId="0" borderId="0" xfId="0" applyNumberFormat="1" applyFont="1" applyAlignment="1">
      <alignment vertical="center" wrapText="1"/>
    </xf>
    <xf numFmtId="170" fontId="22" fillId="0" borderId="0" xfId="0" applyNumberFormat="1" applyFont="1" applyAlignment="1">
      <alignment vertical="center" wrapText="1"/>
    </xf>
    <xf numFmtId="0" fontId="23" fillId="8" borderId="4" xfId="0" applyFont="1" applyFill="1" applyBorder="1" applyAlignment="1">
      <alignment horizontal="center" vertical="center" wrapText="1"/>
    </xf>
    <xf numFmtId="166" fontId="23" fillId="9" borderId="4" xfId="0" applyNumberFormat="1" applyFont="1" applyFill="1" applyBorder="1" applyAlignment="1">
      <alignment horizontal="center" wrapText="1"/>
    </xf>
    <xf numFmtId="165" fontId="23" fillId="10" borderId="4" xfId="0" applyNumberFormat="1" applyFont="1" applyFill="1" applyBorder="1" applyAlignment="1">
      <alignment horizontal="center" wrapText="1"/>
    </xf>
    <xf numFmtId="169" fontId="23" fillId="0" borderId="0" xfId="0" applyNumberFormat="1" applyFont="1" applyAlignment="1">
      <alignment horizontal="center" wrapText="1"/>
    </xf>
    <xf numFmtId="165" fontId="21" fillId="0" borderId="5" xfId="0" applyNumberFormat="1" applyFont="1" applyBorder="1" applyAlignment="1">
      <alignment horizontal="left" vertical="center"/>
    </xf>
    <xf numFmtId="165" fontId="21" fillId="0" borderId="5" xfId="0" applyNumberFormat="1" applyFont="1" applyBorder="1"/>
    <xf numFmtId="170" fontId="23" fillId="0" borderId="0" xfId="0" applyNumberFormat="1" applyFont="1" applyAlignment="1">
      <alignment horizontal="center" vertical="center" wrapText="1"/>
    </xf>
    <xf numFmtId="169" fontId="23" fillId="0" borderId="0" xfId="0" applyNumberFormat="1" applyFont="1" applyAlignment="1">
      <alignment wrapText="1"/>
    </xf>
    <xf numFmtId="171" fontId="22" fillId="0" borderId="0" xfId="0" applyNumberFormat="1" applyFont="1" applyAlignment="1">
      <alignment horizontal="left" vertical="center"/>
    </xf>
    <xf numFmtId="165" fontId="21" fillId="0" borderId="0" xfId="0" applyNumberFormat="1" applyFont="1"/>
    <xf numFmtId="0" fontId="22" fillId="0" borderId="0" xfId="0" applyFont="1" applyAlignment="1">
      <alignment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165" fontId="21" fillId="0" borderId="3" xfId="0" applyNumberFormat="1" applyFont="1" applyBorder="1" applyAlignment="1">
      <alignment horizontal="left" vertical="center"/>
    </xf>
    <xf numFmtId="165" fontId="21" fillId="0" borderId="3" xfId="0" applyNumberFormat="1" applyFont="1" applyBorder="1"/>
    <xf numFmtId="171" fontId="22" fillId="0" borderId="0" xfId="0" applyNumberFormat="1" applyFont="1"/>
    <xf numFmtId="165" fontId="21" fillId="0" borderId="0" xfId="0" applyNumberFormat="1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4" fillId="0" borderId="4" xfId="0" applyFont="1" applyBorder="1" applyAlignment="1">
      <alignment horizontal="center"/>
    </xf>
    <xf numFmtId="171" fontId="23" fillId="0" borderId="4" xfId="0" applyNumberFormat="1" applyFont="1" applyBorder="1" applyAlignment="1">
      <alignment horizontal="center"/>
    </xf>
    <xf numFmtId="166" fontId="23" fillId="0" borderId="4" xfId="0" applyNumberFormat="1" applyFont="1" applyBorder="1" applyAlignment="1">
      <alignment horizontal="center"/>
    </xf>
    <xf numFmtId="165" fontId="24" fillId="0" borderId="0" xfId="0" applyNumberFormat="1" applyFont="1"/>
    <xf numFmtId="165" fontId="22" fillId="0" borderId="0" xfId="0" applyNumberFormat="1" applyFont="1"/>
    <xf numFmtId="165" fontId="22" fillId="0" borderId="3" xfId="0" applyNumberFormat="1" applyFont="1" applyBorder="1" applyAlignment="1">
      <alignment horizontal="left" vertical="center"/>
    </xf>
    <xf numFmtId="171" fontId="22" fillId="0" borderId="0" xfId="0" applyNumberFormat="1" applyFont="1" applyAlignment="1">
      <alignment horizontal="center" vertical="center"/>
    </xf>
    <xf numFmtId="0" fontId="21" fillId="0" borderId="8" xfId="0" applyFont="1" applyBorder="1" applyAlignment="1">
      <alignment horizontal="left"/>
    </xf>
    <xf numFmtId="0" fontId="21" fillId="0" borderId="8" xfId="0" applyFont="1" applyBorder="1"/>
    <xf numFmtId="39" fontId="22" fillId="0" borderId="8" xfId="0" applyNumberFormat="1" applyFont="1" applyBorder="1"/>
    <xf numFmtId="166" fontId="22" fillId="0" borderId="3" xfId="0" applyNumberFormat="1" applyFont="1" applyBorder="1"/>
    <xf numFmtId="166" fontId="22" fillId="0" borderId="8" xfId="0" applyNumberFormat="1" applyFont="1" applyBorder="1"/>
    <xf numFmtId="165" fontId="25" fillId="0" borderId="0" xfId="0" applyNumberFormat="1" applyFont="1"/>
    <xf numFmtId="0" fontId="21" fillId="0" borderId="3" xfId="0" applyFont="1" applyBorder="1" applyAlignment="1">
      <alignment horizontal="left"/>
    </xf>
    <xf numFmtId="0" fontId="21" fillId="0" borderId="3" xfId="0" applyFont="1" applyBorder="1"/>
    <xf numFmtId="39" fontId="22" fillId="0" borderId="3" xfId="0" applyNumberFormat="1" applyFont="1" applyBorder="1"/>
    <xf numFmtId="0" fontId="24" fillId="0" borderId="9" xfId="0" applyFont="1" applyBorder="1" applyAlignment="1">
      <alignment horizontal="left"/>
    </xf>
    <xf numFmtId="0" fontId="21" fillId="0" borderId="10" xfId="0" applyFont="1" applyBorder="1"/>
    <xf numFmtId="171" fontId="21" fillId="0" borderId="10" xfId="0" applyNumberFormat="1" applyFont="1" applyBorder="1"/>
    <xf numFmtId="166" fontId="21" fillId="0" borderId="10" xfId="0" applyNumberFormat="1" applyFont="1" applyBorder="1"/>
    <xf numFmtId="166" fontId="21" fillId="0" borderId="11" xfId="0" applyNumberFormat="1" applyFont="1" applyBorder="1"/>
    <xf numFmtId="165" fontId="23" fillId="0" borderId="0" xfId="0" applyNumberFormat="1" applyFont="1"/>
    <xf numFmtId="0" fontId="21" fillId="0" borderId="5" xfId="0" applyFont="1" applyBorder="1" applyAlignment="1">
      <alignment horizontal="left"/>
    </xf>
    <xf numFmtId="0" fontId="21" fillId="0" borderId="5" xfId="0" applyFont="1" applyBorder="1"/>
    <xf numFmtId="39" fontId="22" fillId="0" borderId="5" xfId="0" applyNumberFormat="1" applyFont="1" applyBorder="1"/>
    <xf numFmtId="166" fontId="22" fillId="0" borderId="5" xfId="0" applyNumberFormat="1" applyFont="1" applyBorder="1"/>
    <xf numFmtId="39" fontId="23" fillId="11" borderId="3" xfId="0" applyNumberFormat="1" applyFont="1" applyFill="1" applyBorder="1"/>
    <xf numFmtId="166" fontId="23" fillId="11" borderId="3" xfId="0" applyNumberFormat="1" applyFont="1" applyFill="1" applyBorder="1"/>
    <xf numFmtId="165" fontId="22" fillId="0" borderId="3" xfId="0" applyNumberFormat="1" applyFont="1" applyBorder="1"/>
    <xf numFmtId="165" fontId="21" fillId="0" borderId="12" xfId="0" applyNumberFormat="1" applyFont="1" applyBorder="1" applyAlignment="1">
      <alignment horizontal="left" vertical="center"/>
    </xf>
    <xf numFmtId="165" fontId="22" fillId="0" borderId="12" xfId="0" applyNumberFormat="1" applyFont="1" applyBorder="1"/>
    <xf numFmtId="165" fontId="24" fillId="0" borderId="4" xfId="0" applyNumberFormat="1" applyFont="1" applyBorder="1"/>
    <xf numFmtId="39" fontId="22" fillId="0" borderId="10" xfId="0" applyNumberFormat="1" applyFont="1" applyBorder="1"/>
    <xf numFmtId="166" fontId="22" fillId="0" borderId="10" xfId="0" applyNumberFormat="1" applyFont="1" applyBorder="1"/>
    <xf numFmtId="166" fontId="22" fillId="0" borderId="11" xfId="0" applyNumberFormat="1" applyFont="1" applyBorder="1"/>
    <xf numFmtId="171" fontId="22" fillId="0" borderId="3" xfId="0" applyNumberFormat="1" applyFont="1" applyBorder="1"/>
    <xf numFmtId="39" fontId="22" fillId="11" borderId="3" xfId="0" applyNumberFormat="1" applyFont="1" applyFill="1" applyBorder="1"/>
    <xf numFmtId="171" fontId="23" fillId="0" borderId="0" xfId="0" applyNumberFormat="1" applyFont="1"/>
    <xf numFmtId="0" fontId="21" fillId="0" borderId="12" xfId="0" applyFont="1" applyBorder="1" applyAlignment="1">
      <alignment horizontal="left"/>
    </xf>
    <xf numFmtId="0" fontId="21" fillId="0" borderId="12" xfId="0" applyFont="1" applyBorder="1"/>
    <xf numFmtId="39" fontId="22" fillId="0" borderId="12" xfId="0" applyNumberFormat="1" applyFont="1" applyBorder="1"/>
    <xf numFmtId="166" fontId="22" fillId="0" borderId="12" xfId="0" applyNumberFormat="1" applyFont="1" applyBorder="1"/>
    <xf numFmtId="0" fontId="21" fillId="0" borderId="8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11" borderId="3" xfId="0" applyFont="1" applyFill="1" applyBorder="1" applyAlignment="1">
      <alignment horizontal="left"/>
    </xf>
    <xf numFmtId="166" fontId="25" fillId="11" borderId="3" xfId="0" applyNumberFormat="1" applyFont="1" applyFill="1" applyBorder="1"/>
    <xf numFmtId="0" fontId="21" fillId="0" borderId="0" xfId="0" applyFont="1" applyAlignment="1">
      <alignment horizontal="left"/>
    </xf>
    <xf numFmtId="39" fontId="22" fillId="0" borderId="0" xfId="0" applyNumberFormat="1" applyFont="1"/>
    <xf numFmtId="166" fontId="22" fillId="0" borderId="0" xfId="0" applyNumberFormat="1" applyFont="1"/>
    <xf numFmtId="172" fontId="24" fillId="0" borderId="0" xfId="0" applyNumberFormat="1" applyFont="1"/>
    <xf numFmtId="0" fontId="21" fillId="0" borderId="0" xfId="0" applyFont="1" applyAlignment="1">
      <alignment horizontal="center" vertical="center"/>
    </xf>
    <xf numFmtId="171" fontId="21" fillId="0" borderId="0" xfId="0" applyNumberFormat="1" applyFont="1"/>
    <xf numFmtId="39" fontId="21" fillId="0" borderId="0" xfId="0" applyNumberFormat="1" applyFont="1"/>
    <xf numFmtId="166" fontId="21" fillId="0" borderId="0" xfId="0" applyNumberFormat="1" applyFont="1"/>
    <xf numFmtId="165" fontId="26" fillId="0" borderId="0" xfId="0" applyNumberFormat="1" applyFont="1"/>
    <xf numFmtId="10" fontId="24" fillId="0" borderId="0" xfId="0" applyNumberFormat="1" applyFont="1"/>
    <xf numFmtId="10" fontId="21" fillId="0" borderId="0" xfId="0" applyNumberFormat="1" applyFont="1"/>
    <xf numFmtId="0" fontId="27" fillId="0" borderId="9" xfId="0" applyFont="1" applyBorder="1" applyAlignment="1">
      <alignment horizontal="right"/>
    </xf>
    <xf numFmtId="0" fontId="21" fillId="0" borderId="10" xfId="0" applyFont="1" applyBorder="1" applyAlignment="1">
      <alignment horizontal="left"/>
    </xf>
    <xf numFmtId="165" fontId="24" fillId="0" borderId="10" xfId="0" applyNumberFormat="1" applyFont="1" applyBorder="1"/>
    <xf numFmtId="165" fontId="26" fillId="0" borderId="11" xfId="0" applyNumberFormat="1" applyFont="1" applyBorder="1"/>
    <xf numFmtId="0" fontId="27" fillId="0" borderId="0" xfId="0" applyFont="1" applyAlignment="1">
      <alignment horizontal="right"/>
    </xf>
    <xf numFmtId="9" fontId="24" fillId="0" borderId="0" xfId="0" applyNumberFormat="1" applyFont="1"/>
    <xf numFmtId="9" fontId="21" fillId="0" borderId="0" xfId="0" applyNumberFormat="1" applyFont="1"/>
    <xf numFmtId="165" fontId="21" fillId="11" borderId="0" xfId="0" applyNumberFormat="1" applyFont="1" applyFill="1"/>
    <xf numFmtId="0" fontId="21" fillId="0" borderId="0" xfId="0" applyFont="1" applyAlignment="1">
      <alignment horizontal="right"/>
    </xf>
    <xf numFmtId="165" fontId="21" fillId="0" borderId="10" xfId="0" applyNumberFormat="1" applyFont="1" applyBorder="1"/>
    <xf numFmtId="165" fontId="21" fillId="0" borderId="11" xfId="0" applyNumberFormat="1" applyFont="1" applyBorder="1"/>
    <xf numFmtId="165" fontId="28" fillId="0" borderId="0" xfId="0" applyNumberFormat="1" applyFont="1"/>
    <xf numFmtId="173" fontId="21" fillId="0" borderId="0" xfId="0" applyNumberFormat="1" applyFont="1" applyAlignment="1">
      <alignment horizontal="right"/>
    </xf>
    <xf numFmtId="174" fontId="22" fillId="0" borderId="0" xfId="0" applyNumberFormat="1" applyFont="1"/>
    <xf numFmtId="0" fontId="24" fillId="0" borderId="0" xfId="0" applyFont="1"/>
    <xf numFmtId="171" fontId="22" fillId="0" borderId="0" xfId="0" applyNumberFormat="1" applyFont="1" applyAlignment="1">
      <alignment horizontal="right"/>
    </xf>
    <xf numFmtId="173" fontId="22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71" fontId="22" fillId="0" borderId="0" xfId="0" applyNumberFormat="1" applyFont="1" applyAlignment="1">
      <alignment horizontal="left"/>
    </xf>
    <xf numFmtId="49" fontId="11" fillId="0" borderId="0" xfId="0" applyNumberFormat="1" applyFont="1"/>
    <xf numFmtId="0" fontId="17" fillId="0" borderId="0" xfId="0" applyFont="1"/>
    <xf numFmtId="0" fontId="2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4" fontId="18" fillId="12" borderId="13" xfId="0" applyNumberFormat="1" applyFont="1" applyFill="1" applyBorder="1" applyAlignment="1">
      <alignment horizontal="center"/>
    </xf>
    <xf numFmtId="0" fontId="18" fillId="12" borderId="13" xfId="0" applyFont="1" applyFill="1" applyBorder="1" applyAlignment="1">
      <alignment horizontal="center"/>
    </xf>
    <xf numFmtId="0" fontId="18" fillId="12" borderId="13" xfId="0" applyFont="1" applyFill="1" applyBorder="1"/>
    <xf numFmtId="49" fontId="18" fillId="12" borderId="13" xfId="0" applyNumberFormat="1" applyFont="1" applyFill="1" applyBorder="1"/>
    <xf numFmtId="2" fontId="20" fillId="12" borderId="13" xfId="0" applyNumberFormat="1" applyFont="1" applyFill="1" applyBorder="1"/>
    <xf numFmtId="2" fontId="18" fillId="12" borderId="13" xfId="0" applyNumberFormat="1" applyFont="1" applyFill="1" applyBorder="1"/>
    <xf numFmtId="2" fontId="11" fillId="0" borderId="0" xfId="0" applyNumberFormat="1" applyFont="1"/>
    <xf numFmtId="175" fontId="11" fillId="0" borderId="0" xfId="0" applyNumberFormat="1" applyFont="1" applyAlignment="1">
      <alignment horizontal="center"/>
    </xf>
    <xf numFmtId="175" fontId="11" fillId="0" borderId="0" xfId="0" applyNumberFormat="1" applyFont="1"/>
    <xf numFmtId="175" fontId="20" fillId="0" borderId="0" xfId="0" applyNumberFormat="1" applyFont="1"/>
    <xf numFmtId="1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/>
    <xf numFmtId="49" fontId="18" fillId="0" borderId="0" xfId="0" applyNumberFormat="1" applyFont="1"/>
    <xf numFmtId="2" fontId="20" fillId="0" borderId="0" xfId="0" applyNumberFormat="1" applyFont="1"/>
    <xf numFmtId="2" fontId="18" fillId="0" borderId="0" xfId="0" applyNumberFormat="1" applyFont="1"/>
    <xf numFmtId="14" fontId="18" fillId="12" borderId="0" xfId="0" applyNumberFormat="1" applyFont="1" applyFill="1" applyAlignment="1">
      <alignment horizontal="center"/>
    </xf>
    <xf numFmtId="0" fontId="18" fillId="12" borderId="0" xfId="0" applyFont="1" applyFill="1" applyAlignment="1">
      <alignment horizontal="center"/>
    </xf>
    <xf numFmtId="0" fontId="18" fillId="12" borderId="0" xfId="0" applyFont="1" applyFill="1"/>
    <xf numFmtId="49" fontId="18" fillId="12" borderId="0" xfId="0" applyNumberFormat="1" applyFont="1" applyFill="1"/>
    <xf numFmtId="2" fontId="20" fillId="12" borderId="0" xfId="0" applyNumberFormat="1" applyFont="1" applyFill="1"/>
    <xf numFmtId="2" fontId="18" fillId="12" borderId="0" xfId="0" applyNumberFormat="1" applyFont="1" applyFill="1"/>
    <xf numFmtId="2" fontId="11" fillId="12" borderId="0" xfId="0" applyNumberFormat="1" applyFont="1" applyFill="1"/>
    <xf numFmtId="0" fontId="20" fillId="14" borderId="14" xfId="0" applyFont="1" applyFill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0" fontId="31" fillId="13" borderId="0" xfId="0" applyFont="1" applyFill="1"/>
    <xf numFmtId="49" fontId="31" fillId="13" borderId="0" xfId="0" applyNumberFormat="1" applyFont="1" applyFill="1"/>
    <xf numFmtId="49" fontId="2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/>
    <xf numFmtId="49" fontId="20" fillId="15" borderId="0" xfId="0" applyNumberFormat="1" applyFont="1" applyFill="1" applyAlignment="1">
      <alignment horizontal="center" vertical="center" wrapText="1"/>
    </xf>
    <xf numFmtId="0" fontId="20" fillId="15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/>
    </xf>
    <xf numFmtId="14" fontId="18" fillId="0" borderId="2" xfId="0" applyNumberFormat="1" applyFont="1" applyBorder="1" applyAlignment="1">
      <alignment horizontal="center" vertical="center"/>
    </xf>
    <xf numFmtId="4" fontId="18" fillId="0" borderId="2" xfId="0" applyNumberFormat="1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center" vertical="center"/>
    </xf>
    <xf numFmtId="4" fontId="19" fillId="0" borderId="2" xfId="0" applyNumberFormat="1" applyFont="1" applyBorder="1" applyAlignment="1">
      <alignment horizontal="center" vertical="center"/>
    </xf>
    <xf numFmtId="14" fontId="11" fillId="0" borderId="0" xfId="0" applyNumberFormat="1" applyFont="1"/>
    <xf numFmtId="0" fontId="20" fillId="16" borderId="0" xfId="0" applyFont="1" applyFill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 wrapText="1"/>
    </xf>
    <xf numFmtId="2" fontId="33" fillId="6" borderId="2" xfId="0" applyNumberFormat="1" applyFont="1" applyFill="1" applyBorder="1" applyAlignment="1">
      <alignment horizontal="center" vertical="center" wrapText="1"/>
    </xf>
    <xf numFmtId="2" fontId="33" fillId="7" borderId="2" xfId="0" applyNumberFormat="1" applyFont="1" applyFill="1" applyBorder="1" applyAlignment="1">
      <alignment horizontal="center" vertical="center" wrapText="1"/>
    </xf>
    <xf numFmtId="0" fontId="34" fillId="0" borderId="0" xfId="0" applyFont="1"/>
    <xf numFmtId="0" fontId="35" fillId="0" borderId="2" xfId="0" applyFont="1" applyBorder="1"/>
    <xf numFmtId="0" fontId="36" fillId="0" borderId="2" xfId="0" applyFont="1" applyBorder="1"/>
    <xf numFmtId="176" fontId="37" fillId="0" borderId="2" xfId="0" applyNumberFormat="1" applyFont="1" applyBorder="1"/>
    <xf numFmtId="177" fontId="37" fillId="0" borderId="2" xfId="0" applyNumberFormat="1" applyFont="1" applyBorder="1"/>
    <xf numFmtId="3" fontId="36" fillId="0" borderId="2" xfId="0" applyNumberFormat="1" applyFont="1" applyBorder="1"/>
    <xf numFmtId="3" fontId="35" fillId="0" borderId="2" xfId="0" applyNumberFormat="1" applyFont="1" applyBorder="1"/>
    <xf numFmtId="2" fontId="36" fillId="0" borderId="2" xfId="0" applyNumberFormat="1" applyFont="1" applyBorder="1"/>
    <xf numFmtId="2" fontId="36" fillId="0" borderId="2" xfId="0" applyNumberFormat="1" applyFont="1" applyBorder="1" applyAlignment="1">
      <alignment horizontal="center"/>
    </xf>
    <xf numFmtId="0" fontId="35" fillId="0" borderId="2" xfId="0" applyFont="1" applyBorder="1" applyAlignment="1">
      <alignment horizontal="left" vertical="center" wrapText="1"/>
    </xf>
    <xf numFmtId="2" fontId="34" fillId="0" borderId="0" xfId="0" applyNumberFormat="1" applyFont="1"/>
    <xf numFmtId="2" fontId="34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75" fontId="18" fillId="0" borderId="0" xfId="0" applyNumberFormat="1" applyFont="1"/>
    <xf numFmtId="9" fontId="18" fillId="0" borderId="0" xfId="0" applyNumberFormat="1" applyFont="1" applyAlignment="1">
      <alignment horizontal="center"/>
    </xf>
    <xf numFmtId="6" fontId="39" fillId="0" borderId="0" xfId="0" applyNumberFormat="1" applyFont="1"/>
    <xf numFmtId="0" fontId="20" fillId="5" borderId="0" xfId="0" applyFont="1" applyFill="1" applyAlignment="1">
      <alignment horizontal="center"/>
    </xf>
    <xf numFmtId="0" fontId="11" fillId="5" borderId="0" xfId="0" applyFont="1" applyFill="1"/>
    <xf numFmtId="175" fontId="20" fillId="5" borderId="0" xfId="0" applyNumberFormat="1" applyFont="1" applyFill="1"/>
    <xf numFmtId="178" fontId="11" fillId="0" borderId="0" xfId="0" applyNumberFormat="1" applyFont="1" applyAlignment="1">
      <alignment horizontal="center"/>
    </xf>
    <xf numFmtId="166" fontId="22" fillId="17" borderId="3" xfId="0" applyNumberFormat="1" applyFont="1" applyFill="1" applyBorder="1"/>
    <xf numFmtId="3" fontId="41" fillId="0" borderId="0" xfId="0" applyNumberFormat="1" applyFont="1"/>
    <xf numFmtId="0" fontId="40" fillId="0" borderId="0" xfId="0" applyFont="1"/>
    <xf numFmtId="0" fontId="43" fillId="18" borderId="0" xfId="0" applyFont="1" applyFill="1" applyAlignment="1">
      <alignment horizontal="center"/>
    </xf>
    <xf numFmtId="164" fontId="0" fillId="0" borderId="0" xfId="0" applyNumberFormat="1"/>
    <xf numFmtId="179" fontId="0" fillId="0" borderId="0" xfId="0" applyNumberFormat="1"/>
    <xf numFmtId="0" fontId="42" fillId="0" borderId="0" xfId="0" applyFont="1"/>
    <xf numFmtId="0" fontId="43" fillId="18" borderId="14" xfId="0" applyFont="1" applyFill="1" applyBorder="1" applyAlignment="1">
      <alignment horizontal="center"/>
    </xf>
    <xf numFmtId="179" fontId="18" fillId="0" borderId="0" xfId="0" applyNumberFormat="1" applyFont="1"/>
    <xf numFmtId="179" fontId="39" fillId="0" borderId="0" xfId="0" applyNumberFormat="1" applyFont="1"/>
    <xf numFmtId="179" fontId="20" fillId="0" borderId="0" xfId="0" applyNumberFormat="1" applyFont="1"/>
    <xf numFmtId="9" fontId="30" fillId="0" borderId="15" xfId="0" applyNumberFormat="1" applyFont="1" applyBorder="1" applyAlignment="1">
      <alignment horizontal="center" vertical="center"/>
    </xf>
    <xf numFmtId="9" fontId="0" fillId="0" borderId="0" xfId="0" applyNumberFormat="1"/>
    <xf numFmtId="17" fontId="0" fillId="0" borderId="0" xfId="0" applyNumberFormat="1"/>
    <xf numFmtId="177" fontId="0" fillId="0" borderId="0" xfId="0" applyNumberFormat="1"/>
    <xf numFmtId="180" fontId="43" fillId="18" borderId="0" xfId="0" applyNumberFormat="1" applyFont="1" applyFill="1" applyAlignment="1">
      <alignment horizontal="center"/>
    </xf>
    <xf numFmtId="180" fontId="0" fillId="0" borderId="0" xfId="0" applyNumberFormat="1"/>
    <xf numFmtId="0" fontId="44" fillId="19" borderId="0" xfId="0" applyFont="1" applyFill="1"/>
    <xf numFmtId="0" fontId="0" fillId="19" borderId="0" xfId="0" applyFill="1"/>
    <xf numFmtId="0" fontId="45" fillId="20" borderId="0" xfId="0" applyFont="1" applyFill="1" applyAlignment="1">
      <alignment horizontal="center" vertical="center" wrapText="1"/>
    </xf>
    <xf numFmtId="0" fontId="46" fillId="0" borderId="0" xfId="0" applyFont="1"/>
    <xf numFmtId="4" fontId="0" fillId="0" borderId="0" xfId="0" applyNumberFormat="1"/>
    <xf numFmtId="3" fontId="0" fillId="0" borderId="0" xfId="0" applyNumberFormat="1"/>
    <xf numFmtId="184" fontId="0" fillId="0" borderId="0" xfId="0" applyNumberFormat="1"/>
    <xf numFmtId="4" fontId="47" fillId="0" borderId="0" xfId="0" applyNumberFormat="1" applyFont="1"/>
    <xf numFmtId="3" fontId="47" fillId="0" borderId="0" xfId="0" applyNumberFormat="1" applyFont="1"/>
    <xf numFmtId="3" fontId="48" fillId="0" borderId="0" xfId="0" applyNumberFormat="1" applyFont="1"/>
    <xf numFmtId="184" fontId="48" fillId="0" borderId="0" xfId="0" applyNumberFormat="1" applyFont="1"/>
    <xf numFmtId="177" fontId="48" fillId="0" borderId="0" xfId="0" applyNumberFormat="1" applyFont="1"/>
    <xf numFmtId="0" fontId="44" fillId="0" borderId="0" xfId="0" applyFont="1"/>
    <xf numFmtId="3" fontId="44" fillId="0" borderId="0" xfId="0" applyNumberFormat="1" applyFont="1"/>
  </cellXfs>
  <cellStyles count="124">
    <cellStyle name="Bueno 2" xfId="1" xr:uid="{00000000-0005-0000-0000-000001000000}"/>
    <cellStyle name="Comma 2" xfId="2" xr:uid="{00000000-0005-0000-0000-000002000000}"/>
    <cellStyle name="Incorrecto 2" xfId="3" xr:uid="{00000000-0005-0000-0000-000003000000}"/>
    <cellStyle name="Millares 10" xfId="4" xr:uid="{00000000-0005-0000-0000-000004000000}"/>
    <cellStyle name="Millares 10 2" xfId="5" xr:uid="{00000000-0005-0000-0000-000005000000}"/>
    <cellStyle name="Millares 10 2 2" xfId="6" xr:uid="{00000000-0005-0000-0000-000006000000}"/>
    <cellStyle name="Millares 10 3" xfId="7" xr:uid="{00000000-0005-0000-0000-000007000000}"/>
    <cellStyle name="Millares 11" xfId="8" xr:uid="{00000000-0005-0000-0000-000008000000}"/>
    <cellStyle name="Millares 11 2" xfId="9" xr:uid="{00000000-0005-0000-0000-000009000000}"/>
    <cellStyle name="Millares 12" xfId="10" xr:uid="{00000000-0005-0000-0000-00000A000000}"/>
    <cellStyle name="Millares 12 2" xfId="11" xr:uid="{00000000-0005-0000-0000-00000B000000}"/>
    <cellStyle name="Millares 12 2 2" xfId="12" xr:uid="{00000000-0005-0000-0000-00000C000000}"/>
    <cellStyle name="Millares 12 2 2 2" xfId="13" xr:uid="{00000000-0005-0000-0000-00000D000000}"/>
    <cellStyle name="Millares 13" xfId="14" xr:uid="{00000000-0005-0000-0000-00000E000000}"/>
    <cellStyle name="Millares 14" xfId="15" xr:uid="{00000000-0005-0000-0000-00000F000000}"/>
    <cellStyle name="Millares 14 2" xfId="16" xr:uid="{00000000-0005-0000-0000-000010000000}"/>
    <cellStyle name="Millares 14 2 2" xfId="17" xr:uid="{00000000-0005-0000-0000-000011000000}"/>
    <cellStyle name="Millares 15" xfId="18" xr:uid="{00000000-0005-0000-0000-000012000000}"/>
    <cellStyle name="Millares 16" xfId="19" xr:uid="{00000000-0005-0000-0000-000013000000}"/>
    <cellStyle name="Millares 17" xfId="20" xr:uid="{00000000-0005-0000-0000-000014000000}"/>
    <cellStyle name="Millares 18" xfId="21" xr:uid="{00000000-0005-0000-0000-000015000000}"/>
    <cellStyle name="Millares 18 2" xfId="22" xr:uid="{00000000-0005-0000-0000-000016000000}"/>
    <cellStyle name="Millares 2" xfId="23" xr:uid="{00000000-0005-0000-0000-000017000000}"/>
    <cellStyle name="Millares 2 2" xfId="24" xr:uid="{00000000-0005-0000-0000-000018000000}"/>
    <cellStyle name="Millares 2 2 2" xfId="25" xr:uid="{00000000-0005-0000-0000-000019000000}"/>
    <cellStyle name="Millares 2 3" xfId="26" xr:uid="{00000000-0005-0000-0000-00001A000000}"/>
    <cellStyle name="Millares 2 3 2" xfId="27" xr:uid="{00000000-0005-0000-0000-00001B000000}"/>
    <cellStyle name="Millares 2 4" xfId="28" xr:uid="{00000000-0005-0000-0000-00001C000000}"/>
    <cellStyle name="Millares 2 5" xfId="29" xr:uid="{00000000-0005-0000-0000-00001D000000}"/>
    <cellStyle name="Millares 2 6" xfId="30" xr:uid="{00000000-0005-0000-0000-00001E000000}"/>
    <cellStyle name="Millares 20" xfId="31" xr:uid="{00000000-0005-0000-0000-00001F000000}"/>
    <cellStyle name="Millares 23" xfId="32" xr:uid="{00000000-0005-0000-0000-000020000000}"/>
    <cellStyle name="Millares 3" xfId="33" xr:uid="{00000000-0005-0000-0000-000021000000}"/>
    <cellStyle name="Millares 3 2" xfId="34" xr:uid="{00000000-0005-0000-0000-000022000000}"/>
    <cellStyle name="Millares 3 2 2" xfId="35" xr:uid="{00000000-0005-0000-0000-000023000000}"/>
    <cellStyle name="Millares 3 2 2 2" xfId="36" xr:uid="{00000000-0005-0000-0000-000024000000}"/>
    <cellStyle name="Millares 3 2 3" xfId="37" xr:uid="{00000000-0005-0000-0000-000025000000}"/>
    <cellStyle name="Millares 3 3" xfId="38" xr:uid="{00000000-0005-0000-0000-000026000000}"/>
    <cellStyle name="Millares 3 5" xfId="39" xr:uid="{00000000-0005-0000-0000-000027000000}"/>
    <cellStyle name="Millares 3 5 2" xfId="40" xr:uid="{00000000-0005-0000-0000-000028000000}"/>
    <cellStyle name="Millares 3 5 2 2" xfId="41" xr:uid="{00000000-0005-0000-0000-000029000000}"/>
    <cellStyle name="Millares 3 5 3" xfId="42" xr:uid="{00000000-0005-0000-0000-00002A000000}"/>
    <cellStyle name="Millares 3 5 4" xfId="43" xr:uid="{00000000-0005-0000-0000-00002B000000}"/>
    <cellStyle name="Millares 3 5 4 2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5" xfId="49" xr:uid="{00000000-0005-0000-0000-000031000000}"/>
    <cellStyle name="Millares 5 2" xfId="50" xr:uid="{00000000-0005-0000-0000-000032000000}"/>
    <cellStyle name="Millares 5 3" xfId="51" xr:uid="{00000000-0005-0000-0000-000033000000}"/>
    <cellStyle name="Millares 5 3 2" xfId="52" xr:uid="{00000000-0005-0000-0000-000034000000}"/>
    <cellStyle name="Millares 5 3 3" xfId="53" xr:uid="{00000000-0005-0000-0000-000035000000}"/>
    <cellStyle name="Millares 5 3 4" xfId="54" xr:uid="{00000000-0005-0000-0000-000036000000}"/>
    <cellStyle name="Millares 6" xfId="55" xr:uid="{00000000-0005-0000-0000-000037000000}"/>
    <cellStyle name="Millares 6 2" xfId="56" xr:uid="{00000000-0005-0000-0000-000038000000}"/>
    <cellStyle name="Millares 6 3" xfId="57" xr:uid="{00000000-0005-0000-0000-000039000000}"/>
    <cellStyle name="Millares 6 4" xfId="58" xr:uid="{00000000-0005-0000-0000-00003A000000}"/>
    <cellStyle name="Millares 7" xfId="59" xr:uid="{00000000-0005-0000-0000-00003B000000}"/>
    <cellStyle name="Millares 7 2" xfId="60" xr:uid="{00000000-0005-0000-0000-00003C000000}"/>
    <cellStyle name="Millares 7 3" xfId="61" xr:uid="{00000000-0005-0000-0000-00003D000000}"/>
    <cellStyle name="Millares 7 4" xfId="62" xr:uid="{00000000-0005-0000-0000-00003E000000}"/>
    <cellStyle name="Millares 8" xfId="63" xr:uid="{00000000-0005-0000-0000-00003F000000}"/>
    <cellStyle name="Millares 8 2" xfId="64" xr:uid="{00000000-0005-0000-0000-000040000000}"/>
    <cellStyle name="Millares 9" xfId="65" xr:uid="{00000000-0005-0000-0000-000041000000}"/>
    <cellStyle name="Moneda 2" xfId="66" xr:uid="{00000000-0005-0000-0000-000042000000}"/>
    <cellStyle name="Moneda 2 2" xfId="67" xr:uid="{00000000-0005-0000-0000-000043000000}"/>
    <cellStyle name="Moneda 2 3" xfId="68" xr:uid="{00000000-0005-0000-0000-000044000000}"/>
    <cellStyle name="Moneda 2 3 2" xfId="69" xr:uid="{00000000-0005-0000-0000-000045000000}"/>
    <cellStyle name="Moneda 3" xfId="70" xr:uid="{00000000-0005-0000-0000-000046000000}"/>
    <cellStyle name="Moneda 4" xfId="71" xr:uid="{00000000-0005-0000-0000-000047000000}"/>
    <cellStyle name="Moneda 5" xfId="72" xr:uid="{00000000-0005-0000-0000-000048000000}"/>
    <cellStyle name="Moneda 6" xfId="73" xr:uid="{00000000-0005-0000-0000-000049000000}"/>
    <cellStyle name="Moneda 6 2" xfId="74" xr:uid="{00000000-0005-0000-0000-00004A000000}"/>
    <cellStyle name="Moneda 7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12" xfId="78" xr:uid="{00000000-0005-0000-0000-00004E000000}"/>
    <cellStyle name="Normal 13" xfId="79" xr:uid="{00000000-0005-0000-0000-00004F000000}"/>
    <cellStyle name="Normal 18" xfId="80" xr:uid="{00000000-0005-0000-0000-000050000000}"/>
    <cellStyle name="Normal 2" xfId="81" xr:uid="{00000000-0005-0000-0000-000051000000}"/>
    <cellStyle name="Normal 2 2" xfId="82" xr:uid="{00000000-0005-0000-0000-000052000000}"/>
    <cellStyle name="Normal 2 3" xfId="83" xr:uid="{00000000-0005-0000-0000-000053000000}"/>
    <cellStyle name="Normal 2 3 2" xfId="84" xr:uid="{00000000-0005-0000-0000-000054000000}"/>
    <cellStyle name="Normal 2 4 2" xfId="85" xr:uid="{00000000-0005-0000-0000-000055000000}"/>
    <cellStyle name="Normal 2 5" xfId="86" xr:uid="{00000000-0005-0000-0000-000056000000}"/>
    <cellStyle name="Normal 2 5 2" xfId="87" xr:uid="{00000000-0005-0000-0000-000057000000}"/>
    <cellStyle name="Normal 2 5 3" xfId="88" xr:uid="{00000000-0005-0000-0000-000058000000}"/>
    <cellStyle name="Normal 23" xfId="89" xr:uid="{00000000-0005-0000-0000-000059000000}"/>
    <cellStyle name="Normal 25" xfId="90" xr:uid="{00000000-0005-0000-0000-00005A000000}"/>
    <cellStyle name="Normal 3" xfId="91" xr:uid="{00000000-0005-0000-0000-00005B000000}"/>
    <cellStyle name="Normal 3 2" xfId="92" xr:uid="{00000000-0005-0000-0000-00005C000000}"/>
    <cellStyle name="Normal 3 3" xfId="93" xr:uid="{00000000-0005-0000-0000-00005D000000}"/>
    <cellStyle name="Normal 3 4" xfId="94" xr:uid="{00000000-0005-0000-0000-00005E000000}"/>
    <cellStyle name="Normal 3 5" xfId="95" xr:uid="{00000000-0005-0000-0000-00005F000000}"/>
    <cellStyle name="Normal 32" xfId="96" xr:uid="{00000000-0005-0000-0000-000060000000}"/>
    <cellStyle name="Normal 4" xfId="97" xr:uid="{00000000-0005-0000-0000-000061000000}"/>
    <cellStyle name="Normal 4 2" xfId="98" xr:uid="{00000000-0005-0000-0000-000062000000}"/>
    <cellStyle name="Normal 4 2 2" xfId="99" xr:uid="{00000000-0005-0000-0000-000063000000}"/>
    <cellStyle name="Normal 4 3" xfId="100" xr:uid="{00000000-0005-0000-0000-000064000000}"/>
    <cellStyle name="Normal 5" xfId="101" xr:uid="{00000000-0005-0000-0000-000065000000}"/>
    <cellStyle name="Normal 5 2" xfId="102" xr:uid="{00000000-0005-0000-0000-000066000000}"/>
    <cellStyle name="Normal 5 2 2" xfId="103" xr:uid="{00000000-0005-0000-0000-000067000000}"/>
    <cellStyle name="Normal 5 3" xfId="104" xr:uid="{00000000-0005-0000-0000-000068000000}"/>
    <cellStyle name="Normal 6" xfId="105" xr:uid="{00000000-0005-0000-0000-000069000000}"/>
    <cellStyle name="Normal 7" xfId="106" xr:uid="{00000000-0005-0000-0000-00006A000000}"/>
    <cellStyle name="Normal 7 2" xfId="107" xr:uid="{00000000-0005-0000-0000-00006B000000}"/>
    <cellStyle name="Normal 8" xfId="108" xr:uid="{00000000-0005-0000-0000-00006C000000}"/>
    <cellStyle name="Normal 9" xfId="109" xr:uid="{00000000-0005-0000-0000-00006D000000}"/>
    <cellStyle name="Pivot Table Category" xfId="110" xr:uid="{00000000-0005-0000-0000-00006E000000}"/>
    <cellStyle name="Pivot Table Corner" xfId="111" xr:uid="{00000000-0005-0000-0000-00006F000000}"/>
    <cellStyle name="Pivot Table Field" xfId="112" xr:uid="{00000000-0005-0000-0000-000070000000}"/>
    <cellStyle name="Pivot Table Result" xfId="113" xr:uid="{00000000-0005-0000-0000-000071000000}"/>
    <cellStyle name="Pivot Table Title" xfId="114" xr:uid="{00000000-0005-0000-0000-000072000000}"/>
    <cellStyle name="Pivot Table Value" xfId="115" xr:uid="{00000000-0005-0000-0000-000073000000}"/>
    <cellStyle name="Porcentaje 2" xfId="116" xr:uid="{00000000-0005-0000-0000-000074000000}"/>
    <cellStyle name="Porcentaje 2 2" xfId="117" xr:uid="{00000000-0005-0000-0000-000075000000}"/>
    <cellStyle name="Porcentaje 2 2 2" xfId="118" xr:uid="{00000000-0005-0000-0000-000076000000}"/>
    <cellStyle name="Porcentaje 2 2 2 2" xfId="119" xr:uid="{00000000-0005-0000-0000-000077000000}"/>
    <cellStyle name="Porcentaje 3" xfId="120" xr:uid="{00000000-0005-0000-0000-000078000000}"/>
    <cellStyle name="Porcentaje 5" xfId="121" xr:uid="{00000000-0005-0000-0000-000079000000}"/>
    <cellStyle name="Porcentaje 5 2" xfId="122" xr:uid="{00000000-0005-0000-0000-00007A000000}"/>
    <cellStyle name="Porcentual 2" xfId="123" xr:uid="{00000000-0005-0000-0000-00007B000000}"/>
  </cellStyles>
  <dxfs count="5"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C6EFCE"/>
      <rgbColor rgb="FF8B0000"/>
      <rgbColor rgb="FF008000"/>
      <rgbColor rgb="FF000080"/>
      <rgbColor rgb="FF7F7F7F"/>
      <rgbColor rgb="FFC00000"/>
      <rgbColor rgb="FF00843B"/>
      <rgbColor rgb="FFBFBFBF"/>
      <rgbColor rgb="FF808080"/>
      <rgbColor rgb="FFD9E1F2"/>
      <rgbColor rgb="FF7030A0"/>
      <rgbColor rgb="FFFFFFCC"/>
      <rgbColor rgb="FFCAEEFB"/>
      <rgbColor rgb="FF660066"/>
      <rgbColor rgb="FFD6E4F0"/>
      <rgbColor rgb="FF0066CC"/>
      <rgbColor rgb="FFCCCCCC"/>
      <rgbColor rgb="FF000080"/>
      <rgbColor rgb="FFFF00FF"/>
      <rgbColor rgb="FFFFF7CD"/>
      <rgbColor rgb="FFE2EFDA"/>
      <rgbColor rgb="FF800080"/>
      <rgbColor rgb="FF9C0006"/>
      <rgbColor rgb="FF156082"/>
      <rgbColor rgb="FF0000FF"/>
      <rgbColor rgb="FF00B050"/>
      <rgbColor rgb="FFEBF5FB"/>
      <rgbColor rgb="FFCCFFCC"/>
      <rgbColor rgb="FFFFFF99"/>
      <rgbColor rgb="FFA6CAEC"/>
      <rgbColor rgb="FFFFC7CE"/>
      <rgbColor rgb="FFD9D9D9"/>
      <rgbColor rgb="FFF4CCCC"/>
      <rgbColor rgb="FF2E75B6"/>
      <rgbColor rgb="FF84E291"/>
      <rgbColor rgb="FFC2F1C8"/>
      <rgbColor rgb="FFFFC000"/>
      <rgbColor rgb="FFD9EAD3"/>
      <rgbColor rgb="FFFFF2CC"/>
      <rgbColor rgb="FF606060"/>
      <rgbColor rgb="FFA6A6A6"/>
      <rgbColor rgb="FF1F3864"/>
      <rgbColor rgb="FF4EA72E"/>
      <rgbColor rgb="FF006100"/>
      <rgbColor rgb="FF1B2A4A"/>
      <rgbColor rgb="FF9E2A2B"/>
      <rgbColor rgb="FF595959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zoomScaleNormal="100" workbookViewId="0">
      <selection activeCell="C19" sqref="C19"/>
    </sheetView>
  </sheetViews>
  <sheetFormatPr defaultColWidth="8.54296875" defaultRowHeight="13" x14ac:dyDescent="0.3"/>
  <cols>
    <col min="1" max="1" width="25" style="1" customWidth="1"/>
    <col min="2" max="2" width="15.453125" style="1" customWidth="1"/>
    <col min="3" max="3" width="50" style="1" customWidth="1"/>
    <col min="4" max="9" width="8.54296875" style="1" customWidth="1"/>
    <col min="10" max="16384" width="8.54296875" style="1"/>
  </cols>
  <sheetData>
    <row r="1" spans="1:3" ht="15" customHeight="1" x14ac:dyDescent="0.3">
      <c r="A1" s="15" t="s">
        <v>489</v>
      </c>
      <c r="B1" s="15"/>
      <c r="C1" s="15"/>
    </row>
    <row r="3" spans="1:3" ht="15" customHeight="1" x14ac:dyDescent="0.3">
      <c r="A3" s="2" t="s">
        <v>490</v>
      </c>
      <c r="B3" s="3" t="s">
        <v>491</v>
      </c>
    </row>
    <row r="4" spans="1:3" ht="15" customHeight="1" x14ac:dyDescent="0.3">
      <c r="A4" s="2" t="s">
        <v>492</v>
      </c>
      <c r="B4" s="3" t="s">
        <v>493</v>
      </c>
    </row>
    <row r="5" spans="1:3" ht="15" customHeight="1" x14ac:dyDescent="0.3">
      <c r="A5" s="2" t="s">
        <v>494</v>
      </c>
      <c r="B5" s="4">
        <v>45689</v>
      </c>
      <c r="C5" s="5" t="s">
        <v>495</v>
      </c>
    </row>
    <row r="6" spans="1:3" ht="14.25" customHeight="1" x14ac:dyDescent="0.3">
      <c r="A6" s="2" t="s">
        <v>496</v>
      </c>
      <c r="B6" s="6">
        <v>18</v>
      </c>
      <c r="C6" s="5" t="s">
        <v>497</v>
      </c>
    </row>
    <row r="7" spans="1:3" ht="15" customHeight="1" x14ac:dyDescent="0.3">
      <c r="A7" s="7" t="s">
        <v>498</v>
      </c>
    </row>
    <row r="8" spans="1:3" ht="15" customHeight="1" x14ac:dyDescent="0.3">
      <c r="A8" s="2" t="s">
        <v>499</v>
      </c>
      <c r="B8" s="8">
        <v>45627</v>
      </c>
      <c r="C8" s="3" t="s">
        <v>500</v>
      </c>
    </row>
    <row r="9" spans="1:3" ht="15" customHeight="1" x14ac:dyDescent="0.3">
      <c r="A9" s="2" t="s">
        <v>501</v>
      </c>
      <c r="B9" s="9">
        <v>15356.4</v>
      </c>
      <c r="C9" s="3" t="s">
        <v>502</v>
      </c>
    </row>
    <row r="10" spans="1:3" ht="15" customHeight="1" x14ac:dyDescent="0.3">
      <c r="A10" s="2" t="s">
        <v>503</v>
      </c>
      <c r="B10" s="8">
        <f>INDEX('0_Indice_CAC'!$A$4:$A$33,MATCH(1E+300,'0_Indice_CAC'!$B$4:$B$33))</f>
        <v>46174</v>
      </c>
      <c r="C10" s="3" t="s">
        <v>504</v>
      </c>
    </row>
    <row r="11" spans="1:3" ht="15" customHeight="1" x14ac:dyDescent="0.3">
      <c r="A11" s="2" t="s">
        <v>505</v>
      </c>
      <c r="B11" s="3">
        <f>MIN('0_Indice_CAC'!$D$4:$D$33)</f>
        <v>0.79437458588258192</v>
      </c>
      <c r="C11" s="3" t="s">
        <v>506</v>
      </c>
    </row>
    <row r="12" spans="1:3" ht="14.5" customHeight="1" x14ac:dyDescent="0.35">
      <c r="A12" t="s">
        <v>507</v>
      </c>
    </row>
    <row r="13" spans="1:3" ht="15" customHeight="1" x14ac:dyDescent="0.35">
      <c r="A13" s="7" t="s">
        <v>508</v>
      </c>
      <c r="B13">
        <f>'1_GGBB'!F67</f>
        <v>1.3327274271410152</v>
      </c>
      <c r="C13" t="s">
        <v>509</v>
      </c>
    </row>
    <row r="14" spans="1:3" ht="15" customHeight="1" x14ac:dyDescent="0.3">
      <c r="A14" s="2" t="s">
        <v>510</v>
      </c>
      <c r="B14" s="10"/>
      <c r="C14" s="3"/>
    </row>
    <row r="15" spans="1:3" ht="15" customHeight="1" x14ac:dyDescent="0.3">
      <c r="A15" s="2" t="s">
        <v>511</v>
      </c>
      <c r="B15" s="10" t="s">
        <v>512</v>
      </c>
      <c r="C15" s="3" t="s">
        <v>513</v>
      </c>
    </row>
    <row r="16" spans="1:3" ht="14.5" customHeight="1" x14ac:dyDescent="0.35">
      <c r="A16" t="s">
        <v>514</v>
      </c>
      <c r="B16">
        <f>SUMPRODUCT(('1_Presupuesto'!$J$5:$J$227+'1_Presupuesto'!$K$5:$K$227+'1_Presupuesto'!$L$5:$L$227)*'1_Presupuesto'!$I$5:$I$227)</f>
        <v>994598033.29087734</v>
      </c>
      <c r="C16" t="s">
        <v>515</v>
      </c>
    </row>
    <row r="17" spans="1:3" ht="15" customHeight="1" x14ac:dyDescent="0.35">
      <c r="A17" s="7" t="s">
        <v>516</v>
      </c>
      <c r="B17">
        <f>SUMPRODUCT('1_Presupuesto'!$N$5:$N$227*'1_Presupuesto'!$I$5:$I$227)</f>
        <v>1016173633.3255379</v>
      </c>
      <c r="C17" t="s">
        <v>517</v>
      </c>
    </row>
    <row r="18" spans="1:3" ht="15" customHeight="1" x14ac:dyDescent="0.3">
      <c r="A18" s="2" t="s">
        <v>518</v>
      </c>
      <c r="B18" s="11">
        <f>SUMPRODUCT('1_Presupuesto'!$S$5:$S$227*'1_Presupuesto'!$I$5:$I$227)</f>
        <v>1354282471.870482</v>
      </c>
      <c r="C18" s="3" t="s">
        <v>519</v>
      </c>
    </row>
    <row r="19" spans="1:3" ht="15" customHeight="1" x14ac:dyDescent="0.3">
      <c r="A19" s="2" t="s">
        <v>520</v>
      </c>
      <c r="B19" s="11">
        <f>+B17*B13-B18</f>
        <v>0</v>
      </c>
      <c r="C19" s="3" t="s">
        <v>521</v>
      </c>
    </row>
    <row r="20" spans="1:3" ht="14.25" customHeight="1" x14ac:dyDescent="0.3">
      <c r="A20" s="203"/>
      <c r="B20" s="202"/>
      <c r="C20" s="5"/>
    </row>
    <row r="21" spans="1:3" ht="15" customHeight="1" x14ac:dyDescent="0.3">
      <c r="A21" s="7"/>
    </row>
    <row r="22" spans="1:3" ht="15" customHeight="1" x14ac:dyDescent="0.3">
      <c r="A22" s="2"/>
      <c r="B22" s="3"/>
    </row>
    <row r="23" spans="1:3" ht="15" customHeight="1" x14ac:dyDescent="0.3">
      <c r="A23" s="2"/>
      <c r="B23" s="3"/>
    </row>
    <row r="24" spans="1:3" ht="15" customHeight="1" x14ac:dyDescent="0.3">
      <c r="A24" s="2"/>
      <c r="B24" s="3"/>
    </row>
    <row r="25" spans="1:3" ht="15" customHeight="1" x14ac:dyDescent="0.3">
      <c r="A25" s="2"/>
      <c r="B25" s="3"/>
    </row>
    <row r="27" spans="1:3" ht="15" customHeight="1" x14ac:dyDescent="0.3">
      <c r="A27" s="7"/>
    </row>
    <row r="28" spans="1:3" ht="15" customHeight="1" x14ac:dyDescent="0.3">
      <c r="A28" s="2"/>
      <c r="B28" s="3"/>
    </row>
    <row r="29" spans="1:3" ht="15" customHeight="1" x14ac:dyDescent="0.3">
      <c r="A29" s="2"/>
      <c r="B29" s="3"/>
    </row>
    <row r="30" spans="1:3" ht="15" customHeight="1" x14ac:dyDescent="0.3">
      <c r="A30" s="2"/>
      <c r="B30" s="3"/>
    </row>
    <row r="31" spans="1:3" ht="15" customHeight="1" x14ac:dyDescent="0.3">
      <c r="A31" s="2"/>
      <c r="B31" s="3"/>
    </row>
    <row r="32" spans="1:3" ht="15" customHeight="1" x14ac:dyDescent="0.3">
      <c r="A32" s="2"/>
      <c r="B32" s="3"/>
    </row>
    <row r="34" spans="1:3" ht="14.25" customHeight="1" x14ac:dyDescent="0.3">
      <c r="A34" s="7"/>
    </row>
    <row r="35" spans="1:3" ht="14.25" customHeight="1" x14ac:dyDescent="0.3">
      <c r="A35" s="2"/>
      <c r="B35" s="3"/>
    </row>
    <row r="36" spans="1:3" ht="14.25" customHeight="1" x14ac:dyDescent="0.3">
      <c r="A36" s="2"/>
      <c r="B36" s="3"/>
    </row>
    <row r="37" spans="1:3" ht="14.25" customHeight="1" x14ac:dyDescent="0.3">
      <c r="A37" s="2"/>
      <c r="B37" s="3"/>
    </row>
    <row r="38" spans="1:3" ht="14.25" customHeight="1" x14ac:dyDescent="0.3">
      <c r="A38" s="2"/>
      <c r="B38" s="3"/>
    </row>
    <row r="39" spans="1:3" ht="14.25" customHeight="1" x14ac:dyDescent="0.3">
      <c r="A39" s="2"/>
      <c r="B39" s="3"/>
    </row>
    <row r="40" spans="1:3" ht="14.25" customHeight="1" x14ac:dyDescent="0.3">
      <c r="A40" s="7"/>
    </row>
    <row r="41" spans="1:3" ht="14.25" customHeight="1" x14ac:dyDescent="0.3">
      <c r="A41" s="2"/>
      <c r="B41" s="3"/>
    </row>
    <row r="42" spans="1:3" ht="14.25" customHeight="1" x14ac:dyDescent="0.3">
      <c r="A42" s="2"/>
      <c r="B42" s="3"/>
    </row>
    <row r="43" spans="1:3" ht="14.25" customHeight="1" x14ac:dyDescent="0.3">
      <c r="A43" s="2"/>
      <c r="B43" s="3"/>
    </row>
    <row r="44" spans="1:3" ht="14.25" customHeight="1" x14ac:dyDescent="0.3">
      <c r="A44" s="2" t="s">
        <v>522</v>
      </c>
      <c r="B44" s="3"/>
    </row>
    <row r="45" spans="1:3" ht="14.25" customHeight="1" x14ac:dyDescent="0.35">
      <c r="A45" s="2" t="s">
        <v>523</v>
      </c>
      <c r="B45" s="3">
        <f>SUMPRODUCT('2_Movimientos'!$I$2:$I$1000,N(LEFT(TEXT('2_Movimientos'!$A$2:$A$1000,"0"),1)&lt;&gt;"4"))-SUMPRODUCT('2_Movimientos'!$J$2:$J$1000,N(LEFT(TEXT('2_Movimientos'!$A$2:$A$1000,"0"),1)&lt;&gt;"4"))</f>
        <v>423221214.61000001</v>
      </c>
      <c r="C45" t="s">
        <v>524</v>
      </c>
    </row>
    <row r="46" spans="1:3" ht="14.25" customHeight="1" x14ac:dyDescent="0.35">
      <c r="A46" s="2" t="s">
        <v>525</v>
      </c>
      <c r="B46" s="3"/>
      <c r="C46" t="s">
        <v>526</v>
      </c>
    </row>
    <row r="47" spans="1:3" ht="14.5" customHeight="1" x14ac:dyDescent="0.35">
      <c r="A47" t="s">
        <v>527</v>
      </c>
      <c r="B47">
        <f>B45-B46</f>
        <v>423221214.61000001</v>
      </c>
      <c r="C47" t="s">
        <v>528</v>
      </c>
    </row>
    <row r="49" spans="1:3" ht="14.25" customHeight="1" x14ac:dyDescent="0.35">
      <c r="A49" s="7" t="s">
        <v>529</v>
      </c>
      <c r="B49">
        <v>100</v>
      </c>
    </row>
    <row r="50" spans="1:3" ht="14.25" customHeight="1" x14ac:dyDescent="0.3">
      <c r="A50" s="2"/>
      <c r="B50" s="12"/>
      <c r="C50" s="5"/>
    </row>
    <row r="51" spans="1:3" ht="14.25" customHeight="1" x14ac:dyDescent="0.3">
      <c r="A51" s="2"/>
      <c r="B51" s="13"/>
      <c r="C51" s="5"/>
    </row>
    <row r="52" spans="1:3" ht="14.25" customHeight="1" x14ac:dyDescent="0.3">
      <c r="A52" s="2" t="s">
        <v>530</v>
      </c>
      <c r="B52" s="14"/>
      <c r="C52" s="5"/>
    </row>
    <row r="53" spans="1:3" ht="14.5" customHeight="1" x14ac:dyDescent="0.35">
      <c r="A53" t="s">
        <v>531</v>
      </c>
      <c r="B53" t="s">
        <v>532</v>
      </c>
    </row>
    <row r="54" spans="1:3" ht="14.25" customHeight="1" x14ac:dyDescent="0.35">
      <c r="A54" s="7" t="s">
        <v>533</v>
      </c>
      <c r="B54" t="s">
        <v>534</v>
      </c>
    </row>
    <row r="55" spans="1:3" ht="14.25" customHeight="1" x14ac:dyDescent="0.3">
      <c r="A55" s="2" t="s">
        <v>535</v>
      </c>
      <c r="B55" s="3" t="s">
        <v>536</v>
      </c>
    </row>
    <row r="56" spans="1:3" ht="14.25" customHeight="1" x14ac:dyDescent="0.3">
      <c r="A56" s="2" t="s">
        <v>537</v>
      </c>
      <c r="B56" s="3" t="s">
        <v>538</v>
      </c>
    </row>
    <row r="57" spans="1:3" ht="14.25" customHeight="1" x14ac:dyDescent="0.3">
      <c r="A57" s="2"/>
      <c r="B57" s="3"/>
    </row>
    <row r="58" spans="1:3" ht="14.25" customHeight="1" x14ac:dyDescent="0.3">
      <c r="A58" s="2"/>
      <c r="B58" s="3"/>
    </row>
    <row r="59" spans="1:3" ht="14.25" customHeight="1" x14ac:dyDescent="0.3">
      <c r="A59" s="2"/>
      <c r="B59" s="3"/>
    </row>
    <row r="60" spans="1:3" ht="14.25" customHeight="1" x14ac:dyDescent="0.3">
      <c r="A60" s="2"/>
      <c r="B60" s="3"/>
    </row>
    <row r="61" spans="1:3" ht="14.25" customHeight="1" x14ac:dyDescent="0.3">
      <c r="A61" s="2"/>
      <c r="B61" s="3"/>
    </row>
    <row r="62" spans="1:3" ht="14.25" customHeight="1" x14ac:dyDescent="0.3">
      <c r="A62" s="2"/>
    </row>
    <row r="63" spans="1:3" ht="14.25" customHeight="1" x14ac:dyDescent="0.3"/>
    <row r="64" spans="1:3" ht="14.25" customHeight="1" x14ac:dyDescent="0.3"/>
    <row r="67" spans="1:1" ht="14.25" customHeight="1" x14ac:dyDescent="0.3">
      <c r="A67" s="2"/>
    </row>
    <row r="68" spans="1:1" ht="14.25" customHeight="1" x14ac:dyDescent="0.3"/>
    <row r="69" spans="1:1" ht="14.25" customHeight="1" x14ac:dyDescent="0.3"/>
    <row r="70" spans="1:1" ht="14.2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33"/>
  <sheetViews>
    <sheetView showGridLines="0" topLeftCell="A42" zoomScaleNormal="100" workbookViewId="0"/>
  </sheetViews>
  <sheetFormatPr defaultColWidth="8.7265625" defaultRowHeight="13" x14ac:dyDescent="0.3"/>
  <cols>
    <col min="1" max="1" width="12.90625" style="1" customWidth="1"/>
    <col min="2" max="2" width="10.54296875" style="1" customWidth="1"/>
    <col min="3" max="3" width="11.453125" style="1" customWidth="1"/>
    <col min="4" max="4" width="7.81640625" style="1" customWidth="1"/>
    <col min="5" max="10" width="8.7265625" style="1" customWidth="1"/>
    <col min="11" max="16384" width="8.7265625" style="1"/>
  </cols>
  <sheetData>
    <row r="1" spans="1:4" ht="12.75" customHeight="1" x14ac:dyDescent="0.3">
      <c r="A1" s="15" t="s">
        <v>539</v>
      </c>
      <c r="B1" s="15"/>
      <c r="C1" s="15"/>
      <c r="D1" s="15"/>
    </row>
    <row r="2" spans="1:4" ht="12.75" customHeight="1" x14ac:dyDescent="0.3">
      <c r="A2" s="171"/>
      <c r="B2" s="171"/>
      <c r="C2" s="171"/>
      <c r="D2" s="171"/>
    </row>
    <row r="3" spans="1:4" ht="25.5" customHeight="1" x14ac:dyDescent="0.3">
      <c r="A3" s="162" t="s">
        <v>540</v>
      </c>
      <c r="B3" s="162" t="s">
        <v>541</v>
      </c>
      <c r="C3" s="162" t="s">
        <v>542</v>
      </c>
      <c r="D3" s="162" t="s">
        <v>543</v>
      </c>
    </row>
    <row r="4" spans="1:4" ht="12.75" customHeight="1" x14ac:dyDescent="0.3">
      <c r="A4" s="172">
        <v>45627</v>
      </c>
      <c r="B4" s="173">
        <v>15356.4</v>
      </c>
      <c r="C4" s="173"/>
      <c r="D4" s="174">
        <f t="shared" ref="D4:D22" si="0">$B$4/B4</f>
        <v>1</v>
      </c>
    </row>
    <row r="5" spans="1:4" ht="12.75" customHeight="1" x14ac:dyDescent="0.3">
      <c r="A5" s="172">
        <v>45658</v>
      </c>
      <c r="B5" s="173">
        <v>15592.5</v>
      </c>
      <c r="C5" s="173"/>
      <c r="D5" s="174">
        <f t="shared" si="0"/>
        <v>0.98485810485810488</v>
      </c>
    </row>
    <row r="6" spans="1:4" ht="12.75" customHeight="1" x14ac:dyDescent="0.3">
      <c r="A6" s="172">
        <v>45689</v>
      </c>
      <c r="B6" s="173">
        <v>15852.4</v>
      </c>
      <c r="C6" s="173"/>
      <c r="D6" s="174">
        <f t="shared" si="0"/>
        <v>0.96871136231737776</v>
      </c>
    </row>
    <row r="7" spans="1:4" ht="12.75" customHeight="1" x14ac:dyDescent="0.3">
      <c r="A7" s="172">
        <v>45717</v>
      </c>
      <c r="B7" s="173">
        <v>15995.4</v>
      </c>
      <c r="C7" s="173"/>
      <c r="D7" s="174">
        <f t="shared" si="0"/>
        <v>0.96005101466671672</v>
      </c>
    </row>
    <row r="8" spans="1:4" ht="12.75" customHeight="1" x14ac:dyDescent="0.3">
      <c r="A8" s="172">
        <v>45748</v>
      </c>
      <c r="B8" s="173">
        <v>16253.5</v>
      </c>
      <c r="C8" s="173"/>
      <c r="D8" s="174">
        <f t="shared" si="0"/>
        <v>0.94480573414956781</v>
      </c>
    </row>
    <row r="9" spans="1:4" ht="12.75" customHeight="1" x14ac:dyDescent="0.3">
      <c r="A9" s="172">
        <v>45778</v>
      </c>
      <c r="B9" s="173">
        <v>16521.3</v>
      </c>
      <c r="C9" s="173"/>
      <c r="D9" s="174">
        <f t="shared" si="0"/>
        <v>0.92949102068239187</v>
      </c>
    </row>
    <row r="10" spans="1:4" ht="12.75" customHeight="1" x14ac:dyDescent="0.3">
      <c r="A10" s="172">
        <v>45809</v>
      </c>
      <c r="B10" s="173">
        <v>16643.400000000001</v>
      </c>
      <c r="C10" s="173"/>
      <c r="D10" s="174">
        <f t="shared" si="0"/>
        <v>0.922672050182054</v>
      </c>
    </row>
    <row r="11" spans="1:4" ht="12.75" customHeight="1" x14ac:dyDescent="0.3">
      <c r="A11" s="172">
        <v>45839</v>
      </c>
      <c r="B11" s="173">
        <v>16939.5</v>
      </c>
      <c r="C11" s="173"/>
      <c r="D11" s="174">
        <f t="shared" si="0"/>
        <v>0.90654387673780212</v>
      </c>
    </row>
    <row r="12" spans="1:4" ht="12.75" customHeight="1" x14ac:dyDescent="0.3">
      <c r="A12" s="172">
        <v>45870</v>
      </c>
      <c r="B12" s="173">
        <v>17187.599999999999</v>
      </c>
      <c r="C12" s="173"/>
      <c r="D12" s="174">
        <f t="shared" si="0"/>
        <v>0.89345807442574887</v>
      </c>
    </row>
    <row r="13" spans="1:4" ht="12.75" customHeight="1" x14ac:dyDescent="0.3">
      <c r="A13" s="172">
        <v>45901</v>
      </c>
      <c r="B13" s="173">
        <v>17762.3</v>
      </c>
      <c r="C13" s="173"/>
      <c r="D13" s="174">
        <f t="shared" si="0"/>
        <v>0.86455019901701924</v>
      </c>
    </row>
    <row r="14" spans="1:4" ht="12.75" customHeight="1" x14ac:dyDescent="0.3">
      <c r="A14" s="172">
        <v>45931</v>
      </c>
      <c r="B14" s="173">
        <v>18172.8</v>
      </c>
      <c r="C14" s="173"/>
      <c r="D14" s="174">
        <f t="shared" si="0"/>
        <v>0.84502113048071847</v>
      </c>
    </row>
    <row r="15" spans="1:4" ht="12.75" customHeight="1" x14ac:dyDescent="0.3">
      <c r="A15" s="172">
        <v>45962</v>
      </c>
      <c r="B15" s="173">
        <v>18534.900000000001</v>
      </c>
      <c r="C15" s="173"/>
      <c r="D15" s="174">
        <f t="shared" si="0"/>
        <v>0.82851269766764313</v>
      </c>
    </row>
    <row r="16" spans="1:4" ht="12.75" customHeight="1" x14ac:dyDescent="0.3">
      <c r="A16" s="172">
        <v>45992</v>
      </c>
      <c r="B16" s="173">
        <v>18993.891329896</v>
      </c>
      <c r="C16" s="175">
        <v>18993.891329896</v>
      </c>
      <c r="D16" s="174">
        <f t="shared" si="0"/>
        <v>0.8084915162081262</v>
      </c>
    </row>
    <row r="17" spans="1:4" ht="12.75" customHeight="1" x14ac:dyDescent="0.3">
      <c r="A17" s="172">
        <v>46023</v>
      </c>
      <c r="B17" s="173">
        <v>19331.4341532445</v>
      </c>
      <c r="C17" s="175">
        <v>19331.4341532445</v>
      </c>
      <c r="D17" s="174">
        <f t="shared" si="0"/>
        <v>0.79437458588258192</v>
      </c>
    </row>
    <row r="18" spans="1:4" ht="12.75" customHeight="1" x14ac:dyDescent="0.3">
      <c r="A18" s="172">
        <v>46054</v>
      </c>
      <c r="B18" s="173">
        <v>19331.4341532445</v>
      </c>
      <c r="C18" s="173"/>
      <c r="D18" s="174">
        <f t="shared" si="0"/>
        <v>0.79437458588258192</v>
      </c>
    </row>
    <row r="19" spans="1:4" ht="12.75" customHeight="1" x14ac:dyDescent="0.3">
      <c r="A19" s="172">
        <v>46082</v>
      </c>
      <c r="B19" s="173">
        <v>19331.4341532445</v>
      </c>
      <c r="C19" s="173"/>
      <c r="D19" s="174">
        <f t="shared" si="0"/>
        <v>0.79437458588258192</v>
      </c>
    </row>
    <row r="20" spans="1:4" ht="12.75" customHeight="1" x14ac:dyDescent="0.3">
      <c r="A20" s="172">
        <v>46113</v>
      </c>
      <c r="B20" s="173">
        <v>19331.4341532445</v>
      </c>
      <c r="C20" s="173"/>
      <c r="D20" s="174">
        <f t="shared" si="0"/>
        <v>0.79437458588258192</v>
      </c>
    </row>
    <row r="21" spans="1:4" ht="12.75" customHeight="1" x14ac:dyDescent="0.3">
      <c r="A21" s="172">
        <v>46143</v>
      </c>
      <c r="B21" s="173">
        <v>19331.4341532445</v>
      </c>
      <c r="C21" s="173"/>
      <c r="D21" s="174">
        <f t="shared" si="0"/>
        <v>0.79437458588258192</v>
      </c>
    </row>
    <row r="22" spans="1:4" ht="12.75" customHeight="1" x14ac:dyDescent="0.3">
      <c r="A22" s="172">
        <v>46174</v>
      </c>
      <c r="B22" s="173">
        <v>19331.4341532445</v>
      </c>
      <c r="C22" s="173"/>
      <c r="D22" s="174">
        <f t="shared" si="0"/>
        <v>0.79437458588258192</v>
      </c>
    </row>
    <row r="23" spans="1:4" ht="12.75" customHeight="1" x14ac:dyDescent="0.3">
      <c r="A23" s="172"/>
      <c r="B23" s="173"/>
      <c r="C23" s="173"/>
      <c r="D23" s="174"/>
    </row>
    <row r="24" spans="1:4" ht="12.75" customHeight="1" x14ac:dyDescent="0.3">
      <c r="A24" s="172"/>
      <c r="B24" s="173"/>
      <c r="C24" s="173"/>
      <c r="D24" s="174"/>
    </row>
    <row r="25" spans="1:4" ht="12.75" customHeight="1" x14ac:dyDescent="0.3">
      <c r="A25" s="172"/>
      <c r="B25" s="173"/>
      <c r="C25" s="173"/>
      <c r="D25" s="174"/>
    </row>
    <row r="26" spans="1:4" ht="12.75" customHeight="1" x14ac:dyDescent="0.3">
      <c r="A26" s="172"/>
      <c r="B26" s="173"/>
      <c r="C26" s="173"/>
      <c r="D26" s="174"/>
    </row>
    <row r="27" spans="1:4" ht="12.75" customHeight="1" x14ac:dyDescent="0.3">
      <c r="A27" s="172"/>
      <c r="B27" s="173"/>
      <c r="C27" s="173"/>
      <c r="D27" s="174"/>
    </row>
    <row r="28" spans="1:4" ht="12.75" customHeight="1" x14ac:dyDescent="0.3">
      <c r="A28" s="172"/>
      <c r="B28" s="173"/>
      <c r="C28" s="173"/>
      <c r="D28" s="174"/>
    </row>
    <row r="29" spans="1:4" ht="12.75" customHeight="1" x14ac:dyDescent="0.3">
      <c r="A29" s="172"/>
      <c r="B29" s="173"/>
      <c r="C29" s="173"/>
      <c r="D29" s="174"/>
    </row>
    <row r="30" spans="1:4" ht="12.75" customHeight="1" x14ac:dyDescent="0.3">
      <c r="A30" s="172"/>
      <c r="B30" s="173"/>
      <c r="C30" s="173"/>
      <c r="D30" s="174"/>
    </row>
    <row r="31" spans="1:4" ht="12.75" customHeight="1" x14ac:dyDescent="0.3">
      <c r="A31" s="172"/>
      <c r="B31" s="173"/>
      <c r="C31" s="173"/>
      <c r="D31" s="174"/>
    </row>
    <row r="32" spans="1:4" ht="12.75" customHeight="1" x14ac:dyDescent="0.3">
      <c r="A32" s="172"/>
      <c r="B32" s="173"/>
      <c r="C32" s="173"/>
      <c r="D32" s="174"/>
    </row>
    <row r="33" spans="1:4" ht="12.75" customHeight="1" x14ac:dyDescent="0.3">
      <c r="A33" s="172"/>
      <c r="B33" s="173"/>
      <c r="C33" s="173"/>
      <c r="D33" s="174"/>
    </row>
  </sheetData>
  <conditionalFormatting sqref="A4:A33">
    <cfRule type="timePeriod" dxfId="4" priority="2" timePeriod="lastMonth">
      <formula>AND(MONTH(A4)=MONTH(EDATE(TODAY(),0-1)),YEAR(A4)=YEAR(EDATE(TODAY(),0-1)))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22"/>
  <sheetViews>
    <sheetView showGridLines="0" zoomScaleNormal="100" workbookViewId="0"/>
  </sheetViews>
  <sheetFormatPr defaultColWidth="8.6328125" defaultRowHeight="13" x14ac:dyDescent="0.3"/>
  <cols>
    <col min="1" max="1" width="14" style="1" customWidth="1"/>
    <col min="2" max="5" width="12.26953125" style="1" customWidth="1"/>
    <col min="6" max="6" width="4.90625" style="1" customWidth="1"/>
    <col min="7" max="10" width="11.7265625" style="1" customWidth="1"/>
    <col min="11" max="16" width="8.6328125" style="1" customWidth="1"/>
    <col min="17" max="16384" width="8.6328125" style="1"/>
  </cols>
  <sheetData>
    <row r="1" spans="1:13" ht="15" customHeight="1" x14ac:dyDescent="0.3">
      <c r="A1" s="15" t="s">
        <v>544</v>
      </c>
      <c r="B1" s="15"/>
      <c r="C1" s="15"/>
      <c r="D1" s="15"/>
      <c r="E1" s="15"/>
      <c r="F1" s="15"/>
      <c r="G1" s="15"/>
      <c r="H1" s="15"/>
      <c r="I1" s="15"/>
      <c r="J1" s="15"/>
      <c r="L1" s="16"/>
      <c r="M1" s="16"/>
    </row>
    <row r="2" spans="1:13" x14ac:dyDescent="0.3">
      <c r="A2" s="171"/>
      <c r="B2" s="171"/>
      <c r="C2" s="171"/>
      <c r="D2" s="171"/>
      <c r="E2" s="171"/>
      <c r="F2" s="171"/>
      <c r="G2" s="171"/>
      <c r="H2" s="171"/>
      <c r="I2" s="171"/>
      <c r="J2" s="171"/>
      <c r="L2" s="16"/>
      <c r="M2" s="16"/>
    </row>
    <row r="3" spans="1:13" ht="26" customHeight="1" x14ac:dyDescent="0.3">
      <c r="A3" s="162" t="s">
        <v>545</v>
      </c>
      <c r="B3" s="162" t="s">
        <v>546</v>
      </c>
      <c r="C3" s="162" t="s">
        <v>547</v>
      </c>
      <c r="D3" s="162" t="s">
        <v>548</v>
      </c>
      <c r="E3" s="162" t="s">
        <v>549</v>
      </c>
      <c r="G3" s="177" t="s">
        <v>550</v>
      </c>
      <c r="H3" s="177" t="s">
        <v>547</v>
      </c>
      <c r="I3" s="177" t="s">
        <v>548</v>
      </c>
      <c r="J3" s="177" t="s">
        <v>549</v>
      </c>
      <c r="L3" s="17"/>
      <c r="M3" s="17"/>
    </row>
    <row r="4" spans="1:13" ht="15" customHeight="1" x14ac:dyDescent="0.3">
      <c r="A4" s="172">
        <v>45627</v>
      </c>
      <c r="B4" s="173">
        <v>85927.1</v>
      </c>
      <c r="C4" s="173">
        <v>76955.08</v>
      </c>
      <c r="D4" s="173">
        <v>65493.07</v>
      </c>
      <c r="E4" s="173">
        <v>60860.58</v>
      </c>
      <c r="G4" s="200">
        <f t="shared" ref="G4:G21" si="0">+B4/8</f>
        <v>10740.887500000001</v>
      </c>
      <c r="H4" s="200">
        <f t="shared" ref="H4:H21" si="1">+C4/8</f>
        <v>9619.3850000000002</v>
      </c>
      <c r="I4" s="200">
        <f t="shared" ref="I4:I21" si="2">+D4/8</f>
        <v>8186.63375</v>
      </c>
      <c r="J4" s="200">
        <f t="shared" ref="J4:J21" si="3">+E4/8</f>
        <v>7607.5725000000002</v>
      </c>
    </row>
    <row r="5" spans="1:13" ht="15" customHeight="1" x14ac:dyDescent="0.3">
      <c r="A5" s="172">
        <v>45658</v>
      </c>
      <c r="B5" s="173">
        <v>87384</v>
      </c>
      <c r="C5" s="173">
        <v>78375</v>
      </c>
      <c r="D5" s="173">
        <v>66853</v>
      </c>
      <c r="E5" s="173">
        <v>61892</v>
      </c>
      <c r="G5" s="200">
        <f t="shared" si="0"/>
        <v>10923</v>
      </c>
      <c r="H5" s="200">
        <f t="shared" si="1"/>
        <v>9796.875</v>
      </c>
      <c r="I5" s="200">
        <f t="shared" si="2"/>
        <v>8356.625</v>
      </c>
      <c r="J5" s="200">
        <f t="shared" si="3"/>
        <v>7736.5</v>
      </c>
    </row>
    <row r="6" spans="1:13" ht="15" customHeight="1" x14ac:dyDescent="0.3">
      <c r="A6" s="172">
        <v>45689</v>
      </c>
      <c r="B6" s="173">
        <v>89383</v>
      </c>
      <c r="C6" s="173">
        <v>80395</v>
      </c>
      <c r="D6" s="173">
        <v>68472</v>
      </c>
      <c r="E6" s="173">
        <v>63382</v>
      </c>
      <c r="G6" s="200">
        <f t="shared" si="0"/>
        <v>11172.875</v>
      </c>
      <c r="H6" s="200">
        <f t="shared" si="1"/>
        <v>10049.375</v>
      </c>
      <c r="I6" s="200">
        <f t="shared" si="2"/>
        <v>8559</v>
      </c>
      <c r="J6" s="200">
        <f t="shared" si="3"/>
        <v>7922.75</v>
      </c>
    </row>
    <row r="7" spans="1:13" ht="15" customHeight="1" x14ac:dyDescent="0.3">
      <c r="A7" s="172">
        <v>45717</v>
      </c>
      <c r="B7" s="173">
        <v>91464</v>
      </c>
      <c r="C7" s="173">
        <v>82269</v>
      </c>
      <c r="D7" s="173">
        <v>70296</v>
      </c>
      <c r="E7" s="173">
        <v>65595</v>
      </c>
      <c r="G7" s="200">
        <f t="shared" si="0"/>
        <v>11433</v>
      </c>
      <c r="H7" s="200">
        <f t="shared" si="1"/>
        <v>10283.625</v>
      </c>
      <c r="I7" s="200">
        <f t="shared" si="2"/>
        <v>8787</v>
      </c>
      <c r="J7" s="200">
        <f t="shared" si="3"/>
        <v>8199.375</v>
      </c>
    </row>
    <row r="8" spans="1:13" ht="15" customHeight="1" x14ac:dyDescent="0.3">
      <c r="A8" s="172">
        <v>45778</v>
      </c>
      <c r="B8" s="173">
        <v>93235.366504703503</v>
      </c>
      <c r="C8" s="173">
        <v>83766.387582470707</v>
      </c>
      <c r="D8" s="173">
        <v>71410.8169819342</v>
      </c>
      <c r="E8" s="173">
        <v>66568.093871664896</v>
      </c>
      <c r="G8" s="200">
        <f t="shared" si="0"/>
        <v>11654.420813087938</v>
      </c>
      <c r="H8" s="200">
        <f t="shared" si="1"/>
        <v>10470.798447808838</v>
      </c>
      <c r="I8" s="200">
        <f t="shared" si="2"/>
        <v>8926.352122741775</v>
      </c>
      <c r="J8" s="200">
        <f t="shared" si="3"/>
        <v>8321.011733958112</v>
      </c>
    </row>
    <row r="9" spans="1:13" ht="15" customHeight="1" x14ac:dyDescent="0.3">
      <c r="A9" s="172">
        <v>45809</v>
      </c>
      <c r="B9" s="173">
        <v>94177.137883538904</v>
      </c>
      <c r="C9" s="173">
        <v>84612.512709566407</v>
      </c>
      <c r="D9" s="173">
        <v>72132.138365590101</v>
      </c>
      <c r="E9" s="173">
        <v>67240.498860267602</v>
      </c>
      <c r="G9" s="200">
        <f t="shared" si="0"/>
        <v>11772.142235442363</v>
      </c>
      <c r="H9" s="200">
        <f t="shared" si="1"/>
        <v>10576.564088695801</v>
      </c>
      <c r="I9" s="200">
        <f t="shared" si="2"/>
        <v>9016.5172956987626</v>
      </c>
      <c r="J9" s="200">
        <f t="shared" si="3"/>
        <v>8405.0623575334503</v>
      </c>
    </row>
    <row r="10" spans="1:13" ht="15" customHeight="1" x14ac:dyDescent="0.3">
      <c r="A10" s="172">
        <v>45839</v>
      </c>
      <c r="B10" s="173">
        <v>95080</v>
      </c>
      <c r="C10" s="173">
        <v>85425</v>
      </c>
      <c r="D10" s="173">
        <v>72871</v>
      </c>
      <c r="E10" s="173">
        <v>67908</v>
      </c>
      <c r="G10" s="200">
        <f t="shared" si="0"/>
        <v>11885</v>
      </c>
      <c r="H10" s="200">
        <f t="shared" si="1"/>
        <v>10678.125</v>
      </c>
      <c r="I10" s="200">
        <f t="shared" si="2"/>
        <v>9108.875</v>
      </c>
      <c r="J10" s="200">
        <f t="shared" si="3"/>
        <v>8488.5</v>
      </c>
    </row>
    <row r="11" spans="1:13" ht="15" customHeight="1" x14ac:dyDescent="0.3">
      <c r="A11" s="172">
        <v>45870</v>
      </c>
      <c r="B11" s="173">
        <v>95889.2</v>
      </c>
      <c r="C11" s="173">
        <v>86356.18</v>
      </c>
      <c r="D11" s="173">
        <v>73781.11</v>
      </c>
      <c r="E11" s="173">
        <v>68935.350000000006</v>
      </c>
      <c r="G11" s="200">
        <f t="shared" si="0"/>
        <v>11986.15</v>
      </c>
      <c r="H11" s="200">
        <f t="shared" si="1"/>
        <v>10794.522499999999</v>
      </c>
      <c r="I11" s="200">
        <f t="shared" si="2"/>
        <v>9222.6387500000001</v>
      </c>
      <c r="J11" s="200">
        <f t="shared" si="3"/>
        <v>8616.9187500000007</v>
      </c>
    </row>
    <row r="12" spans="1:13" ht="15" customHeight="1" x14ac:dyDescent="0.3">
      <c r="A12" s="172">
        <v>45901</v>
      </c>
      <c r="B12" s="173">
        <v>106516.017311572</v>
      </c>
      <c r="C12" s="173">
        <v>88649.807904072004</v>
      </c>
      <c r="D12" s="173">
        <v>75758.191951571993</v>
      </c>
      <c r="E12" s="173">
        <v>71041.118761571997</v>
      </c>
      <c r="G12" s="200">
        <f t="shared" si="0"/>
        <v>13314.502163946499</v>
      </c>
      <c r="H12" s="200">
        <f t="shared" si="1"/>
        <v>11081.225988009001</v>
      </c>
      <c r="I12" s="200">
        <f t="shared" si="2"/>
        <v>9469.7739939464991</v>
      </c>
      <c r="J12" s="200">
        <f t="shared" si="3"/>
        <v>8880.1398451964997</v>
      </c>
    </row>
    <row r="13" spans="1:13" ht="15" customHeight="1" x14ac:dyDescent="0.3">
      <c r="A13" s="172">
        <v>45931</v>
      </c>
      <c r="B13" s="173">
        <v>106864.20592157199</v>
      </c>
      <c r="C13" s="173">
        <v>88971.072744071993</v>
      </c>
      <c r="D13" s="173">
        <v>76032.176431572007</v>
      </c>
      <c r="E13" s="173">
        <v>71292.271201572003</v>
      </c>
      <c r="G13" s="200">
        <f t="shared" si="0"/>
        <v>13358.025740196499</v>
      </c>
      <c r="H13" s="200">
        <f t="shared" si="1"/>
        <v>11121.384093008999</v>
      </c>
      <c r="I13" s="200">
        <f t="shared" si="2"/>
        <v>9504.0220539465008</v>
      </c>
      <c r="J13" s="200">
        <f t="shared" si="3"/>
        <v>8911.5339001965003</v>
      </c>
    </row>
    <row r="14" spans="1:13" ht="15" customHeight="1" x14ac:dyDescent="0.3">
      <c r="A14" s="172">
        <v>45962</v>
      </c>
      <c r="B14" s="173">
        <v>109621.10545407201</v>
      </c>
      <c r="C14" s="173">
        <v>91252.850653390196</v>
      </c>
      <c r="D14" s="173">
        <v>77612.118064071998</v>
      </c>
      <c r="E14" s="173">
        <v>72486.682606571994</v>
      </c>
      <c r="G14" s="200">
        <f t="shared" si="0"/>
        <v>13702.638181759001</v>
      </c>
      <c r="H14" s="200">
        <f t="shared" si="1"/>
        <v>11406.606331673775</v>
      </c>
      <c r="I14" s="200">
        <f t="shared" si="2"/>
        <v>9701.5147580089997</v>
      </c>
      <c r="J14" s="200">
        <f t="shared" si="3"/>
        <v>9060.8353258214993</v>
      </c>
    </row>
    <row r="15" spans="1:13" ht="15" customHeight="1" x14ac:dyDescent="0.3">
      <c r="A15" s="172">
        <v>45992</v>
      </c>
      <c r="B15" s="173">
        <v>113865.181859145</v>
      </c>
      <c r="C15" s="173">
        <v>95196.927058463596</v>
      </c>
      <c r="D15" s="173">
        <v>81356.194469145397</v>
      </c>
      <c r="E15" s="173">
        <v>76230.759011645394</v>
      </c>
      <c r="G15" s="200">
        <f t="shared" si="0"/>
        <v>14233.147732393125</v>
      </c>
      <c r="H15" s="200">
        <f t="shared" si="1"/>
        <v>11899.61588230795</v>
      </c>
      <c r="I15" s="200">
        <f t="shared" si="2"/>
        <v>10169.524308643175</v>
      </c>
      <c r="J15" s="200">
        <f t="shared" si="3"/>
        <v>9528.8448764556742</v>
      </c>
    </row>
    <row r="16" spans="1:13" ht="15" customHeight="1" x14ac:dyDescent="0.3">
      <c r="A16" s="172">
        <v>46023</v>
      </c>
      <c r="B16" s="173">
        <v>117452.657276645</v>
      </c>
      <c r="C16" s="173">
        <v>97866.769866645394</v>
      </c>
      <c r="D16" s="173">
        <v>83614.940401645406</v>
      </c>
      <c r="E16" s="173">
        <v>78291.041771645396</v>
      </c>
      <c r="G16" s="200">
        <f t="shared" si="0"/>
        <v>14681.582159580625</v>
      </c>
      <c r="H16" s="200">
        <f t="shared" si="1"/>
        <v>12233.346233330674</v>
      </c>
      <c r="I16" s="200">
        <f t="shared" si="2"/>
        <v>10451.867550205676</v>
      </c>
      <c r="J16" s="200">
        <f t="shared" si="3"/>
        <v>9786.3802214556745</v>
      </c>
    </row>
    <row r="17" spans="1:10" ht="15" customHeight="1" x14ac:dyDescent="0.3">
      <c r="A17" s="172">
        <v>46054</v>
      </c>
      <c r="B17" s="173">
        <v>119406.334246645</v>
      </c>
      <c r="C17" s="173">
        <v>99479.557976645403</v>
      </c>
      <c r="D17" s="173">
        <v>84948.749161645406</v>
      </c>
      <c r="E17" s="173">
        <v>79490.602471645398</v>
      </c>
      <c r="G17" s="200">
        <f t="shared" si="0"/>
        <v>14925.791780830625</v>
      </c>
      <c r="H17" s="200">
        <f t="shared" si="1"/>
        <v>12434.944747080675</v>
      </c>
      <c r="I17" s="200">
        <f t="shared" si="2"/>
        <v>10618.593645205676</v>
      </c>
      <c r="J17" s="200">
        <f t="shared" si="3"/>
        <v>9936.3253089556747</v>
      </c>
    </row>
    <row r="18" spans="1:10" ht="15" customHeight="1" x14ac:dyDescent="0.3">
      <c r="A18" s="172">
        <v>46082</v>
      </c>
      <c r="B18" s="173">
        <v>122445.790586645</v>
      </c>
      <c r="C18" s="173">
        <v>102029.066882782</v>
      </c>
      <c r="D18" s="173">
        <v>87100.469906645405</v>
      </c>
      <c r="E18" s="173">
        <v>81453.719334145397</v>
      </c>
      <c r="G18" s="200">
        <f t="shared" si="0"/>
        <v>15305.723823330625</v>
      </c>
      <c r="H18" s="200">
        <f t="shared" si="1"/>
        <v>12753.633360347751</v>
      </c>
      <c r="I18" s="200">
        <f t="shared" si="2"/>
        <v>10887.558738330676</v>
      </c>
      <c r="J18" s="200">
        <f t="shared" si="3"/>
        <v>10181.714916768175</v>
      </c>
    </row>
    <row r="19" spans="1:10" ht="15" customHeight="1" x14ac:dyDescent="0.3">
      <c r="A19" s="172">
        <v>46113</v>
      </c>
      <c r="B19" s="173">
        <v>122445.790586645</v>
      </c>
      <c r="C19" s="173">
        <v>102029.066882782</v>
      </c>
      <c r="D19" s="173">
        <v>87100.469906645405</v>
      </c>
      <c r="E19" s="173">
        <v>81453.719334145397</v>
      </c>
      <c r="G19" s="200">
        <f t="shared" si="0"/>
        <v>15305.723823330625</v>
      </c>
      <c r="H19" s="200">
        <f t="shared" si="1"/>
        <v>12753.633360347751</v>
      </c>
      <c r="I19" s="200">
        <f t="shared" si="2"/>
        <v>10887.558738330676</v>
      </c>
      <c r="J19" s="200">
        <f t="shared" si="3"/>
        <v>10181.714916768175</v>
      </c>
    </row>
    <row r="20" spans="1:10" ht="15" customHeight="1" x14ac:dyDescent="0.3">
      <c r="A20" s="172">
        <v>46143</v>
      </c>
      <c r="B20" s="173">
        <v>122445.790586645</v>
      </c>
      <c r="C20" s="173">
        <v>102029.066882782</v>
      </c>
      <c r="D20" s="173">
        <v>87100.469906645405</v>
      </c>
      <c r="E20" s="173">
        <v>81453.719334145397</v>
      </c>
      <c r="G20" s="200">
        <f t="shared" si="0"/>
        <v>15305.723823330625</v>
      </c>
      <c r="H20" s="200">
        <f t="shared" si="1"/>
        <v>12753.633360347751</v>
      </c>
      <c r="I20" s="200">
        <f t="shared" si="2"/>
        <v>10887.558738330676</v>
      </c>
      <c r="J20" s="200">
        <f t="shared" si="3"/>
        <v>10181.714916768175</v>
      </c>
    </row>
    <row r="21" spans="1:10" ht="15" customHeight="1" x14ac:dyDescent="0.3">
      <c r="A21" s="172">
        <v>46174</v>
      </c>
      <c r="B21" s="173">
        <v>122445.790586645</v>
      </c>
      <c r="C21" s="173">
        <v>102029.066882782</v>
      </c>
      <c r="D21" s="173">
        <v>87100.469906645405</v>
      </c>
      <c r="E21" s="173">
        <v>81453.719334145397</v>
      </c>
      <c r="G21" s="200">
        <f t="shared" si="0"/>
        <v>15305.723823330625</v>
      </c>
      <c r="H21" s="200">
        <f t="shared" si="1"/>
        <v>12753.633360347751</v>
      </c>
      <c r="I21" s="200">
        <f t="shared" si="2"/>
        <v>10887.558738330676</v>
      </c>
      <c r="J21" s="200">
        <f t="shared" si="3"/>
        <v>10181.714916768175</v>
      </c>
    </row>
    <row r="22" spans="1:10" ht="15" customHeight="1" x14ac:dyDescent="0.3">
      <c r="A22" s="176"/>
    </row>
  </sheetData>
  <conditionalFormatting sqref="A4:A21">
    <cfRule type="timePeriod" dxfId="3" priority="2" timePeriod="lastMonth">
      <formula>AND(MONTH(A4)=MONTH(EDATE(TODAY(),0-1)),YEAR(A4)=YEAR(EDATE(TODAY(),0-1)))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Y228"/>
  <sheetViews>
    <sheetView showGridLines="0" workbookViewId="0">
      <pane xSplit="9" ySplit="3" topLeftCell="J4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4" width="16" customWidth="1"/>
    <col min="5" max="5" width="9" customWidth="1"/>
    <col min="6" max="6" width="8" customWidth="1"/>
    <col min="7" max="7" width="40" customWidth="1"/>
    <col min="8" max="8" width="6" customWidth="1"/>
    <col min="9" max="9" width="8" customWidth="1"/>
    <col min="10" max="19" width="13" customWidth="1"/>
    <col min="20" max="20" width="9" customWidth="1"/>
    <col min="21" max="22" width="13" customWidth="1"/>
    <col min="23" max="23" width="20" customWidth="1"/>
    <col min="24" max="24" width="12" customWidth="1"/>
    <col min="25" max="25" width="11" customWidth="1"/>
  </cols>
  <sheetData>
    <row r="1" spans="1:25" x14ac:dyDescent="0.35">
      <c r="A1" s="218" t="s">
        <v>551</v>
      </c>
      <c r="B1" s="219"/>
      <c r="C1" s="219"/>
      <c r="D1" s="219"/>
      <c r="E1" s="219"/>
      <c r="F1" s="219"/>
      <c r="G1" s="219"/>
      <c r="H1" s="219"/>
      <c r="I1" s="219"/>
      <c r="J1" s="219"/>
      <c r="K1" s="219"/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</row>
    <row r="3" spans="1:25" x14ac:dyDescent="0.35">
      <c r="A3" s="220" t="s">
        <v>552</v>
      </c>
      <c r="B3" s="220" t="s">
        <v>553</v>
      </c>
      <c r="C3" s="220" t="s">
        <v>554</v>
      </c>
      <c r="D3" s="220" t="s">
        <v>555</v>
      </c>
      <c r="E3" s="220" t="s">
        <v>556</v>
      </c>
      <c r="F3" s="220" t="s">
        <v>492</v>
      </c>
      <c r="G3" s="220" t="s">
        <v>557</v>
      </c>
      <c r="H3" s="220" t="s">
        <v>558</v>
      </c>
      <c r="I3" s="220" t="s">
        <v>559</v>
      </c>
      <c r="J3" s="220" t="s">
        <v>560</v>
      </c>
      <c r="K3" s="220" t="s">
        <v>561</v>
      </c>
      <c r="L3" s="220" t="s">
        <v>562</v>
      </c>
      <c r="M3" s="220" t="s">
        <v>563</v>
      </c>
      <c r="N3" s="220" t="s">
        <v>564</v>
      </c>
      <c r="O3" s="220" t="s">
        <v>560</v>
      </c>
      <c r="P3" s="220" t="s">
        <v>561</v>
      </c>
      <c r="Q3" s="220" t="s">
        <v>562</v>
      </c>
      <c r="R3" s="220" t="s">
        <v>563</v>
      </c>
      <c r="S3" s="220" t="s">
        <v>565</v>
      </c>
      <c r="T3" s="220" t="s">
        <v>566</v>
      </c>
      <c r="U3" s="220" t="s">
        <v>567</v>
      </c>
      <c r="V3" s="220" t="s">
        <v>568</v>
      </c>
      <c r="W3" s="220" t="s">
        <v>569</v>
      </c>
      <c r="X3" s="220" t="s">
        <v>570</v>
      </c>
      <c r="Y3" s="220" t="s">
        <v>571</v>
      </c>
    </row>
    <row r="4" spans="1:25" x14ac:dyDescent="0.35">
      <c r="E4" s="221">
        <v>1</v>
      </c>
      <c r="G4" s="221" t="s">
        <v>572</v>
      </c>
      <c r="I4" s="222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4"/>
      <c r="U4" s="223"/>
      <c r="V4" s="223"/>
      <c r="W4" s="221" t="s">
        <v>572</v>
      </c>
      <c r="Y4" s="215"/>
    </row>
    <row r="5" spans="1:25" x14ac:dyDescent="0.35">
      <c r="A5" s="221" t="s">
        <v>573</v>
      </c>
      <c r="B5" s="221" t="s">
        <v>573</v>
      </c>
      <c r="C5" s="221" t="s">
        <v>573</v>
      </c>
      <c r="D5" s="221" t="s">
        <v>573</v>
      </c>
      <c r="E5" s="221">
        <v>1.01</v>
      </c>
      <c r="F5" s="221" t="s">
        <v>574</v>
      </c>
      <c r="G5" s="221" t="s">
        <v>575</v>
      </c>
      <c r="H5" s="221" t="s">
        <v>576</v>
      </c>
      <c r="I5" s="225">
        <v>1</v>
      </c>
      <c r="J5" s="226">
        <v>0</v>
      </c>
      <c r="K5" s="226">
        <v>0</v>
      </c>
      <c r="L5" s="226">
        <v>0</v>
      </c>
      <c r="M5" s="226">
        <v>0</v>
      </c>
      <c r="N5" s="227">
        <f t="shared" ref="N5:N13" si="0">SUM(J5:M5)</f>
        <v>0</v>
      </c>
      <c r="O5" s="227">
        <f t="shared" ref="O5:O13" si="1">IF($N5=0,$S5,J5/$N5*$S5)</f>
        <v>0</v>
      </c>
      <c r="P5" s="227">
        <f t="shared" ref="P5:P13" si="2">IF($N5=0,0,K5/$N5*$S5)</f>
        <v>0</v>
      </c>
      <c r="Q5" s="227">
        <f t="shared" ref="Q5:Q13" si="3">IF($N5=0,0,L5/$N5*$S5)</f>
        <v>0</v>
      </c>
      <c r="R5" s="227">
        <f t="shared" ref="R5:R13" si="4">IF($N5=0,0,M5/$N5*$S5)</f>
        <v>0</v>
      </c>
      <c r="S5" s="226">
        <v>0</v>
      </c>
      <c r="T5" s="228" t="str">
        <f t="shared" ref="T5:T13" si="5">IFERROR(S5/N5,"")</f>
        <v/>
      </c>
      <c r="U5" s="227">
        <f t="shared" ref="U5:U13" si="6">N5*I5</f>
        <v>0</v>
      </c>
      <c r="V5" s="227">
        <f t="shared" ref="V5:V13" si="7">S5*I5</f>
        <v>0</v>
      </c>
      <c r="W5" s="221" t="s">
        <v>572</v>
      </c>
      <c r="X5" s="221" t="s">
        <v>577</v>
      </c>
      <c r="Y5" s="229">
        <f>SUMIFS(Cert_App_Output!$G:$G,Cert_App_Output!$E:$E,$E5,Cert_App_Output!$K:$K,$X5)</f>
        <v>0</v>
      </c>
    </row>
    <row r="6" spans="1:25" x14ac:dyDescent="0.35">
      <c r="A6" s="221" t="s">
        <v>192</v>
      </c>
      <c r="B6" s="221" t="s">
        <v>573</v>
      </c>
      <c r="C6" s="221" t="s">
        <v>192</v>
      </c>
      <c r="D6" s="221" t="s">
        <v>192</v>
      </c>
      <c r="E6" s="221">
        <v>1.02</v>
      </c>
      <c r="F6" s="221" t="s">
        <v>574</v>
      </c>
      <c r="G6" s="221" t="s">
        <v>578</v>
      </c>
      <c r="H6" s="221" t="s">
        <v>576</v>
      </c>
      <c r="I6" s="225">
        <v>3</v>
      </c>
      <c r="J6" s="226">
        <v>25000</v>
      </c>
      <c r="K6" s="226">
        <v>198736.8446363637</v>
      </c>
      <c r="L6" s="226">
        <v>60860.580776572002</v>
      </c>
      <c r="M6" s="226">
        <v>4268.9613811940326</v>
      </c>
      <c r="N6" s="227">
        <f t="shared" si="0"/>
        <v>288866.38679412974</v>
      </c>
      <c r="O6" s="227">
        <f t="shared" si="1"/>
        <v>33318.185678525377</v>
      </c>
      <c r="P6" s="227">
        <f t="shared" si="2"/>
        <v>264862.04363034462</v>
      </c>
      <c r="Q6" s="227">
        <f t="shared" si="3"/>
        <v>81110.565232668727</v>
      </c>
      <c r="R6" s="227">
        <f t="shared" si="4"/>
        <v>5689.361918123077</v>
      </c>
      <c r="S6" s="226">
        <v>384980.15645966178</v>
      </c>
      <c r="T6" s="228">
        <f t="shared" si="5"/>
        <v>1.332727427141015</v>
      </c>
      <c r="U6" s="227">
        <f t="shared" si="6"/>
        <v>866599.16038238921</v>
      </c>
      <c r="V6" s="227">
        <f t="shared" si="7"/>
        <v>1154940.4693789855</v>
      </c>
      <c r="W6" s="221" t="s">
        <v>572</v>
      </c>
      <c r="X6" s="221" t="s">
        <v>577</v>
      </c>
      <c r="Y6" s="229">
        <f>SUMIFS(Cert_App_Output!$G:$G,Cert_App_Output!$E:$E,$E6,Cert_App_Output!$K:$K,$X6)</f>
        <v>1</v>
      </c>
    </row>
    <row r="7" spans="1:25" x14ac:dyDescent="0.35">
      <c r="A7" s="221" t="s">
        <v>573</v>
      </c>
      <c r="B7" s="221" t="s">
        <v>573</v>
      </c>
      <c r="C7" s="221" t="s">
        <v>573</v>
      </c>
      <c r="D7" s="221" t="s">
        <v>573</v>
      </c>
      <c r="E7" s="221">
        <v>1.03</v>
      </c>
      <c r="F7" s="221" t="s">
        <v>574</v>
      </c>
      <c r="G7" s="221" t="s">
        <v>579</v>
      </c>
      <c r="H7" s="221" t="s">
        <v>576</v>
      </c>
      <c r="I7" s="225">
        <v>1</v>
      </c>
      <c r="J7" s="226">
        <v>0</v>
      </c>
      <c r="K7" s="226">
        <v>0</v>
      </c>
      <c r="L7" s="226">
        <v>0</v>
      </c>
      <c r="M7" s="226">
        <v>0</v>
      </c>
      <c r="N7" s="227">
        <f t="shared" si="0"/>
        <v>0</v>
      </c>
      <c r="O7" s="227">
        <f t="shared" si="1"/>
        <v>0</v>
      </c>
      <c r="P7" s="227">
        <f t="shared" si="2"/>
        <v>0</v>
      </c>
      <c r="Q7" s="227">
        <f t="shared" si="3"/>
        <v>0</v>
      </c>
      <c r="R7" s="227">
        <f t="shared" si="4"/>
        <v>0</v>
      </c>
      <c r="S7" s="226">
        <v>0</v>
      </c>
      <c r="T7" s="228" t="str">
        <f t="shared" si="5"/>
        <v/>
      </c>
      <c r="U7" s="227">
        <f t="shared" si="6"/>
        <v>0</v>
      </c>
      <c r="V7" s="227">
        <f t="shared" si="7"/>
        <v>0</v>
      </c>
      <c r="W7" s="221" t="s">
        <v>572</v>
      </c>
      <c r="X7" s="221" t="s">
        <v>577</v>
      </c>
      <c r="Y7" s="229">
        <f>SUMIFS(Cert_App_Output!$G:$G,Cert_App_Output!$E:$E,$E7,Cert_App_Output!$K:$K,$X7)</f>
        <v>0</v>
      </c>
    </row>
    <row r="8" spans="1:25" x14ac:dyDescent="0.35">
      <c r="A8" s="221" t="s">
        <v>192</v>
      </c>
      <c r="B8" s="221" t="s">
        <v>573</v>
      </c>
      <c r="C8" s="221" t="s">
        <v>573</v>
      </c>
      <c r="D8" s="221" t="s">
        <v>192</v>
      </c>
      <c r="E8" s="221">
        <v>1.04</v>
      </c>
      <c r="F8" s="221" t="s">
        <v>574</v>
      </c>
      <c r="G8" s="221" t="s">
        <v>580</v>
      </c>
      <c r="H8" s="221" t="s">
        <v>581</v>
      </c>
      <c r="I8" s="225">
        <v>10</v>
      </c>
      <c r="J8" s="226">
        <v>88330.702809917304</v>
      </c>
      <c r="K8" s="226">
        <v>0</v>
      </c>
      <c r="L8" s="226">
        <v>101654.366059858</v>
      </c>
      <c r="M8" s="226">
        <v>2849.7760330466299</v>
      </c>
      <c r="N8" s="227">
        <f t="shared" si="0"/>
        <v>192834.84490282193</v>
      </c>
      <c r="O8" s="227">
        <f t="shared" si="1"/>
        <v>117720.75029341875</v>
      </c>
      <c r="P8" s="227">
        <f t="shared" si="2"/>
        <v>0</v>
      </c>
      <c r="Q8" s="227">
        <f t="shared" si="3"/>
        <v>135477.56173660551</v>
      </c>
      <c r="R8" s="227">
        <f t="shared" si="4"/>
        <v>3797.9746804503638</v>
      </c>
      <c r="S8" s="226">
        <v>256996.28671047461</v>
      </c>
      <c r="T8" s="228">
        <f t="shared" si="5"/>
        <v>1.3327274271410154</v>
      </c>
      <c r="U8" s="227">
        <f t="shared" si="6"/>
        <v>1928348.4490282193</v>
      </c>
      <c r="V8" s="227">
        <f t="shared" si="7"/>
        <v>2569962.8671047459</v>
      </c>
      <c r="W8" s="221" t="s">
        <v>572</v>
      </c>
      <c r="X8" s="221" t="s">
        <v>577</v>
      </c>
      <c r="Y8" s="229">
        <f>SUMIFS(Cert_App_Output!$G:$G,Cert_App_Output!$E:$E,$E8,Cert_App_Output!$K:$K,$X8)</f>
        <v>1</v>
      </c>
    </row>
    <row r="9" spans="1:25" x14ac:dyDescent="0.35">
      <c r="A9" s="221" t="s">
        <v>192</v>
      </c>
      <c r="B9" s="221" t="s">
        <v>573</v>
      </c>
      <c r="C9" s="221" t="s">
        <v>192</v>
      </c>
      <c r="D9" s="221" t="s">
        <v>192</v>
      </c>
      <c r="E9" s="221">
        <v>1.05</v>
      </c>
      <c r="F9" s="221" t="s">
        <v>574</v>
      </c>
      <c r="G9" s="221" t="s">
        <v>582</v>
      </c>
      <c r="H9" s="221" t="s">
        <v>576</v>
      </c>
      <c r="I9" s="225">
        <v>1</v>
      </c>
      <c r="J9" s="226">
        <v>2078824.6995041301</v>
      </c>
      <c r="K9" s="226">
        <v>750000</v>
      </c>
      <c r="L9" s="226">
        <v>4424962.8553190297</v>
      </c>
      <c r="M9" s="226">
        <v>108806.813322348</v>
      </c>
      <c r="N9" s="227">
        <f t="shared" si="0"/>
        <v>7362594.3681455078</v>
      </c>
      <c r="O9" s="227">
        <f t="shared" si="1"/>
        <v>2770506.6932473332</v>
      </c>
      <c r="P9" s="227">
        <f t="shared" si="2"/>
        <v>999545.57035576133</v>
      </c>
      <c r="Q9" s="227">
        <f t="shared" si="3"/>
        <v>5897269.3613638915</v>
      </c>
      <c r="R9" s="227">
        <f t="shared" si="4"/>
        <v>145009.82437450558</v>
      </c>
      <c r="S9" s="226">
        <v>9812331.4493414909</v>
      </c>
      <c r="T9" s="228">
        <f t="shared" si="5"/>
        <v>1.3327274271410152</v>
      </c>
      <c r="U9" s="227">
        <f t="shared" si="6"/>
        <v>7362594.3681455078</v>
      </c>
      <c r="V9" s="227">
        <f t="shared" si="7"/>
        <v>9812331.4493414909</v>
      </c>
      <c r="W9" s="221" t="s">
        <v>572</v>
      </c>
      <c r="X9" s="221" t="s">
        <v>577</v>
      </c>
      <c r="Y9" s="229">
        <f>SUMIFS(Cert_App_Output!$G:$G,Cert_App_Output!$E:$E,$E9,Cert_App_Output!$K:$K,$X9)</f>
        <v>1</v>
      </c>
    </row>
    <row r="10" spans="1:25" x14ac:dyDescent="0.35">
      <c r="A10" s="221" t="s">
        <v>427</v>
      </c>
      <c r="B10" s="221" t="s">
        <v>573</v>
      </c>
      <c r="C10" s="221" t="s">
        <v>427</v>
      </c>
      <c r="D10" s="221" t="s">
        <v>192</v>
      </c>
      <c r="E10" s="221">
        <v>1.06</v>
      </c>
      <c r="F10" s="221" t="s">
        <v>574</v>
      </c>
      <c r="G10" s="221" t="s">
        <v>583</v>
      </c>
      <c r="H10" s="221" t="s">
        <v>584</v>
      </c>
      <c r="I10" s="225">
        <v>4</v>
      </c>
      <c r="J10" s="226">
        <v>0</v>
      </c>
      <c r="K10" s="226">
        <v>318994.121175765</v>
      </c>
      <c r="L10" s="226">
        <v>13291.421715656879</v>
      </c>
      <c r="M10" s="226">
        <v>0</v>
      </c>
      <c r="N10" s="227">
        <f t="shared" si="0"/>
        <v>332285.54289142188</v>
      </c>
      <c r="O10" s="227">
        <f t="shared" si="1"/>
        <v>0</v>
      </c>
      <c r="P10" s="227">
        <f t="shared" si="2"/>
        <v>425132.21438768652</v>
      </c>
      <c r="Q10" s="227">
        <f t="shared" si="3"/>
        <v>17713.84226615361</v>
      </c>
      <c r="R10" s="227">
        <f t="shared" si="4"/>
        <v>0</v>
      </c>
      <c r="S10" s="226">
        <v>442846.05665384012</v>
      </c>
      <c r="T10" s="228">
        <f t="shared" si="5"/>
        <v>1.3327274271410152</v>
      </c>
      <c r="U10" s="227">
        <f t="shared" si="6"/>
        <v>1329142.1715656875</v>
      </c>
      <c r="V10" s="227">
        <f t="shared" si="7"/>
        <v>1771384.2266153605</v>
      </c>
      <c r="W10" s="221" t="s">
        <v>572</v>
      </c>
      <c r="X10" s="221" t="s">
        <v>577</v>
      </c>
      <c r="Y10" s="229">
        <f>SUMIFS(Cert_App_Output!$G:$G,Cert_App_Output!$E:$E,$E10,Cert_App_Output!$K:$K,$X10)</f>
        <v>0.99999999999999989</v>
      </c>
    </row>
    <row r="11" spans="1:25" x14ac:dyDescent="0.35">
      <c r="A11" s="221" t="s">
        <v>192</v>
      </c>
      <c r="B11" s="221" t="s">
        <v>573</v>
      </c>
      <c r="C11" s="221" t="s">
        <v>573</v>
      </c>
      <c r="D11" s="221" t="s">
        <v>192</v>
      </c>
      <c r="E11" s="221">
        <v>1.07</v>
      </c>
      <c r="F11" s="221" t="s">
        <v>574</v>
      </c>
      <c r="G11" s="221" t="s">
        <v>585</v>
      </c>
      <c r="H11" s="221" t="s">
        <v>576</v>
      </c>
      <c r="I11" s="225">
        <v>1</v>
      </c>
      <c r="J11" s="226">
        <v>1090000</v>
      </c>
      <c r="K11" s="226">
        <v>0</v>
      </c>
      <c r="L11" s="226">
        <v>601395.67469257605</v>
      </c>
      <c r="M11" s="226">
        <v>25370.9351203886</v>
      </c>
      <c r="N11" s="227">
        <f t="shared" si="0"/>
        <v>1716766.6098129647</v>
      </c>
      <c r="O11" s="227">
        <f t="shared" si="1"/>
        <v>1452672.8955837069</v>
      </c>
      <c r="P11" s="227">
        <f t="shared" si="2"/>
        <v>0</v>
      </c>
      <c r="Q11" s="227">
        <f t="shared" si="3"/>
        <v>801496.51022677205</v>
      </c>
      <c r="R11" s="227">
        <f t="shared" si="4"/>
        <v>33812.541087157129</v>
      </c>
      <c r="S11" s="226">
        <v>2287981.9468976362</v>
      </c>
      <c r="T11" s="228">
        <f t="shared" si="5"/>
        <v>1.3327274271410154</v>
      </c>
      <c r="U11" s="227">
        <f t="shared" si="6"/>
        <v>1716766.6098129647</v>
      </c>
      <c r="V11" s="227">
        <f t="shared" si="7"/>
        <v>2287981.9468976362</v>
      </c>
      <c r="W11" s="221" t="s">
        <v>572</v>
      </c>
      <c r="X11" s="221" t="s">
        <v>577</v>
      </c>
      <c r="Y11" s="229">
        <f>SUMIFS(Cert_App_Output!$G:$G,Cert_App_Output!$E:$E,$E11,Cert_App_Output!$K:$K,$X11)</f>
        <v>1</v>
      </c>
    </row>
    <row r="12" spans="1:25" x14ac:dyDescent="0.35">
      <c r="A12" s="221" t="s">
        <v>192</v>
      </c>
      <c r="B12" s="221" t="s">
        <v>573</v>
      </c>
      <c r="C12" s="221" t="s">
        <v>573</v>
      </c>
      <c r="D12" s="221" t="s">
        <v>192</v>
      </c>
      <c r="E12" s="221">
        <v>1.08</v>
      </c>
      <c r="F12" s="221" t="s">
        <v>574</v>
      </c>
      <c r="G12" s="221" t="s">
        <v>586</v>
      </c>
      <c r="H12" s="221" t="s">
        <v>576</v>
      </c>
      <c r="I12" s="225">
        <v>1</v>
      </c>
      <c r="J12" s="226">
        <v>685200</v>
      </c>
      <c r="K12" s="226">
        <v>0</v>
      </c>
      <c r="L12" s="226">
        <v>651528.70745257603</v>
      </c>
      <c r="M12" s="226">
        <v>20050.930611788601</v>
      </c>
      <c r="N12" s="227">
        <f t="shared" si="0"/>
        <v>1356779.6380643647</v>
      </c>
      <c r="O12" s="227">
        <f t="shared" si="1"/>
        <v>913184.83307702397</v>
      </c>
      <c r="P12" s="227">
        <f t="shared" si="2"/>
        <v>0</v>
      </c>
      <c r="Q12" s="227">
        <f t="shared" si="3"/>
        <v>868310.17799178313</v>
      </c>
      <c r="R12" s="227">
        <f t="shared" si="4"/>
        <v>26722.425166032051</v>
      </c>
      <c r="S12" s="226">
        <v>1808217.436234839</v>
      </c>
      <c r="T12" s="228">
        <f t="shared" si="5"/>
        <v>1.3327274271410157</v>
      </c>
      <c r="U12" s="227">
        <f t="shared" si="6"/>
        <v>1356779.6380643647</v>
      </c>
      <c r="V12" s="227">
        <f t="shared" si="7"/>
        <v>1808217.436234839</v>
      </c>
      <c r="W12" s="221" t="s">
        <v>572</v>
      </c>
      <c r="X12" s="221" t="s">
        <v>577</v>
      </c>
      <c r="Y12" s="229">
        <f>SUMIFS(Cert_App_Output!$G:$G,Cert_App_Output!$E:$E,$E12,Cert_App_Output!$K:$K,$X12)</f>
        <v>1</v>
      </c>
    </row>
    <row r="13" spans="1:25" x14ac:dyDescent="0.35">
      <c r="A13" s="221" t="s">
        <v>192</v>
      </c>
      <c r="B13" s="221" t="s">
        <v>573</v>
      </c>
      <c r="C13" s="221" t="s">
        <v>192</v>
      </c>
      <c r="D13" s="221" t="s">
        <v>573</v>
      </c>
      <c r="E13" s="221">
        <v>1.0900000000000001</v>
      </c>
      <c r="F13" s="221" t="s">
        <v>574</v>
      </c>
      <c r="G13" s="221" t="s">
        <v>587</v>
      </c>
      <c r="H13" s="221" t="s">
        <v>576</v>
      </c>
      <c r="I13" s="225">
        <v>1</v>
      </c>
      <c r="J13" s="226">
        <v>0</v>
      </c>
      <c r="K13" s="226">
        <v>362691.08508372901</v>
      </c>
      <c r="L13" s="226">
        <v>0</v>
      </c>
      <c r="M13" s="226">
        <v>0</v>
      </c>
      <c r="N13" s="227">
        <f t="shared" si="0"/>
        <v>362691.08508372901</v>
      </c>
      <c r="O13" s="227">
        <f t="shared" si="1"/>
        <v>0</v>
      </c>
      <c r="P13" s="227">
        <f t="shared" si="2"/>
        <v>483368.3566706212</v>
      </c>
      <c r="Q13" s="227">
        <f t="shared" si="3"/>
        <v>0</v>
      </c>
      <c r="R13" s="227">
        <f t="shared" si="4"/>
        <v>0</v>
      </c>
      <c r="S13" s="226">
        <v>483368.3566706212</v>
      </c>
      <c r="T13" s="228">
        <f t="shared" si="5"/>
        <v>1.3327274271410152</v>
      </c>
      <c r="U13" s="227">
        <f t="shared" si="6"/>
        <v>362691.08508372901</v>
      </c>
      <c r="V13" s="227">
        <f t="shared" si="7"/>
        <v>483368.3566706212</v>
      </c>
      <c r="W13" s="221" t="s">
        <v>572</v>
      </c>
      <c r="X13" s="221" t="s">
        <v>577</v>
      </c>
      <c r="Y13" s="229">
        <f>SUMIFS(Cert_App_Output!$G:$G,Cert_App_Output!$E:$E,$E13,Cert_App_Output!$K:$K,$X13)</f>
        <v>1</v>
      </c>
    </row>
    <row r="14" spans="1:25" x14ac:dyDescent="0.35">
      <c r="A14" s="221" t="s">
        <v>573</v>
      </c>
      <c r="B14" s="221" t="s">
        <v>573</v>
      </c>
      <c r="C14" s="221" t="s">
        <v>573</v>
      </c>
      <c r="D14" s="221" t="s">
        <v>573</v>
      </c>
      <c r="E14" s="221">
        <v>2</v>
      </c>
      <c r="G14" s="221" t="s">
        <v>588</v>
      </c>
      <c r="I14" s="222"/>
      <c r="J14" s="223"/>
      <c r="K14" s="223"/>
      <c r="L14" s="223"/>
      <c r="M14" s="223"/>
      <c r="N14" s="223"/>
      <c r="O14" s="223"/>
      <c r="P14" s="223"/>
      <c r="Q14" s="223"/>
      <c r="R14" s="223"/>
      <c r="S14" s="223"/>
      <c r="T14" s="224"/>
      <c r="U14" s="223"/>
      <c r="V14" s="223"/>
      <c r="W14" s="221" t="s">
        <v>588</v>
      </c>
      <c r="X14" s="221" t="s">
        <v>577</v>
      </c>
      <c r="Y14" s="215"/>
    </row>
    <row r="15" spans="1:25" x14ac:dyDescent="0.35">
      <c r="A15" s="221" t="s">
        <v>232</v>
      </c>
      <c r="B15" s="221" t="s">
        <v>573</v>
      </c>
      <c r="C15" s="221" t="s">
        <v>232</v>
      </c>
      <c r="D15" s="221" t="s">
        <v>288</v>
      </c>
      <c r="E15" s="221">
        <v>2.0099999999999998</v>
      </c>
      <c r="F15" s="221" t="s">
        <v>574</v>
      </c>
      <c r="G15" s="221" t="s">
        <v>589</v>
      </c>
      <c r="H15" s="221" t="s">
        <v>590</v>
      </c>
      <c r="I15" s="225">
        <v>308</v>
      </c>
      <c r="J15" s="226">
        <v>0</v>
      </c>
      <c r="K15" s="226">
        <v>33000</v>
      </c>
      <c r="L15" s="226">
        <v>6520.7765117755844</v>
      </c>
      <c r="M15" s="226">
        <v>97.811647676633442</v>
      </c>
      <c r="N15" s="227">
        <f>SUM(J15:M15)</f>
        <v>39618.588159452214</v>
      </c>
      <c r="O15" s="227">
        <f>IF($N15=0,$S15,J15/$N15*$S15)</f>
        <v>0</v>
      </c>
      <c r="P15" s="227">
        <f t="shared" ref="P15:R19" si="8">IF($N15=0,0,K15/$N15*$S15)</f>
        <v>43980.005095653505</v>
      </c>
      <c r="Q15" s="227">
        <f t="shared" si="8"/>
        <v>8690.4177035002394</v>
      </c>
      <c r="R15" s="227">
        <f t="shared" si="8"/>
        <v>130.35626555250315</v>
      </c>
      <c r="S15" s="226">
        <v>52800.779064706243</v>
      </c>
      <c r="T15" s="228">
        <f>IFERROR(S15/N15,"")</f>
        <v>1.3327274271410152</v>
      </c>
      <c r="U15" s="227">
        <f>N15*I15</f>
        <v>12202525.153111283</v>
      </c>
      <c r="V15" s="227">
        <f>S15*I15</f>
        <v>16262639.951929523</v>
      </c>
      <c r="W15" s="221" t="s">
        <v>588</v>
      </c>
      <c r="X15" s="221" t="s">
        <v>577</v>
      </c>
      <c r="Y15" s="229">
        <f>SUMIFS(Cert_App_Output!$G:$G,Cert_App_Output!$E:$E,$E15,Cert_App_Output!$K:$K,$X15)</f>
        <v>1</v>
      </c>
    </row>
    <row r="16" spans="1:25" x14ac:dyDescent="0.35">
      <c r="A16" s="221" t="s">
        <v>232</v>
      </c>
      <c r="B16" s="221" t="s">
        <v>573</v>
      </c>
      <c r="C16" s="221" t="s">
        <v>232</v>
      </c>
      <c r="D16" s="221" t="s">
        <v>192</v>
      </c>
      <c r="E16" s="221">
        <v>2.02</v>
      </c>
      <c r="F16" s="221" t="s">
        <v>574</v>
      </c>
      <c r="G16" s="221" t="s">
        <v>591</v>
      </c>
      <c r="H16" s="221" t="s">
        <v>576</v>
      </c>
      <c r="I16" s="225">
        <v>1</v>
      </c>
      <c r="J16" s="226">
        <v>105000</v>
      </c>
      <c r="K16" s="226">
        <v>455000</v>
      </c>
      <c r="L16" s="226">
        <v>8033596.6625074996</v>
      </c>
      <c r="M16" s="226">
        <v>128903.949937613</v>
      </c>
      <c r="N16" s="227">
        <f>SUM(J16:M16)</f>
        <v>8722500.6124451142</v>
      </c>
      <c r="O16" s="227">
        <f>IF($N16=0,$S16,J16/$N16*$S16)</f>
        <v>139936.37984980663</v>
      </c>
      <c r="P16" s="227">
        <f t="shared" si="8"/>
        <v>606390.97934916208</v>
      </c>
      <c r="Q16" s="227">
        <f t="shared" si="8"/>
        <v>10706594.610712271</v>
      </c>
      <c r="R16" s="227">
        <f t="shared" si="8"/>
        <v>171793.82954866925</v>
      </c>
      <c r="S16" s="226">
        <v>11624715.79945991</v>
      </c>
      <c r="T16" s="228">
        <f>IFERROR(S16/N16,"")</f>
        <v>1.3327274271410157</v>
      </c>
      <c r="U16" s="227">
        <f>N16*I16</f>
        <v>8722500.6124451142</v>
      </c>
      <c r="V16" s="227">
        <f>S16*I16</f>
        <v>11624715.79945991</v>
      </c>
      <c r="W16" s="221" t="s">
        <v>588</v>
      </c>
      <c r="X16" s="221" t="s">
        <v>577</v>
      </c>
      <c r="Y16" s="229">
        <f>SUMIFS(Cert_App_Output!$G:$G,Cert_App_Output!$E:$E,$E16,Cert_App_Output!$K:$K,$X16)</f>
        <v>1</v>
      </c>
    </row>
    <row r="17" spans="1:25" x14ac:dyDescent="0.35">
      <c r="A17" s="221" t="s">
        <v>232</v>
      </c>
      <c r="B17" s="221" t="s">
        <v>573</v>
      </c>
      <c r="C17" s="221" t="s">
        <v>573</v>
      </c>
      <c r="D17" s="221" t="s">
        <v>192</v>
      </c>
      <c r="E17" s="221">
        <v>2.0299999999999998</v>
      </c>
      <c r="F17" s="221" t="s">
        <v>574</v>
      </c>
      <c r="G17" s="221" t="s">
        <v>592</v>
      </c>
      <c r="H17" s="221" t="s">
        <v>590</v>
      </c>
      <c r="I17" s="225">
        <v>15</v>
      </c>
      <c r="J17" s="226">
        <v>26000</v>
      </c>
      <c r="K17" s="226">
        <v>0</v>
      </c>
      <c r="L17" s="226">
        <v>60860.580776572002</v>
      </c>
      <c r="M17" s="226">
        <v>1302.90871164858</v>
      </c>
      <c r="N17" s="227">
        <f>SUM(J17:M17)</f>
        <v>88163.48948822057</v>
      </c>
      <c r="O17" s="227">
        <f>IF($N17=0,$S17,J17/$N17*$S17)</f>
        <v>34650.913105666383</v>
      </c>
      <c r="P17" s="227">
        <f t="shared" si="8"/>
        <v>0</v>
      </c>
      <c r="Q17" s="227">
        <f t="shared" si="8"/>
        <v>81110.565232668712</v>
      </c>
      <c r="R17" s="227">
        <f t="shared" si="8"/>
        <v>1736.4221750750264</v>
      </c>
      <c r="S17" s="226">
        <v>117497.9005134101</v>
      </c>
      <c r="T17" s="228">
        <f>IFERROR(S17/N17,"")</f>
        <v>1.3327274271410148</v>
      </c>
      <c r="U17" s="227">
        <f>N17*I17</f>
        <v>1322452.3423233086</v>
      </c>
      <c r="V17" s="227">
        <f>S17*I17</f>
        <v>1762468.5077011515</v>
      </c>
      <c r="W17" s="221" t="s">
        <v>588</v>
      </c>
      <c r="X17" s="221" t="s">
        <v>577</v>
      </c>
      <c r="Y17" s="229">
        <f>SUMIFS(Cert_App_Output!$G:$G,Cert_App_Output!$E:$E,$E17,Cert_App_Output!$K:$K,$X17)</f>
        <v>1</v>
      </c>
    </row>
    <row r="18" spans="1:25" x14ac:dyDescent="0.35">
      <c r="A18" s="221" t="s">
        <v>573</v>
      </c>
      <c r="B18" s="221" t="s">
        <v>573</v>
      </c>
      <c r="C18" s="221" t="s">
        <v>573</v>
      </c>
      <c r="D18" s="221" t="s">
        <v>573</v>
      </c>
      <c r="E18" s="221">
        <v>2.04</v>
      </c>
      <c r="F18" s="221" t="s">
        <v>593</v>
      </c>
      <c r="G18" s="221" t="s">
        <v>594</v>
      </c>
      <c r="H18" s="221" t="s">
        <v>595</v>
      </c>
      <c r="I18" s="225">
        <v>0</v>
      </c>
      <c r="J18" s="226">
        <v>0</v>
      </c>
      <c r="K18" s="226">
        <v>0</v>
      </c>
      <c r="L18" s="226">
        <v>0</v>
      </c>
      <c r="M18" s="226">
        <v>0</v>
      </c>
      <c r="N18" s="227">
        <f>SUM(J18:M18)</f>
        <v>0</v>
      </c>
      <c r="O18" s="227">
        <f>IF($N18=0,$S18,J18/$N18*$S18)</f>
        <v>0</v>
      </c>
      <c r="P18" s="227">
        <f t="shared" si="8"/>
        <v>0</v>
      </c>
      <c r="Q18" s="227">
        <f t="shared" si="8"/>
        <v>0</v>
      </c>
      <c r="R18" s="227">
        <f t="shared" si="8"/>
        <v>0</v>
      </c>
      <c r="S18" s="226">
        <v>0</v>
      </c>
      <c r="T18" s="228" t="str">
        <f>IFERROR(S18/N18,"")</f>
        <v/>
      </c>
      <c r="U18" s="227">
        <f>N18*I18</f>
        <v>0</v>
      </c>
      <c r="V18" s="227">
        <f>S18*I18</f>
        <v>0</v>
      </c>
      <c r="W18" s="221" t="s">
        <v>588</v>
      </c>
      <c r="X18" s="221" t="s">
        <v>577</v>
      </c>
      <c r="Y18" s="229">
        <f>SUMIFS(Cert_App_Output!$G:$G,Cert_App_Output!$E:$E,$E18,Cert_App_Output!$K:$K,$X18)</f>
        <v>0</v>
      </c>
    </row>
    <row r="19" spans="1:25" x14ac:dyDescent="0.35">
      <c r="A19" s="221" t="s">
        <v>573</v>
      </c>
      <c r="B19" s="221" t="s">
        <v>573</v>
      </c>
      <c r="C19" s="221" t="s">
        <v>573</v>
      </c>
      <c r="D19" s="221" t="s">
        <v>573</v>
      </c>
      <c r="E19" s="221">
        <v>2.0499999999999998</v>
      </c>
      <c r="F19" s="221" t="s">
        <v>574</v>
      </c>
      <c r="G19" s="221" t="s">
        <v>596</v>
      </c>
      <c r="H19" s="221" t="s">
        <v>576</v>
      </c>
      <c r="I19" s="225">
        <v>0</v>
      </c>
      <c r="J19" s="226">
        <v>0</v>
      </c>
      <c r="K19" s="226">
        <v>0</v>
      </c>
      <c r="L19" s="226">
        <v>0</v>
      </c>
      <c r="M19" s="226">
        <v>0</v>
      </c>
      <c r="N19" s="227">
        <f>SUM(J19:M19)</f>
        <v>0</v>
      </c>
      <c r="O19" s="227">
        <f>IF($N19=0,$S19,J19/$N19*$S19)</f>
        <v>0</v>
      </c>
      <c r="P19" s="227">
        <f t="shared" si="8"/>
        <v>0</v>
      </c>
      <c r="Q19" s="227">
        <f t="shared" si="8"/>
        <v>0</v>
      </c>
      <c r="R19" s="227">
        <f t="shared" si="8"/>
        <v>0</v>
      </c>
      <c r="S19" s="226">
        <v>0</v>
      </c>
      <c r="T19" s="228" t="str">
        <f>IFERROR(S19/N19,"")</f>
        <v/>
      </c>
      <c r="U19" s="227">
        <f>N19*I19</f>
        <v>0</v>
      </c>
      <c r="V19" s="227">
        <f>S19*I19</f>
        <v>0</v>
      </c>
      <c r="W19" s="221" t="s">
        <v>588</v>
      </c>
      <c r="X19" s="221" t="s">
        <v>577</v>
      </c>
      <c r="Y19" s="229">
        <f>SUMIFS(Cert_App_Output!$G:$G,Cert_App_Output!$E:$E,$E19,Cert_App_Output!$K:$K,$X19)</f>
        <v>0</v>
      </c>
    </row>
    <row r="20" spans="1:25" x14ac:dyDescent="0.35">
      <c r="A20" s="221" t="s">
        <v>573</v>
      </c>
      <c r="B20" s="221" t="s">
        <v>573</v>
      </c>
      <c r="C20" s="221" t="s">
        <v>573</v>
      </c>
      <c r="D20" s="221" t="s">
        <v>573</v>
      </c>
      <c r="E20" s="221">
        <v>3</v>
      </c>
      <c r="G20" s="221" t="s">
        <v>597</v>
      </c>
      <c r="I20" s="222"/>
      <c r="J20" s="223"/>
      <c r="K20" s="223"/>
      <c r="L20" s="223"/>
      <c r="M20" s="223"/>
      <c r="N20" s="223"/>
      <c r="O20" s="223"/>
      <c r="P20" s="223"/>
      <c r="Q20" s="223"/>
      <c r="R20" s="223"/>
      <c r="S20" s="223"/>
      <c r="T20" s="224"/>
      <c r="U20" s="223"/>
      <c r="V20" s="223"/>
      <c r="W20" s="221" t="s">
        <v>597</v>
      </c>
      <c r="X20" s="221" t="s">
        <v>577</v>
      </c>
      <c r="Y20" s="215"/>
    </row>
    <row r="21" spans="1:25" x14ac:dyDescent="0.35">
      <c r="A21" s="221" t="s">
        <v>239</v>
      </c>
      <c r="B21" s="221" t="s">
        <v>573</v>
      </c>
      <c r="C21" s="221" t="s">
        <v>573</v>
      </c>
      <c r="D21" s="221" t="s">
        <v>288</v>
      </c>
      <c r="E21" s="221">
        <v>3.01</v>
      </c>
      <c r="F21" s="221" t="s">
        <v>574</v>
      </c>
      <c r="G21" s="221" t="s">
        <v>598</v>
      </c>
      <c r="H21" s="221" t="s">
        <v>590</v>
      </c>
      <c r="I21" s="225">
        <v>13</v>
      </c>
      <c r="J21" s="226">
        <v>115100</v>
      </c>
      <c r="K21" s="226">
        <v>0</v>
      </c>
      <c r="L21" s="226">
        <v>101603.5818831877</v>
      </c>
      <c r="M21" s="226">
        <v>3250.5537282478149</v>
      </c>
      <c r="N21" s="227">
        <f t="shared" ref="N21:N41" si="9">SUM(J21:M21)</f>
        <v>219954.13561143551</v>
      </c>
      <c r="O21" s="227">
        <f t="shared" ref="O21:O41" si="10">IF($N21=0,$S21,J21/$N21*$S21)</f>
        <v>153396.92686393083</v>
      </c>
      <c r="P21" s="227">
        <f t="shared" ref="P21:P41" si="11">IF($N21=0,0,K21/$N21*$S21)</f>
        <v>0</v>
      </c>
      <c r="Q21" s="227">
        <f t="shared" ref="Q21:Q41" si="12">IF($N21=0,0,L21/$N21*$S21)</f>
        <v>135409.88027149221</v>
      </c>
      <c r="R21" s="227">
        <f t="shared" ref="R21:R41" si="13">IF($N21=0,0,M21/$N21*$S21)</f>
        <v>4332.1021070313454</v>
      </c>
      <c r="S21" s="226">
        <v>293138.90924245439</v>
      </c>
      <c r="T21" s="228">
        <f t="shared" ref="T21:T41" si="14">IFERROR(S21/N21,"")</f>
        <v>1.3327274271410152</v>
      </c>
      <c r="U21" s="227">
        <f t="shared" ref="U21:U41" si="15">N21*I21</f>
        <v>2859403.7629486616</v>
      </c>
      <c r="V21" s="227">
        <f t="shared" ref="V21:V41" si="16">S21*I21</f>
        <v>3810805.8201519069</v>
      </c>
      <c r="W21" s="221" t="s">
        <v>597</v>
      </c>
      <c r="X21" s="221" t="s">
        <v>577</v>
      </c>
      <c r="Y21" s="229">
        <f>SUMIFS(Cert_App_Output!$G:$G,Cert_App_Output!$E:$E,$E21,Cert_App_Output!$K:$K,$X21)</f>
        <v>1</v>
      </c>
    </row>
    <row r="22" spans="1:25" x14ac:dyDescent="0.35">
      <c r="A22" s="221" t="s">
        <v>239</v>
      </c>
      <c r="B22" s="221" t="s">
        <v>573</v>
      </c>
      <c r="C22" s="221" t="s">
        <v>288</v>
      </c>
      <c r="D22" s="221" t="s">
        <v>573</v>
      </c>
      <c r="E22" s="221">
        <v>3.02</v>
      </c>
      <c r="F22" s="221" t="s">
        <v>574</v>
      </c>
      <c r="G22" s="221" t="s">
        <v>599</v>
      </c>
      <c r="H22" s="221" t="s">
        <v>600</v>
      </c>
      <c r="I22" s="225">
        <v>18</v>
      </c>
      <c r="J22" s="226">
        <v>90570.796344000002</v>
      </c>
      <c r="K22" s="226">
        <v>250000</v>
      </c>
      <c r="L22" s="226">
        <v>0</v>
      </c>
      <c r="M22" s="226">
        <v>5108.5619451600014</v>
      </c>
      <c r="N22" s="227">
        <f t="shared" si="9"/>
        <v>345679.35828916001</v>
      </c>
      <c r="O22" s="227">
        <f t="shared" si="10"/>
        <v>120706.18438565201</v>
      </c>
      <c r="P22" s="227">
        <f t="shared" si="11"/>
        <v>333181.8567852538</v>
      </c>
      <c r="Q22" s="227">
        <f t="shared" si="12"/>
        <v>0</v>
      </c>
      <c r="R22" s="227">
        <f t="shared" si="13"/>
        <v>6808.3206175635896</v>
      </c>
      <c r="S22" s="226">
        <v>460696.36178846942</v>
      </c>
      <c r="T22" s="228">
        <f t="shared" si="14"/>
        <v>1.3327274271410152</v>
      </c>
      <c r="U22" s="227">
        <f t="shared" si="15"/>
        <v>6222228.4492048798</v>
      </c>
      <c r="V22" s="227">
        <f t="shared" si="16"/>
        <v>8292534.5121924495</v>
      </c>
      <c r="W22" s="221" t="s">
        <v>597</v>
      </c>
      <c r="X22" s="221" t="s">
        <v>577</v>
      </c>
      <c r="Y22" s="229">
        <f>SUMIFS(Cert_App_Output!$G:$G,Cert_App_Output!$E:$E,$E22,Cert_App_Output!$K:$K,$X22)</f>
        <v>1</v>
      </c>
    </row>
    <row r="23" spans="1:25" x14ac:dyDescent="0.35">
      <c r="A23" s="221" t="s">
        <v>239</v>
      </c>
      <c r="B23" s="221" t="s">
        <v>573</v>
      </c>
      <c r="C23" s="221" t="s">
        <v>288</v>
      </c>
      <c r="D23" s="221" t="s">
        <v>573</v>
      </c>
      <c r="E23" s="221">
        <v>3.03</v>
      </c>
      <c r="F23" s="221" t="s">
        <v>574</v>
      </c>
      <c r="G23" s="221" t="s">
        <v>601</v>
      </c>
      <c r="H23" s="221" t="s">
        <v>590</v>
      </c>
      <c r="I23" s="225">
        <v>12</v>
      </c>
      <c r="J23" s="226">
        <v>402072.54172518168</v>
      </c>
      <c r="K23" s="226">
        <v>357640.89987449913</v>
      </c>
      <c r="L23" s="226">
        <v>0</v>
      </c>
      <c r="M23" s="226">
        <v>11395.70162399525</v>
      </c>
      <c r="N23" s="227">
        <f t="shared" si="9"/>
        <v>771109.14322367602</v>
      </c>
      <c r="O23" s="227">
        <f t="shared" si="10"/>
        <v>535853.10405744973</v>
      </c>
      <c r="P23" s="227">
        <f t="shared" si="11"/>
        <v>476637.8363301385</v>
      </c>
      <c r="Q23" s="227">
        <f t="shared" si="12"/>
        <v>0</v>
      </c>
      <c r="R23" s="227">
        <f t="shared" si="13"/>
        <v>15187.364105813875</v>
      </c>
      <c r="S23" s="226">
        <v>1027678.304493402</v>
      </c>
      <c r="T23" s="228">
        <f t="shared" si="14"/>
        <v>1.3327274271410148</v>
      </c>
      <c r="U23" s="227">
        <f t="shared" si="15"/>
        <v>9253309.7186841127</v>
      </c>
      <c r="V23" s="227">
        <f t="shared" si="16"/>
        <v>12332139.653920824</v>
      </c>
      <c r="W23" s="221" t="s">
        <v>597</v>
      </c>
      <c r="X23" s="221" t="s">
        <v>577</v>
      </c>
      <c r="Y23" s="229">
        <f>SUMIFS(Cert_App_Output!$G:$G,Cert_App_Output!$E:$E,$E23,Cert_App_Output!$K:$K,$X23)</f>
        <v>1</v>
      </c>
    </row>
    <row r="24" spans="1:25" x14ac:dyDescent="0.35">
      <c r="A24" s="221" t="s">
        <v>239</v>
      </c>
      <c r="B24" s="221" t="s">
        <v>573</v>
      </c>
      <c r="C24" s="221" t="s">
        <v>288</v>
      </c>
      <c r="D24" s="221" t="s">
        <v>573</v>
      </c>
      <c r="E24" s="221">
        <v>3.04</v>
      </c>
      <c r="F24" s="221" t="s">
        <v>574</v>
      </c>
      <c r="G24" s="221" t="s">
        <v>602</v>
      </c>
      <c r="H24" s="221" t="s">
        <v>590</v>
      </c>
      <c r="I24" s="225">
        <v>7</v>
      </c>
      <c r="J24" s="226">
        <v>428196.58025620278</v>
      </c>
      <c r="K24" s="226">
        <v>281633.96217538568</v>
      </c>
      <c r="L24" s="226">
        <v>0</v>
      </c>
      <c r="M24" s="226">
        <v>10647.45813647383</v>
      </c>
      <c r="N24" s="227">
        <f t="shared" si="9"/>
        <v>720478.0005680623</v>
      </c>
      <c r="O24" s="227">
        <f t="shared" si="10"/>
        <v>570669.32671543036</v>
      </c>
      <c r="P24" s="227">
        <f t="shared" si="11"/>
        <v>375341.30580553174</v>
      </c>
      <c r="Q24" s="227">
        <f t="shared" si="12"/>
        <v>0</v>
      </c>
      <c r="R24" s="227">
        <f t="shared" si="13"/>
        <v>14190.159487814435</v>
      </c>
      <c r="S24" s="226">
        <v>960200.79200877657</v>
      </c>
      <c r="T24" s="228">
        <f t="shared" si="14"/>
        <v>1.3327274271410152</v>
      </c>
      <c r="U24" s="227">
        <f t="shared" si="15"/>
        <v>5043346.0039764363</v>
      </c>
      <c r="V24" s="227">
        <f t="shared" si="16"/>
        <v>6721405.5440614363</v>
      </c>
      <c r="W24" s="221" t="s">
        <v>597</v>
      </c>
      <c r="X24" s="221" t="s">
        <v>577</v>
      </c>
      <c r="Y24" s="229">
        <f>SUMIFS(Cert_App_Output!$G:$G,Cert_App_Output!$E:$E,$E24,Cert_App_Output!$K:$K,$X24)</f>
        <v>1</v>
      </c>
    </row>
    <row r="25" spans="1:25" x14ac:dyDescent="0.35">
      <c r="A25" s="221" t="s">
        <v>239</v>
      </c>
      <c r="B25" s="221" t="s">
        <v>573</v>
      </c>
      <c r="C25" s="221" t="s">
        <v>288</v>
      </c>
      <c r="D25" s="221" t="s">
        <v>573</v>
      </c>
      <c r="E25" s="221">
        <v>3.05</v>
      </c>
      <c r="F25" s="221" t="s">
        <v>574</v>
      </c>
      <c r="G25" s="221" t="s">
        <v>603</v>
      </c>
      <c r="H25" s="221" t="s">
        <v>590</v>
      </c>
      <c r="I25" s="225">
        <v>38</v>
      </c>
      <c r="J25" s="226">
        <v>333700.50579037901</v>
      </c>
      <c r="K25" s="226">
        <v>194327.43390101631</v>
      </c>
      <c r="L25" s="226">
        <v>0</v>
      </c>
      <c r="M25" s="226">
        <v>7920.4190953709212</v>
      </c>
      <c r="N25" s="227">
        <f t="shared" si="9"/>
        <v>535948.35878676618</v>
      </c>
      <c r="O25" s="227">
        <f t="shared" si="10"/>
        <v>444731.81651766726</v>
      </c>
      <c r="P25" s="227">
        <f t="shared" si="11"/>
        <v>258985.50100581715</v>
      </c>
      <c r="Q25" s="227">
        <f t="shared" si="12"/>
        <v>0</v>
      </c>
      <c r="R25" s="227">
        <f t="shared" si="13"/>
        <v>10555.759762852254</v>
      </c>
      <c r="S25" s="226">
        <v>714273.07728633657</v>
      </c>
      <c r="T25" s="228">
        <f t="shared" si="14"/>
        <v>1.3327274271410152</v>
      </c>
      <c r="U25" s="227">
        <f t="shared" si="15"/>
        <v>20366037.633897115</v>
      </c>
      <c r="V25" s="227">
        <f t="shared" si="16"/>
        <v>27142376.93688079</v>
      </c>
      <c r="W25" s="221" t="s">
        <v>597</v>
      </c>
      <c r="X25" s="221" t="s">
        <v>577</v>
      </c>
      <c r="Y25" s="229">
        <f>SUMIFS(Cert_App_Output!$G:$G,Cert_App_Output!$E:$E,$E25,Cert_App_Output!$K:$K,$X25)</f>
        <v>1</v>
      </c>
    </row>
    <row r="26" spans="1:25" x14ac:dyDescent="0.35">
      <c r="A26" s="221" t="s">
        <v>239</v>
      </c>
      <c r="B26" s="221" t="s">
        <v>573</v>
      </c>
      <c r="C26" s="221" t="s">
        <v>288</v>
      </c>
      <c r="D26" s="221" t="s">
        <v>573</v>
      </c>
      <c r="E26" s="221">
        <v>3.06</v>
      </c>
      <c r="F26" s="221" t="s">
        <v>574</v>
      </c>
      <c r="G26" s="221" t="s">
        <v>604</v>
      </c>
      <c r="H26" s="221" t="s">
        <v>590</v>
      </c>
      <c r="I26" s="225">
        <v>51</v>
      </c>
      <c r="J26" s="226">
        <v>275042.37829037837</v>
      </c>
      <c r="K26" s="226">
        <v>194327.43390101631</v>
      </c>
      <c r="L26" s="226">
        <v>0</v>
      </c>
      <c r="M26" s="226">
        <v>7040.5471828709206</v>
      </c>
      <c r="N26" s="227">
        <f t="shared" si="9"/>
        <v>476410.35937426559</v>
      </c>
      <c r="O26" s="227">
        <f t="shared" si="10"/>
        <v>366556.52117368177</v>
      </c>
      <c r="P26" s="227">
        <f t="shared" si="11"/>
        <v>258985.50100581718</v>
      </c>
      <c r="Q26" s="227">
        <f t="shared" si="12"/>
        <v>0</v>
      </c>
      <c r="R26" s="227">
        <f t="shared" si="13"/>
        <v>9383.1303326924844</v>
      </c>
      <c r="S26" s="226">
        <v>634925.15251219145</v>
      </c>
      <c r="T26" s="228">
        <f t="shared" si="14"/>
        <v>1.3327274271410152</v>
      </c>
      <c r="U26" s="227">
        <f t="shared" si="15"/>
        <v>24296928.328087546</v>
      </c>
      <c r="V26" s="227">
        <f t="shared" si="16"/>
        <v>32381182.778121762</v>
      </c>
      <c r="W26" s="221" t="s">
        <v>597</v>
      </c>
      <c r="X26" s="221" t="s">
        <v>577</v>
      </c>
      <c r="Y26" s="229">
        <f>SUMIFS(Cert_App_Output!$G:$G,Cert_App_Output!$E:$E,$E26,Cert_App_Output!$K:$K,$X26)</f>
        <v>1</v>
      </c>
    </row>
    <row r="27" spans="1:25" x14ac:dyDescent="0.35">
      <c r="A27" s="221" t="s">
        <v>239</v>
      </c>
      <c r="B27" s="221" t="s">
        <v>573</v>
      </c>
      <c r="C27" s="221" t="s">
        <v>288</v>
      </c>
      <c r="D27" s="221" t="s">
        <v>573</v>
      </c>
      <c r="E27" s="221">
        <v>3.07</v>
      </c>
      <c r="F27" s="221" t="s">
        <v>574</v>
      </c>
      <c r="G27" s="221" t="s">
        <v>605</v>
      </c>
      <c r="H27" s="221" t="s">
        <v>590</v>
      </c>
      <c r="I27" s="225">
        <v>16</v>
      </c>
      <c r="J27" s="226">
        <v>635192.71722614369</v>
      </c>
      <c r="K27" s="226">
        <v>317914.04751247441</v>
      </c>
      <c r="L27" s="226">
        <v>0</v>
      </c>
      <c r="M27" s="226">
        <v>14296.60147107925</v>
      </c>
      <c r="N27" s="227">
        <f t="shared" si="9"/>
        <v>967403.36620969744</v>
      </c>
      <c r="O27" s="227">
        <f t="shared" si="10"/>
        <v>846538.75576750853</v>
      </c>
      <c r="P27" s="227">
        <f t="shared" si="11"/>
        <v>423692.77059328632</v>
      </c>
      <c r="Q27" s="227">
        <f t="shared" si="12"/>
        <v>0</v>
      </c>
      <c r="R27" s="227">
        <f t="shared" si="13"/>
        <v>19053.472895411895</v>
      </c>
      <c r="S27" s="226">
        <v>1289284.9992562069</v>
      </c>
      <c r="T27" s="228">
        <f t="shared" si="14"/>
        <v>1.3327274271410148</v>
      </c>
      <c r="U27" s="227">
        <f t="shared" si="15"/>
        <v>15478453.859355159</v>
      </c>
      <c r="V27" s="227">
        <f t="shared" si="16"/>
        <v>20628559.988099311</v>
      </c>
      <c r="W27" s="221" t="s">
        <v>597</v>
      </c>
      <c r="X27" s="221" t="s">
        <v>577</v>
      </c>
      <c r="Y27" s="229">
        <f>SUMIFS(Cert_App_Output!$G:$G,Cert_App_Output!$E:$E,$E27,Cert_App_Output!$K:$K,$X27)</f>
        <v>1</v>
      </c>
    </row>
    <row r="28" spans="1:25" x14ac:dyDescent="0.35">
      <c r="A28" s="221" t="s">
        <v>239</v>
      </c>
      <c r="B28" s="221" t="s">
        <v>573</v>
      </c>
      <c r="C28" s="221" t="s">
        <v>288</v>
      </c>
      <c r="D28" s="221" t="s">
        <v>573</v>
      </c>
      <c r="E28" s="221">
        <v>3.08</v>
      </c>
      <c r="F28" s="221" t="s">
        <v>574</v>
      </c>
      <c r="G28" s="221" t="s">
        <v>606</v>
      </c>
      <c r="H28" s="221" t="s">
        <v>590</v>
      </c>
      <c r="I28" s="225">
        <v>7</v>
      </c>
      <c r="J28" s="226">
        <v>528753.37025620288</v>
      </c>
      <c r="K28" s="226">
        <v>281633.96217538568</v>
      </c>
      <c r="L28" s="226">
        <v>0</v>
      </c>
      <c r="M28" s="226">
        <v>12155.809986473831</v>
      </c>
      <c r="N28" s="227">
        <f t="shared" si="9"/>
        <v>822543.14241806243</v>
      </c>
      <c r="O28" s="227">
        <f t="shared" si="10"/>
        <v>704684.11873368989</v>
      </c>
      <c r="P28" s="227">
        <f t="shared" si="11"/>
        <v>375341.30580553174</v>
      </c>
      <c r="Q28" s="227">
        <f t="shared" si="12"/>
        <v>0</v>
      </c>
      <c r="R28" s="227">
        <f t="shared" si="13"/>
        <v>16200.381368088327</v>
      </c>
      <c r="S28" s="226">
        <v>1096225.80590731</v>
      </c>
      <c r="T28" s="228">
        <f t="shared" si="14"/>
        <v>1.3327274271410152</v>
      </c>
      <c r="U28" s="227">
        <f t="shared" si="15"/>
        <v>5757801.9969264371</v>
      </c>
      <c r="V28" s="227">
        <f t="shared" si="16"/>
        <v>7673580.6413511699</v>
      </c>
      <c r="W28" s="221" t="s">
        <v>597</v>
      </c>
      <c r="X28" s="221" t="s">
        <v>577</v>
      </c>
      <c r="Y28" s="229">
        <f>SUMIFS(Cert_App_Output!$G:$G,Cert_App_Output!$E:$E,$E28,Cert_App_Output!$K:$K,$X28)</f>
        <v>1</v>
      </c>
    </row>
    <row r="29" spans="1:25" x14ac:dyDescent="0.35">
      <c r="A29" s="221" t="s">
        <v>239</v>
      </c>
      <c r="B29" s="221" t="s">
        <v>573</v>
      </c>
      <c r="C29" s="221" t="s">
        <v>288</v>
      </c>
      <c r="D29" s="221" t="s">
        <v>573</v>
      </c>
      <c r="E29" s="221">
        <v>3.09</v>
      </c>
      <c r="F29" s="221" t="s">
        <v>574</v>
      </c>
      <c r="G29" s="221" t="s">
        <v>607</v>
      </c>
      <c r="H29" s="221" t="s">
        <v>590</v>
      </c>
      <c r="I29" s="225">
        <v>90</v>
      </c>
      <c r="J29" s="226">
        <v>372584.32994905562</v>
      </c>
      <c r="K29" s="226">
        <v>221790.79493264109</v>
      </c>
      <c r="L29" s="226">
        <v>0</v>
      </c>
      <c r="M29" s="226">
        <v>8915.6268732254448</v>
      </c>
      <c r="N29" s="227">
        <f t="shared" si="9"/>
        <v>603290.75175492209</v>
      </c>
      <c r="O29" s="227">
        <f t="shared" si="10"/>
        <v>496553.35544606403</v>
      </c>
      <c r="P29" s="227">
        <f t="shared" si="11"/>
        <v>295586.67549413926</v>
      </c>
      <c r="Q29" s="227">
        <f t="shared" si="12"/>
        <v>0</v>
      </c>
      <c r="R29" s="227">
        <f t="shared" si="13"/>
        <v>11882.100464103043</v>
      </c>
      <c r="S29" s="226">
        <v>804022.13140430627</v>
      </c>
      <c r="T29" s="228">
        <f t="shared" si="14"/>
        <v>1.3327274271410152</v>
      </c>
      <c r="U29" s="227">
        <f t="shared" si="15"/>
        <v>54296167.657942988</v>
      </c>
      <c r="V29" s="227">
        <f t="shared" si="16"/>
        <v>72361991.826387569</v>
      </c>
      <c r="W29" s="221" t="s">
        <v>597</v>
      </c>
      <c r="X29" s="221" t="s">
        <v>577</v>
      </c>
      <c r="Y29" s="229">
        <f>SUMIFS(Cert_App_Output!$G:$G,Cert_App_Output!$E:$E,$E29,Cert_App_Output!$K:$K,$X29)</f>
        <v>1</v>
      </c>
    </row>
    <row r="30" spans="1:25" x14ac:dyDescent="0.35">
      <c r="A30" s="221" t="s">
        <v>239</v>
      </c>
      <c r="B30" s="221" t="s">
        <v>573</v>
      </c>
      <c r="C30" s="221" t="s">
        <v>288</v>
      </c>
      <c r="D30" s="221" t="s">
        <v>288</v>
      </c>
      <c r="E30" s="221">
        <v>3.1</v>
      </c>
      <c r="F30" s="221" t="s">
        <v>574</v>
      </c>
      <c r="G30" s="221" t="s">
        <v>608</v>
      </c>
      <c r="H30" s="221" t="s">
        <v>590</v>
      </c>
      <c r="I30" s="225">
        <v>32</v>
      </c>
      <c r="J30" s="226">
        <v>379758.83388002502</v>
      </c>
      <c r="K30" s="226">
        <v>221790.79493264129</v>
      </c>
      <c r="L30" s="226">
        <v>55447.698733160323</v>
      </c>
      <c r="M30" s="226">
        <v>9854.9599131873747</v>
      </c>
      <c r="N30" s="227">
        <f t="shared" si="9"/>
        <v>666852.28745901398</v>
      </c>
      <c r="O30" s="227">
        <f t="shared" si="10"/>
        <v>506115.01361099794</v>
      </c>
      <c r="P30" s="227">
        <f t="shared" si="11"/>
        <v>295586.67549413955</v>
      </c>
      <c r="Q30" s="227">
        <f t="shared" si="12"/>
        <v>73896.668873534887</v>
      </c>
      <c r="R30" s="227">
        <f t="shared" si="13"/>
        <v>13133.975369680053</v>
      </c>
      <c r="S30" s="226">
        <v>888732.33334835235</v>
      </c>
      <c r="T30" s="228">
        <f t="shared" si="14"/>
        <v>1.3327274271410152</v>
      </c>
      <c r="U30" s="227">
        <f t="shared" si="15"/>
        <v>21339273.198688447</v>
      </c>
      <c r="V30" s="227">
        <f t="shared" si="16"/>
        <v>28439434.667147275</v>
      </c>
      <c r="W30" s="221" t="s">
        <v>597</v>
      </c>
      <c r="X30" s="221" t="s">
        <v>577</v>
      </c>
      <c r="Y30" s="229">
        <f>SUMIFS(Cert_App_Output!$G:$G,Cert_App_Output!$E:$E,$E30,Cert_App_Output!$K:$K,$X30)</f>
        <v>1</v>
      </c>
    </row>
    <row r="31" spans="1:25" x14ac:dyDescent="0.35">
      <c r="A31" s="221" t="s">
        <v>239</v>
      </c>
      <c r="B31" s="221" t="s">
        <v>573</v>
      </c>
      <c r="C31" s="221" t="s">
        <v>288</v>
      </c>
      <c r="D31" s="221" t="s">
        <v>573</v>
      </c>
      <c r="E31" s="221">
        <v>3.11</v>
      </c>
      <c r="F31" s="221" t="s">
        <v>574</v>
      </c>
      <c r="G31" s="221" t="s">
        <v>609</v>
      </c>
      <c r="H31" s="221" t="s">
        <v>590</v>
      </c>
      <c r="I31" s="225">
        <v>46</v>
      </c>
      <c r="J31" s="226">
        <v>567913.50664448482</v>
      </c>
      <c r="K31" s="226">
        <v>537036.80674123263</v>
      </c>
      <c r="L31" s="226">
        <v>0</v>
      </c>
      <c r="M31" s="226">
        <v>16574.254700785761</v>
      </c>
      <c r="N31" s="227">
        <f t="shared" si="9"/>
        <v>1121524.5680865033</v>
      </c>
      <c r="O31" s="227">
        <f t="shared" si="10"/>
        <v>756873.90654893604</v>
      </c>
      <c r="P31" s="227">
        <f t="shared" si="11"/>
        <v>715723.68172826956</v>
      </c>
      <c r="Q31" s="227">
        <f t="shared" si="12"/>
        <v>0</v>
      </c>
      <c r="R31" s="227">
        <f t="shared" si="13"/>
        <v>22088.963824158083</v>
      </c>
      <c r="S31" s="226">
        <v>1494686.5521013639</v>
      </c>
      <c r="T31" s="228">
        <f t="shared" si="14"/>
        <v>1.3327274271410152</v>
      </c>
      <c r="U31" s="227">
        <f t="shared" si="15"/>
        <v>51590130.131979153</v>
      </c>
      <c r="V31" s="227">
        <f t="shared" si="16"/>
        <v>68755581.396662742</v>
      </c>
      <c r="W31" s="221" t="s">
        <v>597</v>
      </c>
      <c r="X31" s="221" t="s">
        <v>577</v>
      </c>
      <c r="Y31" s="229">
        <f>SUMIFS(Cert_App_Output!$G:$G,Cert_App_Output!$E:$E,$E31,Cert_App_Output!$K:$K,$X31)</f>
        <v>1</v>
      </c>
    </row>
    <row r="32" spans="1:25" x14ac:dyDescent="0.35">
      <c r="A32" s="221" t="s">
        <v>239</v>
      </c>
      <c r="B32" s="221" t="s">
        <v>573</v>
      </c>
      <c r="C32" s="221" t="s">
        <v>288</v>
      </c>
      <c r="D32" s="221" t="s">
        <v>288</v>
      </c>
      <c r="E32" s="221">
        <v>3.12</v>
      </c>
      <c r="F32" s="221" t="s">
        <v>574</v>
      </c>
      <c r="G32" s="221" t="s">
        <v>610</v>
      </c>
      <c r="H32" s="221" t="s">
        <v>590</v>
      </c>
      <c r="I32" s="225">
        <v>31</v>
      </c>
      <c r="J32" s="226">
        <v>565756.86506570643</v>
      </c>
      <c r="K32" s="226">
        <v>537036.80674123229</v>
      </c>
      <c r="L32" s="226">
        <v>134259.20168530839</v>
      </c>
      <c r="M32" s="226">
        <v>18555.793102383712</v>
      </c>
      <c r="N32" s="227">
        <f t="shared" si="9"/>
        <v>1255608.6665946308</v>
      </c>
      <c r="O32" s="227">
        <f t="shared" si="10"/>
        <v>753999.69116638543</v>
      </c>
      <c r="P32" s="227">
        <f t="shared" si="11"/>
        <v>715723.68172826909</v>
      </c>
      <c r="Q32" s="227">
        <f t="shared" si="12"/>
        <v>178930.92043206771</v>
      </c>
      <c r="R32" s="227">
        <f t="shared" si="13"/>
        <v>24729.814399900843</v>
      </c>
      <c r="S32" s="226">
        <v>1673384.1077266231</v>
      </c>
      <c r="T32" s="228">
        <f t="shared" si="14"/>
        <v>1.3327274271410152</v>
      </c>
      <c r="U32" s="227">
        <f t="shared" si="15"/>
        <v>38923868.664433554</v>
      </c>
      <c r="V32" s="227">
        <f t="shared" si="16"/>
        <v>51874907.339525312</v>
      </c>
      <c r="W32" s="221" t="s">
        <v>597</v>
      </c>
      <c r="X32" s="221" t="s">
        <v>577</v>
      </c>
      <c r="Y32" s="229">
        <f>SUMIFS(Cert_App_Output!$G:$G,Cert_App_Output!$E:$E,$E32,Cert_App_Output!$K:$K,$X32)</f>
        <v>1</v>
      </c>
    </row>
    <row r="33" spans="1:25" x14ac:dyDescent="0.35">
      <c r="A33" s="221" t="s">
        <v>239</v>
      </c>
      <c r="B33" s="221" t="s">
        <v>573</v>
      </c>
      <c r="C33" s="221" t="s">
        <v>288</v>
      </c>
      <c r="D33" s="221" t="s">
        <v>573</v>
      </c>
      <c r="E33" s="221">
        <v>3.13</v>
      </c>
      <c r="F33" s="221" t="s">
        <v>574</v>
      </c>
      <c r="G33" s="221" t="s">
        <v>611</v>
      </c>
      <c r="H33" s="221" t="s">
        <v>590</v>
      </c>
      <c r="I33" s="225">
        <v>24</v>
      </c>
      <c r="J33" s="226">
        <v>410452.27422518173</v>
      </c>
      <c r="K33" s="226">
        <v>357640.89987449959</v>
      </c>
      <c r="L33" s="226">
        <v>0</v>
      </c>
      <c r="M33" s="226">
        <v>11521.397611495209</v>
      </c>
      <c r="N33" s="227">
        <f t="shared" si="9"/>
        <v>779614.57171117654</v>
      </c>
      <c r="O33" s="227">
        <f t="shared" si="10"/>
        <v>547021.00339230499</v>
      </c>
      <c r="P33" s="227">
        <f t="shared" si="11"/>
        <v>476637.83633013931</v>
      </c>
      <c r="Q33" s="227">
        <f t="shared" si="12"/>
        <v>0</v>
      </c>
      <c r="R33" s="227">
        <f t="shared" si="13"/>
        <v>15354.882595836651</v>
      </c>
      <c r="S33" s="226">
        <v>1039013.722318281</v>
      </c>
      <c r="T33" s="228">
        <f t="shared" si="14"/>
        <v>1.3327274271410154</v>
      </c>
      <c r="U33" s="227">
        <f t="shared" si="15"/>
        <v>18710749.721068237</v>
      </c>
      <c r="V33" s="227">
        <f t="shared" si="16"/>
        <v>24936329.335638743</v>
      </c>
      <c r="W33" s="221" t="s">
        <v>597</v>
      </c>
      <c r="X33" s="221" t="s">
        <v>577</v>
      </c>
      <c r="Y33" s="229">
        <f>SUMIFS(Cert_App_Output!$G:$G,Cert_App_Output!$E:$E,$E33,Cert_App_Output!$K:$K,$X33)</f>
        <v>1</v>
      </c>
    </row>
    <row r="34" spans="1:25" x14ac:dyDescent="0.35">
      <c r="A34" s="221" t="s">
        <v>239</v>
      </c>
      <c r="B34" s="221" t="s">
        <v>573</v>
      </c>
      <c r="C34" s="221" t="s">
        <v>288</v>
      </c>
      <c r="D34" s="221" t="s">
        <v>573</v>
      </c>
      <c r="E34" s="221">
        <v>3.14</v>
      </c>
      <c r="F34" s="221" t="s">
        <v>574</v>
      </c>
      <c r="G34" s="221" t="s">
        <v>612</v>
      </c>
      <c r="H34" s="221" t="s">
        <v>590</v>
      </c>
      <c r="I34" s="225">
        <v>39</v>
      </c>
      <c r="J34" s="226">
        <v>534635.92722614098</v>
      </c>
      <c r="K34" s="226">
        <v>317914.04751247441</v>
      </c>
      <c r="L34" s="226">
        <v>0</v>
      </c>
      <c r="M34" s="226">
        <v>12788.249621079231</v>
      </c>
      <c r="N34" s="227">
        <f t="shared" si="9"/>
        <v>865338.22435969452</v>
      </c>
      <c r="O34" s="227">
        <f t="shared" si="10"/>
        <v>712523.96374924574</v>
      </c>
      <c r="P34" s="227">
        <f t="shared" si="11"/>
        <v>423692.77059328643</v>
      </c>
      <c r="Q34" s="227">
        <f t="shared" si="12"/>
        <v>0</v>
      </c>
      <c r="R34" s="227">
        <f t="shared" si="13"/>
        <v>17043.251015137983</v>
      </c>
      <c r="S34" s="226">
        <v>1153259.9853576701</v>
      </c>
      <c r="T34" s="228">
        <f t="shared" si="14"/>
        <v>1.332727427141015</v>
      </c>
      <c r="U34" s="227">
        <f t="shared" si="15"/>
        <v>33748190.750028089</v>
      </c>
      <c r="V34" s="227">
        <f t="shared" si="16"/>
        <v>44977139.428949133</v>
      </c>
      <c r="W34" s="221" t="s">
        <v>597</v>
      </c>
      <c r="X34" s="221" t="s">
        <v>577</v>
      </c>
      <c r="Y34" s="229">
        <f>SUMIFS(Cert_App_Output!$G:$G,Cert_App_Output!$E:$E,$E34,Cert_App_Output!$K:$K,$X34)</f>
        <v>1</v>
      </c>
    </row>
    <row r="35" spans="1:25" x14ac:dyDescent="0.35">
      <c r="A35" s="221" t="s">
        <v>239</v>
      </c>
      <c r="B35" s="221" t="s">
        <v>573</v>
      </c>
      <c r="C35" s="221" t="s">
        <v>288</v>
      </c>
      <c r="D35" s="221" t="s">
        <v>288</v>
      </c>
      <c r="E35" s="221">
        <v>3.16</v>
      </c>
      <c r="F35" s="221" t="s">
        <v>574</v>
      </c>
      <c r="G35" s="221" t="s">
        <v>613</v>
      </c>
      <c r="H35" s="221" t="s">
        <v>590</v>
      </c>
      <c r="I35" s="225">
        <v>4</v>
      </c>
      <c r="J35" s="226">
        <v>543657.96059143252</v>
      </c>
      <c r="K35" s="226">
        <v>317914.04751247499</v>
      </c>
      <c r="L35" s="226">
        <v>79478.511878118748</v>
      </c>
      <c r="M35" s="226">
        <v>0</v>
      </c>
      <c r="N35" s="227">
        <f t="shared" si="9"/>
        <v>941050.51998202631</v>
      </c>
      <c r="O35" s="227">
        <f t="shared" si="10"/>
        <v>724547.87506375101</v>
      </c>
      <c r="P35" s="227">
        <f t="shared" si="11"/>
        <v>423692.77059328707</v>
      </c>
      <c r="Q35" s="227">
        <f t="shared" si="12"/>
        <v>105923.19264832177</v>
      </c>
      <c r="R35" s="227">
        <f t="shared" si="13"/>
        <v>0</v>
      </c>
      <c r="S35" s="226">
        <v>1254163.8383053599</v>
      </c>
      <c r="T35" s="228">
        <f t="shared" si="14"/>
        <v>1.3327274271410148</v>
      </c>
      <c r="U35" s="227">
        <f t="shared" si="15"/>
        <v>3764202.0799281052</v>
      </c>
      <c r="V35" s="227">
        <f t="shared" si="16"/>
        <v>5016655.3532214398</v>
      </c>
      <c r="W35" s="221" t="s">
        <v>597</v>
      </c>
      <c r="X35" s="221" t="s">
        <v>577</v>
      </c>
      <c r="Y35" s="229">
        <f>SUMIFS(Cert_App_Output!$G:$G,Cert_App_Output!$E:$E,$E35,Cert_App_Output!$K:$K,$X35)</f>
        <v>1</v>
      </c>
    </row>
    <row r="36" spans="1:25" x14ac:dyDescent="0.35">
      <c r="A36" s="221" t="s">
        <v>239</v>
      </c>
      <c r="B36" s="221" t="s">
        <v>573</v>
      </c>
      <c r="C36" s="221" t="s">
        <v>288</v>
      </c>
      <c r="D36" s="221" t="s">
        <v>288</v>
      </c>
      <c r="E36" s="221">
        <v>3.17</v>
      </c>
      <c r="F36" s="221" t="s">
        <v>574</v>
      </c>
      <c r="G36" s="221" t="s">
        <v>614</v>
      </c>
      <c r="H36" s="221" t="s">
        <v>590</v>
      </c>
      <c r="I36" s="225">
        <v>10</v>
      </c>
      <c r="J36" s="226">
        <v>416173.60204176803</v>
      </c>
      <c r="K36" s="226">
        <v>324424.43495983502</v>
      </c>
      <c r="L36" s="226">
        <v>81106.108739958698</v>
      </c>
      <c r="M36" s="226">
        <v>12325.562186123399</v>
      </c>
      <c r="N36" s="227">
        <f t="shared" si="9"/>
        <v>834029.70792768523</v>
      </c>
      <c r="O36" s="227">
        <f t="shared" si="10"/>
        <v>554645.97389313404</v>
      </c>
      <c r="P36" s="227">
        <f t="shared" si="11"/>
        <v>432369.34250569844</v>
      </c>
      <c r="Q36" s="227">
        <f t="shared" si="12"/>
        <v>108092.33562642454</v>
      </c>
      <c r="R36" s="227">
        <f t="shared" si="13"/>
        <v>16426.614780378819</v>
      </c>
      <c r="S36" s="226">
        <v>1111534.266805636</v>
      </c>
      <c r="T36" s="228">
        <f t="shared" si="14"/>
        <v>1.3327274271410148</v>
      </c>
      <c r="U36" s="227">
        <f t="shared" si="15"/>
        <v>8340297.0792768523</v>
      </c>
      <c r="V36" s="227">
        <f t="shared" si="16"/>
        <v>11115342.66805636</v>
      </c>
      <c r="W36" s="221" t="s">
        <v>597</v>
      </c>
      <c r="X36" s="221" t="s">
        <v>577</v>
      </c>
      <c r="Y36" s="229">
        <f>SUMIFS(Cert_App_Output!$G:$G,Cert_App_Output!$E:$E,$E36,Cert_App_Output!$K:$K,$X36)</f>
        <v>1</v>
      </c>
    </row>
    <row r="37" spans="1:25" x14ac:dyDescent="0.35">
      <c r="A37" s="221" t="s">
        <v>239</v>
      </c>
      <c r="B37" s="221" t="s">
        <v>573</v>
      </c>
      <c r="C37" s="221" t="s">
        <v>288</v>
      </c>
      <c r="D37" s="221" t="s">
        <v>573</v>
      </c>
      <c r="E37" s="221">
        <v>3.18</v>
      </c>
      <c r="F37" s="221" t="s">
        <v>574</v>
      </c>
      <c r="G37" s="221" t="s">
        <v>615</v>
      </c>
      <c r="H37" s="221" t="s">
        <v>590</v>
      </c>
      <c r="I37" s="225">
        <v>6</v>
      </c>
      <c r="J37" s="226">
        <v>410452.27422518173</v>
      </c>
      <c r="K37" s="226">
        <v>357640.8998745</v>
      </c>
      <c r="L37" s="226">
        <v>0</v>
      </c>
      <c r="M37" s="226">
        <v>11521.39761149522</v>
      </c>
      <c r="N37" s="227">
        <f t="shared" si="9"/>
        <v>779614.57171117689</v>
      </c>
      <c r="O37" s="227">
        <f t="shared" si="10"/>
        <v>547021.00339230476</v>
      </c>
      <c r="P37" s="227">
        <f t="shared" si="11"/>
        <v>476637.83633013966</v>
      </c>
      <c r="Q37" s="227">
        <f t="shared" si="12"/>
        <v>0</v>
      </c>
      <c r="R37" s="227">
        <f t="shared" si="13"/>
        <v>15354.882595836658</v>
      </c>
      <c r="S37" s="226">
        <v>1039013.722318281</v>
      </c>
      <c r="T37" s="228">
        <f t="shared" si="14"/>
        <v>1.3327274271410148</v>
      </c>
      <c r="U37" s="227">
        <f t="shared" si="15"/>
        <v>4677687.4302670611</v>
      </c>
      <c r="V37" s="227">
        <f t="shared" si="16"/>
        <v>6234082.3339096857</v>
      </c>
      <c r="W37" s="221" t="s">
        <v>597</v>
      </c>
      <c r="X37" s="221" t="s">
        <v>577</v>
      </c>
      <c r="Y37" s="229">
        <f>SUMIFS(Cert_App_Output!$G:$G,Cert_App_Output!$E:$E,$E37,Cert_App_Output!$K:$K,$X37)</f>
        <v>1</v>
      </c>
    </row>
    <row r="38" spans="1:25" x14ac:dyDescent="0.35">
      <c r="A38" s="221" t="s">
        <v>239</v>
      </c>
      <c r="B38" s="221" t="s">
        <v>573</v>
      </c>
      <c r="C38" s="221" t="s">
        <v>573</v>
      </c>
      <c r="D38" s="221" t="s">
        <v>573</v>
      </c>
      <c r="E38" s="221">
        <v>3.19</v>
      </c>
      <c r="F38" s="221" t="s">
        <v>574</v>
      </c>
      <c r="G38" s="221" t="s">
        <v>616</v>
      </c>
      <c r="H38" s="221" t="s">
        <v>576</v>
      </c>
      <c r="I38" s="225">
        <v>1</v>
      </c>
      <c r="J38" s="226">
        <v>0</v>
      </c>
      <c r="K38" s="226">
        <v>0</v>
      </c>
      <c r="L38" s="226">
        <v>0</v>
      </c>
      <c r="M38" s="226">
        <v>8458556.625</v>
      </c>
      <c r="N38" s="227">
        <f t="shared" si="9"/>
        <v>8458556.625</v>
      </c>
      <c r="O38" s="227">
        <f t="shared" si="10"/>
        <v>0</v>
      </c>
      <c r="P38" s="227">
        <f t="shared" si="11"/>
        <v>0</v>
      </c>
      <c r="Q38" s="227">
        <f t="shared" si="12"/>
        <v>0</v>
      </c>
      <c r="R38" s="227">
        <f t="shared" si="13"/>
        <v>11272950.40816284</v>
      </c>
      <c r="S38" s="226">
        <v>11272950.40816284</v>
      </c>
      <c r="T38" s="228">
        <f t="shared" si="14"/>
        <v>1.3327274271410152</v>
      </c>
      <c r="U38" s="227">
        <f t="shared" si="15"/>
        <v>8458556.625</v>
      </c>
      <c r="V38" s="227">
        <f t="shared" si="16"/>
        <v>11272950.40816284</v>
      </c>
      <c r="W38" s="221" t="s">
        <v>597</v>
      </c>
      <c r="X38" s="221" t="s">
        <v>577</v>
      </c>
      <c r="Y38" s="229">
        <f>SUMIFS(Cert_App_Output!$G:$G,Cert_App_Output!$E:$E,$E38,Cert_App_Output!$K:$K,$X38)</f>
        <v>1</v>
      </c>
    </row>
    <row r="39" spans="1:25" x14ac:dyDescent="0.35">
      <c r="A39" s="221" t="s">
        <v>239</v>
      </c>
      <c r="B39" s="221" t="s">
        <v>573</v>
      </c>
      <c r="C39" s="221" t="s">
        <v>288</v>
      </c>
      <c r="D39" s="221" t="s">
        <v>573</v>
      </c>
      <c r="E39" s="221">
        <v>3.2</v>
      </c>
      <c r="F39" s="221" t="s">
        <v>574</v>
      </c>
      <c r="G39" s="221" t="s">
        <v>617</v>
      </c>
      <c r="H39" s="221" t="s">
        <v>600</v>
      </c>
      <c r="I39" s="225">
        <v>15</v>
      </c>
      <c r="J39" s="226">
        <v>0</v>
      </c>
      <c r="K39" s="226">
        <v>228712</v>
      </c>
      <c r="L39" s="226">
        <v>0</v>
      </c>
      <c r="M39" s="226">
        <v>0</v>
      </c>
      <c r="N39" s="227">
        <f t="shared" si="9"/>
        <v>228712</v>
      </c>
      <c r="O39" s="227">
        <f t="shared" si="10"/>
        <v>0</v>
      </c>
      <c r="P39" s="227">
        <f t="shared" si="11"/>
        <v>304810.75531627593</v>
      </c>
      <c r="Q39" s="227">
        <f t="shared" si="12"/>
        <v>0</v>
      </c>
      <c r="R39" s="227">
        <f t="shared" si="13"/>
        <v>0</v>
      </c>
      <c r="S39" s="226">
        <v>304810.75531627593</v>
      </c>
      <c r="T39" s="228">
        <f t="shared" si="14"/>
        <v>1.3327274271410154</v>
      </c>
      <c r="U39" s="227">
        <f t="shared" si="15"/>
        <v>3430680</v>
      </c>
      <c r="V39" s="227">
        <f t="shared" si="16"/>
        <v>4572161.3297441388</v>
      </c>
      <c r="W39" s="221" t="s">
        <v>597</v>
      </c>
      <c r="X39" s="221" t="s">
        <v>577</v>
      </c>
      <c r="Y39" s="229">
        <f>SUMIFS(Cert_App_Output!$G:$G,Cert_App_Output!$E:$E,$E39,Cert_App_Output!$K:$K,$X39)</f>
        <v>1</v>
      </c>
    </row>
    <row r="40" spans="1:25" x14ac:dyDescent="0.35">
      <c r="A40" s="221" t="s">
        <v>239</v>
      </c>
      <c r="B40" s="221" t="s">
        <v>573</v>
      </c>
      <c r="C40" s="221" t="s">
        <v>573</v>
      </c>
      <c r="D40" s="221" t="s">
        <v>573</v>
      </c>
      <c r="E40" s="221">
        <v>3.21</v>
      </c>
      <c r="F40" s="221" t="s">
        <v>574</v>
      </c>
      <c r="G40" s="221" t="s">
        <v>618</v>
      </c>
      <c r="H40" s="221" t="s">
        <v>576</v>
      </c>
      <c r="I40" s="225">
        <v>3</v>
      </c>
      <c r="J40" s="226">
        <v>51239.669421487662</v>
      </c>
      <c r="K40" s="226">
        <v>0</v>
      </c>
      <c r="L40" s="226">
        <v>0</v>
      </c>
      <c r="M40" s="226">
        <v>0</v>
      </c>
      <c r="N40" s="227">
        <f t="shared" si="9"/>
        <v>51239.669421487662</v>
      </c>
      <c r="O40" s="227">
        <f t="shared" si="10"/>
        <v>68288.512795655406</v>
      </c>
      <c r="P40" s="227">
        <f t="shared" si="11"/>
        <v>0</v>
      </c>
      <c r="Q40" s="227">
        <f t="shared" si="12"/>
        <v>0</v>
      </c>
      <c r="R40" s="227">
        <f t="shared" si="13"/>
        <v>0</v>
      </c>
      <c r="S40" s="226">
        <v>68288.512795655406</v>
      </c>
      <c r="T40" s="228">
        <f t="shared" si="14"/>
        <v>1.3327274271410152</v>
      </c>
      <c r="U40" s="227">
        <f t="shared" si="15"/>
        <v>153719.00826446299</v>
      </c>
      <c r="V40" s="227">
        <f t="shared" si="16"/>
        <v>204865.53838696622</v>
      </c>
      <c r="W40" s="221" t="s">
        <v>597</v>
      </c>
      <c r="X40" s="221" t="s">
        <v>577</v>
      </c>
      <c r="Y40" s="229">
        <f>SUMIFS(Cert_App_Output!$G:$G,Cert_App_Output!$E:$E,$E40,Cert_App_Output!$K:$K,$X40)</f>
        <v>1</v>
      </c>
    </row>
    <row r="41" spans="1:25" x14ac:dyDescent="0.35">
      <c r="A41" s="221" t="s">
        <v>239</v>
      </c>
      <c r="B41" s="221" t="s">
        <v>573</v>
      </c>
      <c r="C41" s="221" t="s">
        <v>573</v>
      </c>
      <c r="D41" s="221" t="s">
        <v>288</v>
      </c>
      <c r="E41" s="221">
        <v>3.22</v>
      </c>
      <c r="F41" s="221" t="s">
        <v>574</v>
      </c>
      <c r="G41" s="221" t="s">
        <v>619</v>
      </c>
      <c r="H41" s="221" t="s">
        <v>595</v>
      </c>
      <c r="I41" s="225">
        <v>78</v>
      </c>
      <c r="J41" s="226">
        <v>7051.2820512820517</v>
      </c>
      <c r="K41" s="226">
        <v>0</v>
      </c>
      <c r="L41" s="226">
        <v>17829.919087410381</v>
      </c>
      <c r="M41" s="226">
        <v>373.2180170803872</v>
      </c>
      <c r="N41" s="227">
        <f t="shared" si="9"/>
        <v>25254.419155772819</v>
      </c>
      <c r="O41" s="227">
        <f t="shared" si="10"/>
        <v>9397.4369862507501</v>
      </c>
      <c r="P41" s="227">
        <f t="shared" si="11"/>
        <v>0</v>
      </c>
      <c r="Q41" s="227">
        <f t="shared" si="12"/>
        <v>23762.42219149692</v>
      </c>
      <c r="R41" s="227">
        <f t="shared" si="13"/>
        <v>497.39788766621598</v>
      </c>
      <c r="S41" s="226">
        <v>33657.257065413884</v>
      </c>
      <c r="T41" s="228">
        <f t="shared" si="14"/>
        <v>1.3327274271410154</v>
      </c>
      <c r="U41" s="227">
        <f t="shared" si="15"/>
        <v>1969844.69415028</v>
      </c>
      <c r="V41" s="227">
        <f t="shared" si="16"/>
        <v>2625266.0511022829</v>
      </c>
      <c r="W41" s="221" t="s">
        <v>597</v>
      </c>
      <c r="X41" s="221" t="s">
        <v>577</v>
      </c>
      <c r="Y41" s="229">
        <f>SUMIFS(Cert_App_Output!$G:$G,Cert_App_Output!$E:$E,$E41,Cert_App_Output!$K:$K,$X41)</f>
        <v>1</v>
      </c>
    </row>
    <row r="42" spans="1:25" x14ac:dyDescent="0.35">
      <c r="A42" s="221" t="s">
        <v>573</v>
      </c>
      <c r="B42" s="221" t="s">
        <v>573</v>
      </c>
      <c r="C42" s="221" t="s">
        <v>573</v>
      </c>
      <c r="D42" s="221" t="s">
        <v>573</v>
      </c>
      <c r="E42" s="221">
        <v>4</v>
      </c>
      <c r="G42" s="221" t="s">
        <v>620</v>
      </c>
      <c r="I42" s="222"/>
      <c r="J42" s="223"/>
      <c r="K42" s="223"/>
      <c r="L42" s="223"/>
      <c r="M42" s="223"/>
      <c r="N42" s="223"/>
      <c r="O42" s="223"/>
      <c r="P42" s="223"/>
      <c r="Q42" s="223"/>
      <c r="R42" s="223"/>
      <c r="S42" s="223"/>
      <c r="T42" s="224"/>
      <c r="U42" s="223"/>
      <c r="V42" s="223"/>
      <c r="W42" s="221" t="s">
        <v>620</v>
      </c>
      <c r="X42" s="221" t="s">
        <v>621</v>
      </c>
      <c r="Y42" s="215"/>
    </row>
    <row r="43" spans="1:25" x14ac:dyDescent="0.35">
      <c r="A43" s="221" t="s">
        <v>305</v>
      </c>
      <c r="B43" s="221" t="s">
        <v>573</v>
      </c>
      <c r="C43" s="221" t="s">
        <v>573</v>
      </c>
      <c r="D43" s="221" t="s">
        <v>321</v>
      </c>
      <c r="E43" s="221">
        <v>4.01</v>
      </c>
      <c r="F43" s="221" t="s">
        <v>574</v>
      </c>
      <c r="G43" s="221" t="s">
        <v>622</v>
      </c>
      <c r="H43" s="221" t="s">
        <v>595</v>
      </c>
      <c r="I43" s="225">
        <v>621</v>
      </c>
      <c r="J43" s="226">
        <v>10253.95187307601</v>
      </c>
      <c r="K43" s="226">
        <v>0</v>
      </c>
      <c r="L43" s="226">
        <v>16311.97492069098</v>
      </c>
      <c r="M43" s="226">
        <v>365.95526443858131</v>
      </c>
      <c r="N43" s="227">
        <f t="shared" ref="N43:N56" si="17">SUM(J43:M43)</f>
        <v>26931.882058205571</v>
      </c>
      <c r="O43" s="227">
        <f t="shared" ref="O43:O56" si="18">IF($N43=0,$S43,J43/$N43*$S43)</f>
        <v>13665.722897832384</v>
      </c>
      <c r="P43" s="227">
        <f t="shared" ref="P43:P56" si="19">IF($N43=0,0,K43/$N43*$S43)</f>
        <v>0</v>
      </c>
      <c r="Q43" s="227">
        <f t="shared" ref="Q43:Q56" si="20">IF($N43=0,0,L43/$N43*$S43)</f>
        <v>21739.416367641254</v>
      </c>
      <c r="R43" s="227">
        <f t="shared" ref="R43:R56" si="21">IF($N43=0,0,M43/$N43*$S43)</f>
        <v>487.71861802394034</v>
      </c>
      <c r="S43" s="226">
        <v>35892.857883497578</v>
      </c>
      <c r="T43" s="228">
        <f t="shared" ref="T43:T56" si="22">IFERROR(S43/N43,"")</f>
        <v>1.3327274271410152</v>
      </c>
      <c r="U43" s="227">
        <f t="shared" ref="U43:U56" si="23">N43*I43</f>
        <v>16724698.75814566</v>
      </c>
      <c r="V43" s="227">
        <f t="shared" ref="V43:V56" si="24">S43*I43</f>
        <v>22289464.745651998</v>
      </c>
      <c r="W43" s="221" t="s">
        <v>620</v>
      </c>
      <c r="X43" s="221" t="s">
        <v>621</v>
      </c>
      <c r="Y43" s="229">
        <f>SUMIFS(Cert_App_Output!$G:$G,Cert_App_Output!$E:$E,$E43,Cert_App_Output!$K:$K,$X43)</f>
        <v>0.92999999999999994</v>
      </c>
    </row>
    <row r="44" spans="1:25" x14ac:dyDescent="0.35">
      <c r="A44" s="221" t="s">
        <v>305</v>
      </c>
      <c r="B44" s="221" t="s">
        <v>573</v>
      </c>
      <c r="C44" s="221" t="s">
        <v>573</v>
      </c>
      <c r="D44" s="221" t="s">
        <v>321</v>
      </c>
      <c r="E44" s="221">
        <v>4.0199999999999996</v>
      </c>
      <c r="F44" s="221" t="s">
        <v>574</v>
      </c>
      <c r="G44" s="221" t="s">
        <v>623</v>
      </c>
      <c r="H44" s="221" t="s">
        <v>595</v>
      </c>
      <c r="I44" s="225">
        <v>780</v>
      </c>
      <c r="J44" s="226">
        <v>8314.4980560000004</v>
      </c>
      <c r="K44" s="226">
        <v>0</v>
      </c>
      <c r="L44" s="226">
        <v>9785.8451955429355</v>
      </c>
      <c r="M44" s="226">
        <v>235.33191244914229</v>
      </c>
      <c r="N44" s="227">
        <f t="shared" si="17"/>
        <v>18335.67516399208</v>
      </c>
      <c r="O44" s="227">
        <f t="shared" si="18"/>
        <v>11080.959602141855</v>
      </c>
      <c r="P44" s="227">
        <f t="shared" si="19"/>
        <v>0</v>
      </c>
      <c r="Q44" s="227">
        <f t="shared" si="20"/>
        <v>13041.864289856203</v>
      </c>
      <c r="R44" s="227">
        <f t="shared" si="21"/>
        <v>313.63329420252006</v>
      </c>
      <c r="S44" s="226">
        <v>24436.45718620058</v>
      </c>
      <c r="T44" s="228">
        <f t="shared" si="22"/>
        <v>1.3327274271410154</v>
      </c>
      <c r="U44" s="227">
        <f t="shared" si="23"/>
        <v>14301826.627913823</v>
      </c>
      <c r="V44" s="227">
        <f t="shared" si="24"/>
        <v>19060436.605236452</v>
      </c>
      <c r="W44" s="221" t="s">
        <v>620</v>
      </c>
      <c r="X44" s="221" t="s">
        <v>621</v>
      </c>
      <c r="Y44" s="229">
        <f>SUMIFS(Cert_App_Output!$G:$G,Cert_App_Output!$E:$E,$E44,Cert_App_Output!$K:$K,$X44)</f>
        <v>0.94000000000000006</v>
      </c>
    </row>
    <row r="45" spans="1:25" x14ac:dyDescent="0.35">
      <c r="A45" s="221" t="s">
        <v>305</v>
      </c>
      <c r="B45" s="221" t="s">
        <v>573</v>
      </c>
      <c r="C45" s="221" t="s">
        <v>573</v>
      </c>
      <c r="D45" s="221" t="s">
        <v>321</v>
      </c>
      <c r="E45" s="221">
        <v>4.03</v>
      </c>
      <c r="F45" s="221" t="s">
        <v>574</v>
      </c>
      <c r="G45" s="221" t="s">
        <v>624</v>
      </c>
      <c r="H45" s="221" t="s">
        <v>595</v>
      </c>
      <c r="I45" s="225">
        <v>56</v>
      </c>
      <c r="J45" s="226">
        <v>6454.69013916325</v>
      </c>
      <c r="K45" s="226">
        <v>0</v>
      </c>
      <c r="L45" s="226">
        <v>10484.834138081709</v>
      </c>
      <c r="M45" s="226">
        <v>504.2826695338768</v>
      </c>
      <c r="N45" s="227">
        <f t="shared" si="17"/>
        <v>17443.806946778837</v>
      </c>
      <c r="O45" s="227">
        <f t="shared" si="18"/>
        <v>8602.342582159521</v>
      </c>
      <c r="P45" s="227">
        <f t="shared" si="19"/>
        <v>0</v>
      </c>
      <c r="Q45" s="227">
        <f t="shared" si="20"/>
        <v>13973.426024845921</v>
      </c>
      <c r="R45" s="227">
        <f t="shared" si="21"/>
        <v>672.07134471968652</v>
      </c>
      <c r="S45" s="226">
        <v>23247.839951725131</v>
      </c>
      <c r="T45" s="228">
        <f t="shared" si="22"/>
        <v>1.3327274271410154</v>
      </c>
      <c r="U45" s="227">
        <f t="shared" si="23"/>
        <v>976853.18901961483</v>
      </c>
      <c r="V45" s="227">
        <f t="shared" si="24"/>
        <v>1301879.0372966074</v>
      </c>
      <c r="W45" s="221" t="s">
        <v>620</v>
      </c>
      <c r="X45" s="221" t="s">
        <v>621</v>
      </c>
      <c r="Y45" s="229">
        <f>SUMIFS(Cert_App_Output!$G:$G,Cert_App_Output!$E:$E,$E45,Cert_App_Output!$K:$K,$X45)</f>
        <v>1</v>
      </c>
    </row>
    <row r="46" spans="1:25" x14ac:dyDescent="0.35">
      <c r="A46" s="221" t="s">
        <v>305</v>
      </c>
      <c r="B46" s="221" t="s">
        <v>573</v>
      </c>
      <c r="C46" s="221" t="s">
        <v>573</v>
      </c>
      <c r="D46" s="221" t="s">
        <v>321</v>
      </c>
      <c r="E46" s="221">
        <v>4.04</v>
      </c>
      <c r="F46" s="221" t="s">
        <v>574</v>
      </c>
      <c r="G46" s="221" t="s">
        <v>625</v>
      </c>
      <c r="H46" s="221" t="s">
        <v>595</v>
      </c>
      <c r="I46" s="225">
        <v>42</v>
      </c>
      <c r="J46" s="226">
        <v>11547.89373547681</v>
      </c>
      <c r="K46" s="226">
        <v>0</v>
      </c>
      <c r="L46" s="226">
        <v>9785.8451955429282</v>
      </c>
      <c r="M46" s="226">
        <v>235.3319124491421</v>
      </c>
      <c r="N46" s="227">
        <f t="shared" si="17"/>
        <v>21569.070843468882</v>
      </c>
      <c r="O46" s="227">
        <f t="shared" si="18"/>
        <v>15390.194706979855</v>
      </c>
      <c r="P46" s="227">
        <f t="shared" si="19"/>
        <v>0</v>
      </c>
      <c r="Q46" s="227">
        <f t="shared" si="20"/>
        <v>13041.86428985619</v>
      </c>
      <c r="R46" s="227">
        <f t="shared" si="21"/>
        <v>313.63329420251978</v>
      </c>
      <c r="S46" s="226">
        <v>28745.692291038569</v>
      </c>
      <c r="T46" s="228">
        <f t="shared" si="22"/>
        <v>1.3327274271410152</v>
      </c>
      <c r="U46" s="227">
        <f t="shared" si="23"/>
        <v>905900.97542569309</v>
      </c>
      <c r="V46" s="227">
        <f t="shared" si="24"/>
        <v>1207319.07622362</v>
      </c>
      <c r="W46" s="221" t="s">
        <v>620</v>
      </c>
      <c r="X46" s="221" t="s">
        <v>621</v>
      </c>
      <c r="Y46" s="229">
        <f>SUMIFS(Cert_App_Output!$G:$G,Cert_App_Output!$E:$E,$E46,Cert_App_Output!$K:$K,$X46)</f>
        <v>0.95</v>
      </c>
    </row>
    <row r="47" spans="1:25" x14ac:dyDescent="0.35">
      <c r="A47" s="221" t="s">
        <v>305</v>
      </c>
      <c r="B47" s="221" t="s">
        <v>573</v>
      </c>
      <c r="C47" s="221" t="s">
        <v>573</v>
      </c>
      <c r="D47" s="221" t="s">
        <v>321</v>
      </c>
      <c r="E47" s="221">
        <v>4.05</v>
      </c>
      <c r="F47" s="221" t="s">
        <v>593</v>
      </c>
      <c r="G47" s="221" t="s">
        <v>626</v>
      </c>
      <c r="H47" s="221" t="s">
        <v>595</v>
      </c>
      <c r="I47" s="225">
        <v>70</v>
      </c>
      <c r="J47" s="226">
        <v>16817.940685714289</v>
      </c>
      <c r="K47" s="226">
        <v>0</v>
      </c>
      <c r="L47" s="226">
        <v>10484.834138081709</v>
      </c>
      <c r="M47" s="226">
        <v>409.54162235694002</v>
      </c>
      <c r="N47" s="227">
        <f t="shared" si="17"/>
        <v>27712.316446152938</v>
      </c>
      <c r="O47" s="227">
        <f t="shared" si="18"/>
        <v>22413.730819882199</v>
      </c>
      <c r="P47" s="227">
        <f t="shared" si="19"/>
        <v>0</v>
      </c>
      <c r="Q47" s="227">
        <f t="shared" si="20"/>
        <v>13973.426024845918</v>
      </c>
      <c r="R47" s="227">
        <f t="shared" si="21"/>
        <v>545.80735267092177</v>
      </c>
      <c r="S47" s="226">
        <v>36932.964197399036</v>
      </c>
      <c r="T47" s="228">
        <f t="shared" si="22"/>
        <v>1.3327274271410148</v>
      </c>
      <c r="U47" s="227">
        <f t="shared" si="23"/>
        <v>1939862.1512307057</v>
      </c>
      <c r="V47" s="227">
        <f t="shared" si="24"/>
        <v>2585307.4938179324</v>
      </c>
      <c r="W47" s="221" t="s">
        <v>620</v>
      </c>
      <c r="X47" s="221" t="s">
        <v>621</v>
      </c>
      <c r="Y47" s="229">
        <f>SUMIFS(Cert_App_Output!$G:$G,Cert_App_Output!$E:$E,$E47,Cert_App_Output!$K:$K,$X47)</f>
        <v>0.8</v>
      </c>
    </row>
    <row r="48" spans="1:25" x14ac:dyDescent="0.35">
      <c r="A48" s="221" t="s">
        <v>305</v>
      </c>
      <c r="B48" s="221" t="s">
        <v>573</v>
      </c>
      <c r="C48" s="221" t="s">
        <v>573</v>
      </c>
      <c r="D48" s="221" t="s">
        <v>321</v>
      </c>
      <c r="E48" s="221">
        <v>4.0599999999999996</v>
      </c>
      <c r="F48" s="221" t="s">
        <v>574</v>
      </c>
      <c r="G48" s="221" t="s">
        <v>627</v>
      </c>
      <c r="H48" s="221" t="s">
        <v>595</v>
      </c>
      <c r="I48" s="225">
        <v>5</v>
      </c>
      <c r="J48" s="226">
        <v>11492.4403708914</v>
      </c>
      <c r="K48" s="226">
        <v>0</v>
      </c>
      <c r="L48" s="226">
        <v>9785.8451955429391</v>
      </c>
      <c r="M48" s="226">
        <v>235.33191244914201</v>
      </c>
      <c r="N48" s="227">
        <f t="shared" si="17"/>
        <v>21513.61747888348</v>
      </c>
      <c r="O48" s="227">
        <f t="shared" si="18"/>
        <v>15316.290487069627</v>
      </c>
      <c r="P48" s="227">
        <f t="shared" si="19"/>
        <v>0</v>
      </c>
      <c r="Q48" s="227">
        <f t="shared" si="20"/>
        <v>13041.864289856205</v>
      </c>
      <c r="R48" s="227">
        <f t="shared" si="21"/>
        <v>313.63329420251966</v>
      </c>
      <c r="S48" s="226">
        <v>28671.788071128351</v>
      </c>
      <c r="T48" s="228">
        <f t="shared" si="22"/>
        <v>1.332727427141015</v>
      </c>
      <c r="U48" s="227">
        <f t="shared" si="23"/>
        <v>107568.08739441739</v>
      </c>
      <c r="V48" s="227">
        <f t="shared" si="24"/>
        <v>143358.94035564177</v>
      </c>
      <c r="W48" s="221" t="s">
        <v>620</v>
      </c>
      <c r="X48" s="221" t="s">
        <v>621</v>
      </c>
      <c r="Y48" s="229">
        <f>SUMIFS(Cert_App_Output!$G:$G,Cert_App_Output!$E:$E,$E48,Cert_App_Output!$K:$K,$X48)</f>
        <v>1</v>
      </c>
    </row>
    <row r="49" spans="1:25" x14ac:dyDescent="0.35">
      <c r="A49" s="221" t="s">
        <v>305</v>
      </c>
      <c r="B49" s="221" t="s">
        <v>573</v>
      </c>
      <c r="C49" s="221" t="s">
        <v>573</v>
      </c>
      <c r="D49" s="221" t="s">
        <v>321</v>
      </c>
      <c r="E49" s="221">
        <v>4.07</v>
      </c>
      <c r="F49" s="221" t="s">
        <v>574</v>
      </c>
      <c r="G49" s="221" t="s">
        <v>628</v>
      </c>
      <c r="H49" s="221" t="s">
        <v>595</v>
      </c>
      <c r="I49" s="225">
        <v>193</v>
      </c>
      <c r="J49" s="226">
        <v>3227.3450695816268</v>
      </c>
      <c r="K49" s="226">
        <v>0</v>
      </c>
      <c r="L49" s="226">
        <v>10484.834138081709</v>
      </c>
      <c r="M49" s="226">
        <v>252.14133476693829</v>
      </c>
      <c r="N49" s="227">
        <f t="shared" si="17"/>
        <v>13964.320542430274</v>
      </c>
      <c r="O49" s="227">
        <f t="shared" si="18"/>
        <v>4301.1712910797605</v>
      </c>
      <c r="P49" s="227">
        <f t="shared" si="19"/>
        <v>0</v>
      </c>
      <c r="Q49" s="227">
        <f t="shared" si="20"/>
        <v>13973.426024845918</v>
      </c>
      <c r="R49" s="227">
        <f t="shared" si="21"/>
        <v>336.03567235984303</v>
      </c>
      <c r="S49" s="226">
        <v>18610.632988285521</v>
      </c>
      <c r="T49" s="228">
        <f t="shared" si="22"/>
        <v>1.332727427141015</v>
      </c>
      <c r="U49" s="227">
        <f t="shared" si="23"/>
        <v>2695113.8646890428</v>
      </c>
      <c r="V49" s="227">
        <f t="shared" si="24"/>
        <v>3591852.1667391057</v>
      </c>
      <c r="W49" s="221" t="s">
        <v>620</v>
      </c>
      <c r="X49" s="221" t="s">
        <v>621</v>
      </c>
      <c r="Y49" s="229">
        <f>SUMIFS(Cert_App_Output!$G:$G,Cert_App_Output!$E:$E,$E49,Cert_App_Output!$K:$K,$X49)</f>
        <v>0.1</v>
      </c>
    </row>
    <row r="50" spans="1:25" x14ac:dyDescent="0.35">
      <c r="A50" s="221" t="s">
        <v>305</v>
      </c>
      <c r="B50" s="221" t="s">
        <v>573</v>
      </c>
      <c r="C50" s="221" t="s">
        <v>573</v>
      </c>
      <c r="D50" s="221" t="s">
        <v>321</v>
      </c>
      <c r="E50" s="221">
        <v>4.08</v>
      </c>
      <c r="F50" s="221" t="s">
        <v>593</v>
      </c>
      <c r="G50" s="221" t="s">
        <v>629</v>
      </c>
      <c r="H50" s="221" t="s">
        <v>581</v>
      </c>
      <c r="I50" s="225">
        <v>61</v>
      </c>
      <c r="J50" s="226">
        <v>9093.986286885247</v>
      </c>
      <c r="K50" s="226">
        <v>0</v>
      </c>
      <c r="L50" s="226">
        <v>12031.776879765899</v>
      </c>
      <c r="M50" s="226">
        <v>316.8864474997672</v>
      </c>
      <c r="N50" s="227">
        <f t="shared" si="17"/>
        <v>21442.649614150912</v>
      </c>
      <c r="O50" s="227">
        <f t="shared" si="18"/>
        <v>12119.804946576251</v>
      </c>
      <c r="P50" s="227">
        <f t="shared" si="19"/>
        <v>0</v>
      </c>
      <c r="Q50" s="227">
        <f t="shared" si="20"/>
        <v>16035.07904490516</v>
      </c>
      <c r="R50" s="227">
        <f t="shared" si="21"/>
        <v>422.32325987222117</v>
      </c>
      <c r="S50" s="226">
        <v>28577.20725135363</v>
      </c>
      <c r="T50" s="228">
        <f t="shared" si="22"/>
        <v>1.3327274271410152</v>
      </c>
      <c r="U50" s="227">
        <f t="shared" si="23"/>
        <v>1308001.6264632056</v>
      </c>
      <c r="V50" s="227">
        <f t="shared" si="24"/>
        <v>1743209.6423325713</v>
      </c>
      <c r="W50" s="221" t="s">
        <v>620</v>
      </c>
      <c r="X50" s="221" t="s">
        <v>621</v>
      </c>
      <c r="Y50" s="229">
        <f>SUMIFS(Cert_App_Output!$G:$G,Cert_App_Output!$E:$E,$E50,Cert_App_Output!$K:$K,$X50)</f>
        <v>1</v>
      </c>
    </row>
    <row r="51" spans="1:25" x14ac:dyDescent="0.35">
      <c r="A51" s="221" t="s">
        <v>305</v>
      </c>
      <c r="B51" s="221" t="s">
        <v>573</v>
      </c>
      <c r="C51" s="221" t="s">
        <v>573</v>
      </c>
      <c r="D51" s="221" t="s">
        <v>321</v>
      </c>
      <c r="E51" s="221">
        <v>4.09</v>
      </c>
      <c r="F51" s="221" t="s">
        <v>593</v>
      </c>
      <c r="G51" s="221" t="s">
        <v>630</v>
      </c>
      <c r="H51" s="221" t="s">
        <v>576</v>
      </c>
      <c r="I51" s="225">
        <v>1</v>
      </c>
      <c r="J51" s="226">
        <v>60811.031153399999</v>
      </c>
      <c r="K51" s="226">
        <v>0</v>
      </c>
      <c r="L51" s="226">
        <v>146787.677933144</v>
      </c>
      <c r="M51" s="226">
        <v>3113.9806362981599</v>
      </c>
      <c r="N51" s="227">
        <f t="shared" si="17"/>
        <v>210712.68972284216</v>
      </c>
      <c r="O51" s="227">
        <f t="shared" si="18"/>
        <v>81044.529090862881</v>
      </c>
      <c r="P51" s="227">
        <f t="shared" si="19"/>
        <v>0</v>
      </c>
      <c r="Q51" s="227">
        <f t="shared" si="20"/>
        <v>195627.96434784294</v>
      </c>
      <c r="R51" s="227">
        <f t="shared" si="21"/>
        <v>4150.0874015805866</v>
      </c>
      <c r="S51" s="226">
        <v>280822.58084028639</v>
      </c>
      <c r="T51" s="228">
        <f t="shared" si="22"/>
        <v>1.3327274271410148</v>
      </c>
      <c r="U51" s="227">
        <f t="shared" si="23"/>
        <v>210712.68972284216</v>
      </c>
      <c r="V51" s="227">
        <f t="shared" si="24"/>
        <v>280822.58084028639</v>
      </c>
      <c r="W51" s="221" t="s">
        <v>620</v>
      </c>
      <c r="X51" s="221" t="s">
        <v>621</v>
      </c>
      <c r="Y51" s="229">
        <f>SUMIFS(Cert_App_Output!$G:$G,Cert_App_Output!$E:$E,$E51,Cert_App_Output!$K:$K,$X51)</f>
        <v>0</v>
      </c>
    </row>
    <row r="52" spans="1:25" x14ac:dyDescent="0.35">
      <c r="A52" s="221" t="s">
        <v>305</v>
      </c>
      <c r="B52" s="221" t="s">
        <v>573</v>
      </c>
      <c r="C52" s="221" t="s">
        <v>573</v>
      </c>
      <c r="D52" s="221" t="s">
        <v>321</v>
      </c>
      <c r="E52" s="221">
        <v>4.0999999999999996</v>
      </c>
      <c r="F52" s="221" t="s">
        <v>593</v>
      </c>
      <c r="G52" s="221" t="s">
        <v>631</v>
      </c>
      <c r="H52" s="221" t="s">
        <v>576</v>
      </c>
      <c r="I52" s="225">
        <v>1</v>
      </c>
      <c r="J52" s="226">
        <v>151935.62173019999</v>
      </c>
      <c r="K52" s="226">
        <v>0</v>
      </c>
      <c r="L52" s="226">
        <v>440363.03379943199</v>
      </c>
      <c r="M52" s="226">
        <v>8884.4798329444802</v>
      </c>
      <c r="N52" s="227">
        <f t="shared" si="17"/>
        <v>601183.13536257646</v>
      </c>
      <c r="O52" s="227">
        <f t="shared" si="18"/>
        <v>202488.77023955993</v>
      </c>
      <c r="P52" s="227">
        <f t="shared" si="19"/>
        <v>0</v>
      </c>
      <c r="Q52" s="227">
        <f t="shared" si="20"/>
        <v>586883.89304352889</v>
      </c>
      <c r="R52" s="227">
        <f t="shared" si="21"/>
        <v>11840.589949246334</v>
      </c>
      <c r="S52" s="226">
        <v>801213.25323233521</v>
      </c>
      <c r="T52" s="228">
        <f t="shared" si="22"/>
        <v>1.3327274271410152</v>
      </c>
      <c r="U52" s="227">
        <f t="shared" si="23"/>
        <v>601183.13536257646</v>
      </c>
      <c r="V52" s="227">
        <f t="shared" si="24"/>
        <v>801213.25323233521</v>
      </c>
      <c r="W52" s="221" t="s">
        <v>620</v>
      </c>
      <c r="X52" s="221" t="s">
        <v>621</v>
      </c>
      <c r="Y52" s="229">
        <f>SUMIFS(Cert_App_Output!$G:$G,Cert_App_Output!$E:$E,$E52,Cert_App_Output!$K:$K,$X52)</f>
        <v>0</v>
      </c>
    </row>
    <row r="53" spans="1:25" x14ac:dyDescent="0.35">
      <c r="A53" s="221" t="s">
        <v>305</v>
      </c>
      <c r="B53" s="221" t="s">
        <v>573</v>
      </c>
      <c r="C53" s="221" t="s">
        <v>573</v>
      </c>
      <c r="D53" s="221" t="s">
        <v>321</v>
      </c>
      <c r="E53" s="221">
        <v>4.1100000000000003</v>
      </c>
      <c r="F53" s="221" t="s">
        <v>574</v>
      </c>
      <c r="G53" s="221" t="s">
        <v>632</v>
      </c>
      <c r="H53" s="221" t="s">
        <v>576</v>
      </c>
      <c r="I53" s="225">
        <v>1</v>
      </c>
      <c r="J53" s="226">
        <v>128742.895</v>
      </c>
      <c r="K53" s="226">
        <v>0</v>
      </c>
      <c r="L53" s="226">
        <v>259536.82203628801</v>
      </c>
      <c r="M53" s="226">
        <v>5824.1957555443196</v>
      </c>
      <c r="N53" s="227">
        <f t="shared" si="17"/>
        <v>394103.91279183229</v>
      </c>
      <c r="O53" s="227">
        <f t="shared" si="18"/>
        <v>171579.18721603588</v>
      </c>
      <c r="P53" s="227">
        <f t="shared" si="19"/>
        <v>0</v>
      </c>
      <c r="Q53" s="227">
        <f t="shared" si="20"/>
        <v>345891.84108077764</v>
      </c>
      <c r="R53" s="227">
        <f t="shared" si="21"/>
        <v>7762.065424452202</v>
      </c>
      <c r="S53" s="226">
        <v>525233.09372126567</v>
      </c>
      <c r="T53" s="228">
        <f t="shared" si="22"/>
        <v>1.3327274271410152</v>
      </c>
      <c r="U53" s="227">
        <f t="shared" si="23"/>
        <v>394103.91279183229</v>
      </c>
      <c r="V53" s="227">
        <f t="shared" si="24"/>
        <v>525233.09372126567</v>
      </c>
      <c r="W53" s="221" t="s">
        <v>620</v>
      </c>
      <c r="X53" s="221" t="s">
        <v>621</v>
      </c>
      <c r="Y53" s="229">
        <f>SUMIFS(Cert_App_Output!$G:$G,Cert_App_Output!$E:$E,$E53,Cert_App_Output!$K:$K,$X53)</f>
        <v>0</v>
      </c>
    </row>
    <row r="54" spans="1:25" x14ac:dyDescent="0.35">
      <c r="A54" s="221" t="s">
        <v>305</v>
      </c>
      <c r="B54" s="221" t="s">
        <v>573</v>
      </c>
      <c r="C54" s="221" t="s">
        <v>573</v>
      </c>
      <c r="D54" s="221" t="s">
        <v>321</v>
      </c>
      <c r="E54" s="221">
        <v>4.12</v>
      </c>
      <c r="F54" s="221" t="s">
        <v>574</v>
      </c>
      <c r="G54" s="221" t="s">
        <v>633</v>
      </c>
      <c r="H54" s="221" t="s">
        <v>600</v>
      </c>
      <c r="I54" s="225">
        <v>3</v>
      </c>
      <c r="J54" s="226">
        <v>121487.603305785</v>
      </c>
      <c r="K54" s="226">
        <v>0</v>
      </c>
      <c r="L54" s="226">
        <v>54294.058954381333</v>
      </c>
      <c r="M54" s="226">
        <v>2636.724933902497</v>
      </c>
      <c r="N54" s="227">
        <f t="shared" si="17"/>
        <v>178418.38719406884</v>
      </c>
      <c r="O54" s="227">
        <f t="shared" si="18"/>
        <v>161909.86098324711</v>
      </c>
      <c r="P54" s="227">
        <f t="shared" si="19"/>
        <v>0</v>
      </c>
      <c r="Q54" s="227">
        <f t="shared" si="20"/>
        <v>72359.181499315222</v>
      </c>
      <c r="R54" s="227">
        <f t="shared" si="21"/>
        <v>3514.0356372384376</v>
      </c>
      <c r="S54" s="226">
        <v>237783.0781198008</v>
      </c>
      <c r="T54" s="228">
        <f t="shared" si="22"/>
        <v>1.3327274271410152</v>
      </c>
      <c r="U54" s="227">
        <f t="shared" si="23"/>
        <v>535255.16158220649</v>
      </c>
      <c r="V54" s="227">
        <f t="shared" si="24"/>
        <v>713349.23435940244</v>
      </c>
      <c r="W54" s="221" t="s">
        <v>620</v>
      </c>
      <c r="X54" s="221" t="s">
        <v>621</v>
      </c>
      <c r="Y54" s="229">
        <f>SUMIFS(Cert_App_Output!$G:$G,Cert_App_Output!$E:$E,$E54,Cert_App_Output!$K:$K,$X54)</f>
        <v>1</v>
      </c>
    </row>
    <row r="55" spans="1:25" x14ac:dyDescent="0.35">
      <c r="A55" s="221" t="s">
        <v>305</v>
      </c>
      <c r="B55" s="221" t="s">
        <v>573</v>
      </c>
      <c r="C55" s="221" t="s">
        <v>573</v>
      </c>
      <c r="D55" s="221" t="s">
        <v>321</v>
      </c>
      <c r="E55" s="221">
        <v>4.13</v>
      </c>
      <c r="F55" s="221" t="s">
        <v>593</v>
      </c>
      <c r="G55" s="221" t="s">
        <v>634</v>
      </c>
      <c r="H55" s="221" t="s">
        <v>581</v>
      </c>
      <c r="I55" s="225">
        <v>40</v>
      </c>
      <c r="J55" s="226">
        <v>36748.8825</v>
      </c>
      <c r="K55" s="226">
        <v>0</v>
      </c>
      <c r="L55" s="226">
        <v>35716.756336364502</v>
      </c>
      <c r="M55" s="226">
        <v>1086.984582545467</v>
      </c>
      <c r="N55" s="227">
        <f t="shared" si="17"/>
        <v>73552.623418909963</v>
      </c>
      <c r="O55" s="227">
        <f t="shared" si="18"/>
        <v>48976.243624532479</v>
      </c>
      <c r="P55" s="227">
        <f t="shared" si="19"/>
        <v>0</v>
      </c>
      <c r="Q55" s="227">
        <f t="shared" si="20"/>
        <v>47600.700777985614</v>
      </c>
      <c r="R55" s="227">
        <f t="shared" si="21"/>
        <v>1448.6541660377707</v>
      </c>
      <c r="S55" s="226">
        <v>98025.598568555855</v>
      </c>
      <c r="T55" s="228">
        <f t="shared" si="22"/>
        <v>1.3327274271410152</v>
      </c>
      <c r="U55" s="227">
        <f t="shared" si="23"/>
        <v>2942104.9367563985</v>
      </c>
      <c r="V55" s="227">
        <f t="shared" si="24"/>
        <v>3921023.9427422341</v>
      </c>
      <c r="W55" s="221" t="s">
        <v>620</v>
      </c>
      <c r="X55" s="221" t="s">
        <v>621</v>
      </c>
      <c r="Y55" s="229">
        <f>SUMIFS(Cert_App_Output!$G:$G,Cert_App_Output!$E:$E,$E55,Cert_App_Output!$K:$K,$X55)</f>
        <v>0.15</v>
      </c>
    </row>
    <row r="56" spans="1:25" x14ac:dyDescent="0.35">
      <c r="A56" s="221" t="s">
        <v>305</v>
      </c>
      <c r="B56" s="221" t="s">
        <v>573</v>
      </c>
      <c r="C56" s="221" t="s">
        <v>573</v>
      </c>
      <c r="D56" s="221" t="s">
        <v>321</v>
      </c>
      <c r="E56" s="221">
        <v>4.1399999999999997</v>
      </c>
      <c r="F56" s="221" t="s">
        <v>593</v>
      </c>
      <c r="G56" s="221" t="s">
        <v>635</v>
      </c>
      <c r="H56" s="221" t="s">
        <v>600</v>
      </c>
      <c r="I56" s="225">
        <v>8</v>
      </c>
      <c r="J56" s="226">
        <v>23946.262090863129</v>
      </c>
      <c r="K56" s="226">
        <v>0</v>
      </c>
      <c r="L56" s="226">
        <v>107385.37009485799</v>
      </c>
      <c r="M56" s="226">
        <v>1969.9744827858131</v>
      </c>
      <c r="N56" s="227">
        <f t="shared" si="17"/>
        <v>133301.60666850695</v>
      </c>
      <c r="O56" s="227">
        <f t="shared" si="18"/>
        <v>31913.84026600045</v>
      </c>
      <c r="P56" s="227">
        <f t="shared" si="19"/>
        <v>0</v>
      </c>
      <c r="Q56" s="227">
        <f t="shared" si="20"/>
        <v>143115.42799910583</v>
      </c>
      <c r="R56" s="227">
        <f t="shared" si="21"/>
        <v>2625.4390239765894</v>
      </c>
      <c r="S56" s="226">
        <v>177654.7072890829</v>
      </c>
      <c r="T56" s="228">
        <f t="shared" si="22"/>
        <v>1.3327274271410154</v>
      </c>
      <c r="U56" s="227">
        <f t="shared" si="23"/>
        <v>1066412.8533480556</v>
      </c>
      <c r="V56" s="227">
        <f t="shared" si="24"/>
        <v>1421237.6583126632</v>
      </c>
      <c r="W56" s="221" t="s">
        <v>620</v>
      </c>
      <c r="X56" s="221" t="s">
        <v>621</v>
      </c>
      <c r="Y56" s="229">
        <f>SUMIFS(Cert_App_Output!$G:$G,Cert_App_Output!$E:$E,$E56,Cert_App_Output!$K:$K,$X56)</f>
        <v>0</v>
      </c>
    </row>
    <row r="57" spans="1:25" x14ac:dyDescent="0.35">
      <c r="A57" s="221" t="s">
        <v>573</v>
      </c>
      <c r="B57" s="221" t="s">
        <v>573</v>
      </c>
      <c r="C57" s="221" t="s">
        <v>573</v>
      </c>
      <c r="D57" s="221" t="s">
        <v>573</v>
      </c>
      <c r="E57" s="221">
        <v>5</v>
      </c>
      <c r="G57" s="221" t="s">
        <v>636</v>
      </c>
      <c r="I57" s="222"/>
      <c r="J57" s="223"/>
      <c r="K57" s="223"/>
      <c r="L57" s="223"/>
      <c r="M57" s="223"/>
      <c r="N57" s="223"/>
      <c r="O57" s="223"/>
      <c r="P57" s="223"/>
      <c r="Q57" s="223"/>
      <c r="R57" s="223"/>
      <c r="S57" s="223"/>
      <c r="T57" s="224"/>
      <c r="U57" s="223"/>
      <c r="V57" s="223"/>
      <c r="W57" s="221" t="s">
        <v>636</v>
      </c>
      <c r="X57" s="221" t="s">
        <v>621</v>
      </c>
      <c r="Y57" s="215"/>
    </row>
    <row r="58" spans="1:25" x14ac:dyDescent="0.35">
      <c r="A58" s="221" t="s">
        <v>305</v>
      </c>
      <c r="B58" s="221" t="s">
        <v>573</v>
      </c>
      <c r="C58" s="221" t="s">
        <v>573</v>
      </c>
      <c r="D58" s="221" t="s">
        <v>321</v>
      </c>
      <c r="E58" s="221">
        <v>5.01</v>
      </c>
      <c r="F58" s="221" t="s">
        <v>574</v>
      </c>
      <c r="G58" s="221" t="s">
        <v>637</v>
      </c>
      <c r="H58" s="221" t="s">
        <v>581</v>
      </c>
      <c r="I58" s="225">
        <v>136</v>
      </c>
      <c r="J58" s="226">
        <v>809.61503399999992</v>
      </c>
      <c r="K58" s="226">
        <v>0</v>
      </c>
      <c r="L58" s="226">
        <v>3938.2617666857432</v>
      </c>
      <c r="M58" s="226">
        <v>126.0706673834691</v>
      </c>
      <c r="N58" s="227">
        <f t="shared" ref="N58:N64" si="25">SUM(J58:M58)</f>
        <v>4873.9474680692119</v>
      </c>
      <c r="O58" s="227">
        <f t="shared" ref="O58:O64" si="26">IF($N58=0,$S58,J58/$N58*$S58)</f>
        <v>1078.9961612375055</v>
      </c>
      <c r="P58" s="227">
        <f t="shared" ref="P58:R64" si="27">IF($N58=0,0,K58/$N58*$S58)</f>
        <v>0</v>
      </c>
      <c r="Q58" s="227">
        <f t="shared" si="27"/>
        <v>5248.6294717229193</v>
      </c>
      <c r="R58" s="227">
        <f t="shared" si="27"/>
        <v>168.01783617992146</v>
      </c>
      <c r="S58" s="226">
        <v>6495.6434691403456</v>
      </c>
      <c r="T58" s="228">
        <f t="shared" ref="T58:T64" si="28">IFERROR(S58/N58,"")</f>
        <v>1.332727427141015</v>
      </c>
      <c r="U58" s="227">
        <f t="shared" ref="U58:U64" si="29">N58*I58</f>
        <v>662856.85565741279</v>
      </c>
      <c r="V58" s="227">
        <f t="shared" ref="V58:V64" si="30">S58*I58</f>
        <v>883407.51180308696</v>
      </c>
      <c r="W58" s="221" t="s">
        <v>636</v>
      </c>
      <c r="X58" s="221" t="s">
        <v>621</v>
      </c>
      <c r="Y58" s="229">
        <f>SUMIFS(Cert_App_Output!$G:$G,Cert_App_Output!$E:$E,$E58,Cert_App_Output!$K:$K,$X58)</f>
        <v>0.5</v>
      </c>
    </row>
    <row r="59" spans="1:25" x14ac:dyDescent="0.35">
      <c r="A59" s="221" t="s">
        <v>305</v>
      </c>
      <c r="B59" s="221" t="s">
        <v>573</v>
      </c>
      <c r="C59" s="221" t="s">
        <v>321</v>
      </c>
      <c r="D59" s="221" t="s">
        <v>321</v>
      </c>
      <c r="E59" s="221">
        <v>5.0199999999999996</v>
      </c>
      <c r="F59" s="221" t="s">
        <v>574</v>
      </c>
      <c r="G59" s="221" t="s">
        <v>638</v>
      </c>
      <c r="H59" s="221" t="s">
        <v>595</v>
      </c>
      <c r="I59" s="225">
        <v>77</v>
      </c>
      <c r="J59" s="226">
        <v>13188.357601741691</v>
      </c>
      <c r="K59" s="226">
        <v>5871.5071173257529</v>
      </c>
      <c r="L59" s="226">
        <v>5871.5071173257529</v>
      </c>
      <c r="M59" s="226">
        <v>32.180227486448047</v>
      </c>
      <c r="N59" s="227">
        <f t="shared" si="25"/>
        <v>24963.552063879648</v>
      </c>
      <c r="O59" s="227">
        <f t="shared" si="26"/>
        <v>17576.485894784859</v>
      </c>
      <c r="P59" s="227">
        <f t="shared" si="27"/>
        <v>7825.1185739137118</v>
      </c>
      <c r="Q59" s="227">
        <f t="shared" si="27"/>
        <v>7825.1185739137118</v>
      </c>
      <c r="R59" s="227">
        <f t="shared" si="27"/>
        <v>42.887471782826495</v>
      </c>
      <c r="S59" s="226">
        <v>33269.610514395114</v>
      </c>
      <c r="T59" s="228">
        <f t="shared" si="28"/>
        <v>1.3327274271410157</v>
      </c>
      <c r="U59" s="227">
        <f t="shared" si="29"/>
        <v>1922193.5089187329</v>
      </c>
      <c r="V59" s="227">
        <f t="shared" si="30"/>
        <v>2561760.0096084238</v>
      </c>
      <c r="W59" s="221" t="s">
        <v>636</v>
      </c>
      <c r="X59" s="221" t="s">
        <v>621</v>
      </c>
      <c r="Y59" s="229">
        <f>SUMIFS(Cert_App_Output!$G:$G,Cert_App_Output!$E:$E,$E59,Cert_App_Output!$K:$K,$X59)</f>
        <v>0.5</v>
      </c>
    </row>
    <row r="60" spans="1:25" x14ac:dyDescent="0.35">
      <c r="A60" s="221" t="s">
        <v>305</v>
      </c>
      <c r="B60" s="221" t="s">
        <v>573</v>
      </c>
      <c r="C60" s="221" t="s">
        <v>573</v>
      </c>
      <c r="D60" s="221" t="s">
        <v>321</v>
      </c>
      <c r="E60" s="221">
        <v>5.03</v>
      </c>
      <c r="F60" s="221" t="s">
        <v>574</v>
      </c>
      <c r="G60" s="221" t="s">
        <v>639</v>
      </c>
      <c r="H60" s="221" t="s">
        <v>595</v>
      </c>
      <c r="I60" s="225">
        <v>107</v>
      </c>
      <c r="J60" s="226">
        <v>809.61503400000004</v>
      </c>
      <c r="K60" s="226">
        <v>0</v>
      </c>
      <c r="L60" s="226">
        <v>3938.2617666857382</v>
      </c>
      <c r="M60" s="226">
        <v>126.0706673834692</v>
      </c>
      <c r="N60" s="227">
        <f t="shared" si="25"/>
        <v>4873.9474680692074</v>
      </c>
      <c r="O60" s="227">
        <f t="shared" si="26"/>
        <v>1078.9961612375055</v>
      </c>
      <c r="P60" s="227">
        <f t="shared" si="27"/>
        <v>0</v>
      </c>
      <c r="Q60" s="227">
        <f t="shared" si="27"/>
        <v>5248.629471722913</v>
      </c>
      <c r="R60" s="227">
        <f t="shared" si="27"/>
        <v>168.0178361799216</v>
      </c>
      <c r="S60" s="226">
        <v>6495.6434691403401</v>
      </c>
      <c r="T60" s="228">
        <f t="shared" si="28"/>
        <v>1.3327274271410152</v>
      </c>
      <c r="U60" s="227">
        <f t="shared" si="29"/>
        <v>521512.37908340519</v>
      </c>
      <c r="V60" s="227">
        <f t="shared" si="30"/>
        <v>695033.85119801643</v>
      </c>
      <c r="W60" s="221" t="s">
        <v>636</v>
      </c>
      <c r="X60" s="221" t="s">
        <v>621</v>
      </c>
      <c r="Y60" s="229">
        <f>SUMIFS(Cert_App_Output!$G:$G,Cert_App_Output!$E:$E,$E60,Cert_App_Output!$K:$K,$X60)</f>
        <v>0</v>
      </c>
    </row>
    <row r="61" spans="1:25" x14ac:dyDescent="0.35">
      <c r="A61" s="221" t="s">
        <v>305</v>
      </c>
      <c r="B61" s="221" t="s">
        <v>573</v>
      </c>
      <c r="C61" s="221" t="s">
        <v>573</v>
      </c>
      <c r="D61" s="221" t="s">
        <v>573</v>
      </c>
      <c r="E61" s="221">
        <v>5.04</v>
      </c>
      <c r="F61" s="221" t="s">
        <v>574</v>
      </c>
      <c r="G61" s="221" t="s">
        <v>640</v>
      </c>
      <c r="H61" s="221" t="s">
        <v>595</v>
      </c>
      <c r="I61" s="225">
        <v>186</v>
      </c>
      <c r="J61" s="226">
        <v>3625.4</v>
      </c>
      <c r="K61" s="226">
        <v>0</v>
      </c>
      <c r="L61" s="226">
        <v>0</v>
      </c>
      <c r="M61" s="226">
        <v>0</v>
      </c>
      <c r="N61" s="227">
        <f t="shared" si="25"/>
        <v>3625.4</v>
      </c>
      <c r="O61" s="227">
        <f t="shared" si="26"/>
        <v>4831.670014357037</v>
      </c>
      <c r="P61" s="227">
        <f t="shared" si="27"/>
        <v>0</v>
      </c>
      <c r="Q61" s="227">
        <f t="shared" si="27"/>
        <v>0</v>
      </c>
      <c r="R61" s="227">
        <f t="shared" si="27"/>
        <v>0</v>
      </c>
      <c r="S61" s="226">
        <v>4831.670014357037</v>
      </c>
      <c r="T61" s="228">
        <f t="shared" si="28"/>
        <v>1.3327274271410152</v>
      </c>
      <c r="U61" s="227">
        <f t="shared" si="29"/>
        <v>674324.4</v>
      </c>
      <c r="V61" s="227">
        <f t="shared" si="30"/>
        <v>898690.62267040892</v>
      </c>
      <c r="W61" s="221" t="s">
        <v>636</v>
      </c>
      <c r="X61" s="221" t="s">
        <v>621</v>
      </c>
      <c r="Y61" s="229">
        <f>SUMIFS(Cert_App_Output!$G:$G,Cert_App_Output!$E:$E,$E61,Cert_App_Output!$K:$K,$X61)</f>
        <v>0</v>
      </c>
    </row>
    <row r="62" spans="1:25" x14ac:dyDescent="0.35">
      <c r="A62" s="221" t="s">
        <v>305</v>
      </c>
      <c r="B62" s="221" t="s">
        <v>573</v>
      </c>
      <c r="C62" s="221" t="s">
        <v>573</v>
      </c>
      <c r="D62" s="221" t="s">
        <v>321</v>
      </c>
      <c r="E62" s="221">
        <v>5.05</v>
      </c>
      <c r="F62" s="221" t="s">
        <v>574</v>
      </c>
      <c r="G62" s="221" t="s">
        <v>641</v>
      </c>
      <c r="H62" s="221" t="s">
        <v>595</v>
      </c>
      <c r="I62" s="225">
        <v>186</v>
      </c>
      <c r="J62" s="226">
        <v>1256.612528555554</v>
      </c>
      <c r="K62" s="226">
        <v>0</v>
      </c>
      <c r="L62" s="226">
        <v>1834.845974164301</v>
      </c>
      <c r="M62" s="226">
        <v>10.056321089515</v>
      </c>
      <c r="N62" s="227">
        <f t="shared" si="25"/>
        <v>3101.5148238093702</v>
      </c>
      <c r="O62" s="227">
        <f t="shared" si="26"/>
        <v>1674.7219820950093</v>
      </c>
      <c r="P62" s="227">
        <f t="shared" si="27"/>
        <v>0</v>
      </c>
      <c r="Q62" s="227">
        <f t="shared" si="27"/>
        <v>2445.3495543480385</v>
      </c>
      <c r="R62" s="227">
        <f t="shared" si="27"/>
        <v>13.402334932133257</v>
      </c>
      <c r="S62" s="226">
        <v>4133.4738713751813</v>
      </c>
      <c r="T62" s="228">
        <f t="shared" si="28"/>
        <v>1.3327274271410152</v>
      </c>
      <c r="U62" s="227">
        <f t="shared" si="29"/>
        <v>576881.75722854282</v>
      </c>
      <c r="V62" s="227">
        <f t="shared" si="30"/>
        <v>768826.14007578371</v>
      </c>
      <c r="W62" s="221" t="s">
        <v>636</v>
      </c>
      <c r="X62" s="221" t="s">
        <v>621</v>
      </c>
      <c r="Y62" s="229">
        <f>SUMIFS(Cert_App_Output!$G:$G,Cert_App_Output!$E:$E,$E62,Cert_App_Output!$K:$K,$X62)</f>
        <v>1</v>
      </c>
    </row>
    <row r="63" spans="1:25" x14ac:dyDescent="0.35">
      <c r="A63" s="221" t="s">
        <v>305</v>
      </c>
      <c r="B63" s="221" t="s">
        <v>573</v>
      </c>
      <c r="C63" s="221" t="s">
        <v>321</v>
      </c>
      <c r="D63" s="221" t="s">
        <v>321</v>
      </c>
      <c r="E63" s="221">
        <v>5.0599999999999996</v>
      </c>
      <c r="F63" s="221" t="s">
        <v>574</v>
      </c>
      <c r="G63" s="221" t="s">
        <v>642</v>
      </c>
      <c r="H63" s="221" t="s">
        <v>595</v>
      </c>
      <c r="I63" s="225">
        <v>390</v>
      </c>
      <c r="J63" s="226">
        <v>11722.98453488154</v>
      </c>
      <c r="K63" s="226">
        <v>3522.904270395461</v>
      </c>
      <c r="L63" s="226">
        <v>5871.5071173257693</v>
      </c>
      <c r="M63" s="226">
        <v>32.180227486447947</v>
      </c>
      <c r="N63" s="227">
        <f t="shared" si="25"/>
        <v>21149.576150089222</v>
      </c>
      <c r="O63" s="227">
        <f t="shared" si="26"/>
        <v>15623.543017586586</v>
      </c>
      <c r="P63" s="227">
        <f t="shared" si="27"/>
        <v>4695.0711443482387</v>
      </c>
      <c r="Q63" s="227">
        <f t="shared" si="27"/>
        <v>7825.1185739137318</v>
      </c>
      <c r="R63" s="227">
        <f t="shared" si="27"/>
        <v>42.88747178282636</v>
      </c>
      <c r="S63" s="226">
        <v>28186.620207631389</v>
      </c>
      <c r="T63" s="228">
        <f t="shared" si="28"/>
        <v>1.3327274271410152</v>
      </c>
      <c r="U63" s="227">
        <f t="shared" si="29"/>
        <v>8248334.6985347969</v>
      </c>
      <c r="V63" s="227">
        <f t="shared" si="30"/>
        <v>10992781.880976241</v>
      </c>
      <c r="W63" s="221" t="s">
        <v>636</v>
      </c>
      <c r="X63" s="221" t="s">
        <v>621</v>
      </c>
      <c r="Y63" s="229">
        <f>SUMIFS(Cert_App_Output!$G:$G,Cert_App_Output!$E:$E,$E63,Cert_App_Output!$K:$K,$X63)</f>
        <v>0.3</v>
      </c>
    </row>
    <row r="64" spans="1:25" x14ac:dyDescent="0.35">
      <c r="A64" s="221" t="s">
        <v>305</v>
      </c>
      <c r="B64" s="221" t="s">
        <v>573</v>
      </c>
      <c r="C64" s="221" t="s">
        <v>321</v>
      </c>
      <c r="D64" s="221" t="s">
        <v>573</v>
      </c>
      <c r="E64" s="221">
        <v>5.07</v>
      </c>
      <c r="F64" s="221" t="s">
        <v>574</v>
      </c>
      <c r="G64" s="221" t="s">
        <v>643</v>
      </c>
      <c r="H64" s="221" t="s">
        <v>576</v>
      </c>
      <c r="I64" s="225">
        <v>1</v>
      </c>
      <c r="J64" s="226">
        <v>0</v>
      </c>
      <c r="K64" s="226">
        <v>1829911.58844288</v>
      </c>
      <c r="L64" s="226">
        <v>0</v>
      </c>
      <c r="M64" s="226">
        <v>0</v>
      </c>
      <c r="N64" s="227">
        <f t="shared" si="25"/>
        <v>1829911.58844288</v>
      </c>
      <c r="O64" s="227">
        <f t="shared" si="26"/>
        <v>0</v>
      </c>
      <c r="P64" s="227">
        <f t="shared" si="27"/>
        <v>2438773.3631610079</v>
      </c>
      <c r="Q64" s="227">
        <f t="shared" si="27"/>
        <v>0</v>
      </c>
      <c r="R64" s="227">
        <f t="shared" si="27"/>
        <v>0</v>
      </c>
      <c r="S64" s="226">
        <v>2438773.3631610079</v>
      </c>
      <c r="T64" s="228">
        <f t="shared" si="28"/>
        <v>1.3327274271410152</v>
      </c>
      <c r="U64" s="227">
        <f t="shared" si="29"/>
        <v>1829911.58844288</v>
      </c>
      <c r="V64" s="227">
        <f t="shared" si="30"/>
        <v>2438773.3631610079</v>
      </c>
      <c r="W64" s="221" t="s">
        <v>636</v>
      </c>
      <c r="X64" s="221" t="s">
        <v>621</v>
      </c>
      <c r="Y64" s="229">
        <f>SUMIFS(Cert_App_Output!$G:$G,Cert_App_Output!$E:$E,$E64,Cert_App_Output!$K:$K,$X64)</f>
        <v>1</v>
      </c>
    </row>
    <row r="65" spans="1:25" x14ac:dyDescent="0.35">
      <c r="A65" s="221" t="s">
        <v>573</v>
      </c>
      <c r="B65" s="221" t="s">
        <v>573</v>
      </c>
      <c r="C65" s="221" t="s">
        <v>573</v>
      </c>
      <c r="D65" s="221" t="s">
        <v>573</v>
      </c>
      <c r="E65" s="221">
        <v>6</v>
      </c>
      <c r="G65" s="221" t="s">
        <v>644</v>
      </c>
      <c r="I65" s="222"/>
      <c r="J65" s="223"/>
      <c r="K65" s="223"/>
      <c r="L65" s="223"/>
      <c r="M65" s="223"/>
      <c r="N65" s="223"/>
      <c r="O65" s="223"/>
      <c r="P65" s="223"/>
      <c r="Q65" s="223"/>
      <c r="R65" s="223"/>
      <c r="S65" s="223"/>
      <c r="T65" s="224"/>
      <c r="U65" s="223"/>
      <c r="V65" s="223"/>
      <c r="W65" s="221" t="s">
        <v>644</v>
      </c>
      <c r="X65" s="221" t="s">
        <v>621</v>
      </c>
      <c r="Y65" s="215"/>
    </row>
    <row r="66" spans="1:25" x14ac:dyDescent="0.35">
      <c r="A66" s="221" t="s">
        <v>305</v>
      </c>
      <c r="B66" s="221" t="s">
        <v>573</v>
      </c>
      <c r="C66" s="221" t="s">
        <v>573</v>
      </c>
      <c r="D66" s="221" t="s">
        <v>321</v>
      </c>
      <c r="E66" s="221">
        <v>6.02</v>
      </c>
      <c r="F66" s="221" t="s">
        <v>574</v>
      </c>
      <c r="G66" s="221" t="s">
        <v>645</v>
      </c>
      <c r="H66" s="221" t="s">
        <v>581</v>
      </c>
      <c r="I66" s="225">
        <v>55</v>
      </c>
      <c r="J66" s="226">
        <v>14897.520661157019</v>
      </c>
      <c r="K66" s="226">
        <v>0</v>
      </c>
      <c r="L66" s="226">
        <v>8259.2819341714912</v>
      </c>
      <c r="M66" s="226">
        <v>347.35203892992729</v>
      </c>
      <c r="N66" s="227">
        <f>SUM(J66:M66)</f>
        <v>23504.154634258437</v>
      </c>
      <c r="O66" s="227">
        <f>IF($N66=0,$S66,J66/$N66*$S66)</f>
        <v>19854.334381523913</v>
      </c>
      <c r="P66" s="227">
        <f>IF($N66=0,0,K66/$N66*$S66)</f>
        <v>0</v>
      </c>
      <c r="Q66" s="227">
        <f>IF($N66=0,0,L66/$N66*$S66)</f>
        <v>11007.371562160641</v>
      </c>
      <c r="R66" s="227">
        <f>IF($N66=0,0,M66/$N66*$S66)</f>
        <v>462.9255891552678</v>
      </c>
      <c r="S66" s="226">
        <v>31324.63153283982</v>
      </c>
      <c r="T66" s="228">
        <f>IFERROR(S66/N66,"")</f>
        <v>1.3327274271410154</v>
      </c>
      <c r="U66" s="227">
        <f>N66*I66</f>
        <v>1292728.5048842141</v>
      </c>
      <c r="V66" s="227">
        <f>S66*I66</f>
        <v>1722854.7343061902</v>
      </c>
      <c r="W66" s="221" t="s">
        <v>644</v>
      </c>
      <c r="X66" s="221" t="s">
        <v>621</v>
      </c>
      <c r="Y66" s="229">
        <f>SUMIFS(Cert_App_Output!$G:$G,Cert_App_Output!$E:$E,$E66,Cert_App_Output!$K:$K,$X66)</f>
        <v>0</v>
      </c>
    </row>
    <row r="67" spans="1:25" x14ac:dyDescent="0.35">
      <c r="A67" s="221" t="s">
        <v>573</v>
      </c>
      <c r="B67" s="221" t="s">
        <v>573</v>
      </c>
      <c r="C67" s="221" t="s">
        <v>573</v>
      </c>
      <c r="D67" s="221" t="s">
        <v>573</v>
      </c>
      <c r="E67" s="221">
        <v>7</v>
      </c>
      <c r="G67" s="221" t="s">
        <v>646</v>
      </c>
      <c r="I67" s="222"/>
      <c r="J67" s="223"/>
      <c r="K67" s="223"/>
      <c r="L67" s="223"/>
      <c r="M67" s="223"/>
      <c r="N67" s="223"/>
      <c r="O67" s="223"/>
      <c r="P67" s="223"/>
      <c r="Q67" s="223"/>
      <c r="R67" s="223"/>
      <c r="S67" s="223"/>
      <c r="T67" s="224"/>
      <c r="U67" s="223"/>
      <c r="V67" s="223"/>
      <c r="W67" s="221" t="s">
        <v>646</v>
      </c>
      <c r="X67" s="221" t="s">
        <v>621</v>
      </c>
      <c r="Y67" s="215"/>
    </row>
    <row r="68" spans="1:25" x14ac:dyDescent="0.35">
      <c r="A68" s="221" t="s">
        <v>305</v>
      </c>
      <c r="B68" s="221" t="s">
        <v>573</v>
      </c>
      <c r="C68" s="221" t="s">
        <v>573</v>
      </c>
      <c r="D68" s="221" t="s">
        <v>321</v>
      </c>
      <c r="E68" s="221">
        <v>7.01</v>
      </c>
      <c r="F68" s="221" t="s">
        <v>574</v>
      </c>
      <c r="G68" s="221" t="s">
        <v>647</v>
      </c>
      <c r="H68" s="221" t="s">
        <v>595</v>
      </c>
      <c r="I68" s="225">
        <v>879</v>
      </c>
      <c r="J68" s="226">
        <v>4009.2266140000002</v>
      </c>
      <c r="K68" s="226">
        <v>0</v>
      </c>
      <c r="L68" s="226">
        <v>10647.25614108827</v>
      </c>
      <c r="M68" s="226">
        <v>306.9546684119249</v>
      </c>
      <c r="N68" s="227">
        <f t="shared" ref="N68:N73" si="31">SUM(J68:M68)</f>
        <v>14963.437423500194</v>
      </c>
      <c r="O68" s="227">
        <f t="shared" ref="O68:O73" si="32">IF($N68=0,$S68,J68/$N68*$S68)</f>
        <v>5343.2062701015047</v>
      </c>
      <c r="P68" s="227">
        <f t="shared" ref="P68:R73" si="33">IF($N68=0,0,K68/$N68*$S68)</f>
        <v>0</v>
      </c>
      <c r="Q68" s="227">
        <f t="shared" si="33"/>
        <v>14189.890283023948</v>
      </c>
      <c r="R68" s="227">
        <f t="shared" si="33"/>
        <v>409.08690548154823</v>
      </c>
      <c r="S68" s="226">
        <v>19942.183458607</v>
      </c>
      <c r="T68" s="228">
        <f t="shared" ref="T68:T73" si="34">IFERROR(S68/N68,"")</f>
        <v>1.3327274271410154</v>
      </c>
      <c r="U68" s="227">
        <f t="shared" ref="U68:U73" si="35">N68*I68</f>
        <v>13152861.49525667</v>
      </c>
      <c r="V68" s="227">
        <f t="shared" ref="V68:V73" si="36">S68*I68</f>
        <v>17529179.260115553</v>
      </c>
      <c r="W68" s="221" t="s">
        <v>646</v>
      </c>
      <c r="X68" s="221" t="s">
        <v>621</v>
      </c>
      <c r="Y68" s="229">
        <f>SUMIFS(Cert_App_Output!$G:$G,Cert_App_Output!$E:$E,$E68,Cert_App_Output!$K:$K,$X68)</f>
        <v>0.64999999999999991</v>
      </c>
    </row>
    <row r="69" spans="1:25" x14ac:dyDescent="0.35">
      <c r="A69" s="221" t="s">
        <v>305</v>
      </c>
      <c r="B69" s="221" t="s">
        <v>573</v>
      </c>
      <c r="C69" s="221" t="s">
        <v>573</v>
      </c>
      <c r="D69" s="221" t="s">
        <v>321</v>
      </c>
      <c r="E69" s="221">
        <v>7.02</v>
      </c>
      <c r="F69" s="221" t="s">
        <v>574</v>
      </c>
      <c r="G69" s="221" t="s">
        <v>648</v>
      </c>
      <c r="H69" s="221" t="s">
        <v>595</v>
      </c>
      <c r="I69" s="225">
        <v>716</v>
      </c>
      <c r="J69" s="226">
        <v>4009.2266140000002</v>
      </c>
      <c r="K69" s="226">
        <v>0</v>
      </c>
      <c r="L69" s="226">
        <v>15305.430702814379</v>
      </c>
      <c r="M69" s="226">
        <v>769.31526348917737</v>
      </c>
      <c r="N69" s="227">
        <f t="shared" si="31"/>
        <v>20083.972580303558</v>
      </c>
      <c r="O69" s="227">
        <f t="shared" si="32"/>
        <v>5343.2062701015047</v>
      </c>
      <c r="P69" s="227">
        <f t="shared" si="33"/>
        <v>0</v>
      </c>
      <c r="Q69" s="227">
        <f t="shared" si="33"/>
        <v>20397.967281846908</v>
      </c>
      <c r="R69" s="227">
        <f t="shared" si="33"/>
        <v>1025.2875517702437</v>
      </c>
      <c r="S69" s="226">
        <v>26766.461103718659</v>
      </c>
      <c r="T69" s="228">
        <f t="shared" si="34"/>
        <v>1.3327274271410152</v>
      </c>
      <c r="U69" s="227">
        <f t="shared" si="35"/>
        <v>14380124.367497347</v>
      </c>
      <c r="V69" s="227">
        <f t="shared" si="36"/>
        <v>19164786.150262561</v>
      </c>
      <c r="W69" s="221" t="s">
        <v>646</v>
      </c>
      <c r="X69" s="221" t="s">
        <v>621</v>
      </c>
      <c r="Y69" s="229">
        <f>SUMIFS(Cert_App_Output!$G:$G,Cert_App_Output!$E:$E,$E69,Cert_App_Output!$K:$K,$X69)</f>
        <v>0.85</v>
      </c>
    </row>
    <row r="70" spans="1:25" x14ac:dyDescent="0.35">
      <c r="A70" s="221" t="s">
        <v>378</v>
      </c>
      <c r="B70" s="221" t="s">
        <v>573</v>
      </c>
      <c r="C70" s="221" t="s">
        <v>385</v>
      </c>
      <c r="D70" s="221" t="s">
        <v>573</v>
      </c>
      <c r="E70" s="221">
        <v>7.03</v>
      </c>
      <c r="F70" s="221" t="s">
        <v>574</v>
      </c>
      <c r="G70" s="221" t="s">
        <v>649</v>
      </c>
      <c r="H70" s="221" t="s">
        <v>595</v>
      </c>
      <c r="I70" s="225">
        <v>1439</v>
      </c>
      <c r="J70" s="226">
        <v>5324.1714662960394</v>
      </c>
      <c r="K70" s="226">
        <v>11651.218312085961</v>
      </c>
      <c r="L70" s="226">
        <v>0</v>
      </c>
      <c r="M70" s="226">
        <v>254.63084667572971</v>
      </c>
      <c r="N70" s="227">
        <f t="shared" si="31"/>
        <v>17230.020625057728</v>
      </c>
      <c r="O70" s="227">
        <f t="shared" si="32"/>
        <v>7095.6693399343258</v>
      </c>
      <c r="P70" s="227">
        <f t="shared" si="33"/>
        <v>15527.898204124602</v>
      </c>
      <c r="Q70" s="227">
        <f t="shared" si="33"/>
        <v>0</v>
      </c>
      <c r="R70" s="227">
        <f t="shared" si="33"/>
        <v>339.35351316088355</v>
      </c>
      <c r="S70" s="226">
        <v>22962.92105721981</v>
      </c>
      <c r="T70" s="228">
        <f t="shared" si="34"/>
        <v>1.332727427141015</v>
      </c>
      <c r="U70" s="227">
        <f t="shared" si="35"/>
        <v>24793999.679458071</v>
      </c>
      <c r="V70" s="227">
        <f t="shared" si="36"/>
        <v>33043643.401339307</v>
      </c>
      <c r="W70" s="221" t="s">
        <v>646</v>
      </c>
      <c r="X70" s="221" t="s">
        <v>621</v>
      </c>
      <c r="Y70" s="229">
        <f>SUMIFS(Cert_App_Output!$G:$G,Cert_App_Output!$E:$E,$E70,Cert_App_Output!$K:$K,$X70)</f>
        <v>0.99999999999999989</v>
      </c>
    </row>
    <row r="71" spans="1:25" x14ac:dyDescent="0.35">
      <c r="A71" s="221" t="s">
        <v>378</v>
      </c>
      <c r="B71" s="221" t="s">
        <v>573</v>
      </c>
      <c r="C71" s="221" t="s">
        <v>385</v>
      </c>
      <c r="D71" s="221" t="s">
        <v>573</v>
      </c>
      <c r="E71" s="221">
        <v>7.04</v>
      </c>
      <c r="F71" s="221" t="s">
        <v>574</v>
      </c>
      <c r="G71" s="221" t="s">
        <v>650</v>
      </c>
      <c r="H71" s="221" t="s">
        <v>581</v>
      </c>
      <c r="I71" s="225">
        <v>347</v>
      </c>
      <c r="J71" s="226">
        <v>0</v>
      </c>
      <c r="K71" s="226">
        <v>12499.47315710669</v>
      </c>
      <c r="L71" s="226">
        <v>0</v>
      </c>
      <c r="M71" s="226">
        <v>187.49209735660031</v>
      </c>
      <c r="N71" s="227">
        <f t="shared" si="31"/>
        <v>12686.96525446329</v>
      </c>
      <c r="O71" s="227">
        <f t="shared" si="32"/>
        <v>0</v>
      </c>
      <c r="P71" s="227">
        <f t="shared" si="33"/>
        <v>16658.390701288983</v>
      </c>
      <c r="Q71" s="227">
        <f t="shared" si="33"/>
        <v>0</v>
      </c>
      <c r="R71" s="227">
        <f t="shared" si="33"/>
        <v>249.87586051933474</v>
      </c>
      <c r="S71" s="226">
        <v>16908.266561808319</v>
      </c>
      <c r="T71" s="228">
        <f t="shared" si="34"/>
        <v>1.3327274271410154</v>
      </c>
      <c r="U71" s="227">
        <f t="shared" si="35"/>
        <v>4402376.9432987617</v>
      </c>
      <c r="V71" s="227">
        <f t="shared" si="36"/>
        <v>5867168.4969474869</v>
      </c>
      <c r="W71" s="221" t="s">
        <v>646</v>
      </c>
      <c r="X71" s="221" t="s">
        <v>621</v>
      </c>
      <c r="Y71" s="229">
        <f>SUMIFS(Cert_App_Output!$G:$G,Cert_App_Output!$E:$E,$E71,Cert_App_Output!$K:$K,$X71)</f>
        <v>0.95</v>
      </c>
    </row>
    <row r="72" spans="1:25" x14ac:dyDescent="0.35">
      <c r="A72" s="221" t="s">
        <v>305</v>
      </c>
      <c r="B72" s="221" t="s">
        <v>573</v>
      </c>
      <c r="C72" s="221" t="s">
        <v>321</v>
      </c>
      <c r="D72" s="221" t="s">
        <v>573</v>
      </c>
      <c r="E72" s="221">
        <v>7.05</v>
      </c>
      <c r="F72" s="221" t="s">
        <v>574</v>
      </c>
      <c r="G72" s="221" t="s">
        <v>651</v>
      </c>
      <c r="H72" s="221" t="s">
        <v>652</v>
      </c>
      <c r="I72" s="225">
        <v>132</v>
      </c>
      <c r="J72" s="226">
        <v>1167.273560606061</v>
      </c>
      <c r="K72" s="226">
        <v>13162.3240063472</v>
      </c>
      <c r="L72" s="226">
        <v>0</v>
      </c>
      <c r="M72" s="226">
        <v>214.94396350429929</v>
      </c>
      <c r="N72" s="227">
        <f t="shared" si="31"/>
        <v>14544.541530457562</v>
      </c>
      <c r="O72" s="227">
        <f t="shared" si="32"/>
        <v>1555.6574891962475</v>
      </c>
      <c r="P72" s="227">
        <f t="shared" si="33"/>
        <v>17541.790208175524</v>
      </c>
      <c r="Q72" s="227">
        <f t="shared" si="33"/>
        <v>0</v>
      </c>
      <c r="R72" s="227">
        <f t="shared" si="33"/>
        <v>286.46171546057701</v>
      </c>
      <c r="S72" s="226">
        <v>19383.909412832349</v>
      </c>
      <c r="T72" s="228">
        <f t="shared" si="34"/>
        <v>1.3327274271410152</v>
      </c>
      <c r="U72" s="227">
        <f t="shared" si="35"/>
        <v>1919879.4820203981</v>
      </c>
      <c r="V72" s="227">
        <f t="shared" si="36"/>
        <v>2558676.04249387</v>
      </c>
      <c r="W72" s="221" t="s">
        <v>646</v>
      </c>
      <c r="X72" s="221" t="s">
        <v>621</v>
      </c>
      <c r="Y72" s="229">
        <f>SUMIFS(Cert_App_Output!$G:$G,Cert_App_Output!$E:$E,$E72,Cert_App_Output!$K:$K,$X72)</f>
        <v>0.95</v>
      </c>
    </row>
    <row r="73" spans="1:25" x14ac:dyDescent="0.35">
      <c r="A73" s="221" t="s">
        <v>305</v>
      </c>
      <c r="B73" s="221" t="s">
        <v>573</v>
      </c>
      <c r="C73" s="221" t="s">
        <v>573</v>
      </c>
      <c r="D73" s="221" t="s">
        <v>321</v>
      </c>
      <c r="E73" s="221">
        <v>7.06</v>
      </c>
      <c r="F73" s="221" t="s">
        <v>574</v>
      </c>
      <c r="G73" s="221" t="s">
        <v>653</v>
      </c>
      <c r="H73" s="221" t="s">
        <v>595</v>
      </c>
      <c r="I73" s="225">
        <v>710</v>
      </c>
      <c r="J73" s="226">
        <v>4009.2266140000002</v>
      </c>
      <c r="K73" s="226">
        <v>0</v>
      </c>
      <c r="L73" s="226">
        <v>10647.256141088281</v>
      </c>
      <c r="M73" s="226">
        <v>306.95466841192541</v>
      </c>
      <c r="N73" s="227">
        <f t="shared" si="31"/>
        <v>14963.437423500205</v>
      </c>
      <c r="O73" s="227">
        <f t="shared" si="32"/>
        <v>5343.2062701015047</v>
      </c>
      <c r="P73" s="227">
        <f t="shared" si="33"/>
        <v>0</v>
      </c>
      <c r="Q73" s="227">
        <f t="shared" si="33"/>
        <v>14189.89028302396</v>
      </c>
      <c r="R73" s="227">
        <f t="shared" si="33"/>
        <v>409.0869054815488</v>
      </c>
      <c r="S73" s="226">
        <v>19942.183458607011</v>
      </c>
      <c r="T73" s="228">
        <f t="shared" si="34"/>
        <v>1.3327274271410152</v>
      </c>
      <c r="U73" s="227">
        <f t="shared" si="35"/>
        <v>10624040.570685146</v>
      </c>
      <c r="V73" s="227">
        <f t="shared" si="36"/>
        <v>14158950.255610978</v>
      </c>
      <c r="W73" s="221" t="s">
        <v>646</v>
      </c>
      <c r="X73" s="221" t="s">
        <v>621</v>
      </c>
      <c r="Y73" s="229">
        <f>SUMIFS(Cert_App_Output!$G:$G,Cert_App_Output!$E:$E,$E73,Cert_App_Output!$K:$K,$X73)</f>
        <v>0.85</v>
      </c>
    </row>
    <row r="74" spans="1:25" x14ac:dyDescent="0.35">
      <c r="A74" s="221" t="s">
        <v>573</v>
      </c>
      <c r="B74" s="221" t="s">
        <v>573</v>
      </c>
      <c r="C74" s="221" t="s">
        <v>573</v>
      </c>
      <c r="D74" s="221" t="s">
        <v>573</v>
      </c>
      <c r="E74" s="221">
        <v>8</v>
      </c>
      <c r="G74" s="221" t="s">
        <v>654</v>
      </c>
      <c r="I74" s="222"/>
      <c r="J74" s="223"/>
      <c r="K74" s="223"/>
      <c r="L74" s="223"/>
      <c r="M74" s="223"/>
      <c r="N74" s="223"/>
      <c r="O74" s="223"/>
      <c r="P74" s="223"/>
      <c r="Q74" s="223"/>
      <c r="R74" s="223"/>
      <c r="S74" s="223"/>
      <c r="T74" s="224"/>
      <c r="U74" s="223"/>
      <c r="V74" s="223"/>
      <c r="W74" s="221" t="s">
        <v>654</v>
      </c>
      <c r="X74" s="221" t="s">
        <v>621</v>
      </c>
      <c r="Y74" s="215"/>
    </row>
    <row r="75" spans="1:25" x14ac:dyDescent="0.35">
      <c r="A75" s="221" t="s">
        <v>305</v>
      </c>
      <c r="B75" s="221" t="s">
        <v>573</v>
      </c>
      <c r="C75" s="221" t="s">
        <v>573</v>
      </c>
      <c r="D75" s="221" t="s">
        <v>321</v>
      </c>
      <c r="E75" s="221">
        <v>8.01</v>
      </c>
      <c r="F75" s="221" t="s">
        <v>593</v>
      </c>
      <c r="G75" s="221" t="s">
        <v>655</v>
      </c>
      <c r="H75" s="221" t="s">
        <v>595</v>
      </c>
      <c r="I75" s="225">
        <v>107</v>
      </c>
      <c r="J75" s="226">
        <v>30940.006841121489</v>
      </c>
      <c r="K75" s="226">
        <v>0</v>
      </c>
      <c r="L75" s="226">
        <v>12364.893372256451</v>
      </c>
      <c r="M75" s="226">
        <v>649.57350320066905</v>
      </c>
      <c r="N75" s="227">
        <f t="shared" ref="N75:N82" si="37">SUM(J75:M75)</f>
        <v>43954.473716578614</v>
      </c>
      <c r="O75" s="227">
        <f t="shared" ref="O75:O82" si="38">IF($N75=0,$S75,J75/$N75*$S75)</f>
        <v>41234.595713093251</v>
      </c>
      <c r="P75" s="227">
        <f t="shared" ref="P75:R82" si="39">IF($N75=0,0,K75/$N75*$S75)</f>
        <v>0</v>
      </c>
      <c r="Q75" s="227">
        <f t="shared" si="39"/>
        <v>16479.032530880333</v>
      </c>
      <c r="R75" s="227">
        <f t="shared" si="39"/>
        <v>865.70442365960366</v>
      </c>
      <c r="S75" s="226">
        <v>58579.332667633193</v>
      </c>
      <c r="T75" s="228">
        <f t="shared" ref="T75:T82" si="40">IFERROR(S75/N75,"")</f>
        <v>1.3327274271410152</v>
      </c>
      <c r="U75" s="227">
        <f t="shared" ref="U75:U82" si="41">N75*I75</f>
        <v>4703128.6876739115</v>
      </c>
      <c r="V75" s="227">
        <f t="shared" ref="V75:V82" si="42">S75*I75</f>
        <v>6267988.5954367518</v>
      </c>
      <c r="W75" s="221" t="s">
        <v>654</v>
      </c>
      <c r="X75" s="221" t="s">
        <v>621</v>
      </c>
      <c r="Y75" s="229">
        <f>SUMIFS(Cert_App_Output!$G:$G,Cert_App_Output!$E:$E,$E75,Cert_App_Output!$K:$K,$X75)</f>
        <v>0</v>
      </c>
    </row>
    <row r="76" spans="1:25" x14ac:dyDescent="0.35">
      <c r="A76" s="221" t="s">
        <v>305</v>
      </c>
      <c r="B76" s="221" t="s">
        <v>573</v>
      </c>
      <c r="C76" s="221" t="s">
        <v>321</v>
      </c>
      <c r="D76" s="221" t="s">
        <v>321</v>
      </c>
      <c r="E76" s="221">
        <v>8.02</v>
      </c>
      <c r="F76" s="221" t="s">
        <v>593</v>
      </c>
      <c r="G76" s="221" t="s">
        <v>656</v>
      </c>
      <c r="H76" s="221" t="s">
        <v>595</v>
      </c>
      <c r="I76" s="225">
        <v>258</v>
      </c>
      <c r="J76" s="226">
        <v>22041.277519379841</v>
      </c>
      <c r="K76" s="226">
        <v>891.47286821705427</v>
      </c>
      <c r="L76" s="226">
        <v>5697.0204215681388</v>
      </c>
      <c r="M76" s="226">
        <v>429.44656213747669</v>
      </c>
      <c r="N76" s="227">
        <f t="shared" si="37"/>
        <v>29059.217371302511</v>
      </c>
      <c r="O76" s="227">
        <f t="shared" si="38"/>
        <v>29375.015079304194</v>
      </c>
      <c r="P76" s="227">
        <f t="shared" si="39"/>
        <v>1188.090342024936</v>
      </c>
      <c r="Q76" s="227">
        <f t="shared" si="39"/>
        <v>7592.5753688063269</v>
      </c>
      <c r="R76" s="227">
        <f t="shared" si="39"/>
        <v>572.33521185203335</v>
      </c>
      <c r="S76" s="226">
        <v>38728.016001987489</v>
      </c>
      <c r="T76" s="228">
        <f t="shared" si="40"/>
        <v>1.3327274271410152</v>
      </c>
      <c r="U76" s="227">
        <f t="shared" si="41"/>
        <v>7497278.0817960482</v>
      </c>
      <c r="V76" s="227">
        <f t="shared" si="42"/>
        <v>9991828.1285127718</v>
      </c>
      <c r="W76" s="221" t="s">
        <v>654</v>
      </c>
      <c r="X76" s="221" t="s">
        <v>621</v>
      </c>
      <c r="Y76" s="229">
        <f>SUMIFS(Cert_App_Output!$G:$G,Cert_App_Output!$E:$E,$E76,Cert_App_Output!$K:$K,$X76)</f>
        <v>0</v>
      </c>
    </row>
    <row r="77" spans="1:25" x14ac:dyDescent="0.35">
      <c r="A77" s="221" t="s">
        <v>305</v>
      </c>
      <c r="B77" s="221" t="s">
        <v>573</v>
      </c>
      <c r="C77" s="221" t="s">
        <v>573</v>
      </c>
      <c r="D77" s="221" t="s">
        <v>321</v>
      </c>
      <c r="E77" s="221">
        <v>8.0299999999999994</v>
      </c>
      <c r="F77" s="221" t="s">
        <v>574</v>
      </c>
      <c r="G77" s="221" t="s">
        <v>657</v>
      </c>
      <c r="H77" s="221" t="s">
        <v>595</v>
      </c>
      <c r="I77" s="225">
        <v>425</v>
      </c>
      <c r="J77" s="226">
        <v>6968.030629144635</v>
      </c>
      <c r="K77" s="226">
        <v>0</v>
      </c>
      <c r="L77" s="226">
        <v>10126.741046938851</v>
      </c>
      <c r="M77" s="226">
        <v>120.0469182113344</v>
      </c>
      <c r="N77" s="227">
        <f t="shared" si="37"/>
        <v>17214.818594294818</v>
      </c>
      <c r="O77" s="227">
        <f t="shared" si="38"/>
        <v>9286.4855326197176</v>
      </c>
      <c r="P77" s="227">
        <f t="shared" si="39"/>
        <v>0</v>
      </c>
      <c r="Q77" s="227">
        <f t="shared" si="39"/>
        <v>13496.185540810124</v>
      </c>
      <c r="R77" s="227">
        <f t="shared" si="39"/>
        <v>159.98982044399958</v>
      </c>
      <c r="S77" s="226">
        <v>22942.660893873839</v>
      </c>
      <c r="T77" s="228">
        <f t="shared" si="40"/>
        <v>1.332727427141015</v>
      </c>
      <c r="U77" s="227">
        <f t="shared" si="41"/>
        <v>7316297.9025752982</v>
      </c>
      <c r="V77" s="227">
        <f t="shared" si="42"/>
        <v>9750630.8798963819</v>
      </c>
      <c r="W77" s="221" t="s">
        <v>654</v>
      </c>
      <c r="X77" s="221" t="s">
        <v>621</v>
      </c>
      <c r="Y77" s="229">
        <f>SUMIFS(Cert_App_Output!$G:$G,Cert_App_Output!$E:$E,$E77,Cert_App_Output!$K:$K,$X77)</f>
        <v>0.5</v>
      </c>
    </row>
    <row r="78" spans="1:25" x14ac:dyDescent="0.35">
      <c r="A78" s="221" t="s">
        <v>305</v>
      </c>
      <c r="B78" s="221" t="s">
        <v>573</v>
      </c>
      <c r="C78" s="221" t="s">
        <v>573</v>
      </c>
      <c r="D78" s="221" t="s">
        <v>321</v>
      </c>
      <c r="E78" s="221">
        <v>8.0399999999999991</v>
      </c>
      <c r="F78" s="221" t="s">
        <v>593</v>
      </c>
      <c r="G78" s="221" t="s">
        <v>658</v>
      </c>
      <c r="H78" s="221" t="s">
        <v>595</v>
      </c>
      <c r="I78" s="225">
        <v>200</v>
      </c>
      <c r="J78" s="226">
        <v>24469.45</v>
      </c>
      <c r="K78" s="226">
        <v>0</v>
      </c>
      <c r="L78" s="226">
        <v>5362.3939312257498</v>
      </c>
      <c r="M78" s="226">
        <v>447.47765896838649</v>
      </c>
      <c r="N78" s="227">
        <f t="shared" si="37"/>
        <v>30279.321590194137</v>
      </c>
      <c r="O78" s="227">
        <f t="shared" si="38"/>
        <v>32611.107142055716</v>
      </c>
      <c r="P78" s="227">
        <f t="shared" si="39"/>
        <v>0</v>
      </c>
      <c r="Q78" s="227">
        <f t="shared" si="39"/>
        <v>7146.6094672790878</v>
      </c>
      <c r="R78" s="227">
        <f t="shared" si="39"/>
        <v>596.36574914002244</v>
      </c>
      <c r="S78" s="226">
        <v>40354.082358474829</v>
      </c>
      <c r="T78" s="228">
        <f t="shared" si="40"/>
        <v>1.3327274271410152</v>
      </c>
      <c r="U78" s="227">
        <f t="shared" si="41"/>
        <v>6055864.3180388277</v>
      </c>
      <c r="V78" s="227">
        <f t="shared" si="42"/>
        <v>8070816.4716949658</v>
      </c>
      <c r="W78" s="221" t="s">
        <v>654</v>
      </c>
      <c r="X78" s="221" t="s">
        <v>621</v>
      </c>
      <c r="Y78" s="229">
        <f>SUMIFS(Cert_App_Output!$G:$G,Cert_App_Output!$E:$E,$E78,Cert_App_Output!$K:$K,$X78)</f>
        <v>0.5</v>
      </c>
    </row>
    <row r="79" spans="1:25" x14ac:dyDescent="0.35">
      <c r="A79" s="221" t="s">
        <v>305</v>
      </c>
      <c r="B79" s="221" t="s">
        <v>573</v>
      </c>
      <c r="C79" s="221" t="s">
        <v>573</v>
      </c>
      <c r="D79" s="221" t="s">
        <v>321</v>
      </c>
      <c r="E79" s="221">
        <v>8.0500000000000007</v>
      </c>
      <c r="F79" s="221" t="s">
        <v>593</v>
      </c>
      <c r="G79" s="221" t="s">
        <v>659</v>
      </c>
      <c r="H79" s="221" t="s">
        <v>595</v>
      </c>
      <c r="I79" s="225">
        <v>77</v>
      </c>
      <c r="J79" s="226">
        <v>8233.9594805194811</v>
      </c>
      <c r="K79" s="226">
        <v>0</v>
      </c>
      <c r="L79" s="226">
        <v>15063.226619458441</v>
      </c>
      <c r="M79" s="226">
        <v>349.45779149966751</v>
      </c>
      <c r="N79" s="227">
        <f t="shared" si="37"/>
        <v>23646.64389147759</v>
      </c>
      <c r="O79" s="227">
        <f t="shared" si="38"/>
        <v>10973.623633656098</v>
      </c>
      <c r="P79" s="227">
        <f t="shared" si="39"/>
        <v>0</v>
      </c>
      <c r="Q79" s="227">
        <f t="shared" si="39"/>
        <v>20075.175256992901</v>
      </c>
      <c r="R79" s="227">
        <f t="shared" si="39"/>
        <v>465.73198335973319</v>
      </c>
      <c r="S79" s="226">
        <v>31514.530874008731</v>
      </c>
      <c r="T79" s="228">
        <f t="shared" si="40"/>
        <v>1.3327274271410152</v>
      </c>
      <c r="U79" s="227">
        <f t="shared" si="41"/>
        <v>1820791.5796437743</v>
      </c>
      <c r="V79" s="227">
        <f t="shared" si="42"/>
        <v>2426618.8772986722</v>
      </c>
      <c r="W79" s="221" t="s">
        <v>654</v>
      </c>
      <c r="X79" s="221" t="s">
        <v>621</v>
      </c>
      <c r="Y79" s="229">
        <f>SUMIFS(Cert_App_Output!$G:$G,Cert_App_Output!$E:$E,$E79,Cert_App_Output!$K:$K,$X79)</f>
        <v>0.5</v>
      </c>
    </row>
    <row r="80" spans="1:25" x14ac:dyDescent="0.35">
      <c r="A80" s="221" t="s">
        <v>305</v>
      </c>
      <c r="B80" s="221" t="s">
        <v>573</v>
      </c>
      <c r="C80" s="221" t="s">
        <v>573</v>
      </c>
      <c r="D80" s="221" t="s">
        <v>321</v>
      </c>
      <c r="E80" s="221">
        <v>8.06</v>
      </c>
      <c r="F80" s="221" t="s">
        <v>593</v>
      </c>
      <c r="G80" s="221" t="s">
        <v>660</v>
      </c>
      <c r="H80" s="221" t="s">
        <v>595</v>
      </c>
      <c r="I80" s="225">
        <v>77</v>
      </c>
      <c r="J80" s="226">
        <v>7390.7910271546752</v>
      </c>
      <c r="K80" s="226">
        <v>0</v>
      </c>
      <c r="L80" s="226">
        <v>7159.2550900334554</v>
      </c>
      <c r="M80" s="226">
        <v>218.2506917578221</v>
      </c>
      <c r="N80" s="227">
        <f t="shared" si="37"/>
        <v>14768.296808945954</v>
      </c>
      <c r="O80" s="227">
        <f t="shared" si="38"/>
        <v>9849.9099101567535</v>
      </c>
      <c r="P80" s="227">
        <f t="shared" si="39"/>
        <v>0</v>
      </c>
      <c r="Q80" s="227">
        <f t="shared" si="39"/>
        <v>9541.3356163865064</v>
      </c>
      <c r="R80" s="227">
        <f t="shared" si="39"/>
        <v>290.86868289814907</v>
      </c>
      <c r="S80" s="226">
        <v>19682.11420944141</v>
      </c>
      <c r="T80" s="228">
        <f t="shared" si="40"/>
        <v>1.3327274271410154</v>
      </c>
      <c r="U80" s="227">
        <f t="shared" si="41"/>
        <v>1137158.8542888383</v>
      </c>
      <c r="V80" s="227">
        <f t="shared" si="42"/>
        <v>1515522.7941269886</v>
      </c>
      <c r="W80" s="221" t="s">
        <v>654</v>
      </c>
      <c r="X80" s="221" t="s">
        <v>621</v>
      </c>
      <c r="Y80" s="229">
        <f>SUMIFS(Cert_App_Output!$G:$G,Cert_App_Output!$E:$E,$E80,Cert_App_Output!$K:$K,$X80)</f>
        <v>0</v>
      </c>
    </row>
    <row r="81" spans="1:25" x14ac:dyDescent="0.35">
      <c r="A81" s="221" t="s">
        <v>305</v>
      </c>
      <c r="B81" s="221" t="s">
        <v>573</v>
      </c>
      <c r="C81" s="221" t="s">
        <v>573</v>
      </c>
      <c r="D81" s="221" t="s">
        <v>321</v>
      </c>
      <c r="E81" s="221">
        <v>8.07</v>
      </c>
      <c r="F81" s="221" t="s">
        <v>574</v>
      </c>
      <c r="G81" s="221" t="s">
        <v>661</v>
      </c>
      <c r="H81" s="221" t="s">
        <v>595</v>
      </c>
      <c r="I81" s="225">
        <v>442</v>
      </c>
      <c r="J81" s="226">
        <v>2717.5178580000002</v>
      </c>
      <c r="K81" s="226">
        <v>0</v>
      </c>
      <c r="L81" s="226">
        <v>7814.7833452434161</v>
      </c>
      <c r="M81" s="226">
        <v>223.75096146529319</v>
      </c>
      <c r="N81" s="227">
        <f t="shared" si="37"/>
        <v>10756.05216470871</v>
      </c>
      <c r="O81" s="227">
        <f t="shared" si="38"/>
        <v>3621.7105831021036</v>
      </c>
      <c r="P81" s="227">
        <f t="shared" si="39"/>
        <v>0</v>
      </c>
      <c r="Q81" s="227">
        <f t="shared" si="39"/>
        <v>10414.976101370716</v>
      </c>
      <c r="R81" s="227">
        <f t="shared" si="39"/>
        <v>298.19904319396869</v>
      </c>
      <c r="S81" s="226">
        <v>14334.88572766679</v>
      </c>
      <c r="T81" s="228">
        <f t="shared" si="40"/>
        <v>1.3327274271410154</v>
      </c>
      <c r="U81" s="227">
        <f t="shared" si="41"/>
        <v>4754175.0568012502</v>
      </c>
      <c r="V81" s="227">
        <f t="shared" si="42"/>
        <v>6336019.4916287214</v>
      </c>
      <c r="W81" s="221" t="s">
        <v>654</v>
      </c>
      <c r="X81" s="221" t="s">
        <v>621</v>
      </c>
      <c r="Y81" s="229">
        <f>SUMIFS(Cert_App_Output!$G:$G,Cert_App_Output!$E:$E,$E81,Cert_App_Output!$K:$K,$X81)</f>
        <v>0.25</v>
      </c>
    </row>
    <row r="82" spans="1:25" x14ac:dyDescent="0.35">
      <c r="A82" s="221" t="s">
        <v>305</v>
      </c>
      <c r="B82" s="221" t="s">
        <v>573</v>
      </c>
      <c r="C82" s="221" t="s">
        <v>573</v>
      </c>
      <c r="D82" s="221" t="s">
        <v>321</v>
      </c>
      <c r="E82" s="221">
        <v>8.08</v>
      </c>
      <c r="F82" s="221" t="s">
        <v>574</v>
      </c>
      <c r="G82" s="221" t="s">
        <v>662</v>
      </c>
      <c r="H82" s="221" t="s">
        <v>595</v>
      </c>
      <c r="I82" s="225">
        <v>360</v>
      </c>
      <c r="J82" s="226">
        <v>2717.5178580000002</v>
      </c>
      <c r="K82" s="226">
        <v>0</v>
      </c>
      <c r="L82" s="226">
        <v>7814.7833452434161</v>
      </c>
      <c r="M82" s="226">
        <v>223.7509614652933</v>
      </c>
      <c r="N82" s="227">
        <f t="shared" si="37"/>
        <v>10756.05216470871</v>
      </c>
      <c r="O82" s="227">
        <f t="shared" si="38"/>
        <v>3621.7105831021036</v>
      </c>
      <c r="P82" s="227">
        <f t="shared" si="39"/>
        <v>0</v>
      </c>
      <c r="Q82" s="227">
        <f t="shared" si="39"/>
        <v>10414.976101370716</v>
      </c>
      <c r="R82" s="227">
        <f t="shared" si="39"/>
        <v>298.19904319396886</v>
      </c>
      <c r="S82" s="226">
        <v>14334.88572766679</v>
      </c>
      <c r="T82" s="228">
        <f t="shared" si="40"/>
        <v>1.3327274271410154</v>
      </c>
      <c r="U82" s="227">
        <f t="shared" si="41"/>
        <v>3872178.7792951358</v>
      </c>
      <c r="V82" s="227">
        <f t="shared" si="42"/>
        <v>5160558.8619600441</v>
      </c>
      <c r="W82" s="221" t="s">
        <v>654</v>
      </c>
      <c r="X82" s="221" t="s">
        <v>621</v>
      </c>
      <c r="Y82" s="229">
        <f>SUMIFS(Cert_App_Output!$G:$G,Cert_App_Output!$E:$E,$E82,Cert_App_Output!$K:$K,$X82)</f>
        <v>0</v>
      </c>
    </row>
    <row r="83" spans="1:25" x14ac:dyDescent="0.35">
      <c r="A83" s="221" t="s">
        <v>573</v>
      </c>
      <c r="B83" s="221" t="s">
        <v>573</v>
      </c>
      <c r="C83" s="221" t="s">
        <v>573</v>
      </c>
      <c r="D83" s="221" t="s">
        <v>573</v>
      </c>
      <c r="E83" s="221">
        <v>9</v>
      </c>
      <c r="G83" s="221" t="s">
        <v>663</v>
      </c>
      <c r="I83" s="222"/>
      <c r="J83" s="223"/>
      <c r="K83" s="223"/>
      <c r="L83" s="223"/>
      <c r="M83" s="223"/>
      <c r="N83" s="223"/>
      <c r="O83" s="223"/>
      <c r="P83" s="223"/>
      <c r="Q83" s="223"/>
      <c r="R83" s="223"/>
      <c r="S83" s="223"/>
      <c r="T83" s="224"/>
      <c r="U83" s="223"/>
      <c r="V83" s="223"/>
      <c r="W83" s="221" t="s">
        <v>663</v>
      </c>
      <c r="X83" s="221" t="s">
        <v>621</v>
      </c>
      <c r="Y83" s="215"/>
    </row>
    <row r="84" spans="1:25" x14ac:dyDescent="0.35">
      <c r="A84" s="221" t="s">
        <v>305</v>
      </c>
      <c r="B84" s="221" t="s">
        <v>573</v>
      </c>
      <c r="C84" s="221" t="s">
        <v>573</v>
      </c>
      <c r="D84" s="221" t="s">
        <v>321</v>
      </c>
      <c r="E84" s="221">
        <v>9.01</v>
      </c>
      <c r="F84" s="221" t="s">
        <v>574</v>
      </c>
      <c r="G84" s="221" t="s">
        <v>664</v>
      </c>
      <c r="H84" s="221" t="s">
        <v>576</v>
      </c>
      <c r="I84" s="225">
        <v>1</v>
      </c>
      <c r="J84" s="226">
        <v>181154.98207619999</v>
      </c>
      <c r="K84" s="226">
        <v>0</v>
      </c>
      <c r="L84" s="226">
        <v>1378156.6048314399</v>
      </c>
      <c r="M84" s="226">
        <v>23389.673803614602</v>
      </c>
      <c r="N84" s="227">
        <f>SUM(J84:M84)</f>
        <v>1582701.2607112546</v>
      </c>
      <c r="O84" s="227">
        <f>IF($N84=0,$S84,J84/$N84*$S84)</f>
        <v>241430.21317619079</v>
      </c>
      <c r="P84" s="227">
        <f t="shared" ref="P84:R86" si="43">IF($N84=0,0,K84/$N84*$S84)</f>
        <v>0</v>
      </c>
      <c r="Q84" s="227">
        <f t="shared" si="43"/>
        <v>1836707.1061544023</v>
      </c>
      <c r="R84" s="227">
        <f t="shared" si="43"/>
        <v>31172.059789958897</v>
      </c>
      <c r="S84" s="226">
        <v>2109309.379120552</v>
      </c>
      <c r="T84" s="228">
        <f>IFERROR(S84/N84,"")</f>
        <v>1.3327274271410157</v>
      </c>
      <c r="U84" s="227">
        <f>N84*I84</f>
        <v>1582701.2607112546</v>
      </c>
      <c r="V84" s="227">
        <f>S84*I84</f>
        <v>2109309.379120552</v>
      </c>
      <c r="W84" s="221" t="s">
        <v>663</v>
      </c>
      <c r="X84" s="221" t="s">
        <v>621</v>
      </c>
      <c r="Y84" s="229">
        <f>SUMIFS(Cert_App_Output!$G:$G,Cert_App_Output!$E:$E,$E84,Cert_App_Output!$K:$K,$X84)</f>
        <v>0</v>
      </c>
    </row>
    <row r="85" spans="1:25" x14ac:dyDescent="0.35">
      <c r="A85" s="221" t="s">
        <v>305</v>
      </c>
      <c r="B85" s="221" t="s">
        <v>573</v>
      </c>
      <c r="C85" s="221" t="s">
        <v>573</v>
      </c>
      <c r="D85" s="221" t="s">
        <v>321</v>
      </c>
      <c r="E85" s="221">
        <v>9.02</v>
      </c>
      <c r="F85" s="221" t="s">
        <v>574</v>
      </c>
      <c r="G85" s="221" t="s">
        <v>665</v>
      </c>
      <c r="H85" s="221" t="s">
        <v>652</v>
      </c>
      <c r="I85" s="225">
        <v>81</v>
      </c>
      <c r="J85" s="226">
        <v>2592.977349250074</v>
      </c>
      <c r="K85" s="226">
        <v>0</v>
      </c>
      <c r="L85" s="226">
        <v>18121.935547301731</v>
      </c>
      <c r="M85" s="226">
        <v>310.72369344827649</v>
      </c>
      <c r="N85" s="227">
        <f>SUM(J85:M85)</f>
        <v>21025.636590000082</v>
      </c>
      <c r="O85" s="227">
        <f>IF($N85=0,$S85,J85/$N85*$S85)</f>
        <v>3455.7320313009809</v>
      </c>
      <c r="P85" s="227">
        <f t="shared" si="43"/>
        <v>0</v>
      </c>
      <c r="Q85" s="227">
        <f t="shared" si="43"/>
        <v>24151.600536770744</v>
      </c>
      <c r="R85" s="227">
        <f t="shared" si="43"/>
        <v>414.10998852107508</v>
      </c>
      <c r="S85" s="226">
        <v>28021.4425565928</v>
      </c>
      <c r="T85" s="228">
        <f>IFERROR(S85/N85,"")</f>
        <v>1.3327274271410152</v>
      </c>
      <c r="U85" s="227">
        <f>N85*I85</f>
        <v>1703076.5637900066</v>
      </c>
      <c r="V85" s="227">
        <f>S85*I85</f>
        <v>2269736.8470840165</v>
      </c>
      <c r="W85" s="221" t="s">
        <v>663</v>
      </c>
      <c r="X85" s="221" t="s">
        <v>621</v>
      </c>
      <c r="Y85" s="229">
        <f>SUMIFS(Cert_App_Output!$G:$G,Cert_App_Output!$E:$E,$E85,Cert_App_Output!$K:$K,$X85)</f>
        <v>0</v>
      </c>
    </row>
    <row r="86" spans="1:25" x14ac:dyDescent="0.35">
      <c r="A86" s="221" t="s">
        <v>305</v>
      </c>
      <c r="B86" s="221" t="s">
        <v>573</v>
      </c>
      <c r="C86" s="221" t="s">
        <v>573</v>
      </c>
      <c r="D86" s="221" t="s">
        <v>321</v>
      </c>
      <c r="E86" s="221">
        <v>9.0299999999999994</v>
      </c>
      <c r="F86" s="221" t="s">
        <v>574</v>
      </c>
      <c r="G86" s="221" t="s">
        <v>666</v>
      </c>
      <c r="H86" s="221" t="s">
        <v>581</v>
      </c>
      <c r="I86" s="225">
        <v>46</v>
      </c>
      <c r="J86" s="226">
        <v>609.94943460000002</v>
      </c>
      <c r="K86" s="226">
        <v>0</v>
      </c>
      <c r="L86" s="226">
        <v>7003.393701838565</v>
      </c>
      <c r="M86" s="226">
        <v>114.20014704657849</v>
      </c>
      <c r="N86" s="227">
        <f>SUM(J86:M86)</f>
        <v>7727.5432834851435</v>
      </c>
      <c r="O86" s="227">
        <f>IF($N86=0,$S86,J86/$N86*$S86)</f>
        <v>812.89634066057511</v>
      </c>
      <c r="P86" s="227">
        <f t="shared" si="43"/>
        <v>0</v>
      </c>
      <c r="Q86" s="227">
        <f t="shared" si="43"/>
        <v>9333.6148695069023</v>
      </c>
      <c r="R86" s="227">
        <f t="shared" si="43"/>
        <v>152.19766815251219</v>
      </c>
      <c r="S86" s="226">
        <v>10298.708878319991</v>
      </c>
      <c r="T86" s="228">
        <f>IFERROR(S86/N86,"")</f>
        <v>1.3327274271410154</v>
      </c>
      <c r="U86" s="227">
        <f>N86*I86</f>
        <v>355466.99104031658</v>
      </c>
      <c r="V86" s="227">
        <f>S86*I86</f>
        <v>473740.60840271955</v>
      </c>
      <c r="W86" s="221" t="s">
        <v>663</v>
      </c>
      <c r="X86" s="221" t="s">
        <v>621</v>
      </c>
      <c r="Y86" s="229">
        <f>SUMIFS(Cert_App_Output!$G:$G,Cert_App_Output!$E:$E,$E86,Cert_App_Output!$K:$K,$X86)</f>
        <v>0</v>
      </c>
    </row>
    <row r="87" spans="1:25" x14ac:dyDescent="0.35">
      <c r="A87" s="221" t="s">
        <v>573</v>
      </c>
      <c r="B87" s="221" t="s">
        <v>573</v>
      </c>
      <c r="C87" s="221" t="s">
        <v>573</v>
      </c>
      <c r="D87" s="221" t="s">
        <v>573</v>
      </c>
      <c r="E87" s="221">
        <v>10</v>
      </c>
      <c r="G87" s="221" t="s">
        <v>667</v>
      </c>
      <c r="I87" s="222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4"/>
      <c r="U87" s="223"/>
      <c r="V87" s="223"/>
      <c r="W87" s="221" t="s">
        <v>667</v>
      </c>
      <c r="X87" s="221" t="s">
        <v>621</v>
      </c>
      <c r="Y87" s="215"/>
    </row>
    <row r="88" spans="1:25" x14ac:dyDescent="0.35">
      <c r="A88" s="221" t="s">
        <v>305</v>
      </c>
      <c r="B88" s="221" t="s">
        <v>573</v>
      </c>
      <c r="C88" s="221" t="s">
        <v>573</v>
      </c>
      <c r="D88" s="221" t="s">
        <v>321</v>
      </c>
      <c r="E88" s="221">
        <v>10.01</v>
      </c>
      <c r="F88" s="221" t="s">
        <v>593</v>
      </c>
      <c r="G88" s="221" t="s">
        <v>668</v>
      </c>
      <c r="H88" s="221" t="s">
        <v>576</v>
      </c>
      <c r="I88" s="225">
        <v>1</v>
      </c>
      <c r="J88" s="226">
        <v>200000</v>
      </c>
      <c r="K88" s="226">
        <v>0</v>
      </c>
      <c r="L88" s="226">
        <v>1163573.8754485799</v>
      </c>
      <c r="M88" s="226">
        <v>20453.608131728699</v>
      </c>
      <c r="N88" s="227">
        <f>SUM(J88:M88)</f>
        <v>1384027.4835803085</v>
      </c>
      <c r="O88" s="227">
        <f>IF($N88=0,$S88,J88/$N88*$S88)</f>
        <v>266545.48542820301</v>
      </c>
      <c r="P88" s="227">
        <f t="shared" ref="P88:R91" si="44">IF($N88=0,0,K88/$N88*$S88)</f>
        <v>0</v>
      </c>
      <c r="Q88" s="227">
        <f t="shared" si="44"/>
        <v>1550726.8173150858</v>
      </c>
      <c r="R88" s="227">
        <f t="shared" si="44"/>
        <v>27259.084541149332</v>
      </c>
      <c r="S88" s="226">
        <v>1844531.3872844379</v>
      </c>
      <c r="T88" s="228">
        <f>IFERROR(S88/N88,"")</f>
        <v>1.332727427141015</v>
      </c>
      <c r="U88" s="227">
        <f>N88*I88</f>
        <v>1384027.4835803085</v>
      </c>
      <c r="V88" s="227">
        <f>S88*I88</f>
        <v>1844531.3872844379</v>
      </c>
      <c r="W88" s="221" t="s">
        <v>667</v>
      </c>
      <c r="X88" s="221" t="s">
        <v>621</v>
      </c>
      <c r="Y88" s="229">
        <f>SUMIFS(Cert_App_Output!$G:$G,Cert_App_Output!$E:$E,$E88,Cert_App_Output!$K:$K,$X88)</f>
        <v>0.95000000000000007</v>
      </c>
    </row>
    <row r="89" spans="1:25" x14ac:dyDescent="0.35">
      <c r="A89" s="221" t="s">
        <v>305</v>
      </c>
      <c r="B89" s="221" t="s">
        <v>573</v>
      </c>
      <c r="C89" s="221" t="s">
        <v>573</v>
      </c>
      <c r="D89" s="221" t="s">
        <v>321</v>
      </c>
      <c r="E89" s="221">
        <v>10.02</v>
      </c>
      <c r="F89" s="221" t="s">
        <v>593</v>
      </c>
      <c r="G89" s="221" t="s">
        <v>669</v>
      </c>
      <c r="H89" s="221" t="s">
        <v>576</v>
      </c>
      <c r="I89" s="225">
        <v>1</v>
      </c>
      <c r="J89" s="226">
        <v>200000</v>
      </c>
      <c r="K89" s="226">
        <v>0</v>
      </c>
      <c r="L89" s="226">
        <v>698144.32526914799</v>
      </c>
      <c r="M89" s="226">
        <v>13472.1648790372</v>
      </c>
      <c r="N89" s="227">
        <f>SUM(J89:M89)</f>
        <v>911616.49014818517</v>
      </c>
      <c r="O89" s="227">
        <f>IF($N89=0,$S89,J89/$N89*$S89)</f>
        <v>266545.48542820296</v>
      </c>
      <c r="P89" s="227">
        <f t="shared" si="44"/>
        <v>0</v>
      </c>
      <c r="Q89" s="227">
        <f t="shared" si="44"/>
        <v>930436.09038905136</v>
      </c>
      <c r="R89" s="227">
        <f t="shared" si="44"/>
        <v>17954.723637258787</v>
      </c>
      <c r="S89" s="226">
        <v>1214936.299454513</v>
      </c>
      <c r="T89" s="228">
        <f>IFERROR(S89/N89,"")</f>
        <v>1.3327274271410148</v>
      </c>
      <c r="U89" s="227">
        <f>N89*I89</f>
        <v>911616.49014818517</v>
      </c>
      <c r="V89" s="227">
        <f>S89*I89</f>
        <v>1214936.299454513</v>
      </c>
      <c r="W89" s="221" t="s">
        <v>667</v>
      </c>
      <c r="X89" s="221" t="s">
        <v>621</v>
      </c>
      <c r="Y89" s="229">
        <f>SUMIFS(Cert_App_Output!$G:$G,Cert_App_Output!$E:$E,$E89,Cert_App_Output!$K:$K,$X89)</f>
        <v>0.79999999999999993</v>
      </c>
    </row>
    <row r="90" spans="1:25" x14ac:dyDescent="0.35">
      <c r="A90" s="221" t="s">
        <v>305</v>
      </c>
      <c r="B90" s="221" t="s">
        <v>573</v>
      </c>
      <c r="C90" s="221" t="s">
        <v>573</v>
      </c>
      <c r="D90" s="221" t="s">
        <v>321</v>
      </c>
      <c r="E90" s="221">
        <v>10.029999999999999</v>
      </c>
      <c r="F90" s="221" t="s">
        <v>593</v>
      </c>
      <c r="G90" s="221" t="s">
        <v>670</v>
      </c>
      <c r="H90" s="221" t="s">
        <v>576</v>
      </c>
      <c r="I90" s="225">
        <v>1</v>
      </c>
      <c r="J90" s="226">
        <v>50000</v>
      </c>
      <c r="K90" s="226">
        <v>0</v>
      </c>
      <c r="L90" s="226">
        <v>349072.16263457399</v>
      </c>
      <c r="M90" s="226">
        <v>5986.08243951861</v>
      </c>
      <c r="N90" s="227">
        <f>SUM(J90:M90)</f>
        <v>405058.24507409259</v>
      </c>
      <c r="O90" s="227">
        <f>IF($N90=0,$S90,J90/$N90*$S90)</f>
        <v>66636.371357050753</v>
      </c>
      <c r="P90" s="227">
        <f t="shared" si="44"/>
        <v>0</v>
      </c>
      <c r="Q90" s="227">
        <f t="shared" si="44"/>
        <v>465218.0451945258</v>
      </c>
      <c r="R90" s="227">
        <f t="shared" si="44"/>
        <v>7977.8162482736489</v>
      </c>
      <c r="S90" s="226">
        <v>539832.23279985017</v>
      </c>
      <c r="T90" s="228">
        <f>IFERROR(S90/N90,"")</f>
        <v>1.3327274271410152</v>
      </c>
      <c r="U90" s="227">
        <f>N90*I90</f>
        <v>405058.24507409259</v>
      </c>
      <c r="V90" s="227">
        <f>S90*I90</f>
        <v>539832.23279985017</v>
      </c>
      <c r="W90" s="221" t="s">
        <v>667</v>
      </c>
      <c r="X90" s="221" t="s">
        <v>621</v>
      </c>
      <c r="Y90" s="229">
        <f>SUMIFS(Cert_App_Output!$G:$G,Cert_App_Output!$E:$E,$E90,Cert_App_Output!$K:$K,$X90)</f>
        <v>0</v>
      </c>
    </row>
    <row r="91" spans="1:25" x14ac:dyDescent="0.35">
      <c r="A91" s="221" t="s">
        <v>305</v>
      </c>
      <c r="B91" s="221" t="s">
        <v>573</v>
      </c>
      <c r="C91" s="221" t="s">
        <v>573</v>
      </c>
      <c r="D91" s="221" t="s">
        <v>321</v>
      </c>
      <c r="E91" s="221">
        <v>10.039999999999999</v>
      </c>
      <c r="F91" s="221" t="s">
        <v>593</v>
      </c>
      <c r="G91" s="221" t="s">
        <v>671</v>
      </c>
      <c r="H91" s="221" t="s">
        <v>600</v>
      </c>
      <c r="I91" s="225">
        <v>10</v>
      </c>
      <c r="J91" s="226">
        <v>20000</v>
      </c>
      <c r="K91" s="226">
        <v>0</v>
      </c>
      <c r="L91" s="226">
        <v>23271.477508971599</v>
      </c>
      <c r="M91" s="226">
        <v>649.07216263457406</v>
      </c>
      <c r="N91" s="227">
        <f>SUM(J91:M91)</f>
        <v>43920.549671606175</v>
      </c>
      <c r="O91" s="227">
        <f>IF($N91=0,$S91,J91/$N91*$S91)</f>
        <v>26654.548542820303</v>
      </c>
      <c r="P91" s="227">
        <f t="shared" si="44"/>
        <v>0</v>
      </c>
      <c r="Q91" s="227">
        <f t="shared" si="44"/>
        <v>31014.536346301724</v>
      </c>
      <c r="R91" s="227">
        <f t="shared" si="44"/>
        <v>865.0362733368305</v>
      </c>
      <c r="S91" s="226">
        <v>58534.121162458861</v>
      </c>
      <c r="T91" s="228">
        <f>IFERROR(S91/N91,"")</f>
        <v>1.3327274271410152</v>
      </c>
      <c r="U91" s="227">
        <f>N91*I91</f>
        <v>439205.49671606172</v>
      </c>
      <c r="V91" s="227">
        <f>S91*I91</f>
        <v>585341.21162458858</v>
      </c>
      <c r="W91" s="221" t="s">
        <v>667</v>
      </c>
      <c r="X91" s="221" t="s">
        <v>621</v>
      </c>
      <c r="Y91" s="229">
        <f>SUMIFS(Cert_App_Output!$G:$G,Cert_App_Output!$E:$E,$E91,Cert_App_Output!$K:$K,$X91)</f>
        <v>0</v>
      </c>
    </row>
    <row r="92" spans="1:25" x14ac:dyDescent="0.35">
      <c r="A92" s="221" t="s">
        <v>573</v>
      </c>
      <c r="B92" s="221" t="s">
        <v>573</v>
      </c>
      <c r="C92" s="221" t="s">
        <v>573</v>
      </c>
      <c r="D92" s="221" t="s">
        <v>573</v>
      </c>
      <c r="E92" s="221">
        <v>11</v>
      </c>
      <c r="G92" s="221" t="s">
        <v>672</v>
      </c>
      <c r="I92" s="222"/>
      <c r="J92" s="223"/>
      <c r="K92" s="223"/>
      <c r="L92" s="223"/>
      <c r="M92" s="223"/>
      <c r="N92" s="223"/>
      <c r="O92" s="223"/>
      <c r="P92" s="223"/>
      <c r="Q92" s="223"/>
      <c r="R92" s="223"/>
      <c r="S92" s="223"/>
      <c r="T92" s="224"/>
      <c r="U92" s="223"/>
      <c r="V92" s="223"/>
      <c r="W92" s="221" t="s">
        <v>672</v>
      </c>
      <c r="X92" s="221" t="s">
        <v>621</v>
      </c>
      <c r="Y92" s="215"/>
    </row>
    <row r="93" spans="1:25" x14ac:dyDescent="0.35">
      <c r="A93" s="221" t="s">
        <v>573</v>
      </c>
      <c r="B93" s="221" t="s">
        <v>573</v>
      </c>
      <c r="C93" s="221" t="s">
        <v>573</v>
      </c>
      <c r="D93" s="221" t="s">
        <v>573</v>
      </c>
      <c r="E93" s="221">
        <v>11.01</v>
      </c>
      <c r="F93" s="221" t="s">
        <v>574</v>
      </c>
      <c r="G93" s="221" t="s">
        <v>673</v>
      </c>
      <c r="H93" s="221" t="s">
        <v>595</v>
      </c>
      <c r="I93" s="225">
        <v>0</v>
      </c>
      <c r="J93" s="226">
        <v>0</v>
      </c>
      <c r="K93" s="226">
        <v>0</v>
      </c>
      <c r="L93" s="226">
        <v>0</v>
      </c>
      <c r="M93" s="226">
        <v>0</v>
      </c>
      <c r="N93" s="227">
        <f t="shared" ref="N93:N103" si="45">SUM(J93:M93)</f>
        <v>0</v>
      </c>
      <c r="O93" s="227">
        <f t="shared" ref="O93:O103" si="46">IF($N93=0,$S93,J93/$N93*$S93)</f>
        <v>0</v>
      </c>
      <c r="P93" s="227">
        <f t="shared" ref="P93:P103" si="47">IF($N93=0,0,K93/$N93*$S93)</f>
        <v>0</v>
      </c>
      <c r="Q93" s="227">
        <f t="shared" ref="Q93:Q103" si="48">IF($N93=0,0,L93/$N93*$S93)</f>
        <v>0</v>
      </c>
      <c r="R93" s="227">
        <f t="shared" ref="R93:R103" si="49">IF($N93=0,0,M93/$N93*$S93)</f>
        <v>0</v>
      </c>
      <c r="S93" s="226">
        <v>0</v>
      </c>
      <c r="T93" s="228" t="str">
        <f t="shared" ref="T93:T103" si="50">IFERROR(S93/N93,"")</f>
        <v/>
      </c>
      <c r="U93" s="227">
        <f t="shared" ref="U93:U103" si="51">N93*I93</f>
        <v>0</v>
      </c>
      <c r="V93" s="227">
        <f t="shared" ref="V93:V103" si="52">S93*I93</f>
        <v>0</v>
      </c>
      <c r="W93" s="221" t="s">
        <v>672</v>
      </c>
      <c r="X93" s="221" t="s">
        <v>621</v>
      </c>
      <c r="Y93" s="229">
        <f>SUMIFS(Cert_App_Output!$G:$G,Cert_App_Output!$E:$E,$E93,Cert_App_Output!$K:$K,$X93)</f>
        <v>0</v>
      </c>
    </row>
    <row r="94" spans="1:25" x14ac:dyDescent="0.35">
      <c r="A94" s="221" t="s">
        <v>389</v>
      </c>
      <c r="B94" s="221" t="s">
        <v>573</v>
      </c>
      <c r="C94" s="221" t="s">
        <v>573</v>
      </c>
      <c r="D94" s="221" t="s">
        <v>391</v>
      </c>
      <c r="E94" s="221">
        <v>11.02</v>
      </c>
      <c r="F94" s="221" t="s">
        <v>574</v>
      </c>
      <c r="G94" s="221" t="s">
        <v>674</v>
      </c>
      <c r="H94" s="221" t="s">
        <v>595</v>
      </c>
      <c r="I94" s="225">
        <v>39</v>
      </c>
      <c r="J94" s="226">
        <v>4066.3295640000001</v>
      </c>
      <c r="K94" s="226">
        <v>0</v>
      </c>
      <c r="L94" s="226">
        <v>10118.033699552871</v>
      </c>
      <c r="M94" s="226">
        <v>282.12077749971792</v>
      </c>
      <c r="N94" s="227">
        <f t="shared" si="45"/>
        <v>14466.484041052589</v>
      </c>
      <c r="O94" s="227">
        <f t="shared" si="46"/>
        <v>5419.3089377371653</v>
      </c>
      <c r="P94" s="227">
        <f t="shared" si="47"/>
        <v>0</v>
      </c>
      <c r="Q94" s="227">
        <f t="shared" si="48"/>
        <v>13484.581020131183</v>
      </c>
      <c r="R94" s="227">
        <f t="shared" si="49"/>
        <v>375.9900979402218</v>
      </c>
      <c r="S94" s="226">
        <v>19279.880055808571</v>
      </c>
      <c r="T94" s="228">
        <f t="shared" si="50"/>
        <v>1.332727427141015</v>
      </c>
      <c r="U94" s="227">
        <f t="shared" si="51"/>
        <v>564192.877601051</v>
      </c>
      <c r="V94" s="227">
        <f t="shared" si="52"/>
        <v>751915.32217653433</v>
      </c>
      <c r="W94" s="221" t="s">
        <v>672</v>
      </c>
      <c r="X94" s="221" t="s">
        <v>621</v>
      </c>
      <c r="Y94" s="229">
        <f>SUMIFS(Cert_App_Output!$G:$G,Cert_App_Output!$E:$E,$E94,Cert_App_Output!$K:$K,$X94)</f>
        <v>0</v>
      </c>
    </row>
    <row r="95" spans="1:25" x14ac:dyDescent="0.35">
      <c r="A95" s="221" t="s">
        <v>389</v>
      </c>
      <c r="B95" s="221" t="s">
        <v>573</v>
      </c>
      <c r="C95" s="221" t="s">
        <v>573</v>
      </c>
      <c r="D95" s="221" t="s">
        <v>391</v>
      </c>
      <c r="E95" s="221">
        <v>11.03</v>
      </c>
      <c r="F95" s="221" t="s">
        <v>574</v>
      </c>
      <c r="G95" s="221" t="s">
        <v>675</v>
      </c>
      <c r="H95" s="221" t="s">
        <v>595</v>
      </c>
      <c r="I95" s="225">
        <v>48</v>
      </c>
      <c r="J95" s="226">
        <v>7156.2986004793338</v>
      </c>
      <c r="K95" s="226">
        <v>0</v>
      </c>
      <c r="L95" s="226">
        <v>11647.70529178031</v>
      </c>
      <c r="M95" s="226">
        <v>225.81274523621039</v>
      </c>
      <c r="N95" s="227">
        <f t="shared" si="45"/>
        <v>19029.816637495853</v>
      </c>
      <c r="O95" s="227">
        <f t="shared" si="46"/>
        <v>9537.3954216696693</v>
      </c>
      <c r="P95" s="227">
        <f t="shared" si="47"/>
        <v>0</v>
      </c>
      <c r="Q95" s="227">
        <f t="shared" si="48"/>
        <v>15523.216305611159</v>
      </c>
      <c r="R95" s="227">
        <f t="shared" si="49"/>
        <v>300.94683897430417</v>
      </c>
      <c r="S95" s="226">
        <v>25361.558566255131</v>
      </c>
      <c r="T95" s="228">
        <f t="shared" si="50"/>
        <v>1.332727427141015</v>
      </c>
      <c r="U95" s="227">
        <f t="shared" si="51"/>
        <v>913431.19859980093</v>
      </c>
      <c r="V95" s="227">
        <f t="shared" si="52"/>
        <v>1217354.8111802463</v>
      </c>
      <c r="W95" s="221" t="s">
        <v>672</v>
      </c>
      <c r="X95" s="221" t="s">
        <v>621</v>
      </c>
      <c r="Y95" s="229">
        <f>SUMIFS(Cert_App_Output!$G:$G,Cert_App_Output!$E:$E,$E95,Cert_App_Output!$K:$K,$X95)</f>
        <v>0</v>
      </c>
    </row>
    <row r="96" spans="1:25" x14ac:dyDescent="0.35">
      <c r="A96" s="221" t="s">
        <v>389</v>
      </c>
      <c r="B96" s="221" t="s">
        <v>573</v>
      </c>
      <c r="C96" s="221" t="s">
        <v>391</v>
      </c>
      <c r="D96" s="221" t="s">
        <v>391</v>
      </c>
      <c r="E96" s="221">
        <v>11.04</v>
      </c>
      <c r="F96" s="221" t="s">
        <v>574</v>
      </c>
      <c r="G96" s="221" t="s">
        <v>676</v>
      </c>
      <c r="H96" s="221" t="s">
        <v>595</v>
      </c>
      <c r="I96" s="225">
        <v>174</v>
      </c>
      <c r="J96" s="226">
        <v>1303.4390229885059</v>
      </c>
      <c r="K96" s="226">
        <v>1609.19540229885</v>
      </c>
      <c r="L96" s="226">
        <v>11254.144468231611</v>
      </c>
      <c r="M96" s="226">
        <v>212.50168340278449</v>
      </c>
      <c r="N96" s="227">
        <f t="shared" si="45"/>
        <v>14379.280576921752</v>
      </c>
      <c r="O96" s="227">
        <f t="shared" si="46"/>
        <v>1737.1289355426704</v>
      </c>
      <c r="P96" s="227">
        <f t="shared" si="47"/>
        <v>2144.6188482728976</v>
      </c>
      <c r="Q96" s="227">
        <f t="shared" si="48"/>
        <v>14998.707001819605</v>
      </c>
      <c r="R96" s="227">
        <f t="shared" si="49"/>
        <v>283.20682178452756</v>
      </c>
      <c r="S96" s="226">
        <v>19163.661607419701</v>
      </c>
      <c r="T96" s="228">
        <f t="shared" si="50"/>
        <v>1.3327274271410152</v>
      </c>
      <c r="U96" s="227">
        <f t="shared" si="51"/>
        <v>2501994.8203843851</v>
      </c>
      <c r="V96" s="227">
        <f t="shared" si="52"/>
        <v>3334477.1196910278</v>
      </c>
      <c r="W96" s="221" t="s">
        <v>672</v>
      </c>
      <c r="X96" s="221" t="s">
        <v>621</v>
      </c>
      <c r="Y96" s="229">
        <f>SUMIFS(Cert_App_Output!$G:$G,Cert_App_Output!$E:$E,$E96,Cert_App_Output!$K:$K,$X96)</f>
        <v>0</v>
      </c>
    </row>
    <row r="97" spans="1:25" x14ac:dyDescent="0.35">
      <c r="A97" s="221" t="s">
        <v>389</v>
      </c>
      <c r="B97" s="221" t="s">
        <v>573</v>
      </c>
      <c r="C97" s="221" t="s">
        <v>391</v>
      </c>
      <c r="D97" s="221" t="s">
        <v>391</v>
      </c>
      <c r="E97" s="221">
        <v>11.05</v>
      </c>
      <c r="F97" s="221" t="s">
        <v>574</v>
      </c>
      <c r="G97" s="221" t="s">
        <v>677</v>
      </c>
      <c r="H97" s="221" t="s">
        <v>595</v>
      </c>
      <c r="I97" s="225">
        <v>92</v>
      </c>
      <c r="J97" s="226">
        <v>1303.4390229885109</v>
      </c>
      <c r="K97" s="226">
        <v>1609.195402298848</v>
      </c>
      <c r="L97" s="226">
        <v>11254.144468231631</v>
      </c>
      <c r="M97" s="226">
        <v>212.50168340278481</v>
      </c>
      <c r="N97" s="227">
        <f t="shared" si="45"/>
        <v>14379.280576921774</v>
      </c>
      <c r="O97" s="227">
        <f t="shared" si="46"/>
        <v>1737.128935542677</v>
      </c>
      <c r="P97" s="227">
        <f t="shared" si="47"/>
        <v>2144.6188482728949</v>
      </c>
      <c r="Q97" s="227">
        <f t="shared" si="48"/>
        <v>14998.707001819632</v>
      </c>
      <c r="R97" s="227">
        <f t="shared" si="49"/>
        <v>283.20682178452796</v>
      </c>
      <c r="S97" s="226">
        <v>19163.66160741973</v>
      </c>
      <c r="T97" s="228">
        <f t="shared" si="50"/>
        <v>1.3327274271410152</v>
      </c>
      <c r="U97" s="227">
        <f t="shared" si="51"/>
        <v>1322893.8130768032</v>
      </c>
      <c r="V97" s="227">
        <f t="shared" si="52"/>
        <v>1763056.8678826152</v>
      </c>
      <c r="W97" s="221" t="s">
        <v>672</v>
      </c>
      <c r="X97" s="221" t="s">
        <v>621</v>
      </c>
      <c r="Y97" s="229">
        <f>SUMIFS(Cert_App_Output!$G:$G,Cert_App_Output!$E:$E,$E97,Cert_App_Output!$K:$K,$X97)</f>
        <v>0</v>
      </c>
    </row>
    <row r="98" spans="1:25" x14ac:dyDescent="0.35">
      <c r="A98" s="221" t="s">
        <v>389</v>
      </c>
      <c r="B98" s="221" t="s">
        <v>573</v>
      </c>
      <c r="C98" s="221" t="s">
        <v>573</v>
      </c>
      <c r="D98" s="221" t="s">
        <v>391</v>
      </c>
      <c r="E98" s="221">
        <v>11.06</v>
      </c>
      <c r="F98" s="221" t="s">
        <v>574</v>
      </c>
      <c r="G98" s="221" t="s">
        <v>678</v>
      </c>
      <c r="H98" s="221" t="s">
        <v>595</v>
      </c>
      <c r="I98" s="225">
        <v>8</v>
      </c>
      <c r="J98" s="226">
        <v>2773.0079999999998</v>
      </c>
      <c r="K98" s="226">
        <v>0</v>
      </c>
      <c r="L98" s="226">
        <v>7607.5725970715002</v>
      </c>
      <c r="M98" s="226">
        <v>155.70870895607251</v>
      </c>
      <c r="N98" s="227">
        <f t="shared" si="45"/>
        <v>10536.289306027573</v>
      </c>
      <c r="O98" s="227">
        <f t="shared" si="46"/>
        <v>3695.6638172814519</v>
      </c>
      <c r="P98" s="227">
        <f t="shared" si="47"/>
        <v>0</v>
      </c>
      <c r="Q98" s="227">
        <f t="shared" si="48"/>
        <v>10138.820654083593</v>
      </c>
      <c r="R98" s="227">
        <f t="shared" si="49"/>
        <v>207.51726707047567</v>
      </c>
      <c r="S98" s="226">
        <v>14042.00173843552</v>
      </c>
      <c r="T98" s="228">
        <f t="shared" si="50"/>
        <v>1.3327274271410152</v>
      </c>
      <c r="U98" s="227">
        <f t="shared" si="51"/>
        <v>84290.314448220583</v>
      </c>
      <c r="V98" s="227">
        <f t="shared" si="52"/>
        <v>112336.01390748416</v>
      </c>
      <c r="W98" s="221" t="s">
        <v>672</v>
      </c>
      <c r="X98" s="221" t="s">
        <v>621</v>
      </c>
      <c r="Y98" s="229">
        <f>SUMIFS(Cert_App_Output!$G:$G,Cert_App_Output!$E:$E,$E98,Cert_App_Output!$K:$K,$X98)</f>
        <v>0</v>
      </c>
    </row>
    <row r="99" spans="1:25" x14ac:dyDescent="0.35">
      <c r="A99" s="221" t="s">
        <v>389</v>
      </c>
      <c r="B99" s="221" t="s">
        <v>573</v>
      </c>
      <c r="C99" s="221" t="s">
        <v>573</v>
      </c>
      <c r="D99" s="221" t="s">
        <v>391</v>
      </c>
      <c r="E99" s="221">
        <v>11.07</v>
      </c>
      <c r="F99" s="221" t="s">
        <v>574</v>
      </c>
      <c r="G99" s="221" t="s">
        <v>679</v>
      </c>
      <c r="H99" s="221" t="s">
        <v>595</v>
      </c>
      <c r="I99" s="225">
        <v>46</v>
      </c>
      <c r="J99" s="226">
        <v>7701.7948919999999</v>
      </c>
      <c r="K99" s="226">
        <v>0</v>
      </c>
      <c r="L99" s="226">
        <v>11983.97047679513</v>
      </c>
      <c r="M99" s="226">
        <v>295.28648053192609</v>
      </c>
      <c r="N99" s="227">
        <f t="shared" si="45"/>
        <v>19981.051849327057</v>
      </c>
      <c r="O99" s="227">
        <f t="shared" si="46"/>
        <v>10264.393290782973</v>
      </c>
      <c r="P99" s="227">
        <f t="shared" si="47"/>
        <v>0</v>
      </c>
      <c r="Q99" s="227">
        <f t="shared" si="48"/>
        <v>15971.366140473057</v>
      </c>
      <c r="R99" s="227">
        <f t="shared" si="49"/>
        <v>393.53639146883927</v>
      </c>
      <c r="S99" s="226">
        <v>26629.295822724871</v>
      </c>
      <c r="T99" s="228">
        <f t="shared" si="50"/>
        <v>1.332727427141015</v>
      </c>
      <c r="U99" s="227">
        <f t="shared" si="51"/>
        <v>919128.38506904466</v>
      </c>
      <c r="V99" s="227">
        <f t="shared" si="52"/>
        <v>1224947.6078453441</v>
      </c>
      <c r="W99" s="221" t="s">
        <v>672</v>
      </c>
      <c r="X99" s="221" t="s">
        <v>621</v>
      </c>
      <c r="Y99" s="229">
        <f>SUMIFS(Cert_App_Output!$G:$G,Cert_App_Output!$E:$E,$E99,Cert_App_Output!$K:$K,$X99)</f>
        <v>0</v>
      </c>
    </row>
    <row r="100" spans="1:25" x14ac:dyDescent="0.35">
      <c r="A100" s="221" t="s">
        <v>389</v>
      </c>
      <c r="B100" s="221" t="s">
        <v>573</v>
      </c>
      <c r="C100" s="221" t="s">
        <v>573</v>
      </c>
      <c r="D100" s="221" t="s">
        <v>391</v>
      </c>
      <c r="E100" s="221">
        <v>11.08</v>
      </c>
      <c r="F100" s="221" t="s">
        <v>574</v>
      </c>
      <c r="G100" s="221" t="s">
        <v>680</v>
      </c>
      <c r="H100" s="221" t="s">
        <v>595</v>
      </c>
      <c r="I100" s="225">
        <v>562</v>
      </c>
      <c r="J100" s="226">
        <v>7156.2986004793411</v>
      </c>
      <c r="K100" s="226">
        <v>0</v>
      </c>
      <c r="L100" s="226">
        <v>11647.705291780299</v>
      </c>
      <c r="M100" s="226">
        <v>225.81274523621181</v>
      </c>
      <c r="N100" s="227">
        <f t="shared" si="45"/>
        <v>19029.816637495853</v>
      </c>
      <c r="O100" s="227">
        <f t="shared" si="46"/>
        <v>9537.3954216696802</v>
      </c>
      <c r="P100" s="227">
        <f t="shared" si="47"/>
        <v>0</v>
      </c>
      <c r="Q100" s="227">
        <f t="shared" si="48"/>
        <v>15523.216305611146</v>
      </c>
      <c r="R100" s="227">
        <f t="shared" si="49"/>
        <v>300.9468389743061</v>
      </c>
      <c r="S100" s="226">
        <v>25361.558566255131</v>
      </c>
      <c r="T100" s="228">
        <f t="shared" si="50"/>
        <v>1.332727427141015</v>
      </c>
      <c r="U100" s="227">
        <f t="shared" si="51"/>
        <v>10694756.95027267</v>
      </c>
      <c r="V100" s="227">
        <f t="shared" si="52"/>
        <v>14253195.914235383</v>
      </c>
      <c r="W100" s="221" t="s">
        <v>672</v>
      </c>
      <c r="X100" s="221" t="s">
        <v>621</v>
      </c>
      <c r="Y100" s="229">
        <f>SUMIFS(Cert_App_Output!$G:$G,Cert_App_Output!$E:$E,$E100,Cert_App_Output!$K:$K,$X100)</f>
        <v>0</v>
      </c>
    </row>
    <row r="101" spans="1:25" x14ac:dyDescent="0.35">
      <c r="A101" s="221" t="s">
        <v>389</v>
      </c>
      <c r="B101" s="221" t="s">
        <v>573</v>
      </c>
      <c r="C101" s="221" t="s">
        <v>573</v>
      </c>
      <c r="D101" s="221" t="s">
        <v>391</v>
      </c>
      <c r="E101" s="221">
        <v>11.09</v>
      </c>
      <c r="F101" s="221" t="s">
        <v>574</v>
      </c>
      <c r="G101" s="221" t="s">
        <v>681</v>
      </c>
      <c r="H101" s="221" t="s">
        <v>595</v>
      </c>
      <c r="I101" s="225">
        <v>73</v>
      </c>
      <c r="J101" s="226">
        <v>7156.2986004793429</v>
      </c>
      <c r="K101" s="226">
        <v>0</v>
      </c>
      <c r="L101" s="226">
        <v>15142.01687931438</v>
      </c>
      <c r="M101" s="226">
        <v>293.55656880707397</v>
      </c>
      <c r="N101" s="227">
        <f t="shared" si="45"/>
        <v>22591.872048600799</v>
      </c>
      <c r="O101" s="227">
        <f t="shared" si="46"/>
        <v>9537.395421669682</v>
      </c>
      <c r="P101" s="227">
        <f t="shared" si="47"/>
        <v>0</v>
      </c>
      <c r="Q101" s="227">
        <f t="shared" si="48"/>
        <v>20180.181197294478</v>
      </c>
      <c r="R101" s="227">
        <f t="shared" si="49"/>
        <v>391.23089066659605</v>
      </c>
      <c r="S101" s="226">
        <v>30108.807509630758</v>
      </c>
      <c r="T101" s="228">
        <f t="shared" si="50"/>
        <v>1.3327274271410152</v>
      </c>
      <c r="U101" s="227">
        <f t="shared" si="51"/>
        <v>1649206.6595478584</v>
      </c>
      <c r="V101" s="227">
        <f t="shared" si="52"/>
        <v>2197942.9482030454</v>
      </c>
      <c r="W101" s="221" t="s">
        <v>672</v>
      </c>
      <c r="X101" s="221" t="s">
        <v>621</v>
      </c>
      <c r="Y101" s="229">
        <f>SUMIFS(Cert_App_Output!$G:$G,Cert_App_Output!$E:$E,$E101,Cert_App_Output!$K:$K,$X101)</f>
        <v>0</v>
      </c>
    </row>
    <row r="102" spans="1:25" x14ac:dyDescent="0.35">
      <c r="A102" s="221" t="s">
        <v>389</v>
      </c>
      <c r="B102" s="221" t="s">
        <v>573</v>
      </c>
      <c r="C102" s="221" t="s">
        <v>573</v>
      </c>
      <c r="D102" s="221" t="s">
        <v>391</v>
      </c>
      <c r="E102" s="221">
        <v>11.1</v>
      </c>
      <c r="F102" s="221" t="s">
        <v>574</v>
      </c>
      <c r="G102" s="221" t="s">
        <v>682</v>
      </c>
      <c r="H102" s="221" t="s">
        <v>595</v>
      </c>
      <c r="I102" s="225">
        <v>143</v>
      </c>
      <c r="J102" s="226">
        <v>7156.2986004793702</v>
      </c>
      <c r="K102" s="226">
        <v>0</v>
      </c>
      <c r="L102" s="226">
        <v>11647.705291780279</v>
      </c>
      <c r="M102" s="226">
        <v>225.81274523621121</v>
      </c>
      <c r="N102" s="227">
        <f t="shared" si="45"/>
        <v>19029.81663749586</v>
      </c>
      <c r="O102" s="227">
        <f t="shared" si="46"/>
        <v>9537.3954216697166</v>
      </c>
      <c r="P102" s="227">
        <f t="shared" si="47"/>
        <v>0</v>
      </c>
      <c r="Q102" s="227">
        <f t="shared" si="48"/>
        <v>15523.216305611115</v>
      </c>
      <c r="R102" s="227">
        <f t="shared" si="49"/>
        <v>300.94683897430525</v>
      </c>
      <c r="S102" s="226">
        <v>25361.558566255138</v>
      </c>
      <c r="T102" s="228">
        <f t="shared" si="50"/>
        <v>1.332727427141015</v>
      </c>
      <c r="U102" s="227">
        <f t="shared" si="51"/>
        <v>2721263.7791619082</v>
      </c>
      <c r="V102" s="227">
        <f t="shared" si="52"/>
        <v>3626702.874974485</v>
      </c>
      <c r="W102" s="221" t="s">
        <v>672</v>
      </c>
      <c r="X102" s="221" t="s">
        <v>621</v>
      </c>
      <c r="Y102" s="229">
        <f>SUMIFS(Cert_App_Output!$G:$G,Cert_App_Output!$E:$E,$E102,Cert_App_Output!$K:$K,$X102)</f>
        <v>0</v>
      </c>
    </row>
    <row r="103" spans="1:25" x14ac:dyDescent="0.35">
      <c r="A103" s="221" t="s">
        <v>389</v>
      </c>
      <c r="B103" s="221" t="s">
        <v>573</v>
      </c>
      <c r="C103" s="221" t="s">
        <v>573</v>
      </c>
      <c r="D103" s="221" t="s">
        <v>391</v>
      </c>
      <c r="E103" s="221">
        <v>11.11</v>
      </c>
      <c r="F103" s="221" t="s">
        <v>574</v>
      </c>
      <c r="G103" s="221" t="s">
        <v>683</v>
      </c>
      <c r="H103" s="221" t="s">
        <v>595</v>
      </c>
      <c r="I103" s="225">
        <v>106</v>
      </c>
      <c r="J103" s="226">
        <v>7156.2986004793402</v>
      </c>
      <c r="K103" s="226">
        <v>0</v>
      </c>
      <c r="L103" s="226">
        <v>11647.705291780279</v>
      </c>
      <c r="M103" s="226">
        <v>225.8127452362113</v>
      </c>
      <c r="N103" s="227">
        <f t="shared" si="45"/>
        <v>19029.816637495831</v>
      </c>
      <c r="O103" s="227">
        <f t="shared" si="46"/>
        <v>9537.3954216696802</v>
      </c>
      <c r="P103" s="227">
        <f t="shared" si="47"/>
        <v>0</v>
      </c>
      <c r="Q103" s="227">
        <f t="shared" si="48"/>
        <v>15523.216305611124</v>
      </c>
      <c r="R103" s="227">
        <f t="shared" si="49"/>
        <v>300.94683897430548</v>
      </c>
      <c r="S103" s="226">
        <v>25361.558566255109</v>
      </c>
      <c r="T103" s="228">
        <f t="shared" si="50"/>
        <v>1.3327274271410154</v>
      </c>
      <c r="U103" s="227">
        <f t="shared" si="51"/>
        <v>2017160.5635745581</v>
      </c>
      <c r="V103" s="227">
        <f t="shared" si="52"/>
        <v>2688325.2080230415</v>
      </c>
      <c r="W103" s="221" t="s">
        <v>672</v>
      </c>
      <c r="X103" s="221" t="s">
        <v>621</v>
      </c>
      <c r="Y103" s="229">
        <f>SUMIFS(Cert_App_Output!$G:$G,Cert_App_Output!$E:$E,$E103,Cert_App_Output!$K:$K,$X103)</f>
        <v>0</v>
      </c>
    </row>
    <row r="104" spans="1:25" x14ac:dyDescent="0.35">
      <c r="A104" s="221" t="s">
        <v>573</v>
      </c>
      <c r="B104" s="221" t="s">
        <v>573</v>
      </c>
      <c r="C104" s="221" t="s">
        <v>573</v>
      </c>
      <c r="D104" s="221" t="s">
        <v>573</v>
      </c>
      <c r="E104" s="221">
        <v>12</v>
      </c>
      <c r="G104" s="221" t="s">
        <v>684</v>
      </c>
      <c r="I104" s="222"/>
      <c r="J104" s="223"/>
      <c r="K104" s="223"/>
      <c r="L104" s="223"/>
      <c r="M104" s="223"/>
      <c r="N104" s="223"/>
      <c r="O104" s="223"/>
      <c r="P104" s="223"/>
      <c r="Q104" s="223"/>
      <c r="R104" s="223"/>
      <c r="S104" s="223"/>
      <c r="T104" s="224"/>
      <c r="U104" s="223"/>
      <c r="V104" s="223"/>
      <c r="W104" s="221" t="s">
        <v>684</v>
      </c>
      <c r="X104" s="221" t="s">
        <v>621</v>
      </c>
      <c r="Y104" s="215"/>
    </row>
    <row r="105" spans="1:25" x14ac:dyDescent="0.35">
      <c r="A105" s="221" t="s">
        <v>389</v>
      </c>
      <c r="B105" s="221" t="s">
        <v>573</v>
      </c>
      <c r="C105" s="221" t="s">
        <v>573</v>
      </c>
      <c r="D105" s="221" t="s">
        <v>391</v>
      </c>
      <c r="E105" s="221">
        <v>12.01</v>
      </c>
      <c r="F105" s="221" t="s">
        <v>574</v>
      </c>
      <c r="G105" s="221" t="s">
        <v>685</v>
      </c>
      <c r="H105" s="221" t="s">
        <v>581</v>
      </c>
      <c r="I105" s="225">
        <v>19</v>
      </c>
      <c r="J105" s="226">
        <v>809.61503400000004</v>
      </c>
      <c r="K105" s="226">
        <v>0</v>
      </c>
      <c r="L105" s="226">
        <v>3938.2617666857418</v>
      </c>
      <c r="M105" s="226">
        <v>126.0706673834689</v>
      </c>
      <c r="N105" s="227">
        <f>SUM(J105:M105)</f>
        <v>4873.947468069211</v>
      </c>
      <c r="O105" s="227">
        <f>IF($N105=0,$S105,J105/$N105*$S105)</f>
        <v>1078.9961612375055</v>
      </c>
      <c r="P105" s="227">
        <f t="shared" ref="P105:R107" si="53">IF($N105=0,0,K105/$N105*$S105)</f>
        <v>0</v>
      </c>
      <c r="Q105" s="227">
        <f t="shared" si="53"/>
        <v>5248.6294717229175</v>
      </c>
      <c r="R105" s="227">
        <f t="shared" si="53"/>
        <v>168.0178361799212</v>
      </c>
      <c r="S105" s="226">
        <v>6495.6434691403447</v>
      </c>
      <c r="T105" s="228">
        <f>IFERROR(S105/N105,"")</f>
        <v>1.3327274271410152</v>
      </c>
      <c r="U105" s="227">
        <f>N105*I105</f>
        <v>92605.001893315013</v>
      </c>
      <c r="V105" s="227">
        <f>S105*I105</f>
        <v>123417.22591366655</v>
      </c>
      <c r="W105" s="221" t="s">
        <v>684</v>
      </c>
      <c r="Y105" s="229">
        <f>SUMIFS(Cert_App_Output!$G:$G,Cert_App_Output!$E:$E,$E105,Cert_App_Output!$K:$K,$X105)</f>
        <v>0</v>
      </c>
    </row>
    <row r="106" spans="1:25" x14ac:dyDescent="0.35">
      <c r="A106" s="221" t="s">
        <v>389</v>
      </c>
      <c r="B106" s="221" t="s">
        <v>573</v>
      </c>
      <c r="C106" s="221" t="s">
        <v>573</v>
      </c>
      <c r="D106" s="221" t="s">
        <v>391</v>
      </c>
      <c r="E106" s="221">
        <v>12.02</v>
      </c>
      <c r="F106" s="221" t="s">
        <v>574</v>
      </c>
      <c r="G106" s="221" t="s">
        <v>686</v>
      </c>
      <c r="H106" s="221" t="s">
        <v>581</v>
      </c>
      <c r="I106" s="225">
        <v>626</v>
      </c>
      <c r="J106" s="226">
        <v>3500</v>
      </c>
      <c r="K106" s="226">
        <v>0</v>
      </c>
      <c r="L106" s="226">
        <v>3196.2173680045848</v>
      </c>
      <c r="M106" s="226">
        <v>100.4432605200688</v>
      </c>
      <c r="N106" s="227">
        <f>SUM(J106:M106)</f>
        <v>6796.6606285246544</v>
      </c>
      <c r="O106" s="227">
        <f>IF($N106=0,$S106,J106/$N106*$S106)</f>
        <v>4664.5459949935539</v>
      </c>
      <c r="P106" s="227">
        <f t="shared" si="53"/>
        <v>0</v>
      </c>
      <c r="Q106" s="227">
        <f t="shared" si="53"/>
        <v>4259.6865494441781</v>
      </c>
      <c r="R106" s="227">
        <f t="shared" si="53"/>
        <v>133.86348816656601</v>
      </c>
      <c r="S106" s="226">
        <v>9058.0960326042987</v>
      </c>
      <c r="T106" s="228">
        <f>IFERROR(S106/N106,"")</f>
        <v>1.3327274271410152</v>
      </c>
      <c r="U106" s="227">
        <f>N106*I106</f>
        <v>4254709.553456434</v>
      </c>
      <c r="V106" s="227">
        <f>S106*I106</f>
        <v>5670368.1164102908</v>
      </c>
      <c r="W106" s="221" t="s">
        <v>684</v>
      </c>
      <c r="X106" s="221" t="s">
        <v>621</v>
      </c>
      <c r="Y106" s="229">
        <f>SUMIFS(Cert_App_Output!$G:$G,Cert_App_Output!$E:$E,$E106,Cert_App_Output!$K:$K,$X106)</f>
        <v>0</v>
      </c>
    </row>
    <row r="107" spans="1:25" x14ac:dyDescent="0.35">
      <c r="A107" s="221" t="s">
        <v>389</v>
      </c>
      <c r="B107" s="221" t="s">
        <v>573</v>
      </c>
      <c r="C107" s="221" t="s">
        <v>573</v>
      </c>
      <c r="D107" s="221" t="s">
        <v>391</v>
      </c>
      <c r="E107" s="221">
        <v>12.03</v>
      </c>
      <c r="F107" s="221" t="s">
        <v>574</v>
      </c>
      <c r="G107" s="221" t="s">
        <v>687</v>
      </c>
      <c r="H107" s="221" t="s">
        <v>581</v>
      </c>
      <c r="I107" s="225">
        <v>386</v>
      </c>
      <c r="J107" s="226">
        <v>1066.3432439999999</v>
      </c>
      <c r="K107" s="226">
        <v>0</v>
      </c>
      <c r="L107" s="226">
        <v>5047.3389597714768</v>
      </c>
      <c r="M107" s="226">
        <v>97.852189602358038</v>
      </c>
      <c r="N107" s="227">
        <f>SUM(J107:M107)</f>
        <v>6211.5343933738341</v>
      </c>
      <c r="O107" s="227">
        <f>IF($N107=0,$S107,J107/$N107*$S107)</f>
        <v>1421.1448880253236</v>
      </c>
      <c r="P107" s="227">
        <f t="shared" si="53"/>
        <v>0</v>
      </c>
      <c r="Q107" s="227">
        <f t="shared" si="53"/>
        <v>6726.7270657648478</v>
      </c>
      <c r="R107" s="227">
        <f t="shared" si="53"/>
        <v>130.41029688886542</v>
      </c>
      <c r="S107" s="226">
        <v>8278.2822506790362</v>
      </c>
      <c r="T107" s="228">
        <f>IFERROR(S107/N107,"")</f>
        <v>1.3327274271410152</v>
      </c>
      <c r="U107" s="227">
        <f>N107*I107</f>
        <v>2397652.2758423002</v>
      </c>
      <c r="V107" s="227">
        <f>S107*I107</f>
        <v>3195416.9487621081</v>
      </c>
      <c r="W107" s="221" t="s">
        <v>684</v>
      </c>
      <c r="X107" s="221" t="s">
        <v>621</v>
      </c>
      <c r="Y107" s="229">
        <f>SUMIFS(Cert_App_Output!$G:$G,Cert_App_Output!$E:$E,$E107,Cert_App_Output!$K:$K,$X107)</f>
        <v>0</v>
      </c>
    </row>
    <row r="108" spans="1:25" x14ac:dyDescent="0.35">
      <c r="A108" s="221" t="s">
        <v>573</v>
      </c>
      <c r="B108" s="221" t="s">
        <v>573</v>
      </c>
      <c r="C108" s="221" t="s">
        <v>573</v>
      </c>
      <c r="D108" s="221" t="s">
        <v>573</v>
      </c>
      <c r="E108" s="221">
        <v>13</v>
      </c>
      <c r="G108" s="221" t="s">
        <v>688</v>
      </c>
      <c r="I108" s="222"/>
      <c r="J108" s="223"/>
      <c r="K108" s="223"/>
      <c r="L108" s="223"/>
      <c r="M108" s="223"/>
      <c r="N108" s="223"/>
      <c r="O108" s="223"/>
      <c r="P108" s="223"/>
      <c r="Q108" s="223"/>
      <c r="R108" s="223"/>
      <c r="S108" s="223"/>
      <c r="T108" s="224"/>
      <c r="U108" s="223"/>
      <c r="V108" s="223"/>
      <c r="W108" s="221" t="s">
        <v>688</v>
      </c>
      <c r="X108" s="221" t="s">
        <v>621</v>
      </c>
      <c r="Y108" s="215"/>
    </row>
    <row r="109" spans="1:25" x14ac:dyDescent="0.35">
      <c r="A109" s="221" t="s">
        <v>389</v>
      </c>
      <c r="B109" s="221" t="s">
        <v>573</v>
      </c>
      <c r="C109" s="221" t="s">
        <v>573</v>
      </c>
      <c r="D109" s="221" t="s">
        <v>391</v>
      </c>
      <c r="E109" s="221">
        <v>13.01</v>
      </c>
      <c r="F109" s="221" t="s">
        <v>574</v>
      </c>
      <c r="G109" s="221" t="s">
        <v>689</v>
      </c>
      <c r="H109" s="221" t="s">
        <v>595</v>
      </c>
      <c r="I109" s="225">
        <v>413</v>
      </c>
      <c r="J109" s="226">
        <v>7156.2986004793456</v>
      </c>
      <c r="K109" s="226">
        <v>0</v>
      </c>
      <c r="L109" s="226">
        <v>15142.016879314409</v>
      </c>
      <c r="M109" s="226">
        <v>293.55656880707511</v>
      </c>
      <c r="N109" s="227">
        <f>SUM(J109:M109)</f>
        <v>22591.872048600828</v>
      </c>
      <c r="O109" s="227">
        <f>IF($N109=0,$S109,J109/$N109*$S109)</f>
        <v>9537.3954216696875</v>
      </c>
      <c r="P109" s="227">
        <f t="shared" ref="P109:R112" si="54">IF($N109=0,0,K109/$N109*$S109)</f>
        <v>0</v>
      </c>
      <c r="Q109" s="227">
        <f t="shared" si="54"/>
        <v>20180.181197294518</v>
      </c>
      <c r="R109" s="227">
        <f t="shared" si="54"/>
        <v>391.23089066659765</v>
      </c>
      <c r="S109" s="226">
        <v>30108.807509630798</v>
      </c>
      <c r="T109" s="228">
        <f>IFERROR(S109/N109,"")</f>
        <v>1.3327274271410152</v>
      </c>
      <c r="U109" s="227">
        <f>N109*I109</f>
        <v>9330443.1560721416</v>
      </c>
      <c r="V109" s="227">
        <f>S109*I109</f>
        <v>12434937.501477519</v>
      </c>
      <c r="W109" s="221" t="s">
        <v>688</v>
      </c>
      <c r="X109" s="221" t="s">
        <v>621</v>
      </c>
      <c r="Y109" s="229">
        <f>SUMIFS(Cert_App_Output!$G:$G,Cert_App_Output!$E:$E,$E109,Cert_App_Output!$K:$K,$X109)</f>
        <v>0</v>
      </c>
    </row>
    <row r="110" spans="1:25" x14ac:dyDescent="0.35">
      <c r="A110" s="221" t="s">
        <v>389</v>
      </c>
      <c r="B110" s="221" t="s">
        <v>573</v>
      </c>
      <c r="C110" s="221" t="s">
        <v>573</v>
      </c>
      <c r="D110" s="221" t="s">
        <v>391</v>
      </c>
      <c r="E110" s="221">
        <v>13.02</v>
      </c>
      <c r="F110" s="221" t="s">
        <v>574</v>
      </c>
      <c r="G110" s="221" t="s">
        <v>690</v>
      </c>
      <c r="H110" s="221" t="s">
        <v>595</v>
      </c>
      <c r="I110" s="225">
        <v>18</v>
      </c>
      <c r="J110" s="226">
        <v>7156.2986004793329</v>
      </c>
      <c r="K110" s="226">
        <v>0</v>
      </c>
      <c r="L110" s="226">
        <v>15142.016879314389</v>
      </c>
      <c r="M110" s="226">
        <v>293.55656880707443</v>
      </c>
      <c r="N110" s="227">
        <f>SUM(J110:M110)</f>
        <v>22591.872048600799</v>
      </c>
      <c r="O110" s="227">
        <f>IF($N110=0,$S110,J110/$N110*$S110)</f>
        <v>9537.3954216696693</v>
      </c>
      <c r="P110" s="227">
        <f t="shared" si="54"/>
        <v>0</v>
      </c>
      <c r="Q110" s="227">
        <f t="shared" si="54"/>
        <v>20180.181197294492</v>
      </c>
      <c r="R110" s="227">
        <f t="shared" si="54"/>
        <v>391.23089066659668</v>
      </c>
      <c r="S110" s="226">
        <v>30108.807509630758</v>
      </c>
      <c r="T110" s="228">
        <f>IFERROR(S110/N110,"")</f>
        <v>1.3327274271410152</v>
      </c>
      <c r="U110" s="227">
        <f>N110*I110</f>
        <v>406653.6968748144</v>
      </c>
      <c r="V110" s="227">
        <f>S110*I110</f>
        <v>541958.53517335362</v>
      </c>
      <c r="W110" s="221" t="s">
        <v>688</v>
      </c>
      <c r="X110" s="221" t="s">
        <v>621</v>
      </c>
      <c r="Y110" s="229">
        <f>SUMIFS(Cert_App_Output!$G:$G,Cert_App_Output!$E:$E,$E110,Cert_App_Output!$K:$K,$X110)</f>
        <v>0</v>
      </c>
    </row>
    <row r="111" spans="1:25" x14ac:dyDescent="0.35">
      <c r="A111" s="221" t="s">
        <v>389</v>
      </c>
      <c r="B111" s="221" t="s">
        <v>573</v>
      </c>
      <c r="C111" s="221" t="s">
        <v>573</v>
      </c>
      <c r="D111" s="221" t="s">
        <v>391</v>
      </c>
      <c r="E111" s="221">
        <v>13.03</v>
      </c>
      <c r="F111" s="221" t="s">
        <v>574</v>
      </c>
      <c r="G111" s="221" t="s">
        <v>691</v>
      </c>
      <c r="H111" s="221" t="s">
        <v>595</v>
      </c>
      <c r="I111" s="225">
        <v>20</v>
      </c>
      <c r="J111" s="226">
        <v>36508.296000000002</v>
      </c>
      <c r="K111" s="226">
        <v>0</v>
      </c>
      <c r="L111" s="226">
        <v>32215.611028457399</v>
      </c>
      <c r="M111" s="226">
        <v>1030.8586054268601</v>
      </c>
      <c r="N111" s="227">
        <f>SUM(J111:M111)</f>
        <v>69754.765633884264</v>
      </c>
      <c r="O111" s="227">
        <f>IF($N111=0,$S111,J111/$N111*$S111)</f>
        <v>48655.607397382628</v>
      </c>
      <c r="P111" s="227">
        <f t="shared" si="54"/>
        <v>0</v>
      </c>
      <c r="Q111" s="227">
        <f t="shared" si="54"/>
        <v>42934.628399731744</v>
      </c>
      <c r="R111" s="227">
        <f t="shared" si="54"/>
        <v>1373.8535369567144</v>
      </c>
      <c r="S111" s="226">
        <v>92964.08933407109</v>
      </c>
      <c r="T111" s="228">
        <f>IFERROR(S111/N111,"")</f>
        <v>1.3327274271410152</v>
      </c>
      <c r="U111" s="227">
        <f>N111*I111</f>
        <v>1395095.3126776852</v>
      </c>
      <c r="V111" s="227">
        <f>S111*I111</f>
        <v>1859281.7866814218</v>
      </c>
      <c r="W111" s="221" t="s">
        <v>688</v>
      </c>
      <c r="X111" s="221" t="s">
        <v>621</v>
      </c>
      <c r="Y111" s="229">
        <f>SUMIFS(Cert_App_Output!$G:$G,Cert_App_Output!$E:$E,$E111,Cert_App_Output!$K:$K,$X111)</f>
        <v>0</v>
      </c>
    </row>
    <row r="112" spans="1:25" x14ac:dyDescent="0.35">
      <c r="A112" s="221" t="s">
        <v>573</v>
      </c>
      <c r="B112" s="221" t="s">
        <v>573</v>
      </c>
      <c r="C112" s="221" t="s">
        <v>573</v>
      </c>
      <c r="D112" s="221" t="s">
        <v>573</v>
      </c>
      <c r="E112" s="221">
        <v>13.04</v>
      </c>
      <c r="F112" s="221" t="s">
        <v>574</v>
      </c>
      <c r="G112" s="221" t="s">
        <v>692</v>
      </c>
      <c r="H112" s="221" t="s">
        <v>595</v>
      </c>
      <c r="I112" s="225">
        <v>0</v>
      </c>
      <c r="J112" s="226">
        <v>0</v>
      </c>
      <c r="K112" s="226">
        <v>0</v>
      </c>
      <c r="L112" s="226">
        <v>0</v>
      </c>
      <c r="M112" s="226">
        <v>0</v>
      </c>
      <c r="N112" s="227">
        <f>SUM(J112:M112)</f>
        <v>0</v>
      </c>
      <c r="O112" s="227">
        <f>IF($N112=0,$S112,J112/$N112*$S112)</f>
        <v>0</v>
      </c>
      <c r="P112" s="227">
        <f t="shared" si="54"/>
        <v>0</v>
      </c>
      <c r="Q112" s="227">
        <f t="shared" si="54"/>
        <v>0</v>
      </c>
      <c r="R112" s="227">
        <f t="shared" si="54"/>
        <v>0</v>
      </c>
      <c r="S112" s="226">
        <v>0</v>
      </c>
      <c r="T112" s="228" t="str">
        <f>IFERROR(S112/N112,"")</f>
        <v/>
      </c>
      <c r="U112" s="227">
        <f>N112*I112</f>
        <v>0</v>
      </c>
      <c r="V112" s="227">
        <f>S112*I112</f>
        <v>0</v>
      </c>
      <c r="W112" s="221" t="s">
        <v>688</v>
      </c>
      <c r="X112" s="221" t="s">
        <v>621</v>
      </c>
      <c r="Y112" s="229">
        <f>SUMIFS(Cert_App_Output!$G:$G,Cert_App_Output!$E:$E,$E112,Cert_App_Output!$K:$K,$X112)</f>
        <v>0</v>
      </c>
    </row>
    <row r="113" spans="1:25" x14ac:dyDescent="0.35">
      <c r="A113" s="221" t="s">
        <v>573</v>
      </c>
      <c r="B113" s="221" t="s">
        <v>573</v>
      </c>
      <c r="C113" s="221" t="s">
        <v>573</v>
      </c>
      <c r="D113" s="221" t="s">
        <v>573</v>
      </c>
      <c r="E113" s="221">
        <v>14</v>
      </c>
      <c r="G113" s="221" t="s">
        <v>693</v>
      </c>
      <c r="I113" s="222"/>
      <c r="J113" s="223"/>
      <c r="K113" s="223"/>
      <c r="L113" s="223"/>
      <c r="M113" s="223"/>
      <c r="N113" s="223"/>
      <c r="O113" s="223"/>
      <c r="P113" s="223"/>
      <c r="Q113" s="223"/>
      <c r="R113" s="223"/>
      <c r="S113" s="223"/>
      <c r="T113" s="224"/>
      <c r="U113" s="223"/>
      <c r="V113" s="223"/>
      <c r="W113" s="221" t="s">
        <v>693</v>
      </c>
      <c r="X113" s="221" t="s">
        <v>621</v>
      </c>
      <c r="Y113" s="215"/>
    </row>
    <row r="114" spans="1:25" x14ac:dyDescent="0.35">
      <c r="A114" s="221" t="s">
        <v>378</v>
      </c>
      <c r="B114" s="221" t="s">
        <v>573</v>
      </c>
      <c r="C114" s="221" t="s">
        <v>385</v>
      </c>
      <c r="D114" s="221" t="s">
        <v>573</v>
      </c>
      <c r="E114" s="221">
        <v>14.01</v>
      </c>
      <c r="F114" s="221" t="s">
        <v>574</v>
      </c>
      <c r="G114" s="221" t="s">
        <v>694</v>
      </c>
      <c r="H114" s="221" t="s">
        <v>595</v>
      </c>
      <c r="I114" s="225">
        <v>460</v>
      </c>
      <c r="J114" s="226">
        <v>5812.2328695652177</v>
      </c>
      <c r="K114" s="226">
        <v>11651.218312085961</v>
      </c>
      <c r="L114" s="226">
        <v>0</v>
      </c>
      <c r="M114" s="226">
        <v>261.95176772476742</v>
      </c>
      <c r="N114" s="227">
        <f t="shared" ref="N114:N120" si="55">SUM(J114:M114)</f>
        <v>17725.402949375948</v>
      </c>
      <c r="O114" s="227">
        <f t="shared" ref="O114:O120" si="56">IF($N114=0,$S114,J114/$N114*$S114)</f>
        <v>7746.1221582000926</v>
      </c>
      <c r="P114" s="227">
        <f t="shared" ref="P114:R120" si="57">IF($N114=0,0,K114/$N114*$S114)</f>
        <v>15527.898204124605</v>
      </c>
      <c r="Q114" s="227">
        <f t="shared" si="57"/>
        <v>0</v>
      </c>
      <c r="R114" s="227">
        <f t="shared" si="57"/>
        <v>349.1103054348701</v>
      </c>
      <c r="S114" s="226">
        <v>23623.130667759571</v>
      </c>
      <c r="T114" s="228">
        <f t="shared" ref="T114:T120" si="58">IFERROR(S114/N114,"")</f>
        <v>1.3327274271410152</v>
      </c>
      <c r="U114" s="227">
        <f t="shared" ref="U114:U120" si="59">N114*I114</f>
        <v>8153685.3567129364</v>
      </c>
      <c r="V114" s="227">
        <f t="shared" ref="V114:V120" si="60">S114*I114</f>
        <v>10866640.107169403</v>
      </c>
      <c r="W114" s="221" t="s">
        <v>693</v>
      </c>
      <c r="Y114" s="229">
        <f>SUMIFS(Cert_App_Output!$G:$G,Cert_App_Output!$E:$E,$E114,Cert_App_Output!$K:$K,$X114)</f>
        <v>0</v>
      </c>
    </row>
    <row r="115" spans="1:25" x14ac:dyDescent="0.35">
      <c r="A115" s="221" t="s">
        <v>378</v>
      </c>
      <c r="B115" s="221" t="s">
        <v>573</v>
      </c>
      <c r="C115" s="221" t="s">
        <v>385</v>
      </c>
      <c r="D115" s="221" t="s">
        <v>573</v>
      </c>
      <c r="E115" s="221">
        <v>14.02</v>
      </c>
      <c r="F115" s="221" t="s">
        <v>574</v>
      </c>
      <c r="G115" s="221" t="s">
        <v>695</v>
      </c>
      <c r="H115" s="221" t="s">
        <v>581</v>
      </c>
      <c r="I115" s="225">
        <v>434</v>
      </c>
      <c r="J115" s="226">
        <v>0</v>
      </c>
      <c r="K115" s="226">
        <v>12499.47315710668</v>
      </c>
      <c r="L115" s="226">
        <v>0</v>
      </c>
      <c r="M115" s="226">
        <v>0</v>
      </c>
      <c r="N115" s="227">
        <f t="shared" si="55"/>
        <v>12499.47315710668</v>
      </c>
      <c r="O115" s="227">
        <f t="shared" si="56"/>
        <v>0</v>
      </c>
      <c r="P115" s="227">
        <f t="shared" si="57"/>
        <v>16658.390701288969</v>
      </c>
      <c r="Q115" s="227">
        <f t="shared" si="57"/>
        <v>0</v>
      </c>
      <c r="R115" s="227">
        <f t="shared" si="57"/>
        <v>0</v>
      </c>
      <c r="S115" s="226">
        <v>16658.390701288969</v>
      </c>
      <c r="T115" s="228">
        <f t="shared" si="58"/>
        <v>1.3327274271410152</v>
      </c>
      <c r="U115" s="227">
        <f t="shared" si="59"/>
        <v>5424771.3501842991</v>
      </c>
      <c r="V115" s="227">
        <f t="shared" si="60"/>
        <v>7229741.5643594125</v>
      </c>
      <c r="W115" s="221" t="s">
        <v>693</v>
      </c>
      <c r="X115" s="221" t="s">
        <v>621</v>
      </c>
      <c r="Y115" s="229">
        <f>SUMIFS(Cert_App_Output!$G:$G,Cert_App_Output!$E:$E,$E115,Cert_App_Output!$K:$K,$X115)</f>
        <v>0</v>
      </c>
    </row>
    <row r="116" spans="1:25" x14ac:dyDescent="0.35">
      <c r="A116" s="221" t="s">
        <v>378</v>
      </c>
      <c r="B116" s="221" t="s">
        <v>573</v>
      </c>
      <c r="C116" s="221" t="s">
        <v>385</v>
      </c>
      <c r="D116" s="221" t="s">
        <v>573</v>
      </c>
      <c r="E116" s="221">
        <v>14.03</v>
      </c>
      <c r="F116" s="221" t="s">
        <v>574</v>
      </c>
      <c r="G116" s="221" t="s">
        <v>696</v>
      </c>
      <c r="H116" s="221" t="s">
        <v>595</v>
      </c>
      <c r="I116" s="225">
        <v>115</v>
      </c>
      <c r="J116" s="226">
        <v>10671.936802390779</v>
      </c>
      <c r="K116" s="226">
        <v>15938.965136120431</v>
      </c>
      <c r="L116" s="226">
        <v>0</v>
      </c>
      <c r="M116" s="226">
        <v>263.73013064992261</v>
      </c>
      <c r="N116" s="227">
        <f t="shared" si="55"/>
        <v>26874.632069161133</v>
      </c>
      <c r="O116" s="227">
        <f t="shared" si="56"/>
        <v>14222.782877261774</v>
      </c>
      <c r="P116" s="227">
        <f t="shared" si="57"/>
        <v>21242.29599715212</v>
      </c>
      <c r="Q116" s="227">
        <f t="shared" si="57"/>
        <v>0</v>
      </c>
      <c r="R116" s="227">
        <f t="shared" si="57"/>
        <v>351.48037848063507</v>
      </c>
      <c r="S116" s="226">
        <v>35816.559252894527</v>
      </c>
      <c r="T116" s="228">
        <f t="shared" si="58"/>
        <v>1.332727427141015</v>
      </c>
      <c r="U116" s="227">
        <f t="shared" si="59"/>
        <v>3090582.6879535303</v>
      </c>
      <c r="V116" s="227">
        <f t="shared" si="60"/>
        <v>4118904.3140828707</v>
      </c>
      <c r="W116" s="221" t="s">
        <v>693</v>
      </c>
      <c r="X116" s="221" t="s">
        <v>621</v>
      </c>
      <c r="Y116" s="229">
        <f>SUMIFS(Cert_App_Output!$G:$G,Cert_App_Output!$E:$E,$E116,Cert_App_Output!$K:$K,$X116)</f>
        <v>0.5</v>
      </c>
    </row>
    <row r="117" spans="1:25" x14ac:dyDescent="0.35">
      <c r="A117" s="221" t="s">
        <v>378</v>
      </c>
      <c r="B117" s="221" t="s">
        <v>573</v>
      </c>
      <c r="C117" s="221" t="s">
        <v>385</v>
      </c>
      <c r="D117" s="221" t="s">
        <v>573</v>
      </c>
      <c r="E117" s="221">
        <v>14.04</v>
      </c>
      <c r="F117" s="221" t="s">
        <v>574</v>
      </c>
      <c r="G117" s="221" t="s">
        <v>697</v>
      </c>
      <c r="H117" s="221" t="s">
        <v>595</v>
      </c>
      <c r="I117" s="225">
        <v>89</v>
      </c>
      <c r="J117" s="226">
        <v>14660.054765467639</v>
      </c>
      <c r="K117" s="226">
        <v>15938.965136120451</v>
      </c>
      <c r="L117" s="226">
        <v>0</v>
      </c>
      <c r="M117" s="226">
        <v>263.73013064992239</v>
      </c>
      <c r="N117" s="227">
        <f t="shared" si="55"/>
        <v>30862.750032238011</v>
      </c>
      <c r="O117" s="227">
        <f t="shared" si="56"/>
        <v>19537.857069328067</v>
      </c>
      <c r="P117" s="227">
        <f t="shared" si="57"/>
        <v>21242.295997152149</v>
      </c>
      <c r="Q117" s="227">
        <f t="shared" si="57"/>
        <v>0</v>
      </c>
      <c r="R117" s="227">
        <f t="shared" si="57"/>
        <v>351.48037848063484</v>
      </c>
      <c r="S117" s="226">
        <v>41131.633444960848</v>
      </c>
      <c r="T117" s="228">
        <f t="shared" si="58"/>
        <v>1.3327274271410152</v>
      </c>
      <c r="U117" s="227">
        <f t="shared" si="59"/>
        <v>2746784.7528691832</v>
      </c>
      <c r="V117" s="227">
        <f t="shared" si="60"/>
        <v>3660715.3766015153</v>
      </c>
      <c r="W117" s="221" t="s">
        <v>693</v>
      </c>
      <c r="X117" s="221" t="s">
        <v>621</v>
      </c>
      <c r="Y117" s="229">
        <f>SUMIFS(Cert_App_Output!$G:$G,Cert_App_Output!$E:$E,$E117,Cert_App_Output!$K:$K,$X117)</f>
        <v>0.5</v>
      </c>
    </row>
    <row r="118" spans="1:25" x14ac:dyDescent="0.35">
      <c r="A118" s="221" t="s">
        <v>378</v>
      </c>
      <c r="B118" s="221" t="s">
        <v>573</v>
      </c>
      <c r="C118" s="221" t="s">
        <v>385</v>
      </c>
      <c r="D118" s="221" t="s">
        <v>573</v>
      </c>
      <c r="E118" s="221">
        <v>14.05</v>
      </c>
      <c r="F118" s="221" t="s">
        <v>574</v>
      </c>
      <c r="G118" s="221" t="s">
        <v>698</v>
      </c>
      <c r="H118" s="221" t="s">
        <v>581</v>
      </c>
      <c r="I118" s="225">
        <v>530</v>
      </c>
      <c r="J118" s="226">
        <v>1062.871810826447</v>
      </c>
      <c r="K118" s="226">
        <v>5728.4731437714718</v>
      </c>
      <c r="L118" s="226">
        <v>0</v>
      </c>
      <c r="M118" s="226">
        <v>167.02908274495081</v>
      </c>
      <c r="N118" s="227">
        <f t="shared" si="55"/>
        <v>6958.3740373428691</v>
      </c>
      <c r="O118" s="227">
        <f t="shared" si="56"/>
        <v>1416.5184138234426</v>
      </c>
      <c r="P118" s="227">
        <f t="shared" si="57"/>
        <v>7634.4932743449572</v>
      </c>
      <c r="Q118" s="227">
        <f t="shared" si="57"/>
        <v>0</v>
      </c>
      <c r="R118" s="227">
        <f t="shared" si="57"/>
        <v>222.60423970440206</v>
      </c>
      <c r="S118" s="226">
        <v>9273.615927872801</v>
      </c>
      <c r="T118" s="228">
        <f t="shared" si="58"/>
        <v>1.3327274271410152</v>
      </c>
      <c r="U118" s="227">
        <f t="shared" si="59"/>
        <v>3687938.2397917206</v>
      </c>
      <c r="V118" s="227">
        <f t="shared" si="60"/>
        <v>4915016.4417725848</v>
      </c>
      <c r="W118" s="221" t="s">
        <v>693</v>
      </c>
      <c r="X118" s="221" t="s">
        <v>621</v>
      </c>
      <c r="Y118" s="229">
        <f>SUMIFS(Cert_App_Output!$G:$G,Cert_App_Output!$E:$E,$E118,Cert_App_Output!$K:$K,$X118)</f>
        <v>0.15</v>
      </c>
    </row>
    <row r="119" spans="1:25" x14ac:dyDescent="0.35">
      <c r="A119" s="221" t="s">
        <v>378</v>
      </c>
      <c r="B119" s="221" t="s">
        <v>573</v>
      </c>
      <c r="C119" s="221" t="s">
        <v>385</v>
      </c>
      <c r="D119" s="221" t="s">
        <v>573</v>
      </c>
      <c r="E119" s="221">
        <v>14.06</v>
      </c>
      <c r="F119" s="221" t="s">
        <v>574</v>
      </c>
      <c r="G119" s="221" t="s">
        <v>699</v>
      </c>
      <c r="H119" s="221" t="s">
        <v>581</v>
      </c>
      <c r="I119" s="225">
        <v>56</v>
      </c>
      <c r="J119" s="226">
        <v>1062.8718108264461</v>
      </c>
      <c r="K119" s="226">
        <v>5728.4731437714636</v>
      </c>
      <c r="L119" s="226">
        <v>0</v>
      </c>
      <c r="M119" s="226">
        <v>167.0290827449507</v>
      </c>
      <c r="N119" s="227">
        <f t="shared" si="55"/>
        <v>6958.37403734286</v>
      </c>
      <c r="O119" s="227">
        <f t="shared" si="56"/>
        <v>1416.5184138234413</v>
      </c>
      <c r="P119" s="227">
        <f t="shared" si="57"/>
        <v>7634.4932743449453</v>
      </c>
      <c r="Q119" s="227">
        <f t="shared" si="57"/>
        <v>0</v>
      </c>
      <c r="R119" s="227">
        <f t="shared" si="57"/>
        <v>222.60423970440189</v>
      </c>
      <c r="S119" s="226">
        <v>9273.6159278727882</v>
      </c>
      <c r="T119" s="228">
        <f t="shared" si="58"/>
        <v>1.3327274271410152</v>
      </c>
      <c r="U119" s="227">
        <f t="shared" si="59"/>
        <v>389668.94609120017</v>
      </c>
      <c r="V119" s="227">
        <f t="shared" si="60"/>
        <v>519322.49196087616</v>
      </c>
      <c r="W119" s="221" t="s">
        <v>693</v>
      </c>
      <c r="X119" s="221" t="s">
        <v>621</v>
      </c>
      <c r="Y119" s="229">
        <f>SUMIFS(Cert_App_Output!$G:$G,Cert_App_Output!$E:$E,$E119,Cert_App_Output!$K:$K,$X119)</f>
        <v>0.4</v>
      </c>
    </row>
    <row r="120" spans="1:25" x14ac:dyDescent="0.35">
      <c r="A120" s="221" t="s">
        <v>305</v>
      </c>
      <c r="B120" s="221" t="s">
        <v>573</v>
      </c>
      <c r="C120" s="221" t="s">
        <v>573</v>
      </c>
      <c r="D120" s="221" t="s">
        <v>321</v>
      </c>
      <c r="E120" s="221">
        <v>14.07</v>
      </c>
      <c r="F120" s="221" t="s">
        <v>574</v>
      </c>
      <c r="G120" s="221" t="s">
        <v>700</v>
      </c>
      <c r="H120" s="221" t="s">
        <v>595</v>
      </c>
      <c r="I120" s="225">
        <v>469</v>
      </c>
      <c r="J120" s="226">
        <v>1066.0980810234539</v>
      </c>
      <c r="K120" s="226">
        <v>0</v>
      </c>
      <c r="L120" s="226">
        <v>2877.854331797761</v>
      </c>
      <c r="M120" s="226">
        <v>59.159286192318334</v>
      </c>
      <c r="N120" s="227">
        <f t="shared" si="55"/>
        <v>4003.1116990135333</v>
      </c>
      <c r="O120" s="227">
        <f t="shared" si="56"/>
        <v>1420.8181526023614</v>
      </c>
      <c r="P120" s="227">
        <f t="shared" si="57"/>
        <v>0</v>
      </c>
      <c r="Q120" s="227">
        <f t="shared" si="57"/>
        <v>3835.3953993034556</v>
      </c>
      <c r="R120" s="227">
        <f t="shared" si="57"/>
        <v>78.843203278587396</v>
      </c>
      <c r="S120" s="226">
        <v>5335.0567551844042</v>
      </c>
      <c r="T120" s="228">
        <f t="shared" si="58"/>
        <v>1.3327274271410152</v>
      </c>
      <c r="U120" s="227">
        <f t="shared" si="59"/>
        <v>1877459.3868373472</v>
      </c>
      <c r="V120" s="227">
        <f t="shared" si="60"/>
        <v>2502141.6181814857</v>
      </c>
      <c r="W120" s="221" t="s">
        <v>693</v>
      </c>
      <c r="X120" s="221" t="s">
        <v>621</v>
      </c>
      <c r="Y120" s="229">
        <f>SUMIFS(Cert_App_Output!$G:$G,Cert_App_Output!$E:$E,$E120,Cert_App_Output!$K:$K,$X120)</f>
        <v>0.15000000000000002</v>
      </c>
    </row>
    <row r="121" spans="1:25" x14ac:dyDescent="0.35">
      <c r="A121" s="221" t="s">
        <v>573</v>
      </c>
      <c r="B121" s="221" t="s">
        <v>573</v>
      </c>
      <c r="C121" s="221" t="s">
        <v>573</v>
      </c>
      <c r="D121" s="221" t="s">
        <v>573</v>
      </c>
      <c r="E121" s="221">
        <v>15</v>
      </c>
      <c r="G121" s="221" t="s">
        <v>701</v>
      </c>
      <c r="I121" s="222"/>
      <c r="J121" s="223"/>
      <c r="K121" s="223"/>
      <c r="L121" s="223"/>
      <c r="M121" s="223"/>
      <c r="N121" s="223"/>
      <c r="O121" s="223"/>
      <c r="P121" s="223"/>
      <c r="Q121" s="223"/>
      <c r="R121" s="223"/>
      <c r="S121" s="223"/>
      <c r="T121" s="224"/>
      <c r="U121" s="223"/>
      <c r="V121" s="223"/>
      <c r="W121" s="221" t="s">
        <v>701</v>
      </c>
      <c r="X121" s="221" t="s">
        <v>621</v>
      </c>
      <c r="Y121" s="215"/>
    </row>
    <row r="122" spans="1:25" x14ac:dyDescent="0.35">
      <c r="A122" s="221" t="s">
        <v>393</v>
      </c>
      <c r="B122" s="221" t="s">
        <v>573</v>
      </c>
      <c r="C122" s="221" t="s">
        <v>702</v>
      </c>
      <c r="D122" s="221" t="s">
        <v>573</v>
      </c>
      <c r="E122" s="221">
        <v>15.01</v>
      </c>
      <c r="F122" s="221" t="s">
        <v>574</v>
      </c>
      <c r="G122" s="221" t="s">
        <v>703</v>
      </c>
      <c r="H122" s="221" t="s">
        <v>595</v>
      </c>
      <c r="I122" s="225">
        <v>739</v>
      </c>
      <c r="J122" s="226">
        <v>1824.926273</v>
      </c>
      <c r="K122" s="226">
        <v>14504.129532884839</v>
      </c>
      <c r="L122" s="226">
        <v>0</v>
      </c>
      <c r="M122" s="226">
        <v>234.44230749381191</v>
      </c>
      <c r="N122" s="227">
        <f t="shared" ref="N122:N133" si="61">SUM(J122:M122)</f>
        <v>16563.498113378653</v>
      </c>
      <c r="O122" s="227">
        <f t="shared" ref="O122:O133" si="62">IF($N122=0,$S122,J122/$N122*$S122)</f>
        <v>2432.1292965373318</v>
      </c>
      <c r="P122" s="227">
        <f t="shared" ref="P122:P133" si="63">IF($N122=0,0,K122/$N122*$S122)</f>
        <v>19330.051235281626</v>
      </c>
      <c r="Q122" s="227">
        <f t="shared" ref="Q122:Q133" si="64">IF($N122=0,0,L122/$N122*$S122)</f>
        <v>0</v>
      </c>
      <c r="R122" s="227">
        <f t="shared" ref="R122:R133" si="65">IF($N122=0,0,M122/$N122*$S122)</f>
        <v>312.44769327923063</v>
      </c>
      <c r="S122" s="226">
        <v>22074.628225098189</v>
      </c>
      <c r="T122" s="228">
        <f t="shared" ref="T122:T133" si="66">IFERROR(S122/N122,"")</f>
        <v>1.332727427141015</v>
      </c>
      <c r="U122" s="227">
        <f t="shared" ref="U122:U133" si="67">N122*I122</f>
        <v>12240425.105786825</v>
      </c>
      <c r="V122" s="227">
        <f t="shared" ref="V122:V133" si="68">S122*I122</f>
        <v>16313150.258347562</v>
      </c>
      <c r="W122" s="221" t="s">
        <v>701</v>
      </c>
      <c r="X122" s="221" t="s">
        <v>621</v>
      </c>
      <c r="Y122" s="229">
        <f>SUMIFS(Cert_App_Output!$G:$G,Cert_App_Output!$E:$E,$E122,Cert_App_Output!$K:$K,$X122)</f>
        <v>0</v>
      </c>
    </row>
    <row r="123" spans="1:25" x14ac:dyDescent="0.35">
      <c r="A123" s="221" t="s">
        <v>393</v>
      </c>
      <c r="B123" s="221" t="s">
        <v>573</v>
      </c>
      <c r="C123" s="221" t="s">
        <v>702</v>
      </c>
      <c r="D123" s="221" t="s">
        <v>573</v>
      </c>
      <c r="E123" s="221">
        <v>15.02</v>
      </c>
      <c r="F123" s="221" t="s">
        <v>574</v>
      </c>
      <c r="G123" s="221" t="s">
        <v>704</v>
      </c>
      <c r="H123" s="221" t="s">
        <v>595</v>
      </c>
      <c r="I123" s="225">
        <v>1439</v>
      </c>
      <c r="J123" s="226">
        <v>2272.0787045000002</v>
      </c>
      <c r="K123" s="226">
        <v>4296.3548578285963</v>
      </c>
      <c r="L123" s="226">
        <v>0</v>
      </c>
      <c r="M123" s="226">
        <v>96.193951950972902</v>
      </c>
      <c r="N123" s="227">
        <f t="shared" si="61"/>
        <v>6664.6275142795703</v>
      </c>
      <c r="O123" s="227">
        <f t="shared" si="62"/>
        <v>3028.0616061101764</v>
      </c>
      <c r="P123" s="227">
        <f t="shared" si="63"/>
        <v>5725.869955758707</v>
      </c>
      <c r="Q123" s="227">
        <f t="shared" si="64"/>
        <v>0</v>
      </c>
      <c r="R123" s="227">
        <f t="shared" si="65"/>
        <v>128.20031809014657</v>
      </c>
      <c r="S123" s="226">
        <v>8882.1318799590317</v>
      </c>
      <c r="T123" s="228">
        <f t="shared" si="66"/>
        <v>1.3327274271410152</v>
      </c>
      <c r="U123" s="227">
        <f t="shared" si="67"/>
        <v>9590398.993048301</v>
      </c>
      <c r="V123" s="227">
        <f t="shared" si="68"/>
        <v>12781387.775261046</v>
      </c>
      <c r="W123" s="221" t="s">
        <v>701</v>
      </c>
      <c r="X123" s="221" t="s">
        <v>621</v>
      </c>
      <c r="Y123" s="229">
        <f>SUMIFS(Cert_App_Output!$G:$G,Cert_App_Output!$E:$E,$E123,Cert_App_Output!$K:$K,$X123)</f>
        <v>0</v>
      </c>
    </row>
    <row r="124" spans="1:25" x14ac:dyDescent="0.35">
      <c r="A124" s="221" t="s">
        <v>393</v>
      </c>
      <c r="B124" s="221" t="s">
        <v>573</v>
      </c>
      <c r="C124" s="221" t="s">
        <v>702</v>
      </c>
      <c r="D124" s="221" t="s">
        <v>573</v>
      </c>
      <c r="E124" s="221">
        <v>15.03</v>
      </c>
      <c r="F124" s="221" t="s">
        <v>574</v>
      </c>
      <c r="G124" s="221" t="s">
        <v>705</v>
      </c>
      <c r="H124" s="221" t="s">
        <v>595</v>
      </c>
      <c r="I124" s="225">
        <v>462</v>
      </c>
      <c r="J124" s="226">
        <v>2923.7665455000001</v>
      </c>
      <c r="K124" s="226">
        <v>7626.9743955585063</v>
      </c>
      <c r="L124" s="226">
        <v>0</v>
      </c>
      <c r="M124" s="226">
        <v>174.89809445631431</v>
      </c>
      <c r="N124" s="227">
        <f t="shared" si="61"/>
        <v>10725.63903551482</v>
      </c>
      <c r="O124" s="227">
        <f t="shared" si="62"/>
        <v>3896.5838657451905</v>
      </c>
      <c r="P124" s="227">
        <f t="shared" si="63"/>
        <v>10164.677963063092</v>
      </c>
      <c r="Q124" s="227">
        <f t="shared" si="64"/>
        <v>0</v>
      </c>
      <c r="R124" s="227">
        <f t="shared" si="65"/>
        <v>233.0914874366301</v>
      </c>
      <c r="S124" s="226">
        <v>14294.353316244909</v>
      </c>
      <c r="T124" s="228">
        <f t="shared" si="66"/>
        <v>1.3327274271410157</v>
      </c>
      <c r="U124" s="227">
        <f t="shared" si="67"/>
        <v>4955245.2344078468</v>
      </c>
      <c r="V124" s="227">
        <f t="shared" si="68"/>
        <v>6603991.232105148</v>
      </c>
      <c r="W124" s="221" t="s">
        <v>701</v>
      </c>
      <c r="X124" s="221" t="s">
        <v>621</v>
      </c>
      <c r="Y124" s="229">
        <f>SUMIFS(Cert_App_Output!$G:$G,Cert_App_Output!$E:$E,$E124,Cert_App_Output!$K:$K,$X124)</f>
        <v>0</v>
      </c>
    </row>
    <row r="125" spans="1:25" x14ac:dyDescent="0.35">
      <c r="A125" s="221" t="s">
        <v>393</v>
      </c>
      <c r="B125" s="221" t="s">
        <v>573</v>
      </c>
      <c r="C125" s="221" t="s">
        <v>702</v>
      </c>
      <c r="D125" s="221" t="s">
        <v>573</v>
      </c>
      <c r="E125" s="221">
        <v>15.04</v>
      </c>
      <c r="F125" s="221" t="s">
        <v>574</v>
      </c>
      <c r="G125" s="221" t="s">
        <v>706</v>
      </c>
      <c r="H125" s="221" t="s">
        <v>595</v>
      </c>
      <c r="I125" s="225">
        <v>144</v>
      </c>
      <c r="J125" s="226">
        <v>2141.6929605</v>
      </c>
      <c r="K125" s="226">
        <v>3437.0838862628821</v>
      </c>
      <c r="L125" s="226">
        <v>0</v>
      </c>
      <c r="M125" s="226">
        <v>76.955161560778464</v>
      </c>
      <c r="N125" s="227">
        <f t="shared" si="61"/>
        <v>5655.7320083236609</v>
      </c>
      <c r="O125" s="227">
        <f t="shared" si="62"/>
        <v>2854.2929489731887</v>
      </c>
      <c r="P125" s="227">
        <f t="shared" si="63"/>
        <v>4580.6959646069727</v>
      </c>
      <c r="Q125" s="227">
        <f t="shared" si="64"/>
        <v>0</v>
      </c>
      <c r="R125" s="227">
        <f t="shared" si="65"/>
        <v>102.56025447211744</v>
      </c>
      <c r="S125" s="226">
        <v>7537.5491680522791</v>
      </c>
      <c r="T125" s="228">
        <f t="shared" si="66"/>
        <v>1.3327274271410152</v>
      </c>
      <c r="U125" s="227">
        <f t="shared" si="67"/>
        <v>814425.4091986072</v>
      </c>
      <c r="V125" s="227">
        <f t="shared" si="68"/>
        <v>1085407.0801995283</v>
      </c>
      <c r="W125" s="221" t="s">
        <v>701</v>
      </c>
      <c r="X125" s="221" t="s">
        <v>621</v>
      </c>
      <c r="Y125" s="229">
        <f>SUMIFS(Cert_App_Output!$G:$G,Cert_App_Output!$E:$E,$E125,Cert_App_Output!$K:$K,$X125)</f>
        <v>0</v>
      </c>
    </row>
    <row r="126" spans="1:25" x14ac:dyDescent="0.35">
      <c r="A126" s="221" t="s">
        <v>393</v>
      </c>
      <c r="B126" s="221" t="s">
        <v>573</v>
      </c>
      <c r="C126" s="221" t="s">
        <v>702</v>
      </c>
      <c r="D126" s="221" t="s">
        <v>573</v>
      </c>
      <c r="E126" s="221">
        <v>15.05</v>
      </c>
      <c r="F126" s="221" t="s">
        <v>574</v>
      </c>
      <c r="G126" s="221" t="s">
        <v>707</v>
      </c>
      <c r="H126" s="221" t="s">
        <v>595</v>
      </c>
      <c r="I126" s="225">
        <v>460</v>
      </c>
      <c r="J126" s="226">
        <v>2272.0787045000002</v>
      </c>
      <c r="K126" s="226">
        <v>4296.3548578286091</v>
      </c>
      <c r="L126" s="226">
        <v>0</v>
      </c>
      <c r="M126" s="226">
        <v>96.193951950972831</v>
      </c>
      <c r="N126" s="227">
        <f t="shared" si="61"/>
        <v>6664.6275142795821</v>
      </c>
      <c r="O126" s="227">
        <f t="shared" si="62"/>
        <v>3028.0616061101759</v>
      </c>
      <c r="P126" s="227">
        <f t="shared" si="63"/>
        <v>5725.8699557587233</v>
      </c>
      <c r="Q126" s="227">
        <f t="shared" si="64"/>
        <v>0</v>
      </c>
      <c r="R126" s="227">
        <f t="shared" si="65"/>
        <v>128.20031809014645</v>
      </c>
      <c r="S126" s="226">
        <v>8882.1318799590463</v>
      </c>
      <c r="T126" s="228">
        <f t="shared" si="66"/>
        <v>1.332727427141015</v>
      </c>
      <c r="U126" s="227">
        <f t="shared" si="67"/>
        <v>3065728.6565686078</v>
      </c>
      <c r="V126" s="227">
        <f t="shared" si="68"/>
        <v>4085780.6647811611</v>
      </c>
      <c r="W126" s="221" t="s">
        <v>701</v>
      </c>
      <c r="X126" s="221" t="s">
        <v>621</v>
      </c>
      <c r="Y126" s="229">
        <f>SUMIFS(Cert_App_Output!$G:$G,Cert_App_Output!$E:$E,$E126,Cert_App_Output!$K:$K,$X126)</f>
        <v>0</v>
      </c>
    </row>
    <row r="127" spans="1:25" x14ac:dyDescent="0.35">
      <c r="A127" s="221" t="s">
        <v>393</v>
      </c>
      <c r="B127" s="221" t="s">
        <v>573</v>
      </c>
      <c r="C127" s="221" t="s">
        <v>702</v>
      </c>
      <c r="D127" s="221" t="s">
        <v>573</v>
      </c>
      <c r="E127" s="221">
        <v>15.06</v>
      </c>
      <c r="F127" s="221" t="s">
        <v>574</v>
      </c>
      <c r="G127" s="221" t="s">
        <v>708</v>
      </c>
      <c r="H127" s="221" t="s">
        <v>595</v>
      </c>
      <c r="I127" s="225">
        <v>204</v>
      </c>
      <c r="J127" s="226">
        <v>2923.7665455000001</v>
      </c>
      <c r="K127" s="226">
        <v>8652.5810738939217</v>
      </c>
      <c r="L127" s="226">
        <v>0</v>
      </c>
      <c r="M127" s="226">
        <v>241.0676851174245</v>
      </c>
      <c r="N127" s="227">
        <f t="shared" si="61"/>
        <v>11817.415304511347</v>
      </c>
      <c r="O127" s="227">
        <f t="shared" si="62"/>
        <v>3896.5838657451877</v>
      </c>
      <c r="P127" s="227">
        <f t="shared" si="63"/>
        <v>11531.532112739686</v>
      </c>
      <c r="Q127" s="227">
        <f t="shared" si="64"/>
        <v>0</v>
      </c>
      <c r="R127" s="227">
        <f t="shared" si="65"/>
        <v>321.2775157533855</v>
      </c>
      <c r="S127" s="226">
        <v>15749.39349423826</v>
      </c>
      <c r="T127" s="228">
        <f t="shared" si="66"/>
        <v>1.3327274271410148</v>
      </c>
      <c r="U127" s="227">
        <f t="shared" si="67"/>
        <v>2410752.7221203148</v>
      </c>
      <c r="V127" s="227">
        <f t="shared" si="68"/>
        <v>3212876.272824605</v>
      </c>
      <c r="W127" s="221" t="s">
        <v>701</v>
      </c>
      <c r="X127" s="221" t="s">
        <v>621</v>
      </c>
      <c r="Y127" s="229">
        <f>SUMIFS(Cert_App_Output!$G:$G,Cert_App_Output!$E:$E,$E127,Cert_App_Output!$K:$K,$X127)</f>
        <v>0</v>
      </c>
    </row>
    <row r="128" spans="1:25" x14ac:dyDescent="0.35">
      <c r="A128" s="221" t="s">
        <v>393</v>
      </c>
      <c r="B128" s="221" t="s">
        <v>573</v>
      </c>
      <c r="C128" s="221" t="s">
        <v>702</v>
      </c>
      <c r="D128" s="221" t="s">
        <v>573</v>
      </c>
      <c r="E128" s="221">
        <v>15.07</v>
      </c>
      <c r="F128" s="221" t="s">
        <v>593</v>
      </c>
      <c r="G128" s="221" t="s">
        <v>709</v>
      </c>
      <c r="H128" s="221" t="s">
        <v>595</v>
      </c>
      <c r="I128" s="225">
        <v>262</v>
      </c>
      <c r="J128" s="226">
        <v>7633.5877862595416</v>
      </c>
      <c r="K128" s="226">
        <v>5047.3389597714504</v>
      </c>
      <c r="L128" s="226">
        <v>0</v>
      </c>
      <c r="M128" s="226">
        <v>190.21390119046529</v>
      </c>
      <c r="N128" s="227">
        <f t="shared" si="61"/>
        <v>12871.140647221458</v>
      </c>
      <c r="O128" s="227">
        <f t="shared" si="62"/>
        <v>10173.491810236754</v>
      </c>
      <c r="P128" s="227">
        <f t="shared" si="63"/>
        <v>6726.7270657648114</v>
      </c>
      <c r="Q128" s="227">
        <f t="shared" si="64"/>
        <v>0</v>
      </c>
      <c r="R128" s="227">
        <f t="shared" si="65"/>
        <v>253.50328314002402</v>
      </c>
      <c r="S128" s="226">
        <v>17153.722159141591</v>
      </c>
      <c r="T128" s="228">
        <f t="shared" si="66"/>
        <v>1.3327274271410148</v>
      </c>
      <c r="U128" s="227">
        <f t="shared" si="67"/>
        <v>3372238.849572022</v>
      </c>
      <c r="V128" s="227">
        <f t="shared" si="68"/>
        <v>4494275.2056950964</v>
      </c>
      <c r="W128" s="221" t="s">
        <v>701</v>
      </c>
      <c r="X128" s="221" t="s">
        <v>621</v>
      </c>
      <c r="Y128" s="229">
        <f>SUMIFS(Cert_App_Output!$G:$G,Cert_App_Output!$E:$E,$E128,Cert_App_Output!$K:$K,$X128)</f>
        <v>0</v>
      </c>
    </row>
    <row r="129" spans="1:25" x14ac:dyDescent="0.35">
      <c r="A129" s="221" t="s">
        <v>393</v>
      </c>
      <c r="B129" s="221" t="s">
        <v>573</v>
      </c>
      <c r="C129" s="221" t="s">
        <v>702</v>
      </c>
      <c r="D129" s="221" t="s">
        <v>573</v>
      </c>
      <c r="E129" s="221">
        <v>15.08</v>
      </c>
      <c r="F129" s="221" t="s">
        <v>593</v>
      </c>
      <c r="G129" s="221" t="s">
        <v>710</v>
      </c>
      <c r="H129" s="221" t="s">
        <v>595</v>
      </c>
      <c r="I129" s="225">
        <v>756</v>
      </c>
      <c r="J129" s="226">
        <v>10000</v>
      </c>
      <c r="K129" s="226">
        <v>9614.9793516205282</v>
      </c>
      <c r="L129" s="226">
        <v>0</v>
      </c>
      <c r="M129" s="226">
        <v>294.22469027430822</v>
      </c>
      <c r="N129" s="227">
        <f t="shared" si="61"/>
        <v>19909.204041894838</v>
      </c>
      <c r="O129" s="227">
        <f t="shared" si="62"/>
        <v>13327.274271410151</v>
      </c>
      <c r="P129" s="227">
        <f t="shared" si="63"/>
        <v>12814.146693299213</v>
      </c>
      <c r="Q129" s="227">
        <f t="shared" si="64"/>
        <v>0</v>
      </c>
      <c r="R129" s="227">
        <f t="shared" si="65"/>
        <v>392.12131447064087</v>
      </c>
      <c r="S129" s="226">
        <v>26533.542279180008</v>
      </c>
      <c r="T129" s="228">
        <f t="shared" si="66"/>
        <v>1.3327274271410152</v>
      </c>
      <c r="U129" s="227">
        <f t="shared" si="67"/>
        <v>15051358.255672498</v>
      </c>
      <c r="V129" s="227">
        <f t="shared" si="68"/>
        <v>20059357.963060085</v>
      </c>
      <c r="W129" s="221" t="s">
        <v>701</v>
      </c>
      <c r="X129" s="221" t="s">
        <v>621</v>
      </c>
      <c r="Y129" s="229">
        <f>SUMIFS(Cert_App_Output!$G:$G,Cert_App_Output!$E:$E,$E129,Cert_App_Output!$K:$K,$X129)</f>
        <v>0</v>
      </c>
    </row>
    <row r="130" spans="1:25" x14ac:dyDescent="0.35">
      <c r="A130" s="221" t="s">
        <v>393</v>
      </c>
      <c r="B130" s="221" t="s">
        <v>573</v>
      </c>
      <c r="C130" s="221" t="s">
        <v>702</v>
      </c>
      <c r="D130" s="221" t="s">
        <v>573</v>
      </c>
      <c r="E130" s="221">
        <v>15.09</v>
      </c>
      <c r="F130" s="221" t="s">
        <v>593</v>
      </c>
      <c r="G130" s="221" t="s">
        <v>711</v>
      </c>
      <c r="H130" s="221" t="s">
        <v>595</v>
      </c>
      <c r="I130" s="225">
        <v>56</v>
      </c>
      <c r="J130" s="226">
        <v>10000</v>
      </c>
      <c r="K130" s="226">
        <v>13460.97109226875</v>
      </c>
      <c r="L130" s="226">
        <v>0</v>
      </c>
      <c r="M130" s="226">
        <v>351.91456638403042</v>
      </c>
      <c r="N130" s="227">
        <f t="shared" si="61"/>
        <v>23812.885658652784</v>
      </c>
      <c r="O130" s="227">
        <f t="shared" si="62"/>
        <v>13327.27427141015</v>
      </c>
      <c r="P130" s="227">
        <f t="shared" si="63"/>
        <v>17939.805370618909</v>
      </c>
      <c r="Q130" s="227">
        <f t="shared" si="64"/>
        <v>0</v>
      </c>
      <c r="R130" s="227">
        <f t="shared" si="65"/>
        <v>469.00619463043483</v>
      </c>
      <c r="S130" s="226">
        <v>31736.085836659498</v>
      </c>
      <c r="T130" s="228">
        <f t="shared" si="66"/>
        <v>1.332727427141015</v>
      </c>
      <c r="U130" s="227">
        <f t="shared" si="67"/>
        <v>1333521.5968845559</v>
      </c>
      <c r="V130" s="227">
        <f t="shared" si="68"/>
        <v>1777220.8068529319</v>
      </c>
      <c r="W130" s="221" t="s">
        <v>701</v>
      </c>
      <c r="X130" s="221" t="s">
        <v>621</v>
      </c>
      <c r="Y130" s="229">
        <f>SUMIFS(Cert_App_Output!$G:$G,Cert_App_Output!$E:$E,$E130,Cert_App_Output!$K:$K,$X130)</f>
        <v>0</v>
      </c>
    </row>
    <row r="131" spans="1:25" x14ac:dyDescent="0.35">
      <c r="A131" s="221" t="s">
        <v>393</v>
      </c>
      <c r="B131" s="221" t="s">
        <v>573</v>
      </c>
      <c r="C131" s="221" t="s">
        <v>573</v>
      </c>
      <c r="D131" s="221" t="s">
        <v>702</v>
      </c>
      <c r="E131" s="221">
        <v>15.1</v>
      </c>
      <c r="F131" s="221" t="s">
        <v>593</v>
      </c>
      <c r="G131" s="221" t="s">
        <v>712</v>
      </c>
      <c r="H131" s="221" t="s">
        <v>576</v>
      </c>
      <c r="I131" s="225">
        <v>1</v>
      </c>
      <c r="J131" s="226">
        <v>200000</v>
      </c>
      <c r="K131" s="226">
        <v>0</v>
      </c>
      <c r="L131" s="226">
        <v>454260.50637943199</v>
      </c>
      <c r="M131" s="226">
        <v>9813.9075956914803</v>
      </c>
      <c r="N131" s="227">
        <f t="shared" si="61"/>
        <v>664074.41397512355</v>
      </c>
      <c r="O131" s="227">
        <f t="shared" si="62"/>
        <v>266545.48542820307</v>
      </c>
      <c r="P131" s="227">
        <f t="shared" si="63"/>
        <v>0</v>
      </c>
      <c r="Q131" s="227">
        <f t="shared" si="64"/>
        <v>605405.43591883511</v>
      </c>
      <c r="R131" s="227">
        <f t="shared" si="65"/>
        <v>13079.263820205573</v>
      </c>
      <c r="S131" s="226">
        <v>885030.18516724382</v>
      </c>
      <c r="T131" s="228">
        <f t="shared" si="66"/>
        <v>1.3327274271410152</v>
      </c>
      <c r="U131" s="227">
        <f t="shared" si="67"/>
        <v>664074.41397512355</v>
      </c>
      <c r="V131" s="227">
        <f t="shared" si="68"/>
        <v>885030.18516724382</v>
      </c>
      <c r="W131" s="221" t="s">
        <v>701</v>
      </c>
      <c r="X131" s="221" t="s">
        <v>621</v>
      </c>
      <c r="Y131" s="229">
        <f>SUMIFS(Cert_App_Output!$G:$G,Cert_App_Output!$E:$E,$E131,Cert_App_Output!$K:$K,$X131)</f>
        <v>0</v>
      </c>
    </row>
    <row r="132" spans="1:25" x14ac:dyDescent="0.35">
      <c r="A132" s="221" t="s">
        <v>393</v>
      </c>
      <c r="B132" s="221" t="s">
        <v>573</v>
      </c>
      <c r="C132" s="221" t="s">
        <v>702</v>
      </c>
      <c r="D132" s="221" t="s">
        <v>573</v>
      </c>
      <c r="E132" s="221">
        <v>15.11</v>
      </c>
      <c r="F132" s="221" t="s">
        <v>574</v>
      </c>
      <c r="G132" s="221" t="s">
        <v>713</v>
      </c>
      <c r="H132" s="221" t="s">
        <v>652</v>
      </c>
      <c r="I132" s="225">
        <v>73</v>
      </c>
      <c r="J132" s="226">
        <v>11746.02392719984</v>
      </c>
      <c r="K132" s="226">
        <v>49896.797173282052</v>
      </c>
      <c r="L132" s="226">
        <v>0</v>
      </c>
      <c r="M132" s="226">
        <v>924.64231650722741</v>
      </c>
      <c r="N132" s="227">
        <f t="shared" si="61"/>
        <v>62567.463416989114</v>
      </c>
      <c r="O132" s="227">
        <f t="shared" si="62"/>
        <v>15654.248247633846</v>
      </c>
      <c r="P132" s="227">
        <f t="shared" si="63"/>
        <v>66498.83011932527</v>
      </c>
      <c r="Q132" s="227">
        <f t="shared" si="64"/>
        <v>0</v>
      </c>
      <c r="R132" s="227">
        <f t="shared" si="65"/>
        <v>1232.2961755043855</v>
      </c>
      <c r="S132" s="226">
        <v>83385.374542463498</v>
      </c>
      <c r="T132" s="228">
        <f t="shared" si="66"/>
        <v>1.3327274271410152</v>
      </c>
      <c r="U132" s="227">
        <f t="shared" si="67"/>
        <v>4567424.8294402054</v>
      </c>
      <c r="V132" s="227">
        <f t="shared" si="68"/>
        <v>6087132.3415998351</v>
      </c>
      <c r="W132" s="221" t="s">
        <v>701</v>
      </c>
      <c r="X132" s="221" t="s">
        <v>621</v>
      </c>
      <c r="Y132" s="229">
        <f>SUMIFS(Cert_App_Output!$G:$G,Cert_App_Output!$E:$E,$E132,Cert_App_Output!$K:$K,$X132)</f>
        <v>0</v>
      </c>
    </row>
    <row r="133" spans="1:25" x14ac:dyDescent="0.35">
      <c r="A133" s="221" t="s">
        <v>393</v>
      </c>
      <c r="B133" s="221" t="s">
        <v>573</v>
      </c>
      <c r="C133" s="221" t="s">
        <v>702</v>
      </c>
      <c r="D133" s="221" t="s">
        <v>573</v>
      </c>
      <c r="E133" s="221">
        <v>15.12</v>
      </c>
      <c r="F133" s="221" t="s">
        <v>574</v>
      </c>
      <c r="G133" s="221" t="s">
        <v>714</v>
      </c>
      <c r="H133" s="221" t="s">
        <v>576</v>
      </c>
      <c r="I133" s="225">
        <v>1</v>
      </c>
      <c r="J133" s="226">
        <v>392180.13300765603</v>
      </c>
      <c r="K133" s="226">
        <v>2776617.9536378598</v>
      </c>
      <c r="L133" s="226">
        <v>0</v>
      </c>
      <c r="M133" s="226">
        <v>47531.971299682802</v>
      </c>
      <c r="N133" s="227">
        <f t="shared" si="61"/>
        <v>3216330.0579451984</v>
      </c>
      <c r="O133" s="227">
        <f t="shared" si="62"/>
        <v>522669.21963911451</v>
      </c>
      <c r="P133" s="227">
        <f t="shared" si="63"/>
        <v>3700474.9015053352</v>
      </c>
      <c r="Q133" s="227">
        <f t="shared" si="64"/>
        <v>0</v>
      </c>
      <c r="R133" s="227">
        <f t="shared" si="65"/>
        <v>63347.161817166831</v>
      </c>
      <c r="S133" s="226">
        <v>4286491.2829616163</v>
      </c>
      <c r="T133" s="228">
        <f t="shared" si="66"/>
        <v>1.3327274271410152</v>
      </c>
      <c r="U133" s="227">
        <f t="shared" si="67"/>
        <v>3216330.0579451984</v>
      </c>
      <c r="V133" s="227">
        <f t="shared" si="68"/>
        <v>4286491.2829616163</v>
      </c>
      <c r="W133" s="221" t="s">
        <v>701</v>
      </c>
      <c r="X133" s="221" t="s">
        <v>621</v>
      </c>
      <c r="Y133" s="229">
        <f>SUMIFS(Cert_App_Output!$G:$G,Cert_App_Output!$E:$E,$E133,Cert_App_Output!$K:$K,$X133)</f>
        <v>0.1</v>
      </c>
    </row>
    <row r="134" spans="1:25" x14ac:dyDescent="0.35">
      <c r="A134" s="221" t="s">
        <v>573</v>
      </c>
      <c r="B134" s="221" t="s">
        <v>573</v>
      </c>
      <c r="C134" s="221" t="s">
        <v>573</v>
      </c>
      <c r="D134" s="221" t="s">
        <v>573</v>
      </c>
      <c r="E134" s="221">
        <v>16</v>
      </c>
      <c r="G134" s="221" t="s">
        <v>715</v>
      </c>
      <c r="I134" s="222"/>
      <c r="J134" s="223"/>
      <c r="K134" s="223"/>
      <c r="L134" s="223"/>
      <c r="M134" s="223"/>
      <c r="N134" s="223"/>
      <c r="O134" s="223"/>
      <c r="P134" s="223"/>
      <c r="Q134" s="223"/>
      <c r="R134" s="223"/>
      <c r="S134" s="223"/>
      <c r="T134" s="224"/>
      <c r="U134" s="223"/>
      <c r="V134" s="223"/>
      <c r="W134" s="221" t="s">
        <v>715</v>
      </c>
      <c r="X134" s="221" t="s">
        <v>621</v>
      </c>
      <c r="Y134" s="215"/>
    </row>
    <row r="135" spans="1:25" x14ac:dyDescent="0.35">
      <c r="A135" s="221" t="s">
        <v>573</v>
      </c>
      <c r="B135" s="221" t="s">
        <v>573</v>
      </c>
      <c r="C135" s="221" t="s">
        <v>573</v>
      </c>
      <c r="D135" s="221" t="s">
        <v>573</v>
      </c>
      <c r="I135" s="222"/>
      <c r="J135" s="223"/>
      <c r="K135" s="223"/>
      <c r="L135" s="223"/>
      <c r="M135" s="223"/>
      <c r="N135" s="223"/>
      <c r="O135" s="223"/>
      <c r="P135" s="223"/>
      <c r="Q135" s="223"/>
      <c r="R135" s="223"/>
      <c r="S135" s="223"/>
      <c r="T135" s="224"/>
      <c r="U135" s="223"/>
      <c r="V135" s="223"/>
      <c r="W135" s="221" t="s">
        <v>715</v>
      </c>
      <c r="Y135" s="215"/>
    </row>
    <row r="136" spans="1:25" x14ac:dyDescent="0.35">
      <c r="A136" s="221" t="s">
        <v>573</v>
      </c>
      <c r="B136" s="221" t="s">
        <v>573</v>
      </c>
      <c r="C136" s="221" t="s">
        <v>573</v>
      </c>
      <c r="D136" s="221" t="s">
        <v>573</v>
      </c>
      <c r="E136" s="221">
        <v>17</v>
      </c>
      <c r="G136" s="221" t="s">
        <v>716</v>
      </c>
      <c r="I136" s="222"/>
      <c r="J136" s="223"/>
      <c r="K136" s="223"/>
      <c r="L136" s="223"/>
      <c r="M136" s="223"/>
      <c r="N136" s="223"/>
      <c r="O136" s="223"/>
      <c r="P136" s="223"/>
      <c r="Q136" s="223"/>
      <c r="R136" s="223"/>
      <c r="S136" s="223"/>
      <c r="T136" s="224"/>
      <c r="U136" s="223"/>
      <c r="V136" s="223"/>
      <c r="W136" s="221" t="s">
        <v>716</v>
      </c>
      <c r="X136" s="221" t="s">
        <v>621</v>
      </c>
      <c r="Y136" s="215"/>
    </row>
    <row r="137" spans="1:25" x14ac:dyDescent="0.35">
      <c r="A137" s="221" t="s">
        <v>305</v>
      </c>
      <c r="B137" s="221" t="s">
        <v>573</v>
      </c>
      <c r="C137" s="221" t="s">
        <v>573</v>
      </c>
      <c r="D137" s="221" t="s">
        <v>321</v>
      </c>
      <c r="E137" s="221">
        <v>17.010000000000002</v>
      </c>
      <c r="F137" s="221" t="s">
        <v>574</v>
      </c>
      <c r="G137" s="221" t="s">
        <v>717</v>
      </c>
      <c r="H137" s="221" t="s">
        <v>600</v>
      </c>
      <c r="I137" s="225">
        <v>57</v>
      </c>
      <c r="J137" s="226">
        <v>4066.3295640000001</v>
      </c>
      <c r="K137" s="226">
        <v>0</v>
      </c>
      <c r="L137" s="226">
        <v>55045.379224928947</v>
      </c>
      <c r="M137" s="226">
        <v>405.54861765584383</v>
      </c>
      <c r="N137" s="227">
        <f>SUM(J137:M137)</f>
        <v>59517.257406584788</v>
      </c>
      <c r="O137" s="227">
        <f>IF($N137=0,$S137,J137/$N137*$S137)</f>
        <v>5419.3089377371662</v>
      </c>
      <c r="P137" s="227">
        <f t="shared" ref="P137:R140" si="69">IF($N137=0,0,K137/$N137*$S137)</f>
        <v>0</v>
      </c>
      <c r="Q137" s="227">
        <f t="shared" si="69"/>
        <v>73360.486630441039</v>
      </c>
      <c r="R137" s="227">
        <f t="shared" si="69"/>
        <v>540.48576578906807</v>
      </c>
      <c r="S137" s="226">
        <v>79320.281333967272</v>
      </c>
      <c r="T137" s="228">
        <f>IFERROR(S137/N137,"")</f>
        <v>1.3327274271410152</v>
      </c>
      <c r="U137" s="227">
        <f>N137*I137</f>
        <v>3392483.6721753329</v>
      </c>
      <c r="V137" s="227">
        <f>S137*I137</f>
        <v>4521256.0360361347</v>
      </c>
      <c r="W137" s="221" t="s">
        <v>716</v>
      </c>
      <c r="Y137" s="229">
        <f>SUMIFS(Cert_App_Output!$G:$G,Cert_App_Output!$E:$E,$E137,Cert_App_Output!$K:$K,$X137)</f>
        <v>0</v>
      </c>
    </row>
    <row r="138" spans="1:25" x14ac:dyDescent="0.35">
      <c r="A138" s="221" t="s">
        <v>305</v>
      </c>
      <c r="B138" s="221" t="s">
        <v>573</v>
      </c>
      <c r="C138" s="221" t="s">
        <v>573</v>
      </c>
      <c r="D138" s="221" t="s">
        <v>321</v>
      </c>
      <c r="E138" s="221">
        <v>17.02</v>
      </c>
      <c r="F138" s="221" t="s">
        <v>574</v>
      </c>
      <c r="G138" s="221" t="s">
        <v>718</v>
      </c>
      <c r="H138" s="221" t="s">
        <v>600</v>
      </c>
      <c r="I138" s="225">
        <v>11</v>
      </c>
      <c r="J138" s="226">
        <v>4066.3295640000001</v>
      </c>
      <c r="K138" s="226">
        <v>0</v>
      </c>
      <c r="L138" s="226">
        <v>55045.379224928998</v>
      </c>
      <c r="M138" s="226">
        <v>405.5486176558436</v>
      </c>
      <c r="N138" s="227">
        <f>SUM(J138:M138)</f>
        <v>59517.257406584838</v>
      </c>
      <c r="O138" s="227">
        <f>IF($N138=0,$S138,J138/$N138*$S138)</f>
        <v>5419.3089377371662</v>
      </c>
      <c r="P138" s="227">
        <f t="shared" si="69"/>
        <v>0</v>
      </c>
      <c r="Q138" s="227">
        <f t="shared" si="69"/>
        <v>73360.486630441112</v>
      </c>
      <c r="R138" s="227">
        <f t="shared" si="69"/>
        <v>540.48576578906773</v>
      </c>
      <c r="S138" s="226">
        <v>79320.281333967345</v>
      </c>
      <c r="T138" s="228">
        <f>IFERROR(S138/N138,"")</f>
        <v>1.3327274271410152</v>
      </c>
      <c r="U138" s="227">
        <f>N138*I138</f>
        <v>654689.83147243317</v>
      </c>
      <c r="V138" s="227">
        <f>S138*I138</f>
        <v>872523.09467364079</v>
      </c>
      <c r="W138" s="221" t="s">
        <v>716</v>
      </c>
      <c r="X138" s="221" t="s">
        <v>621</v>
      </c>
      <c r="Y138" s="229">
        <f>SUMIFS(Cert_App_Output!$G:$G,Cert_App_Output!$E:$E,$E138,Cert_App_Output!$K:$K,$X138)</f>
        <v>0.7</v>
      </c>
    </row>
    <row r="139" spans="1:25" x14ac:dyDescent="0.35">
      <c r="A139" s="221" t="s">
        <v>305</v>
      </c>
      <c r="B139" s="221" t="s">
        <v>573</v>
      </c>
      <c r="C139" s="221" t="s">
        <v>573</v>
      </c>
      <c r="D139" s="221" t="s">
        <v>321</v>
      </c>
      <c r="E139" s="221">
        <v>17.03</v>
      </c>
      <c r="F139" s="221" t="s">
        <v>574</v>
      </c>
      <c r="G139" s="221" t="s">
        <v>719</v>
      </c>
      <c r="H139" s="221" t="s">
        <v>600</v>
      </c>
      <c r="I139" s="225">
        <v>65</v>
      </c>
      <c r="J139" s="226">
        <v>1487.9069540999999</v>
      </c>
      <c r="K139" s="226">
        <v>0</v>
      </c>
      <c r="L139" s="226">
        <v>36696.919483286001</v>
      </c>
      <c r="M139" s="226">
        <v>202.77430882792149</v>
      </c>
      <c r="N139" s="227">
        <f>SUM(J139:M139)</f>
        <v>38387.600746213924</v>
      </c>
      <c r="O139" s="227">
        <f>IF($N139=0,$S139,J139/$N139*$S139)</f>
        <v>1982.9744067629174</v>
      </c>
      <c r="P139" s="227">
        <f t="shared" si="69"/>
        <v>0</v>
      </c>
      <c r="Q139" s="227">
        <f t="shared" si="69"/>
        <v>48906.991086960741</v>
      </c>
      <c r="R139" s="227">
        <f t="shared" si="69"/>
        <v>270.24288289453347</v>
      </c>
      <c r="S139" s="226">
        <v>51160.208376618197</v>
      </c>
      <c r="T139" s="228">
        <f>IFERROR(S139/N139,"")</f>
        <v>1.3327274271410152</v>
      </c>
      <c r="U139" s="227">
        <f>N139*I139</f>
        <v>2495194.0485039051</v>
      </c>
      <c r="V139" s="227">
        <f>S139*I139</f>
        <v>3325413.5444801827</v>
      </c>
      <c r="W139" s="221" t="s">
        <v>716</v>
      </c>
      <c r="X139" s="221" t="s">
        <v>621</v>
      </c>
      <c r="Y139" s="229">
        <f>SUMIFS(Cert_App_Output!$G:$G,Cert_App_Output!$E:$E,$E139,Cert_App_Output!$K:$K,$X139)</f>
        <v>0.99999999999999989</v>
      </c>
    </row>
    <row r="140" spans="1:25" x14ac:dyDescent="0.35">
      <c r="A140" s="221" t="s">
        <v>305</v>
      </c>
      <c r="B140" s="221" t="s">
        <v>573</v>
      </c>
      <c r="C140" s="221" t="s">
        <v>321</v>
      </c>
      <c r="D140" s="221" t="s">
        <v>321</v>
      </c>
      <c r="E140" s="221">
        <v>17.04</v>
      </c>
      <c r="F140" s="221" t="s">
        <v>574</v>
      </c>
      <c r="G140" s="221" t="s">
        <v>720</v>
      </c>
      <c r="H140" s="221" t="s">
        <v>600</v>
      </c>
      <c r="I140" s="225">
        <v>6</v>
      </c>
      <c r="J140" s="226">
        <v>4066.3295640000001</v>
      </c>
      <c r="K140" s="226">
        <v>27522.689612464499</v>
      </c>
      <c r="L140" s="226">
        <v>55045.379224928998</v>
      </c>
      <c r="M140" s="226">
        <v>405.54861765584332</v>
      </c>
      <c r="N140" s="227">
        <f>SUM(J140:M140)</f>
        <v>87039.947019049345</v>
      </c>
      <c r="O140" s="227">
        <f>IF($N140=0,$S140,J140/$N140*$S140)</f>
        <v>5419.3089377371662</v>
      </c>
      <c r="P140" s="227">
        <f t="shared" si="69"/>
        <v>36680.243315220556</v>
      </c>
      <c r="Q140" s="227">
        <f t="shared" si="69"/>
        <v>73360.486630441112</v>
      </c>
      <c r="R140" s="227">
        <f t="shared" si="69"/>
        <v>540.48576578906727</v>
      </c>
      <c r="S140" s="226">
        <v>116000.52464918789</v>
      </c>
      <c r="T140" s="228">
        <f>IFERROR(S140/N140,"")</f>
        <v>1.332727427141015</v>
      </c>
      <c r="U140" s="227">
        <f>N140*I140</f>
        <v>522239.68211429607</v>
      </c>
      <c r="V140" s="227">
        <f>S140*I140</f>
        <v>696003.1478951273</v>
      </c>
      <c r="W140" s="221" t="s">
        <v>716</v>
      </c>
      <c r="X140" s="221" t="s">
        <v>621</v>
      </c>
      <c r="Y140" s="229">
        <f>SUMIFS(Cert_App_Output!$G:$G,Cert_App_Output!$E:$E,$E140,Cert_App_Output!$K:$K,$X140)</f>
        <v>0</v>
      </c>
    </row>
    <row r="141" spans="1:25" x14ac:dyDescent="0.35">
      <c r="A141" s="221" t="s">
        <v>573</v>
      </c>
      <c r="B141" s="221" t="s">
        <v>573</v>
      </c>
      <c r="C141" s="221" t="s">
        <v>573</v>
      </c>
      <c r="D141" s="221" t="s">
        <v>573</v>
      </c>
      <c r="E141" s="221">
        <v>18</v>
      </c>
      <c r="G141" s="221" t="s">
        <v>721</v>
      </c>
      <c r="I141" s="222"/>
      <c r="J141" s="223"/>
      <c r="K141" s="223"/>
      <c r="L141" s="223"/>
      <c r="M141" s="223"/>
      <c r="N141" s="223"/>
      <c r="O141" s="223"/>
      <c r="P141" s="223"/>
      <c r="Q141" s="223"/>
      <c r="R141" s="223"/>
      <c r="S141" s="223"/>
      <c r="T141" s="224"/>
      <c r="U141" s="223"/>
      <c r="V141" s="223"/>
      <c r="W141" s="221" t="s">
        <v>721</v>
      </c>
      <c r="X141" s="221" t="s">
        <v>621</v>
      </c>
      <c r="Y141" s="215"/>
    </row>
    <row r="142" spans="1:25" x14ac:dyDescent="0.35">
      <c r="A142" s="221" t="s">
        <v>416</v>
      </c>
      <c r="B142" s="221" t="s">
        <v>573</v>
      </c>
      <c r="C142" s="221" t="s">
        <v>420</v>
      </c>
      <c r="D142" s="221" t="s">
        <v>573</v>
      </c>
      <c r="E142" s="221">
        <v>18.010000000000002</v>
      </c>
      <c r="F142" s="221" t="s">
        <v>574</v>
      </c>
      <c r="G142" s="221" t="s">
        <v>722</v>
      </c>
      <c r="H142" s="221" t="s">
        <v>600</v>
      </c>
      <c r="I142" s="225">
        <v>260</v>
      </c>
      <c r="J142" s="226">
        <v>20340.180885000002</v>
      </c>
      <c r="K142" s="226">
        <v>35416.5</v>
      </c>
      <c r="L142" s="226">
        <v>0</v>
      </c>
      <c r="M142" s="226">
        <v>1667.3180256186999</v>
      </c>
      <c r="N142" s="227">
        <f t="shared" ref="N142:N174" si="70">SUM(J142:M142)</f>
        <v>57423.998910618699</v>
      </c>
      <c r="O142" s="227">
        <f t="shared" ref="O142:O174" si="71">IF($N142=0,$S142,J142/$N142*$S142)</f>
        <v>27107.916938448911</v>
      </c>
      <c r="P142" s="227">
        <f t="shared" ref="P142:P174" si="72">IF($N142=0,0,K142/$N142*$S142)</f>
        <v>47200.540923339766</v>
      </c>
      <c r="Q142" s="227">
        <f t="shared" ref="Q142:Q174" si="73">IF($N142=0,0,L142/$N142*$S142)</f>
        <v>0</v>
      </c>
      <c r="R142" s="227">
        <f t="shared" ref="R142:R174" si="74">IF($N142=0,0,M142/$N142*$S142)</f>
        <v>2222.0804625086475</v>
      </c>
      <c r="S142" s="226">
        <v>76530.538324297318</v>
      </c>
      <c r="T142" s="228">
        <f t="shared" ref="T142:T174" si="75">IFERROR(S142/N142,"")</f>
        <v>1.3327274271410152</v>
      </c>
      <c r="U142" s="227">
        <f t="shared" ref="U142:U174" si="76">N142*I142</f>
        <v>14930239.716760861</v>
      </c>
      <c r="V142" s="227">
        <f t="shared" ref="V142:V174" si="77">S142*I142</f>
        <v>19897939.964317303</v>
      </c>
      <c r="W142" s="221" t="s">
        <v>721</v>
      </c>
      <c r="Y142" s="229">
        <f>SUMIFS(Cert_App_Output!$G:$G,Cert_App_Output!$E:$E,$E142,Cert_App_Output!$K:$K,$X142)</f>
        <v>0</v>
      </c>
    </row>
    <row r="143" spans="1:25" x14ac:dyDescent="0.35">
      <c r="A143" s="221" t="s">
        <v>416</v>
      </c>
      <c r="B143" s="221" t="s">
        <v>573</v>
      </c>
      <c r="C143" s="221" t="s">
        <v>420</v>
      </c>
      <c r="D143" s="221" t="s">
        <v>573</v>
      </c>
      <c r="E143" s="221">
        <v>18.02</v>
      </c>
      <c r="F143" s="221" t="s">
        <v>574</v>
      </c>
      <c r="G143" s="221" t="s">
        <v>723</v>
      </c>
      <c r="H143" s="221" t="s">
        <v>600</v>
      </c>
      <c r="I143" s="225">
        <v>62</v>
      </c>
      <c r="J143" s="226">
        <v>17867.355495</v>
      </c>
      <c r="K143" s="226">
        <v>35416.5</v>
      </c>
      <c r="L143" s="226">
        <v>0</v>
      </c>
      <c r="M143" s="226">
        <v>1667.318025618694</v>
      </c>
      <c r="N143" s="227">
        <f t="shared" si="70"/>
        <v>54951.173520618693</v>
      </c>
      <c r="O143" s="227">
        <f t="shared" si="71"/>
        <v>23812.314718665228</v>
      </c>
      <c r="P143" s="227">
        <f t="shared" si="72"/>
        <v>47200.540923339759</v>
      </c>
      <c r="Q143" s="227">
        <f t="shared" si="73"/>
        <v>0</v>
      </c>
      <c r="R143" s="227">
        <f t="shared" si="74"/>
        <v>2222.0804625086394</v>
      </c>
      <c r="S143" s="226">
        <v>73234.936104513632</v>
      </c>
      <c r="T143" s="228">
        <f t="shared" si="75"/>
        <v>1.3327274271410152</v>
      </c>
      <c r="U143" s="227">
        <f t="shared" si="76"/>
        <v>3406972.7582783592</v>
      </c>
      <c r="V143" s="227">
        <f t="shared" si="77"/>
        <v>4540566.038479845</v>
      </c>
      <c r="W143" s="221" t="s">
        <v>721</v>
      </c>
      <c r="X143" s="221" t="s">
        <v>621</v>
      </c>
      <c r="Y143" s="229">
        <f>SUMIFS(Cert_App_Output!$G:$G,Cert_App_Output!$E:$E,$E143,Cert_App_Output!$K:$K,$X143)</f>
        <v>0.54500000000000004</v>
      </c>
    </row>
    <row r="144" spans="1:25" x14ac:dyDescent="0.35">
      <c r="A144" s="221" t="s">
        <v>416</v>
      </c>
      <c r="B144" s="221" t="s">
        <v>573</v>
      </c>
      <c r="C144" s="221" t="s">
        <v>420</v>
      </c>
      <c r="D144" s="221" t="s">
        <v>573</v>
      </c>
      <c r="E144" s="221">
        <v>18.03</v>
      </c>
      <c r="F144" s="221" t="s">
        <v>574</v>
      </c>
      <c r="G144" s="221" t="s">
        <v>724</v>
      </c>
      <c r="H144" s="221" t="s">
        <v>600</v>
      </c>
      <c r="I144" s="225">
        <v>12</v>
      </c>
      <c r="J144" s="226">
        <v>17867.355495</v>
      </c>
      <c r="K144" s="226">
        <v>35416.5</v>
      </c>
      <c r="L144" s="226">
        <v>0</v>
      </c>
      <c r="M144" s="226">
        <v>1667.3180256186999</v>
      </c>
      <c r="N144" s="227">
        <f t="shared" si="70"/>
        <v>54951.173520618693</v>
      </c>
      <c r="O144" s="227">
        <f t="shared" si="71"/>
        <v>23812.314718665228</v>
      </c>
      <c r="P144" s="227">
        <f t="shared" si="72"/>
        <v>47200.540923339759</v>
      </c>
      <c r="Q144" s="227">
        <f t="shared" si="73"/>
        <v>0</v>
      </c>
      <c r="R144" s="227">
        <f t="shared" si="74"/>
        <v>2222.0804625086475</v>
      </c>
      <c r="S144" s="226">
        <v>73234.936104513632</v>
      </c>
      <c r="T144" s="228">
        <f t="shared" si="75"/>
        <v>1.3327274271410152</v>
      </c>
      <c r="U144" s="227">
        <f t="shared" si="76"/>
        <v>659414.08224742429</v>
      </c>
      <c r="V144" s="227">
        <f t="shared" si="77"/>
        <v>878819.23325416353</v>
      </c>
      <c r="W144" s="221" t="s">
        <v>721</v>
      </c>
      <c r="X144" s="221" t="s">
        <v>621</v>
      </c>
      <c r="Y144" s="229">
        <f>SUMIFS(Cert_App_Output!$G:$G,Cert_App_Output!$E:$E,$E144,Cert_App_Output!$K:$K,$X144)</f>
        <v>0.69499999999999995</v>
      </c>
    </row>
    <row r="145" spans="1:25" x14ac:dyDescent="0.35">
      <c r="A145" s="221" t="s">
        <v>416</v>
      </c>
      <c r="B145" s="221" t="s">
        <v>573</v>
      </c>
      <c r="C145" s="221" t="s">
        <v>420</v>
      </c>
      <c r="D145" s="221" t="s">
        <v>573</v>
      </c>
      <c r="E145" s="221">
        <v>18.04</v>
      </c>
      <c r="F145" s="221" t="s">
        <v>574</v>
      </c>
      <c r="G145" s="221" t="s">
        <v>725</v>
      </c>
      <c r="H145" s="221" t="s">
        <v>600</v>
      </c>
      <c r="I145" s="225">
        <v>16</v>
      </c>
      <c r="J145" s="226">
        <v>17867.355495</v>
      </c>
      <c r="K145" s="226">
        <v>35416.5</v>
      </c>
      <c r="L145" s="226">
        <v>0</v>
      </c>
      <c r="M145" s="226">
        <v>1667.3180256186999</v>
      </c>
      <c r="N145" s="227">
        <f t="shared" si="70"/>
        <v>54951.173520618693</v>
      </c>
      <c r="O145" s="227">
        <f t="shared" si="71"/>
        <v>23812.314718665228</v>
      </c>
      <c r="P145" s="227">
        <f t="shared" si="72"/>
        <v>47200.540923339759</v>
      </c>
      <c r="Q145" s="227">
        <f t="shared" si="73"/>
        <v>0</v>
      </c>
      <c r="R145" s="227">
        <f t="shared" si="74"/>
        <v>2222.0804625086475</v>
      </c>
      <c r="S145" s="226">
        <v>73234.936104513632</v>
      </c>
      <c r="T145" s="228">
        <f t="shared" si="75"/>
        <v>1.3327274271410152</v>
      </c>
      <c r="U145" s="227">
        <f t="shared" si="76"/>
        <v>879218.77632989909</v>
      </c>
      <c r="V145" s="227">
        <f t="shared" si="77"/>
        <v>1171758.9776722181</v>
      </c>
      <c r="W145" s="221" t="s">
        <v>721</v>
      </c>
      <c r="X145" s="221" t="s">
        <v>621</v>
      </c>
      <c r="Y145" s="229">
        <f>SUMIFS(Cert_App_Output!$G:$G,Cert_App_Output!$E:$E,$E145,Cert_App_Output!$K:$K,$X145)</f>
        <v>0.55499999999999994</v>
      </c>
    </row>
    <row r="146" spans="1:25" x14ac:dyDescent="0.35">
      <c r="A146" s="221" t="s">
        <v>416</v>
      </c>
      <c r="B146" s="221" t="s">
        <v>573</v>
      </c>
      <c r="C146" s="221" t="s">
        <v>420</v>
      </c>
      <c r="D146" s="221" t="s">
        <v>573</v>
      </c>
      <c r="E146" s="221">
        <v>18.05</v>
      </c>
      <c r="F146" s="221" t="s">
        <v>574</v>
      </c>
      <c r="G146" s="221" t="s">
        <v>726</v>
      </c>
      <c r="H146" s="221" t="s">
        <v>600</v>
      </c>
      <c r="I146" s="225">
        <v>1</v>
      </c>
      <c r="J146" s="226">
        <v>17867.355495</v>
      </c>
      <c r="K146" s="226">
        <v>35416.5</v>
      </c>
      <c r="L146" s="226">
        <v>0</v>
      </c>
      <c r="M146" s="226">
        <v>1667.3180256186999</v>
      </c>
      <c r="N146" s="227">
        <f t="shared" si="70"/>
        <v>54951.173520618693</v>
      </c>
      <c r="O146" s="227">
        <f t="shared" si="71"/>
        <v>23812.314718665228</v>
      </c>
      <c r="P146" s="227">
        <f t="shared" si="72"/>
        <v>47200.540923339759</v>
      </c>
      <c r="Q146" s="227">
        <f t="shared" si="73"/>
        <v>0</v>
      </c>
      <c r="R146" s="227">
        <f t="shared" si="74"/>
        <v>2222.0804625086475</v>
      </c>
      <c r="S146" s="226">
        <v>73234.936104513632</v>
      </c>
      <c r="T146" s="228">
        <f t="shared" si="75"/>
        <v>1.3327274271410152</v>
      </c>
      <c r="U146" s="227">
        <f t="shared" si="76"/>
        <v>54951.173520618693</v>
      </c>
      <c r="V146" s="227">
        <f t="shared" si="77"/>
        <v>73234.936104513632</v>
      </c>
      <c r="W146" s="221" t="s">
        <v>721</v>
      </c>
      <c r="X146" s="221" t="s">
        <v>621</v>
      </c>
      <c r="Y146" s="229">
        <f>SUMIFS(Cert_App_Output!$G:$G,Cert_App_Output!$E:$E,$E146,Cert_App_Output!$K:$K,$X146)</f>
        <v>0.4</v>
      </c>
    </row>
    <row r="147" spans="1:25" x14ac:dyDescent="0.35">
      <c r="A147" s="221" t="s">
        <v>416</v>
      </c>
      <c r="B147" s="221" t="s">
        <v>573</v>
      </c>
      <c r="C147" s="221" t="s">
        <v>420</v>
      </c>
      <c r="D147" s="221" t="s">
        <v>573</v>
      </c>
      <c r="E147" s="221">
        <v>18.059999999999999</v>
      </c>
      <c r="F147" s="221" t="s">
        <v>574</v>
      </c>
      <c r="G147" s="221" t="s">
        <v>727</v>
      </c>
      <c r="H147" s="221" t="s">
        <v>600</v>
      </c>
      <c r="I147" s="225">
        <v>24</v>
      </c>
      <c r="J147" s="226">
        <v>17867.355495</v>
      </c>
      <c r="K147" s="226">
        <v>35416.5</v>
      </c>
      <c r="L147" s="226">
        <v>0</v>
      </c>
      <c r="M147" s="226">
        <v>1667.3180256186999</v>
      </c>
      <c r="N147" s="227">
        <f t="shared" si="70"/>
        <v>54951.173520618693</v>
      </c>
      <c r="O147" s="227">
        <f t="shared" si="71"/>
        <v>23812.314718665228</v>
      </c>
      <c r="P147" s="227">
        <f t="shared" si="72"/>
        <v>47200.540923339759</v>
      </c>
      <c r="Q147" s="227">
        <f t="shared" si="73"/>
        <v>0</v>
      </c>
      <c r="R147" s="227">
        <f t="shared" si="74"/>
        <v>2222.0804625086475</v>
      </c>
      <c r="S147" s="226">
        <v>73234.936104513632</v>
      </c>
      <c r="T147" s="228">
        <f t="shared" si="75"/>
        <v>1.3327274271410152</v>
      </c>
      <c r="U147" s="227">
        <f t="shared" si="76"/>
        <v>1318828.1644948486</v>
      </c>
      <c r="V147" s="227">
        <f t="shared" si="77"/>
        <v>1757638.4665083271</v>
      </c>
      <c r="W147" s="221" t="s">
        <v>721</v>
      </c>
      <c r="X147" s="221" t="s">
        <v>621</v>
      </c>
      <c r="Y147" s="229">
        <f>SUMIFS(Cert_App_Output!$G:$G,Cert_App_Output!$E:$E,$E147,Cert_App_Output!$K:$K,$X147)</f>
        <v>0.5</v>
      </c>
    </row>
    <row r="148" spans="1:25" x14ac:dyDescent="0.35">
      <c r="A148" s="221" t="s">
        <v>416</v>
      </c>
      <c r="B148" s="221" t="s">
        <v>573</v>
      </c>
      <c r="C148" s="221" t="s">
        <v>420</v>
      </c>
      <c r="D148" s="221" t="s">
        <v>573</v>
      </c>
      <c r="E148" s="221">
        <v>18.07</v>
      </c>
      <c r="F148" s="221" t="s">
        <v>574</v>
      </c>
      <c r="G148" s="221" t="s">
        <v>728</v>
      </c>
      <c r="H148" s="221" t="s">
        <v>600</v>
      </c>
      <c r="I148" s="225">
        <v>226</v>
      </c>
      <c r="J148" s="226">
        <v>14804.6642249</v>
      </c>
      <c r="K148" s="226">
        <v>35416.5</v>
      </c>
      <c r="L148" s="226">
        <v>0</v>
      </c>
      <c r="M148" s="226">
        <v>1667.318025618699</v>
      </c>
      <c r="N148" s="227">
        <f t="shared" si="70"/>
        <v>51888.482250518697</v>
      </c>
      <c r="O148" s="227">
        <f t="shared" si="71"/>
        <v>19730.582062137608</v>
      </c>
      <c r="P148" s="227">
        <f t="shared" si="72"/>
        <v>47200.540923339766</v>
      </c>
      <c r="Q148" s="227">
        <f t="shared" si="73"/>
        <v>0</v>
      </c>
      <c r="R148" s="227">
        <f t="shared" si="74"/>
        <v>2222.0804625086462</v>
      </c>
      <c r="S148" s="226">
        <v>69153.203447986016</v>
      </c>
      <c r="T148" s="228">
        <f t="shared" si="75"/>
        <v>1.3327274271410152</v>
      </c>
      <c r="U148" s="227">
        <f t="shared" si="76"/>
        <v>11726796.988617225</v>
      </c>
      <c r="V148" s="227">
        <f t="shared" si="77"/>
        <v>15628623.979244839</v>
      </c>
      <c r="W148" s="221" t="s">
        <v>721</v>
      </c>
      <c r="X148" s="221" t="s">
        <v>621</v>
      </c>
      <c r="Y148" s="229">
        <f>SUMIFS(Cert_App_Output!$G:$G,Cert_App_Output!$E:$E,$E148,Cert_App_Output!$K:$K,$X148)</f>
        <v>0.55300000000000005</v>
      </c>
    </row>
    <row r="149" spans="1:25" x14ac:dyDescent="0.35">
      <c r="A149" s="221" t="s">
        <v>416</v>
      </c>
      <c r="B149" s="221" t="s">
        <v>573</v>
      </c>
      <c r="C149" s="221" t="s">
        <v>420</v>
      </c>
      <c r="D149" s="221" t="s">
        <v>573</v>
      </c>
      <c r="E149" s="221">
        <v>18.079999999999998</v>
      </c>
      <c r="F149" s="221" t="s">
        <v>574</v>
      </c>
      <c r="G149" s="221" t="s">
        <v>729</v>
      </c>
      <c r="H149" s="221" t="s">
        <v>600</v>
      </c>
      <c r="I149" s="225">
        <v>32</v>
      </c>
      <c r="J149" s="226">
        <v>34429.494879999998</v>
      </c>
      <c r="K149" s="226">
        <v>35416.5</v>
      </c>
      <c r="L149" s="226">
        <v>0</v>
      </c>
      <c r="M149" s="226">
        <v>1667.3180256186999</v>
      </c>
      <c r="N149" s="227">
        <f t="shared" si="70"/>
        <v>71513.312905618703</v>
      </c>
      <c r="O149" s="227">
        <f t="shared" si="71"/>
        <v>45885.13212918715</v>
      </c>
      <c r="P149" s="227">
        <f t="shared" si="72"/>
        <v>47200.540923339766</v>
      </c>
      <c r="Q149" s="227">
        <f t="shared" si="73"/>
        <v>0</v>
      </c>
      <c r="R149" s="227">
        <f t="shared" si="74"/>
        <v>2222.0804625086471</v>
      </c>
      <c r="S149" s="226">
        <v>95307.753515035569</v>
      </c>
      <c r="T149" s="228">
        <f t="shared" si="75"/>
        <v>1.3327274271410152</v>
      </c>
      <c r="U149" s="227">
        <f t="shared" si="76"/>
        <v>2288426.0129797985</v>
      </c>
      <c r="V149" s="227">
        <f t="shared" si="77"/>
        <v>3049848.1124811382</v>
      </c>
      <c r="W149" s="221" t="s">
        <v>721</v>
      </c>
      <c r="X149" s="221" t="s">
        <v>621</v>
      </c>
      <c r="Y149" s="229">
        <f>SUMIFS(Cert_App_Output!$G:$G,Cert_App_Output!$E:$E,$E149,Cert_App_Output!$K:$K,$X149)</f>
        <v>0.55000000000000004</v>
      </c>
    </row>
    <row r="150" spans="1:25" x14ac:dyDescent="0.35">
      <c r="A150" s="221" t="s">
        <v>416</v>
      </c>
      <c r="B150" s="221" t="s">
        <v>573</v>
      </c>
      <c r="C150" s="221" t="s">
        <v>420</v>
      </c>
      <c r="D150" s="221" t="s">
        <v>573</v>
      </c>
      <c r="E150" s="221">
        <v>18.09</v>
      </c>
      <c r="F150" s="221" t="s">
        <v>574</v>
      </c>
      <c r="G150" s="221" t="s">
        <v>730</v>
      </c>
      <c r="H150" s="221" t="s">
        <v>600</v>
      </c>
      <c r="I150" s="225">
        <v>8</v>
      </c>
      <c r="J150" s="226">
        <v>14804.6642249</v>
      </c>
      <c r="K150" s="226">
        <v>35416.5</v>
      </c>
      <c r="L150" s="226">
        <v>0</v>
      </c>
      <c r="M150" s="226">
        <v>1667.3180256186999</v>
      </c>
      <c r="N150" s="227">
        <f t="shared" si="70"/>
        <v>51888.482250518697</v>
      </c>
      <c r="O150" s="227">
        <f t="shared" si="71"/>
        <v>19730.582062137608</v>
      </c>
      <c r="P150" s="227">
        <f t="shared" si="72"/>
        <v>47200.540923339766</v>
      </c>
      <c r="Q150" s="227">
        <f t="shared" si="73"/>
        <v>0</v>
      </c>
      <c r="R150" s="227">
        <f t="shared" si="74"/>
        <v>2222.0804625086471</v>
      </c>
      <c r="S150" s="226">
        <v>69153.203447986016</v>
      </c>
      <c r="T150" s="228">
        <f t="shared" si="75"/>
        <v>1.3327274271410152</v>
      </c>
      <c r="U150" s="227">
        <f t="shared" si="76"/>
        <v>415107.85800414957</v>
      </c>
      <c r="V150" s="227">
        <f t="shared" si="77"/>
        <v>553225.62758388813</v>
      </c>
      <c r="W150" s="221" t="s">
        <v>721</v>
      </c>
      <c r="X150" s="221" t="s">
        <v>621</v>
      </c>
      <c r="Y150" s="229">
        <f>SUMIFS(Cert_App_Output!$G:$G,Cert_App_Output!$E:$E,$E150,Cert_App_Output!$K:$K,$X150)</f>
        <v>0</v>
      </c>
    </row>
    <row r="151" spans="1:25" x14ac:dyDescent="0.35">
      <c r="A151" s="221" t="s">
        <v>416</v>
      </c>
      <c r="B151" s="221" t="s">
        <v>573</v>
      </c>
      <c r="C151" s="221" t="s">
        <v>420</v>
      </c>
      <c r="D151" s="221" t="s">
        <v>573</v>
      </c>
      <c r="E151" s="221">
        <v>18.100000000000001</v>
      </c>
      <c r="F151" s="221" t="s">
        <v>574</v>
      </c>
      <c r="G151" s="221" t="s">
        <v>731</v>
      </c>
      <c r="H151" s="221" t="s">
        <v>600</v>
      </c>
      <c r="I151" s="225">
        <v>8</v>
      </c>
      <c r="J151" s="226">
        <v>14804.6642249</v>
      </c>
      <c r="K151" s="226">
        <v>35416.5</v>
      </c>
      <c r="L151" s="226">
        <v>0</v>
      </c>
      <c r="M151" s="226">
        <v>1667.3180256186999</v>
      </c>
      <c r="N151" s="227">
        <f t="shared" si="70"/>
        <v>51888.482250518697</v>
      </c>
      <c r="O151" s="227">
        <f t="shared" si="71"/>
        <v>19730.582062137608</v>
      </c>
      <c r="P151" s="227">
        <f t="shared" si="72"/>
        <v>47200.540923339766</v>
      </c>
      <c r="Q151" s="227">
        <f t="shared" si="73"/>
        <v>0</v>
      </c>
      <c r="R151" s="227">
        <f t="shared" si="74"/>
        <v>2222.0804625086471</v>
      </c>
      <c r="S151" s="226">
        <v>69153.203447986016</v>
      </c>
      <c r="T151" s="228">
        <f t="shared" si="75"/>
        <v>1.3327274271410152</v>
      </c>
      <c r="U151" s="227">
        <f t="shared" si="76"/>
        <v>415107.85800414957</v>
      </c>
      <c r="V151" s="227">
        <f t="shared" si="77"/>
        <v>553225.62758388813</v>
      </c>
      <c r="W151" s="221" t="s">
        <v>721</v>
      </c>
      <c r="X151" s="221" t="s">
        <v>621</v>
      </c>
      <c r="Y151" s="229">
        <f>SUMIFS(Cert_App_Output!$G:$G,Cert_App_Output!$E:$E,$E151,Cert_App_Output!$K:$K,$X151)</f>
        <v>0.45</v>
      </c>
    </row>
    <row r="152" spans="1:25" x14ac:dyDescent="0.35">
      <c r="A152" s="221" t="s">
        <v>416</v>
      </c>
      <c r="B152" s="221" t="s">
        <v>573</v>
      </c>
      <c r="C152" s="221" t="s">
        <v>420</v>
      </c>
      <c r="D152" s="221" t="s">
        <v>573</v>
      </c>
      <c r="E152" s="221">
        <v>18.11</v>
      </c>
      <c r="F152" s="221" t="s">
        <v>574</v>
      </c>
      <c r="G152" s="221" t="s">
        <v>732</v>
      </c>
      <c r="H152" s="221" t="s">
        <v>600</v>
      </c>
      <c r="I152" s="225">
        <v>26</v>
      </c>
      <c r="J152" s="226">
        <v>12087.90438625</v>
      </c>
      <c r="K152" s="226">
        <v>24807.3</v>
      </c>
      <c r="L152" s="226">
        <v>0</v>
      </c>
      <c r="M152" s="226">
        <v>1083.756716652154</v>
      </c>
      <c r="N152" s="227">
        <f t="shared" si="70"/>
        <v>37978.961102902154</v>
      </c>
      <c r="O152" s="227">
        <f t="shared" si="71"/>
        <v>16109.881712213553</v>
      </c>
      <c r="P152" s="227">
        <f t="shared" si="72"/>
        <v>33061.369103315308</v>
      </c>
      <c r="Q152" s="227">
        <f t="shared" si="73"/>
        <v>0</v>
      </c>
      <c r="R152" s="227">
        <f t="shared" si="74"/>
        <v>1444.3523006306193</v>
      </c>
      <c r="S152" s="226">
        <v>50615.60311615948</v>
      </c>
      <c r="T152" s="228">
        <f t="shared" si="75"/>
        <v>1.3327274271410152</v>
      </c>
      <c r="U152" s="227">
        <f t="shared" si="76"/>
        <v>987452.98867545603</v>
      </c>
      <c r="V152" s="227">
        <f t="shared" si="77"/>
        <v>1316005.6810201465</v>
      </c>
      <c r="W152" s="221" t="s">
        <v>721</v>
      </c>
      <c r="X152" s="221" t="s">
        <v>621</v>
      </c>
      <c r="Y152" s="229">
        <f>SUMIFS(Cert_App_Output!$G:$G,Cert_App_Output!$E:$E,$E152,Cert_App_Output!$K:$K,$X152)</f>
        <v>0</v>
      </c>
    </row>
    <row r="153" spans="1:25" x14ac:dyDescent="0.35">
      <c r="A153" s="221" t="s">
        <v>416</v>
      </c>
      <c r="B153" s="221" t="s">
        <v>573</v>
      </c>
      <c r="C153" s="221" t="s">
        <v>420</v>
      </c>
      <c r="D153" s="221" t="s">
        <v>573</v>
      </c>
      <c r="E153" s="221">
        <v>18.12</v>
      </c>
      <c r="F153" s="221" t="s">
        <v>574</v>
      </c>
      <c r="G153" s="221" t="s">
        <v>733</v>
      </c>
      <c r="H153" s="221" t="s">
        <v>600</v>
      </c>
      <c r="I153" s="225">
        <v>27</v>
      </c>
      <c r="J153" s="226">
        <v>12087.90438625</v>
      </c>
      <c r="K153" s="226">
        <v>24807.3</v>
      </c>
      <c r="L153" s="226">
        <v>0</v>
      </c>
      <c r="M153" s="226">
        <v>1083.756716652156</v>
      </c>
      <c r="N153" s="227">
        <f t="shared" si="70"/>
        <v>37978.961102902154</v>
      </c>
      <c r="O153" s="227">
        <f t="shared" si="71"/>
        <v>16109.881712213553</v>
      </c>
      <c r="P153" s="227">
        <f t="shared" si="72"/>
        <v>33061.369103315308</v>
      </c>
      <c r="Q153" s="227">
        <f t="shared" si="73"/>
        <v>0</v>
      </c>
      <c r="R153" s="227">
        <f t="shared" si="74"/>
        <v>1444.352300630622</v>
      </c>
      <c r="S153" s="226">
        <v>50615.60311615948</v>
      </c>
      <c r="T153" s="228">
        <f t="shared" si="75"/>
        <v>1.3327274271410152</v>
      </c>
      <c r="U153" s="227">
        <f t="shared" si="76"/>
        <v>1025431.9497783582</v>
      </c>
      <c r="V153" s="227">
        <f t="shared" si="77"/>
        <v>1366621.284136306</v>
      </c>
      <c r="W153" s="221" t="s">
        <v>721</v>
      </c>
      <c r="X153" s="221" t="s">
        <v>621</v>
      </c>
      <c r="Y153" s="229">
        <f>SUMIFS(Cert_App_Output!$G:$G,Cert_App_Output!$E:$E,$E153,Cert_App_Output!$K:$K,$X153)</f>
        <v>0.65000000000000013</v>
      </c>
    </row>
    <row r="154" spans="1:25" x14ac:dyDescent="0.35">
      <c r="A154" s="221" t="s">
        <v>416</v>
      </c>
      <c r="B154" s="221" t="s">
        <v>573</v>
      </c>
      <c r="C154" s="221" t="s">
        <v>420</v>
      </c>
      <c r="D154" s="221" t="s">
        <v>573</v>
      </c>
      <c r="E154" s="221">
        <v>18.13</v>
      </c>
      <c r="F154" s="221" t="s">
        <v>574</v>
      </c>
      <c r="G154" s="221" t="s">
        <v>734</v>
      </c>
      <c r="H154" s="221" t="s">
        <v>600</v>
      </c>
      <c r="I154" s="225">
        <v>9</v>
      </c>
      <c r="J154" s="226">
        <v>12087.90438625</v>
      </c>
      <c r="K154" s="226">
        <v>24807.3</v>
      </c>
      <c r="L154" s="226">
        <v>0</v>
      </c>
      <c r="M154" s="226">
        <v>1083.756716652154</v>
      </c>
      <c r="N154" s="227">
        <f t="shared" si="70"/>
        <v>37978.961102902154</v>
      </c>
      <c r="O154" s="227">
        <f t="shared" si="71"/>
        <v>16109.881712213553</v>
      </c>
      <c r="P154" s="227">
        <f t="shared" si="72"/>
        <v>33061.369103315308</v>
      </c>
      <c r="Q154" s="227">
        <f t="shared" si="73"/>
        <v>0</v>
      </c>
      <c r="R154" s="227">
        <f t="shared" si="74"/>
        <v>1444.3523006306193</v>
      </c>
      <c r="S154" s="226">
        <v>50615.60311615948</v>
      </c>
      <c r="T154" s="228">
        <f t="shared" si="75"/>
        <v>1.3327274271410152</v>
      </c>
      <c r="U154" s="227">
        <f t="shared" si="76"/>
        <v>341810.64992611937</v>
      </c>
      <c r="V154" s="227">
        <f t="shared" si="77"/>
        <v>455540.42804543534</v>
      </c>
      <c r="W154" s="221" t="s">
        <v>721</v>
      </c>
      <c r="X154" s="221" t="s">
        <v>621</v>
      </c>
      <c r="Y154" s="229">
        <f>SUMIFS(Cert_App_Output!$G:$G,Cert_App_Output!$E:$E,$E154,Cert_App_Output!$K:$K,$X154)</f>
        <v>0</v>
      </c>
    </row>
    <row r="155" spans="1:25" x14ac:dyDescent="0.35">
      <c r="A155" s="221" t="s">
        <v>416</v>
      </c>
      <c r="B155" s="221" t="s">
        <v>573</v>
      </c>
      <c r="C155" s="221" t="s">
        <v>420</v>
      </c>
      <c r="D155" s="221" t="s">
        <v>573</v>
      </c>
      <c r="E155" s="221">
        <v>18.14</v>
      </c>
      <c r="F155" s="221" t="s">
        <v>574</v>
      </c>
      <c r="G155" s="221" t="s">
        <v>735</v>
      </c>
      <c r="H155" s="221" t="s">
        <v>600</v>
      </c>
      <c r="I155" s="225">
        <v>29</v>
      </c>
      <c r="J155" s="226">
        <v>12087.90438625</v>
      </c>
      <c r="K155" s="226">
        <v>24807.3</v>
      </c>
      <c r="L155" s="226">
        <v>0</v>
      </c>
      <c r="M155" s="226">
        <v>1083.7567166521551</v>
      </c>
      <c r="N155" s="227">
        <f t="shared" si="70"/>
        <v>37978.961102902154</v>
      </c>
      <c r="O155" s="227">
        <f t="shared" si="71"/>
        <v>16109.881712213553</v>
      </c>
      <c r="P155" s="227">
        <f t="shared" si="72"/>
        <v>33061.369103315308</v>
      </c>
      <c r="Q155" s="227">
        <f t="shared" si="73"/>
        <v>0</v>
      </c>
      <c r="R155" s="227">
        <f t="shared" si="74"/>
        <v>1444.3523006306209</v>
      </c>
      <c r="S155" s="226">
        <v>50615.60311615948</v>
      </c>
      <c r="T155" s="228">
        <f t="shared" si="75"/>
        <v>1.3327274271410152</v>
      </c>
      <c r="U155" s="227">
        <f t="shared" si="76"/>
        <v>1101389.8719841624</v>
      </c>
      <c r="V155" s="227">
        <f t="shared" si="77"/>
        <v>1467852.4903686249</v>
      </c>
      <c r="W155" s="221" t="s">
        <v>721</v>
      </c>
      <c r="X155" s="221" t="s">
        <v>621</v>
      </c>
      <c r="Y155" s="229">
        <f>SUMIFS(Cert_App_Output!$G:$G,Cert_App_Output!$E:$E,$E155,Cert_App_Output!$K:$K,$X155)</f>
        <v>0.65000000000000013</v>
      </c>
    </row>
    <row r="156" spans="1:25" x14ac:dyDescent="0.35">
      <c r="A156" s="221" t="s">
        <v>416</v>
      </c>
      <c r="B156" s="221" t="s">
        <v>573</v>
      </c>
      <c r="C156" s="221" t="s">
        <v>420</v>
      </c>
      <c r="D156" s="221" t="s">
        <v>573</v>
      </c>
      <c r="E156" s="221">
        <v>18.149999999999999</v>
      </c>
      <c r="F156" s="221" t="s">
        <v>574</v>
      </c>
      <c r="G156" s="221" t="s">
        <v>736</v>
      </c>
      <c r="H156" s="221" t="s">
        <v>600</v>
      </c>
      <c r="I156" s="225">
        <v>3</v>
      </c>
      <c r="J156" s="226">
        <v>12087.90438625</v>
      </c>
      <c r="K156" s="226">
        <v>24807.3</v>
      </c>
      <c r="L156" s="226">
        <v>0</v>
      </c>
      <c r="M156" s="226">
        <v>1083.7567166521569</v>
      </c>
      <c r="N156" s="227">
        <f t="shared" si="70"/>
        <v>37978.961102902154</v>
      </c>
      <c r="O156" s="227">
        <f t="shared" si="71"/>
        <v>16109.881712213553</v>
      </c>
      <c r="P156" s="227">
        <f t="shared" si="72"/>
        <v>33061.369103315308</v>
      </c>
      <c r="Q156" s="227">
        <f t="shared" si="73"/>
        <v>0</v>
      </c>
      <c r="R156" s="227">
        <f t="shared" si="74"/>
        <v>1444.3523006306232</v>
      </c>
      <c r="S156" s="226">
        <v>50615.60311615948</v>
      </c>
      <c r="T156" s="228">
        <f t="shared" si="75"/>
        <v>1.3327274271410152</v>
      </c>
      <c r="U156" s="227">
        <f t="shared" si="76"/>
        <v>113936.88330870646</v>
      </c>
      <c r="V156" s="227">
        <f t="shared" si="77"/>
        <v>151846.80934847845</v>
      </c>
      <c r="W156" s="221" t="s">
        <v>721</v>
      </c>
      <c r="X156" s="221" t="s">
        <v>621</v>
      </c>
      <c r="Y156" s="229">
        <f>SUMIFS(Cert_App_Output!$G:$G,Cert_App_Output!$E:$E,$E156,Cert_App_Output!$K:$K,$X156)</f>
        <v>0.4</v>
      </c>
    </row>
    <row r="157" spans="1:25" x14ac:dyDescent="0.35">
      <c r="A157" s="221" t="s">
        <v>416</v>
      </c>
      <c r="B157" s="221" t="s">
        <v>573</v>
      </c>
      <c r="C157" s="221" t="s">
        <v>420</v>
      </c>
      <c r="D157" s="221" t="s">
        <v>573</v>
      </c>
      <c r="E157" s="221">
        <v>18.16</v>
      </c>
      <c r="F157" s="221" t="s">
        <v>574</v>
      </c>
      <c r="G157" s="221" t="s">
        <v>737</v>
      </c>
      <c r="H157" s="221" t="s">
        <v>600</v>
      </c>
      <c r="I157" s="225">
        <v>1</v>
      </c>
      <c r="J157" s="226">
        <v>1310987.02036364</v>
      </c>
      <c r="K157" s="226">
        <v>349202.7</v>
      </c>
      <c r="L157" s="226">
        <v>0</v>
      </c>
      <c r="M157" s="226">
        <v>24902.845805454501</v>
      </c>
      <c r="N157" s="227">
        <f t="shared" si="70"/>
        <v>1685092.5661690945</v>
      </c>
      <c r="O157" s="227">
        <f t="shared" si="71"/>
        <v>1747188.3586644994</v>
      </c>
      <c r="P157" s="227">
        <f t="shared" si="72"/>
        <v>465392.01592169574</v>
      </c>
      <c r="Q157" s="227">
        <f t="shared" si="73"/>
        <v>0</v>
      </c>
      <c r="R157" s="227">
        <f t="shared" si="74"/>
        <v>33188.705618792796</v>
      </c>
      <c r="S157" s="226">
        <v>2245769.0802049879</v>
      </c>
      <c r="T157" s="228">
        <f t="shared" si="75"/>
        <v>1.332727427141015</v>
      </c>
      <c r="U157" s="227">
        <f t="shared" si="76"/>
        <v>1685092.5661690945</v>
      </c>
      <c r="V157" s="227">
        <f t="shared" si="77"/>
        <v>2245769.0802049879</v>
      </c>
      <c r="W157" s="221" t="s">
        <v>721</v>
      </c>
      <c r="X157" s="221" t="s">
        <v>621</v>
      </c>
      <c r="Y157" s="229">
        <f>SUMIFS(Cert_App_Output!$G:$G,Cert_App_Output!$E:$E,$E157,Cert_App_Output!$K:$K,$X157)</f>
        <v>0</v>
      </c>
    </row>
    <row r="158" spans="1:25" x14ac:dyDescent="0.35">
      <c r="A158" s="221" t="s">
        <v>416</v>
      </c>
      <c r="B158" s="221" t="s">
        <v>573</v>
      </c>
      <c r="C158" s="221" t="s">
        <v>420</v>
      </c>
      <c r="D158" s="221" t="s">
        <v>573</v>
      </c>
      <c r="E158" s="221">
        <v>18.170000000000002</v>
      </c>
      <c r="F158" s="221" t="s">
        <v>574</v>
      </c>
      <c r="G158" s="221" t="s">
        <v>738</v>
      </c>
      <c r="H158" s="221" t="s">
        <v>600</v>
      </c>
      <c r="I158" s="225">
        <v>1</v>
      </c>
      <c r="J158" s="226">
        <v>592217.14204958698</v>
      </c>
      <c r="K158" s="226">
        <v>232812.45</v>
      </c>
      <c r="L158" s="226">
        <v>0</v>
      </c>
      <c r="M158" s="226">
        <v>12375.4438807438</v>
      </c>
      <c r="N158" s="227">
        <f t="shared" si="70"/>
        <v>837405.03593033087</v>
      </c>
      <c r="O158" s="227">
        <f t="shared" si="71"/>
        <v>789264.02803255105</v>
      </c>
      <c r="P158" s="227">
        <f t="shared" si="72"/>
        <v>310275.53749489621</v>
      </c>
      <c r="Q158" s="227">
        <f t="shared" si="73"/>
        <v>0</v>
      </c>
      <c r="R158" s="227">
        <f t="shared" si="74"/>
        <v>16493.093482911703</v>
      </c>
      <c r="S158" s="226">
        <v>1116032.6590103591</v>
      </c>
      <c r="T158" s="228">
        <f t="shared" si="75"/>
        <v>1.332727427141015</v>
      </c>
      <c r="U158" s="227">
        <f t="shared" si="76"/>
        <v>837405.03593033087</v>
      </c>
      <c r="V158" s="227">
        <f t="shared" si="77"/>
        <v>1116032.6590103591</v>
      </c>
      <c r="W158" s="221" t="s">
        <v>721</v>
      </c>
      <c r="X158" s="221" t="s">
        <v>621</v>
      </c>
      <c r="Y158" s="229">
        <f>SUMIFS(Cert_App_Output!$G:$G,Cert_App_Output!$E:$E,$E158,Cert_App_Output!$K:$K,$X158)</f>
        <v>0</v>
      </c>
    </row>
    <row r="159" spans="1:25" x14ac:dyDescent="0.35">
      <c r="A159" s="221" t="s">
        <v>416</v>
      </c>
      <c r="B159" s="221" t="s">
        <v>573</v>
      </c>
      <c r="C159" s="221" t="s">
        <v>420</v>
      </c>
      <c r="D159" s="221" t="s">
        <v>573</v>
      </c>
      <c r="E159" s="221">
        <v>18.18</v>
      </c>
      <c r="F159" s="221" t="s">
        <v>574</v>
      </c>
      <c r="G159" s="221" t="s">
        <v>739</v>
      </c>
      <c r="H159" s="221" t="s">
        <v>600</v>
      </c>
      <c r="I159" s="225">
        <v>2</v>
      </c>
      <c r="J159" s="226">
        <v>159726.77404958699</v>
      </c>
      <c r="K159" s="226">
        <v>232812.45</v>
      </c>
      <c r="L159" s="226">
        <v>0</v>
      </c>
      <c r="M159" s="226">
        <v>5888.0883607438</v>
      </c>
      <c r="N159" s="227">
        <f t="shared" si="70"/>
        <v>398427.31241033081</v>
      </c>
      <c r="O159" s="227">
        <f t="shared" si="71"/>
        <v>212872.25262464036</v>
      </c>
      <c r="P159" s="227">
        <f t="shared" si="72"/>
        <v>310275.53749489627</v>
      </c>
      <c r="Q159" s="227">
        <f t="shared" si="73"/>
        <v>0</v>
      </c>
      <c r="R159" s="227">
        <f t="shared" si="74"/>
        <v>7847.2168517930431</v>
      </c>
      <c r="S159" s="226">
        <v>530995.00697132968</v>
      </c>
      <c r="T159" s="228">
        <f t="shared" si="75"/>
        <v>1.3327274271410152</v>
      </c>
      <c r="U159" s="227">
        <f t="shared" si="76"/>
        <v>796854.62482066161</v>
      </c>
      <c r="V159" s="227">
        <f t="shared" si="77"/>
        <v>1061990.0139426594</v>
      </c>
      <c r="W159" s="221" t="s">
        <v>721</v>
      </c>
      <c r="X159" s="221" t="s">
        <v>621</v>
      </c>
      <c r="Y159" s="229">
        <f>SUMIFS(Cert_App_Output!$G:$G,Cert_App_Output!$E:$E,$E159,Cert_App_Output!$K:$K,$X159)</f>
        <v>0</v>
      </c>
    </row>
    <row r="160" spans="1:25" x14ac:dyDescent="0.35">
      <c r="A160" s="221" t="s">
        <v>416</v>
      </c>
      <c r="B160" s="221" t="s">
        <v>573</v>
      </c>
      <c r="C160" s="221" t="s">
        <v>420</v>
      </c>
      <c r="D160" s="221" t="s">
        <v>573</v>
      </c>
      <c r="E160" s="221">
        <v>18.190000000000001</v>
      </c>
      <c r="F160" s="221" t="s">
        <v>574</v>
      </c>
      <c r="G160" s="221" t="s">
        <v>740</v>
      </c>
      <c r="H160" s="221" t="s">
        <v>600</v>
      </c>
      <c r="I160" s="225">
        <v>9</v>
      </c>
      <c r="J160" s="226">
        <v>207344.83199999999</v>
      </c>
      <c r="K160" s="226">
        <v>232812.45</v>
      </c>
      <c r="L160" s="226">
        <v>0</v>
      </c>
      <c r="M160" s="226">
        <v>6602.35923</v>
      </c>
      <c r="N160" s="227">
        <f t="shared" si="70"/>
        <v>446759.64123000001</v>
      </c>
      <c r="O160" s="227">
        <f t="shared" si="71"/>
        <v>276334.14448234602</v>
      </c>
      <c r="P160" s="227">
        <f t="shared" si="72"/>
        <v>310275.53749489627</v>
      </c>
      <c r="Q160" s="227">
        <f t="shared" si="73"/>
        <v>0</v>
      </c>
      <c r="R160" s="227">
        <f t="shared" si="74"/>
        <v>8799.145229658634</v>
      </c>
      <c r="S160" s="226">
        <v>595408.82720690093</v>
      </c>
      <c r="T160" s="228">
        <f t="shared" si="75"/>
        <v>1.3327274271410152</v>
      </c>
      <c r="U160" s="227">
        <f t="shared" si="76"/>
        <v>4020836.7710700002</v>
      </c>
      <c r="V160" s="227">
        <f t="shared" si="77"/>
        <v>5358679.4448621087</v>
      </c>
      <c r="W160" s="221" t="s">
        <v>721</v>
      </c>
      <c r="X160" s="221" t="s">
        <v>621</v>
      </c>
      <c r="Y160" s="229">
        <f>SUMIFS(Cert_App_Output!$G:$G,Cert_App_Output!$E:$E,$E160,Cert_App_Output!$K:$K,$X160)</f>
        <v>0.35000000000000003</v>
      </c>
    </row>
    <row r="161" spans="1:25" x14ac:dyDescent="0.35">
      <c r="A161" s="221" t="s">
        <v>416</v>
      </c>
      <c r="B161" s="221" t="s">
        <v>573</v>
      </c>
      <c r="C161" s="221" t="s">
        <v>573</v>
      </c>
      <c r="D161" s="221" t="s">
        <v>420</v>
      </c>
      <c r="E161" s="221">
        <v>18.2</v>
      </c>
      <c r="F161" s="221" t="s">
        <v>574</v>
      </c>
      <c r="G161" s="221" t="s">
        <v>741</v>
      </c>
      <c r="H161" s="221" t="s">
        <v>576</v>
      </c>
      <c r="I161" s="225">
        <v>1</v>
      </c>
      <c r="J161" s="226">
        <v>3200954.2587479302</v>
      </c>
      <c r="K161" s="226">
        <v>0</v>
      </c>
      <c r="L161" s="226">
        <v>1514201.6879314401</v>
      </c>
      <c r="M161" s="226">
        <v>70727.339200190603</v>
      </c>
      <c r="N161" s="227">
        <f t="shared" si="70"/>
        <v>4785883.2858795607</v>
      </c>
      <c r="O161" s="227">
        <f t="shared" si="71"/>
        <v>4265999.5336572034</v>
      </c>
      <c r="P161" s="227">
        <f t="shared" si="72"/>
        <v>0</v>
      </c>
      <c r="Q161" s="227">
        <f t="shared" si="73"/>
        <v>2018018.1197294504</v>
      </c>
      <c r="R161" s="227">
        <f t="shared" si="74"/>
        <v>94260.26480079988</v>
      </c>
      <c r="S161" s="226">
        <v>6378277.9181874543</v>
      </c>
      <c r="T161" s="228">
        <f t="shared" si="75"/>
        <v>1.3327274271410152</v>
      </c>
      <c r="U161" s="227">
        <f t="shared" si="76"/>
        <v>4785883.2858795607</v>
      </c>
      <c r="V161" s="227">
        <f t="shared" si="77"/>
        <v>6378277.9181874543</v>
      </c>
      <c r="W161" s="221" t="s">
        <v>721</v>
      </c>
      <c r="X161" s="221" t="s">
        <v>621</v>
      </c>
      <c r="Y161" s="229">
        <f>SUMIFS(Cert_App_Output!$G:$G,Cert_App_Output!$E:$E,$E161,Cert_App_Output!$K:$K,$X161)</f>
        <v>0.44999999999999996</v>
      </c>
    </row>
    <row r="162" spans="1:25" x14ac:dyDescent="0.35">
      <c r="A162" s="221" t="s">
        <v>416</v>
      </c>
      <c r="B162" s="221" t="s">
        <v>573</v>
      </c>
      <c r="C162" s="221" t="s">
        <v>573</v>
      </c>
      <c r="D162" s="221" t="s">
        <v>420</v>
      </c>
      <c r="E162" s="221">
        <v>18.21</v>
      </c>
      <c r="F162" s="221" t="s">
        <v>574</v>
      </c>
      <c r="G162" s="221" t="s">
        <v>742</v>
      </c>
      <c r="H162" s="221" t="s">
        <v>576</v>
      </c>
      <c r="I162" s="225">
        <v>1</v>
      </c>
      <c r="J162" s="226">
        <v>496467.83559999999</v>
      </c>
      <c r="K162" s="226">
        <v>0</v>
      </c>
      <c r="L162" s="226">
        <v>757100.84396572004</v>
      </c>
      <c r="M162" s="226">
        <v>18803.5301934858</v>
      </c>
      <c r="N162" s="227">
        <f t="shared" si="70"/>
        <v>1272372.2097592058</v>
      </c>
      <c r="O162" s="227">
        <f t="shared" si="71"/>
        <v>661656.30119745631</v>
      </c>
      <c r="P162" s="227">
        <f t="shared" si="72"/>
        <v>0</v>
      </c>
      <c r="Q162" s="227">
        <f t="shared" si="73"/>
        <v>1009009.0598647249</v>
      </c>
      <c r="R162" s="227">
        <f t="shared" si="74"/>
        <v>25059.980415932718</v>
      </c>
      <c r="S162" s="226">
        <v>1695725.341478114</v>
      </c>
      <c r="T162" s="228">
        <f t="shared" si="75"/>
        <v>1.3327274271410148</v>
      </c>
      <c r="U162" s="227">
        <f t="shared" si="76"/>
        <v>1272372.2097592058</v>
      </c>
      <c r="V162" s="227">
        <f t="shared" si="77"/>
        <v>1695725.341478114</v>
      </c>
      <c r="W162" s="221" t="s">
        <v>721</v>
      </c>
      <c r="X162" s="221" t="s">
        <v>621</v>
      </c>
      <c r="Y162" s="229">
        <f>SUMIFS(Cert_App_Output!$G:$G,Cert_App_Output!$E:$E,$E162,Cert_App_Output!$K:$K,$X162)</f>
        <v>0.44999999999999996</v>
      </c>
    </row>
    <row r="163" spans="1:25" x14ac:dyDescent="0.35">
      <c r="A163" s="221" t="s">
        <v>416</v>
      </c>
      <c r="B163" s="221" t="s">
        <v>573</v>
      </c>
      <c r="C163" s="221" t="s">
        <v>573</v>
      </c>
      <c r="D163" s="221" t="s">
        <v>420</v>
      </c>
      <c r="E163" s="221">
        <v>18.22</v>
      </c>
      <c r="F163" s="221" t="s">
        <v>574</v>
      </c>
      <c r="G163" s="221" t="s">
        <v>743</v>
      </c>
      <c r="H163" s="221" t="s">
        <v>576</v>
      </c>
      <c r="I163" s="225">
        <v>1</v>
      </c>
      <c r="J163" s="226">
        <v>496467.83559999999</v>
      </c>
      <c r="K163" s="226">
        <v>0</v>
      </c>
      <c r="L163" s="226">
        <v>757100.84396572004</v>
      </c>
      <c r="M163" s="226">
        <v>18803.5301934858</v>
      </c>
      <c r="N163" s="227">
        <f t="shared" si="70"/>
        <v>1272372.2097592058</v>
      </c>
      <c r="O163" s="227">
        <f t="shared" si="71"/>
        <v>661656.30119745631</v>
      </c>
      <c r="P163" s="227">
        <f t="shared" si="72"/>
        <v>0</v>
      </c>
      <c r="Q163" s="227">
        <f t="shared" si="73"/>
        <v>1009009.0598647249</v>
      </c>
      <c r="R163" s="227">
        <f t="shared" si="74"/>
        <v>25059.980415932718</v>
      </c>
      <c r="S163" s="226">
        <v>1695725.341478114</v>
      </c>
      <c r="T163" s="228">
        <f t="shared" si="75"/>
        <v>1.3327274271410148</v>
      </c>
      <c r="U163" s="227">
        <f t="shared" si="76"/>
        <v>1272372.2097592058</v>
      </c>
      <c r="V163" s="227">
        <f t="shared" si="77"/>
        <v>1695725.341478114</v>
      </c>
      <c r="W163" s="221" t="s">
        <v>721</v>
      </c>
      <c r="X163" s="221" t="s">
        <v>621</v>
      </c>
      <c r="Y163" s="229">
        <f>SUMIFS(Cert_App_Output!$G:$G,Cert_App_Output!$E:$E,$E163,Cert_App_Output!$K:$K,$X163)</f>
        <v>0.3</v>
      </c>
    </row>
    <row r="164" spans="1:25" x14ac:dyDescent="0.35">
      <c r="A164" s="221" t="s">
        <v>416</v>
      </c>
      <c r="B164" s="221" t="s">
        <v>573</v>
      </c>
      <c r="C164" s="221" t="s">
        <v>420</v>
      </c>
      <c r="D164" s="221" t="s">
        <v>573</v>
      </c>
      <c r="E164" s="221">
        <v>18.23</v>
      </c>
      <c r="F164" s="221" t="s">
        <v>574</v>
      </c>
      <c r="G164" s="221" t="s">
        <v>744</v>
      </c>
      <c r="H164" s="221" t="s">
        <v>600</v>
      </c>
      <c r="I164" s="225">
        <v>16</v>
      </c>
      <c r="J164" s="226">
        <v>0</v>
      </c>
      <c r="K164" s="226">
        <v>11816</v>
      </c>
      <c r="L164" s="226">
        <v>0</v>
      </c>
      <c r="M164" s="226">
        <v>177.24</v>
      </c>
      <c r="N164" s="227">
        <f t="shared" si="70"/>
        <v>11993.24</v>
      </c>
      <c r="O164" s="227">
        <f t="shared" si="71"/>
        <v>0</v>
      </c>
      <c r="P164" s="227">
        <f t="shared" si="72"/>
        <v>15747.507279098236</v>
      </c>
      <c r="Q164" s="227">
        <f t="shared" si="73"/>
        <v>0</v>
      </c>
      <c r="R164" s="227">
        <f t="shared" si="74"/>
        <v>236.21260918647357</v>
      </c>
      <c r="S164" s="226">
        <v>15983.71988828471</v>
      </c>
      <c r="T164" s="228">
        <f t="shared" si="75"/>
        <v>1.3327274271410152</v>
      </c>
      <c r="U164" s="227">
        <f t="shared" si="76"/>
        <v>191891.84</v>
      </c>
      <c r="V164" s="227">
        <f t="shared" si="77"/>
        <v>255739.51821255535</v>
      </c>
      <c r="W164" s="221" t="s">
        <v>721</v>
      </c>
      <c r="X164" s="221" t="s">
        <v>621</v>
      </c>
      <c r="Y164" s="229">
        <f>SUMIFS(Cert_App_Output!$G:$G,Cert_App_Output!$E:$E,$E164,Cert_App_Output!$K:$K,$X164)</f>
        <v>0</v>
      </c>
    </row>
    <row r="165" spans="1:25" x14ac:dyDescent="0.35">
      <c r="A165" s="221" t="s">
        <v>416</v>
      </c>
      <c r="B165" s="221" t="s">
        <v>573</v>
      </c>
      <c r="C165" s="221" t="s">
        <v>420</v>
      </c>
      <c r="D165" s="221" t="s">
        <v>573</v>
      </c>
      <c r="E165" s="221">
        <v>18.239999999999998</v>
      </c>
      <c r="F165" s="221" t="s">
        <v>574</v>
      </c>
      <c r="G165" s="221" t="s">
        <v>745</v>
      </c>
      <c r="H165" s="221" t="s">
        <v>600</v>
      </c>
      <c r="I165" s="225">
        <v>140</v>
      </c>
      <c r="J165" s="226">
        <v>0</v>
      </c>
      <c r="K165" s="226">
        <v>7700</v>
      </c>
      <c r="L165" s="226">
        <v>0</v>
      </c>
      <c r="M165" s="226">
        <v>115.5</v>
      </c>
      <c r="N165" s="227">
        <f t="shared" si="70"/>
        <v>7815.5</v>
      </c>
      <c r="O165" s="227">
        <f t="shared" si="71"/>
        <v>0</v>
      </c>
      <c r="P165" s="227">
        <f t="shared" si="72"/>
        <v>10262.001188985812</v>
      </c>
      <c r="Q165" s="227">
        <f t="shared" si="73"/>
        <v>0</v>
      </c>
      <c r="R165" s="227">
        <f t="shared" si="74"/>
        <v>153.93001783478718</v>
      </c>
      <c r="S165" s="226">
        <v>10415.9312068206</v>
      </c>
      <c r="T165" s="228">
        <f t="shared" si="75"/>
        <v>1.3327274271410146</v>
      </c>
      <c r="U165" s="227">
        <f t="shared" si="76"/>
        <v>1094170</v>
      </c>
      <c r="V165" s="227">
        <f t="shared" si="77"/>
        <v>1458230.3689548839</v>
      </c>
      <c r="W165" s="221" t="s">
        <v>721</v>
      </c>
      <c r="X165" s="221" t="s">
        <v>621</v>
      </c>
      <c r="Y165" s="229">
        <f>SUMIFS(Cert_App_Output!$G:$G,Cert_App_Output!$E:$E,$E165,Cert_App_Output!$K:$K,$X165)</f>
        <v>0</v>
      </c>
    </row>
    <row r="166" spans="1:25" x14ac:dyDescent="0.35">
      <c r="A166" s="221" t="s">
        <v>416</v>
      </c>
      <c r="B166" s="221" t="s">
        <v>573</v>
      </c>
      <c r="C166" s="221" t="s">
        <v>420</v>
      </c>
      <c r="D166" s="221" t="s">
        <v>573</v>
      </c>
      <c r="E166" s="221">
        <v>18.25</v>
      </c>
      <c r="F166" s="221" t="s">
        <v>574</v>
      </c>
      <c r="G166" s="221" t="s">
        <v>746</v>
      </c>
      <c r="H166" s="221" t="s">
        <v>600</v>
      </c>
      <c r="I166" s="225">
        <v>226</v>
      </c>
      <c r="J166" s="226">
        <v>0</v>
      </c>
      <c r="K166" s="226">
        <v>7700</v>
      </c>
      <c r="L166" s="226">
        <v>0</v>
      </c>
      <c r="M166" s="226">
        <v>115.5</v>
      </c>
      <c r="N166" s="227">
        <f t="shared" si="70"/>
        <v>7815.5</v>
      </c>
      <c r="O166" s="227">
        <f t="shared" si="71"/>
        <v>0</v>
      </c>
      <c r="P166" s="227">
        <f t="shared" si="72"/>
        <v>10262.001188985812</v>
      </c>
      <c r="Q166" s="227">
        <f t="shared" si="73"/>
        <v>0</v>
      </c>
      <c r="R166" s="227">
        <f t="shared" si="74"/>
        <v>153.93001783478718</v>
      </c>
      <c r="S166" s="226">
        <v>10415.9312068206</v>
      </c>
      <c r="T166" s="228">
        <f t="shared" si="75"/>
        <v>1.3327274271410146</v>
      </c>
      <c r="U166" s="227">
        <f t="shared" si="76"/>
        <v>1766303</v>
      </c>
      <c r="V166" s="227">
        <f t="shared" si="77"/>
        <v>2354000.4527414558</v>
      </c>
      <c r="W166" s="221" t="s">
        <v>721</v>
      </c>
      <c r="X166" s="221" t="s">
        <v>621</v>
      </c>
      <c r="Y166" s="229">
        <f>SUMIFS(Cert_App_Output!$G:$G,Cert_App_Output!$E:$E,$E166,Cert_App_Output!$K:$K,$X166)</f>
        <v>0</v>
      </c>
    </row>
    <row r="167" spans="1:25" x14ac:dyDescent="0.35">
      <c r="A167" s="221" t="s">
        <v>416</v>
      </c>
      <c r="B167" s="221" t="s">
        <v>573</v>
      </c>
      <c r="C167" s="221" t="s">
        <v>420</v>
      </c>
      <c r="D167" s="221" t="s">
        <v>573</v>
      </c>
      <c r="E167" s="221">
        <v>18.260000000000002</v>
      </c>
      <c r="F167" s="221" t="s">
        <v>574</v>
      </c>
      <c r="G167" s="221" t="s">
        <v>747</v>
      </c>
      <c r="H167" s="221" t="s">
        <v>600</v>
      </c>
      <c r="I167" s="225">
        <v>8</v>
      </c>
      <c r="J167" s="226">
        <v>0</v>
      </c>
      <c r="K167" s="226">
        <v>18760</v>
      </c>
      <c r="L167" s="226">
        <v>0</v>
      </c>
      <c r="M167" s="226">
        <v>281.39999999999998</v>
      </c>
      <c r="N167" s="227">
        <f t="shared" si="70"/>
        <v>19041.400000000001</v>
      </c>
      <c r="O167" s="227">
        <f t="shared" si="71"/>
        <v>0</v>
      </c>
      <c r="P167" s="227">
        <f t="shared" si="72"/>
        <v>25001.966533165447</v>
      </c>
      <c r="Q167" s="227">
        <f t="shared" si="73"/>
        <v>0</v>
      </c>
      <c r="R167" s="227">
        <f t="shared" si="74"/>
        <v>375.02949799748166</v>
      </c>
      <c r="S167" s="226">
        <v>25376.996031162929</v>
      </c>
      <c r="T167" s="228">
        <f t="shared" si="75"/>
        <v>1.3327274271410152</v>
      </c>
      <c r="U167" s="227">
        <f t="shared" si="76"/>
        <v>152331.20000000001</v>
      </c>
      <c r="V167" s="227">
        <f t="shared" si="77"/>
        <v>203015.96824930343</v>
      </c>
      <c r="W167" s="221" t="s">
        <v>721</v>
      </c>
      <c r="X167" s="221" t="s">
        <v>621</v>
      </c>
      <c r="Y167" s="229">
        <f>SUMIFS(Cert_App_Output!$G:$G,Cert_App_Output!$E:$E,$E167,Cert_App_Output!$K:$K,$X167)</f>
        <v>0</v>
      </c>
    </row>
    <row r="168" spans="1:25" x14ac:dyDescent="0.35">
      <c r="A168" s="221" t="s">
        <v>416</v>
      </c>
      <c r="B168" s="221" t="s">
        <v>573</v>
      </c>
      <c r="C168" s="221" t="s">
        <v>420</v>
      </c>
      <c r="D168" s="221" t="s">
        <v>573</v>
      </c>
      <c r="E168" s="221">
        <v>18.27</v>
      </c>
      <c r="F168" s="221" t="s">
        <v>574</v>
      </c>
      <c r="G168" s="221" t="s">
        <v>748</v>
      </c>
      <c r="H168" s="221" t="s">
        <v>600</v>
      </c>
      <c r="I168" s="225">
        <v>24</v>
      </c>
      <c r="J168" s="226">
        <v>0</v>
      </c>
      <c r="K168" s="226">
        <v>68810</v>
      </c>
      <c r="L168" s="226">
        <v>0</v>
      </c>
      <c r="M168" s="226">
        <v>1032.1500000000001</v>
      </c>
      <c r="N168" s="227">
        <f t="shared" si="70"/>
        <v>69842.149999999994</v>
      </c>
      <c r="O168" s="227">
        <f t="shared" si="71"/>
        <v>0</v>
      </c>
      <c r="P168" s="227">
        <f t="shared" si="72"/>
        <v>91704.974261573268</v>
      </c>
      <c r="Q168" s="227">
        <f t="shared" si="73"/>
        <v>0</v>
      </c>
      <c r="R168" s="227">
        <f t="shared" si="74"/>
        <v>1375.5746139235991</v>
      </c>
      <c r="S168" s="226">
        <v>93080.548875496854</v>
      </c>
      <c r="T168" s="228">
        <f t="shared" si="75"/>
        <v>1.3327274271410152</v>
      </c>
      <c r="U168" s="227">
        <f t="shared" si="76"/>
        <v>1676211.5999999999</v>
      </c>
      <c r="V168" s="227">
        <f t="shared" si="77"/>
        <v>2233933.1730119246</v>
      </c>
      <c r="W168" s="221" t="s">
        <v>721</v>
      </c>
      <c r="X168" s="221" t="s">
        <v>621</v>
      </c>
      <c r="Y168" s="229">
        <f>SUMIFS(Cert_App_Output!$G:$G,Cert_App_Output!$E:$E,$E168,Cert_App_Output!$K:$K,$X168)</f>
        <v>0</v>
      </c>
    </row>
    <row r="169" spans="1:25" x14ac:dyDescent="0.35">
      <c r="A169" s="221" t="s">
        <v>416</v>
      </c>
      <c r="B169" s="221" t="s">
        <v>573</v>
      </c>
      <c r="C169" s="221" t="s">
        <v>420</v>
      </c>
      <c r="D169" s="221" t="s">
        <v>573</v>
      </c>
      <c r="E169" s="221">
        <v>18.28</v>
      </c>
      <c r="F169" s="221" t="s">
        <v>574</v>
      </c>
      <c r="G169" s="221" t="s">
        <v>749</v>
      </c>
      <c r="H169" s="221" t="s">
        <v>600</v>
      </c>
      <c r="I169" s="225">
        <v>12</v>
      </c>
      <c r="J169" s="226">
        <v>0</v>
      </c>
      <c r="K169" s="226">
        <v>18760</v>
      </c>
      <c r="L169" s="226">
        <v>0</v>
      </c>
      <c r="M169" s="226">
        <v>281.39999999999998</v>
      </c>
      <c r="N169" s="227">
        <f t="shared" si="70"/>
        <v>19041.400000000001</v>
      </c>
      <c r="O169" s="227">
        <f t="shared" si="71"/>
        <v>0</v>
      </c>
      <c r="P169" s="227">
        <f t="shared" si="72"/>
        <v>25001.966533165447</v>
      </c>
      <c r="Q169" s="227">
        <f t="shared" si="73"/>
        <v>0</v>
      </c>
      <c r="R169" s="227">
        <f t="shared" si="74"/>
        <v>375.02949799748166</v>
      </c>
      <c r="S169" s="226">
        <v>25376.996031162929</v>
      </c>
      <c r="T169" s="228">
        <f t="shared" si="75"/>
        <v>1.3327274271410152</v>
      </c>
      <c r="U169" s="227">
        <f t="shared" si="76"/>
        <v>228496.80000000002</v>
      </c>
      <c r="V169" s="227">
        <f t="shared" si="77"/>
        <v>304523.95237395517</v>
      </c>
      <c r="W169" s="221" t="s">
        <v>721</v>
      </c>
      <c r="X169" s="221" t="s">
        <v>621</v>
      </c>
      <c r="Y169" s="229">
        <f>SUMIFS(Cert_App_Output!$G:$G,Cert_App_Output!$E:$E,$E169,Cert_App_Output!$K:$K,$X169)</f>
        <v>0</v>
      </c>
    </row>
    <row r="170" spans="1:25" x14ac:dyDescent="0.35">
      <c r="A170" s="221" t="s">
        <v>416</v>
      </c>
      <c r="B170" s="221" t="s">
        <v>573</v>
      </c>
      <c r="C170" s="221" t="s">
        <v>420</v>
      </c>
      <c r="D170" s="221" t="s">
        <v>573</v>
      </c>
      <c r="E170" s="221">
        <v>18.29</v>
      </c>
      <c r="F170" s="221" t="s">
        <v>574</v>
      </c>
      <c r="G170" s="221" t="s">
        <v>750</v>
      </c>
      <c r="H170" s="221" t="s">
        <v>600</v>
      </c>
      <c r="I170" s="225">
        <v>1</v>
      </c>
      <c r="J170" s="226">
        <v>0</v>
      </c>
      <c r="K170" s="226">
        <v>18760</v>
      </c>
      <c r="L170" s="226">
        <v>0</v>
      </c>
      <c r="M170" s="226">
        <v>281.39999999999998</v>
      </c>
      <c r="N170" s="227">
        <f t="shared" si="70"/>
        <v>19041.400000000001</v>
      </c>
      <c r="O170" s="227">
        <f t="shared" si="71"/>
        <v>0</v>
      </c>
      <c r="P170" s="227">
        <f t="shared" si="72"/>
        <v>25001.966533165447</v>
      </c>
      <c r="Q170" s="227">
        <f t="shared" si="73"/>
        <v>0</v>
      </c>
      <c r="R170" s="227">
        <f t="shared" si="74"/>
        <v>375.02949799748166</v>
      </c>
      <c r="S170" s="226">
        <v>25376.996031162929</v>
      </c>
      <c r="T170" s="228">
        <f t="shared" si="75"/>
        <v>1.3327274271410152</v>
      </c>
      <c r="U170" s="227">
        <f t="shared" si="76"/>
        <v>19041.400000000001</v>
      </c>
      <c r="V170" s="227">
        <f t="shared" si="77"/>
        <v>25376.996031162929</v>
      </c>
      <c r="W170" s="221" t="s">
        <v>721</v>
      </c>
      <c r="X170" s="221" t="s">
        <v>621</v>
      </c>
      <c r="Y170" s="229">
        <f>SUMIFS(Cert_App_Output!$G:$G,Cert_App_Output!$E:$E,$E170,Cert_App_Output!$K:$K,$X170)</f>
        <v>0</v>
      </c>
    </row>
    <row r="171" spans="1:25" x14ac:dyDescent="0.35">
      <c r="A171" s="221" t="s">
        <v>416</v>
      </c>
      <c r="B171" s="221" t="s">
        <v>573</v>
      </c>
      <c r="C171" s="221" t="s">
        <v>420</v>
      </c>
      <c r="D171" s="221" t="s">
        <v>573</v>
      </c>
      <c r="E171" s="221">
        <v>18.3</v>
      </c>
      <c r="F171" s="221" t="s">
        <v>574</v>
      </c>
      <c r="G171" s="221" t="s">
        <v>751</v>
      </c>
      <c r="H171" s="221" t="s">
        <v>600</v>
      </c>
      <c r="I171" s="225">
        <v>109</v>
      </c>
      <c r="J171" s="226">
        <v>0</v>
      </c>
      <c r="K171" s="226">
        <v>11816</v>
      </c>
      <c r="L171" s="226">
        <v>0</v>
      </c>
      <c r="M171" s="226">
        <v>177.24</v>
      </c>
      <c r="N171" s="227">
        <f t="shared" si="70"/>
        <v>11993.24</v>
      </c>
      <c r="O171" s="227">
        <f t="shared" si="71"/>
        <v>0</v>
      </c>
      <c r="P171" s="227">
        <f t="shared" si="72"/>
        <v>15747.507279098236</v>
      </c>
      <c r="Q171" s="227">
        <f t="shared" si="73"/>
        <v>0</v>
      </c>
      <c r="R171" s="227">
        <f t="shared" si="74"/>
        <v>236.21260918647357</v>
      </c>
      <c r="S171" s="226">
        <v>15983.71988828471</v>
      </c>
      <c r="T171" s="228">
        <f t="shared" si="75"/>
        <v>1.3327274271410152</v>
      </c>
      <c r="U171" s="227">
        <f t="shared" si="76"/>
        <v>1307263.1599999999</v>
      </c>
      <c r="V171" s="227">
        <f t="shared" si="77"/>
        <v>1742225.4678230335</v>
      </c>
      <c r="W171" s="221" t="s">
        <v>721</v>
      </c>
      <c r="X171" s="221" t="s">
        <v>621</v>
      </c>
      <c r="Y171" s="229">
        <f>SUMIFS(Cert_App_Output!$G:$G,Cert_App_Output!$E:$E,$E171,Cert_App_Output!$K:$K,$X171)</f>
        <v>0</v>
      </c>
    </row>
    <row r="172" spans="1:25" x14ac:dyDescent="0.35">
      <c r="A172" s="221" t="s">
        <v>416</v>
      </c>
      <c r="B172" s="221" t="s">
        <v>573</v>
      </c>
      <c r="C172" s="221" t="s">
        <v>420</v>
      </c>
      <c r="D172" s="221" t="s">
        <v>573</v>
      </c>
      <c r="E172" s="221">
        <v>18.309999999999999</v>
      </c>
      <c r="F172" s="221" t="s">
        <v>574</v>
      </c>
      <c r="G172" s="221" t="s">
        <v>752</v>
      </c>
      <c r="H172" s="221" t="s">
        <v>576</v>
      </c>
      <c r="I172" s="225">
        <v>1</v>
      </c>
      <c r="J172" s="226">
        <v>3075822.2459999998</v>
      </c>
      <c r="K172" s="226">
        <v>1002579.2</v>
      </c>
      <c r="L172" s="226">
        <v>0</v>
      </c>
      <c r="M172" s="226">
        <v>61176.021690000001</v>
      </c>
      <c r="N172" s="227">
        <f t="shared" si="70"/>
        <v>4139577.4676899994</v>
      </c>
      <c r="O172" s="227">
        <f t="shared" si="71"/>
        <v>4099232.6682546786</v>
      </c>
      <c r="P172" s="227">
        <f t="shared" si="72"/>
        <v>1336164.7977210972</v>
      </c>
      <c r="Q172" s="227">
        <f t="shared" si="73"/>
        <v>0</v>
      </c>
      <c r="R172" s="227">
        <f t="shared" si="74"/>
        <v>81530.961989636649</v>
      </c>
      <c r="S172" s="226">
        <v>5516928.4279654119</v>
      </c>
      <c r="T172" s="228">
        <f t="shared" si="75"/>
        <v>1.3327274271410152</v>
      </c>
      <c r="U172" s="227">
        <f t="shared" si="76"/>
        <v>4139577.4676899994</v>
      </c>
      <c r="V172" s="227">
        <f t="shared" si="77"/>
        <v>5516928.4279654119</v>
      </c>
      <c r="W172" s="221" t="s">
        <v>721</v>
      </c>
      <c r="X172" s="221" t="s">
        <v>621</v>
      </c>
      <c r="Y172" s="229">
        <f>SUMIFS(Cert_App_Output!$G:$G,Cert_App_Output!$E:$E,$E172,Cert_App_Output!$K:$K,$X172)</f>
        <v>0</v>
      </c>
    </row>
    <row r="173" spans="1:25" x14ac:dyDescent="0.35">
      <c r="A173" s="221" t="s">
        <v>416</v>
      </c>
      <c r="B173" s="221" t="s">
        <v>573</v>
      </c>
      <c r="C173" s="221" t="s">
        <v>573</v>
      </c>
      <c r="D173" s="221" t="s">
        <v>420</v>
      </c>
      <c r="E173" s="221">
        <v>18.32</v>
      </c>
      <c r="F173" s="221" t="s">
        <v>574</v>
      </c>
      <c r="G173" s="221" t="s">
        <v>753</v>
      </c>
      <c r="H173" s="221" t="s">
        <v>576</v>
      </c>
      <c r="I173" s="225">
        <v>1</v>
      </c>
      <c r="J173" s="226">
        <v>570057.95256198396</v>
      </c>
      <c r="K173" s="226">
        <v>0</v>
      </c>
      <c r="L173" s="226">
        <v>137815.66048314399</v>
      </c>
      <c r="M173" s="226">
        <v>10618.1041956769</v>
      </c>
      <c r="N173" s="227">
        <f t="shared" si="70"/>
        <v>718491.71724080481</v>
      </c>
      <c r="O173" s="227">
        <f t="shared" si="71"/>
        <v>759731.86843920778</v>
      </c>
      <c r="P173" s="227">
        <f t="shared" si="72"/>
        <v>0</v>
      </c>
      <c r="Q173" s="227">
        <f t="shared" si="73"/>
        <v>183670.71061544016</v>
      </c>
      <c r="R173" s="227">
        <f t="shared" si="74"/>
        <v>14151.038685819693</v>
      </c>
      <c r="S173" s="226">
        <v>957553.61774046754</v>
      </c>
      <c r="T173" s="228">
        <f t="shared" si="75"/>
        <v>1.3327274271410152</v>
      </c>
      <c r="U173" s="227">
        <f t="shared" si="76"/>
        <v>718491.71724080481</v>
      </c>
      <c r="V173" s="227">
        <f t="shared" si="77"/>
        <v>957553.61774046754</v>
      </c>
      <c r="W173" s="221" t="s">
        <v>721</v>
      </c>
      <c r="X173" s="221" t="s">
        <v>621</v>
      </c>
      <c r="Y173" s="229">
        <f>SUMIFS(Cert_App_Output!$G:$G,Cert_App_Output!$E:$E,$E173,Cert_App_Output!$K:$K,$X173)</f>
        <v>0</v>
      </c>
    </row>
    <row r="174" spans="1:25" x14ac:dyDescent="0.35">
      <c r="A174" s="221" t="s">
        <v>416</v>
      </c>
      <c r="B174" s="221" t="s">
        <v>573</v>
      </c>
      <c r="C174" s="221" t="s">
        <v>420</v>
      </c>
      <c r="D174" s="221" t="s">
        <v>573</v>
      </c>
      <c r="E174" s="221">
        <v>18.329999999999998</v>
      </c>
      <c r="F174" s="221" t="s">
        <v>574</v>
      </c>
      <c r="G174" s="221" t="s">
        <v>754</v>
      </c>
      <c r="H174" s="221" t="s">
        <v>576</v>
      </c>
      <c r="I174" s="225">
        <v>1</v>
      </c>
      <c r="J174" s="226">
        <v>0</v>
      </c>
      <c r="K174" s="226">
        <v>107023.598877166</v>
      </c>
      <c r="L174" s="226">
        <v>0</v>
      </c>
      <c r="M174" s="226">
        <v>0</v>
      </c>
      <c r="N174" s="227">
        <f t="shared" si="70"/>
        <v>107023.598877166</v>
      </c>
      <c r="O174" s="227">
        <f t="shared" si="71"/>
        <v>0</v>
      </c>
      <c r="P174" s="227">
        <f t="shared" si="72"/>
        <v>142633.2855749375</v>
      </c>
      <c r="Q174" s="227">
        <f t="shared" si="73"/>
        <v>0</v>
      </c>
      <c r="R174" s="227">
        <f t="shared" si="74"/>
        <v>0</v>
      </c>
      <c r="S174" s="226">
        <v>142633.2855749375</v>
      </c>
      <c r="T174" s="228">
        <f t="shared" si="75"/>
        <v>1.3327274271410152</v>
      </c>
      <c r="U174" s="227">
        <f t="shared" si="76"/>
        <v>107023.598877166</v>
      </c>
      <c r="V174" s="227">
        <f t="shared" si="77"/>
        <v>142633.2855749375</v>
      </c>
      <c r="W174" s="221" t="s">
        <v>721</v>
      </c>
      <c r="X174" s="221" t="s">
        <v>621</v>
      </c>
      <c r="Y174" s="229">
        <f>SUMIFS(Cert_App_Output!$G:$G,Cert_App_Output!$E:$E,$E174,Cert_App_Output!$K:$K,$X174)</f>
        <v>0</v>
      </c>
    </row>
    <row r="175" spans="1:25" x14ac:dyDescent="0.35">
      <c r="A175" s="221" t="s">
        <v>573</v>
      </c>
      <c r="B175" s="221" t="s">
        <v>573</v>
      </c>
      <c r="C175" s="221" t="s">
        <v>573</v>
      </c>
      <c r="D175" s="221" t="s">
        <v>573</v>
      </c>
      <c r="E175" s="221">
        <v>19</v>
      </c>
      <c r="G175" s="221" t="s">
        <v>755</v>
      </c>
      <c r="I175" s="222"/>
      <c r="J175" s="223"/>
      <c r="K175" s="223"/>
      <c r="L175" s="223"/>
      <c r="M175" s="223"/>
      <c r="N175" s="223"/>
      <c r="O175" s="223"/>
      <c r="P175" s="223"/>
      <c r="Q175" s="223"/>
      <c r="R175" s="223"/>
      <c r="S175" s="223"/>
      <c r="T175" s="224"/>
      <c r="U175" s="223"/>
      <c r="V175" s="223"/>
      <c r="W175" s="221" t="s">
        <v>755</v>
      </c>
      <c r="X175" s="221" t="s">
        <v>621</v>
      </c>
      <c r="Y175" s="215"/>
    </row>
    <row r="176" spans="1:25" x14ac:dyDescent="0.35">
      <c r="A176" s="221" t="s">
        <v>573</v>
      </c>
      <c r="B176" s="221" t="s">
        <v>573</v>
      </c>
      <c r="C176" s="221" t="s">
        <v>573</v>
      </c>
      <c r="D176" s="221" t="s">
        <v>573</v>
      </c>
      <c r="G176" s="221" t="s">
        <v>756</v>
      </c>
      <c r="I176" s="222"/>
      <c r="J176" s="223"/>
      <c r="K176" s="223"/>
      <c r="L176" s="223"/>
      <c r="M176" s="223"/>
      <c r="N176" s="223"/>
      <c r="O176" s="223"/>
      <c r="P176" s="223"/>
      <c r="Q176" s="223"/>
      <c r="R176" s="223"/>
      <c r="S176" s="223"/>
      <c r="T176" s="224"/>
      <c r="U176" s="223"/>
      <c r="V176" s="223"/>
      <c r="W176" s="221" t="s">
        <v>756</v>
      </c>
      <c r="Y176" s="215"/>
    </row>
    <row r="177" spans="1:25" x14ac:dyDescent="0.35">
      <c r="A177" s="221" t="s">
        <v>397</v>
      </c>
      <c r="B177" s="221" t="s">
        <v>573</v>
      </c>
      <c r="C177" s="221" t="s">
        <v>409</v>
      </c>
      <c r="D177" s="221" t="s">
        <v>573</v>
      </c>
      <c r="E177" s="221">
        <v>19.010000000000002</v>
      </c>
      <c r="F177" s="221" t="s">
        <v>574</v>
      </c>
      <c r="G177" s="221" t="s">
        <v>757</v>
      </c>
      <c r="H177" s="221" t="s">
        <v>576</v>
      </c>
      <c r="I177" s="225">
        <v>1</v>
      </c>
      <c r="J177" s="226">
        <v>2201631.50655</v>
      </c>
      <c r="K177" s="226">
        <v>2820732.3578660199</v>
      </c>
      <c r="L177" s="226">
        <v>0</v>
      </c>
      <c r="M177" s="226">
        <v>75335.457966240298</v>
      </c>
      <c r="N177" s="227">
        <f>SUM(J177:M177)</f>
        <v>5097699.3223822601</v>
      </c>
      <c r="O177" s="227">
        <f>IF($N177=0,$S177,J177/$N177*$S177)</f>
        <v>2934174.6932369792</v>
      </c>
      <c r="P177" s="227">
        <f t="shared" ref="P177:R179" si="78">IF($N177=0,0,K177/$N177*$S177)</f>
        <v>3759267.3779521906</v>
      </c>
      <c r="Q177" s="227">
        <f t="shared" si="78"/>
        <v>0</v>
      </c>
      <c r="R177" s="227">
        <f t="shared" si="78"/>
        <v>100401.63106783753</v>
      </c>
      <c r="S177" s="226">
        <v>6793843.7022570064</v>
      </c>
      <c r="T177" s="228">
        <f>IFERROR(S177/N177,"")</f>
        <v>1.3327274271410152</v>
      </c>
      <c r="U177" s="227">
        <f>N177*I177</f>
        <v>5097699.3223822601</v>
      </c>
      <c r="V177" s="227">
        <f>S177*I177</f>
        <v>6793843.7022570064</v>
      </c>
      <c r="W177" s="221" t="s">
        <v>756</v>
      </c>
      <c r="X177" s="221" t="s">
        <v>621</v>
      </c>
      <c r="Y177" s="229">
        <f>SUMIFS(Cert_App_Output!$G:$G,Cert_App_Output!$E:$E,$E177,Cert_App_Output!$K:$K,$X177)</f>
        <v>0</v>
      </c>
    </row>
    <row r="178" spans="1:25" x14ac:dyDescent="0.35">
      <c r="A178" s="221" t="s">
        <v>397</v>
      </c>
      <c r="B178" s="221" t="s">
        <v>573</v>
      </c>
      <c r="C178" s="221" t="s">
        <v>409</v>
      </c>
      <c r="D178" s="221" t="s">
        <v>573</v>
      </c>
      <c r="E178" s="221">
        <v>19.02</v>
      </c>
      <c r="F178" s="221" t="s">
        <v>574</v>
      </c>
      <c r="G178" s="221" t="s">
        <v>758</v>
      </c>
      <c r="H178" s="221" t="s">
        <v>576</v>
      </c>
      <c r="I178" s="225">
        <v>1</v>
      </c>
      <c r="J178" s="226">
        <v>2830669.0798499999</v>
      </c>
      <c r="K178" s="226">
        <v>4231098.5367990304</v>
      </c>
      <c r="L178" s="226">
        <v>0</v>
      </c>
      <c r="M178" s="226">
        <v>105926.51424973601</v>
      </c>
      <c r="N178" s="227">
        <f>SUM(J178:M178)</f>
        <v>7167694.1308987662</v>
      </c>
      <c r="O178" s="227">
        <f>IF($N178=0,$S178,J178/$N178*$S178)</f>
        <v>3772510.3198761153</v>
      </c>
      <c r="P178" s="227">
        <f t="shared" si="78"/>
        <v>5638901.0669282861</v>
      </c>
      <c r="Q178" s="227">
        <f t="shared" si="78"/>
        <v>0</v>
      </c>
      <c r="R178" s="227">
        <f t="shared" si="78"/>
        <v>141171.17080206674</v>
      </c>
      <c r="S178" s="226">
        <v>9552582.557606468</v>
      </c>
      <c r="T178" s="228">
        <f>IFERROR(S178/N178,"")</f>
        <v>1.3327274271410152</v>
      </c>
      <c r="U178" s="227">
        <f>N178*I178</f>
        <v>7167694.1308987662</v>
      </c>
      <c r="V178" s="227">
        <f>S178*I178</f>
        <v>9552582.557606468</v>
      </c>
      <c r="W178" s="221" t="s">
        <v>756</v>
      </c>
      <c r="X178" s="221" t="s">
        <v>621</v>
      </c>
      <c r="Y178" s="229">
        <f>SUMIFS(Cert_App_Output!$G:$G,Cert_App_Output!$E:$E,$E178,Cert_App_Output!$K:$K,$X178)</f>
        <v>0.9</v>
      </c>
    </row>
    <row r="179" spans="1:25" x14ac:dyDescent="0.35">
      <c r="A179" s="221" t="s">
        <v>397</v>
      </c>
      <c r="B179" s="221" t="s">
        <v>573</v>
      </c>
      <c r="C179" s="221" t="s">
        <v>409</v>
      </c>
      <c r="D179" s="221" t="s">
        <v>573</v>
      </c>
      <c r="E179" s="221">
        <v>19.03</v>
      </c>
      <c r="F179" s="221" t="s">
        <v>574</v>
      </c>
      <c r="G179" s="221" t="s">
        <v>759</v>
      </c>
      <c r="H179" s="221" t="s">
        <v>576</v>
      </c>
      <c r="I179" s="225">
        <v>1</v>
      </c>
      <c r="J179" s="226">
        <v>1258075.1466000001</v>
      </c>
      <c r="K179" s="226">
        <v>2350610.2982216901</v>
      </c>
      <c r="L179" s="226">
        <v>0</v>
      </c>
      <c r="M179" s="226">
        <v>54130.281672325298</v>
      </c>
      <c r="N179" s="227">
        <f>SUM(J179:M179)</f>
        <v>3662815.7264940157</v>
      </c>
      <c r="O179" s="227">
        <f>IF($N179=0,$S179,J179/$N179*$S179)</f>
        <v>1676671.2532782736</v>
      </c>
      <c r="P179" s="227">
        <f t="shared" si="78"/>
        <v>3132722.8149601673</v>
      </c>
      <c r="Q179" s="227">
        <f t="shared" si="78"/>
        <v>0</v>
      </c>
      <c r="R179" s="227">
        <f t="shared" si="78"/>
        <v>72140.91102357654</v>
      </c>
      <c r="S179" s="226">
        <v>4881534.9792620176</v>
      </c>
      <c r="T179" s="228">
        <f>IFERROR(S179/N179,"")</f>
        <v>1.3327274271410152</v>
      </c>
      <c r="U179" s="227">
        <f>N179*I179</f>
        <v>3662815.7264940157</v>
      </c>
      <c r="V179" s="227">
        <f>S179*I179</f>
        <v>4881534.9792620176</v>
      </c>
      <c r="W179" s="221" t="s">
        <v>756</v>
      </c>
      <c r="X179" s="221" t="s">
        <v>621</v>
      </c>
      <c r="Y179" s="229">
        <f>SUMIFS(Cert_App_Output!$G:$G,Cert_App_Output!$E:$E,$E179,Cert_App_Output!$K:$K,$X179)</f>
        <v>0.7</v>
      </c>
    </row>
    <row r="180" spans="1:25" x14ac:dyDescent="0.35">
      <c r="A180" s="221" t="s">
        <v>573</v>
      </c>
      <c r="B180" s="221" t="s">
        <v>573</v>
      </c>
      <c r="C180" s="221" t="s">
        <v>573</v>
      </c>
      <c r="D180" s="221" t="s">
        <v>573</v>
      </c>
      <c r="G180" s="221" t="s">
        <v>760</v>
      </c>
      <c r="I180" s="222"/>
      <c r="J180" s="223"/>
      <c r="K180" s="223"/>
      <c r="L180" s="223"/>
      <c r="M180" s="223"/>
      <c r="N180" s="223"/>
      <c r="O180" s="223"/>
      <c r="P180" s="223"/>
      <c r="Q180" s="223"/>
      <c r="R180" s="223"/>
      <c r="S180" s="223"/>
      <c r="T180" s="224"/>
      <c r="U180" s="223"/>
      <c r="V180" s="223"/>
      <c r="W180" s="221" t="s">
        <v>760</v>
      </c>
      <c r="Y180" s="215"/>
    </row>
    <row r="181" spans="1:25" x14ac:dyDescent="0.35">
      <c r="A181" s="221" t="s">
        <v>397</v>
      </c>
      <c r="B181" s="221" t="s">
        <v>573</v>
      </c>
      <c r="C181" s="221" t="s">
        <v>409</v>
      </c>
      <c r="D181" s="221" t="s">
        <v>573</v>
      </c>
      <c r="E181" s="221">
        <v>19.04</v>
      </c>
      <c r="F181" s="221" t="s">
        <v>574</v>
      </c>
      <c r="G181" s="221" t="s">
        <v>761</v>
      </c>
      <c r="H181" s="221" t="s">
        <v>576</v>
      </c>
      <c r="I181" s="225">
        <v>1</v>
      </c>
      <c r="J181" s="226">
        <v>733877.16885000002</v>
      </c>
      <c r="K181" s="226">
        <v>1096951.47250345</v>
      </c>
      <c r="L181" s="226">
        <v>0</v>
      </c>
      <c r="M181" s="226">
        <v>27462.429620301798</v>
      </c>
      <c r="N181" s="227">
        <f>SUM(J181:M181)</f>
        <v>1858291.0709737518</v>
      </c>
      <c r="O181" s="227">
        <f>IF($N181=0,$S181,J181/$N181*$S181)</f>
        <v>978058.23107899295</v>
      </c>
      <c r="P181" s="227">
        <f t="shared" ref="P181:R183" si="79">IF($N181=0,0,K181/$N181*$S181)</f>
        <v>1461937.3136480711</v>
      </c>
      <c r="Q181" s="227">
        <f t="shared" si="79"/>
        <v>0</v>
      </c>
      <c r="R181" s="227">
        <f t="shared" si="79"/>
        <v>36599.933170906021</v>
      </c>
      <c r="S181" s="226">
        <v>2476595.47789797</v>
      </c>
      <c r="T181" s="228">
        <f>IFERROR(S181/N181,"")</f>
        <v>1.3327274271410152</v>
      </c>
      <c r="U181" s="227">
        <f>N181*I181</f>
        <v>1858291.0709737518</v>
      </c>
      <c r="V181" s="227">
        <f>S181*I181</f>
        <v>2476595.47789797</v>
      </c>
      <c r="W181" s="221" t="s">
        <v>760</v>
      </c>
      <c r="X181" s="221" t="s">
        <v>621</v>
      </c>
      <c r="Y181" s="229">
        <f>SUMIFS(Cert_App_Output!$G:$G,Cert_App_Output!$E:$E,$E181,Cert_App_Output!$K:$K,$X181)</f>
        <v>0</v>
      </c>
    </row>
    <row r="182" spans="1:25" x14ac:dyDescent="0.35">
      <c r="A182" s="221" t="s">
        <v>397</v>
      </c>
      <c r="B182" s="221" t="s">
        <v>573</v>
      </c>
      <c r="C182" s="221" t="s">
        <v>409</v>
      </c>
      <c r="D182" s="221" t="s">
        <v>573</v>
      </c>
      <c r="E182" s="221">
        <v>19.05</v>
      </c>
      <c r="F182" s="221" t="s">
        <v>574</v>
      </c>
      <c r="G182" s="221" t="s">
        <v>762</v>
      </c>
      <c r="H182" s="221" t="s">
        <v>576</v>
      </c>
      <c r="I182" s="225">
        <v>1</v>
      </c>
      <c r="J182" s="226">
        <v>1048395.9555</v>
      </c>
      <c r="K182" s="226">
        <v>1567073.5321477901</v>
      </c>
      <c r="L182" s="226">
        <v>0</v>
      </c>
      <c r="M182" s="226">
        <v>39232.042314716797</v>
      </c>
      <c r="N182" s="227">
        <f>SUM(J182:M182)</f>
        <v>2654701.5299625066</v>
      </c>
      <c r="O182" s="227">
        <f>IF($N182=0,$S182,J182/$N182*$S182)</f>
        <v>1397226.0443985614</v>
      </c>
      <c r="P182" s="227">
        <f t="shared" si="79"/>
        <v>2088481.8766401075</v>
      </c>
      <c r="Q182" s="227">
        <f t="shared" si="79"/>
        <v>0</v>
      </c>
      <c r="R182" s="227">
        <f t="shared" si="79"/>
        <v>52285.618815579954</v>
      </c>
      <c r="S182" s="226">
        <v>3537993.5398542481</v>
      </c>
      <c r="T182" s="228">
        <f>IFERROR(S182/N182,"")</f>
        <v>1.3327274271410152</v>
      </c>
      <c r="U182" s="227">
        <f>N182*I182</f>
        <v>2654701.5299625066</v>
      </c>
      <c r="V182" s="227">
        <f>S182*I182</f>
        <v>3537993.5398542481</v>
      </c>
      <c r="W182" s="221" t="s">
        <v>760</v>
      </c>
      <c r="X182" s="221" t="s">
        <v>621</v>
      </c>
      <c r="Y182" s="229">
        <f>SUMIFS(Cert_App_Output!$G:$G,Cert_App_Output!$E:$E,$E182,Cert_App_Output!$K:$K,$X182)</f>
        <v>0.89999999999999991</v>
      </c>
    </row>
    <row r="183" spans="1:25" x14ac:dyDescent="0.35">
      <c r="A183" s="221" t="s">
        <v>397</v>
      </c>
      <c r="B183" s="221" t="s">
        <v>573</v>
      </c>
      <c r="C183" s="221" t="s">
        <v>409</v>
      </c>
      <c r="D183" s="221" t="s">
        <v>573</v>
      </c>
      <c r="E183" s="221">
        <v>19.059999999999999</v>
      </c>
      <c r="F183" s="221" t="s">
        <v>574</v>
      </c>
      <c r="G183" s="221" t="s">
        <v>763</v>
      </c>
      <c r="H183" s="221" t="s">
        <v>576</v>
      </c>
      <c r="I183" s="225">
        <v>1</v>
      </c>
      <c r="J183" s="226">
        <v>314518.78665000002</v>
      </c>
      <c r="K183" s="226">
        <v>470122.05964433699</v>
      </c>
      <c r="L183" s="226">
        <v>0</v>
      </c>
      <c r="M183" s="226">
        <v>11769.6126944151</v>
      </c>
      <c r="N183" s="227">
        <f>SUM(J183:M183)</f>
        <v>796410.4589887521</v>
      </c>
      <c r="O183" s="227">
        <f>IF($N183=0,$S183,J183/$N183*$S183)</f>
        <v>419167.81331956858</v>
      </c>
      <c r="P183" s="227">
        <f t="shared" si="79"/>
        <v>626544.56299203238</v>
      </c>
      <c r="Q183" s="227">
        <f t="shared" si="79"/>
        <v>0</v>
      </c>
      <c r="R183" s="227">
        <f t="shared" si="79"/>
        <v>15685.685644674075</v>
      </c>
      <c r="S183" s="226">
        <v>1061398.061956275</v>
      </c>
      <c r="T183" s="228">
        <f>IFERROR(S183/N183,"")</f>
        <v>1.3327274271410157</v>
      </c>
      <c r="U183" s="227">
        <f>N183*I183</f>
        <v>796410.4589887521</v>
      </c>
      <c r="V183" s="227">
        <f>S183*I183</f>
        <v>1061398.061956275</v>
      </c>
      <c r="W183" s="221" t="s">
        <v>760</v>
      </c>
      <c r="X183" s="221" t="s">
        <v>621</v>
      </c>
      <c r="Y183" s="229">
        <f>SUMIFS(Cert_App_Output!$G:$G,Cert_App_Output!$E:$E,$E183,Cert_App_Output!$K:$K,$X183)</f>
        <v>0</v>
      </c>
    </row>
    <row r="184" spans="1:25" x14ac:dyDescent="0.35">
      <c r="A184" s="221" t="s">
        <v>573</v>
      </c>
      <c r="B184" s="221" t="s">
        <v>573</v>
      </c>
      <c r="C184" s="221" t="s">
        <v>573</v>
      </c>
      <c r="D184" s="221" t="s">
        <v>573</v>
      </c>
      <c r="G184" s="221" t="s">
        <v>764</v>
      </c>
      <c r="I184" s="222"/>
      <c r="J184" s="223"/>
      <c r="K184" s="223"/>
      <c r="L184" s="223"/>
      <c r="M184" s="223"/>
      <c r="N184" s="223"/>
      <c r="O184" s="223"/>
      <c r="P184" s="223"/>
      <c r="Q184" s="223"/>
      <c r="R184" s="223"/>
      <c r="S184" s="223"/>
      <c r="T184" s="224"/>
      <c r="U184" s="223"/>
      <c r="V184" s="223"/>
      <c r="W184" s="221" t="s">
        <v>764</v>
      </c>
      <c r="Y184" s="215"/>
    </row>
    <row r="185" spans="1:25" x14ac:dyDescent="0.35">
      <c r="A185" s="221" t="s">
        <v>397</v>
      </c>
      <c r="B185" s="221" t="s">
        <v>573</v>
      </c>
      <c r="C185" s="221" t="s">
        <v>409</v>
      </c>
      <c r="D185" s="221" t="s">
        <v>573</v>
      </c>
      <c r="E185" s="221">
        <v>19.07</v>
      </c>
      <c r="F185" s="221" t="s">
        <v>574</v>
      </c>
      <c r="G185" s="221" t="s">
        <v>765</v>
      </c>
      <c r="H185" s="221" t="s">
        <v>576</v>
      </c>
      <c r="I185" s="225">
        <v>1</v>
      </c>
      <c r="J185" s="226">
        <v>892886.95565999998</v>
      </c>
      <c r="K185" s="226">
        <v>1519457.57657935</v>
      </c>
      <c r="L185" s="226">
        <v>0</v>
      </c>
      <c r="M185" s="226">
        <v>36185.167983590203</v>
      </c>
      <c r="N185" s="227">
        <f>SUM(J185:M185)</f>
        <v>2448529.7002229402</v>
      </c>
      <c r="O185" s="227">
        <f>IF($N185=0,$S185,J185/$N185*$S185)</f>
        <v>1189974.9351445253</v>
      </c>
      <c r="P185" s="227">
        <f t="shared" ref="P185:R189" si="80">IF($N185=0,0,K185/$N185*$S185)</f>
        <v>2025022.7866845189</v>
      </c>
      <c r="Q185" s="227">
        <f t="shared" si="80"/>
        <v>0</v>
      </c>
      <c r="R185" s="227">
        <f t="shared" si="80"/>
        <v>48224.965827435604</v>
      </c>
      <c r="S185" s="226">
        <v>3263222.6876564799</v>
      </c>
      <c r="T185" s="228">
        <f>IFERROR(S185/N185,"")</f>
        <v>1.332727427141015</v>
      </c>
      <c r="U185" s="227">
        <f>N185*I185</f>
        <v>2448529.7002229402</v>
      </c>
      <c r="V185" s="227">
        <f>S185*I185</f>
        <v>3263222.6876564799</v>
      </c>
      <c r="W185" s="221" t="s">
        <v>764</v>
      </c>
      <c r="X185" s="221" t="s">
        <v>621</v>
      </c>
      <c r="Y185" s="229">
        <f>SUMIFS(Cert_App_Output!$G:$G,Cert_App_Output!$E:$E,$E185,Cert_App_Output!$K:$K,$X185)</f>
        <v>0</v>
      </c>
    </row>
    <row r="186" spans="1:25" x14ac:dyDescent="0.35">
      <c r="A186" s="221" t="s">
        <v>397</v>
      </c>
      <c r="B186" s="221" t="s">
        <v>573</v>
      </c>
      <c r="C186" s="221" t="s">
        <v>409</v>
      </c>
      <c r="D186" s="221" t="s">
        <v>573</v>
      </c>
      <c r="E186" s="221">
        <v>19.079999999999998</v>
      </c>
      <c r="F186" s="221" t="s">
        <v>574</v>
      </c>
      <c r="G186" s="221" t="s">
        <v>766</v>
      </c>
      <c r="H186" s="221" t="s">
        <v>576</v>
      </c>
      <c r="I186" s="225">
        <v>1</v>
      </c>
      <c r="J186" s="226">
        <v>1190515.9408799999</v>
      </c>
      <c r="K186" s="226">
        <v>1519457.57657935</v>
      </c>
      <c r="L186" s="226">
        <v>0</v>
      </c>
      <c r="M186" s="226">
        <v>40649.602761890201</v>
      </c>
      <c r="N186" s="227">
        <f>SUM(J186:M186)</f>
        <v>2750623.12022124</v>
      </c>
      <c r="O186" s="227">
        <f>IF($N186=0,$S186,J186/$N186*$S186)</f>
        <v>1586633.2468593675</v>
      </c>
      <c r="P186" s="227">
        <f t="shared" si="80"/>
        <v>2025022.7866845196</v>
      </c>
      <c r="Q186" s="227">
        <f t="shared" si="80"/>
        <v>0</v>
      </c>
      <c r="R186" s="227">
        <f t="shared" si="80"/>
        <v>54174.840503158244</v>
      </c>
      <c r="S186" s="226">
        <v>3665830.8740470451</v>
      </c>
      <c r="T186" s="228">
        <f>IFERROR(S186/N186,"")</f>
        <v>1.3327274271410154</v>
      </c>
      <c r="U186" s="227">
        <f>N186*I186</f>
        <v>2750623.12022124</v>
      </c>
      <c r="V186" s="227">
        <f>S186*I186</f>
        <v>3665830.8740470451</v>
      </c>
      <c r="W186" s="221" t="s">
        <v>764</v>
      </c>
      <c r="X186" s="221" t="s">
        <v>621</v>
      </c>
      <c r="Y186" s="229">
        <f>SUMIFS(Cert_App_Output!$G:$G,Cert_App_Output!$E:$E,$E186,Cert_App_Output!$K:$K,$X186)</f>
        <v>0.7</v>
      </c>
    </row>
    <row r="187" spans="1:25" x14ac:dyDescent="0.35">
      <c r="A187" s="221" t="s">
        <v>397</v>
      </c>
      <c r="B187" s="221" t="s">
        <v>573</v>
      </c>
      <c r="C187" s="221" t="s">
        <v>409</v>
      </c>
      <c r="D187" s="221" t="s">
        <v>573</v>
      </c>
      <c r="E187" s="221">
        <v>19.09</v>
      </c>
      <c r="F187" s="221" t="s">
        <v>574</v>
      </c>
      <c r="G187" s="221" t="s">
        <v>767</v>
      </c>
      <c r="H187" s="221" t="s">
        <v>576</v>
      </c>
      <c r="I187" s="225">
        <v>1</v>
      </c>
      <c r="J187" s="226">
        <v>892886.95565999998</v>
      </c>
      <c r="K187" s="226">
        <v>1519457.57657935</v>
      </c>
      <c r="L187" s="226">
        <v>0</v>
      </c>
      <c r="M187" s="226">
        <v>36185.167983590203</v>
      </c>
      <c r="N187" s="227">
        <f>SUM(J187:M187)</f>
        <v>2448529.7002229402</v>
      </c>
      <c r="O187" s="227">
        <f>IF($N187=0,$S187,J187/$N187*$S187)</f>
        <v>1189974.9351445253</v>
      </c>
      <c r="P187" s="227">
        <f t="shared" si="80"/>
        <v>2025022.7866845189</v>
      </c>
      <c r="Q187" s="227">
        <f t="shared" si="80"/>
        <v>0</v>
      </c>
      <c r="R187" s="227">
        <f t="shared" si="80"/>
        <v>48224.965827435604</v>
      </c>
      <c r="S187" s="226">
        <v>3263222.6876564799</v>
      </c>
      <c r="T187" s="228">
        <f>IFERROR(S187/N187,"")</f>
        <v>1.332727427141015</v>
      </c>
      <c r="U187" s="227">
        <f>N187*I187</f>
        <v>2448529.7002229402</v>
      </c>
      <c r="V187" s="227">
        <f>S187*I187</f>
        <v>3263222.6876564799</v>
      </c>
      <c r="W187" s="221" t="s">
        <v>764</v>
      </c>
      <c r="X187" s="221" t="s">
        <v>621</v>
      </c>
      <c r="Y187" s="229">
        <f>SUMIFS(Cert_App_Output!$G:$G,Cert_App_Output!$E:$E,$E187,Cert_App_Output!$K:$K,$X187)</f>
        <v>0</v>
      </c>
    </row>
    <row r="188" spans="1:25" x14ac:dyDescent="0.35">
      <c r="A188" s="221" t="s">
        <v>397</v>
      </c>
      <c r="B188" s="221" t="s">
        <v>573</v>
      </c>
      <c r="C188" s="221" t="s">
        <v>409</v>
      </c>
      <c r="D188" s="221" t="s">
        <v>573</v>
      </c>
      <c r="E188" s="221">
        <v>19.100000000000001</v>
      </c>
      <c r="F188" s="221" t="s">
        <v>574</v>
      </c>
      <c r="G188" s="221" t="s">
        <v>768</v>
      </c>
      <c r="H188" s="221" t="s">
        <v>576</v>
      </c>
      <c r="I188" s="225">
        <v>1</v>
      </c>
      <c r="J188" s="226">
        <v>2976289.8522000001</v>
      </c>
      <c r="K188" s="226">
        <v>10636203.036055399</v>
      </c>
      <c r="L188" s="226">
        <v>0</v>
      </c>
      <c r="M188" s="226">
        <v>204187.39332383199</v>
      </c>
      <c r="N188" s="227">
        <f>SUM(J188:M188)</f>
        <v>13816680.28157923</v>
      </c>
      <c r="O188" s="227">
        <f>IF($N188=0,$S188,J188/$N188*$S188)</f>
        <v>3966583.1171484194</v>
      </c>
      <c r="P188" s="227">
        <f t="shared" si="80"/>
        <v>14175159.506791569</v>
      </c>
      <c r="Q188" s="227">
        <f t="shared" si="80"/>
        <v>0</v>
      </c>
      <c r="R188" s="227">
        <f t="shared" si="80"/>
        <v>272126.13935910119</v>
      </c>
      <c r="S188" s="226">
        <v>18413868.763299089</v>
      </c>
      <c r="T188" s="228">
        <f>IFERROR(S188/N188,"")</f>
        <v>1.3327274271410154</v>
      </c>
      <c r="U188" s="227">
        <f>N188*I188</f>
        <v>13816680.28157923</v>
      </c>
      <c r="V188" s="227">
        <f>S188*I188</f>
        <v>18413868.763299089</v>
      </c>
      <c r="W188" s="221" t="s">
        <v>764</v>
      </c>
      <c r="X188" s="221" t="s">
        <v>621</v>
      </c>
      <c r="Y188" s="229">
        <f>SUMIFS(Cert_App_Output!$G:$G,Cert_App_Output!$E:$E,$E188,Cert_App_Output!$K:$K,$X188)</f>
        <v>0.90000000000000013</v>
      </c>
    </row>
    <row r="189" spans="1:25" x14ac:dyDescent="0.35">
      <c r="A189" s="221" t="s">
        <v>397</v>
      </c>
      <c r="B189" s="221" t="s">
        <v>573</v>
      </c>
      <c r="C189" s="221" t="s">
        <v>409</v>
      </c>
      <c r="D189" s="221" t="s">
        <v>573</v>
      </c>
      <c r="E189" s="221">
        <v>19.11</v>
      </c>
      <c r="F189" s="221" t="s">
        <v>574</v>
      </c>
      <c r="G189" s="221" t="s">
        <v>769</v>
      </c>
      <c r="H189" s="221" t="s">
        <v>576</v>
      </c>
      <c r="I189" s="225">
        <v>1</v>
      </c>
      <c r="J189" s="226">
        <v>2023467.36</v>
      </c>
      <c r="K189" s="226">
        <v>2577248.88227659</v>
      </c>
      <c r="L189" s="226">
        <v>0</v>
      </c>
      <c r="M189" s="226">
        <v>69010.743634148894</v>
      </c>
      <c r="N189" s="227">
        <f>SUM(J189:M189)</f>
        <v>4669726.9859107388</v>
      </c>
      <c r="O189" s="227">
        <f>IF($N189=0,$S189,J189/$N189*$S189)</f>
        <v>2696730.4485966223</v>
      </c>
      <c r="P189" s="227">
        <f t="shared" si="80"/>
        <v>3434770.2719785366</v>
      </c>
      <c r="Q189" s="227">
        <f t="shared" si="80"/>
        <v>0</v>
      </c>
      <c r="R189" s="227">
        <f t="shared" si="80"/>
        <v>91972.510808627441</v>
      </c>
      <c r="S189" s="226">
        <v>6223473.2313837865</v>
      </c>
      <c r="T189" s="228">
        <f>IFERROR(S189/N189,"")</f>
        <v>1.3327274271410152</v>
      </c>
      <c r="U189" s="227">
        <f>N189*I189</f>
        <v>4669726.9859107388</v>
      </c>
      <c r="V189" s="227">
        <f>S189*I189</f>
        <v>6223473.2313837865</v>
      </c>
      <c r="W189" s="221" t="s">
        <v>764</v>
      </c>
      <c r="X189" s="221" t="s">
        <v>621</v>
      </c>
      <c r="Y189" s="229">
        <f>SUMIFS(Cert_App_Output!$G:$G,Cert_App_Output!$E:$E,$E189,Cert_App_Output!$K:$K,$X189)</f>
        <v>0</v>
      </c>
    </row>
    <row r="190" spans="1:25" x14ac:dyDescent="0.35">
      <c r="A190" s="221" t="s">
        <v>573</v>
      </c>
      <c r="B190" s="221" t="s">
        <v>573</v>
      </c>
      <c r="C190" s="221" t="s">
        <v>573</v>
      </c>
      <c r="D190" s="221" t="s">
        <v>573</v>
      </c>
      <c r="G190" s="221" t="s">
        <v>770</v>
      </c>
      <c r="I190" s="222"/>
      <c r="J190" s="223"/>
      <c r="K190" s="223"/>
      <c r="L190" s="223"/>
      <c r="M190" s="223"/>
      <c r="N190" s="223"/>
      <c r="O190" s="223"/>
      <c r="P190" s="223"/>
      <c r="Q190" s="223"/>
      <c r="R190" s="223"/>
      <c r="S190" s="223"/>
      <c r="T190" s="224"/>
      <c r="U190" s="223"/>
      <c r="V190" s="223"/>
      <c r="W190" s="221" t="s">
        <v>770</v>
      </c>
      <c r="Y190" s="215"/>
    </row>
    <row r="191" spans="1:25" x14ac:dyDescent="0.35">
      <c r="A191" s="221" t="s">
        <v>397</v>
      </c>
      <c r="B191" s="221" t="s">
        <v>573</v>
      </c>
      <c r="C191" s="221" t="s">
        <v>409</v>
      </c>
      <c r="D191" s="221" t="s">
        <v>573</v>
      </c>
      <c r="E191" s="221">
        <v>19.12</v>
      </c>
      <c r="F191" s="221" t="s">
        <v>574</v>
      </c>
      <c r="G191" s="221" t="s">
        <v>771</v>
      </c>
      <c r="H191" s="221" t="s">
        <v>576</v>
      </c>
      <c r="I191" s="225">
        <v>1</v>
      </c>
      <c r="J191" s="226">
        <v>450000</v>
      </c>
      <c r="K191" s="226">
        <v>1500000</v>
      </c>
      <c r="L191" s="226">
        <v>0</v>
      </c>
      <c r="M191" s="226">
        <v>29250</v>
      </c>
      <c r="N191" s="227">
        <f>SUM(J191:M191)</f>
        <v>1979250</v>
      </c>
      <c r="O191" s="227">
        <f>IF($N191=0,$S191,J191/$N191*$S191)</f>
        <v>599727.34221345687</v>
      </c>
      <c r="P191" s="227">
        <f>IF($N191=0,0,K191/$N191*$S191)</f>
        <v>1999091.1407115227</v>
      </c>
      <c r="Q191" s="227">
        <f>IF($N191=0,0,L191/$N191*$S191)</f>
        <v>0</v>
      </c>
      <c r="R191" s="227">
        <f>IF($N191=0,0,M191/$N191*$S191)</f>
        <v>38982.277243874691</v>
      </c>
      <c r="S191" s="226">
        <v>2637800.7601688541</v>
      </c>
      <c r="T191" s="228">
        <f>IFERROR(S191/N191,"")</f>
        <v>1.332727427141015</v>
      </c>
      <c r="U191" s="227">
        <f>N191*I191</f>
        <v>1979250</v>
      </c>
      <c r="V191" s="227">
        <f>S191*I191</f>
        <v>2637800.7601688541</v>
      </c>
      <c r="W191" s="221" t="s">
        <v>770</v>
      </c>
      <c r="X191" s="221" t="s">
        <v>621</v>
      </c>
      <c r="Y191" s="229">
        <f>SUMIFS(Cert_App_Output!$G:$G,Cert_App_Output!$E:$E,$E191,Cert_App_Output!$K:$K,$X191)</f>
        <v>1</v>
      </c>
    </row>
    <row r="192" spans="1:25" x14ac:dyDescent="0.35">
      <c r="A192" s="221" t="s">
        <v>573</v>
      </c>
      <c r="B192" s="221" t="s">
        <v>573</v>
      </c>
      <c r="C192" s="221" t="s">
        <v>573</v>
      </c>
      <c r="D192" s="221" t="s">
        <v>573</v>
      </c>
      <c r="G192" s="221" t="s">
        <v>772</v>
      </c>
      <c r="I192" s="222"/>
      <c r="J192" s="223"/>
      <c r="K192" s="223"/>
      <c r="L192" s="223"/>
      <c r="M192" s="223"/>
      <c r="N192" s="223"/>
      <c r="O192" s="223"/>
      <c r="P192" s="223"/>
      <c r="Q192" s="223"/>
      <c r="R192" s="223"/>
      <c r="S192" s="223"/>
      <c r="T192" s="224"/>
      <c r="U192" s="223"/>
      <c r="V192" s="223"/>
      <c r="W192" s="221" t="s">
        <v>772</v>
      </c>
      <c r="Y192" s="215"/>
    </row>
    <row r="193" spans="1:25" x14ac:dyDescent="0.35">
      <c r="A193" s="221" t="s">
        <v>397</v>
      </c>
      <c r="B193" s="221" t="s">
        <v>573</v>
      </c>
      <c r="C193" s="221" t="s">
        <v>409</v>
      </c>
      <c r="D193" s="221" t="s">
        <v>573</v>
      </c>
      <c r="E193" s="221">
        <v>19.13</v>
      </c>
      <c r="F193" s="221" t="s">
        <v>574</v>
      </c>
      <c r="G193" s="221" t="s">
        <v>773</v>
      </c>
      <c r="H193" s="221" t="s">
        <v>576</v>
      </c>
      <c r="I193" s="225">
        <v>1</v>
      </c>
      <c r="J193" s="226">
        <v>6864779.6540000001</v>
      </c>
      <c r="K193" s="226">
        <v>19750412.0247702</v>
      </c>
      <c r="L193" s="226">
        <v>0</v>
      </c>
      <c r="M193" s="226">
        <v>399227.87518155301</v>
      </c>
      <c r="N193" s="227">
        <f>SUM(J193:M193)</f>
        <v>27014419.553951751</v>
      </c>
      <c r="O193" s="227">
        <f>IF($N193=0,$S193,J193/$N193*$S193)</f>
        <v>9148880.1261654086</v>
      </c>
      <c r="P193" s="227">
        <f t="shared" ref="P193:R194" si="81">IF($N193=0,0,K193/$N193*$S193)</f>
        <v>26321915.802746959</v>
      </c>
      <c r="Q193" s="227">
        <f t="shared" si="81"/>
        <v>0</v>
      </c>
      <c r="R193" s="227">
        <f t="shared" si="81"/>
        <v>532061.93893368554</v>
      </c>
      <c r="S193" s="226">
        <v>36002857.867846049</v>
      </c>
      <c r="T193" s="228">
        <f>IFERROR(S193/N193,"")</f>
        <v>1.3327274271410152</v>
      </c>
      <c r="U193" s="227">
        <f>N193*I193</f>
        <v>27014419.553951751</v>
      </c>
      <c r="V193" s="227">
        <f>S193*I193</f>
        <v>36002857.867846049</v>
      </c>
      <c r="W193" s="221" t="s">
        <v>772</v>
      </c>
      <c r="X193" s="221" t="s">
        <v>621</v>
      </c>
      <c r="Y193" s="229">
        <f>SUMIFS(Cert_App_Output!$G:$G,Cert_App_Output!$E:$E,$E193,Cert_App_Output!$K:$K,$X193)</f>
        <v>0.60000000000000009</v>
      </c>
    </row>
    <row r="194" spans="1:25" x14ac:dyDescent="0.35">
      <c r="A194" s="221" t="s">
        <v>397</v>
      </c>
      <c r="B194" s="221" t="s">
        <v>573</v>
      </c>
      <c r="C194" s="221" t="s">
        <v>409</v>
      </c>
      <c r="D194" s="221" t="s">
        <v>573</v>
      </c>
      <c r="E194" s="221">
        <v>19.14</v>
      </c>
      <c r="F194" s="221" t="s">
        <v>574</v>
      </c>
      <c r="G194" s="221" t="s">
        <v>774</v>
      </c>
      <c r="H194" s="221" t="s">
        <v>576</v>
      </c>
      <c r="I194" s="225">
        <v>1</v>
      </c>
      <c r="J194" s="226">
        <v>601141.68000000005</v>
      </c>
      <c r="K194" s="226">
        <v>2194490.2249744702</v>
      </c>
      <c r="L194" s="226">
        <v>0</v>
      </c>
      <c r="M194" s="226">
        <v>41934.478574617002</v>
      </c>
      <c r="N194" s="227">
        <f>SUM(J194:M194)</f>
        <v>2837566.3835490872</v>
      </c>
      <c r="O194" s="227">
        <f>IF($N194=0,$S194,J194/$N194*$S194)</f>
        <v>801158.00453362754</v>
      </c>
      <c r="P194" s="227">
        <f t="shared" si="81"/>
        <v>2924657.3114163331</v>
      </c>
      <c r="Q194" s="227">
        <f t="shared" si="81"/>
        <v>0</v>
      </c>
      <c r="R194" s="227">
        <f t="shared" si="81"/>
        <v>55887.229739249335</v>
      </c>
      <c r="S194" s="226">
        <v>3781702.5456892098</v>
      </c>
      <c r="T194" s="228">
        <f>IFERROR(S194/N194,"")</f>
        <v>1.332727427141015</v>
      </c>
      <c r="U194" s="227">
        <f>N194*I194</f>
        <v>2837566.3835490872</v>
      </c>
      <c r="V194" s="227">
        <f>S194*I194</f>
        <v>3781702.5456892098</v>
      </c>
      <c r="W194" s="221" t="s">
        <v>772</v>
      </c>
      <c r="X194" s="221" t="s">
        <v>621</v>
      </c>
      <c r="Y194" s="229">
        <f>SUMIFS(Cert_App_Output!$G:$G,Cert_App_Output!$E:$E,$E194,Cert_App_Output!$K:$K,$X194)</f>
        <v>0</v>
      </c>
    </row>
    <row r="195" spans="1:25" x14ac:dyDescent="0.35">
      <c r="A195" s="221" t="s">
        <v>573</v>
      </c>
      <c r="B195" s="221" t="s">
        <v>573</v>
      </c>
      <c r="C195" s="221" t="s">
        <v>573</v>
      </c>
      <c r="D195" s="221" t="s">
        <v>573</v>
      </c>
      <c r="G195" s="221" t="s">
        <v>775</v>
      </c>
      <c r="I195" s="222"/>
      <c r="J195" s="223"/>
      <c r="K195" s="223"/>
      <c r="L195" s="223"/>
      <c r="M195" s="223"/>
      <c r="N195" s="223"/>
      <c r="O195" s="223"/>
      <c r="P195" s="223"/>
      <c r="Q195" s="223"/>
      <c r="R195" s="223"/>
      <c r="S195" s="223"/>
      <c r="T195" s="224"/>
      <c r="U195" s="223"/>
      <c r="V195" s="223"/>
      <c r="W195" s="221" t="s">
        <v>775</v>
      </c>
      <c r="Y195" s="215"/>
    </row>
    <row r="196" spans="1:25" x14ac:dyDescent="0.35">
      <c r="A196" s="221" t="s">
        <v>397</v>
      </c>
      <c r="B196" s="221" t="s">
        <v>573</v>
      </c>
      <c r="C196" s="221" t="s">
        <v>409</v>
      </c>
      <c r="D196" s="221" t="s">
        <v>573</v>
      </c>
      <c r="E196" s="221">
        <v>19.149999999999999</v>
      </c>
      <c r="F196" s="221" t="s">
        <v>574</v>
      </c>
      <c r="G196" s="221" t="s">
        <v>776</v>
      </c>
      <c r="H196" s="221" t="s">
        <v>576</v>
      </c>
      <c r="I196" s="225">
        <v>1</v>
      </c>
      <c r="J196" s="226">
        <v>2943433.7760000001</v>
      </c>
      <c r="K196" s="226">
        <v>1816615.8408501199</v>
      </c>
      <c r="L196" s="226">
        <v>0</v>
      </c>
      <c r="M196" s="226">
        <v>71400.7442527518</v>
      </c>
      <c r="N196" s="227">
        <f>SUM(J196:M196)</f>
        <v>4831450.3611028716</v>
      </c>
      <c r="O196" s="227">
        <f>IF($N196=0,$S196,J196/$N196*$S196)</f>
        <v>3922794.9232484438</v>
      </c>
      <c r="P196" s="227">
        <f>IF($N196=0,0,K196/$N196*$S196)</f>
        <v>2421053.7556797923</v>
      </c>
      <c r="Q196" s="227">
        <f>IF($N196=0,0,L196/$N196*$S196)</f>
        <v>0</v>
      </c>
      <c r="R196" s="227">
        <f>IF($N196=0,0,M196/$N196*$S196)</f>
        <v>95157.730183923544</v>
      </c>
      <c r="S196" s="226">
        <v>6439006.4091121592</v>
      </c>
      <c r="T196" s="228">
        <f>IFERROR(S196/N196,"")</f>
        <v>1.3327274271410152</v>
      </c>
      <c r="U196" s="227">
        <f>N196*I196</f>
        <v>4831450.3611028716</v>
      </c>
      <c r="V196" s="227">
        <f>S196*I196</f>
        <v>6439006.4091121592</v>
      </c>
      <c r="W196" s="221" t="s">
        <v>775</v>
      </c>
      <c r="X196" s="221" t="s">
        <v>621</v>
      </c>
      <c r="Y196" s="229">
        <f>SUMIFS(Cert_App_Output!$G:$G,Cert_App_Output!$E:$E,$E196,Cert_App_Output!$K:$K,$X196)</f>
        <v>0.5</v>
      </c>
    </row>
    <row r="197" spans="1:25" x14ac:dyDescent="0.35">
      <c r="A197" s="221" t="s">
        <v>573</v>
      </c>
      <c r="B197" s="221" t="s">
        <v>573</v>
      </c>
      <c r="C197" s="221" t="s">
        <v>573</v>
      </c>
      <c r="D197" s="221" t="s">
        <v>573</v>
      </c>
      <c r="G197" s="221" t="s">
        <v>777</v>
      </c>
      <c r="I197" s="222"/>
      <c r="J197" s="223"/>
      <c r="K197" s="223"/>
      <c r="L197" s="223"/>
      <c r="M197" s="223"/>
      <c r="N197" s="223"/>
      <c r="O197" s="223"/>
      <c r="P197" s="223"/>
      <c r="Q197" s="223"/>
      <c r="R197" s="223"/>
      <c r="S197" s="223"/>
      <c r="T197" s="224"/>
      <c r="U197" s="223"/>
      <c r="V197" s="223"/>
      <c r="W197" s="221" t="s">
        <v>777</v>
      </c>
      <c r="Y197" s="215"/>
    </row>
    <row r="198" spans="1:25" x14ac:dyDescent="0.35">
      <c r="A198" s="221" t="s">
        <v>397</v>
      </c>
      <c r="B198" s="221" t="s">
        <v>573</v>
      </c>
      <c r="C198" s="221" t="s">
        <v>409</v>
      </c>
      <c r="D198" s="221" t="s">
        <v>573</v>
      </c>
      <c r="E198" s="221">
        <v>19.16</v>
      </c>
      <c r="F198" s="221" t="s">
        <v>593</v>
      </c>
      <c r="G198" s="221" t="s">
        <v>778</v>
      </c>
      <c r="H198" s="221" t="s">
        <v>576</v>
      </c>
      <c r="I198" s="225">
        <v>1</v>
      </c>
      <c r="J198" s="226">
        <v>5213745.5347999996</v>
      </c>
      <c r="K198" s="226">
        <v>15641236.6044</v>
      </c>
      <c r="L198" s="226">
        <v>0</v>
      </c>
      <c r="M198" s="226">
        <v>0</v>
      </c>
      <c r="N198" s="227">
        <f>SUM(J198:M198)</f>
        <v>20854982.139199998</v>
      </c>
      <c r="O198" s="227">
        <f>IF($N198=0,$S198,J198/$N198*$S198)</f>
        <v>6948501.6723619597</v>
      </c>
      <c r="P198" s="227">
        <f t="shared" ref="P198:R201" si="82">IF($N198=0,0,K198/$N198*$S198)</f>
        <v>20845505.01708588</v>
      </c>
      <c r="Q198" s="227">
        <f t="shared" si="82"/>
        <v>0</v>
      </c>
      <c r="R198" s="227">
        <f t="shared" si="82"/>
        <v>0</v>
      </c>
      <c r="S198" s="226">
        <v>27794006.689447839</v>
      </c>
      <c r="T198" s="228">
        <f>IFERROR(S198/N198,"")</f>
        <v>1.3327274271410152</v>
      </c>
      <c r="U198" s="227">
        <f>N198*I198</f>
        <v>20854982.139199998</v>
      </c>
      <c r="V198" s="227">
        <f>S198*I198</f>
        <v>27794006.689447839</v>
      </c>
      <c r="W198" s="221" t="s">
        <v>777</v>
      </c>
      <c r="X198" s="221" t="s">
        <v>621</v>
      </c>
      <c r="Y198" s="229">
        <f>SUMIFS(Cert_App_Output!$G:$G,Cert_App_Output!$E:$E,$E198,Cert_App_Output!$K:$K,$X198)</f>
        <v>0.7</v>
      </c>
    </row>
    <row r="199" spans="1:25" x14ac:dyDescent="0.35">
      <c r="A199" s="221" t="s">
        <v>397</v>
      </c>
      <c r="B199" s="221" t="s">
        <v>573</v>
      </c>
      <c r="C199" s="221" t="s">
        <v>409</v>
      </c>
      <c r="D199" s="221" t="s">
        <v>573</v>
      </c>
      <c r="E199" s="221">
        <v>19.170000000000002</v>
      </c>
      <c r="F199" s="221" t="s">
        <v>593</v>
      </c>
      <c r="G199" s="221" t="s">
        <v>779</v>
      </c>
      <c r="H199" s="221" t="s">
        <v>600</v>
      </c>
      <c r="I199" s="225">
        <v>8</v>
      </c>
      <c r="J199" s="226">
        <v>15000</v>
      </c>
      <c r="K199" s="226">
        <v>30000</v>
      </c>
      <c r="L199" s="226">
        <v>0</v>
      </c>
      <c r="M199" s="226">
        <v>0</v>
      </c>
      <c r="N199" s="227">
        <f>SUM(J199:M199)</f>
        <v>45000</v>
      </c>
      <c r="O199" s="227">
        <f>IF($N199=0,$S199,J199/$N199*$S199)</f>
        <v>19990.911407115229</v>
      </c>
      <c r="P199" s="227">
        <f t="shared" si="82"/>
        <v>39981.822814230458</v>
      </c>
      <c r="Q199" s="227">
        <f t="shared" si="82"/>
        <v>0</v>
      </c>
      <c r="R199" s="227">
        <f t="shared" si="82"/>
        <v>0</v>
      </c>
      <c r="S199" s="226">
        <v>59972.734221345687</v>
      </c>
      <c r="T199" s="228">
        <f>IFERROR(S199/N199,"")</f>
        <v>1.3327274271410152</v>
      </c>
      <c r="U199" s="227">
        <f>N199*I199</f>
        <v>360000</v>
      </c>
      <c r="V199" s="227">
        <f>S199*I199</f>
        <v>479781.87377076549</v>
      </c>
      <c r="W199" s="221" t="s">
        <v>777</v>
      </c>
      <c r="X199" s="221" t="s">
        <v>621</v>
      </c>
      <c r="Y199" s="229">
        <f>SUMIFS(Cert_App_Output!$G:$G,Cert_App_Output!$E:$E,$E199,Cert_App_Output!$K:$K,$X199)</f>
        <v>0</v>
      </c>
    </row>
    <row r="200" spans="1:25" x14ac:dyDescent="0.35">
      <c r="A200" s="221" t="s">
        <v>397</v>
      </c>
      <c r="B200" s="221" t="s">
        <v>573</v>
      </c>
      <c r="C200" s="221" t="s">
        <v>409</v>
      </c>
      <c r="D200" s="221" t="s">
        <v>573</v>
      </c>
      <c r="E200" s="221">
        <v>19.18</v>
      </c>
      <c r="F200" s="221" t="s">
        <v>593</v>
      </c>
      <c r="G200" s="221" t="s">
        <v>780</v>
      </c>
      <c r="H200" s="221" t="s">
        <v>576</v>
      </c>
      <c r="I200" s="225">
        <v>8</v>
      </c>
      <c r="J200" s="226">
        <v>1500</v>
      </c>
      <c r="K200" s="226">
        <v>19238.769926642999</v>
      </c>
      <c r="L200" s="226">
        <v>0</v>
      </c>
      <c r="M200" s="226">
        <v>0</v>
      </c>
      <c r="N200" s="227">
        <f>SUM(J200:M200)</f>
        <v>20738.769926642999</v>
      </c>
      <c r="O200" s="227">
        <f>IF($N200=0,$S200,J200/$N200*$S200)</f>
        <v>1999.0911407115225</v>
      </c>
      <c r="P200" s="227">
        <f t="shared" si="82"/>
        <v>25640.036345692861</v>
      </c>
      <c r="Q200" s="227">
        <f t="shared" si="82"/>
        <v>0</v>
      </c>
      <c r="R200" s="227">
        <f t="shared" si="82"/>
        <v>0</v>
      </c>
      <c r="S200" s="226">
        <v>27639.127486404381</v>
      </c>
      <c r="T200" s="228">
        <f>IFERROR(S200/N200,"")</f>
        <v>1.332727427141015</v>
      </c>
      <c r="U200" s="227">
        <f>N200*I200</f>
        <v>165910.15941314399</v>
      </c>
      <c r="V200" s="227">
        <f>S200*I200</f>
        <v>221113.01989123505</v>
      </c>
      <c r="W200" s="221" t="s">
        <v>777</v>
      </c>
      <c r="X200" s="221" t="s">
        <v>621</v>
      </c>
      <c r="Y200" s="229">
        <f>SUMIFS(Cert_App_Output!$G:$G,Cert_App_Output!$E:$E,$E200,Cert_App_Output!$K:$K,$X200)</f>
        <v>0</v>
      </c>
    </row>
    <row r="201" spans="1:25" x14ac:dyDescent="0.35">
      <c r="A201" s="221" t="s">
        <v>397</v>
      </c>
      <c r="B201" s="221" t="s">
        <v>573</v>
      </c>
      <c r="C201" s="221" t="s">
        <v>409</v>
      </c>
      <c r="D201" s="221" t="s">
        <v>573</v>
      </c>
      <c r="E201" s="221">
        <v>19.190000000000001</v>
      </c>
      <c r="F201" s="221" t="s">
        <v>781</v>
      </c>
      <c r="G201" s="221" t="s">
        <v>782</v>
      </c>
      <c r="H201" s="221" t="s">
        <v>576</v>
      </c>
      <c r="I201" s="225">
        <v>1</v>
      </c>
      <c r="J201" s="226">
        <v>0</v>
      </c>
      <c r="K201" s="226">
        <v>3510000</v>
      </c>
      <c r="L201" s="226">
        <v>0</v>
      </c>
      <c r="M201" s="226">
        <v>0</v>
      </c>
      <c r="N201" s="227">
        <f>SUM(J201:M201)</f>
        <v>3510000</v>
      </c>
      <c r="O201" s="227">
        <f>IF($N201=0,$S201,J201/$N201*$S201)</f>
        <v>0</v>
      </c>
      <c r="P201" s="227">
        <f t="shared" si="82"/>
        <v>4677873.2692649635</v>
      </c>
      <c r="Q201" s="227">
        <f t="shared" si="82"/>
        <v>0</v>
      </c>
      <c r="R201" s="227">
        <f t="shared" si="82"/>
        <v>0</v>
      </c>
      <c r="S201" s="226">
        <v>4677873.2692649635</v>
      </c>
      <c r="T201" s="228">
        <f>IFERROR(S201/N201,"")</f>
        <v>1.3327274271410152</v>
      </c>
      <c r="U201" s="227">
        <f>N201*I201</f>
        <v>3510000</v>
      </c>
      <c r="V201" s="227">
        <f>S201*I201</f>
        <v>4677873.2692649635</v>
      </c>
      <c r="W201" s="221" t="s">
        <v>777</v>
      </c>
      <c r="X201" s="221" t="s">
        <v>621</v>
      </c>
      <c r="Y201" s="229">
        <f>SUMIFS(Cert_App_Output!$G:$G,Cert_App_Output!$E:$E,$E201,Cert_App_Output!$K:$K,$X201)</f>
        <v>0.35</v>
      </c>
    </row>
    <row r="202" spans="1:25" x14ac:dyDescent="0.35">
      <c r="A202" s="221" t="s">
        <v>573</v>
      </c>
      <c r="B202" s="221" t="s">
        <v>573</v>
      </c>
      <c r="C202" s="221" t="s">
        <v>573</v>
      </c>
      <c r="D202" s="221" t="s">
        <v>573</v>
      </c>
      <c r="E202" s="221">
        <v>20</v>
      </c>
      <c r="G202" s="221" t="s">
        <v>783</v>
      </c>
      <c r="I202" s="222"/>
      <c r="J202" s="223"/>
      <c r="K202" s="223"/>
      <c r="L202" s="223"/>
      <c r="M202" s="223"/>
      <c r="N202" s="223"/>
      <c r="O202" s="223"/>
      <c r="P202" s="223"/>
      <c r="Q202" s="223"/>
      <c r="R202" s="223"/>
      <c r="S202" s="223"/>
      <c r="T202" s="224"/>
      <c r="U202" s="223"/>
      <c r="V202" s="223"/>
      <c r="W202" s="221" t="s">
        <v>783</v>
      </c>
      <c r="X202" s="221" t="s">
        <v>621</v>
      </c>
      <c r="Y202" s="215"/>
    </row>
    <row r="203" spans="1:25" x14ac:dyDescent="0.35">
      <c r="A203" s="221" t="s">
        <v>573</v>
      </c>
      <c r="B203" s="221" t="s">
        <v>573</v>
      </c>
      <c r="C203" s="221" t="s">
        <v>573</v>
      </c>
      <c r="D203" s="221" t="s">
        <v>573</v>
      </c>
      <c r="E203" s="221">
        <v>20.010000000000002</v>
      </c>
      <c r="F203" s="221" t="s">
        <v>574</v>
      </c>
      <c r="G203" s="221" t="s">
        <v>784</v>
      </c>
      <c r="H203" s="221" t="s">
        <v>600</v>
      </c>
      <c r="I203" s="225">
        <v>0</v>
      </c>
      <c r="J203" s="226">
        <v>0</v>
      </c>
      <c r="K203" s="226">
        <v>0</v>
      </c>
      <c r="L203" s="226">
        <v>0</v>
      </c>
      <c r="M203" s="226">
        <v>0</v>
      </c>
      <c r="N203" s="227">
        <f>SUM(J203:M203)</f>
        <v>0</v>
      </c>
      <c r="O203" s="227">
        <f>IF($N203=0,$S203,J203/$N203*$S203)</f>
        <v>0</v>
      </c>
      <c r="P203" s="227">
        <f t="shared" ref="P203:R204" si="83">IF($N203=0,0,K203/$N203*$S203)</f>
        <v>0</v>
      </c>
      <c r="Q203" s="227">
        <f t="shared" si="83"/>
        <v>0</v>
      </c>
      <c r="R203" s="227">
        <f t="shared" si="83"/>
        <v>0</v>
      </c>
      <c r="S203" s="226">
        <v>0</v>
      </c>
      <c r="T203" s="228" t="str">
        <f>IFERROR(S203/N203,"")</f>
        <v/>
      </c>
      <c r="U203" s="227">
        <f>N203*I203</f>
        <v>0</v>
      </c>
      <c r="V203" s="227">
        <f>S203*I203</f>
        <v>0</v>
      </c>
      <c r="W203" s="221" t="s">
        <v>783</v>
      </c>
      <c r="X203" s="221" t="s">
        <v>621</v>
      </c>
      <c r="Y203" s="229">
        <f>SUMIFS(Cert_App_Output!$G:$G,Cert_App_Output!$E:$E,$E203,Cert_App_Output!$K:$K,$X203)</f>
        <v>0</v>
      </c>
    </row>
    <row r="204" spans="1:25" x14ac:dyDescent="0.35">
      <c r="A204" s="221" t="s">
        <v>573</v>
      </c>
      <c r="B204" s="221" t="s">
        <v>573</v>
      </c>
      <c r="C204" s="221" t="s">
        <v>573</v>
      </c>
      <c r="D204" s="221" t="s">
        <v>573</v>
      </c>
      <c r="E204" s="221">
        <v>20.02</v>
      </c>
      <c r="F204" s="221" t="s">
        <v>574</v>
      </c>
      <c r="G204" s="221" t="s">
        <v>785</v>
      </c>
      <c r="H204" s="221" t="s">
        <v>600</v>
      </c>
      <c r="I204" s="225">
        <v>0</v>
      </c>
      <c r="J204" s="226">
        <v>0</v>
      </c>
      <c r="K204" s="226">
        <v>0</v>
      </c>
      <c r="L204" s="226">
        <v>0</v>
      </c>
      <c r="M204" s="226">
        <v>0</v>
      </c>
      <c r="N204" s="227">
        <f>SUM(J204:M204)</f>
        <v>0</v>
      </c>
      <c r="O204" s="227">
        <f>IF($N204=0,$S204,J204/$N204*$S204)</f>
        <v>0</v>
      </c>
      <c r="P204" s="227">
        <f t="shared" si="83"/>
        <v>0</v>
      </c>
      <c r="Q204" s="227">
        <f t="shared" si="83"/>
        <v>0</v>
      </c>
      <c r="R204" s="227">
        <f t="shared" si="83"/>
        <v>0</v>
      </c>
      <c r="S204" s="226">
        <v>0</v>
      </c>
      <c r="T204" s="228" t="str">
        <f>IFERROR(S204/N204,"")</f>
        <v/>
      </c>
      <c r="U204" s="227">
        <f>N204*I204</f>
        <v>0</v>
      </c>
      <c r="V204" s="227">
        <f>S204*I204</f>
        <v>0</v>
      </c>
      <c r="W204" s="221" t="s">
        <v>783</v>
      </c>
      <c r="X204" s="221" t="s">
        <v>621</v>
      </c>
      <c r="Y204" s="229">
        <f>SUMIFS(Cert_App_Output!$G:$G,Cert_App_Output!$E:$E,$E204,Cert_App_Output!$K:$K,$X204)</f>
        <v>0</v>
      </c>
    </row>
    <row r="205" spans="1:25" x14ac:dyDescent="0.35">
      <c r="A205" s="221" t="s">
        <v>573</v>
      </c>
      <c r="B205" s="221" t="s">
        <v>573</v>
      </c>
      <c r="C205" s="221" t="s">
        <v>573</v>
      </c>
      <c r="D205" s="221" t="s">
        <v>573</v>
      </c>
      <c r="E205" s="221">
        <v>21</v>
      </c>
      <c r="G205" s="221" t="s">
        <v>786</v>
      </c>
      <c r="I205" s="222"/>
      <c r="J205" s="223"/>
      <c r="K205" s="223"/>
      <c r="L205" s="223"/>
      <c r="M205" s="223"/>
      <c r="N205" s="223"/>
      <c r="O205" s="223"/>
      <c r="P205" s="223"/>
      <c r="Q205" s="223"/>
      <c r="R205" s="223"/>
      <c r="S205" s="223"/>
      <c r="T205" s="224"/>
      <c r="U205" s="223"/>
      <c r="V205" s="223"/>
      <c r="W205" s="221" t="s">
        <v>786</v>
      </c>
      <c r="X205" s="221" t="s">
        <v>621</v>
      </c>
      <c r="Y205" s="215"/>
    </row>
    <row r="206" spans="1:25" x14ac:dyDescent="0.35">
      <c r="A206" s="221" t="s">
        <v>573</v>
      </c>
      <c r="B206" s="221" t="s">
        <v>573</v>
      </c>
      <c r="C206" s="221" t="s">
        <v>573</v>
      </c>
      <c r="D206" s="221" t="s">
        <v>573</v>
      </c>
      <c r="E206" s="221">
        <v>21.01</v>
      </c>
      <c r="F206" s="221" t="s">
        <v>574</v>
      </c>
      <c r="G206" s="221" t="s">
        <v>787</v>
      </c>
      <c r="H206" s="221" t="s">
        <v>576</v>
      </c>
      <c r="I206" s="225">
        <v>1</v>
      </c>
      <c r="J206" s="226">
        <v>0</v>
      </c>
      <c r="K206" s="226">
        <v>0</v>
      </c>
      <c r="L206" s="226">
        <v>0</v>
      </c>
      <c r="M206" s="226">
        <v>0</v>
      </c>
      <c r="N206" s="227">
        <f>SUM(J206:M206)</f>
        <v>0</v>
      </c>
      <c r="O206" s="227">
        <f>IF($N206=0,$S206,J206/$N206*$S206)</f>
        <v>0</v>
      </c>
      <c r="P206" s="227">
        <f>IF($N206=0,0,K206/$N206*$S206)</f>
        <v>0</v>
      </c>
      <c r="Q206" s="227">
        <f>IF($N206=0,0,L206/$N206*$S206)</f>
        <v>0</v>
      </c>
      <c r="R206" s="227">
        <f>IF($N206=0,0,M206/$N206*$S206)</f>
        <v>0</v>
      </c>
      <c r="S206" s="226">
        <v>0</v>
      </c>
      <c r="T206" s="228" t="str">
        <f>IFERROR(S206/N206,"")</f>
        <v/>
      </c>
      <c r="U206" s="227">
        <f>N206*I206</f>
        <v>0</v>
      </c>
      <c r="V206" s="227">
        <f>S206*I206</f>
        <v>0</v>
      </c>
      <c r="W206" s="221" t="s">
        <v>786</v>
      </c>
      <c r="X206" s="221" t="s">
        <v>621</v>
      </c>
      <c r="Y206" s="229">
        <f>SUMIFS(Cert_App_Output!$G:$G,Cert_App_Output!$E:$E,$E206,Cert_App_Output!$K:$K,$X206)</f>
        <v>0</v>
      </c>
    </row>
    <row r="207" spans="1:25" x14ac:dyDescent="0.35">
      <c r="A207" s="221" t="s">
        <v>573</v>
      </c>
      <c r="B207" s="221" t="s">
        <v>573</v>
      </c>
      <c r="C207" s="221" t="s">
        <v>573</v>
      </c>
      <c r="D207" s="221" t="s">
        <v>573</v>
      </c>
      <c r="E207" s="221">
        <v>22</v>
      </c>
      <c r="G207" s="221" t="s">
        <v>788</v>
      </c>
      <c r="I207" s="222"/>
      <c r="J207" s="223"/>
      <c r="K207" s="223"/>
      <c r="L207" s="223"/>
      <c r="M207" s="223"/>
      <c r="N207" s="223"/>
      <c r="O207" s="223"/>
      <c r="P207" s="223"/>
      <c r="Q207" s="223"/>
      <c r="R207" s="223"/>
      <c r="S207" s="223"/>
      <c r="T207" s="224"/>
      <c r="U207" s="223"/>
      <c r="V207" s="223"/>
      <c r="W207" s="221" t="s">
        <v>788</v>
      </c>
      <c r="X207" s="221" t="s">
        <v>621</v>
      </c>
      <c r="Y207" s="215"/>
    </row>
    <row r="208" spans="1:25" x14ac:dyDescent="0.35">
      <c r="A208" s="221" t="s">
        <v>416</v>
      </c>
      <c r="B208" s="221" t="s">
        <v>573</v>
      </c>
      <c r="C208" s="221" t="s">
        <v>420</v>
      </c>
      <c r="D208" s="221" t="s">
        <v>573</v>
      </c>
      <c r="E208" s="221">
        <v>22.01</v>
      </c>
      <c r="F208" s="221" t="s">
        <v>574</v>
      </c>
      <c r="G208" s="221" t="s">
        <v>789</v>
      </c>
      <c r="H208" s="221" t="s">
        <v>600</v>
      </c>
      <c r="I208" s="225">
        <v>8</v>
      </c>
      <c r="J208" s="226">
        <v>0</v>
      </c>
      <c r="K208" s="226">
        <v>68810</v>
      </c>
      <c r="L208" s="226">
        <v>0</v>
      </c>
      <c r="M208" s="226">
        <v>0</v>
      </c>
      <c r="N208" s="227">
        <f>SUM(J208:M208)</f>
        <v>68810</v>
      </c>
      <c r="O208" s="227">
        <f>IF($N208=0,$S208,J208/$N208*$S208)</f>
        <v>0</v>
      </c>
      <c r="P208" s="227">
        <f t="shared" ref="P208:R209" si="84">IF($N208=0,0,K208/$N208*$S208)</f>
        <v>91704.974261573254</v>
      </c>
      <c r="Q208" s="227">
        <f t="shared" si="84"/>
        <v>0</v>
      </c>
      <c r="R208" s="227">
        <f t="shared" si="84"/>
        <v>0</v>
      </c>
      <c r="S208" s="226">
        <v>91704.974261573254</v>
      </c>
      <c r="T208" s="228">
        <f>IFERROR(S208/N208,"")</f>
        <v>1.3327274271410152</v>
      </c>
      <c r="U208" s="227">
        <f>N208*I208</f>
        <v>550480</v>
      </c>
      <c r="V208" s="227">
        <f>S208*I208</f>
        <v>733639.79409258603</v>
      </c>
      <c r="W208" s="221" t="s">
        <v>788</v>
      </c>
      <c r="X208" s="221" t="s">
        <v>621</v>
      </c>
      <c r="Y208" s="229">
        <f>SUMIFS(Cert_App_Output!$G:$G,Cert_App_Output!$E:$E,$E208,Cert_App_Output!$K:$K,$X208)</f>
        <v>0</v>
      </c>
    </row>
    <row r="209" spans="1:25" x14ac:dyDescent="0.35">
      <c r="A209" s="221" t="s">
        <v>416</v>
      </c>
      <c r="B209" s="221" t="s">
        <v>573</v>
      </c>
      <c r="C209" s="221" t="s">
        <v>420</v>
      </c>
      <c r="D209" s="221" t="s">
        <v>573</v>
      </c>
      <c r="E209" s="221">
        <v>22.02</v>
      </c>
      <c r="F209" s="221" t="s">
        <v>574</v>
      </c>
      <c r="G209" s="221" t="s">
        <v>790</v>
      </c>
      <c r="H209" s="221" t="s">
        <v>600</v>
      </c>
      <c r="I209" s="225">
        <v>24</v>
      </c>
      <c r="J209" s="226">
        <v>0</v>
      </c>
      <c r="K209" s="226">
        <v>68810</v>
      </c>
      <c r="L209" s="226">
        <v>0</v>
      </c>
      <c r="M209" s="226">
        <v>0</v>
      </c>
      <c r="N209" s="227">
        <f>SUM(J209:M209)</f>
        <v>68810</v>
      </c>
      <c r="O209" s="227">
        <f>IF($N209=0,$S209,J209/$N209*$S209)</f>
        <v>0</v>
      </c>
      <c r="P209" s="227">
        <f t="shared" si="84"/>
        <v>91704.974261573254</v>
      </c>
      <c r="Q209" s="227">
        <f t="shared" si="84"/>
        <v>0</v>
      </c>
      <c r="R209" s="227">
        <f t="shared" si="84"/>
        <v>0</v>
      </c>
      <c r="S209" s="226">
        <v>91704.974261573254</v>
      </c>
      <c r="T209" s="228">
        <f>IFERROR(S209/N209,"")</f>
        <v>1.3327274271410152</v>
      </c>
      <c r="U209" s="227">
        <f>N209*I209</f>
        <v>1651440</v>
      </c>
      <c r="V209" s="227">
        <f>S209*I209</f>
        <v>2200919.3822777579</v>
      </c>
      <c r="W209" s="221" t="s">
        <v>788</v>
      </c>
      <c r="X209" s="221" t="s">
        <v>621</v>
      </c>
      <c r="Y209" s="229">
        <f>SUMIFS(Cert_App_Output!$G:$G,Cert_App_Output!$E:$E,$E209,Cert_App_Output!$K:$K,$X209)</f>
        <v>0</v>
      </c>
    </row>
    <row r="210" spans="1:25" x14ac:dyDescent="0.35">
      <c r="A210" s="221" t="s">
        <v>573</v>
      </c>
      <c r="B210" s="221" t="s">
        <v>573</v>
      </c>
      <c r="C210" s="221" t="s">
        <v>573</v>
      </c>
      <c r="D210" s="221" t="s">
        <v>573</v>
      </c>
      <c r="E210" s="221">
        <v>23</v>
      </c>
      <c r="G210" s="221" t="s">
        <v>791</v>
      </c>
      <c r="I210" s="222"/>
      <c r="J210" s="223"/>
      <c r="K210" s="223"/>
      <c r="L210" s="223"/>
      <c r="M210" s="223"/>
      <c r="N210" s="223"/>
      <c r="O210" s="223"/>
      <c r="P210" s="223"/>
      <c r="Q210" s="223"/>
      <c r="R210" s="223"/>
      <c r="S210" s="223"/>
      <c r="T210" s="224"/>
      <c r="U210" s="223"/>
      <c r="V210" s="223"/>
      <c r="W210" s="221" t="s">
        <v>791</v>
      </c>
      <c r="X210" s="221" t="s">
        <v>621</v>
      </c>
      <c r="Y210" s="215"/>
    </row>
    <row r="211" spans="1:25" x14ac:dyDescent="0.35">
      <c r="A211" s="221" t="s">
        <v>305</v>
      </c>
      <c r="B211" s="221" t="s">
        <v>573</v>
      </c>
      <c r="C211" s="221" t="s">
        <v>573</v>
      </c>
      <c r="D211" s="221" t="s">
        <v>321</v>
      </c>
      <c r="E211" s="221">
        <v>23.01</v>
      </c>
      <c r="F211" s="221" t="s">
        <v>593</v>
      </c>
      <c r="G211" s="221" t="s">
        <v>792</v>
      </c>
      <c r="H211" s="221" t="s">
        <v>576</v>
      </c>
      <c r="I211" s="225">
        <v>6</v>
      </c>
      <c r="J211" s="226">
        <v>53696.806510416667</v>
      </c>
      <c r="K211" s="226">
        <v>0</v>
      </c>
      <c r="L211" s="226">
        <v>137815.66048314399</v>
      </c>
      <c r="M211" s="226">
        <v>2872.6870049034169</v>
      </c>
      <c r="N211" s="227">
        <f>SUM(J211:M211)</f>
        <v>194385.15399846408</v>
      </c>
      <c r="O211" s="227">
        <f>IF($N211=0,$S211,J211/$N211*$S211)</f>
        <v>71563.206786316528</v>
      </c>
      <c r="P211" s="227">
        <f t="shared" ref="P211:R214" si="85">IF($N211=0,0,K211/$N211*$S211)</f>
        <v>0</v>
      </c>
      <c r="Q211" s="227">
        <f t="shared" si="85"/>
        <v>183670.71061544018</v>
      </c>
      <c r="R211" s="227">
        <f t="shared" si="85"/>
        <v>3828.5087610263604</v>
      </c>
      <c r="S211" s="226">
        <v>259062.42616278309</v>
      </c>
      <c r="T211" s="228">
        <f>IFERROR(S211/N211,"")</f>
        <v>1.3327274271410152</v>
      </c>
      <c r="U211" s="227">
        <f>N211*I211</f>
        <v>1166310.9239907844</v>
      </c>
      <c r="V211" s="227">
        <f>S211*I211</f>
        <v>1554374.5569766986</v>
      </c>
      <c r="W211" s="221" t="s">
        <v>791</v>
      </c>
      <c r="X211" s="221" t="s">
        <v>621</v>
      </c>
      <c r="Y211" s="229">
        <f>SUMIFS(Cert_App_Output!$G:$G,Cert_App_Output!$E:$E,$E211,Cert_App_Output!$K:$K,$X211)</f>
        <v>0.6</v>
      </c>
    </row>
    <row r="212" spans="1:25" x14ac:dyDescent="0.35">
      <c r="A212" s="221" t="s">
        <v>305</v>
      </c>
      <c r="B212" s="221" t="s">
        <v>573</v>
      </c>
      <c r="C212" s="221" t="s">
        <v>573</v>
      </c>
      <c r="D212" s="221" t="s">
        <v>321</v>
      </c>
      <c r="E212" s="221">
        <v>23.02</v>
      </c>
      <c r="F212" s="221" t="s">
        <v>574</v>
      </c>
      <c r="G212" s="221" t="s">
        <v>793</v>
      </c>
      <c r="H212" s="221" t="s">
        <v>576</v>
      </c>
      <c r="I212" s="225">
        <v>1</v>
      </c>
      <c r="J212" s="226">
        <v>50000</v>
      </c>
      <c r="K212" s="226">
        <v>0</v>
      </c>
      <c r="L212" s="226">
        <v>536926.85047428997</v>
      </c>
      <c r="M212" s="226">
        <v>8803.9027571143397</v>
      </c>
      <c r="N212" s="227">
        <f>SUM(J212:M212)</f>
        <v>595730.75323140435</v>
      </c>
      <c r="O212" s="227">
        <f>IF($N212=0,$S212,J212/$N212*$S212)</f>
        <v>66636.371357050753</v>
      </c>
      <c r="P212" s="227">
        <f t="shared" si="85"/>
        <v>0</v>
      </c>
      <c r="Q212" s="227">
        <f t="shared" si="85"/>
        <v>715577.13999552908</v>
      </c>
      <c r="R212" s="227">
        <f t="shared" si="85"/>
        <v>11733.202670288683</v>
      </c>
      <c r="S212" s="226">
        <v>793946.71402286855</v>
      </c>
      <c r="T212" s="228">
        <f>IFERROR(S212/N212,"")</f>
        <v>1.3327274271410152</v>
      </c>
      <c r="U212" s="227">
        <f>N212*I212</f>
        <v>595730.75323140435</v>
      </c>
      <c r="V212" s="227">
        <f>S212*I212</f>
        <v>793946.71402286855</v>
      </c>
      <c r="W212" s="221" t="s">
        <v>791</v>
      </c>
      <c r="X212" s="221" t="s">
        <v>621</v>
      </c>
      <c r="Y212" s="229">
        <f>SUMIFS(Cert_App_Output!$G:$G,Cert_App_Output!$E:$E,$E212,Cert_App_Output!$K:$K,$X212)</f>
        <v>0</v>
      </c>
    </row>
    <row r="213" spans="1:25" x14ac:dyDescent="0.35">
      <c r="A213" s="221" t="s">
        <v>305</v>
      </c>
      <c r="B213" s="221" t="s">
        <v>573</v>
      </c>
      <c r="C213" s="221" t="s">
        <v>573</v>
      </c>
      <c r="D213" s="221" t="s">
        <v>321</v>
      </c>
      <c r="E213" s="221">
        <v>23.03</v>
      </c>
      <c r="F213" s="221" t="s">
        <v>593</v>
      </c>
      <c r="G213" s="221" t="s">
        <v>794</v>
      </c>
      <c r="H213" s="221" t="s">
        <v>595</v>
      </c>
      <c r="I213" s="225">
        <v>26</v>
      </c>
      <c r="J213" s="226">
        <v>7692.3076923076924</v>
      </c>
      <c r="K213" s="226">
        <v>0</v>
      </c>
      <c r="L213" s="226">
        <v>12322.977031263839</v>
      </c>
      <c r="M213" s="226">
        <v>300.2292708535731</v>
      </c>
      <c r="N213" s="227">
        <f>SUM(J213:M213)</f>
        <v>20315.513994425102</v>
      </c>
      <c r="O213" s="227">
        <f>IF($N213=0,$S213,J213/$N213*$S213)</f>
        <v>10251.749439546273</v>
      </c>
      <c r="P213" s="227">
        <f t="shared" si="85"/>
        <v>0</v>
      </c>
      <c r="Q213" s="227">
        <f t="shared" si="85"/>
        <v>16423.169473594084</v>
      </c>
      <c r="R213" s="227">
        <f t="shared" si="85"/>
        <v>400.12378369710552</v>
      </c>
      <c r="S213" s="226">
        <v>27075.04269683746</v>
      </c>
      <c r="T213" s="228">
        <f>IFERROR(S213/N213,"")</f>
        <v>1.3327274271410154</v>
      </c>
      <c r="U213" s="227">
        <f>N213*I213</f>
        <v>528203.36385505262</v>
      </c>
      <c r="V213" s="227">
        <f>S213*I213</f>
        <v>703951.11011777399</v>
      </c>
      <c r="W213" s="221" t="s">
        <v>791</v>
      </c>
      <c r="X213" s="221" t="s">
        <v>621</v>
      </c>
      <c r="Y213" s="229">
        <f>SUMIFS(Cert_App_Output!$G:$G,Cert_App_Output!$E:$E,$E213,Cert_App_Output!$K:$K,$X213)</f>
        <v>0</v>
      </c>
    </row>
    <row r="214" spans="1:25" x14ac:dyDescent="0.35">
      <c r="A214" s="221" t="s">
        <v>305</v>
      </c>
      <c r="B214" s="221" t="s">
        <v>573</v>
      </c>
      <c r="C214" s="221" t="s">
        <v>321</v>
      </c>
      <c r="D214" s="221" t="s">
        <v>321</v>
      </c>
      <c r="E214" s="221">
        <v>23.04</v>
      </c>
      <c r="F214" s="221" t="s">
        <v>574</v>
      </c>
      <c r="G214" s="221" t="s">
        <v>795</v>
      </c>
      <c r="H214" s="221" t="s">
        <v>595</v>
      </c>
      <c r="I214" s="225">
        <v>231</v>
      </c>
      <c r="J214" s="226">
        <v>24578.046976990991</v>
      </c>
      <c r="K214" s="226">
        <v>21631.45268473485</v>
      </c>
      <c r="L214" s="226">
        <v>5407.8631711837224</v>
      </c>
      <c r="M214" s="226">
        <v>347.9053135538723</v>
      </c>
      <c r="N214" s="227">
        <f>SUM(J214:M214)</f>
        <v>51965.268146463437</v>
      </c>
      <c r="O214" s="227">
        <f>IF($N214=0,$S214,J214/$N214*$S214)</f>
        <v>32755.837311796211</v>
      </c>
      <c r="P214" s="227">
        <f t="shared" si="85"/>
        <v>28828.830281849281</v>
      </c>
      <c r="Q214" s="227">
        <f t="shared" si="85"/>
        <v>7207.2075704623339</v>
      </c>
      <c r="R214" s="227">
        <f t="shared" si="85"/>
        <v>463.66295342134038</v>
      </c>
      <c r="S214" s="226">
        <v>69255.53811752917</v>
      </c>
      <c r="T214" s="228">
        <f>IFERROR(S214/N214,"")</f>
        <v>1.3327274271410152</v>
      </c>
      <c r="U214" s="227">
        <f>N214*I214</f>
        <v>12003976.941833055</v>
      </c>
      <c r="V214" s="227">
        <f>S214*I214</f>
        <v>15998029.305149239</v>
      </c>
      <c r="W214" s="221" t="s">
        <v>791</v>
      </c>
      <c r="X214" s="221" t="s">
        <v>621</v>
      </c>
      <c r="Y214" s="229">
        <f>SUMIFS(Cert_App_Output!$G:$G,Cert_App_Output!$E:$E,$E214,Cert_App_Output!$K:$K,$X214)</f>
        <v>0</v>
      </c>
    </row>
    <row r="215" spans="1:25" x14ac:dyDescent="0.35">
      <c r="A215" s="221" t="s">
        <v>573</v>
      </c>
      <c r="B215" s="221" t="s">
        <v>573</v>
      </c>
      <c r="C215" s="221" t="s">
        <v>573</v>
      </c>
      <c r="D215" s="221" t="s">
        <v>573</v>
      </c>
      <c r="E215" s="221">
        <v>24</v>
      </c>
      <c r="G215" s="221" t="s">
        <v>796</v>
      </c>
      <c r="I215" s="222"/>
      <c r="J215" s="223"/>
      <c r="K215" s="223"/>
      <c r="L215" s="223"/>
      <c r="M215" s="223"/>
      <c r="N215" s="223"/>
      <c r="O215" s="223"/>
      <c r="P215" s="223"/>
      <c r="Q215" s="223"/>
      <c r="R215" s="223"/>
      <c r="S215" s="223"/>
      <c r="T215" s="224"/>
      <c r="U215" s="223"/>
      <c r="V215" s="223"/>
      <c r="W215" s="221" t="s">
        <v>796</v>
      </c>
      <c r="X215" s="221" t="s">
        <v>621</v>
      </c>
      <c r="Y215" s="215"/>
    </row>
    <row r="216" spans="1:25" x14ac:dyDescent="0.35">
      <c r="A216" s="221" t="s">
        <v>305</v>
      </c>
      <c r="B216" s="221" t="s">
        <v>573</v>
      </c>
      <c r="C216" s="221" t="s">
        <v>321</v>
      </c>
      <c r="D216" s="221" t="s">
        <v>573</v>
      </c>
      <c r="E216" s="221">
        <v>24.01</v>
      </c>
      <c r="F216" s="221" t="s">
        <v>574</v>
      </c>
      <c r="G216" s="221" t="s">
        <v>797</v>
      </c>
      <c r="H216" s="221" t="s">
        <v>584</v>
      </c>
      <c r="I216" s="225">
        <v>17</v>
      </c>
      <c r="J216" s="226">
        <v>0</v>
      </c>
      <c r="K216" s="226">
        <v>730326.96931886475</v>
      </c>
      <c r="L216" s="226">
        <v>0</v>
      </c>
      <c r="M216" s="226">
        <v>0</v>
      </c>
      <c r="N216" s="227">
        <f t="shared" ref="N216:N224" si="86">SUM(J216:M216)</f>
        <v>730326.96931886475</v>
      </c>
      <c r="O216" s="227">
        <f t="shared" ref="O216:O224" si="87">IF($N216=0,$S216,J216/$N216*$S216)</f>
        <v>0</v>
      </c>
      <c r="P216" s="227">
        <f t="shared" ref="P216:P224" si="88">IF($N216=0,0,K216/$N216*$S216)</f>
        <v>973326.78279202583</v>
      </c>
      <c r="Q216" s="227">
        <f t="shared" ref="Q216:Q224" si="89">IF($N216=0,0,L216/$N216*$S216)</f>
        <v>0</v>
      </c>
      <c r="R216" s="227">
        <f t="shared" ref="R216:R224" si="90">IF($N216=0,0,M216/$N216*$S216)</f>
        <v>0</v>
      </c>
      <c r="S216" s="226">
        <v>973326.78279202583</v>
      </c>
      <c r="T216" s="228">
        <f t="shared" ref="T216:T224" si="91">IFERROR(S216/N216,"")</f>
        <v>1.3327274271410152</v>
      </c>
      <c r="U216" s="227">
        <f t="shared" ref="U216:U224" si="92">N216*I216</f>
        <v>12415558.478420701</v>
      </c>
      <c r="V216" s="227">
        <f t="shared" ref="V216:V224" si="93">S216*I216</f>
        <v>16546555.307464439</v>
      </c>
      <c r="W216" s="221" t="s">
        <v>796</v>
      </c>
      <c r="X216" s="221" t="s">
        <v>621</v>
      </c>
      <c r="Y216" s="229">
        <f>SUMIFS(Cert_App_Output!$G:$G,Cert_App_Output!$E:$E,$E216,Cert_App_Output!$K:$K,$X216)</f>
        <v>0.75000000000000011</v>
      </c>
    </row>
    <row r="217" spans="1:25" x14ac:dyDescent="0.35">
      <c r="A217" s="221" t="s">
        <v>482</v>
      </c>
      <c r="B217" s="221" t="s">
        <v>573</v>
      </c>
      <c r="C217" s="221" t="s">
        <v>482</v>
      </c>
      <c r="D217" s="221" t="s">
        <v>573</v>
      </c>
      <c r="E217" s="221">
        <v>24.02</v>
      </c>
      <c r="F217" s="221" t="s">
        <v>574</v>
      </c>
      <c r="G217" s="221" t="s">
        <v>798</v>
      </c>
      <c r="H217" s="221" t="s">
        <v>584</v>
      </c>
      <c r="I217" s="225">
        <v>4</v>
      </c>
      <c r="J217" s="226">
        <v>0</v>
      </c>
      <c r="K217" s="226">
        <v>1504670.291</v>
      </c>
      <c r="L217" s="226">
        <v>0</v>
      </c>
      <c r="M217" s="226">
        <v>0</v>
      </c>
      <c r="N217" s="227">
        <f t="shared" si="86"/>
        <v>1504670.291</v>
      </c>
      <c r="O217" s="227">
        <f t="shared" si="87"/>
        <v>0</v>
      </c>
      <c r="P217" s="227">
        <f t="shared" si="88"/>
        <v>2005315.365619953</v>
      </c>
      <c r="Q217" s="227">
        <f t="shared" si="89"/>
        <v>0</v>
      </c>
      <c r="R217" s="227">
        <f t="shared" si="90"/>
        <v>0</v>
      </c>
      <c r="S217" s="226">
        <v>2005315.365619953</v>
      </c>
      <c r="T217" s="228">
        <f t="shared" si="91"/>
        <v>1.3327274271410154</v>
      </c>
      <c r="U217" s="227">
        <f t="shared" si="92"/>
        <v>6018681.1639999999</v>
      </c>
      <c r="V217" s="227">
        <f t="shared" si="93"/>
        <v>8021261.4624798121</v>
      </c>
      <c r="W217" s="221" t="s">
        <v>796</v>
      </c>
      <c r="X217" s="221" t="s">
        <v>621</v>
      </c>
      <c r="Y217" s="229">
        <f>SUMIFS(Cert_App_Output!$G:$G,Cert_App_Output!$E:$E,$E217,Cert_App_Output!$K:$K,$X217)</f>
        <v>1</v>
      </c>
    </row>
    <row r="218" spans="1:25" x14ac:dyDescent="0.35">
      <c r="A218" s="221" t="s">
        <v>482</v>
      </c>
      <c r="B218" s="221" t="s">
        <v>573</v>
      </c>
      <c r="C218" s="221" t="s">
        <v>482</v>
      </c>
      <c r="D218" s="221" t="s">
        <v>573</v>
      </c>
      <c r="E218" s="221">
        <v>24.03</v>
      </c>
      <c r="F218" s="221" t="s">
        <v>574</v>
      </c>
      <c r="G218" s="221" t="s">
        <v>799</v>
      </c>
      <c r="H218" s="221" t="s">
        <v>584</v>
      </c>
      <c r="I218" s="225">
        <v>17</v>
      </c>
      <c r="J218" s="226">
        <v>0</v>
      </c>
      <c r="K218" s="226">
        <v>150000</v>
      </c>
      <c r="L218" s="226">
        <v>0</v>
      </c>
      <c r="M218" s="226">
        <v>0</v>
      </c>
      <c r="N218" s="227">
        <f t="shared" si="86"/>
        <v>150000</v>
      </c>
      <c r="O218" s="227">
        <f t="shared" si="87"/>
        <v>0</v>
      </c>
      <c r="P218" s="227">
        <f t="shared" si="88"/>
        <v>199909.11407115229</v>
      </c>
      <c r="Q218" s="227">
        <f t="shared" si="89"/>
        <v>0</v>
      </c>
      <c r="R218" s="227">
        <f t="shared" si="90"/>
        <v>0</v>
      </c>
      <c r="S218" s="226">
        <v>199909.11407115229</v>
      </c>
      <c r="T218" s="228">
        <f t="shared" si="91"/>
        <v>1.3327274271410152</v>
      </c>
      <c r="U218" s="227">
        <f t="shared" si="92"/>
        <v>2550000</v>
      </c>
      <c r="V218" s="227">
        <f t="shared" si="93"/>
        <v>3398454.9392095888</v>
      </c>
      <c r="W218" s="221" t="s">
        <v>796</v>
      </c>
      <c r="X218" s="221" t="s">
        <v>621</v>
      </c>
      <c r="Y218" s="229">
        <f>SUMIFS(Cert_App_Output!$G:$G,Cert_App_Output!$E:$E,$E218,Cert_App_Output!$K:$K,$X218)</f>
        <v>0.75000000000000011</v>
      </c>
    </row>
    <row r="219" spans="1:25" x14ac:dyDescent="0.35">
      <c r="A219" s="221" t="s">
        <v>305</v>
      </c>
      <c r="B219" s="221" t="s">
        <v>573</v>
      </c>
      <c r="C219" s="221" t="s">
        <v>573</v>
      </c>
      <c r="D219" s="221" t="s">
        <v>321</v>
      </c>
      <c r="E219" s="221">
        <v>24.04</v>
      </c>
      <c r="F219" s="221" t="s">
        <v>574</v>
      </c>
      <c r="G219" s="221" t="s">
        <v>800</v>
      </c>
      <c r="H219" s="221" t="s">
        <v>576</v>
      </c>
      <c r="I219" s="225">
        <v>1</v>
      </c>
      <c r="J219" s="226">
        <v>2304593.0853333301</v>
      </c>
      <c r="K219" s="226">
        <v>0</v>
      </c>
      <c r="L219" s="226">
        <v>2341204.7030503</v>
      </c>
      <c r="M219" s="226">
        <v>69686.966825754498</v>
      </c>
      <c r="N219" s="227">
        <f t="shared" si="86"/>
        <v>4715484.7552093845</v>
      </c>
      <c r="O219" s="227">
        <f t="shared" si="87"/>
        <v>3071394.4132232633</v>
      </c>
      <c r="P219" s="227">
        <f t="shared" si="88"/>
        <v>0</v>
      </c>
      <c r="Q219" s="227">
        <f t="shared" si="89"/>
        <v>3120187.7203066712</v>
      </c>
      <c r="R219" s="227">
        <f t="shared" si="90"/>
        <v>92873.73200294908</v>
      </c>
      <c r="S219" s="226">
        <v>6284455.8655328834</v>
      </c>
      <c r="T219" s="228">
        <f t="shared" si="91"/>
        <v>1.3327274271410152</v>
      </c>
      <c r="U219" s="227">
        <f t="shared" si="92"/>
        <v>4715484.7552093845</v>
      </c>
      <c r="V219" s="227">
        <f t="shared" si="93"/>
        <v>6284455.8655328834</v>
      </c>
      <c r="W219" s="221" t="s">
        <v>796</v>
      </c>
      <c r="X219" s="221" t="s">
        <v>621</v>
      </c>
      <c r="Y219" s="229">
        <f>SUMIFS(Cert_App_Output!$G:$G,Cert_App_Output!$E:$E,$E219,Cert_App_Output!$K:$K,$X219)</f>
        <v>1</v>
      </c>
    </row>
    <row r="220" spans="1:25" x14ac:dyDescent="0.35">
      <c r="A220" s="221" t="s">
        <v>305</v>
      </c>
      <c r="B220" s="221" t="s">
        <v>573</v>
      </c>
      <c r="C220" s="221" t="s">
        <v>573</v>
      </c>
      <c r="D220" s="221" t="s">
        <v>321</v>
      </c>
      <c r="E220" s="221">
        <v>24.05</v>
      </c>
      <c r="F220" s="221" t="s">
        <v>574</v>
      </c>
      <c r="G220" s="221" t="s">
        <v>801</v>
      </c>
      <c r="H220" s="221" t="s">
        <v>584</v>
      </c>
      <c r="I220" s="225">
        <v>17</v>
      </c>
      <c r="J220" s="226">
        <v>50000</v>
      </c>
      <c r="K220" s="226">
        <v>0</v>
      </c>
      <c r="L220" s="226">
        <v>596028.72377914703</v>
      </c>
      <c r="M220" s="226">
        <v>9690.4308566872351</v>
      </c>
      <c r="N220" s="227">
        <f t="shared" si="86"/>
        <v>655719.15463583427</v>
      </c>
      <c r="O220" s="227">
        <f t="shared" si="87"/>
        <v>66636.371357050768</v>
      </c>
      <c r="P220" s="227">
        <f t="shared" si="88"/>
        <v>0</v>
      </c>
      <c r="Q220" s="227">
        <f t="shared" si="89"/>
        <v>794343.8275443255</v>
      </c>
      <c r="R220" s="227">
        <f t="shared" si="90"/>
        <v>12914.702983520683</v>
      </c>
      <c r="S220" s="226">
        <v>873894.90188489691</v>
      </c>
      <c r="T220" s="228">
        <f t="shared" si="91"/>
        <v>1.3327274271410152</v>
      </c>
      <c r="U220" s="227">
        <f t="shared" si="92"/>
        <v>11147225.628809182</v>
      </c>
      <c r="V220" s="227">
        <f t="shared" si="93"/>
        <v>14856213.332043247</v>
      </c>
      <c r="W220" s="221" t="s">
        <v>796</v>
      </c>
      <c r="X220" s="221" t="s">
        <v>621</v>
      </c>
      <c r="Y220" s="229">
        <f>SUMIFS(Cert_App_Output!$G:$G,Cert_App_Output!$E:$E,$E220,Cert_App_Output!$K:$K,$X220)</f>
        <v>0.65</v>
      </c>
    </row>
    <row r="221" spans="1:25" x14ac:dyDescent="0.35">
      <c r="A221" s="221" t="s">
        <v>305</v>
      </c>
      <c r="B221" s="221" t="s">
        <v>573</v>
      </c>
      <c r="C221" s="221" t="s">
        <v>573</v>
      </c>
      <c r="D221" s="221" t="s">
        <v>321</v>
      </c>
      <c r="E221" s="221">
        <v>24.06</v>
      </c>
      <c r="F221" s="221" t="s">
        <v>574</v>
      </c>
      <c r="G221" s="221" t="s">
        <v>802</v>
      </c>
      <c r="H221" s="221" t="s">
        <v>584</v>
      </c>
      <c r="I221" s="225">
        <v>17</v>
      </c>
      <c r="J221" s="226">
        <v>25000</v>
      </c>
      <c r="K221" s="226">
        <v>0</v>
      </c>
      <c r="L221" s="226">
        <v>401679.83312537469</v>
      </c>
      <c r="M221" s="226">
        <v>6400.1974968806471</v>
      </c>
      <c r="N221" s="227">
        <f t="shared" si="86"/>
        <v>433080.03062225535</v>
      </c>
      <c r="O221" s="227">
        <f t="shared" si="87"/>
        <v>33318.185678525377</v>
      </c>
      <c r="P221" s="227">
        <f t="shared" si="88"/>
        <v>0</v>
      </c>
      <c r="Q221" s="227">
        <f t="shared" si="89"/>
        <v>535329.73053561291</v>
      </c>
      <c r="R221" s="227">
        <f t="shared" si="90"/>
        <v>8529.71874321211</v>
      </c>
      <c r="S221" s="226">
        <v>577177.63495735044</v>
      </c>
      <c r="T221" s="228">
        <f t="shared" si="91"/>
        <v>1.3327274271410152</v>
      </c>
      <c r="U221" s="227">
        <f t="shared" si="92"/>
        <v>7362360.5205783406</v>
      </c>
      <c r="V221" s="227">
        <f t="shared" si="93"/>
        <v>9812019.7942749579</v>
      </c>
      <c r="W221" s="221" t="s">
        <v>796</v>
      </c>
      <c r="X221" s="221" t="s">
        <v>621</v>
      </c>
      <c r="Y221" s="229">
        <f>SUMIFS(Cert_App_Output!$G:$G,Cert_App_Output!$E:$E,$E221,Cert_App_Output!$K:$K,$X221)</f>
        <v>0.65</v>
      </c>
    </row>
    <row r="222" spans="1:25" x14ac:dyDescent="0.35">
      <c r="A222" s="221" t="s">
        <v>305</v>
      </c>
      <c r="B222" s="221" t="s">
        <v>573</v>
      </c>
      <c r="C222" s="221" t="s">
        <v>573</v>
      </c>
      <c r="D222" s="221" t="s">
        <v>321</v>
      </c>
      <c r="E222" s="221">
        <v>24.07</v>
      </c>
      <c r="F222" s="221" t="s">
        <v>574</v>
      </c>
      <c r="G222" s="221" t="s">
        <v>803</v>
      </c>
      <c r="H222" s="221" t="s">
        <v>576</v>
      </c>
      <c r="I222" s="225">
        <v>1</v>
      </c>
      <c r="J222" s="226">
        <v>250000</v>
      </c>
      <c r="K222" s="226">
        <v>0</v>
      </c>
      <c r="L222" s="226">
        <v>3651634.8465943201</v>
      </c>
      <c r="M222" s="226">
        <v>58524.5226989148</v>
      </c>
      <c r="N222" s="227">
        <f t="shared" si="86"/>
        <v>3960159.3692932348</v>
      </c>
      <c r="O222" s="227">
        <f t="shared" si="87"/>
        <v>333181.8567852538</v>
      </c>
      <c r="P222" s="227">
        <f t="shared" si="88"/>
        <v>0</v>
      </c>
      <c r="Q222" s="227">
        <f t="shared" si="89"/>
        <v>4866633.9139601234</v>
      </c>
      <c r="R222" s="227">
        <f t="shared" si="90"/>
        <v>77997.23656118066</v>
      </c>
      <c r="S222" s="226">
        <v>5277813.0073065581</v>
      </c>
      <c r="T222" s="228">
        <f t="shared" si="91"/>
        <v>1.3327274271410152</v>
      </c>
      <c r="U222" s="227">
        <f t="shared" si="92"/>
        <v>3960159.3692932348</v>
      </c>
      <c r="V222" s="227">
        <f t="shared" si="93"/>
        <v>5277813.0073065581</v>
      </c>
      <c r="W222" s="221" t="s">
        <v>796</v>
      </c>
      <c r="X222" s="221" t="s">
        <v>621</v>
      </c>
      <c r="Y222" s="229">
        <f>SUMIFS(Cert_App_Output!$G:$G,Cert_App_Output!$E:$E,$E222,Cert_App_Output!$K:$K,$X222)</f>
        <v>0</v>
      </c>
    </row>
    <row r="223" spans="1:25" x14ac:dyDescent="0.35">
      <c r="A223" s="221" t="s">
        <v>118</v>
      </c>
      <c r="B223" s="221" t="s">
        <v>573</v>
      </c>
      <c r="C223" s="221" t="s">
        <v>118</v>
      </c>
      <c r="D223" s="221" t="s">
        <v>573</v>
      </c>
      <c r="E223" s="221">
        <v>24.08</v>
      </c>
      <c r="F223" s="221" t="s">
        <v>574</v>
      </c>
      <c r="G223" s="221" t="s">
        <v>804</v>
      </c>
      <c r="H223" s="221" t="s">
        <v>584</v>
      </c>
      <c r="I223" s="225">
        <v>17</v>
      </c>
      <c r="J223" s="226">
        <v>0</v>
      </c>
      <c r="K223" s="226">
        <v>300000</v>
      </c>
      <c r="L223" s="226">
        <v>0</v>
      </c>
      <c r="M223" s="226">
        <v>0</v>
      </c>
      <c r="N223" s="227">
        <f t="shared" si="86"/>
        <v>300000</v>
      </c>
      <c r="O223" s="227">
        <f t="shared" si="87"/>
        <v>0</v>
      </c>
      <c r="P223" s="227">
        <f t="shared" si="88"/>
        <v>399818.22814230458</v>
      </c>
      <c r="Q223" s="227">
        <f t="shared" si="89"/>
        <v>0</v>
      </c>
      <c r="R223" s="227">
        <f t="shared" si="90"/>
        <v>0</v>
      </c>
      <c r="S223" s="226">
        <v>399818.22814230458</v>
      </c>
      <c r="T223" s="228">
        <f t="shared" si="91"/>
        <v>1.3327274271410152</v>
      </c>
      <c r="U223" s="227">
        <f t="shared" si="92"/>
        <v>5100000</v>
      </c>
      <c r="V223" s="227">
        <f t="shared" si="93"/>
        <v>6796909.8784191776</v>
      </c>
      <c r="W223" s="221" t="s">
        <v>796</v>
      </c>
      <c r="X223" s="221" t="s">
        <v>621</v>
      </c>
      <c r="Y223" s="229">
        <f>SUMIFS(Cert_App_Output!$G:$G,Cert_App_Output!$E:$E,$E223,Cert_App_Output!$K:$K,$X223)</f>
        <v>0.75000000000000011</v>
      </c>
    </row>
    <row r="224" spans="1:25" x14ac:dyDescent="0.35">
      <c r="A224" s="221" t="s">
        <v>427</v>
      </c>
      <c r="B224" s="221" t="s">
        <v>573</v>
      </c>
      <c r="C224" s="221" t="s">
        <v>573</v>
      </c>
      <c r="D224" s="221" t="s">
        <v>321</v>
      </c>
      <c r="E224" s="221">
        <v>24.09</v>
      </c>
      <c r="F224" s="221" t="s">
        <v>574</v>
      </c>
      <c r="G224" s="221" t="s">
        <v>805</v>
      </c>
      <c r="H224" s="221" t="s">
        <v>584</v>
      </c>
      <c r="I224" s="225">
        <v>17</v>
      </c>
      <c r="J224" s="226">
        <v>200000</v>
      </c>
      <c r="K224" s="226">
        <v>0</v>
      </c>
      <c r="L224" s="226">
        <v>60860.580776571762</v>
      </c>
      <c r="M224" s="226">
        <v>0</v>
      </c>
      <c r="N224" s="227">
        <f t="shared" si="86"/>
        <v>260860.58077657176</v>
      </c>
      <c r="O224" s="227">
        <f t="shared" si="87"/>
        <v>266545.48542820296</v>
      </c>
      <c r="P224" s="227">
        <f t="shared" si="88"/>
        <v>0</v>
      </c>
      <c r="Q224" s="227">
        <f t="shared" si="89"/>
        <v>81110.565232668392</v>
      </c>
      <c r="R224" s="227">
        <f t="shared" si="90"/>
        <v>0</v>
      </c>
      <c r="S224" s="226">
        <v>347656.05066087138</v>
      </c>
      <c r="T224" s="228">
        <f t="shared" si="91"/>
        <v>1.332727427141015</v>
      </c>
      <c r="U224" s="227">
        <f t="shared" si="92"/>
        <v>4434629.8732017204</v>
      </c>
      <c r="V224" s="227">
        <f t="shared" si="93"/>
        <v>5910152.861234813</v>
      </c>
      <c r="W224" s="221" t="s">
        <v>796</v>
      </c>
      <c r="X224" s="221" t="s">
        <v>621</v>
      </c>
      <c r="Y224" s="229">
        <f>SUMIFS(Cert_App_Output!$G:$G,Cert_App_Output!$E:$E,$E224,Cert_App_Output!$K:$K,$X224)</f>
        <v>0.65</v>
      </c>
    </row>
    <row r="225" spans="1:25" x14ac:dyDescent="0.35">
      <c r="A225" s="221" t="s">
        <v>573</v>
      </c>
      <c r="B225" s="221" t="s">
        <v>573</v>
      </c>
      <c r="C225" s="221" t="s">
        <v>573</v>
      </c>
      <c r="D225" s="221" t="s">
        <v>573</v>
      </c>
      <c r="E225" s="221">
        <v>25</v>
      </c>
      <c r="G225" s="221" t="s">
        <v>806</v>
      </c>
      <c r="I225" s="222"/>
      <c r="J225" s="223"/>
      <c r="K225" s="223"/>
      <c r="L225" s="223"/>
      <c r="M225" s="223"/>
      <c r="N225" s="223"/>
      <c r="O225" s="223"/>
      <c r="P225" s="223"/>
      <c r="Q225" s="223"/>
      <c r="R225" s="223"/>
      <c r="S225" s="223"/>
      <c r="T225" s="224"/>
      <c r="U225" s="223"/>
      <c r="V225" s="223"/>
      <c r="W225" s="221" t="s">
        <v>806</v>
      </c>
      <c r="X225" s="221" t="s">
        <v>621</v>
      </c>
      <c r="Y225" s="215"/>
    </row>
    <row r="226" spans="1:25" x14ac:dyDescent="0.35">
      <c r="A226" s="221" t="s">
        <v>807</v>
      </c>
      <c r="B226" s="221" t="s">
        <v>573</v>
      </c>
      <c r="C226" s="221" t="s">
        <v>807</v>
      </c>
      <c r="D226" s="221" t="s">
        <v>573</v>
      </c>
      <c r="E226" s="221">
        <v>25.01</v>
      </c>
      <c r="F226" s="221" t="s">
        <v>574</v>
      </c>
      <c r="G226" s="221" t="s">
        <v>808</v>
      </c>
      <c r="H226" s="221" t="s">
        <v>584</v>
      </c>
      <c r="I226" s="225">
        <v>17</v>
      </c>
      <c r="J226" s="226">
        <v>0</v>
      </c>
      <c r="K226" s="226">
        <v>4372210.5819999985</v>
      </c>
      <c r="L226" s="226">
        <v>0</v>
      </c>
      <c r="M226" s="226">
        <v>0</v>
      </c>
      <c r="N226" s="227">
        <f>SUM(J226:M226)</f>
        <v>4372210.5819999985</v>
      </c>
      <c r="O226" s="227">
        <f>IF($N226=0,$S226,J226/$N226*$S226)</f>
        <v>0</v>
      </c>
      <c r="P226" s="227">
        <f t="shared" ref="P226:R227" si="94">IF($N226=0,0,K226/$N226*$S226)</f>
        <v>5826964.9598675789</v>
      </c>
      <c r="Q226" s="227">
        <f t="shared" si="94"/>
        <v>0</v>
      </c>
      <c r="R226" s="227">
        <f t="shared" si="94"/>
        <v>0</v>
      </c>
      <c r="S226" s="226">
        <v>5826964.9598675789</v>
      </c>
      <c r="T226" s="228">
        <f>IFERROR(S226/N226,"")</f>
        <v>1.3327274271410152</v>
      </c>
      <c r="U226" s="227">
        <f>N226*I226</f>
        <v>74327579.893999979</v>
      </c>
      <c r="V226" s="227">
        <f>S226*I226</f>
        <v>99058404.317748845</v>
      </c>
      <c r="W226" s="221" t="s">
        <v>806</v>
      </c>
      <c r="X226" s="221" t="s">
        <v>621</v>
      </c>
      <c r="Y226" s="229">
        <f>SUMIFS(Cert_App_Output!$G:$G,Cert_App_Output!$E:$E,$E226,Cert_App_Output!$K:$K,$X226)</f>
        <v>0.75000000000000011</v>
      </c>
    </row>
    <row r="227" spans="1:25" x14ac:dyDescent="0.35">
      <c r="A227" s="221" t="s">
        <v>118</v>
      </c>
      <c r="B227" s="221" t="s">
        <v>573</v>
      </c>
      <c r="C227" s="221" t="s">
        <v>118</v>
      </c>
      <c r="D227" s="221" t="s">
        <v>573</v>
      </c>
      <c r="E227" s="221">
        <v>25.02</v>
      </c>
      <c r="F227" s="221" t="s">
        <v>574</v>
      </c>
      <c r="G227" s="221" t="s">
        <v>809</v>
      </c>
      <c r="H227" s="221" t="s">
        <v>584</v>
      </c>
      <c r="I227" s="225">
        <v>17</v>
      </c>
      <c r="J227" s="226">
        <v>0</v>
      </c>
      <c r="K227" s="226">
        <v>500000</v>
      </c>
      <c r="L227" s="226">
        <v>0</v>
      </c>
      <c r="M227" s="226">
        <v>0</v>
      </c>
      <c r="N227" s="227">
        <f>SUM(J227:M227)</f>
        <v>500000</v>
      </c>
      <c r="O227" s="227">
        <f>IF($N227=0,$S227,J227/$N227*$S227)</f>
        <v>0</v>
      </c>
      <c r="P227" s="227">
        <f t="shared" si="94"/>
        <v>666363.71357050759</v>
      </c>
      <c r="Q227" s="227">
        <f t="shared" si="94"/>
        <v>0</v>
      </c>
      <c r="R227" s="227">
        <f t="shared" si="94"/>
        <v>0</v>
      </c>
      <c r="S227" s="226">
        <v>666363.71357050759</v>
      </c>
      <c r="T227" s="228">
        <f>IFERROR(S227/N227,"")</f>
        <v>1.3327274271410152</v>
      </c>
      <c r="U227" s="227">
        <f>N227*I227</f>
        <v>8500000</v>
      </c>
      <c r="V227" s="227">
        <f>S227*I227</f>
        <v>11328183.130698629</v>
      </c>
      <c r="W227" s="221" t="s">
        <v>806</v>
      </c>
      <c r="X227" s="221" t="s">
        <v>621</v>
      </c>
      <c r="Y227" s="229">
        <f>SUMIFS(Cert_App_Output!$G:$G,Cert_App_Output!$E:$E,$E227,Cert_App_Output!$K:$K,$X227)</f>
        <v>0.75000000000000011</v>
      </c>
    </row>
    <row r="228" spans="1:25" x14ac:dyDescent="0.35">
      <c r="G228" s="230" t="s">
        <v>810</v>
      </c>
      <c r="I228" s="222"/>
      <c r="J228" s="223"/>
      <c r="K228" s="223"/>
      <c r="L228" s="223"/>
      <c r="M228" s="223"/>
      <c r="N228" s="223"/>
      <c r="O228" s="223"/>
      <c r="P228" s="223"/>
      <c r="Q228" s="223"/>
      <c r="R228" s="223"/>
      <c r="S228" s="223"/>
      <c r="T228" s="224"/>
      <c r="U228" s="231">
        <f>SUM(U5:U227)</f>
        <v>1016173633.3255379</v>
      </c>
      <c r="V228" s="231">
        <f>SUM(V5:V227)</f>
        <v>1354282471.870482</v>
      </c>
      <c r="Y228" s="215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</sheetPr>
  <dimension ref="A2:AT101"/>
  <sheetViews>
    <sheetView topLeftCell="A26" zoomScaleNormal="100" workbookViewId="0">
      <selection activeCell="K48" sqref="K48"/>
    </sheetView>
  </sheetViews>
  <sheetFormatPr defaultColWidth="8.7265625" defaultRowHeight="10.5" x14ac:dyDescent="0.25"/>
  <cols>
    <col min="1" max="1" width="3" style="18" customWidth="1"/>
    <col min="2" max="2" width="30.1796875" style="18" customWidth="1"/>
    <col min="3" max="3" width="3.1796875" style="18" customWidth="1"/>
    <col min="4" max="4" width="5" style="18" customWidth="1"/>
    <col min="5" max="5" width="4.08984375" style="18" customWidth="1"/>
    <col min="6" max="6" width="11.1796875" style="18" customWidth="1"/>
    <col min="7" max="7" width="13.36328125" style="18" customWidth="1"/>
    <col min="8" max="8" width="12" style="18" customWidth="1"/>
    <col min="9" max="10" width="8.7265625" style="18" customWidth="1"/>
    <col min="11" max="11" width="12.36328125" style="18" customWidth="1"/>
    <col min="12" max="12" width="10.6328125" style="18" customWidth="1"/>
    <col min="13" max="13" width="16.36328125" style="18" customWidth="1"/>
    <col min="14" max="14" width="4.81640625" style="18" customWidth="1"/>
    <col min="15" max="15" width="6.7265625" style="18" customWidth="1"/>
    <col min="16" max="16" width="13.08984375" style="18" customWidth="1"/>
    <col min="17" max="17" width="7.81640625" style="18" customWidth="1"/>
    <col min="18" max="18" width="21" style="18" customWidth="1"/>
    <col min="19" max="24" width="8.7265625" style="18" customWidth="1"/>
    <col min="25" max="16384" width="8.7265625" style="18"/>
  </cols>
  <sheetData>
    <row r="2" spans="1:46" ht="10.5" customHeight="1" x14ac:dyDescent="0.25">
      <c r="A2" s="19"/>
      <c r="B2" s="20"/>
      <c r="C2" s="21"/>
      <c r="D2" s="22"/>
      <c r="E2" s="22"/>
      <c r="F2" s="23"/>
      <c r="G2" s="24"/>
      <c r="H2" s="25">
        <v>45679</v>
      </c>
      <c r="I2" s="26"/>
      <c r="J2" s="24"/>
      <c r="K2" s="24"/>
      <c r="M2" s="26"/>
      <c r="N2" s="27"/>
      <c r="O2" s="27">
        <v>26</v>
      </c>
      <c r="P2" s="27"/>
      <c r="Q2" s="24"/>
      <c r="R2" s="28"/>
      <c r="S2" s="29"/>
      <c r="T2" s="24"/>
      <c r="U2" s="30"/>
      <c r="V2" s="31"/>
      <c r="W2" s="31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ht="20.25" customHeight="1" x14ac:dyDescent="0.25">
      <c r="A3" s="19"/>
      <c r="B3" s="33"/>
      <c r="C3" s="21"/>
      <c r="D3" s="22"/>
      <c r="E3" s="22"/>
      <c r="F3" s="34" t="s">
        <v>811</v>
      </c>
      <c r="G3" s="35" t="s">
        <v>812</v>
      </c>
      <c r="H3" s="35" t="s">
        <v>813</v>
      </c>
      <c r="I3" s="27"/>
      <c r="J3" s="27"/>
      <c r="K3" s="27"/>
      <c r="M3" s="35" t="s">
        <v>814</v>
      </c>
      <c r="N3" s="36" t="s">
        <v>815</v>
      </c>
      <c r="O3" s="36" t="s">
        <v>816</v>
      </c>
      <c r="Q3" s="24"/>
      <c r="R3" s="26"/>
      <c r="S3" s="37"/>
      <c r="T3" s="38"/>
      <c r="U3" s="26"/>
      <c r="V3" s="39"/>
      <c r="W3" s="40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</row>
    <row r="4" spans="1:46" ht="21" customHeight="1" x14ac:dyDescent="0.25">
      <c r="A4" s="19"/>
      <c r="B4" s="33" t="s">
        <v>817</v>
      </c>
      <c r="C4" s="21"/>
      <c r="D4" s="22"/>
      <c r="E4" s="22"/>
      <c r="F4" s="42">
        <f>+ROUNDUP(N17,0)</f>
        <v>17</v>
      </c>
      <c r="G4" s="43">
        <v>1066.5</v>
      </c>
      <c r="H4" s="43">
        <v>1170</v>
      </c>
      <c r="I4" s="44"/>
      <c r="J4" s="44"/>
      <c r="K4" s="38"/>
      <c r="M4" s="45" t="s">
        <v>818</v>
      </c>
      <c r="N4" s="46">
        <v>1</v>
      </c>
      <c r="O4" s="46">
        <f t="shared" ref="O4:O16" si="0">+N4*$O$2</f>
        <v>26</v>
      </c>
      <c r="Q4" s="47" t="s">
        <v>819</v>
      </c>
      <c r="R4" s="38"/>
      <c r="S4" s="48"/>
      <c r="T4" s="49"/>
      <c r="U4" s="50"/>
      <c r="V4" s="50"/>
      <c r="W4" s="40"/>
      <c r="X4" s="51"/>
      <c r="Y4" s="51"/>
      <c r="Z4" s="51"/>
      <c r="AA4" s="51"/>
      <c r="AB4" s="51"/>
      <c r="AC4" s="52"/>
      <c r="AD4" s="53"/>
      <c r="AE4" s="52"/>
      <c r="AF4" s="53"/>
      <c r="AG4" s="52"/>
      <c r="AH4" s="53"/>
      <c r="AI4" s="51"/>
      <c r="AJ4" s="52"/>
      <c r="AK4" s="53"/>
      <c r="AL4" s="52"/>
      <c r="AM4" s="53"/>
      <c r="AN4" s="52"/>
      <c r="AO4" s="53"/>
      <c r="AP4" s="52"/>
      <c r="AQ4" s="53"/>
      <c r="AR4" s="51"/>
      <c r="AS4" s="51"/>
      <c r="AT4" s="51"/>
    </row>
    <row r="5" spans="1:46" ht="10.5" customHeight="1" x14ac:dyDescent="0.25">
      <c r="M5" s="54" t="s">
        <v>820</v>
      </c>
      <c r="N5" s="55">
        <v>2.5</v>
      </c>
      <c r="O5" s="55">
        <f t="shared" si="0"/>
        <v>65</v>
      </c>
      <c r="P5" s="56"/>
      <c r="Q5" s="57">
        <f>+ROUNDUP(SUM(N4:N5),0)</f>
        <v>4</v>
      </c>
      <c r="T5" s="49"/>
      <c r="U5" s="50"/>
      <c r="V5" s="50"/>
    </row>
    <row r="6" spans="1:46" ht="10.5" customHeight="1" x14ac:dyDescent="0.25">
      <c r="B6" s="58" t="s">
        <v>821</v>
      </c>
      <c r="C6" s="59" t="s">
        <v>558</v>
      </c>
      <c r="D6" s="60" t="s">
        <v>559</v>
      </c>
      <c r="E6" s="60"/>
      <c r="F6" s="61" t="s">
        <v>822</v>
      </c>
      <c r="G6" s="60" t="s">
        <v>823</v>
      </c>
      <c r="H6" s="62">
        <f>SUM(G7:G10)</f>
        <v>0</v>
      </c>
      <c r="I6" s="63"/>
      <c r="J6" s="63"/>
      <c r="K6" s="50"/>
      <c r="M6" s="64" t="s">
        <v>824</v>
      </c>
      <c r="N6" s="55">
        <v>1</v>
      </c>
      <c r="O6" s="55">
        <f t="shared" si="0"/>
        <v>26</v>
      </c>
      <c r="Q6" s="65"/>
      <c r="T6" s="49"/>
      <c r="U6" s="50"/>
      <c r="V6" s="50"/>
    </row>
    <row r="7" spans="1:46" ht="10.5" customHeight="1" x14ac:dyDescent="0.25">
      <c r="B7" s="66" t="s">
        <v>825</v>
      </c>
      <c r="C7" s="67" t="s">
        <v>584</v>
      </c>
      <c r="D7" s="68">
        <f>+$F$4</f>
        <v>17</v>
      </c>
      <c r="E7" s="68">
        <v>0</v>
      </c>
      <c r="F7" s="69">
        <f>E7*I7+J7</f>
        <v>0</v>
      </c>
      <c r="G7" s="70">
        <f>+F7*D7*E7</f>
        <v>0</v>
      </c>
      <c r="H7" s="63"/>
      <c r="I7" s="71"/>
      <c r="J7" s="63"/>
      <c r="K7" s="50"/>
      <c r="M7" s="64" t="s">
        <v>826</v>
      </c>
      <c r="N7" s="55">
        <v>0.75</v>
      </c>
      <c r="O7" s="55">
        <f t="shared" si="0"/>
        <v>19.5</v>
      </c>
      <c r="Q7" s="65"/>
      <c r="T7" s="49"/>
      <c r="U7" s="50"/>
      <c r="V7" s="50"/>
    </row>
    <row r="8" spans="1:46" ht="10.5" customHeight="1" x14ac:dyDescent="0.25">
      <c r="B8" s="72" t="s">
        <v>827</v>
      </c>
      <c r="C8" s="73" t="s">
        <v>584</v>
      </c>
      <c r="D8" s="68">
        <f>+$F$4</f>
        <v>17</v>
      </c>
      <c r="E8" s="74">
        <v>0</v>
      </c>
      <c r="F8" s="69">
        <f>E8*I8+J8</f>
        <v>0</v>
      </c>
      <c r="G8" s="70">
        <f>+F8*D8*E8</f>
        <v>0</v>
      </c>
      <c r="H8" s="63"/>
      <c r="I8" s="71"/>
      <c r="J8" s="63"/>
      <c r="M8" s="64" t="s">
        <v>828</v>
      </c>
      <c r="N8" s="55">
        <v>0.75</v>
      </c>
      <c r="O8" s="55">
        <f t="shared" si="0"/>
        <v>19.5</v>
      </c>
      <c r="Q8" s="65"/>
      <c r="T8" s="49"/>
      <c r="U8" s="50"/>
      <c r="V8" s="50"/>
    </row>
    <row r="9" spans="1:46" ht="10.5" customHeight="1" x14ac:dyDescent="0.25">
      <c r="B9" s="72" t="s">
        <v>829</v>
      </c>
      <c r="C9" s="73" t="s">
        <v>584</v>
      </c>
      <c r="D9" s="68">
        <f>+$F$4</f>
        <v>17</v>
      </c>
      <c r="E9" s="74">
        <v>1</v>
      </c>
      <c r="F9" s="69">
        <f>E9*I9+J9</f>
        <v>0</v>
      </c>
      <c r="G9" s="70">
        <f>+F9*D9*E9</f>
        <v>0</v>
      </c>
      <c r="H9" s="63"/>
      <c r="I9" s="63"/>
      <c r="J9" s="63"/>
      <c r="M9" s="64" t="s">
        <v>830</v>
      </c>
      <c r="N9" s="55">
        <v>0.75</v>
      </c>
      <c r="O9" s="55">
        <f t="shared" si="0"/>
        <v>19.5</v>
      </c>
      <c r="P9" s="56" t="s">
        <v>831</v>
      </c>
      <c r="Q9" s="65"/>
      <c r="T9" s="49"/>
      <c r="U9" s="50"/>
      <c r="V9" s="50"/>
    </row>
    <row r="10" spans="1:46" ht="10.5" customHeight="1" x14ac:dyDescent="0.25">
      <c r="B10" s="72" t="s">
        <v>832</v>
      </c>
      <c r="C10" s="73" t="s">
        <v>584</v>
      </c>
      <c r="D10" s="68">
        <f>+$F$4</f>
        <v>17</v>
      </c>
      <c r="E10" s="74">
        <v>2</v>
      </c>
      <c r="F10" s="69">
        <f>E10*I10+J10</f>
        <v>0</v>
      </c>
      <c r="G10" s="70">
        <f>+F10*D10*E10</f>
        <v>0</v>
      </c>
      <c r="H10" s="63"/>
      <c r="I10" s="63"/>
      <c r="J10" s="63"/>
      <c r="M10" s="64" t="s">
        <v>833</v>
      </c>
      <c r="N10" s="55">
        <v>0.75</v>
      </c>
      <c r="O10" s="55">
        <f t="shared" si="0"/>
        <v>19.5</v>
      </c>
      <c r="Q10" s="65"/>
      <c r="T10" s="49"/>
      <c r="U10" s="50"/>
      <c r="V10" s="50"/>
    </row>
    <row r="11" spans="1:46" ht="10.5" customHeight="1" x14ac:dyDescent="0.25">
      <c r="B11" s="75" t="s">
        <v>821</v>
      </c>
      <c r="C11" s="76"/>
      <c r="D11" s="77"/>
      <c r="E11" s="77"/>
      <c r="F11" s="78"/>
      <c r="G11" s="79"/>
      <c r="H11" s="80">
        <f>SUM(G12:G19)</f>
        <v>32379394.947000001</v>
      </c>
      <c r="I11" s="63"/>
      <c r="J11" s="63"/>
      <c r="K11" s="50"/>
      <c r="M11" s="64" t="s">
        <v>834</v>
      </c>
      <c r="N11" s="55">
        <v>0.5</v>
      </c>
      <c r="O11" s="55">
        <f t="shared" si="0"/>
        <v>13</v>
      </c>
      <c r="Q11" s="65" t="s">
        <v>835</v>
      </c>
      <c r="R11" s="56" t="s">
        <v>836</v>
      </c>
      <c r="T11" s="56"/>
      <c r="U11" s="56"/>
      <c r="V11" s="56"/>
    </row>
    <row r="12" spans="1:46" ht="10.5" customHeight="1" x14ac:dyDescent="0.25">
      <c r="B12" s="81" t="s">
        <v>837</v>
      </c>
      <c r="C12" s="82" t="s">
        <v>584</v>
      </c>
      <c r="D12" s="83">
        <f>+Q5</f>
        <v>4</v>
      </c>
      <c r="E12" s="83">
        <v>1</v>
      </c>
      <c r="F12" s="84"/>
      <c r="G12" s="201"/>
      <c r="H12" s="63"/>
      <c r="J12" s="85">
        <v>1504670.291</v>
      </c>
      <c r="K12" s="68">
        <f>+J12*D12*E12</f>
        <v>6018681.1639999999</v>
      </c>
      <c r="M12" s="54" t="s">
        <v>838</v>
      </c>
      <c r="N12" s="55">
        <v>2</v>
      </c>
      <c r="O12" s="55">
        <f t="shared" si="0"/>
        <v>52</v>
      </c>
      <c r="Q12" s="65">
        <f>+SUM(N5:N11)</f>
        <v>7</v>
      </c>
      <c r="R12" s="56">
        <f>+ROUNDUP(Q12/3,0)</f>
        <v>3</v>
      </c>
      <c r="T12" s="56"/>
      <c r="U12" s="56"/>
      <c r="V12" s="56"/>
    </row>
    <row r="13" spans="1:46" ht="10.5" customHeight="1" x14ac:dyDescent="0.25">
      <c r="B13" s="72" t="s">
        <v>839</v>
      </c>
      <c r="C13" s="73" t="s">
        <v>584</v>
      </c>
      <c r="D13" s="74">
        <f t="shared" ref="D13:D19" si="1">+$F$4</f>
        <v>17</v>
      </c>
      <c r="E13" s="74">
        <v>1</v>
      </c>
      <c r="F13" s="69"/>
      <c r="G13" s="201"/>
      <c r="H13" s="63"/>
      <c r="J13" s="86">
        <v>150000</v>
      </c>
      <c r="K13" s="69">
        <f>+J13*D13*E13</f>
        <v>2550000</v>
      </c>
      <c r="M13" s="54" t="s">
        <v>840</v>
      </c>
      <c r="N13" s="55">
        <v>2</v>
      </c>
      <c r="O13" s="55">
        <f t="shared" si="0"/>
        <v>52</v>
      </c>
    </row>
    <row r="14" spans="1:46" ht="10.5" customHeight="1" x14ac:dyDescent="0.25">
      <c r="B14" s="72" t="s">
        <v>841</v>
      </c>
      <c r="C14" s="73" t="s">
        <v>584</v>
      </c>
      <c r="D14" s="74">
        <f t="shared" si="1"/>
        <v>17</v>
      </c>
      <c r="E14" s="74">
        <v>0.5</v>
      </c>
      <c r="F14" s="69">
        <v>200000</v>
      </c>
      <c r="G14" s="69">
        <f t="shared" ref="G14:G19" si="2">+F14*D14*E14</f>
        <v>1700000</v>
      </c>
      <c r="H14" s="63"/>
      <c r="I14" s="63"/>
      <c r="J14" s="50"/>
      <c r="K14" s="50"/>
      <c r="M14" s="54" t="s">
        <v>842</v>
      </c>
      <c r="N14" s="55">
        <v>2</v>
      </c>
      <c r="O14" s="55">
        <f t="shared" si="0"/>
        <v>52</v>
      </c>
    </row>
    <row r="15" spans="1:46" ht="10.5" customHeight="1" x14ac:dyDescent="0.25">
      <c r="B15" s="72" t="s">
        <v>843</v>
      </c>
      <c r="C15" s="73" t="s">
        <v>584</v>
      </c>
      <c r="D15" s="74">
        <f t="shared" si="1"/>
        <v>17</v>
      </c>
      <c r="E15" s="74">
        <v>1</v>
      </c>
      <c r="F15" s="69">
        <v>250000</v>
      </c>
      <c r="G15" s="69">
        <f t="shared" si="2"/>
        <v>4250000</v>
      </c>
      <c r="H15" s="63"/>
      <c r="I15" s="63"/>
      <c r="J15" s="50"/>
      <c r="K15" s="50"/>
      <c r="M15" s="54" t="s">
        <v>844</v>
      </c>
      <c r="N15" s="87">
        <v>2</v>
      </c>
      <c r="O15" s="55">
        <f t="shared" si="0"/>
        <v>52</v>
      </c>
    </row>
    <row r="16" spans="1:46" ht="10.5" customHeight="1" x14ac:dyDescent="0.25">
      <c r="B16" s="72" t="s">
        <v>60</v>
      </c>
      <c r="C16" s="73" t="s">
        <v>584</v>
      </c>
      <c r="D16" s="74">
        <f t="shared" si="1"/>
        <v>17</v>
      </c>
      <c r="E16" s="74">
        <v>1</v>
      </c>
      <c r="F16" s="69">
        <v>50000</v>
      </c>
      <c r="G16" s="69">
        <f t="shared" si="2"/>
        <v>850000</v>
      </c>
      <c r="H16" s="63"/>
      <c r="I16" s="63"/>
      <c r="J16" s="50"/>
      <c r="K16" s="50"/>
      <c r="M16" s="88" t="s">
        <v>845</v>
      </c>
      <c r="N16" s="89">
        <v>1</v>
      </c>
      <c r="O16" s="55">
        <f t="shared" si="0"/>
        <v>26</v>
      </c>
    </row>
    <row r="17" spans="2:15" ht="10.5" customHeight="1" x14ac:dyDescent="0.25">
      <c r="B17" s="72" t="s">
        <v>846</v>
      </c>
      <c r="C17" s="73" t="s">
        <v>584</v>
      </c>
      <c r="D17" s="74">
        <f t="shared" si="1"/>
        <v>17</v>
      </c>
      <c r="E17" s="74">
        <v>0</v>
      </c>
      <c r="F17" s="69">
        <v>10000</v>
      </c>
      <c r="G17" s="69">
        <f t="shared" si="2"/>
        <v>0</v>
      </c>
      <c r="H17" s="63"/>
      <c r="I17" s="63"/>
      <c r="J17" s="50"/>
      <c r="K17" s="50"/>
      <c r="N17" s="90">
        <f>SUM(N4:N16)</f>
        <v>17</v>
      </c>
      <c r="O17" s="90">
        <f>SUM(O4:O16)</f>
        <v>442</v>
      </c>
    </row>
    <row r="18" spans="2:15" ht="10.5" customHeight="1" x14ac:dyDescent="0.25">
      <c r="B18" s="72" t="s">
        <v>847</v>
      </c>
      <c r="C18" s="73" t="s">
        <v>584</v>
      </c>
      <c r="D18" s="74">
        <f t="shared" si="1"/>
        <v>17</v>
      </c>
      <c r="E18" s="74">
        <v>0</v>
      </c>
      <c r="F18" s="69">
        <v>3009340.5819999999</v>
      </c>
      <c r="G18" s="69">
        <f t="shared" si="2"/>
        <v>0</v>
      </c>
      <c r="H18" s="63"/>
      <c r="K18" s="50"/>
      <c r="L18" s="50"/>
    </row>
    <row r="19" spans="2:15" ht="10.5" customHeight="1" x14ac:dyDescent="0.25">
      <c r="B19" s="72" t="s">
        <v>848</v>
      </c>
      <c r="C19" s="73" t="s">
        <v>584</v>
      </c>
      <c r="D19" s="74">
        <f t="shared" si="1"/>
        <v>17</v>
      </c>
      <c r="E19" s="74">
        <v>0.5</v>
      </c>
      <c r="F19" s="69">
        <v>3009340.5819999999</v>
      </c>
      <c r="G19" s="69">
        <f t="shared" si="2"/>
        <v>25579394.947000001</v>
      </c>
      <c r="H19" s="63"/>
      <c r="I19" s="63"/>
      <c r="J19" s="50"/>
      <c r="K19" s="50"/>
      <c r="L19" s="50"/>
    </row>
    <row r="20" spans="2:15" ht="10.5" customHeight="1" x14ac:dyDescent="0.25">
      <c r="B20" s="75" t="s">
        <v>849</v>
      </c>
      <c r="C20" s="76"/>
      <c r="D20" s="91"/>
      <c r="E20" s="91"/>
      <c r="F20" s="92"/>
      <c r="G20" s="93"/>
      <c r="H20" s="62">
        <f>SUM(G21:G31)</f>
        <v>60580517.894148201</v>
      </c>
      <c r="I20" s="63"/>
      <c r="J20" s="50"/>
      <c r="K20" s="50"/>
    </row>
    <row r="21" spans="2:15" ht="10.5" customHeight="1" x14ac:dyDescent="0.25">
      <c r="B21" s="81" t="s">
        <v>850</v>
      </c>
      <c r="C21" s="82" t="s">
        <v>584</v>
      </c>
      <c r="D21" s="83">
        <f t="shared" ref="D21:D30" si="3">+$F$4</f>
        <v>17</v>
      </c>
      <c r="E21" s="83">
        <v>0.15</v>
      </c>
      <c r="F21" s="84">
        <v>5273644.0999999996</v>
      </c>
      <c r="G21" s="84">
        <f>+F21*D21*E21</f>
        <v>13447792.454999998</v>
      </c>
      <c r="H21" s="63"/>
      <c r="I21" s="63"/>
      <c r="J21" s="63"/>
      <c r="K21" s="50"/>
    </row>
    <row r="22" spans="2:15" ht="10.5" customHeight="1" x14ac:dyDescent="0.25">
      <c r="B22" s="72" t="s">
        <v>851</v>
      </c>
      <c r="C22" s="73" t="s">
        <v>584</v>
      </c>
      <c r="D22" s="74">
        <f t="shared" si="3"/>
        <v>17</v>
      </c>
      <c r="E22" s="74">
        <v>1</v>
      </c>
      <c r="F22" s="94"/>
      <c r="G22" s="201"/>
      <c r="H22" s="63"/>
      <c r="J22" s="86">
        <v>4372210.5820000004</v>
      </c>
      <c r="K22" s="69">
        <f>+J22*D22*E22</f>
        <v>74327579.894000009</v>
      </c>
    </row>
    <row r="23" spans="2:15" ht="10.5" customHeight="1" x14ac:dyDescent="0.25">
      <c r="B23" s="72" t="s">
        <v>852</v>
      </c>
      <c r="C23" s="73" t="s">
        <v>584</v>
      </c>
      <c r="D23" s="74">
        <f t="shared" si="3"/>
        <v>17</v>
      </c>
      <c r="E23" s="95">
        <v>0</v>
      </c>
      <c r="F23" s="69">
        <v>3009340.5819999999</v>
      </c>
      <c r="G23" s="69">
        <f>+F23*D23*E23</f>
        <v>0</v>
      </c>
      <c r="H23" s="63"/>
      <c r="I23" s="63"/>
      <c r="J23" s="63"/>
      <c r="K23" s="50"/>
    </row>
    <row r="24" spans="2:15" ht="10.5" customHeight="1" x14ac:dyDescent="0.25">
      <c r="B24" s="72" t="s">
        <v>853</v>
      </c>
      <c r="C24" s="73" t="s">
        <v>584</v>
      </c>
      <c r="D24" s="74">
        <f t="shared" si="3"/>
        <v>17</v>
      </c>
      <c r="E24" s="95">
        <v>0</v>
      </c>
      <c r="F24" s="69">
        <f>+F23</f>
        <v>3009340.5819999999</v>
      </c>
      <c r="G24" s="69">
        <f>+F24*D24*E24</f>
        <v>0</v>
      </c>
      <c r="H24" s="63"/>
      <c r="I24" s="63"/>
      <c r="J24" s="63"/>
      <c r="K24" s="50"/>
      <c r="L24" s="96"/>
    </row>
    <row r="25" spans="2:15" ht="10.5" customHeight="1" x14ac:dyDescent="0.25">
      <c r="B25" s="72" t="s">
        <v>854</v>
      </c>
      <c r="C25" s="73" t="s">
        <v>584</v>
      </c>
      <c r="D25" s="74">
        <f t="shared" si="3"/>
        <v>17</v>
      </c>
      <c r="E25" s="95">
        <v>0.5</v>
      </c>
      <c r="F25" s="69">
        <v>3545026.5222527301</v>
      </c>
      <c r="G25" s="69">
        <f>+F25*D25*E25</f>
        <v>30132725.439148206</v>
      </c>
      <c r="H25" s="63"/>
      <c r="I25" s="63"/>
      <c r="J25" s="63"/>
      <c r="K25" s="50"/>
    </row>
    <row r="26" spans="2:15" ht="10.5" customHeight="1" x14ac:dyDescent="0.25">
      <c r="B26" s="72" t="s">
        <v>855</v>
      </c>
      <c r="C26" s="73" t="s">
        <v>584</v>
      </c>
      <c r="D26" s="74">
        <f t="shared" si="3"/>
        <v>17</v>
      </c>
      <c r="E26" s="74">
        <v>1</v>
      </c>
      <c r="F26" s="69">
        <v>500000</v>
      </c>
      <c r="G26" s="69">
        <f>+F26*D26*E26</f>
        <v>8500000</v>
      </c>
      <c r="H26" s="63"/>
      <c r="I26" s="63"/>
      <c r="J26" s="63"/>
      <c r="K26" s="50"/>
    </row>
    <row r="27" spans="2:15" ht="10.5" customHeight="1" x14ac:dyDescent="0.25">
      <c r="B27" s="72" t="s">
        <v>856</v>
      </c>
      <c r="C27" s="73" t="s">
        <v>584</v>
      </c>
      <c r="D27" s="74">
        <f t="shared" si="3"/>
        <v>17</v>
      </c>
      <c r="E27" s="74">
        <v>1</v>
      </c>
      <c r="F27" s="69">
        <f>F26</f>
        <v>500000</v>
      </c>
      <c r="G27" s="69">
        <f>+F27*D27*E27</f>
        <v>8500000</v>
      </c>
      <c r="H27" s="63"/>
      <c r="I27" s="63"/>
      <c r="J27" s="63"/>
      <c r="K27" s="50"/>
    </row>
    <row r="28" spans="2:15" ht="10.5" customHeight="1" x14ac:dyDescent="0.25">
      <c r="B28" s="72" t="s">
        <v>857</v>
      </c>
      <c r="C28" s="73" t="s">
        <v>584</v>
      </c>
      <c r="D28" s="74">
        <f t="shared" si="3"/>
        <v>17</v>
      </c>
      <c r="E28" s="74">
        <v>1</v>
      </c>
      <c r="F28" s="94"/>
      <c r="G28" s="201"/>
      <c r="H28" s="63"/>
      <c r="J28" s="86">
        <f>F26</f>
        <v>500000</v>
      </c>
      <c r="K28" s="69">
        <f>+J28*D28*E28</f>
        <v>8500000</v>
      </c>
    </row>
    <row r="29" spans="2:15" ht="10.5" customHeight="1" x14ac:dyDescent="0.25">
      <c r="B29" s="72" t="s">
        <v>858</v>
      </c>
      <c r="C29" s="73" t="s">
        <v>584</v>
      </c>
      <c r="D29" s="74">
        <f t="shared" si="3"/>
        <v>17</v>
      </c>
      <c r="E29" s="74">
        <v>1</v>
      </c>
      <c r="F29" s="69"/>
      <c r="G29" s="69">
        <f>+F29*D29*E29</f>
        <v>0</v>
      </c>
      <c r="H29" s="63"/>
      <c r="K29" s="50"/>
    </row>
    <row r="30" spans="2:15" ht="10.5" customHeight="1" x14ac:dyDescent="0.25">
      <c r="B30" s="72" t="s">
        <v>859</v>
      </c>
      <c r="C30" s="73" t="s">
        <v>584</v>
      </c>
      <c r="D30" s="74">
        <f t="shared" si="3"/>
        <v>17</v>
      </c>
      <c r="E30" s="74">
        <v>1</v>
      </c>
      <c r="F30" s="94"/>
      <c r="G30" s="201"/>
      <c r="H30" s="63"/>
      <c r="J30" s="86">
        <v>730326.96931886405</v>
      </c>
      <c r="K30" s="69">
        <f>+J30*D30*E30</f>
        <v>12415558.47842069</v>
      </c>
    </row>
    <row r="31" spans="2:15" ht="10.5" customHeight="1" x14ac:dyDescent="0.25">
      <c r="B31" s="97"/>
      <c r="C31" s="98"/>
      <c r="D31" s="99"/>
      <c r="E31" s="99"/>
      <c r="F31" s="100"/>
      <c r="G31" s="100"/>
      <c r="H31" s="63"/>
      <c r="I31" s="63"/>
      <c r="J31" s="50"/>
      <c r="K31" s="50"/>
    </row>
    <row r="32" spans="2:15" ht="10.5" customHeight="1" x14ac:dyDescent="0.25">
      <c r="B32" s="75" t="s">
        <v>860</v>
      </c>
      <c r="C32" s="76"/>
      <c r="D32" s="91"/>
      <c r="E32" s="91"/>
      <c r="F32" s="92"/>
      <c r="G32" s="93"/>
      <c r="H32" s="62">
        <f>SUM(G33:G41)</f>
        <v>0</v>
      </c>
      <c r="I32" s="63"/>
      <c r="J32" s="50"/>
      <c r="K32" s="50"/>
    </row>
    <row r="33" spans="2:13" ht="10.5" customHeight="1" x14ac:dyDescent="0.25">
      <c r="B33" s="81" t="s">
        <v>861</v>
      </c>
      <c r="C33" s="82" t="s">
        <v>584</v>
      </c>
      <c r="D33" s="83"/>
      <c r="E33" s="83"/>
      <c r="F33" s="84">
        <v>130000</v>
      </c>
      <c r="G33" s="84">
        <f>+F33*D33</f>
        <v>0</v>
      </c>
      <c r="H33" s="63"/>
      <c r="I33" s="63"/>
      <c r="J33" s="50"/>
      <c r="K33" s="50"/>
    </row>
    <row r="34" spans="2:13" ht="10.5" customHeight="1" x14ac:dyDescent="0.25">
      <c r="B34" s="72" t="s">
        <v>862</v>
      </c>
      <c r="C34" s="73" t="s">
        <v>584</v>
      </c>
      <c r="D34" s="74"/>
      <c r="E34" s="74"/>
      <c r="F34" s="69">
        <v>100000</v>
      </c>
      <c r="G34" s="69">
        <f>+F34*D34</f>
        <v>0</v>
      </c>
      <c r="H34" s="63"/>
      <c r="I34" s="63"/>
      <c r="J34" s="50"/>
      <c r="K34" s="50"/>
    </row>
    <row r="35" spans="2:13" ht="10.5" customHeight="1" x14ac:dyDescent="0.25">
      <c r="B35" s="72" t="s">
        <v>863</v>
      </c>
      <c r="C35" s="73" t="s">
        <v>584</v>
      </c>
      <c r="D35" s="74"/>
      <c r="E35" s="74"/>
      <c r="F35" s="69">
        <v>33600</v>
      </c>
      <c r="G35" s="69">
        <f>+F35*D35</f>
        <v>0</v>
      </c>
      <c r="H35" s="63"/>
      <c r="I35" s="63"/>
      <c r="J35" s="50"/>
      <c r="K35" s="50"/>
    </row>
    <row r="36" spans="2:13" ht="10.5" customHeight="1" x14ac:dyDescent="0.25">
      <c r="B36" s="72" t="s">
        <v>864</v>
      </c>
      <c r="C36" s="73" t="s">
        <v>584</v>
      </c>
      <c r="D36" s="74"/>
      <c r="E36" s="74"/>
      <c r="F36" s="69">
        <v>89000</v>
      </c>
      <c r="G36" s="69">
        <f>+F36*D36</f>
        <v>0</v>
      </c>
      <c r="H36" s="63"/>
      <c r="I36" s="63"/>
      <c r="J36" s="50"/>
      <c r="K36" s="50"/>
    </row>
    <row r="37" spans="2:13" ht="10.5" customHeight="1" x14ac:dyDescent="0.25">
      <c r="B37" s="72" t="s">
        <v>865</v>
      </c>
      <c r="C37" s="73" t="s">
        <v>584</v>
      </c>
      <c r="D37" s="74"/>
      <c r="E37" s="74"/>
      <c r="F37" s="69">
        <v>70000</v>
      </c>
      <c r="G37" s="69">
        <f>+F37*D37</f>
        <v>0</v>
      </c>
      <c r="H37" s="63"/>
      <c r="I37" s="63"/>
      <c r="J37" s="50"/>
      <c r="K37" s="50"/>
    </row>
    <row r="38" spans="2:13" ht="10.5" customHeight="1" x14ac:dyDescent="0.25">
      <c r="B38" s="72"/>
      <c r="C38" s="73"/>
      <c r="D38" s="74"/>
      <c r="E38" s="74"/>
      <c r="F38" s="69"/>
      <c r="G38" s="69"/>
      <c r="H38" s="63"/>
      <c r="I38" s="63"/>
      <c r="J38" s="50"/>
      <c r="K38" s="50"/>
    </row>
    <row r="39" spans="2:13" ht="10.5" customHeight="1" x14ac:dyDescent="0.25">
      <c r="B39" s="72"/>
      <c r="C39" s="73"/>
      <c r="D39" s="74"/>
      <c r="E39" s="74"/>
      <c r="F39" s="69"/>
      <c r="G39" s="69"/>
      <c r="H39" s="63"/>
      <c r="I39" s="63"/>
      <c r="J39" s="50"/>
      <c r="K39" s="50"/>
    </row>
    <row r="40" spans="2:13" ht="10.5" customHeight="1" x14ac:dyDescent="0.25">
      <c r="B40" s="72"/>
      <c r="C40" s="73"/>
      <c r="D40" s="74"/>
      <c r="E40" s="74"/>
      <c r="F40" s="69"/>
      <c r="G40" s="69"/>
      <c r="H40" s="63"/>
      <c r="I40" s="63"/>
      <c r="J40" s="50"/>
      <c r="K40" s="50"/>
    </row>
    <row r="41" spans="2:13" ht="10.5" customHeight="1" x14ac:dyDescent="0.25">
      <c r="B41" s="97"/>
      <c r="C41" s="98"/>
      <c r="D41" s="99"/>
      <c r="E41" s="99"/>
      <c r="F41" s="100"/>
      <c r="G41" s="100"/>
      <c r="H41" s="63"/>
      <c r="I41" s="63"/>
      <c r="J41" s="50"/>
      <c r="K41" s="50"/>
    </row>
    <row r="42" spans="2:13" ht="10.5" customHeight="1" x14ac:dyDescent="0.25">
      <c r="B42" s="75" t="s">
        <v>866</v>
      </c>
      <c r="C42" s="76"/>
      <c r="D42" s="91"/>
      <c r="E42" s="91"/>
      <c r="F42" s="92"/>
      <c r="G42" s="93"/>
      <c r="H42" s="62">
        <f>SUM(G43:G48)</f>
        <v>82753394.946999997</v>
      </c>
      <c r="I42" s="63"/>
      <c r="J42" s="50"/>
      <c r="K42" s="50"/>
    </row>
    <row r="43" spans="2:13" ht="10.5" customHeight="1" x14ac:dyDescent="0.25">
      <c r="B43" s="66" t="s">
        <v>867</v>
      </c>
      <c r="C43" s="101" t="s">
        <v>584</v>
      </c>
      <c r="D43" s="68">
        <f>+$F$4</f>
        <v>17</v>
      </c>
      <c r="E43" s="68">
        <v>0.5</v>
      </c>
      <c r="F43" s="70">
        <v>3009340.5819999999</v>
      </c>
      <c r="G43" s="69">
        <f>+F43*D43*E43</f>
        <v>25579394.947000001</v>
      </c>
      <c r="H43" s="63"/>
      <c r="I43" s="63"/>
      <c r="J43" s="50"/>
      <c r="K43" s="50"/>
    </row>
    <row r="44" spans="2:13" ht="10.5" customHeight="1" x14ac:dyDescent="0.25">
      <c r="B44" s="72" t="s">
        <v>868</v>
      </c>
      <c r="C44" s="102" t="s">
        <v>576</v>
      </c>
      <c r="D44" s="74">
        <f>+D43</f>
        <v>17</v>
      </c>
      <c r="E44" s="74">
        <v>1</v>
      </c>
      <c r="F44" s="69">
        <v>250000</v>
      </c>
      <c r="G44" s="69">
        <f>+F44*D44</f>
        <v>4250000</v>
      </c>
      <c r="H44" s="63"/>
      <c r="I44" s="63"/>
      <c r="J44" s="50"/>
      <c r="K44" s="50"/>
    </row>
    <row r="45" spans="2:13" ht="10.5" customHeight="1" x14ac:dyDescent="0.25">
      <c r="B45" s="103" t="s">
        <v>869</v>
      </c>
      <c r="C45" s="102" t="s">
        <v>576</v>
      </c>
      <c r="D45" s="74">
        <v>0.04</v>
      </c>
      <c r="E45" s="74">
        <v>0.7</v>
      </c>
      <c r="F45" s="104">
        <v>1400000000</v>
      </c>
      <c r="G45" s="69">
        <f>+F45*D45*E45</f>
        <v>39200000</v>
      </c>
      <c r="H45" s="63"/>
      <c r="I45" s="63"/>
      <c r="J45" s="50"/>
      <c r="K45" s="62"/>
    </row>
    <row r="46" spans="2:13" ht="10.5" customHeight="1" x14ac:dyDescent="0.25">
      <c r="B46" s="72" t="s">
        <v>870</v>
      </c>
      <c r="C46" s="102" t="s">
        <v>576</v>
      </c>
      <c r="D46" s="74">
        <f>1.2/100</f>
        <v>1.2E-2</v>
      </c>
      <c r="E46" s="74">
        <f>+E45</f>
        <v>0.7</v>
      </c>
      <c r="F46" s="69">
        <f>+F45*1.15</f>
        <v>1609999999.9999998</v>
      </c>
      <c r="G46" s="69">
        <f>+F46*D46*E46</f>
        <v>13523999.999999996</v>
      </c>
      <c r="H46" s="63"/>
      <c r="I46" s="63"/>
      <c r="J46" s="50"/>
      <c r="K46" s="63"/>
    </row>
    <row r="47" spans="2:13" ht="10.5" customHeight="1" x14ac:dyDescent="0.25">
      <c r="B47" s="72" t="s">
        <v>871</v>
      </c>
      <c r="C47" s="102" t="s">
        <v>576</v>
      </c>
      <c r="D47" s="74">
        <v>1</v>
      </c>
      <c r="E47" s="74">
        <v>1</v>
      </c>
      <c r="F47" s="69">
        <v>200000</v>
      </c>
      <c r="G47" s="69">
        <f>+F47*D47*E47</f>
        <v>200000</v>
      </c>
      <c r="H47" s="63"/>
      <c r="I47" s="63"/>
      <c r="J47" s="50"/>
      <c r="K47" s="63"/>
      <c r="M47" s="63"/>
    </row>
    <row r="48" spans="2:13" ht="10.5" customHeight="1" x14ac:dyDescent="0.25">
      <c r="B48" s="97"/>
      <c r="C48" s="98"/>
      <c r="D48" s="99"/>
      <c r="E48" s="99"/>
      <c r="F48" s="100"/>
      <c r="G48" s="100"/>
      <c r="H48" s="63"/>
      <c r="I48" s="63"/>
      <c r="J48" s="63"/>
      <c r="K48" s="63"/>
      <c r="M48" s="63"/>
    </row>
    <row r="49" spans="1:13" ht="10.5" customHeight="1" x14ac:dyDescent="0.25">
      <c r="B49" s="105"/>
      <c r="D49" s="106"/>
      <c r="E49" s="106"/>
      <c r="F49" s="107"/>
      <c r="G49" s="106">
        <f>SUM(G7:G48)</f>
        <v>175713307.78814819</v>
      </c>
      <c r="H49" s="80">
        <f>SUM(H6:H48)</f>
        <v>175713307.78814819</v>
      </c>
      <c r="I49" s="63"/>
      <c r="J49" s="63"/>
      <c r="K49" s="80">
        <f>SUM(K6:K48)</f>
        <v>103811819.5364207</v>
      </c>
      <c r="L49" s="108">
        <f>+H49+K49</f>
        <v>279525127.32456887</v>
      </c>
      <c r="M49" s="50"/>
    </row>
    <row r="50" spans="1:13" ht="10.5" customHeight="1" x14ac:dyDescent="0.25">
      <c r="B50" s="105" t="s">
        <v>872</v>
      </c>
      <c r="D50" s="106"/>
      <c r="E50" s="106"/>
      <c r="F50" s="107"/>
      <c r="G50" s="106"/>
      <c r="H50" s="106"/>
      <c r="I50" s="106"/>
      <c r="K50" s="65" t="s">
        <v>873</v>
      </c>
      <c r="L50" s="109" t="s">
        <v>874</v>
      </c>
      <c r="M50" s="50"/>
    </row>
    <row r="51" spans="1:13" ht="10.5" customHeight="1" x14ac:dyDescent="0.25">
      <c r="B51" s="105" t="s">
        <v>875</v>
      </c>
      <c r="D51" s="106"/>
      <c r="E51" s="106"/>
      <c r="F51" s="107"/>
      <c r="G51" s="106"/>
      <c r="H51" s="106">
        <f>+H50+H49</f>
        <v>175713307.78814819</v>
      </c>
      <c r="I51" s="106"/>
      <c r="M51" s="50"/>
    </row>
    <row r="52" spans="1:13" ht="10.5" customHeight="1" x14ac:dyDescent="0.25">
      <c r="A52" s="110"/>
      <c r="B52" s="105"/>
      <c r="D52" s="111"/>
      <c r="E52" s="111"/>
      <c r="F52" s="112"/>
      <c r="G52" s="111"/>
      <c r="H52" s="111"/>
      <c r="M52" s="50"/>
    </row>
    <row r="53" spans="1:13" ht="10.5" customHeight="1" x14ac:dyDescent="0.25">
      <c r="A53" s="110"/>
      <c r="B53" s="105" t="s">
        <v>876</v>
      </c>
      <c r="D53" s="111"/>
      <c r="E53" s="111"/>
      <c r="F53" s="112"/>
      <c r="G53" s="50">
        <v>294935283.35845202</v>
      </c>
      <c r="H53" s="113">
        <f>+G53/$H$4</f>
        <v>252081.4387679077</v>
      </c>
      <c r="J53" s="114">
        <f>+H53/$H$59</f>
        <v>0.29208306471517503</v>
      </c>
      <c r="K53" s="115">
        <f>+H53/$H$69</f>
        <v>0.21916189219708304</v>
      </c>
      <c r="M53" s="50"/>
    </row>
    <row r="54" spans="1:13" ht="10.5" customHeight="1" x14ac:dyDescent="0.25">
      <c r="B54" s="105" t="s">
        <v>877</v>
      </c>
      <c r="F54" s="112"/>
      <c r="G54" s="50">
        <v>64860920.319356501</v>
      </c>
      <c r="H54" s="113">
        <f>+G54/$H$4</f>
        <v>55436.684033638034</v>
      </c>
      <c r="J54" s="114">
        <f>+H54/$H$59</f>
        <v>6.4233672456542698E-2</v>
      </c>
      <c r="K54" s="115">
        <f>+H54/$H$69</f>
        <v>4.8197156559115488E-2</v>
      </c>
      <c r="M54" s="50"/>
    </row>
    <row r="55" spans="1:13" ht="10.5" customHeight="1" x14ac:dyDescent="0.25">
      <c r="B55" s="105" t="s">
        <v>878</v>
      </c>
      <c r="F55" s="112"/>
      <c r="G55" s="50">
        <v>460479039.26572198</v>
      </c>
      <c r="H55" s="113">
        <f>+G55/$H$4</f>
        <v>393571.82843224099</v>
      </c>
      <c r="I55" s="50"/>
      <c r="J55" s="114">
        <f>+H55/$H$59</f>
        <v>0.45602590335849397</v>
      </c>
      <c r="K55" s="115">
        <f>+H55/$H$69</f>
        <v>0.34217492194691818</v>
      </c>
    </row>
    <row r="56" spans="1:13" ht="10.5" customHeight="1" x14ac:dyDescent="0.25">
      <c r="B56" s="105" t="s">
        <v>879</v>
      </c>
      <c r="F56" s="112"/>
      <c r="G56" s="50">
        <v>167995368.330614</v>
      </c>
      <c r="H56" s="113">
        <f>+G56/$H$4</f>
        <v>143585.78489796069</v>
      </c>
      <c r="I56" s="50"/>
      <c r="J56" s="114">
        <f>+H56/$H$59</f>
        <v>0.16637074235816157</v>
      </c>
      <c r="K56" s="115">
        <f>+H56/$H$69</f>
        <v>0.12483478539573716</v>
      </c>
    </row>
    <row r="57" spans="1:13" ht="10.5" customHeight="1" x14ac:dyDescent="0.25">
      <c r="B57" s="105" t="s">
        <v>860</v>
      </c>
      <c r="F57" s="112"/>
      <c r="G57" s="50">
        <v>21494482.933074702</v>
      </c>
      <c r="H57" s="113">
        <f>+G57/$H$4</f>
        <v>18371.352934251881</v>
      </c>
      <c r="I57" s="50"/>
      <c r="K57" s="115">
        <f>SUM(K53:K56)</f>
        <v>0.73436875609885377</v>
      </c>
    </row>
    <row r="58" spans="1:13" ht="10.5" customHeight="1" x14ac:dyDescent="0.25">
      <c r="B58" s="105"/>
      <c r="F58" s="112"/>
      <c r="G58" s="50"/>
      <c r="H58" s="113"/>
      <c r="J58" s="115">
        <f>SUM(J53:J57)</f>
        <v>0.97871338288837317</v>
      </c>
      <c r="L58" s="115">
        <f>1-J58</f>
        <v>2.1286617111626827E-2</v>
      </c>
    </row>
    <row r="59" spans="1:13" ht="10.5" customHeight="1" x14ac:dyDescent="0.25">
      <c r="A59" s="116" t="s">
        <v>880</v>
      </c>
      <c r="B59" s="117"/>
      <c r="C59" s="76"/>
      <c r="D59" s="76"/>
      <c r="E59" s="76"/>
      <c r="F59" s="78"/>
      <c r="G59" s="118">
        <f>SUM(G53:G58)</f>
        <v>1009765094.2072192</v>
      </c>
      <c r="H59" s="119">
        <f>SUM(H53:H58)</f>
        <v>863047.08906599937</v>
      </c>
      <c r="I59" s="50"/>
    </row>
    <row r="60" spans="1:13" ht="10.5" customHeight="1" x14ac:dyDescent="0.25">
      <c r="A60" s="120"/>
      <c r="B60" s="105"/>
      <c r="F60" s="112"/>
      <c r="G60" s="50"/>
      <c r="H60" s="50"/>
      <c r="J60" s="115">
        <f>+G57/G59</f>
        <v>2.1286617111626664E-2</v>
      </c>
      <c r="L60" s="121"/>
    </row>
    <row r="61" spans="1:13" ht="10.5" customHeight="1" x14ac:dyDescent="0.25">
      <c r="A61" s="120"/>
      <c r="B61" s="105" t="s">
        <v>881</v>
      </c>
      <c r="E61" s="50"/>
      <c r="F61" s="50">
        <f>+H51/G59</f>
        <v>0.17401404425264191</v>
      </c>
      <c r="G61" s="50">
        <f>+F61*$G$59</f>
        <v>175713307.78814819</v>
      </c>
      <c r="H61" s="113">
        <f>+G61/$H$4</f>
        <v>150182.31434884461</v>
      </c>
      <c r="J61" s="122">
        <v>0.03</v>
      </c>
    </row>
    <row r="62" spans="1:13" ht="10.5" customHeight="1" x14ac:dyDescent="0.25">
      <c r="A62" s="120"/>
      <c r="B62" s="105" t="s">
        <v>860</v>
      </c>
      <c r="E62" s="50">
        <v>3</v>
      </c>
      <c r="F62" s="123">
        <f>+J62</f>
        <v>8.7133828883733354E-3</v>
      </c>
      <c r="G62" s="50">
        <f>+F62*$G$59</f>
        <v>8798469.8931418732</v>
      </c>
      <c r="H62" s="113">
        <f>+G62/$H$4</f>
        <v>7520.0597377280965</v>
      </c>
      <c r="J62" s="115">
        <f>+J61-J60</f>
        <v>8.7133828883733354E-3</v>
      </c>
    </row>
    <row r="63" spans="1:13" ht="10.5" customHeight="1" x14ac:dyDescent="0.25">
      <c r="A63" s="120"/>
      <c r="B63" s="105" t="s">
        <v>882</v>
      </c>
      <c r="E63" s="50">
        <v>5</v>
      </c>
      <c r="F63" s="123">
        <f>0.05</f>
        <v>0.05</v>
      </c>
      <c r="G63" s="50">
        <f>+F63*$G$59</f>
        <v>50488254.710360967</v>
      </c>
      <c r="H63" s="113">
        <f>+G63/$H$4</f>
        <v>43152.354453299973</v>
      </c>
      <c r="I63" s="124"/>
      <c r="J63" s="121"/>
    </row>
    <row r="64" spans="1:13" ht="10.5" customHeight="1" x14ac:dyDescent="0.25">
      <c r="A64" s="120"/>
      <c r="B64" s="105" t="s">
        <v>883</v>
      </c>
      <c r="E64" s="50">
        <v>9</v>
      </c>
      <c r="F64" s="50">
        <v>0.1</v>
      </c>
      <c r="G64" s="50">
        <f>+F64*$G$59</f>
        <v>100976509.42072193</v>
      </c>
      <c r="H64" s="113">
        <f>+G64/$H$4</f>
        <v>86304.708906599946</v>
      </c>
      <c r="I64" s="50"/>
    </row>
    <row r="65" spans="1:16" ht="10.5" customHeight="1" x14ac:dyDescent="0.25">
      <c r="A65" s="116" t="s">
        <v>884</v>
      </c>
      <c r="B65" s="117"/>
      <c r="C65" s="76"/>
      <c r="D65" s="76"/>
      <c r="E65" s="125"/>
      <c r="F65" s="125">
        <f>SUM(F61:F64)</f>
        <v>0.33272742714101522</v>
      </c>
      <c r="G65" s="118">
        <f>SUM(G61:G64)</f>
        <v>335976541.81237298</v>
      </c>
      <c r="H65" s="119">
        <f>+G65/$H$4</f>
        <v>287159.43744647264</v>
      </c>
      <c r="I65" s="50"/>
      <c r="K65" s="115">
        <f>+H65/H69</f>
        <v>0.24965902281668101</v>
      </c>
    </row>
    <row r="66" spans="1:16" ht="10.5" customHeight="1" x14ac:dyDescent="0.25">
      <c r="A66" s="120"/>
      <c r="B66" s="105"/>
      <c r="E66" s="50"/>
      <c r="F66" s="50"/>
      <c r="G66" s="50"/>
      <c r="H66" s="50"/>
    </row>
    <row r="67" spans="1:16" ht="10.5" customHeight="1" x14ac:dyDescent="0.25">
      <c r="A67" s="116" t="s">
        <v>885</v>
      </c>
      <c r="B67" s="117"/>
      <c r="C67" s="76"/>
      <c r="D67" s="76"/>
      <c r="E67" s="125"/>
      <c r="F67" s="118">
        <f>1+F65</f>
        <v>1.3327274271410152</v>
      </c>
      <c r="G67" s="125">
        <f>+G59*F67</f>
        <v>1345741636.019592</v>
      </c>
      <c r="H67" s="126"/>
      <c r="I67" s="50"/>
      <c r="J67" s="50"/>
      <c r="M67" s="110"/>
      <c r="N67" s="110"/>
      <c r="O67" s="50"/>
    </row>
    <row r="68" spans="1:16" ht="10.5" customHeight="1" x14ac:dyDescent="0.25">
      <c r="B68" s="105"/>
      <c r="E68" s="50"/>
      <c r="F68" s="50"/>
      <c r="G68" s="50"/>
      <c r="H68" s="50"/>
      <c r="M68" s="110"/>
      <c r="N68" s="110"/>
      <c r="O68" s="50"/>
    </row>
    <row r="69" spans="1:16" ht="10.5" customHeight="1" x14ac:dyDescent="0.25">
      <c r="A69" s="116" t="s">
        <v>886</v>
      </c>
      <c r="B69" s="117"/>
      <c r="C69" s="76"/>
      <c r="D69" s="76"/>
      <c r="E69" s="125"/>
      <c r="F69" s="125"/>
      <c r="G69" s="125">
        <f>+G59+G65</f>
        <v>1345741636.0195923</v>
      </c>
      <c r="H69" s="119">
        <f>+G69/$H$4</f>
        <v>1150206.526512472</v>
      </c>
      <c r="I69" s="71"/>
      <c r="J69" s="50"/>
      <c r="K69" s="115">
        <f>SUM(K57:K65)</f>
        <v>0.98402777891553472</v>
      </c>
    </row>
    <row r="70" spans="1:16" ht="10.5" customHeight="1" x14ac:dyDescent="0.25">
      <c r="B70" s="105"/>
      <c r="E70" s="50"/>
      <c r="F70" s="50"/>
      <c r="G70" s="50"/>
      <c r="H70" s="127"/>
      <c r="J70" s="50"/>
      <c r="N70" s="124"/>
      <c r="O70" s="124"/>
    </row>
    <row r="71" spans="1:16" ht="10.5" customHeight="1" x14ac:dyDescent="0.25">
      <c r="B71" s="105"/>
      <c r="F71" s="112"/>
      <c r="G71" s="50"/>
      <c r="H71" s="50"/>
      <c r="I71" s="110"/>
      <c r="M71" s="56"/>
      <c r="N71" s="128"/>
      <c r="O71" s="128"/>
    </row>
    <row r="72" spans="1:16" ht="10.5" customHeight="1" x14ac:dyDescent="0.25">
      <c r="B72" s="105"/>
      <c r="F72" s="107"/>
      <c r="G72" s="63"/>
      <c r="H72" s="63"/>
      <c r="I72" s="110"/>
      <c r="M72" s="56"/>
      <c r="N72" s="128"/>
      <c r="O72" s="128"/>
    </row>
    <row r="73" spans="1:16" ht="10.5" customHeight="1" x14ac:dyDescent="0.25">
      <c r="B73" s="105"/>
      <c r="F73" s="129"/>
      <c r="G73" s="63"/>
      <c r="H73" s="63"/>
      <c r="I73" s="110"/>
      <c r="M73" s="56"/>
      <c r="N73" s="128"/>
      <c r="O73" s="128"/>
    </row>
    <row r="74" spans="1:16" ht="10.5" customHeight="1" x14ac:dyDescent="0.25">
      <c r="B74" s="105"/>
      <c r="F74" s="112"/>
      <c r="G74" s="50"/>
      <c r="H74" s="50"/>
      <c r="I74" s="110"/>
      <c r="M74" s="56"/>
      <c r="N74" s="128"/>
      <c r="O74" s="128"/>
    </row>
    <row r="75" spans="1:16" ht="10.5" customHeight="1" x14ac:dyDescent="0.25">
      <c r="B75" s="105"/>
      <c r="F75" s="112"/>
      <c r="G75" s="50"/>
      <c r="H75" s="113"/>
      <c r="K75" s="130"/>
      <c r="M75" s="56"/>
      <c r="N75" s="131"/>
      <c r="O75" s="56"/>
    </row>
    <row r="76" spans="1:16" ht="10.5" customHeight="1" x14ac:dyDescent="0.25">
      <c r="B76" s="105"/>
      <c r="F76" s="112"/>
      <c r="L76" s="128"/>
      <c r="M76" s="56"/>
      <c r="N76" s="56"/>
      <c r="O76" s="56"/>
      <c r="P76" s="124"/>
    </row>
    <row r="77" spans="1:16" ht="10.5" customHeight="1" x14ac:dyDescent="0.25">
      <c r="B77" s="105"/>
      <c r="D77" s="106"/>
      <c r="E77" s="106"/>
      <c r="F77" s="107"/>
      <c r="G77" s="106"/>
      <c r="H77" s="106"/>
      <c r="I77" s="106"/>
      <c r="K77" s="56"/>
      <c r="L77" s="132"/>
      <c r="M77" s="56"/>
      <c r="N77" s="56"/>
      <c r="P77" s="132"/>
    </row>
    <row r="78" spans="1:16" ht="10.5" customHeight="1" x14ac:dyDescent="0.25">
      <c r="B78" s="105"/>
      <c r="D78" s="106"/>
      <c r="E78" s="106"/>
      <c r="F78" s="107"/>
      <c r="G78" s="106"/>
      <c r="H78" s="106"/>
      <c r="I78" s="106"/>
      <c r="K78" s="56"/>
      <c r="L78" s="132"/>
      <c r="M78" s="56"/>
      <c r="N78" s="56"/>
    </row>
    <row r="79" spans="1:16" ht="10.5" customHeight="1" x14ac:dyDescent="0.25">
      <c r="B79" s="105"/>
      <c r="D79" s="106"/>
      <c r="E79" s="106"/>
      <c r="F79" s="107"/>
      <c r="G79" s="106"/>
      <c r="H79" s="106"/>
      <c r="I79" s="106"/>
      <c r="K79" s="56"/>
      <c r="L79" s="133"/>
      <c r="M79" s="56"/>
      <c r="N79" s="56"/>
    </row>
    <row r="80" spans="1:16" ht="10.5" customHeight="1" x14ac:dyDescent="0.25">
      <c r="B80" s="105"/>
      <c r="D80" s="106"/>
      <c r="E80" s="106"/>
      <c r="F80" s="107"/>
      <c r="G80" s="106"/>
      <c r="H80" s="106"/>
      <c r="I80" s="106"/>
      <c r="K80" s="56"/>
      <c r="L80" s="132"/>
      <c r="M80" s="56"/>
      <c r="N80" s="56"/>
    </row>
    <row r="81" spans="1:16" ht="10.5" customHeight="1" x14ac:dyDescent="0.25">
      <c r="B81" s="105"/>
      <c r="D81" s="106"/>
      <c r="E81" s="106"/>
      <c r="F81" s="107"/>
      <c r="G81" s="106"/>
      <c r="H81" s="106"/>
      <c r="I81" s="106"/>
      <c r="K81" s="56"/>
      <c r="L81" s="133"/>
      <c r="M81" s="56"/>
      <c r="N81" s="56"/>
    </row>
    <row r="82" spans="1:16" ht="10.5" customHeight="1" x14ac:dyDescent="0.25">
      <c r="B82" s="105"/>
      <c r="F82" s="107"/>
      <c r="G82" s="106"/>
      <c r="H82" s="106"/>
      <c r="I82" s="106"/>
      <c r="K82" s="134"/>
      <c r="L82" s="63"/>
      <c r="M82" s="56"/>
      <c r="N82" s="56"/>
    </row>
    <row r="83" spans="1:16" ht="10.5" customHeight="1" x14ac:dyDescent="0.25">
      <c r="B83" s="105"/>
      <c r="D83" s="106"/>
      <c r="E83" s="106"/>
      <c r="F83" s="107"/>
      <c r="G83" s="106"/>
      <c r="H83" s="106"/>
      <c r="I83" s="106"/>
      <c r="K83" s="56"/>
      <c r="L83" s="63"/>
      <c r="M83" s="56"/>
      <c r="N83" s="56"/>
    </row>
    <row r="84" spans="1:16" ht="10.5" customHeight="1" x14ac:dyDescent="0.25">
      <c r="B84" s="105"/>
      <c r="D84" s="106"/>
      <c r="E84" s="106"/>
      <c r="F84" s="107"/>
      <c r="G84" s="106"/>
      <c r="H84" s="106"/>
      <c r="I84" s="106"/>
      <c r="K84" s="56"/>
      <c r="L84" s="80"/>
      <c r="M84" s="56"/>
      <c r="N84" s="56"/>
    </row>
    <row r="85" spans="1:16" ht="10.5" customHeight="1" x14ac:dyDescent="0.25">
      <c r="B85" s="105"/>
      <c r="D85" s="106"/>
      <c r="E85" s="106"/>
      <c r="F85" s="107"/>
      <c r="G85" s="106"/>
      <c r="H85" s="106"/>
      <c r="I85" s="106"/>
      <c r="K85" s="56"/>
      <c r="L85" s="56"/>
      <c r="M85" s="56"/>
      <c r="N85" s="56"/>
    </row>
    <row r="86" spans="1:16" ht="10.5" customHeight="1" x14ac:dyDescent="0.25">
      <c r="B86" s="105"/>
      <c r="D86" s="106"/>
      <c r="E86" s="106"/>
      <c r="F86" s="107"/>
      <c r="G86" s="106"/>
      <c r="H86" s="106"/>
      <c r="I86" s="106"/>
      <c r="K86" s="56"/>
      <c r="L86" s="96"/>
      <c r="M86" s="56"/>
      <c r="N86" s="56"/>
    </row>
    <row r="87" spans="1:16" ht="10.5" customHeight="1" x14ac:dyDescent="0.25">
      <c r="B87" s="105"/>
      <c r="D87" s="106"/>
      <c r="E87" s="106"/>
      <c r="F87" s="107"/>
      <c r="G87" s="106"/>
      <c r="H87" s="106"/>
      <c r="I87" s="106"/>
      <c r="K87" s="56"/>
      <c r="L87" s="56"/>
      <c r="M87" s="56"/>
      <c r="N87" s="56"/>
    </row>
    <row r="88" spans="1:16" ht="10.5" customHeight="1" x14ac:dyDescent="0.25">
      <c r="B88" s="105"/>
      <c r="D88" s="106"/>
      <c r="E88" s="106"/>
      <c r="F88" s="107"/>
      <c r="G88" s="106"/>
      <c r="H88" s="106"/>
      <c r="I88" s="106"/>
      <c r="K88" s="56"/>
      <c r="L88" s="96"/>
      <c r="M88" s="56"/>
      <c r="N88" s="56"/>
    </row>
    <row r="89" spans="1:16" ht="10.5" customHeight="1" x14ac:dyDescent="0.25">
      <c r="B89" s="105"/>
      <c r="D89" s="106"/>
      <c r="E89" s="106"/>
      <c r="F89" s="107"/>
      <c r="G89" s="106"/>
      <c r="H89" s="106"/>
      <c r="I89" s="106"/>
    </row>
    <row r="90" spans="1:16" ht="10.5" customHeight="1" x14ac:dyDescent="0.25">
      <c r="B90" s="105"/>
      <c r="D90" s="106"/>
      <c r="E90" s="106"/>
      <c r="F90" s="107"/>
      <c r="G90" s="106"/>
      <c r="H90" s="106"/>
      <c r="I90" s="106"/>
    </row>
    <row r="91" spans="1:16" ht="10.5" customHeight="1" x14ac:dyDescent="0.25">
      <c r="B91" s="105"/>
      <c r="D91" s="106"/>
      <c r="E91" s="106"/>
      <c r="F91" s="107"/>
      <c r="G91" s="106"/>
      <c r="H91" s="106"/>
      <c r="I91" s="106"/>
    </row>
    <row r="92" spans="1:16" ht="10.5" customHeight="1" x14ac:dyDescent="0.25">
      <c r="A92" s="56"/>
      <c r="D92" s="106"/>
      <c r="E92" s="106"/>
      <c r="G92" s="106"/>
      <c r="H92" s="106"/>
      <c r="I92" s="106"/>
      <c r="J92" s="56"/>
      <c r="K92" s="56"/>
      <c r="M92" s="56"/>
      <c r="N92" s="56"/>
      <c r="O92" s="56"/>
      <c r="P92" s="56"/>
    </row>
    <row r="93" spans="1:16" ht="10.5" customHeight="1" x14ac:dyDescent="0.25">
      <c r="A93" s="56"/>
      <c r="D93" s="106"/>
      <c r="E93" s="106"/>
      <c r="G93" s="106"/>
      <c r="H93" s="106"/>
      <c r="I93" s="106"/>
      <c r="J93" s="56"/>
      <c r="K93" s="56"/>
      <c r="M93" s="56"/>
      <c r="N93" s="56"/>
      <c r="O93" s="56"/>
      <c r="P93" s="56"/>
    </row>
    <row r="94" spans="1:16" ht="10.5" customHeight="1" x14ac:dyDescent="0.25">
      <c r="A94" s="56"/>
      <c r="D94" s="106"/>
      <c r="E94" s="106"/>
      <c r="G94" s="106"/>
      <c r="H94" s="106"/>
      <c r="I94" s="106"/>
      <c r="J94" s="56"/>
      <c r="K94" s="56"/>
      <c r="M94" s="56"/>
      <c r="N94" s="56"/>
      <c r="O94" s="56"/>
      <c r="P94" s="56"/>
    </row>
    <row r="95" spans="1:16" ht="10.5" customHeight="1" x14ac:dyDescent="0.25">
      <c r="A95" s="56"/>
      <c r="D95" s="106"/>
      <c r="E95" s="106"/>
      <c r="G95" s="106"/>
      <c r="H95" s="106"/>
      <c r="I95" s="106"/>
      <c r="J95" s="56"/>
      <c r="K95" s="56"/>
      <c r="M95" s="56"/>
      <c r="N95" s="56"/>
      <c r="O95" s="56"/>
      <c r="P95" s="56"/>
    </row>
    <row r="96" spans="1:16" ht="10.5" customHeight="1" x14ac:dyDescent="0.25">
      <c r="A96" s="56"/>
      <c r="D96" s="106"/>
      <c r="E96" s="106"/>
      <c r="G96" s="106"/>
      <c r="H96" s="106"/>
      <c r="I96" s="106"/>
      <c r="J96" s="56"/>
      <c r="K96" s="56"/>
      <c r="M96" s="56"/>
      <c r="N96" s="56"/>
      <c r="O96" s="56"/>
      <c r="P96" s="56"/>
    </row>
    <row r="97" spans="1:16" ht="10.5" customHeight="1" x14ac:dyDescent="0.25">
      <c r="A97" s="56"/>
      <c r="D97" s="106"/>
      <c r="E97" s="106"/>
      <c r="G97" s="106"/>
      <c r="H97" s="106"/>
      <c r="I97" s="106"/>
      <c r="J97" s="56"/>
      <c r="K97" s="56"/>
      <c r="M97" s="56"/>
      <c r="N97" s="56"/>
      <c r="O97" s="56"/>
      <c r="P97" s="56"/>
    </row>
    <row r="98" spans="1:16" ht="10.5" customHeight="1" x14ac:dyDescent="0.25">
      <c r="A98" s="56"/>
      <c r="D98" s="106"/>
      <c r="E98" s="106"/>
      <c r="G98" s="106"/>
      <c r="H98" s="106"/>
      <c r="I98" s="106"/>
      <c r="J98" s="56"/>
      <c r="K98" s="56"/>
      <c r="P98" s="56"/>
    </row>
    <row r="99" spans="1:16" ht="10.5" customHeight="1" x14ac:dyDescent="0.25">
      <c r="A99" s="56"/>
      <c r="D99" s="106"/>
      <c r="E99" s="106"/>
      <c r="G99" s="106"/>
      <c r="H99" s="106"/>
      <c r="I99" s="106"/>
      <c r="J99" s="56"/>
      <c r="K99" s="56"/>
      <c r="P99" s="56"/>
    </row>
    <row r="100" spans="1:16" ht="10.5" customHeight="1" x14ac:dyDescent="0.25">
      <c r="A100" s="56"/>
      <c r="D100" s="106"/>
      <c r="E100" s="106"/>
      <c r="G100" s="106"/>
      <c r="H100" s="106"/>
      <c r="I100" s="106"/>
      <c r="J100" s="56"/>
      <c r="K100" s="56"/>
      <c r="P100" s="56"/>
    </row>
    <row r="101" spans="1:16" ht="10.5" customHeight="1" x14ac:dyDescent="0.25">
      <c r="H101" s="63"/>
      <c r="I101" s="63"/>
      <c r="J101" s="5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R851"/>
  <sheetViews>
    <sheetView tabSelected="1" workbookViewId="0">
      <pane ySplit="1" topLeftCell="A2" activePane="bottomLeft" state="frozen"/>
      <selection pane="bottomLeft" activeCell="C15" sqref="C15"/>
    </sheetView>
  </sheetViews>
  <sheetFormatPr defaultRowHeight="14.5" x14ac:dyDescent="0.35"/>
  <cols>
    <col min="1" max="1" width="10" customWidth="1"/>
    <col min="2" max="2" width="22" customWidth="1"/>
    <col min="3" max="3" width="13" style="217" customWidth="1"/>
    <col min="4" max="4" width="9" customWidth="1"/>
    <col min="5" max="5" width="34" customWidth="1"/>
    <col min="6" max="6" width="22" customWidth="1"/>
    <col min="7" max="7" width="13" customWidth="1"/>
    <col min="8" max="10" width="14" customWidth="1"/>
    <col min="11" max="11" width="8" customWidth="1"/>
    <col min="12" max="13" width="14" customWidth="1"/>
    <col min="14" max="14" width="18" customWidth="1"/>
    <col min="15" max="15" width="13" customWidth="1"/>
    <col min="16" max="16" width="30" customWidth="1"/>
    <col min="17" max="17" width="16" customWidth="1"/>
    <col min="18" max="18" width="12" customWidth="1"/>
  </cols>
  <sheetData>
    <row r="1" spans="1:18" x14ac:dyDescent="0.35">
      <c r="A1" s="204" t="s">
        <v>0</v>
      </c>
      <c r="B1" s="204" t="s">
        <v>1</v>
      </c>
      <c r="C1" s="216" t="s">
        <v>2</v>
      </c>
      <c r="D1" s="204" t="s">
        <v>3</v>
      </c>
      <c r="E1" s="204" t="s">
        <v>4</v>
      </c>
      <c r="F1" s="204" t="s">
        <v>5</v>
      </c>
      <c r="G1" s="204" t="s">
        <v>6</v>
      </c>
      <c r="H1" s="204" t="s">
        <v>7</v>
      </c>
      <c r="I1" s="204" t="s">
        <v>8</v>
      </c>
      <c r="J1" s="204" t="s">
        <v>9</v>
      </c>
      <c r="K1" s="204" t="s">
        <v>10</v>
      </c>
      <c r="L1" s="204" t="s">
        <v>11</v>
      </c>
      <c r="M1" s="204" t="s">
        <v>12</v>
      </c>
      <c r="N1" s="204" t="s">
        <v>13</v>
      </c>
      <c r="O1" s="204" t="s">
        <v>14</v>
      </c>
      <c r="P1" s="204" t="s">
        <v>15</v>
      </c>
      <c r="Q1" s="204" t="s">
        <v>16</v>
      </c>
      <c r="R1" s="204" t="s">
        <v>17</v>
      </c>
    </row>
    <row r="2" spans="1:18" x14ac:dyDescent="0.35">
      <c r="A2">
        <v>410222</v>
      </c>
      <c r="B2" t="s">
        <v>18</v>
      </c>
      <c r="C2" s="217">
        <v>45784</v>
      </c>
      <c r="D2">
        <v>2442</v>
      </c>
      <c r="E2" t="s">
        <v>19</v>
      </c>
      <c r="F2" t="s">
        <v>20</v>
      </c>
      <c r="G2" t="s">
        <v>21</v>
      </c>
      <c r="H2">
        <v>300000653</v>
      </c>
      <c r="I2">
        <v>0</v>
      </c>
      <c r="J2">
        <v>44000000</v>
      </c>
      <c r="K2" t="s">
        <v>22</v>
      </c>
      <c r="L2" t="s">
        <v>23</v>
      </c>
      <c r="M2" t="s">
        <v>24</v>
      </c>
      <c r="N2" t="s">
        <v>25</v>
      </c>
      <c r="O2">
        <v>0</v>
      </c>
      <c r="Q2" t="str">
        <f t="shared" ref="Q2:Q65" si="0">IFERROR(TRIM(LEFT($E2,FIND(" | ",$E2)-1)),"")</f>
        <v/>
      </c>
      <c r="R2" t="str">
        <f t="shared" ref="R2:R65" si="1">IFERROR(TRIM(UPPER(MID($E2,FIND(" | ",$E2)+3,IFERROR(FIND(" | ",$E2,FIND(" | ",$E2)+3),LEN($E2)+1)-FIND(" | ",$E2)-3))),"")</f>
        <v/>
      </c>
    </row>
    <row r="3" spans="1:18" x14ac:dyDescent="0.35">
      <c r="A3">
        <v>410222</v>
      </c>
      <c r="B3" t="s">
        <v>18</v>
      </c>
      <c r="C3" s="217">
        <v>45838</v>
      </c>
      <c r="D3">
        <v>3476</v>
      </c>
      <c r="E3" t="s">
        <v>19</v>
      </c>
      <c r="F3" t="s">
        <v>20</v>
      </c>
      <c r="G3" t="s">
        <v>21</v>
      </c>
      <c r="H3">
        <v>300000683</v>
      </c>
      <c r="I3">
        <v>0</v>
      </c>
      <c r="J3">
        <v>34000000</v>
      </c>
      <c r="K3" t="s">
        <v>22</v>
      </c>
      <c r="L3" t="s">
        <v>23</v>
      </c>
      <c r="M3" t="s">
        <v>24</v>
      </c>
      <c r="N3" t="s">
        <v>25</v>
      </c>
      <c r="O3">
        <v>0</v>
      </c>
      <c r="Q3" t="str">
        <f t="shared" si="0"/>
        <v/>
      </c>
      <c r="R3" t="str">
        <f t="shared" si="1"/>
        <v/>
      </c>
    </row>
    <row r="4" spans="1:18" x14ac:dyDescent="0.35">
      <c r="A4">
        <v>410222</v>
      </c>
      <c r="B4" t="s">
        <v>18</v>
      </c>
      <c r="C4" s="217">
        <v>45866</v>
      </c>
      <c r="D4">
        <v>3872</v>
      </c>
      <c r="E4" t="s">
        <v>19</v>
      </c>
      <c r="F4" t="s">
        <v>20</v>
      </c>
      <c r="G4" t="s">
        <v>21</v>
      </c>
      <c r="H4">
        <v>300000699</v>
      </c>
      <c r="I4">
        <v>0</v>
      </c>
      <c r="J4">
        <v>27500000</v>
      </c>
      <c r="K4" t="s">
        <v>22</v>
      </c>
      <c r="L4" t="s">
        <v>23</v>
      </c>
      <c r="M4" t="s">
        <v>24</v>
      </c>
      <c r="N4" t="s">
        <v>25</v>
      </c>
      <c r="O4">
        <v>0</v>
      </c>
      <c r="Q4" t="str">
        <f t="shared" si="0"/>
        <v/>
      </c>
      <c r="R4" t="str">
        <f t="shared" si="1"/>
        <v/>
      </c>
    </row>
    <row r="5" spans="1:18" x14ac:dyDescent="0.35">
      <c r="A5">
        <v>410222</v>
      </c>
      <c r="B5" t="s">
        <v>18</v>
      </c>
      <c r="C5" s="217">
        <v>45869</v>
      </c>
      <c r="D5">
        <v>3914</v>
      </c>
      <c r="E5" t="s">
        <v>19</v>
      </c>
      <c r="F5" t="s">
        <v>20</v>
      </c>
      <c r="G5" t="s">
        <v>21</v>
      </c>
      <c r="H5">
        <v>300000704</v>
      </c>
      <c r="I5">
        <v>0</v>
      </c>
      <c r="J5">
        <v>20000000</v>
      </c>
      <c r="K5" t="s">
        <v>22</v>
      </c>
      <c r="L5" t="s">
        <v>23</v>
      </c>
      <c r="M5" t="s">
        <v>24</v>
      </c>
      <c r="N5" t="s">
        <v>25</v>
      </c>
      <c r="O5">
        <v>0</v>
      </c>
      <c r="Q5" t="str">
        <f t="shared" si="0"/>
        <v/>
      </c>
      <c r="R5" t="str">
        <f t="shared" si="1"/>
        <v/>
      </c>
    </row>
    <row r="6" spans="1:18" x14ac:dyDescent="0.35">
      <c r="A6">
        <v>410222</v>
      </c>
      <c r="B6" t="s">
        <v>18</v>
      </c>
      <c r="C6" s="217">
        <v>45891</v>
      </c>
      <c r="D6">
        <v>4284</v>
      </c>
      <c r="E6" t="s">
        <v>19</v>
      </c>
      <c r="F6" t="s">
        <v>20</v>
      </c>
      <c r="G6" t="s">
        <v>21</v>
      </c>
      <c r="H6">
        <v>300000719</v>
      </c>
      <c r="I6">
        <v>0</v>
      </c>
      <c r="J6">
        <v>17731795</v>
      </c>
      <c r="K6" t="s">
        <v>22</v>
      </c>
      <c r="L6" t="s">
        <v>23</v>
      </c>
      <c r="M6" t="s">
        <v>24</v>
      </c>
      <c r="N6" t="s">
        <v>25</v>
      </c>
      <c r="O6">
        <v>0</v>
      </c>
      <c r="Q6" t="str">
        <f t="shared" si="0"/>
        <v/>
      </c>
      <c r="R6" t="str">
        <f t="shared" si="1"/>
        <v/>
      </c>
    </row>
    <row r="7" spans="1:18" x14ac:dyDescent="0.35">
      <c r="A7">
        <v>410222</v>
      </c>
      <c r="B7" t="s">
        <v>18</v>
      </c>
      <c r="C7" s="217">
        <v>45898</v>
      </c>
      <c r="D7">
        <v>4424</v>
      </c>
      <c r="E7" t="s">
        <v>19</v>
      </c>
      <c r="F7" t="s">
        <v>20</v>
      </c>
      <c r="G7" t="s">
        <v>21</v>
      </c>
      <c r="H7">
        <v>300000721</v>
      </c>
      <c r="I7">
        <v>0</v>
      </c>
      <c r="J7">
        <v>9049773.7599999998</v>
      </c>
      <c r="K7" t="s">
        <v>22</v>
      </c>
      <c r="L7" t="s">
        <v>23</v>
      </c>
      <c r="M7" t="s">
        <v>24</v>
      </c>
      <c r="N7" t="s">
        <v>25</v>
      </c>
      <c r="O7">
        <v>0</v>
      </c>
      <c r="Q7" t="str">
        <f t="shared" si="0"/>
        <v/>
      </c>
      <c r="R7" t="str">
        <f t="shared" si="1"/>
        <v/>
      </c>
    </row>
    <row r="8" spans="1:18" x14ac:dyDescent="0.35">
      <c r="A8">
        <v>410222</v>
      </c>
      <c r="B8" t="s">
        <v>18</v>
      </c>
      <c r="C8" s="217">
        <v>45900</v>
      </c>
      <c r="D8">
        <v>4425</v>
      </c>
      <c r="E8" t="s">
        <v>19</v>
      </c>
      <c r="F8" t="s">
        <v>20</v>
      </c>
      <c r="G8" t="s">
        <v>21</v>
      </c>
      <c r="H8">
        <v>300000722</v>
      </c>
      <c r="I8">
        <v>0</v>
      </c>
      <c r="J8">
        <v>30190423.670000002</v>
      </c>
      <c r="K8" t="s">
        <v>22</v>
      </c>
      <c r="L8" t="s">
        <v>23</v>
      </c>
      <c r="M8" t="s">
        <v>24</v>
      </c>
      <c r="N8" t="s">
        <v>25</v>
      </c>
      <c r="O8">
        <v>0</v>
      </c>
      <c r="Q8" t="str">
        <f t="shared" si="0"/>
        <v/>
      </c>
      <c r="R8" t="str">
        <f t="shared" si="1"/>
        <v/>
      </c>
    </row>
    <row r="9" spans="1:18" x14ac:dyDescent="0.35">
      <c r="A9">
        <v>410222</v>
      </c>
      <c r="B9" t="s">
        <v>18</v>
      </c>
      <c r="C9" s="217">
        <v>45900</v>
      </c>
      <c r="D9">
        <v>4426</v>
      </c>
      <c r="E9" t="s">
        <v>19</v>
      </c>
      <c r="F9" t="s">
        <v>20</v>
      </c>
      <c r="G9" t="s">
        <v>21</v>
      </c>
      <c r="H9">
        <v>300000723</v>
      </c>
      <c r="I9">
        <v>0</v>
      </c>
      <c r="J9">
        <v>35460488.240000002</v>
      </c>
      <c r="K9" t="s">
        <v>22</v>
      </c>
      <c r="L9" t="s">
        <v>23</v>
      </c>
      <c r="M9" t="s">
        <v>24</v>
      </c>
      <c r="N9" t="s">
        <v>25</v>
      </c>
      <c r="O9">
        <v>0</v>
      </c>
      <c r="Q9" t="str">
        <f t="shared" si="0"/>
        <v/>
      </c>
      <c r="R9" t="str">
        <f t="shared" si="1"/>
        <v/>
      </c>
    </row>
    <row r="10" spans="1:18" x14ac:dyDescent="0.35">
      <c r="A10">
        <v>410222</v>
      </c>
      <c r="B10" t="s">
        <v>18</v>
      </c>
      <c r="C10" s="217">
        <v>45930</v>
      </c>
      <c r="D10">
        <v>5100</v>
      </c>
      <c r="E10" t="s">
        <v>19</v>
      </c>
      <c r="F10" t="s">
        <v>20</v>
      </c>
      <c r="G10" t="s">
        <v>21</v>
      </c>
      <c r="H10">
        <v>300000736</v>
      </c>
      <c r="I10">
        <v>0</v>
      </c>
      <c r="J10">
        <v>22499463.739999998</v>
      </c>
      <c r="K10" t="s">
        <v>22</v>
      </c>
      <c r="L10" t="s">
        <v>23</v>
      </c>
      <c r="M10" t="s">
        <v>24</v>
      </c>
      <c r="N10" t="s">
        <v>25</v>
      </c>
      <c r="O10">
        <v>0</v>
      </c>
      <c r="Q10" t="str">
        <f t="shared" si="0"/>
        <v/>
      </c>
      <c r="R10" t="str">
        <f t="shared" si="1"/>
        <v/>
      </c>
    </row>
    <row r="11" spans="1:18" x14ac:dyDescent="0.35">
      <c r="A11">
        <v>410222</v>
      </c>
      <c r="B11" t="s">
        <v>18</v>
      </c>
      <c r="C11" s="217">
        <v>45959</v>
      </c>
      <c r="D11">
        <v>5524</v>
      </c>
      <c r="E11" t="s">
        <v>19</v>
      </c>
      <c r="F11" t="s">
        <v>20</v>
      </c>
      <c r="G11" t="s">
        <v>21</v>
      </c>
      <c r="H11">
        <v>300000754</v>
      </c>
      <c r="I11">
        <v>0</v>
      </c>
      <c r="J11">
        <v>50900936.710000001</v>
      </c>
      <c r="K11" t="s">
        <v>22</v>
      </c>
      <c r="L11" t="s">
        <v>23</v>
      </c>
      <c r="M11" t="s">
        <v>24</v>
      </c>
      <c r="N11" t="s">
        <v>25</v>
      </c>
      <c r="O11">
        <v>0</v>
      </c>
      <c r="Q11" t="str">
        <f t="shared" si="0"/>
        <v/>
      </c>
      <c r="R11" t="str">
        <f t="shared" si="1"/>
        <v/>
      </c>
    </row>
    <row r="12" spans="1:18" x14ac:dyDescent="0.35">
      <c r="A12">
        <v>410222</v>
      </c>
      <c r="B12" t="s">
        <v>18</v>
      </c>
      <c r="C12" s="217">
        <v>46009</v>
      </c>
      <c r="D12">
        <v>490</v>
      </c>
      <c r="E12" t="s">
        <v>19</v>
      </c>
      <c r="F12" t="s">
        <v>20</v>
      </c>
      <c r="G12" t="s">
        <v>21</v>
      </c>
      <c r="H12">
        <v>300000784</v>
      </c>
      <c r="I12">
        <v>0</v>
      </c>
      <c r="J12">
        <v>33776391.350000001</v>
      </c>
      <c r="K12" t="s">
        <v>22</v>
      </c>
      <c r="L12" t="s">
        <v>23</v>
      </c>
      <c r="M12" t="s">
        <v>24</v>
      </c>
      <c r="N12" t="s">
        <v>25</v>
      </c>
      <c r="O12">
        <v>0</v>
      </c>
      <c r="Q12" t="str">
        <f t="shared" si="0"/>
        <v/>
      </c>
      <c r="R12" t="str">
        <f t="shared" si="1"/>
        <v/>
      </c>
    </row>
    <row r="13" spans="1:18" x14ac:dyDescent="0.35">
      <c r="A13">
        <v>410222</v>
      </c>
      <c r="B13" t="s">
        <v>18</v>
      </c>
      <c r="C13" s="217">
        <v>46041</v>
      </c>
      <c r="D13">
        <v>988</v>
      </c>
      <c r="E13" t="s">
        <v>19</v>
      </c>
      <c r="F13" t="s">
        <v>20</v>
      </c>
      <c r="G13" t="s">
        <v>21</v>
      </c>
      <c r="H13">
        <v>300000800</v>
      </c>
      <c r="I13">
        <v>0</v>
      </c>
      <c r="J13">
        <v>25136092.59</v>
      </c>
      <c r="K13" t="s">
        <v>22</v>
      </c>
      <c r="L13" t="s">
        <v>23</v>
      </c>
      <c r="M13" t="s">
        <v>24</v>
      </c>
      <c r="N13" t="s">
        <v>25</v>
      </c>
      <c r="O13">
        <v>0</v>
      </c>
      <c r="Q13" t="str">
        <f t="shared" si="0"/>
        <v/>
      </c>
      <c r="R13" t="str">
        <f t="shared" si="1"/>
        <v/>
      </c>
    </row>
    <row r="14" spans="1:18" x14ac:dyDescent="0.35">
      <c r="A14">
        <v>410222</v>
      </c>
      <c r="B14" t="s">
        <v>18</v>
      </c>
      <c r="C14" s="217">
        <v>46041</v>
      </c>
      <c r="D14">
        <v>989</v>
      </c>
      <c r="E14" t="s">
        <v>19</v>
      </c>
      <c r="F14" t="s">
        <v>20</v>
      </c>
      <c r="G14" t="s">
        <v>21</v>
      </c>
      <c r="H14">
        <v>300000801</v>
      </c>
      <c r="I14">
        <v>0</v>
      </c>
      <c r="J14">
        <v>1971028</v>
      </c>
      <c r="K14" t="s">
        <v>22</v>
      </c>
      <c r="L14" t="s">
        <v>23</v>
      </c>
      <c r="M14" t="s">
        <v>24</v>
      </c>
      <c r="N14" t="s">
        <v>25</v>
      </c>
      <c r="O14">
        <v>0</v>
      </c>
      <c r="Q14" t="str">
        <f t="shared" si="0"/>
        <v/>
      </c>
      <c r="R14" t="str">
        <f t="shared" si="1"/>
        <v/>
      </c>
    </row>
    <row r="15" spans="1:18" x14ac:dyDescent="0.35">
      <c r="A15">
        <v>410222</v>
      </c>
      <c r="B15" t="s">
        <v>18</v>
      </c>
      <c r="C15" s="217">
        <v>46041</v>
      </c>
      <c r="D15">
        <v>990</v>
      </c>
      <c r="E15" t="s">
        <v>19</v>
      </c>
      <c r="F15" t="s">
        <v>20</v>
      </c>
      <c r="G15" t="s">
        <v>21</v>
      </c>
      <c r="H15">
        <v>300000802</v>
      </c>
      <c r="I15">
        <v>0</v>
      </c>
      <c r="J15">
        <v>17739000</v>
      </c>
      <c r="K15" t="s">
        <v>22</v>
      </c>
      <c r="L15" t="s">
        <v>23</v>
      </c>
      <c r="M15" t="s">
        <v>24</v>
      </c>
      <c r="N15" t="s">
        <v>25</v>
      </c>
      <c r="O15">
        <v>0</v>
      </c>
      <c r="Q15" t="str">
        <f t="shared" si="0"/>
        <v/>
      </c>
      <c r="R15" t="str">
        <f t="shared" si="1"/>
        <v/>
      </c>
    </row>
    <row r="16" spans="1:18" x14ac:dyDescent="0.35">
      <c r="A16">
        <v>410222</v>
      </c>
      <c r="B16" t="s">
        <v>18</v>
      </c>
      <c r="C16" s="217">
        <v>46057</v>
      </c>
      <c r="D16">
        <v>1180</v>
      </c>
      <c r="E16" t="s">
        <v>19</v>
      </c>
      <c r="F16" t="s">
        <v>20</v>
      </c>
      <c r="G16" t="s">
        <v>21</v>
      </c>
      <c r="H16">
        <v>300000810</v>
      </c>
      <c r="I16">
        <v>0</v>
      </c>
      <c r="J16">
        <v>33279445.32</v>
      </c>
      <c r="K16" t="s">
        <v>22</v>
      </c>
      <c r="L16" t="s">
        <v>23</v>
      </c>
      <c r="M16" t="s">
        <v>24</v>
      </c>
      <c r="N16" t="s">
        <v>25</v>
      </c>
      <c r="O16">
        <v>0</v>
      </c>
      <c r="Q16" t="str">
        <f t="shared" si="0"/>
        <v/>
      </c>
      <c r="R16" t="str">
        <f t="shared" si="1"/>
        <v/>
      </c>
    </row>
    <row r="17" spans="1:18" x14ac:dyDescent="0.35">
      <c r="A17">
        <v>410222</v>
      </c>
      <c r="B17" t="s">
        <v>18</v>
      </c>
      <c r="C17" s="217">
        <v>46100</v>
      </c>
      <c r="D17">
        <v>1731</v>
      </c>
      <c r="E17" t="s">
        <v>19</v>
      </c>
      <c r="F17" t="s">
        <v>20</v>
      </c>
      <c r="G17" t="s">
        <v>21</v>
      </c>
      <c r="H17">
        <v>300000832</v>
      </c>
      <c r="I17">
        <v>0</v>
      </c>
      <c r="J17">
        <v>23894376.559999999</v>
      </c>
      <c r="K17" t="s">
        <v>22</v>
      </c>
      <c r="L17" t="s">
        <v>23</v>
      </c>
      <c r="M17" t="s">
        <v>24</v>
      </c>
      <c r="N17" t="s">
        <v>25</v>
      </c>
      <c r="O17">
        <v>0</v>
      </c>
      <c r="Q17" t="str">
        <f t="shared" si="0"/>
        <v/>
      </c>
      <c r="R17" t="str">
        <f t="shared" si="1"/>
        <v/>
      </c>
    </row>
    <row r="18" spans="1:18" x14ac:dyDescent="0.35">
      <c r="A18">
        <v>410222</v>
      </c>
      <c r="B18" t="s">
        <v>18</v>
      </c>
      <c r="C18" s="217">
        <v>46120</v>
      </c>
      <c r="D18">
        <v>2138</v>
      </c>
      <c r="E18" t="s">
        <v>19</v>
      </c>
      <c r="F18" t="s">
        <v>20</v>
      </c>
      <c r="G18" t="s">
        <v>21</v>
      </c>
      <c r="H18">
        <v>300000845</v>
      </c>
      <c r="I18">
        <v>0</v>
      </c>
      <c r="J18">
        <v>27641241.100000001</v>
      </c>
      <c r="K18" t="s">
        <v>22</v>
      </c>
      <c r="L18" t="s">
        <v>23</v>
      </c>
      <c r="M18" t="s">
        <v>24</v>
      </c>
      <c r="N18" t="s">
        <v>25</v>
      </c>
      <c r="O18">
        <v>0</v>
      </c>
      <c r="Q18" t="str">
        <f t="shared" si="0"/>
        <v/>
      </c>
      <c r="R18" t="str">
        <f t="shared" si="1"/>
        <v/>
      </c>
    </row>
    <row r="19" spans="1:18" x14ac:dyDescent="0.35">
      <c r="A19">
        <v>4201</v>
      </c>
      <c r="B19" t="s">
        <v>26</v>
      </c>
      <c r="C19" s="217">
        <v>45751</v>
      </c>
      <c r="D19">
        <v>1405</v>
      </c>
      <c r="E19" t="s">
        <v>27</v>
      </c>
      <c r="F19" t="s">
        <v>28</v>
      </c>
      <c r="G19" t="s">
        <v>29</v>
      </c>
      <c r="H19">
        <v>185</v>
      </c>
      <c r="I19">
        <v>0</v>
      </c>
      <c r="J19">
        <v>13000000</v>
      </c>
      <c r="K19" t="s">
        <v>22</v>
      </c>
      <c r="L19" t="s">
        <v>23</v>
      </c>
      <c r="M19" t="s">
        <v>24</v>
      </c>
      <c r="N19" t="s">
        <v>25</v>
      </c>
      <c r="O19">
        <v>0</v>
      </c>
      <c r="Q19" t="str">
        <f t="shared" si="0"/>
        <v/>
      </c>
      <c r="R19" t="str">
        <f t="shared" si="1"/>
        <v/>
      </c>
    </row>
    <row r="20" spans="1:18" x14ac:dyDescent="0.35">
      <c r="A20">
        <v>4201</v>
      </c>
      <c r="B20" t="s">
        <v>26</v>
      </c>
      <c r="C20" s="217">
        <v>45762</v>
      </c>
      <c r="D20">
        <v>1406</v>
      </c>
      <c r="E20" t="s">
        <v>30</v>
      </c>
      <c r="F20" t="s">
        <v>28</v>
      </c>
      <c r="G20" t="s">
        <v>29</v>
      </c>
      <c r="H20">
        <v>186</v>
      </c>
      <c r="I20">
        <v>0</v>
      </c>
      <c r="J20">
        <v>5080000</v>
      </c>
      <c r="K20" t="s">
        <v>22</v>
      </c>
      <c r="L20" t="s">
        <v>23</v>
      </c>
      <c r="M20" t="s">
        <v>24</v>
      </c>
      <c r="N20" t="s">
        <v>25</v>
      </c>
      <c r="O20">
        <v>0</v>
      </c>
      <c r="Q20" t="str">
        <f t="shared" si="0"/>
        <v/>
      </c>
      <c r="R20" t="str">
        <f t="shared" si="1"/>
        <v/>
      </c>
    </row>
    <row r="21" spans="1:18" x14ac:dyDescent="0.35">
      <c r="A21">
        <v>4201</v>
      </c>
      <c r="B21" t="s">
        <v>26</v>
      </c>
      <c r="C21" s="217">
        <v>45779</v>
      </c>
      <c r="D21">
        <v>1597</v>
      </c>
      <c r="E21" t="s">
        <v>31</v>
      </c>
      <c r="F21" t="s">
        <v>28</v>
      </c>
      <c r="G21" t="s">
        <v>29</v>
      </c>
      <c r="H21">
        <v>193</v>
      </c>
      <c r="I21">
        <v>0</v>
      </c>
      <c r="J21">
        <v>23800000</v>
      </c>
      <c r="K21" t="s">
        <v>22</v>
      </c>
      <c r="L21" t="s">
        <v>23</v>
      </c>
      <c r="M21" t="s">
        <v>24</v>
      </c>
      <c r="N21" t="s">
        <v>25</v>
      </c>
      <c r="O21">
        <v>0</v>
      </c>
      <c r="Q21" t="str">
        <f t="shared" si="0"/>
        <v/>
      </c>
      <c r="R21" t="str">
        <f t="shared" si="1"/>
        <v/>
      </c>
    </row>
    <row r="22" spans="1:18" x14ac:dyDescent="0.35">
      <c r="A22">
        <v>4201</v>
      </c>
      <c r="B22" t="s">
        <v>26</v>
      </c>
      <c r="C22" s="217">
        <v>45786</v>
      </c>
      <c r="D22">
        <v>1598</v>
      </c>
      <c r="E22" t="s">
        <v>32</v>
      </c>
      <c r="F22" t="s">
        <v>28</v>
      </c>
      <c r="G22" t="s">
        <v>29</v>
      </c>
      <c r="H22">
        <v>194</v>
      </c>
      <c r="I22">
        <v>0</v>
      </c>
      <c r="J22">
        <v>57750000</v>
      </c>
      <c r="K22" t="s">
        <v>22</v>
      </c>
      <c r="L22" t="s">
        <v>23</v>
      </c>
      <c r="M22" t="s">
        <v>24</v>
      </c>
      <c r="N22" t="s">
        <v>25</v>
      </c>
      <c r="O22">
        <v>0</v>
      </c>
      <c r="Q22" t="str">
        <f t="shared" si="0"/>
        <v/>
      </c>
      <c r="R22" t="str">
        <f t="shared" si="1"/>
        <v/>
      </c>
    </row>
    <row r="23" spans="1:18" x14ac:dyDescent="0.35">
      <c r="A23">
        <v>4201</v>
      </c>
      <c r="B23" t="s">
        <v>26</v>
      </c>
      <c r="C23" s="217">
        <v>45787</v>
      </c>
      <c r="D23">
        <v>1599</v>
      </c>
      <c r="E23" t="s">
        <v>33</v>
      </c>
      <c r="F23" t="s">
        <v>28</v>
      </c>
      <c r="G23" t="s">
        <v>29</v>
      </c>
      <c r="H23">
        <v>195</v>
      </c>
      <c r="I23">
        <v>0</v>
      </c>
      <c r="J23">
        <v>3465000</v>
      </c>
      <c r="K23" t="s">
        <v>22</v>
      </c>
      <c r="L23" t="s">
        <v>23</v>
      </c>
      <c r="M23" t="s">
        <v>24</v>
      </c>
      <c r="N23" t="s">
        <v>25</v>
      </c>
      <c r="O23">
        <v>0</v>
      </c>
      <c r="Q23" t="str">
        <f t="shared" si="0"/>
        <v/>
      </c>
      <c r="R23" t="str">
        <f t="shared" si="1"/>
        <v/>
      </c>
    </row>
    <row r="24" spans="1:18" x14ac:dyDescent="0.35">
      <c r="A24">
        <v>4201</v>
      </c>
      <c r="B24" t="s">
        <v>26</v>
      </c>
      <c r="C24" s="217">
        <v>45793</v>
      </c>
      <c r="D24">
        <v>1600</v>
      </c>
      <c r="E24" t="s">
        <v>34</v>
      </c>
      <c r="F24" t="s">
        <v>28</v>
      </c>
      <c r="G24" t="s">
        <v>29</v>
      </c>
      <c r="H24">
        <v>196</v>
      </c>
      <c r="I24">
        <v>0</v>
      </c>
      <c r="J24">
        <v>57750000</v>
      </c>
      <c r="K24" t="s">
        <v>22</v>
      </c>
      <c r="L24" t="s">
        <v>23</v>
      </c>
      <c r="M24" t="s">
        <v>24</v>
      </c>
      <c r="N24" t="s">
        <v>25</v>
      </c>
      <c r="O24">
        <v>0</v>
      </c>
      <c r="Q24" t="str">
        <f t="shared" si="0"/>
        <v/>
      </c>
      <c r="R24" t="str">
        <f t="shared" si="1"/>
        <v/>
      </c>
    </row>
    <row r="25" spans="1:18" x14ac:dyDescent="0.35">
      <c r="A25">
        <v>4201</v>
      </c>
      <c r="B25" t="s">
        <v>26</v>
      </c>
      <c r="C25" s="217">
        <v>45831</v>
      </c>
      <c r="D25">
        <v>1969</v>
      </c>
      <c r="E25" t="s">
        <v>35</v>
      </c>
      <c r="F25" t="s">
        <v>28</v>
      </c>
      <c r="G25" t="s">
        <v>29</v>
      </c>
      <c r="H25">
        <v>206</v>
      </c>
      <c r="I25">
        <v>0</v>
      </c>
      <c r="J25">
        <v>35700000</v>
      </c>
      <c r="K25" t="s">
        <v>22</v>
      </c>
      <c r="L25" t="s">
        <v>23</v>
      </c>
      <c r="M25" t="s">
        <v>24</v>
      </c>
      <c r="N25" t="s">
        <v>25</v>
      </c>
      <c r="O25">
        <v>0</v>
      </c>
      <c r="Q25" t="str">
        <f t="shared" si="0"/>
        <v/>
      </c>
      <c r="R25" t="str">
        <f t="shared" si="1"/>
        <v/>
      </c>
    </row>
    <row r="26" spans="1:18" x14ac:dyDescent="0.35">
      <c r="A26">
        <v>4201</v>
      </c>
      <c r="B26" t="s">
        <v>26</v>
      </c>
      <c r="C26" s="217">
        <v>45835</v>
      </c>
      <c r="D26">
        <v>1970</v>
      </c>
      <c r="E26" t="s">
        <v>36</v>
      </c>
      <c r="F26" t="s">
        <v>28</v>
      </c>
      <c r="G26" t="s">
        <v>29</v>
      </c>
      <c r="H26">
        <v>207</v>
      </c>
      <c r="I26">
        <v>0</v>
      </c>
      <c r="J26">
        <v>4206000</v>
      </c>
      <c r="K26" t="s">
        <v>22</v>
      </c>
      <c r="L26" t="s">
        <v>23</v>
      </c>
      <c r="M26" t="s">
        <v>24</v>
      </c>
      <c r="N26" t="s">
        <v>25</v>
      </c>
      <c r="O26">
        <v>0</v>
      </c>
      <c r="Q26" t="str">
        <f t="shared" si="0"/>
        <v/>
      </c>
      <c r="R26" t="str">
        <f t="shared" si="1"/>
        <v/>
      </c>
    </row>
    <row r="27" spans="1:18" x14ac:dyDescent="0.35">
      <c r="A27">
        <v>4201</v>
      </c>
      <c r="B27" t="s">
        <v>26</v>
      </c>
      <c r="C27" s="217">
        <v>45877</v>
      </c>
      <c r="D27">
        <v>2072</v>
      </c>
      <c r="E27" t="s">
        <v>37</v>
      </c>
      <c r="F27" t="s">
        <v>28</v>
      </c>
      <c r="G27" t="s">
        <v>29</v>
      </c>
      <c r="H27">
        <v>215</v>
      </c>
      <c r="I27">
        <v>0</v>
      </c>
      <c r="J27">
        <v>1572000</v>
      </c>
      <c r="K27" t="s">
        <v>22</v>
      </c>
      <c r="L27" t="s">
        <v>23</v>
      </c>
      <c r="M27" t="s">
        <v>24</v>
      </c>
      <c r="N27" t="s">
        <v>25</v>
      </c>
      <c r="O27">
        <v>0</v>
      </c>
      <c r="Q27" t="str">
        <f t="shared" si="0"/>
        <v/>
      </c>
      <c r="R27" t="str">
        <f t="shared" si="1"/>
        <v/>
      </c>
    </row>
    <row r="28" spans="1:18" x14ac:dyDescent="0.35">
      <c r="A28">
        <v>4201</v>
      </c>
      <c r="B28" t="s">
        <v>26</v>
      </c>
      <c r="C28" s="217">
        <v>45891</v>
      </c>
      <c r="D28">
        <v>2073</v>
      </c>
      <c r="E28" t="s">
        <v>38</v>
      </c>
      <c r="F28" t="s">
        <v>28</v>
      </c>
      <c r="G28" t="s">
        <v>29</v>
      </c>
      <c r="H28">
        <v>216</v>
      </c>
      <c r="I28">
        <v>0</v>
      </c>
      <c r="J28">
        <v>3484750</v>
      </c>
      <c r="K28" t="s">
        <v>22</v>
      </c>
      <c r="L28" t="s">
        <v>23</v>
      </c>
      <c r="M28" t="s">
        <v>24</v>
      </c>
      <c r="N28" t="s">
        <v>25</v>
      </c>
      <c r="O28">
        <v>0</v>
      </c>
      <c r="Q28" t="str">
        <f t="shared" si="0"/>
        <v/>
      </c>
      <c r="R28" t="str">
        <f t="shared" si="1"/>
        <v/>
      </c>
    </row>
    <row r="29" spans="1:18" x14ac:dyDescent="0.35">
      <c r="A29">
        <v>5101</v>
      </c>
      <c r="B29" t="s">
        <v>39</v>
      </c>
      <c r="C29" s="217">
        <v>45845</v>
      </c>
      <c r="D29">
        <v>1738</v>
      </c>
      <c r="E29" t="s">
        <v>40</v>
      </c>
      <c r="F29" t="s">
        <v>28</v>
      </c>
      <c r="G29" t="s">
        <v>41</v>
      </c>
      <c r="H29">
        <v>7138</v>
      </c>
      <c r="I29">
        <v>3500000</v>
      </c>
      <c r="J29">
        <v>0</v>
      </c>
      <c r="K29" t="s">
        <v>22</v>
      </c>
      <c r="L29" t="s">
        <v>23</v>
      </c>
      <c r="M29" t="s">
        <v>24</v>
      </c>
      <c r="N29" t="s">
        <v>25</v>
      </c>
      <c r="O29">
        <v>0</v>
      </c>
      <c r="Q29" t="str">
        <f t="shared" si="0"/>
        <v/>
      </c>
      <c r="R29" t="str">
        <f t="shared" si="1"/>
        <v/>
      </c>
    </row>
    <row r="30" spans="1:18" x14ac:dyDescent="0.35">
      <c r="A30">
        <v>5101</v>
      </c>
      <c r="B30" t="s">
        <v>39</v>
      </c>
      <c r="C30" s="217">
        <v>45845</v>
      </c>
      <c r="D30">
        <v>1739</v>
      </c>
      <c r="E30" t="s">
        <v>42</v>
      </c>
      <c r="F30" t="s">
        <v>28</v>
      </c>
      <c r="G30" t="s">
        <v>41</v>
      </c>
      <c r="H30">
        <v>7139</v>
      </c>
      <c r="I30">
        <v>875000</v>
      </c>
      <c r="J30">
        <v>0</v>
      </c>
      <c r="K30" t="s">
        <v>22</v>
      </c>
      <c r="L30" t="s">
        <v>23</v>
      </c>
      <c r="M30" t="s">
        <v>24</v>
      </c>
      <c r="N30" t="s">
        <v>25</v>
      </c>
      <c r="O30">
        <v>0</v>
      </c>
      <c r="Q30" t="str">
        <f t="shared" si="0"/>
        <v/>
      </c>
      <c r="R30" t="str">
        <f t="shared" si="1"/>
        <v/>
      </c>
    </row>
    <row r="31" spans="1:18" x14ac:dyDescent="0.35">
      <c r="A31">
        <v>5101</v>
      </c>
      <c r="B31" t="s">
        <v>39</v>
      </c>
      <c r="C31" s="217">
        <v>45871</v>
      </c>
      <c r="D31">
        <v>1973</v>
      </c>
      <c r="E31" t="s">
        <v>43</v>
      </c>
      <c r="F31" t="s">
        <v>28</v>
      </c>
      <c r="G31" t="s">
        <v>41</v>
      </c>
      <c r="H31">
        <v>7369</v>
      </c>
      <c r="I31">
        <v>3500000</v>
      </c>
      <c r="J31">
        <v>0</v>
      </c>
      <c r="K31" t="s">
        <v>22</v>
      </c>
      <c r="L31" t="s">
        <v>23</v>
      </c>
      <c r="M31" t="s">
        <v>24</v>
      </c>
      <c r="N31" t="s">
        <v>25</v>
      </c>
      <c r="O31">
        <v>0</v>
      </c>
      <c r="Q31" t="str">
        <f t="shared" si="0"/>
        <v/>
      </c>
      <c r="R31" t="str">
        <f t="shared" si="1"/>
        <v/>
      </c>
    </row>
    <row r="32" spans="1:18" x14ac:dyDescent="0.35">
      <c r="A32">
        <v>5101</v>
      </c>
      <c r="B32" t="s">
        <v>39</v>
      </c>
      <c r="C32" s="217">
        <v>45904</v>
      </c>
      <c r="D32">
        <v>2220</v>
      </c>
      <c r="E32" t="s">
        <v>44</v>
      </c>
      <c r="F32" t="s">
        <v>28</v>
      </c>
      <c r="G32" t="s">
        <v>41</v>
      </c>
      <c r="H32">
        <v>7591</v>
      </c>
      <c r="I32">
        <v>3500000</v>
      </c>
      <c r="J32">
        <v>0</v>
      </c>
      <c r="K32" t="s">
        <v>22</v>
      </c>
      <c r="L32" t="s">
        <v>23</v>
      </c>
      <c r="M32" t="s">
        <v>24</v>
      </c>
      <c r="N32" t="s">
        <v>25</v>
      </c>
      <c r="O32">
        <v>0</v>
      </c>
      <c r="Q32" t="str">
        <f t="shared" si="0"/>
        <v/>
      </c>
      <c r="R32" t="str">
        <f t="shared" si="1"/>
        <v/>
      </c>
    </row>
    <row r="33" spans="1:18" x14ac:dyDescent="0.35">
      <c r="A33">
        <v>5101</v>
      </c>
      <c r="B33" t="s">
        <v>39</v>
      </c>
      <c r="C33" s="217">
        <v>45994</v>
      </c>
      <c r="D33">
        <v>236</v>
      </c>
      <c r="E33" t="s">
        <v>45</v>
      </c>
      <c r="F33" t="s">
        <v>28</v>
      </c>
      <c r="G33" t="s">
        <v>41</v>
      </c>
      <c r="H33">
        <v>8261</v>
      </c>
      <c r="I33">
        <v>3500000</v>
      </c>
      <c r="J33">
        <v>0</v>
      </c>
      <c r="K33" t="s">
        <v>22</v>
      </c>
      <c r="L33" t="s">
        <v>23</v>
      </c>
      <c r="M33" t="s">
        <v>24</v>
      </c>
      <c r="N33" t="s">
        <v>25</v>
      </c>
      <c r="O33">
        <v>0</v>
      </c>
      <c r="Q33" t="str">
        <f t="shared" si="0"/>
        <v/>
      </c>
      <c r="R33" t="str">
        <f t="shared" si="1"/>
        <v/>
      </c>
    </row>
    <row r="34" spans="1:18" x14ac:dyDescent="0.35">
      <c r="A34">
        <v>5101</v>
      </c>
      <c r="B34" t="s">
        <v>39</v>
      </c>
      <c r="C34" s="217">
        <v>46073</v>
      </c>
      <c r="D34">
        <v>576</v>
      </c>
      <c r="E34" t="s">
        <v>46</v>
      </c>
      <c r="F34" t="s">
        <v>28</v>
      </c>
      <c r="G34" t="s">
        <v>41</v>
      </c>
      <c r="H34">
        <v>8597</v>
      </c>
      <c r="I34">
        <v>2078000</v>
      </c>
      <c r="J34">
        <v>0</v>
      </c>
      <c r="K34" t="s">
        <v>22</v>
      </c>
      <c r="L34" t="s">
        <v>23</v>
      </c>
      <c r="M34" t="s">
        <v>24</v>
      </c>
      <c r="N34" t="s">
        <v>25</v>
      </c>
      <c r="O34">
        <v>0</v>
      </c>
      <c r="Q34" t="str">
        <f t="shared" si="0"/>
        <v/>
      </c>
      <c r="R34" t="str">
        <f t="shared" si="1"/>
        <v/>
      </c>
    </row>
    <row r="35" spans="1:18" x14ac:dyDescent="0.35">
      <c r="A35">
        <v>5108</v>
      </c>
      <c r="B35" t="s">
        <v>47</v>
      </c>
      <c r="C35" s="217">
        <v>45706</v>
      </c>
      <c r="D35">
        <v>1305</v>
      </c>
      <c r="E35" t="s">
        <v>48</v>
      </c>
      <c r="F35" t="s">
        <v>49</v>
      </c>
      <c r="G35" t="s">
        <v>50</v>
      </c>
      <c r="H35">
        <v>1000192524</v>
      </c>
      <c r="I35">
        <v>138171.31</v>
      </c>
      <c r="J35">
        <v>0</v>
      </c>
      <c r="K35" t="s">
        <v>22</v>
      </c>
      <c r="L35" t="s">
        <v>23</v>
      </c>
      <c r="M35" t="s">
        <v>24</v>
      </c>
      <c r="N35" t="s">
        <v>25</v>
      </c>
      <c r="O35">
        <v>0</v>
      </c>
      <c r="Q35" t="str">
        <f t="shared" si="0"/>
        <v/>
      </c>
      <c r="R35" t="str">
        <f t="shared" si="1"/>
        <v/>
      </c>
    </row>
    <row r="36" spans="1:18" x14ac:dyDescent="0.35">
      <c r="A36">
        <v>5108</v>
      </c>
      <c r="B36" t="s">
        <v>47</v>
      </c>
      <c r="C36" s="217">
        <v>45726</v>
      </c>
      <c r="D36">
        <v>1808</v>
      </c>
      <c r="E36" t="s">
        <v>48</v>
      </c>
      <c r="F36" t="s">
        <v>49</v>
      </c>
      <c r="G36" t="s">
        <v>51</v>
      </c>
      <c r="H36">
        <v>1000012643</v>
      </c>
      <c r="I36">
        <v>0</v>
      </c>
      <c r="J36">
        <v>59490.47</v>
      </c>
      <c r="K36" t="s">
        <v>22</v>
      </c>
      <c r="L36" t="s">
        <v>23</v>
      </c>
      <c r="M36" t="s">
        <v>24</v>
      </c>
      <c r="N36" t="s">
        <v>25</v>
      </c>
      <c r="O36">
        <v>0</v>
      </c>
      <c r="Q36" t="str">
        <f t="shared" si="0"/>
        <v/>
      </c>
      <c r="R36" t="str">
        <f t="shared" si="1"/>
        <v/>
      </c>
    </row>
    <row r="37" spans="1:18" x14ac:dyDescent="0.35">
      <c r="A37">
        <v>5108</v>
      </c>
      <c r="B37" t="s">
        <v>47</v>
      </c>
      <c r="C37" s="217">
        <v>45727</v>
      </c>
      <c r="D37">
        <v>1582</v>
      </c>
      <c r="E37" t="s">
        <v>52</v>
      </c>
      <c r="F37" t="s">
        <v>49</v>
      </c>
      <c r="G37" t="s">
        <v>50</v>
      </c>
      <c r="H37">
        <v>1000193810</v>
      </c>
      <c r="I37">
        <v>389523.63</v>
      </c>
      <c r="J37">
        <v>0</v>
      </c>
      <c r="K37" t="s">
        <v>22</v>
      </c>
      <c r="L37" t="s">
        <v>23</v>
      </c>
      <c r="M37" t="s">
        <v>24</v>
      </c>
      <c r="N37" t="s">
        <v>25</v>
      </c>
      <c r="O37">
        <v>0</v>
      </c>
      <c r="Q37" t="str">
        <f t="shared" si="0"/>
        <v/>
      </c>
      <c r="R37" t="str">
        <f t="shared" si="1"/>
        <v/>
      </c>
    </row>
    <row r="38" spans="1:18" x14ac:dyDescent="0.35">
      <c r="A38">
        <v>5108</v>
      </c>
      <c r="B38" t="s">
        <v>47</v>
      </c>
      <c r="C38" s="217">
        <v>45850</v>
      </c>
      <c r="D38">
        <v>3670</v>
      </c>
      <c r="E38" t="s">
        <v>48</v>
      </c>
      <c r="F38" t="s">
        <v>49</v>
      </c>
      <c r="G38" t="s">
        <v>50</v>
      </c>
      <c r="H38">
        <v>1000203135</v>
      </c>
      <c r="I38">
        <v>440804.68</v>
      </c>
      <c r="J38">
        <v>0</v>
      </c>
      <c r="K38" t="s">
        <v>22</v>
      </c>
      <c r="L38" t="s">
        <v>23</v>
      </c>
      <c r="M38" t="s">
        <v>24</v>
      </c>
      <c r="N38" t="s">
        <v>25</v>
      </c>
      <c r="O38">
        <v>0</v>
      </c>
      <c r="Q38" t="str">
        <f t="shared" si="0"/>
        <v/>
      </c>
      <c r="R38" t="str">
        <f t="shared" si="1"/>
        <v/>
      </c>
    </row>
    <row r="39" spans="1:18" x14ac:dyDescent="0.35">
      <c r="A39">
        <v>5108</v>
      </c>
      <c r="B39" t="s">
        <v>47</v>
      </c>
      <c r="C39" s="217">
        <v>45850</v>
      </c>
      <c r="D39">
        <v>3671</v>
      </c>
      <c r="E39" t="s">
        <v>48</v>
      </c>
      <c r="F39" t="s">
        <v>49</v>
      </c>
      <c r="G39" t="s">
        <v>50</v>
      </c>
      <c r="H39">
        <v>1000203122</v>
      </c>
      <c r="I39">
        <v>993.6</v>
      </c>
      <c r="J39">
        <v>0</v>
      </c>
      <c r="K39" t="s">
        <v>22</v>
      </c>
      <c r="L39" t="s">
        <v>23</v>
      </c>
      <c r="M39" t="s">
        <v>24</v>
      </c>
      <c r="N39" t="s">
        <v>25</v>
      </c>
      <c r="O39">
        <v>0</v>
      </c>
      <c r="Q39" t="str">
        <f t="shared" si="0"/>
        <v/>
      </c>
      <c r="R39" t="str">
        <f t="shared" si="1"/>
        <v/>
      </c>
    </row>
    <row r="40" spans="1:18" x14ac:dyDescent="0.35">
      <c r="A40">
        <v>5108</v>
      </c>
      <c r="B40" t="s">
        <v>47</v>
      </c>
      <c r="C40" s="217">
        <v>45867</v>
      </c>
      <c r="D40">
        <v>3899</v>
      </c>
      <c r="E40" t="s">
        <v>48</v>
      </c>
      <c r="F40" t="s">
        <v>49</v>
      </c>
      <c r="G40" t="s">
        <v>51</v>
      </c>
      <c r="H40">
        <v>1000013415</v>
      </c>
      <c r="I40">
        <v>0</v>
      </c>
      <c r="J40">
        <v>993.6</v>
      </c>
      <c r="K40" t="s">
        <v>22</v>
      </c>
      <c r="L40" t="s">
        <v>23</v>
      </c>
      <c r="M40" t="s">
        <v>24</v>
      </c>
      <c r="N40" t="s">
        <v>25</v>
      </c>
      <c r="O40">
        <v>0</v>
      </c>
      <c r="Q40" t="str">
        <f t="shared" si="0"/>
        <v/>
      </c>
      <c r="R40" t="str">
        <f t="shared" si="1"/>
        <v/>
      </c>
    </row>
    <row r="41" spans="1:18" x14ac:dyDescent="0.35">
      <c r="A41">
        <v>5108</v>
      </c>
      <c r="B41" t="s">
        <v>47</v>
      </c>
      <c r="C41" s="217">
        <v>45895</v>
      </c>
      <c r="D41">
        <v>4361</v>
      </c>
      <c r="E41" t="s">
        <v>48</v>
      </c>
      <c r="F41" t="s">
        <v>49</v>
      </c>
      <c r="G41" t="s">
        <v>50</v>
      </c>
      <c r="H41">
        <v>1000206822</v>
      </c>
      <c r="I41">
        <v>27040.04</v>
      </c>
      <c r="J41">
        <v>0</v>
      </c>
      <c r="K41" t="s">
        <v>22</v>
      </c>
      <c r="L41" t="s">
        <v>23</v>
      </c>
      <c r="M41" t="s">
        <v>24</v>
      </c>
      <c r="N41" t="s">
        <v>25</v>
      </c>
      <c r="O41">
        <v>0</v>
      </c>
      <c r="Q41" t="str">
        <f t="shared" si="0"/>
        <v/>
      </c>
      <c r="R41" t="str">
        <f t="shared" si="1"/>
        <v/>
      </c>
    </row>
    <row r="42" spans="1:18" x14ac:dyDescent="0.35">
      <c r="A42">
        <v>52001</v>
      </c>
      <c r="B42" t="s">
        <v>53</v>
      </c>
      <c r="C42" s="217">
        <v>45841</v>
      </c>
      <c r="D42">
        <v>1716</v>
      </c>
      <c r="E42" t="s">
        <v>54</v>
      </c>
      <c r="F42" t="s">
        <v>28</v>
      </c>
      <c r="G42" t="s">
        <v>41</v>
      </c>
      <c r="H42">
        <v>7116</v>
      </c>
      <c r="I42">
        <v>32438.6</v>
      </c>
      <c r="J42">
        <v>0</v>
      </c>
      <c r="K42" t="s">
        <v>22</v>
      </c>
      <c r="L42" t="s">
        <v>23</v>
      </c>
      <c r="M42" t="s">
        <v>24</v>
      </c>
      <c r="N42" t="s">
        <v>25</v>
      </c>
      <c r="O42">
        <v>0</v>
      </c>
      <c r="Q42" t="str">
        <f t="shared" si="0"/>
        <v/>
      </c>
      <c r="R42" t="str">
        <f t="shared" si="1"/>
        <v/>
      </c>
    </row>
    <row r="43" spans="1:18" x14ac:dyDescent="0.35">
      <c r="A43">
        <v>52001</v>
      </c>
      <c r="B43" t="s">
        <v>53</v>
      </c>
      <c r="C43" s="217">
        <v>45841</v>
      </c>
      <c r="D43">
        <v>1761</v>
      </c>
      <c r="E43" t="s">
        <v>54</v>
      </c>
      <c r="F43" t="s">
        <v>28</v>
      </c>
      <c r="G43" t="s">
        <v>41</v>
      </c>
      <c r="H43">
        <v>7161</v>
      </c>
      <c r="I43">
        <v>32438.6</v>
      </c>
      <c r="J43">
        <v>0</v>
      </c>
      <c r="K43" t="s">
        <v>22</v>
      </c>
      <c r="L43" t="s">
        <v>23</v>
      </c>
      <c r="M43" t="s">
        <v>24</v>
      </c>
      <c r="N43" t="s">
        <v>25</v>
      </c>
      <c r="O43">
        <v>0</v>
      </c>
      <c r="Q43" t="str">
        <f t="shared" si="0"/>
        <v/>
      </c>
      <c r="R43" t="str">
        <f t="shared" si="1"/>
        <v/>
      </c>
    </row>
    <row r="44" spans="1:18" x14ac:dyDescent="0.35">
      <c r="A44">
        <v>52002</v>
      </c>
      <c r="B44" t="s">
        <v>55</v>
      </c>
      <c r="C44" s="217">
        <v>45679</v>
      </c>
      <c r="D44">
        <v>340</v>
      </c>
      <c r="E44" t="s">
        <v>56</v>
      </c>
      <c r="F44" t="s">
        <v>28</v>
      </c>
      <c r="G44" t="s">
        <v>41</v>
      </c>
      <c r="H44">
        <v>5772</v>
      </c>
      <c r="I44">
        <v>64900</v>
      </c>
      <c r="J44">
        <v>0</v>
      </c>
      <c r="K44" t="s">
        <v>22</v>
      </c>
      <c r="L44" t="s">
        <v>23</v>
      </c>
      <c r="M44" t="s">
        <v>24</v>
      </c>
      <c r="N44" t="s">
        <v>25</v>
      </c>
      <c r="O44">
        <v>0</v>
      </c>
      <c r="Q44" t="str">
        <f t="shared" si="0"/>
        <v/>
      </c>
      <c r="R44" t="str">
        <f t="shared" si="1"/>
        <v/>
      </c>
    </row>
    <row r="45" spans="1:18" x14ac:dyDescent="0.35">
      <c r="A45">
        <v>52002</v>
      </c>
      <c r="B45" t="s">
        <v>55</v>
      </c>
      <c r="C45" s="217">
        <v>45680</v>
      </c>
      <c r="D45">
        <v>274</v>
      </c>
      <c r="E45" t="s">
        <v>57</v>
      </c>
      <c r="F45" t="s">
        <v>28</v>
      </c>
      <c r="G45" t="s">
        <v>41</v>
      </c>
      <c r="H45">
        <v>5702</v>
      </c>
      <c r="I45">
        <v>64897</v>
      </c>
      <c r="J45">
        <v>0</v>
      </c>
      <c r="K45" t="s">
        <v>22</v>
      </c>
      <c r="L45" t="s">
        <v>23</v>
      </c>
      <c r="M45" t="s">
        <v>24</v>
      </c>
      <c r="N45" t="s">
        <v>25</v>
      </c>
      <c r="O45">
        <v>0</v>
      </c>
      <c r="Q45" t="str">
        <f t="shared" si="0"/>
        <v/>
      </c>
      <c r="R45" t="str">
        <f t="shared" si="1"/>
        <v/>
      </c>
    </row>
    <row r="46" spans="1:18" x14ac:dyDescent="0.35">
      <c r="A46">
        <v>52002</v>
      </c>
      <c r="B46" t="s">
        <v>55</v>
      </c>
      <c r="C46" s="217">
        <v>45832</v>
      </c>
      <c r="D46">
        <v>3946</v>
      </c>
      <c r="E46" t="s">
        <v>58</v>
      </c>
      <c r="F46" t="s">
        <v>28</v>
      </c>
      <c r="G46" t="s">
        <v>59</v>
      </c>
      <c r="H46">
        <v>3947</v>
      </c>
      <c r="I46">
        <v>283606.90000000002</v>
      </c>
      <c r="J46">
        <v>0</v>
      </c>
      <c r="K46" t="s">
        <v>22</v>
      </c>
      <c r="L46" t="s">
        <v>23</v>
      </c>
      <c r="M46" t="s">
        <v>24</v>
      </c>
      <c r="N46" t="s">
        <v>25</v>
      </c>
      <c r="O46">
        <v>0</v>
      </c>
      <c r="Q46" t="str">
        <f t="shared" si="0"/>
        <v/>
      </c>
      <c r="R46" t="str">
        <f t="shared" si="1"/>
        <v/>
      </c>
    </row>
    <row r="47" spans="1:18" x14ac:dyDescent="0.35">
      <c r="A47">
        <v>52005</v>
      </c>
      <c r="B47" t="s">
        <v>60</v>
      </c>
      <c r="C47" s="217">
        <v>45765</v>
      </c>
      <c r="D47">
        <v>2337</v>
      </c>
      <c r="E47" t="s">
        <v>61</v>
      </c>
      <c r="F47" t="s">
        <v>62</v>
      </c>
      <c r="G47" t="s">
        <v>50</v>
      </c>
      <c r="H47">
        <v>426405225578</v>
      </c>
      <c r="I47">
        <v>19365</v>
      </c>
      <c r="J47">
        <v>0</v>
      </c>
      <c r="K47" t="s">
        <v>22</v>
      </c>
      <c r="L47" t="s">
        <v>23</v>
      </c>
      <c r="M47" t="s">
        <v>24</v>
      </c>
      <c r="N47" t="s">
        <v>25</v>
      </c>
      <c r="O47">
        <v>0</v>
      </c>
      <c r="Q47" t="str">
        <f t="shared" si="0"/>
        <v/>
      </c>
      <c r="R47" t="str">
        <f t="shared" si="1"/>
        <v/>
      </c>
    </row>
    <row r="48" spans="1:18" x14ac:dyDescent="0.35">
      <c r="A48">
        <v>52005</v>
      </c>
      <c r="B48" t="s">
        <v>60</v>
      </c>
      <c r="C48" s="217">
        <v>45798</v>
      </c>
      <c r="D48">
        <v>3485</v>
      </c>
      <c r="E48" t="s">
        <v>61</v>
      </c>
      <c r="F48" t="s">
        <v>62</v>
      </c>
      <c r="G48" t="s">
        <v>50</v>
      </c>
      <c r="H48">
        <v>426405353103</v>
      </c>
      <c r="I48">
        <v>20205</v>
      </c>
      <c r="J48">
        <v>0</v>
      </c>
      <c r="K48" t="s">
        <v>22</v>
      </c>
      <c r="L48" t="s">
        <v>23</v>
      </c>
      <c r="M48" t="s">
        <v>24</v>
      </c>
      <c r="N48" t="s">
        <v>25</v>
      </c>
      <c r="O48">
        <v>0</v>
      </c>
      <c r="Q48" t="str">
        <f t="shared" si="0"/>
        <v/>
      </c>
      <c r="R48" t="str">
        <f t="shared" si="1"/>
        <v/>
      </c>
    </row>
    <row r="49" spans="1:18" x14ac:dyDescent="0.35">
      <c r="A49">
        <v>52005</v>
      </c>
      <c r="B49" t="s">
        <v>60</v>
      </c>
      <c r="C49" s="217">
        <v>45826</v>
      </c>
      <c r="D49">
        <v>3490</v>
      </c>
      <c r="E49" t="s">
        <v>61</v>
      </c>
      <c r="F49" t="s">
        <v>62</v>
      </c>
      <c r="G49" t="s">
        <v>50</v>
      </c>
      <c r="H49">
        <v>426405489994</v>
      </c>
      <c r="I49">
        <v>20595</v>
      </c>
      <c r="J49">
        <v>0</v>
      </c>
      <c r="K49" t="s">
        <v>22</v>
      </c>
      <c r="L49" t="s">
        <v>23</v>
      </c>
      <c r="M49" t="s">
        <v>24</v>
      </c>
      <c r="N49" t="s">
        <v>25</v>
      </c>
      <c r="O49">
        <v>0</v>
      </c>
      <c r="Q49" t="str">
        <f t="shared" si="0"/>
        <v/>
      </c>
      <c r="R49" t="str">
        <f t="shared" si="1"/>
        <v/>
      </c>
    </row>
    <row r="50" spans="1:18" x14ac:dyDescent="0.35">
      <c r="A50">
        <v>52005</v>
      </c>
      <c r="B50" t="s">
        <v>60</v>
      </c>
      <c r="C50" s="217">
        <v>45855</v>
      </c>
      <c r="D50">
        <v>3863</v>
      </c>
      <c r="E50" t="s">
        <v>61</v>
      </c>
      <c r="F50" t="s">
        <v>62</v>
      </c>
      <c r="G50" t="s">
        <v>50</v>
      </c>
      <c r="H50">
        <v>426405626926</v>
      </c>
      <c r="I50">
        <v>21195</v>
      </c>
      <c r="J50">
        <v>0</v>
      </c>
      <c r="K50" t="s">
        <v>22</v>
      </c>
      <c r="L50" t="s">
        <v>23</v>
      </c>
      <c r="M50" t="s">
        <v>24</v>
      </c>
      <c r="N50" t="s">
        <v>25</v>
      </c>
      <c r="O50">
        <v>0</v>
      </c>
      <c r="Q50" t="str">
        <f t="shared" si="0"/>
        <v/>
      </c>
      <c r="R50" t="str">
        <f t="shared" si="1"/>
        <v/>
      </c>
    </row>
    <row r="51" spans="1:18" x14ac:dyDescent="0.35">
      <c r="A51">
        <v>52005</v>
      </c>
      <c r="B51" t="s">
        <v>60</v>
      </c>
      <c r="C51" s="217">
        <v>45888</v>
      </c>
      <c r="D51">
        <v>4351</v>
      </c>
      <c r="E51" t="s">
        <v>61</v>
      </c>
      <c r="F51" t="s">
        <v>62</v>
      </c>
      <c r="G51" t="s">
        <v>50</v>
      </c>
      <c r="H51">
        <v>426405763893</v>
      </c>
      <c r="I51">
        <v>21825</v>
      </c>
      <c r="J51">
        <v>0</v>
      </c>
      <c r="K51" t="s">
        <v>22</v>
      </c>
      <c r="L51" t="s">
        <v>23</v>
      </c>
      <c r="M51" t="s">
        <v>24</v>
      </c>
      <c r="N51" t="s">
        <v>25</v>
      </c>
      <c r="O51">
        <v>0</v>
      </c>
      <c r="Q51" t="str">
        <f t="shared" si="0"/>
        <v/>
      </c>
      <c r="R51" t="str">
        <f t="shared" si="1"/>
        <v/>
      </c>
    </row>
    <row r="52" spans="1:18" x14ac:dyDescent="0.35">
      <c r="A52">
        <v>52005</v>
      </c>
      <c r="B52" t="s">
        <v>60</v>
      </c>
      <c r="C52" s="217">
        <v>45918</v>
      </c>
      <c r="D52">
        <v>4822</v>
      </c>
      <c r="E52" t="s">
        <v>61</v>
      </c>
      <c r="F52" t="s">
        <v>62</v>
      </c>
      <c r="G52" t="s">
        <v>50</v>
      </c>
      <c r="H52">
        <v>426405904143</v>
      </c>
      <c r="I52">
        <v>22365</v>
      </c>
      <c r="J52">
        <v>0</v>
      </c>
      <c r="K52" t="s">
        <v>22</v>
      </c>
      <c r="L52" t="s">
        <v>23</v>
      </c>
      <c r="M52" t="s">
        <v>24</v>
      </c>
      <c r="N52" t="s">
        <v>25</v>
      </c>
      <c r="O52">
        <v>0</v>
      </c>
      <c r="Q52" t="str">
        <f t="shared" si="0"/>
        <v/>
      </c>
      <c r="R52" t="str">
        <f t="shared" si="1"/>
        <v/>
      </c>
    </row>
    <row r="53" spans="1:18" x14ac:dyDescent="0.35">
      <c r="A53">
        <v>52005</v>
      </c>
      <c r="B53" t="s">
        <v>60</v>
      </c>
      <c r="C53" s="217">
        <v>45951</v>
      </c>
      <c r="D53">
        <v>5506</v>
      </c>
      <c r="E53" t="s">
        <v>61</v>
      </c>
      <c r="F53" t="s">
        <v>62</v>
      </c>
      <c r="G53" t="s">
        <v>50</v>
      </c>
      <c r="H53">
        <v>395005176382</v>
      </c>
      <c r="I53">
        <v>10973.81</v>
      </c>
      <c r="J53">
        <v>0</v>
      </c>
      <c r="K53" t="s">
        <v>22</v>
      </c>
      <c r="L53" t="s">
        <v>23</v>
      </c>
      <c r="M53" t="s">
        <v>24</v>
      </c>
      <c r="N53" t="s">
        <v>25</v>
      </c>
      <c r="O53">
        <v>0</v>
      </c>
      <c r="Q53" t="str">
        <f t="shared" si="0"/>
        <v/>
      </c>
      <c r="R53" t="str">
        <f t="shared" si="1"/>
        <v/>
      </c>
    </row>
    <row r="54" spans="1:18" x14ac:dyDescent="0.35">
      <c r="A54">
        <v>52005</v>
      </c>
      <c r="B54" t="s">
        <v>60</v>
      </c>
      <c r="C54" s="217">
        <v>45982</v>
      </c>
      <c r="D54">
        <v>215</v>
      </c>
      <c r="E54" t="s">
        <v>61</v>
      </c>
      <c r="F54" t="s">
        <v>62</v>
      </c>
      <c r="G54" t="s">
        <v>50</v>
      </c>
      <c r="H54">
        <v>395005465477</v>
      </c>
      <c r="I54">
        <v>16776.87</v>
      </c>
      <c r="J54">
        <v>0</v>
      </c>
      <c r="K54" t="s">
        <v>22</v>
      </c>
      <c r="L54" t="s">
        <v>23</v>
      </c>
      <c r="M54" t="s">
        <v>24</v>
      </c>
      <c r="N54" t="s">
        <v>25</v>
      </c>
      <c r="O54">
        <v>0</v>
      </c>
      <c r="Q54" t="str">
        <f t="shared" si="0"/>
        <v/>
      </c>
      <c r="R54" t="str">
        <f t="shared" si="1"/>
        <v/>
      </c>
    </row>
    <row r="55" spans="1:18" x14ac:dyDescent="0.35">
      <c r="A55">
        <v>52005</v>
      </c>
      <c r="B55" t="s">
        <v>60</v>
      </c>
      <c r="C55" s="217">
        <v>46043</v>
      </c>
      <c r="D55">
        <v>999</v>
      </c>
      <c r="E55" t="s">
        <v>61</v>
      </c>
      <c r="F55" t="s">
        <v>62</v>
      </c>
      <c r="G55" t="s">
        <v>50</v>
      </c>
      <c r="H55">
        <v>395006029702</v>
      </c>
      <c r="I55">
        <v>17702.490000000002</v>
      </c>
      <c r="J55">
        <v>0</v>
      </c>
      <c r="K55" t="s">
        <v>22</v>
      </c>
      <c r="L55" t="s">
        <v>23</v>
      </c>
      <c r="M55" t="s">
        <v>24</v>
      </c>
      <c r="N55" t="s">
        <v>25</v>
      </c>
      <c r="O55">
        <v>0</v>
      </c>
      <c r="Q55" t="str">
        <f t="shared" si="0"/>
        <v/>
      </c>
      <c r="R55" t="str">
        <f t="shared" si="1"/>
        <v/>
      </c>
    </row>
    <row r="56" spans="1:18" x14ac:dyDescent="0.35">
      <c r="A56">
        <v>52005</v>
      </c>
      <c r="B56" t="s">
        <v>60</v>
      </c>
      <c r="C56" s="217">
        <v>46074</v>
      </c>
      <c r="D56">
        <v>1385</v>
      </c>
      <c r="E56" t="s">
        <v>61</v>
      </c>
      <c r="F56" t="s">
        <v>62</v>
      </c>
      <c r="G56" t="s">
        <v>50</v>
      </c>
      <c r="H56">
        <v>395006310943</v>
      </c>
      <c r="I56">
        <v>18231.41</v>
      </c>
      <c r="J56">
        <v>0</v>
      </c>
      <c r="K56" t="s">
        <v>22</v>
      </c>
      <c r="L56" t="s">
        <v>23</v>
      </c>
      <c r="M56" t="s">
        <v>24</v>
      </c>
      <c r="N56" t="s">
        <v>25</v>
      </c>
      <c r="O56">
        <v>0</v>
      </c>
      <c r="Q56" t="str">
        <f t="shared" si="0"/>
        <v/>
      </c>
      <c r="R56" t="str">
        <f t="shared" si="1"/>
        <v/>
      </c>
    </row>
    <row r="57" spans="1:18" x14ac:dyDescent="0.35">
      <c r="A57">
        <v>52005</v>
      </c>
      <c r="B57" t="s">
        <v>60</v>
      </c>
      <c r="C57" s="217">
        <v>46102</v>
      </c>
      <c r="D57">
        <v>2165</v>
      </c>
      <c r="E57" t="s">
        <v>61</v>
      </c>
      <c r="F57" t="s">
        <v>62</v>
      </c>
      <c r="G57" t="s">
        <v>50</v>
      </c>
      <c r="H57">
        <v>395006591497</v>
      </c>
      <c r="I57">
        <v>18865.71</v>
      </c>
      <c r="J57">
        <v>0</v>
      </c>
      <c r="K57" t="s">
        <v>22</v>
      </c>
      <c r="L57" t="s">
        <v>23</v>
      </c>
      <c r="M57" t="s">
        <v>24</v>
      </c>
      <c r="N57" t="s">
        <v>25</v>
      </c>
      <c r="O57">
        <v>0</v>
      </c>
      <c r="Q57" t="str">
        <f t="shared" si="0"/>
        <v/>
      </c>
      <c r="R57" t="str">
        <f t="shared" si="1"/>
        <v/>
      </c>
    </row>
    <row r="58" spans="1:18" x14ac:dyDescent="0.35">
      <c r="A58">
        <v>52005</v>
      </c>
      <c r="B58" t="s">
        <v>60</v>
      </c>
      <c r="C58" s="217">
        <v>46133</v>
      </c>
      <c r="D58">
        <v>2524</v>
      </c>
      <c r="E58" t="s">
        <v>61</v>
      </c>
      <c r="F58" t="s">
        <v>62</v>
      </c>
      <c r="G58" t="s">
        <v>50</v>
      </c>
      <c r="H58">
        <v>395006870609</v>
      </c>
      <c r="I58">
        <v>19524.8</v>
      </c>
      <c r="J58">
        <v>0</v>
      </c>
      <c r="K58" t="s">
        <v>22</v>
      </c>
      <c r="L58" t="s">
        <v>23</v>
      </c>
      <c r="M58" t="s">
        <v>24</v>
      </c>
      <c r="N58" t="s">
        <v>25</v>
      </c>
      <c r="O58">
        <v>0</v>
      </c>
      <c r="Q58" t="str">
        <f t="shared" si="0"/>
        <v/>
      </c>
      <c r="R58" t="str">
        <f t="shared" si="1"/>
        <v/>
      </c>
    </row>
    <row r="59" spans="1:18" x14ac:dyDescent="0.35">
      <c r="A59">
        <v>52101</v>
      </c>
      <c r="B59" t="s">
        <v>63</v>
      </c>
      <c r="C59" s="217">
        <v>45896</v>
      </c>
      <c r="D59">
        <v>2006</v>
      </c>
      <c r="E59" t="s">
        <v>64</v>
      </c>
      <c r="F59" t="s">
        <v>28</v>
      </c>
      <c r="G59" t="s">
        <v>41</v>
      </c>
      <c r="H59">
        <v>7403</v>
      </c>
      <c r="I59">
        <v>9800</v>
      </c>
      <c r="J59">
        <v>0</v>
      </c>
      <c r="K59" t="s">
        <v>22</v>
      </c>
      <c r="L59" t="s">
        <v>23</v>
      </c>
      <c r="M59" t="s">
        <v>24</v>
      </c>
      <c r="N59" t="s">
        <v>25</v>
      </c>
      <c r="O59">
        <v>0</v>
      </c>
      <c r="Q59" t="str">
        <f t="shared" si="0"/>
        <v/>
      </c>
      <c r="R59" t="str">
        <f t="shared" si="1"/>
        <v/>
      </c>
    </row>
    <row r="60" spans="1:18" x14ac:dyDescent="0.35">
      <c r="A60">
        <v>52101</v>
      </c>
      <c r="B60" t="s">
        <v>63</v>
      </c>
      <c r="C60" s="217">
        <v>45905</v>
      </c>
      <c r="D60">
        <v>2100</v>
      </c>
      <c r="E60" t="s">
        <v>64</v>
      </c>
      <c r="F60" t="s">
        <v>28</v>
      </c>
      <c r="G60" t="s">
        <v>41</v>
      </c>
      <c r="H60">
        <v>7479</v>
      </c>
      <c r="I60">
        <v>9800</v>
      </c>
      <c r="J60">
        <v>0</v>
      </c>
      <c r="K60" t="s">
        <v>22</v>
      </c>
      <c r="L60" t="s">
        <v>23</v>
      </c>
      <c r="M60" t="s">
        <v>24</v>
      </c>
      <c r="N60" t="s">
        <v>25</v>
      </c>
      <c r="O60">
        <v>0</v>
      </c>
      <c r="Q60" t="str">
        <f t="shared" si="0"/>
        <v/>
      </c>
      <c r="R60" t="str">
        <f t="shared" si="1"/>
        <v/>
      </c>
    </row>
    <row r="61" spans="1:18" x14ac:dyDescent="0.35">
      <c r="A61">
        <v>52101</v>
      </c>
      <c r="B61" t="s">
        <v>63</v>
      </c>
      <c r="C61" s="217">
        <v>45923</v>
      </c>
      <c r="D61">
        <v>2166</v>
      </c>
      <c r="E61" t="s">
        <v>64</v>
      </c>
      <c r="F61" t="s">
        <v>28</v>
      </c>
      <c r="G61" t="s">
        <v>41</v>
      </c>
      <c r="H61">
        <v>7545</v>
      </c>
      <c r="I61">
        <v>19600</v>
      </c>
      <c r="J61">
        <v>0</v>
      </c>
      <c r="K61" t="s">
        <v>22</v>
      </c>
      <c r="L61" t="s">
        <v>23</v>
      </c>
      <c r="M61" t="s">
        <v>24</v>
      </c>
      <c r="N61" t="s">
        <v>25</v>
      </c>
      <c r="O61">
        <v>0</v>
      </c>
      <c r="Q61" t="str">
        <f t="shared" si="0"/>
        <v/>
      </c>
      <c r="R61" t="str">
        <f t="shared" si="1"/>
        <v/>
      </c>
    </row>
    <row r="62" spans="1:18" x14ac:dyDescent="0.35">
      <c r="A62">
        <v>52101</v>
      </c>
      <c r="B62" t="s">
        <v>63</v>
      </c>
      <c r="C62" s="217">
        <v>45987</v>
      </c>
      <c r="D62">
        <v>73</v>
      </c>
      <c r="E62" t="s">
        <v>64</v>
      </c>
      <c r="F62" t="s">
        <v>28</v>
      </c>
      <c r="G62" t="s">
        <v>41</v>
      </c>
      <c r="H62">
        <v>7998</v>
      </c>
      <c r="I62">
        <v>4900</v>
      </c>
      <c r="J62">
        <v>0</v>
      </c>
      <c r="K62" t="s">
        <v>22</v>
      </c>
      <c r="L62" t="s">
        <v>23</v>
      </c>
      <c r="M62" t="s">
        <v>24</v>
      </c>
      <c r="N62" t="s">
        <v>25</v>
      </c>
      <c r="O62">
        <v>0</v>
      </c>
      <c r="Q62" t="str">
        <f t="shared" si="0"/>
        <v/>
      </c>
      <c r="R62" t="str">
        <f t="shared" si="1"/>
        <v/>
      </c>
    </row>
    <row r="63" spans="1:18" x14ac:dyDescent="0.35">
      <c r="A63">
        <v>52101</v>
      </c>
      <c r="B63" t="s">
        <v>63</v>
      </c>
      <c r="C63" s="217">
        <v>45987</v>
      </c>
      <c r="D63">
        <v>75</v>
      </c>
      <c r="E63" t="s">
        <v>64</v>
      </c>
      <c r="F63" t="s">
        <v>28</v>
      </c>
      <c r="G63" t="s">
        <v>41</v>
      </c>
      <c r="H63">
        <v>8000</v>
      </c>
      <c r="I63">
        <v>7800</v>
      </c>
      <c r="J63">
        <v>0</v>
      </c>
      <c r="K63" t="s">
        <v>22</v>
      </c>
      <c r="L63" t="s">
        <v>23</v>
      </c>
      <c r="M63" t="s">
        <v>24</v>
      </c>
      <c r="N63" t="s">
        <v>25</v>
      </c>
      <c r="O63">
        <v>0</v>
      </c>
      <c r="Q63" t="str">
        <f t="shared" si="0"/>
        <v/>
      </c>
      <c r="R63" t="str">
        <f t="shared" si="1"/>
        <v/>
      </c>
    </row>
    <row r="64" spans="1:18" x14ac:dyDescent="0.35">
      <c r="A64">
        <v>52101</v>
      </c>
      <c r="B64" t="s">
        <v>63</v>
      </c>
      <c r="C64" s="217">
        <v>46013</v>
      </c>
      <c r="D64">
        <v>586</v>
      </c>
      <c r="E64" t="s">
        <v>65</v>
      </c>
      <c r="F64" t="s">
        <v>66</v>
      </c>
      <c r="G64" t="s">
        <v>50</v>
      </c>
      <c r="H64">
        <v>400010860</v>
      </c>
      <c r="I64">
        <v>12892.56</v>
      </c>
      <c r="J64">
        <v>0</v>
      </c>
      <c r="K64" t="s">
        <v>22</v>
      </c>
      <c r="L64" t="s">
        <v>23</v>
      </c>
      <c r="M64" t="s">
        <v>24</v>
      </c>
      <c r="N64" t="s">
        <v>25</v>
      </c>
      <c r="O64">
        <v>0</v>
      </c>
      <c r="Q64" t="str">
        <f t="shared" si="0"/>
        <v/>
      </c>
      <c r="R64" t="str">
        <f t="shared" si="1"/>
        <v/>
      </c>
    </row>
    <row r="65" spans="1:18" x14ac:dyDescent="0.35">
      <c r="A65">
        <v>52101</v>
      </c>
      <c r="B65" t="s">
        <v>63</v>
      </c>
      <c r="C65" s="217">
        <v>46077</v>
      </c>
      <c r="D65">
        <v>631</v>
      </c>
      <c r="E65" t="s">
        <v>64</v>
      </c>
      <c r="F65" t="s">
        <v>28</v>
      </c>
      <c r="G65" t="s">
        <v>41</v>
      </c>
      <c r="H65">
        <v>8649</v>
      </c>
      <c r="I65">
        <v>4300</v>
      </c>
      <c r="J65">
        <v>0</v>
      </c>
      <c r="K65" t="s">
        <v>22</v>
      </c>
      <c r="L65" t="s">
        <v>23</v>
      </c>
      <c r="M65" t="s">
        <v>24</v>
      </c>
      <c r="N65" t="s">
        <v>25</v>
      </c>
      <c r="O65">
        <v>0</v>
      </c>
      <c r="Q65" t="str">
        <f t="shared" si="0"/>
        <v/>
      </c>
      <c r="R65" t="str">
        <f t="shared" si="1"/>
        <v/>
      </c>
    </row>
    <row r="66" spans="1:18" x14ac:dyDescent="0.35">
      <c r="A66">
        <v>52101</v>
      </c>
      <c r="B66" t="s">
        <v>63</v>
      </c>
      <c r="C66" s="217">
        <v>46086</v>
      </c>
      <c r="D66">
        <v>1510</v>
      </c>
      <c r="E66" t="s">
        <v>65</v>
      </c>
      <c r="F66" t="s">
        <v>66</v>
      </c>
      <c r="G66" t="s">
        <v>50</v>
      </c>
      <c r="H66">
        <v>400011113</v>
      </c>
      <c r="I66">
        <v>6446.28</v>
      </c>
      <c r="J66">
        <v>0</v>
      </c>
      <c r="K66" t="s">
        <v>22</v>
      </c>
      <c r="L66" t="s">
        <v>23</v>
      </c>
      <c r="M66" t="s">
        <v>24</v>
      </c>
      <c r="N66" t="s">
        <v>25</v>
      </c>
      <c r="O66">
        <v>0</v>
      </c>
      <c r="Q66" t="str">
        <f t="shared" ref="Q66:Q129" si="2">IFERROR(TRIM(LEFT($E66,FIND(" | ",$E66)-1)),"")</f>
        <v/>
      </c>
      <c r="R66" t="str">
        <f t="shared" ref="R66:R129" si="3">IFERROR(TRIM(UPPER(MID($E66,FIND(" | ",$E66)+3,IFERROR(FIND(" | ",$E66,FIND(" | ",$E66)+3),LEN($E66)+1)-FIND(" | ",$E66)-3))),"")</f>
        <v/>
      </c>
    </row>
    <row r="67" spans="1:18" x14ac:dyDescent="0.35">
      <c r="A67">
        <v>52101</v>
      </c>
      <c r="B67" t="s">
        <v>63</v>
      </c>
      <c r="C67" s="217">
        <v>46107</v>
      </c>
      <c r="D67">
        <v>869</v>
      </c>
      <c r="E67" t="s">
        <v>64</v>
      </c>
      <c r="F67" t="s">
        <v>28</v>
      </c>
      <c r="G67" t="s">
        <v>41</v>
      </c>
      <c r="H67">
        <v>8901</v>
      </c>
      <c r="I67">
        <v>5000</v>
      </c>
      <c r="J67">
        <v>0</v>
      </c>
      <c r="K67" t="s">
        <v>22</v>
      </c>
      <c r="L67" t="s">
        <v>23</v>
      </c>
      <c r="M67" t="s">
        <v>24</v>
      </c>
      <c r="N67" t="s">
        <v>25</v>
      </c>
      <c r="O67">
        <v>0</v>
      </c>
      <c r="Q67" t="str">
        <f t="shared" si="2"/>
        <v/>
      </c>
      <c r="R67" t="str">
        <f t="shared" si="3"/>
        <v/>
      </c>
    </row>
    <row r="68" spans="1:18" x14ac:dyDescent="0.35">
      <c r="A68">
        <v>52101</v>
      </c>
      <c r="B68" t="s">
        <v>63</v>
      </c>
      <c r="C68" s="217">
        <v>46125</v>
      </c>
      <c r="D68">
        <v>2363</v>
      </c>
      <c r="E68" t="s">
        <v>65</v>
      </c>
      <c r="F68" t="s">
        <v>66</v>
      </c>
      <c r="G68" t="s">
        <v>50</v>
      </c>
      <c r="H68">
        <v>400011296</v>
      </c>
      <c r="I68">
        <v>12892.56</v>
      </c>
      <c r="J68">
        <v>0</v>
      </c>
      <c r="K68" t="s">
        <v>22</v>
      </c>
      <c r="L68" t="s">
        <v>23</v>
      </c>
      <c r="M68" t="s">
        <v>24</v>
      </c>
      <c r="N68" t="s">
        <v>25</v>
      </c>
      <c r="O68">
        <v>0</v>
      </c>
      <c r="Q68" t="str">
        <f t="shared" si="2"/>
        <v/>
      </c>
      <c r="R68" t="str">
        <f t="shared" si="3"/>
        <v/>
      </c>
    </row>
    <row r="69" spans="1:18" x14ac:dyDescent="0.35">
      <c r="A69">
        <v>52102</v>
      </c>
      <c r="B69" t="s">
        <v>67</v>
      </c>
      <c r="C69" s="217">
        <v>45733</v>
      </c>
      <c r="D69">
        <v>1952</v>
      </c>
      <c r="E69" t="s">
        <v>68</v>
      </c>
      <c r="F69" t="s">
        <v>69</v>
      </c>
      <c r="G69" t="s">
        <v>50</v>
      </c>
      <c r="H69">
        <v>1165500001157</v>
      </c>
      <c r="I69">
        <v>4128.07</v>
      </c>
      <c r="J69">
        <v>0</v>
      </c>
      <c r="K69" t="s">
        <v>22</v>
      </c>
      <c r="L69" t="s">
        <v>23</v>
      </c>
      <c r="M69" t="s">
        <v>24</v>
      </c>
      <c r="N69" t="s">
        <v>25</v>
      </c>
      <c r="O69">
        <v>0</v>
      </c>
      <c r="Q69" t="str">
        <f t="shared" si="2"/>
        <v/>
      </c>
      <c r="R69" t="str">
        <f t="shared" si="3"/>
        <v/>
      </c>
    </row>
    <row r="70" spans="1:18" x14ac:dyDescent="0.35">
      <c r="A70">
        <v>52102</v>
      </c>
      <c r="B70" t="s">
        <v>67</v>
      </c>
      <c r="C70" s="217">
        <v>45769</v>
      </c>
      <c r="D70">
        <v>2397</v>
      </c>
      <c r="E70" t="s">
        <v>68</v>
      </c>
      <c r="F70" t="s">
        <v>69</v>
      </c>
      <c r="G70" t="s">
        <v>70</v>
      </c>
      <c r="H70">
        <v>1165500001217</v>
      </c>
      <c r="I70">
        <v>3702.46</v>
      </c>
      <c r="J70">
        <v>0</v>
      </c>
      <c r="K70" t="s">
        <v>22</v>
      </c>
      <c r="L70" t="s">
        <v>23</v>
      </c>
      <c r="M70" t="s">
        <v>24</v>
      </c>
      <c r="N70" t="s">
        <v>25</v>
      </c>
      <c r="O70">
        <v>0</v>
      </c>
      <c r="Q70" t="str">
        <f t="shared" si="2"/>
        <v/>
      </c>
      <c r="R70" t="str">
        <f t="shared" si="3"/>
        <v/>
      </c>
    </row>
    <row r="71" spans="1:18" x14ac:dyDescent="0.35">
      <c r="A71">
        <v>52102</v>
      </c>
      <c r="B71" t="s">
        <v>67</v>
      </c>
      <c r="C71" s="217">
        <v>45771</v>
      </c>
      <c r="D71">
        <v>2398</v>
      </c>
      <c r="E71" t="s">
        <v>68</v>
      </c>
      <c r="F71" t="s">
        <v>69</v>
      </c>
      <c r="G71" t="s">
        <v>70</v>
      </c>
      <c r="H71">
        <v>1165500001227</v>
      </c>
      <c r="I71">
        <v>5454.55</v>
      </c>
      <c r="J71">
        <v>0</v>
      </c>
      <c r="K71" t="s">
        <v>22</v>
      </c>
      <c r="L71" t="s">
        <v>23</v>
      </c>
      <c r="M71" t="s">
        <v>24</v>
      </c>
      <c r="N71" t="s">
        <v>25</v>
      </c>
      <c r="O71">
        <v>0</v>
      </c>
      <c r="Q71" t="str">
        <f t="shared" si="2"/>
        <v/>
      </c>
      <c r="R71" t="str">
        <f t="shared" si="3"/>
        <v/>
      </c>
    </row>
    <row r="72" spans="1:18" x14ac:dyDescent="0.35">
      <c r="A72">
        <v>52102</v>
      </c>
      <c r="B72" t="s">
        <v>67</v>
      </c>
      <c r="C72" s="217">
        <v>45812</v>
      </c>
      <c r="D72">
        <v>3380</v>
      </c>
      <c r="E72" t="s">
        <v>71</v>
      </c>
      <c r="F72" t="s">
        <v>72</v>
      </c>
      <c r="G72" t="s">
        <v>73</v>
      </c>
      <c r="H72">
        <v>400006365</v>
      </c>
      <c r="I72">
        <v>19700</v>
      </c>
      <c r="J72">
        <v>0</v>
      </c>
      <c r="K72" t="s">
        <v>22</v>
      </c>
      <c r="L72" t="s">
        <v>23</v>
      </c>
      <c r="M72" t="s">
        <v>24</v>
      </c>
      <c r="N72" t="s">
        <v>25</v>
      </c>
      <c r="O72">
        <v>0</v>
      </c>
      <c r="Q72" t="str">
        <f t="shared" si="2"/>
        <v/>
      </c>
      <c r="R72" t="str">
        <f t="shared" si="3"/>
        <v/>
      </c>
    </row>
    <row r="73" spans="1:18" x14ac:dyDescent="0.35">
      <c r="A73">
        <v>52102</v>
      </c>
      <c r="B73" t="s">
        <v>67</v>
      </c>
      <c r="C73" s="217">
        <v>45839</v>
      </c>
      <c r="D73">
        <v>3825</v>
      </c>
      <c r="E73" t="s">
        <v>71</v>
      </c>
      <c r="F73" t="s">
        <v>72</v>
      </c>
      <c r="G73" t="s">
        <v>73</v>
      </c>
      <c r="H73">
        <v>400006525</v>
      </c>
      <c r="I73">
        <v>15000</v>
      </c>
      <c r="J73">
        <v>0</v>
      </c>
      <c r="K73" t="s">
        <v>22</v>
      </c>
      <c r="L73" t="s">
        <v>23</v>
      </c>
      <c r="M73" t="s">
        <v>24</v>
      </c>
      <c r="N73" t="s">
        <v>25</v>
      </c>
      <c r="O73">
        <v>0</v>
      </c>
      <c r="Q73" t="str">
        <f t="shared" si="2"/>
        <v/>
      </c>
      <c r="R73" t="str">
        <f t="shared" si="3"/>
        <v/>
      </c>
    </row>
    <row r="74" spans="1:18" x14ac:dyDescent="0.35">
      <c r="A74">
        <v>52102</v>
      </c>
      <c r="B74" t="s">
        <v>67</v>
      </c>
      <c r="C74" s="217">
        <v>45859</v>
      </c>
      <c r="D74">
        <v>3838</v>
      </c>
      <c r="E74" t="s">
        <v>71</v>
      </c>
      <c r="F74" t="s">
        <v>72</v>
      </c>
      <c r="G74" t="s">
        <v>73</v>
      </c>
      <c r="H74">
        <v>400006643</v>
      </c>
      <c r="I74">
        <v>15200</v>
      </c>
      <c r="J74">
        <v>0</v>
      </c>
      <c r="K74" t="s">
        <v>22</v>
      </c>
      <c r="L74" t="s">
        <v>23</v>
      </c>
      <c r="M74" t="s">
        <v>24</v>
      </c>
      <c r="N74" t="s">
        <v>25</v>
      </c>
      <c r="O74">
        <v>0</v>
      </c>
      <c r="Q74" t="str">
        <f t="shared" si="2"/>
        <v/>
      </c>
      <c r="R74" t="str">
        <f t="shared" si="3"/>
        <v/>
      </c>
    </row>
    <row r="75" spans="1:18" x14ac:dyDescent="0.35">
      <c r="A75">
        <v>52102</v>
      </c>
      <c r="B75" t="s">
        <v>67</v>
      </c>
      <c r="C75" s="217">
        <v>45875</v>
      </c>
      <c r="D75">
        <v>1867</v>
      </c>
      <c r="E75" t="s">
        <v>74</v>
      </c>
      <c r="F75" t="s">
        <v>28</v>
      </c>
      <c r="G75" t="s">
        <v>41</v>
      </c>
      <c r="H75">
        <v>7262</v>
      </c>
      <c r="I75">
        <v>8000</v>
      </c>
      <c r="J75">
        <v>0</v>
      </c>
      <c r="K75" t="s">
        <v>22</v>
      </c>
      <c r="L75" t="s">
        <v>23</v>
      </c>
      <c r="M75" t="s">
        <v>24</v>
      </c>
      <c r="N75" t="s">
        <v>25</v>
      </c>
      <c r="O75">
        <v>0</v>
      </c>
      <c r="Q75" t="str">
        <f t="shared" si="2"/>
        <v/>
      </c>
      <c r="R75" t="str">
        <f t="shared" si="3"/>
        <v/>
      </c>
    </row>
    <row r="76" spans="1:18" x14ac:dyDescent="0.35">
      <c r="A76">
        <v>52102</v>
      </c>
      <c r="B76" t="s">
        <v>67</v>
      </c>
      <c r="C76" s="217">
        <v>45885</v>
      </c>
      <c r="D76">
        <v>4347</v>
      </c>
      <c r="E76" t="s">
        <v>68</v>
      </c>
      <c r="F76" t="s">
        <v>69</v>
      </c>
      <c r="G76" t="s">
        <v>70</v>
      </c>
      <c r="H76">
        <v>1165100000133</v>
      </c>
      <c r="I76">
        <v>3359.49</v>
      </c>
      <c r="J76">
        <v>0</v>
      </c>
      <c r="K76" t="s">
        <v>22</v>
      </c>
      <c r="L76" t="s">
        <v>23</v>
      </c>
      <c r="M76" t="s">
        <v>24</v>
      </c>
      <c r="N76" t="s">
        <v>25</v>
      </c>
      <c r="O76">
        <v>0</v>
      </c>
      <c r="Q76" t="str">
        <f t="shared" si="2"/>
        <v/>
      </c>
      <c r="R76" t="str">
        <f t="shared" si="3"/>
        <v/>
      </c>
    </row>
    <row r="77" spans="1:18" x14ac:dyDescent="0.35">
      <c r="A77">
        <v>52102</v>
      </c>
      <c r="B77" t="s">
        <v>67</v>
      </c>
      <c r="C77" s="217">
        <v>45894</v>
      </c>
      <c r="D77">
        <v>4357</v>
      </c>
      <c r="E77" t="s">
        <v>71</v>
      </c>
      <c r="F77" t="s">
        <v>72</v>
      </c>
      <c r="G77" t="s">
        <v>73</v>
      </c>
      <c r="H77">
        <v>400006851</v>
      </c>
      <c r="I77">
        <v>25800</v>
      </c>
      <c r="J77">
        <v>0</v>
      </c>
      <c r="K77" t="s">
        <v>22</v>
      </c>
      <c r="L77" t="s">
        <v>23</v>
      </c>
      <c r="M77" t="s">
        <v>24</v>
      </c>
      <c r="N77" t="s">
        <v>25</v>
      </c>
      <c r="O77">
        <v>0</v>
      </c>
      <c r="Q77" t="str">
        <f t="shared" si="2"/>
        <v/>
      </c>
      <c r="R77" t="str">
        <f t="shared" si="3"/>
        <v/>
      </c>
    </row>
    <row r="78" spans="1:18" x14ac:dyDescent="0.35">
      <c r="A78">
        <v>52102</v>
      </c>
      <c r="B78" t="s">
        <v>67</v>
      </c>
      <c r="C78" s="217">
        <v>45898</v>
      </c>
      <c r="D78">
        <v>4560</v>
      </c>
      <c r="E78" t="s">
        <v>71</v>
      </c>
      <c r="F78" t="s">
        <v>72</v>
      </c>
      <c r="G78" t="s">
        <v>73</v>
      </c>
      <c r="H78">
        <v>400006892</v>
      </c>
      <c r="I78">
        <v>3400</v>
      </c>
      <c r="J78">
        <v>0</v>
      </c>
      <c r="K78" t="s">
        <v>22</v>
      </c>
      <c r="L78" t="s">
        <v>23</v>
      </c>
      <c r="M78" t="s">
        <v>24</v>
      </c>
      <c r="N78" t="s">
        <v>25</v>
      </c>
      <c r="O78">
        <v>0</v>
      </c>
      <c r="Q78" t="str">
        <f t="shared" si="2"/>
        <v/>
      </c>
      <c r="R78" t="str">
        <f t="shared" si="3"/>
        <v/>
      </c>
    </row>
    <row r="79" spans="1:18" x14ac:dyDescent="0.35">
      <c r="A79">
        <v>52102</v>
      </c>
      <c r="B79" t="s">
        <v>67</v>
      </c>
      <c r="C79" s="217">
        <v>45918</v>
      </c>
      <c r="D79">
        <v>4818</v>
      </c>
      <c r="E79" t="s">
        <v>71</v>
      </c>
      <c r="F79" t="s">
        <v>72</v>
      </c>
      <c r="G79" t="s">
        <v>73</v>
      </c>
      <c r="H79">
        <v>400007042</v>
      </c>
      <c r="I79">
        <v>12000</v>
      </c>
      <c r="J79">
        <v>0</v>
      </c>
      <c r="K79" t="s">
        <v>22</v>
      </c>
      <c r="L79" t="s">
        <v>23</v>
      </c>
      <c r="M79" t="s">
        <v>24</v>
      </c>
      <c r="N79" t="s">
        <v>25</v>
      </c>
      <c r="O79">
        <v>0</v>
      </c>
      <c r="Q79" t="str">
        <f t="shared" si="2"/>
        <v/>
      </c>
      <c r="R79" t="str">
        <f t="shared" si="3"/>
        <v/>
      </c>
    </row>
    <row r="80" spans="1:18" x14ac:dyDescent="0.35">
      <c r="A80">
        <v>52102</v>
      </c>
      <c r="B80" t="s">
        <v>67</v>
      </c>
      <c r="C80" s="217">
        <v>45920</v>
      </c>
      <c r="D80">
        <v>4828</v>
      </c>
      <c r="E80" t="s">
        <v>71</v>
      </c>
      <c r="F80" t="s">
        <v>72</v>
      </c>
      <c r="G80" t="s">
        <v>73</v>
      </c>
      <c r="H80">
        <v>400007053</v>
      </c>
      <c r="I80">
        <v>3200</v>
      </c>
      <c r="J80">
        <v>0</v>
      </c>
      <c r="K80" t="s">
        <v>22</v>
      </c>
      <c r="L80" t="s">
        <v>23</v>
      </c>
      <c r="M80" t="s">
        <v>24</v>
      </c>
      <c r="N80" t="s">
        <v>25</v>
      </c>
      <c r="O80">
        <v>0</v>
      </c>
      <c r="Q80" t="str">
        <f t="shared" si="2"/>
        <v/>
      </c>
      <c r="R80" t="str">
        <f t="shared" si="3"/>
        <v/>
      </c>
    </row>
    <row r="81" spans="1:18" x14ac:dyDescent="0.35">
      <c r="A81">
        <v>52102</v>
      </c>
      <c r="B81" t="s">
        <v>67</v>
      </c>
      <c r="C81" s="217">
        <v>45940</v>
      </c>
      <c r="D81">
        <v>2336</v>
      </c>
      <c r="E81" t="s">
        <v>74</v>
      </c>
      <c r="F81" t="s">
        <v>28</v>
      </c>
      <c r="G81" t="s">
        <v>41</v>
      </c>
      <c r="H81">
        <v>7706</v>
      </c>
      <c r="I81">
        <v>28900</v>
      </c>
      <c r="J81">
        <v>0</v>
      </c>
      <c r="K81" t="s">
        <v>22</v>
      </c>
      <c r="L81" t="s">
        <v>23</v>
      </c>
      <c r="M81" t="s">
        <v>24</v>
      </c>
      <c r="N81" t="s">
        <v>25</v>
      </c>
      <c r="O81">
        <v>0</v>
      </c>
      <c r="Q81" t="str">
        <f t="shared" si="2"/>
        <v/>
      </c>
      <c r="R81" t="str">
        <f t="shared" si="3"/>
        <v/>
      </c>
    </row>
    <row r="82" spans="1:18" x14ac:dyDescent="0.35">
      <c r="A82">
        <v>52102</v>
      </c>
      <c r="B82" t="s">
        <v>67</v>
      </c>
      <c r="C82" s="217">
        <v>45965</v>
      </c>
      <c r="D82">
        <v>195</v>
      </c>
      <c r="E82" t="s">
        <v>71</v>
      </c>
      <c r="F82" t="s">
        <v>72</v>
      </c>
      <c r="G82" t="s">
        <v>73</v>
      </c>
      <c r="H82">
        <v>400007304</v>
      </c>
      <c r="I82">
        <v>29600</v>
      </c>
      <c r="J82">
        <v>0</v>
      </c>
      <c r="K82" t="s">
        <v>22</v>
      </c>
      <c r="L82" t="s">
        <v>23</v>
      </c>
      <c r="M82" t="s">
        <v>24</v>
      </c>
      <c r="N82" t="s">
        <v>25</v>
      </c>
      <c r="O82">
        <v>0</v>
      </c>
      <c r="Q82" t="str">
        <f t="shared" si="2"/>
        <v/>
      </c>
      <c r="R82" t="str">
        <f t="shared" si="3"/>
        <v/>
      </c>
    </row>
    <row r="83" spans="1:18" x14ac:dyDescent="0.35">
      <c r="A83">
        <v>52102</v>
      </c>
      <c r="B83" t="s">
        <v>67</v>
      </c>
      <c r="C83" s="217">
        <v>45988</v>
      </c>
      <c r="D83">
        <v>240</v>
      </c>
      <c r="E83" t="s">
        <v>71</v>
      </c>
      <c r="F83" t="s">
        <v>72</v>
      </c>
      <c r="G83" t="s">
        <v>73</v>
      </c>
      <c r="H83">
        <v>400007441</v>
      </c>
      <c r="I83">
        <v>27600</v>
      </c>
      <c r="J83">
        <v>0</v>
      </c>
      <c r="K83" t="s">
        <v>22</v>
      </c>
      <c r="L83" t="s">
        <v>23</v>
      </c>
      <c r="M83" t="s">
        <v>24</v>
      </c>
      <c r="N83" t="s">
        <v>25</v>
      </c>
      <c r="O83">
        <v>0</v>
      </c>
      <c r="Q83" t="str">
        <f t="shared" si="2"/>
        <v/>
      </c>
      <c r="R83" t="str">
        <f t="shared" si="3"/>
        <v/>
      </c>
    </row>
    <row r="84" spans="1:18" x14ac:dyDescent="0.35">
      <c r="A84">
        <v>52102</v>
      </c>
      <c r="B84" t="s">
        <v>67</v>
      </c>
      <c r="C84" s="217">
        <v>46021</v>
      </c>
      <c r="D84">
        <v>903</v>
      </c>
      <c r="E84" t="s">
        <v>71</v>
      </c>
      <c r="F84" t="s">
        <v>72</v>
      </c>
      <c r="G84" t="s">
        <v>73</v>
      </c>
      <c r="H84">
        <v>400007646</v>
      </c>
      <c r="I84">
        <v>32200</v>
      </c>
      <c r="J84">
        <v>0</v>
      </c>
      <c r="K84" t="s">
        <v>22</v>
      </c>
      <c r="L84" t="s">
        <v>23</v>
      </c>
      <c r="M84" t="s">
        <v>24</v>
      </c>
      <c r="N84" t="s">
        <v>25</v>
      </c>
      <c r="O84">
        <v>0</v>
      </c>
      <c r="Q84" t="str">
        <f t="shared" si="2"/>
        <v/>
      </c>
      <c r="R84" t="str">
        <f t="shared" si="3"/>
        <v/>
      </c>
    </row>
    <row r="85" spans="1:18" x14ac:dyDescent="0.35">
      <c r="A85">
        <v>52102</v>
      </c>
      <c r="B85" t="s">
        <v>67</v>
      </c>
      <c r="C85" s="217">
        <v>46045</v>
      </c>
      <c r="D85">
        <v>1184</v>
      </c>
      <c r="E85" t="s">
        <v>71</v>
      </c>
      <c r="F85" t="s">
        <v>72</v>
      </c>
      <c r="G85" t="s">
        <v>73</v>
      </c>
      <c r="H85">
        <v>400007790</v>
      </c>
      <c r="I85">
        <v>27000</v>
      </c>
      <c r="J85">
        <v>0</v>
      </c>
      <c r="K85" t="s">
        <v>22</v>
      </c>
      <c r="L85" t="s">
        <v>23</v>
      </c>
      <c r="M85" t="s">
        <v>24</v>
      </c>
      <c r="N85" t="s">
        <v>25</v>
      </c>
      <c r="O85">
        <v>0</v>
      </c>
      <c r="Q85" t="str">
        <f t="shared" si="2"/>
        <v/>
      </c>
      <c r="R85" t="str">
        <f t="shared" si="3"/>
        <v/>
      </c>
    </row>
    <row r="86" spans="1:18" x14ac:dyDescent="0.35">
      <c r="A86">
        <v>52102</v>
      </c>
      <c r="B86" t="s">
        <v>67</v>
      </c>
      <c r="C86" s="217">
        <v>46073</v>
      </c>
      <c r="D86">
        <v>633</v>
      </c>
      <c r="E86" t="s">
        <v>74</v>
      </c>
      <c r="F86" t="s">
        <v>28</v>
      </c>
      <c r="G86" t="s">
        <v>41</v>
      </c>
      <c r="H86">
        <v>8651</v>
      </c>
      <c r="I86">
        <v>14800</v>
      </c>
      <c r="J86">
        <v>0</v>
      </c>
      <c r="K86" t="s">
        <v>22</v>
      </c>
      <c r="L86" t="s">
        <v>23</v>
      </c>
      <c r="M86" t="s">
        <v>24</v>
      </c>
      <c r="N86" t="s">
        <v>25</v>
      </c>
      <c r="O86">
        <v>0</v>
      </c>
      <c r="Q86" t="str">
        <f t="shared" si="2"/>
        <v/>
      </c>
      <c r="R86" t="str">
        <f t="shared" si="3"/>
        <v/>
      </c>
    </row>
    <row r="87" spans="1:18" x14ac:dyDescent="0.35">
      <c r="A87">
        <v>52102</v>
      </c>
      <c r="B87" t="s">
        <v>67</v>
      </c>
      <c r="C87" s="217">
        <v>46079</v>
      </c>
      <c r="D87">
        <v>634</v>
      </c>
      <c r="E87" t="s">
        <v>74</v>
      </c>
      <c r="F87" t="s">
        <v>28</v>
      </c>
      <c r="G87" t="s">
        <v>41</v>
      </c>
      <c r="H87">
        <v>8652</v>
      </c>
      <c r="I87">
        <v>15600</v>
      </c>
      <c r="J87">
        <v>0</v>
      </c>
      <c r="K87" t="s">
        <v>22</v>
      </c>
      <c r="L87" t="s">
        <v>23</v>
      </c>
      <c r="M87" t="s">
        <v>24</v>
      </c>
      <c r="N87" t="s">
        <v>25</v>
      </c>
      <c r="O87">
        <v>0</v>
      </c>
      <c r="Q87" t="str">
        <f t="shared" si="2"/>
        <v/>
      </c>
      <c r="R87" t="str">
        <f t="shared" si="3"/>
        <v/>
      </c>
    </row>
    <row r="88" spans="1:18" x14ac:dyDescent="0.35">
      <c r="A88">
        <v>52102</v>
      </c>
      <c r="B88" t="s">
        <v>67</v>
      </c>
      <c r="C88" s="217">
        <v>46092</v>
      </c>
      <c r="D88">
        <v>1670</v>
      </c>
      <c r="E88" t="s">
        <v>71</v>
      </c>
      <c r="F88" t="s">
        <v>72</v>
      </c>
      <c r="G88" t="s">
        <v>73</v>
      </c>
      <c r="H88">
        <v>400008126</v>
      </c>
      <c r="I88">
        <v>21600</v>
      </c>
      <c r="J88">
        <v>0</v>
      </c>
      <c r="K88" t="s">
        <v>22</v>
      </c>
      <c r="L88" t="s">
        <v>23</v>
      </c>
      <c r="M88" t="s">
        <v>24</v>
      </c>
      <c r="N88" t="s">
        <v>25</v>
      </c>
      <c r="O88">
        <v>0</v>
      </c>
      <c r="Q88" t="str">
        <f t="shared" si="2"/>
        <v/>
      </c>
      <c r="R88" t="str">
        <f t="shared" si="3"/>
        <v/>
      </c>
    </row>
    <row r="89" spans="1:18" x14ac:dyDescent="0.35">
      <c r="A89">
        <v>52102</v>
      </c>
      <c r="B89" t="s">
        <v>67</v>
      </c>
      <c r="C89" s="217">
        <v>46106</v>
      </c>
      <c r="D89">
        <v>2344</v>
      </c>
      <c r="E89" t="s">
        <v>71</v>
      </c>
      <c r="F89" t="s">
        <v>72</v>
      </c>
      <c r="G89" t="s">
        <v>73</v>
      </c>
      <c r="H89">
        <v>400008199</v>
      </c>
      <c r="I89">
        <v>34600</v>
      </c>
      <c r="J89">
        <v>0</v>
      </c>
      <c r="K89" t="s">
        <v>22</v>
      </c>
      <c r="L89" t="s">
        <v>23</v>
      </c>
      <c r="M89" t="s">
        <v>24</v>
      </c>
      <c r="N89" t="s">
        <v>25</v>
      </c>
      <c r="O89">
        <v>0</v>
      </c>
      <c r="Q89" t="str">
        <f t="shared" si="2"/>
        <v/>
      </c>
      <c r="R89" t="str">
        <f t="shared" si="3"/>
        <v/>
      </c>
    </row>
    <row r="90" spans="1:18" x14ac:dyDescent="0.35">
      <c r="A90">
        <v>52102</v>
      </c>
      <c r="B90" t="s">
        <v>67</v>
      </c>
      <c r="C90" s="217">
        <v>46125</v>
      </c>
      <c r="D90">
        <v>2362</v>
      </c>
      <c r="E90" t="s">
        <v>71</v>
      </c>
      <c r="F90" t="s">
        <v>72</v>
      </c>
      <c r="G90" t="s">
        <v>73</v>
      </c>
      <c r="H90">
        <v>400008327</v>
      </c>
      <c r="I90">
        <v>19200</v>
      </c>
      <c r="J90">
        <v>0</v>
      </c>
      <c r="K90" t="s">
        <v>22</v>
      </c>
      <c r="L90" t="s">
        <v>23</v>
      </c>
      <c r="M90" t="s">
        <v>24</v>
      </c>
      <c r="N90" t="s">
        <v>25</v>
      </c>
      <c r="O90">
        <v>0</v>
      </c>
      <c r="Q90" t="str">
        <f t="shared" si="2"/>
        <v/>
      </c>
      <c r="R90" t="str">
        <f t="shared" si="3"/>
        <v/>
      </c>
    </row>
    <row r="91" spans="1:18" x14ac:dyDescent="0.35">
      <c r="A91">
        <v>52103</v>
      </c>
      <c r="B91" t="s">
        <v>75</v>
      </c>
      <c r="C91" s="217">
        <v>45707</v>
      </c>
      <c r="D91">
        <v>1156</v>
      </c>
      <c r="E91" t="s">
        <v>76</v>
      </c>
      <c r="F91" t="s">
        <v>28</v>
      </c>
      <c r="G91" t="s">
        <v>41</v>
      </c>
      <c r="H91">
        <v>6570</v>
      </c>
      <c r="I91">
        <v>2495</v>
      </c>
      <c r="J91">
        <v>0</v>
      </c>
      <c r="K91" t="s">
        <v>22</v>
      </c>
      <c r="L91" t="s">
        <v>23</v>
      </c>
      <c r="M91" t="s">
        <v>24</v>
      </c>
      <c r="N91" t="s">
        <v>25</v>
      </c>
      <c r="O91">
        <v>0</v>
      </c>
      <c r="Q91" t="str">
        <f t="shared" si="2"/>
        <v/>
      </c>
      <c r="R91" t="str">
        <f t="shared" si="3"/>
        <v/>
      </c>
    </row>
    <row r="92" spans="1:18" x14ac:dyDescent="0.35">
      <c r="A92">
        <v>52103</v>
      </c>
      <c r="B92" t="s">
        <v>75</v>
      </c>
      <c r="C92" s="217">
        <v>45707</v>
      </c>
      <c r="D92">
        <v>1465</v>
      </c>
      <c r="E92" t="s">
        <v>77</v>
      </c>
      <c r="F92" t="s">
        <v>69</v>
      </c>
      <c r="G92" t="s">
        <v>50</v>
      </c>
      <c r="H92">
        <v>1165500001127</v>
      </c>
      <c r="I92">
        <v>2061.98</v>
      </c>
      <c r="J92">
        <v>0</v>
      </c>
      <c r="K92" t="s">
        <v>22</v>
      </c>
      <c r="L92" t="s">
        <v>23</v>
      </c>
      <c r="M92" t="s">
        <v>24</v>
      </c>
      <c r="N92" t="s">
        <v>25</v>
      </c>
      <c r="O92">
        <v>0</v>
      </c>
      <c r="Q92" t="str">
        <f t="shared" si="2"/>
        <v/>
      </c>
      <c r="R92" t="str">
        <f t="shared" si="3"/>
        <v/>
      </c>
    </row>
    <row r="93" spans="1:18" x14ac:dyDescent="0.35">
      <c r="A93">
        <v>52103</v>
      </c>
      <c r="B93" t="s">
        <v>75</v>
      </c>
      <c r="C93" s="217">
        <v>45708</v>
      </c>
      <c r="D93">
        <v>1159</v>
      </c>
      <c r="E93" t="s">
        <v>76</v>
      </c>
      <c r="F93" t="s">
        <v>28</v>
      </c>
      <c r="G93" t="s">
        <v>41</v>
      </c>
      <c r="H93">
        <v>6573</v>
      </c>
      <c r="I93">
        <v>2495</v>
      </c>
      <c r="J93">
        <v>0</v>
      </c>
      <c r="K93" t="s">
        <v>22</v>
      </c>
      <c r="L93" t="s">
        <v>23</v>
      </c>
      <c r="M93" t="s">
        <v>24</v>
      </c>
      <c r="N93" t="s">
        <v>25</v>
      </c>
      <c r="O93">
        <v>0</v>
      </c>
      <c r="Q93" t="str">
        <f t="shared" si="2"/>
        <v/>
      </c>
      <c r="R93" t="str">
        <f t="shared" si="3"/>
        <v/>
      </c>
    </row>
    <row r="94" spans="1:18" x14ac:dyDescent="0.35">
      <c r="A94">
        <v>52103</v>
      </c>
      <c r="B94" t="s">
        <v>75</v>
      </c>
      <c r="C94" s="217">
        <v>45708</v>
      </c>
      <c r="D94">
        <v>1466</v>
      </c>
      <c r="E94" t="s">
        <v>77</v>
      </c>
      <c r="F94" t="s">
        <v>69</v>
      </c>
      <c r="G94" t="s">
        <v>50</v>
      </c>
      <c r="H94">
        <v>1165500001129</v>
      </c>
      <c r="I94">
        <v>2061.98</v>
      </c>
      <c r="J94">
        <v>0</v>
      </c>
      <c r="K94" t="s">
        <v>22</v>
      </c>
      <c r="L94" t="s">
        <v>23</v>
      </c>
      <c r="M94" t="s">
        <v>24</v>
      </c>
      <c r="N94" t="s">
        <v>25</v>
      </c>
      <c r="O94">
        <v>0</v>
      </c>
      <c r="Q94" t="str">
        <f t="shared" si="2"/>
        <v/>
      </c>
      <c r="R94" t="str">
        <f t="shared" si="3"/>
        <v/>
      </c>
    </row>
    <row r="95" spans="1:18" x14ac:dyDescent="0.35">
      <c r="A95">
        <v>52103</v>
      </c>
      <c r="B95" t="s">
        <v>75</v>
      </c>
      <c r="C95" s="217">
        <v>45713</v>
      </c>
      <c r="D95">
        <v>1165</v>
      </c>
      <c r="E95" t="s">
        <v>76</v>
      </c>
      <c r="F95" t="s">
        <v>28</v>
      </c>
      <c r="G95" t="s">
        <v>41</v>
      </c>
      <c r="H95">
        <v>6579</v>
      </c>
      <c r="I95">
        <v>3050</v>
      </c>
      <c r="J95">
        <v>0</v>
      </c>
      <c r="K95" t="s">
        <v>22</v>
      </c>
      <c r="L95" t="s">
        <v>23</v>
      </c>
      <c r="M95" t="s">
        <v>24</v>
      </c>
      <c r="N95" t="s">
        <v>25</v>
      </c>
      <c r="O95">
        <v>0</v>
      </c>
      <c r="Q95" t="str">
        <f t="shared" si="2"/>
        <v/>
      </c>
      <c r="R95" t="str">
        <f t="shared" si="3"/>
        <v/>
      </c>
    </row>
    <row r="96" spans="1:18" x14ac:dyDescent="0.35">
      <c r="A96">
        <v>52103</v>
      </c>
      <c r="B96" t="s">
        <v>75</v>
      </c>
      <c r="C96" s="217">
        <v>45713</v>
      </c>
      <c r="D96">
        <v>1471</v>
      </c>
      <c r="E96" t="s">
        <v>77</v>
      </c>
      <c r="F96" t="s">
        <v>69</v>
      </c>
      <c r="G96" t="s">
        <v>50</v>
      </c>
      <c r="H96">
        <v>1165100000041</v>
      </c>
      <c r="I96">
        <v>2520.66</v>
      </c>
      <c r="J96">
        <v>0</v>
      </c>
      <c r="K96" t="s">
        <v>22</v>
      </c>
      <c r="L96" t="s">
        <v>23</v>
      </c>
      <c r="M96" t="s">
        <v>24</v>
      </c>
      <c r="N96" t="s">
        <v>25</v>
      </c>
      <c r="O96">
        <v>0</v>
      </c>
      <c r="Q96" t="str">
        <f t="shared" si="2"/>
        <v/>
      </c>
      <c r="R96" t="str">
        <f t="shared" si="3"/>
        <v/>
      </c>
    </row>
    <row r="97" spans="1:18" x14ac:dyDescent="0.35">
      <c r="A97">
        <v>52103</v>
      </c>
      <c r="B97" t="s">
        <v>75</v>
      </c>
      <c r="C97" s="217">
        <v>45733</v>
      </c>
      <c r="D97">
        <v>1174</v>
      </c>
      <c r="E97" t="s">
        <v>76</v>
      </c>
      <c r="F97" t="s">
        <v>28</v>
      </c>
      <c r="G97" t="s">
        <v>41</v>
      </c>
      <c r="H97">
        <v>6588</v>
      </c>
      <c r="I97">
        <v>5036.25</v>
      </c>
      <c r="J97">
        <v>0</v>
      </c>
      <c r="K97" t="s">
        <v>22</v>
      </c>
      <c r="L97" t="s">
        <v>23</v>
      </c>
      <c r="M97" t="s">
        <v>24</v>
      </c>
      <c r="N97" t="s">
        <v>25</v>
      </c>
      <c r="O97">
        <v>0</v>
      </c>
      <c r="Q97" t="str">
        <f t="shared" si="2"/>
        <v/>
      </c>
      <c r="R97" t="str">
        <f t="shared" si="3"/>
        <v/>
      </c>
    </row>
    <row r="98" spans="1:18" x14ac:dyDescent="0.35">
      <c r="A98">
        <v>52103</v>
      </c>
      <c r="B98" t="s">
        <v>75</v>
      </c>
      <c r="C98" s="217">
        <v>45750</v>
      </c>
      <c r="D98">
        <v>2213</v>
      </c>
      <c r="E98" t="s">
        <v>78</v>
      </c>
      <c r="F98" t="s">
        <v>79</v>
      </c>
      <c r="G98" t="s">
        <v>50</v>
      </c>
      <c r="H98">
        <v>1178700000206</v>
      </c>
      <c r="I98">
        <v>2471.0700000000002</v>
      </c>
      <c r="J98">
        <v>0</v>
      </c>
      <c r="K98" t="s">
        <v>22</v>
      </c>
      <c r="L98" t="s">
        <v>23</v>
      </c>
      <c r="M98" t="s">
        <v>24</v>
      </c>
      <c r="N98" t="s">
        <v>25</v>
      </c>
      <c r="O98">
        <v>0</v>
      </c>
      <c r="Q98" t="str">
        <f t="shared" si="2"/>
        <v/>
      </c>
      <c r="R98" t="str">
        <f t="shared" si="3"/>
        <v/>
      </c>
    </row>
    <row r="99" spans="1:18" x14ac:dyDescent="0.35">
      <c r="A99">
        <v>52103</v>
      </c>
      <c r="B99" t="s">
        <v>75</v>
      </c>
      <c r="C99" s="217">
        <v>45751</v>
      </c>
      <c r="D99">
        <v>2215</v>
      </c>
      <c r="E99" t="s">
        <v>80</v>
      </c>
      <c r="F99" t="s">
        <v>81</v>
      </c>
      <c r="G99" t="s">
        <v>50</v>
      </c>
      <c r="H99">
        <v>418100126642</v>
      </c>
      <c r="I99">
        <v>9617.1200000000008</v>
      </c>
      <c r="J99">
        <v>0</v>
      </c>
      <c r="K99" t="s">
        <v>22</v>
      </c>
      <c r="L99" t="s">
        <v>23</v>
      </c>
      <c r="M99" t="s">
        <v>24</v>
      </c>
      <c r="N99" t="s">
        <v>25</v>
      </c>
      <c r="O99">
        <v>0</v>
      </c>
      <c r="Q99" t="str">
        <f t="shared" si="2"/>
        <v/>
      </c>
      <c r="R99" t="str">
        <f t="shared" si="3"/>
        <v/>
      </c>
    </row>
    <row r="100" spans="1:18" x14ac:dyDescent="0.35">
      <c r="A100">
        <v>52103</v>
      </c>
      <c r="B100" t="s">
        <v>75</v>
      </c>
      <c r="C100" s="217">
        <v>45751</v>
      </c>
      <c r="D100">
        <v>2215</v>
      </c>
      <c r="E100" t="s">
        <v>80</v>
      </c>
      <c r="F100" t="s">
        <v>81</v>
      </c>
      <c r="G100" t="s">
        <v>50</v>
      </c>
      <c r="H100">
        <v>418100126642</v>
      </c>
      <c r="I100">
        <v>60947.5</v>
      </c>
      <c r="J100">
        <v>0</v>
      </c>
      <c r="K100" t="s">
        <v>22</v>
      </c>
      <c r="L100" t="s">
        <v>23</v>
      </c>
      <c r="M100" t="s">
        <v>24</v>
      </c>
      <c r="N100" t="s">
        <v>25</v>
      </c>
      <c r="O100">
        <v>0</v>
      </c>
      <c r="Q100" t="str">
        <f t="shared" si="2"/>
        <v/>
      </c>
      <c r="R100" t="str">
        <f t="shared" si="3"/>
        <v/>
      </c>
    </row>
    <row r="101" spans="1:18" x14ac:dyDescent="0.35">
      <c r="A101">
        <v>52103</v>
      </c>
      <c r="B101" t="s">
        <v>75</v>
      </c>
      <c r="C101" s="217">
        <v>45772</v>
      </c>
      <c r="D101">
        <v>2399</v>
      </c>
      <c r="E101" t="s">
        <v>80</v>
      </c>
      <c r="F101" t="s">
        <v>81</v>
      </c>
      <c r="G101" t="s">
        <v>50</v>
      </c>
      <c r="H101">
        <v>418100128029</v>
      </c>
      <c r="I101">
        <v>7514.82</v>
      </c>
      <c r="J101">
        <v>0</v>
      </c>
      <c r="K101" t="s">
        <v>22</v>
      </c>
      <c r="L101" t="s">
        <v>23</v>
      </c>
      <c r="M101" t="s">
        <v>24</v>
      </c>
      <c r="N101" t="s">
        <v>25</v>
      </c>
      <c r="O101">
        <v>0</v>
      </c>
      <c r="Q101" t="str">
        <f t="shared" si="2"/>
        <v/>
      </c>
      <c r="R101" t="str">
        <f t="shared" si="3"/>
        <v/>
      </c>
    </row>
    <row r="102" spans="1:18" x14ac:dyDescent="0.35">
      <c r="A102">
        <v>52103</v>
      </c>
      <c r="B102" t="s">
        <v>75</v>
      </c>
      <c r="C102" s="217">
        <v>45772</v>
      </c>
      <c r="D102">
        <v>2399</v>
      </c>
      <c r="E102" t="s">
        <v>80</v>
      </c>
      <c r="F102" t="s">
        <v>81</v>
      </c>
      <c r="G102" t="s">
        <v>50</v>
      </c>
      <c r="H102">
        <v>418100128029</v>
      </c>
      <c r="I102">
        <v>49173.67</v>
      </c>
      <c r="J102">
        <v>0</v>
      </c>
      <c r="K102" t="s">
        <v>22</v>
      </c>
      <c r="L102" t="s">
        <v>23</v>
      </c>
      <c r="M102" t="s">
        <v>24</v>
      </c>
      <c r="N102" t="s">
        <v>25</v>
      </c>
      <c r="O102">
        <v>0</v>
      </c>
      <c r="Q102" t="str">
        <f t="shared" si="2"/>
        <v/>
      </c>
      <c r="R102" t="str">
        <f t="shared" si="3"/>
        <v/>
      </c>
    </row>
    <row r="103" spans="1:18" x14ac:dyDescent="0.35">
      <c r="A103">
        <v>52103</v>
      </c>
      <c r="B103" t="s">
        <v>75</v>
      </c>
      <c r="C103" s="217">
        <v>45779</v>
      </c>
      <c r="D103">
        <v>2832</v>
      </c>
      <c r="E103" t="s">
        <v>80</v>
      </c>
      <c r="F103" t="s">
        <v>81</v>
      </c>
      <c r="G103" t="s">
        <v>50</v>
      </c>
      <c r="H103">
        <v>1165500001249</v>
      </c>
      <c r="I103">
        <v>7095.04</v>
      </c>
      <c r="J103">
        <v>0</v>
      </c>
      <c r="K103" t="s">
        <v>22</v>
      </c>
      <c r="L103" t="s">
        <v>23</v>
      </c>
      <c r="M103" t="s">
        <v>24</v>
      </c>
      <c r="N103" t="s">
        <v>25</v>
      </c>
      <c r="O103">
        <v>0</v>
      </c>
      <c r="Q103" t="str">
        <f t="shared" si="2"/>
        <v/>
      </c>
      <c r="R103" t="str">
        <f t="shared" si="3"/>
        <v/>
      </c>
    </row>
    <row r="104" spans="1:18" x14ac:dyDescent="0.35">
      <c r="A104">
        <v>52103</v>
      </c>
      <c r="B104" t="s">
        <v>75</v>
      </c>
      <c r="C104" s="217">
        <v>45779</v>
      </c>
      <c r="D104">
        <v>2833</v>
      </c>
      <c r="E104" t="s">
        <v>77</v>
      </c>
      <c r="F104" t="s">
        <v>69</v>
      </c>
      <c r="G104" t="s">
        <v>70</v>
      </c>
      <c r="H104">
        <v>1165500001249</v>
      </c>
      <c r="I104">
        <v>7095.04</v>
      </c>
      <c r="J104">
        <v>0</v>
      </c>
      <c r="K104" t="s">
        <v>22</v>
      </c>
      <c r="L104" t="s">
        <v>23</v>
      </c>
      <c r="M104" t="s">
        <v>24</v>
      </c>
      <c r="N104" t="s">
        <v>25</v>
      </c>
      <c r="O104">
        <v>0</v>
      </c>
      <c r="Q104" t="str">
        <f t="shared" si="2"/>
        <v/>
      </c>
      <c r="R104" t="str">
        <f t="shared" si="3"/>
        <v/>
      </c>
    </row>
    <row r="105" spans="1:18" x14ac:dyDescent="0.35">
      <c r="A105">
        <v>52103</v>
      </c>
      <c r="B105" t="s">
        <v>75</v>
      </c>
      <c r="C105" s="217">
        <v>45782</v>
      </c>
      <c r="D105">
        <v>2835</v>
      </c>
      <c r="E105" t="s">
        <v>77</v>
      </c>
      <c r="F105" t="s">
        <v>69</v>
      </c>
      <c r="G105" t="s">
        <v>70</v>
      </c>
      <c r="H105">
        <v>1165600000044</v>
      </c>
      <c r="I105">
        <v>2074.38</v>
      </c>
      <c r="J105">
        <v>0</v>
      </c>
      <c r="K105" t="s">
        <v>22</v>
      </c>
      <c r="L105" t="s">
        <v>23</v>
      </c>
      <c r="M105" t="s">
        <v>24</v>
      </c>
      <c r="N105" t="s">
        <v>25</v>
      </c>
      <c r="O105">
        <v>0</v>
      </c>
      <c r="Q105" t="str">
        <f t="shared" si="2"/>
        <v/>
      </c>
      <c r="R105" t="str">
        <f t="shared" si="3"/>
        <v/>
      </c>
    </row>
    <row r="106" spans="1:18" x14ac:dyDescent="0.35">
      <c r="A106">
        <v>52103</v>
      </c>
      <c r="B106" t="s">
        <v>75</v>
      </c>
      <c r="C106" s="217">
        <v>45786</v>
      </c>
      <c r="D106">
        <v>2838</v>
      </c>
      <c r="E106" t="s">
        <v>80</v>
      </c>
      <c r="F106" t="s">
        <v>81</v>
      </c>
      <c r="G106" t="s">
        <v>50</v>
      </c>
      <c r="H106">
        <v>418100128972</v>
      </c>
      <c r="I106">
        <v>11049.53</v>
      </c>
      <c r="J106">
        <v>0</v>
      </c>
      <c r="K106" t="s">
        <v>22</v>
      </c>
      <c r="L106" t="s">
        <v>23</v>
      </c>
      <c r="M106" t="s">
        <v>24</v>
      </c>
      <c r="N106" t="s">
        <v>25</v>
      </c>
      <c r="O106">
        <v>0</v>
      </c>
      <c r="Q106" t="str">
        <f t="shared" si="2"/>
        <v/>
      </c>
      <c r="R106" t="str">
        <f t="shared" si="3"/>
        <v/>
      </c>
    </row>
    <row r="107" spans="1:18" x14ac:dyDescent="0.35">
      <c r="A107">
        <v>52103</v>
      </c>
      <c r="B107" t="s">
        <v>75</v>
      </c>
      <c r="C107" s="217">
        <v>45786</v>
      </c>
      <c r="D107">
        <v>2838</v>
      </c>
      <c r="E107" t="s">
        <v>80</v>
      </c>
      <c r="F107" t="s">
        <v>81</v>
      </c>
      <c r="G107" t="s">
        <v>50</v>
      </c>
      <c r="H107">
        <v>418100128972</v>
      </c>
      <c r="I107">
        <v>49941.34</v>
      </c>
      <c r="J107">
        <v>0</v>
      </c>
      <c r="K107" t="s">
        <v>22</v>
      </c>
      <c r="L107" t="s">
        <v>23</v>
      </c>
      <c r="M107" t="s">
        <v>24</v>
      </c>
      <c r="N107" t="s">
        <v>25</v>
      </c>
      <c r="O107">
        <v>0</v>
      </c>
      <c r="Q107" t="str">
        <f t="shared" si="2"/>
        <v/>
      </c>
      <c r="R107" t="str">
        <f t="shared" si="3"/>
        <v/>
      </c>
    </row>
    <row r="108" spans="1:18" x14ac:dyDescent="0.35">
      <c r="A108">
        <v>52103</v>
      </c>
      <c r="B108" t="s">
        <v>75</v>
      </c>
      <c r="C108" s="217">
        <v>45797</v>
      </c>
      <c r="D108">
        <v>2840</v>
      </c>
      <c r="E108" t="s">
        <v>77</v>
      </c>
      <c r="F108" t="s">
        <v>69</v>
      </c>
      <c r="G108" t="s">
        <v>70</v>
      </c>
      <c r="H108">
        <v>1165500001276</v>
      </c>
      <c r="I108">
        <v>5409.09</v>
      </c>
      <c r="J108">
        <v>0</v>
      </c>
      <c r="K108" t="s">
        <v>22</v>
      </c>
      <c r="L108" t="s">
        <v>23</v>
      </c>
      <c r="M108" t="s">
        <v>24</v>
      </c>
      <c r="N108" t="s">
        <v>25</v>
      </c>
      <c r="O108">
        <v>0</v>
      </c>
      <c r="Q108" t="str">
        <f t="shared" si="2"/>
        <v/>
      </c>
      <c r="R108" t="str">
        <f t="shared" si="3"/>
        <v/>
      </c>
    </row>
    <row r="109" spans="1:18" x14ac:dyDescent="0.35">
      <c r="A109">
        <v>52103</v>
      </c>
      <c r="B109" t="s">
        <v>75</v>
      </c>
      <c r="C109" s="217">
        <v>45807</v>
      </c>
      <c r="D109">
        <v>3168</v>
      </c>
      <c r="E109" t="s">
        <v>82</v>
      </c>
      <c r="F109" t="s">
        <v>83</v>
      </c>
      <c r="G109" t="s">
        <v>50</v>
      </c>
      <c r="H109">
        <v>800000283</v>
      </c>
      <c r="I109">
        <v>3305.79</v>
      </c>
      <c r="J109">
        <v>0</v>
      </c>
      <c r="K109" t="s">
        <v>22</v>
      </c>
      <c r="L109" t="s">
        <v>23</v>
      </c>
      <c r="M109" t="s">
        <v>24</v>
      </c>
      <c r="N109" t="s">
        <v>25</v>
      </c>
      <c r="O109">
        <v>0</v>
      </c>
      <c r="Q109" t="str">
        <f t="shared" si="2"/>
        <v/>
      </c>
      <c r="R109" t="str">
        <f t="shared" si="3"/>
        <v/>
      </c>
    </row>
    <row r="110" spans="1:18" x14ac:dyDescent="0.35">
      <c r="A110">
        <v>52103</v>
      </c>
      <c r="B110" t="s">
        <v>75</v>
      </c>
      <c r="C110" s="217">
        <v>45807</v>
      </c>
      <c r="D110">
        <v>3169</v>
      </c>
      <c r="E110" t="s">
        <v>80</v>
      </c>
      <c r="F110" t="s">
        <v>81</v>
      </c>
      <c r="G110" t="s">
        <v>50</v>
      </c>
      <c r="H110">
        <v>418100130429</v>
      </c>
      <c r="I110">
        <v>5591.26</v>
      </c>
      <c r="J110">
        <v>0</v>
      </c>
      <c r="K110" t="s">
        <v>22</v>
      </c>
      <c r="L110" t="s">
        <v>23</v>
      </c>
      <c r="M110" t="s">
        <v>24</v>
      </c>
      <c r="N110" t="s">
        <v>25</v>
      </c>
      <c r="O110">
        <v>0</v>
      </c>
      <c r="Q110" t="str">
        <f t="shared" si="2"/>
        <v/>
      </c>
      <c r="R110" t="str">
        <f t="shared" si="3"/>
        <v/>
      </c>
    </row>
    <row r="111" spans="1:18" x14ac:dyDescent="0.35">
      <c r="A111">
        <v>52103</v>
      </c>
      <c r="B111" t="s">
        <v>75</v>
      </c>
      <c r="C111" s="217">
        <v>45807</v>
      </c>
      <c r="D111">
        <v>3169</v>
      </c>
      <c r="E111" t="s">
        <v>80</v>
      </c>
      <c r="F111" t="s">
        <v>81</v>
      </c>
      <c r="G111" t="s">
        <v>50</v>
      </c>
      <c r="H111">
        <v>418100130429</v>
      </c>
      <c r="I111">
        <v>50130.6</v>
      </c>
      <c r="J111">
        <v>0</v>
      </c>
      <c r="K111" t="s">
        <v>22</v>
      </c>
      <c r="L111" t="s">
        <v>23</v>
      </c>
      <c r="M111" t="s">
        <v>24</v>
      </c>
      <c r="N111" t="s">
        <v>25</v>
      </c>
      <c r="O111">
        <v>0</v>
      </c>
      <c r="Q111" t="str">
        <f t="shared" si="2"/>
        <v/>
      </c>
      <c r="R111" t="str">
        <f t="shared" si="3"/>
        <v/>
      </c>
    </row>
    <row r="112" spans="1:18" x14ac:dyDescent="0.35">
      <c r="A112">
        <v>52103</v>
      </c>
      <c r="B112" t="s">
        <v>75</v>
      </c>
      <c r="C112" s="217">
        <v>45821</v>
      </c>
      <c r="D112">
        <v>3392</v>
      </c>
      <c r="E112" t="s">
        <v>80</v>
      </c>
      <c r="F112" t="s">
        <v>81</v>
      </c>
      <c r="G112" t="s">
        <v>50</v>
      </c>
      <c r="H112">
        <v>418100131462</v>
      </c>
      <c r="I112">
        <v>7360.5</v>
      </c>
      <c r="J112">
        <v>0</v>
      </c>
      <c r="K112" t="s">
        <v>22</v>
      </c>
      <c r="L112" t="s">
        <v>23</v>
      </c>
      <c r="M112" t="s">
        <v>24</v>
      </c>
      <c r="N112" t="s">
        <v>25</v>
      </c>
      <c r="O112">
        <v>0</v>
      </c>
      <c r="Q112" t="str">
        <f t="shared" si="2"/>
        <v/>
      </c>
      <c r="R112" t="str">
        <f t="shared" si="3"/>
        <v/>
      </c>
    </row>
    <row r="113" spans="1:18" x14ac:dyDescent="0.35">
      <c r="A113">
        <v>52103</v>
      </c>
      <c r="B113" t="s">
        <v>75</v>
      </c>
      <c r="C113" s="217">
        <v>45821</v>
      </c>
      <c r="D113">
        <v>3392</v>
      </c>
      <c r="E113" t="s">
        <v>80</v>
      </c>
      <c r="F113" t="s">
        <v>81</v>
      </c>
      <c r="G113" t="s">
        <v>50</v>
      </c>
      <c r="H113">
        <v>418100131462</v>
      </c>
      <c r="I113">
        <v>40003.67</v>
      </c>
      <c r="J113">
        <v>0</v>
      </c>
      <c r="K113" t="s">
        <v>22</v>
      </c>
      <c r="L113" t="s">
        <v>23</v>
      </c>
      <c r="M113" t="s">
        <v>24</v>
      </c>
      <c r="N113" t="s">
        <v>25</v>
      </c>
      <c r="O113">
        <v>0</v>
      </c>
      <c r="Q113" t="str">
        <f t="shared" si="2"/>
        <v/>
      </c>
      <c r="R113" t="str">
        <f t="shared" si="3"/>
        <v/>
      </c>
    </row>
    <row r="114" spans="1:18" x14ac:dyDescent="0.35">
      <c r="A114">
        <v>52103</v>
      </c>
      <c r="B114" t="s">
        <v>75</v>
      </c>
      <c r="C114" s="217">
        <v>45842</v>
      </c>
      <c r="D114">
        <v>3828</v>
      </c>
      <c r="E114" t="s">
        <v>80</v>
      </c>
      <c r="F114" t="s">
        <v>81</v>
      </c>
      <c r="G114" t="s">
        <v>50</v>
      </c>
      <c r="H114">
        <v>418100132848</v>
      </c>
      <c r="I114">
        <v>8599.2800000000007</v>
      </c>
      <c r="J114">
        <v>0</v>
      </c>
      <c r="K114" t="s">
        <v>22</v>
      </c>
      <c r="L114" t="s">
        <v>23</v>
      </c>
      <c r="M114" t="s">
        <v>24</v>
      </c>
      <c r="N114" t="s">
        <v>25</v>
      </c>
      <c r="O114">
        <v>0</v>
      </c>
      <c r="Q114" t="str">
        <f t="shared" si="2"/>
        <v/>
      </c>
      <c r="R114" t="str">
        <f t="shared" si="3"/>
        <v/>
      </c>
    </row>
    <row r="115" spans="1:18" x14ac:dyDescent="0.35">
      <c r="A115">
        <v>52103</v>
      </c>
      <c r="B115" t="s">
        <v>75</v>
      </c>
      <c r="C115" s="217">
        <v>45842</v>
      </c>
      <c r="D115">
        <v>3828</v>
      </c>
      <c r="E115" t="s">
        <v>80</v>
      </c>
      <c r="F115" t="s">
        <v>81</v>
      </c>
      <c r="G115" t="s">
        <v>50</v>
      </c>
      <c r="H115">
        <v>418100132848</v>
      </c>
      <c r="I115">
        <v>75706.039999999994</v>
      </c>
      <c r="J115">
        <v>0</v>
      </c>
      <c r="K115" t="s">
        <v>22</v>
      </c>
      <c r="L115" t="s">
        <v>23</v>
      </c>
      <c r="M115" t="s">
        <v>24</v>
      </c>
      <c r="N115" t="s">
        <v>25</v>
      </c>
      <c r="O115">
        <v>0</v>
      </c>
      <c r="Q115" t="str">
        <f t="shared" si="2"/>
        <v/>
      </c>
      <c r="R115" t="str">
        <f t="shared" si="3"/>
        <v/>
      </c>
    </row>
    <row r="116" spans="1:18" x14ac:dyDescent="0.35">
      <c r="A116">
        <v>52103</v>
      </c>
      <c r="B116" t="s">
        <v>75</v>
      </c>
      <c r="C116" s="217">
        <v>45849</v>
      </c>
      <c r="D116">
        <v>3834</v>
      </c>
      <c r="E116" t="s">
        <v>80</v>
      </c>
      <c r="F116" t="s">
        <v>81</v>
      </c>
      <c r="G116" t="s">
        <v>50</v>
      </c>
      <c r="H116">
        <v>418100133276</v>
      </c>
      <c r="I116">
        <v>12614.41</v>
      </c>
      <c r="J116">
        <v>0</v>
      </c>
      <c r="K116" t="s">
        <v>22</v>
      </c>
      <c r="L116" t="s">
        <v>23</v>
      </c>
      <c r="M116" t="s">
        <v>24</v>
      </c>
      <c r="N116" t="s">
        <v>25</v>
      </c>
      <c r="O116">
        <v>0</v>
      </c>
      <c r="Q116" t="str">
        <f t="shared" si="2"/>
        <v/>
      </c>
      <c r="R116" t="str">
        <f t="shared" si="3"/>
        <v/>
      </c>
    </row>
    <row r="117" spans="1:18" x14ac:dyDescent="0.35">
      <c r="A117">
        <v>52103</v>
      </c>
      <c r="B117" t="s">
        <v>75</v>
      </c>
      <c r="C117" s="217">
        <v>45849</v>
      </c>
      <c r="D117">
        <v>3834</v>
      </c>
      <c r="E117" t="s">
        <v>80</v>
      </c>
      <c r="F117" t="s">
        <v>81</v>
      </c>
      <c r="G117" t="s">
        <v>50</v>
      </c>
      <c r="H117">
        <v>418100133276</v>
      </c>
      <c r="I117">
        <v>67173.05</v>
      </c>
      <c r="J117">
        <v>0</v>
      </c>
      <c r="K117" t="s">
        <v>22</v>
      </c>
      <c r="L117" t="s">
        <v>23</v>
      </c>
      <c r="M117" t="s">
        <v>24</v>
      </c>
      <c r="N117" t="s">
        <v>25</v>
      </c>
      <c r="O117">
        <v>0</v>
      </c>
      <c r="Q117" t="str">
        <f t="shared" si="2"/>
        <v/>
      </c>
      <c r="R117" t="str">
        <f t="shared" si="3"/>
        <v/>
      </c>
    </row>
    <row r="118" spans="1:18" x14ac:dyDescent="0.35">
      <c r="A118">
        <v>52103</v>
      </c>
      <c r="B118" t="s">
        <v>75</v>
      </c>
      <c r="C118" s="217">
        <v>45849</v>
      </c>
      <c r="D118">
        <v>3835</v>
      </c>
      <c r="E118" t="s">
        <v>82</v>
      </c>
      <c r="F118" t="s">
        <v>83</v>
      </c>
      <c r="G118" t="s">
        <v>50</v>
      </c>
      <c r="H118">
        <v>800000327</v>
      </c>
      <c r="I118">
        <v>5289.26</v>
      </c>
      <c r="J118">
        <v>0</v>
      </c>
      <c r="K118" t="s">
        <v>22</v>
      </c>
      <c r="L118" t="s">
        <v>23</v>
      </c>
      <c r="M118" t="s">
        <v>24</v>
      </c>
      <c r="N118" t="s">
        <v>25</v>
      </c>
      <c r="O118">
        <v>0</v>
      </c>
      <c r="Q118" t="str">
        <f t="shared" si="2"/>
        <v/>
      </c>
      <c r="R118" t="str">
        <f t="shared" si="3"/>
        <v/>
      </c>
    </row>
    <row r="119" spans="1:18" x14ac:dyDescent="0.35">
      <c r="A119">
        <v>52103</v>
      </c>
      <c r="B119" t="s">
        <v>75</v>
      </c>
      <c r="C119" s="217">
        <v>45863</v>
      </c>
      <c r="D119">
        <v>4076</v>
      </c>
      <c r="E119" t="s">
        <v>80</v>
      </c>
      <c r="F119" t="s">
        <v>81</v>
      </c>
      <c r="G119" t="s">
        <v>50</v>
      </c>
      <c r="H119">
        <v>418100134196</v>
      </c>
      <c r="I119">
        <v>8692.23</v>
      </c>
      <c r="J119">
        <v>0</v>
      </c>
      <c r="K119" t="s">
        <v>22</v>
      </c>
      <c r="L119" t="s">
        <v>23</v>
      </c>
      <c r="M119" t="s">
        <v>24</v>
      </c>
      <c r="N119" t="s">
        <v>25</v>
      </c>
      <c r="O119">
        <v>0</v>
      </c>
      <c r="Q119" t="str">
        <f t="shared" si="2"/>
        <v/>
      </c>
      <c r="R119" t="str">
        <f t="shared" si="3"/>
        <v/>
      </c>
    </row>
    <row r="120" spans="1:18" x14ac:dyDescent="0.35">
      <c r="A120">
        <v>52103</v>
      </c>
      <c r="B120" t="s">
        <v>75</v>
      </c>
      <c r="C120" s="217">
        <v>45863</v>
      </c>
      <c r="D120">
        <v>4076</v>
      </c>
      <c r="E120" t="s">
        <v>80</v>
      </c>
      <c r="F120" t="s">
        <v>81</v>
      </c>
      <c r="G120" t="s">
        <v>50</v>
      </c>
      <c r="H120">
        <v>418100134196</v>
      </c>
      <c r="I120">
        <v>62365.04</v>
      </c>
      <c r="J120">
        <v>0</v>
      </c>
      <c r="K120" t="s">
        <v>22</v>
      </c>
      <c r="L120" t="s">
        <v>23</v>
      </c>
      <c r="M120" t="s">
        <v>24</v>
      </c>
      <c r="N120" t="s">
        <v>25</v>
      </c>
      <c r="O120">
        <v>0</v>
      </c>
      <c r="Q120" t="str">
        <f t="shared" si="2"/>
        <v/>
      </c>
      <c r="R120" t="str">
        <f t="shared" si="3"/>
        <v/>
      </c>
    </row>
    <row r="121" spans="1:18" x14ac:dyDescent="0.35">
      <c r="A121">
        <v>52103</v>
      </c>
      <c r="B121" t="s">
        <v>75</v>
      </c>
      <c r="C121" s="217">
        <v>45863</v>
      </c>
      <c r="D121">
        <v>4077</v>
      </c>
      <c r="E121" t="s">
        <v>82</v>
      </c>
      <c r="F121" t="s">
        <v>83</v>
      </c>
      <c r="G121" t="s">
        <v>50</v>
      </c>
      <c r="H121">
        <v>800000341</v>
      </c>
      <c r="I121">
        <v>5429.86</v>
      </c>
      <c r="J121">
        <v>0</v>
      </c>
      <c r="K121" t="s">
        <v>22</v>
      </c>
      <c r="L121" t="s">
        <v>23</v>
      </c>
      <c r="M121" t="s">
        <v>24</v>
      </c>
      <c r="N121" t="s">
        <v>25</v>
      </c>
      <c r="O121">
        <v>0</v>
      </c>
      <c r="Q121" t="str">
        <f t="shared" si="2"/>
        <v/>
      </c>
      <c r="R121" t="str">
        <f t="shared" si="3"/>
        <v/>
      </c>
    </row>
    <row r="122" spans="1:18" x14ac:dyDescent="0.35">
      <c r="A122">
        <v>52103</v>
      </c>
      <c r="B122" t="s">
        <v>75</v>
      </c>
      <c r="C122" s="217">
        <v>45877</v>
      </c>
      <c r="D122">
        <v>1866</v>
      </c>
      <c r="E122" t="s">
        <v>76</v>
      </c>
      <c r="F122" t="s">
        <v>28</v>
      </c>
      <c r="G122" t="s">
        <v>41</v>
      </c>
      <c r="H122">
        <v>7261</v>
      </c>
      <c r="I122">
        <v>5300</v>
      </c>
      <c r="J122">
        <v>0</v>
      </c>
      <c r="K122" t="s">
        <v>22</v>
      </c>
      <c r="L122" t="s">
        <v>23</v>
      </c>
      <c r="M122" t="s">
        <v>24</v>
      </c>
      <c r="N122" t="s">
        <v>25</v>
      </c>
      <c r="O122">
        <v>0</v>
      </c>
      <c r="Q122" t="str">
        <f t="shared" si="2"/>
        <v/>
      </c>
      <c r="R122" t="str">
        <f t="shared" si="3"/>
        <v/>
      </c>
    </row>
    <row r="123" spans="1:18" x14ac:dyDescent="0.35">
      <c r="A123">
        <v>52103</v>
      </c>
      <c r="B123" t="s">
        <v>75</v>
      </c>
      <c r="C123" s="217">
        <v>45877</v>
      </c>
      <c r="D123">
        <v>4099</v>
      </c>
      <c r="E123" t="s">
        <v>80</v>
      </c>
      <c r="F123" t="s">
        <v>81</v>
      </c>
      <c r="G123" t="s">
        <v>50</v>
      </c>
      <c r="H123">
        <v>418100135174</v>
      </c>
      <c r="I123">
        <v>10786.52</v>
      </c>
      <c r="J123">
        <v>0</v>
      </c>
      <c r="K123" t="s">
        <v>22</v>
      </c>
      <c r="L123" t="s">
        <v>23</v>
      </c>
      <c r="M123" t="s">
        <v>24</v>
      </c>
      <c r="N123" t="s">
        <v>25</v>
      </c>
      <c r="O123">
        <v>0</v>
      </c>
      <c r="Q123" t="str">
        <f t="shared" si="2"/>
        <v/>
      </c>
      <c r="R123" t="str">
        <f t="shared" si="3"/>
        <v/>
      </c>
    </row>
    <row r="124" spans="1:18" x14ac:dyDescent="0.35">
      <c r="A124">
        <v>52103</v>
      </c>
      <c r="B124" t="s">
        <v>75</v>
      </c>
      <c r="C124" s="217">
        <v>45877</v>
      </c>
      <c r="D124">
        <v>4099</v>
      </c>
      <c r="E124" t="s">
        <v>80</v>
      </c>
      <c r="F124" t="s">
        <v>81</v>
      </c>
      <c r="G124" t="s">
        <v>50</v>
      </c>
      <c r="H124">
        <v>418100135174</v>
      </c>
      <c r="I124">
        <v>77453.899999999994</v>
      </c>
      <c r="J124">
        <v>0</v>
      </c>
      <c r="K124" t="s">
        <v>22</v>
      </c>
      <c r="L124" t="s">
        <v>23</v>
      </c>
      <c r="M124" t="s">
        <v>24</v>
      </c>
      <c r="N124" t="s">
        <v>25</v>
      </c>
      <c r="O124">
        <v>0</v>
      </c>
      <c r="Q124" t="str">
        <f t="shared" si="2"/>
        <v/>
      </c>
      <c r="R124" t="str">
        <f t="shared" si="3"/>
        <v/>
      </c>
    </row>
    <row r="125" spans="1:18" x14ac:dyDescent="0.35">
      <c r="A125">
        <v>52103</v>
      </c>
      <c r="B125" t="s">
        <v>75</v>
      </c>
      <c r="C125" s="217">
        <v>45884</v>
      </c>
      <c r="D125">
        <v>4345</v>
      </c>
      <c r="E125" t="s">
        <v>82</v>
      </c>
      <c r="F125" t="s">
        <v>83</v>
      </c>
      <c r="G125" t="s">
        <v>50</v>
      </c>
      <c r="H125">
        <v>800000363</v>
      </c>
      <c r="I125">
        <v>7239.82</v>
      </c>
      <c r="J125">
        <v>0</v>
      </c>
      <c r="K125" t="s">
        <v>22</v>
      </c>
      <c r="L125" t="s">
        <v>23</v>
      </c>
      <c r="M125" t="s">
        <v>24</v>
      </c>
      <c r="N125" t="s">
        <v>25</v>
      </c>
      <c r="O125">
        <v>0</v>
      </c>
      <c r="Q125" t="str">
        <f t="shared" si="2"/>
        <v/>
      </c>
      <c r="R125" t="str">
        <f t="shared" si="3"/>
        <v/>
      </c>
    </row>
    <row r="126" spans="1:18" x14ac:dyDescent="0.35">
      <c r="A126">
        <v>52103</v>
      </c>
      <c r="B126" t="s">
        <v>75</v>
      </c>
      <c r="C126" s="217">
        <v>45884</v>
      </c>
      <c r="D126">
        <v>4346</v>
      </c>
      <c r="E126" t="s">
        <v>80</v>
      </c>
      <c r="F126" t="s">
        <v>81</v>
      </c>
      <c r="G126" t="s">
        <v>50</v>
      </c>
      <c r="H126">
        <v>418100135625</v>
      </c>
      <c r="I126">
        <v>13837.26</v>
      </c>
      <c r="J126">
        <v>0</v>
      </c>
      <c r="K126" t="s">
        <v>22</v>
      </c>
      <c r="L126" t="s">
        <v>23</v>
      </c>
      <c r="M126" t="s">
        <v>24</v>
      </c>
      <c r="N126" t="s">
        <v>25</v>
      </c>
      <c r="O126">
        <v>0</v>
      </c>
      <c r="Q126" t="str">
        <f t="shared" si="2"/>
        <v/>
      </c>
      <c r="R126" t="str">
        <f t="shared" si="3"/>
        <v/>
      </c>
    </row>
    <row r="127" spans="1:18" x14ac:dyDescent="0.35">
      <c r="A127">
        <v>52103</v>
      </c>
      <c r="B127" t="s">
        <v>75</v>
      </c>
      <c r="C127" s="217">
        <v>45884</v>
      </c>
      <c r="D127">
        <v>4346</v>
      </c>
      <c r="E127" t="s">
        <v>80</v>
      </c>
      <c r="F127" t="s">
        <v>81</v>
      </c>
      <c r="G127" t="s">
        <v>50</v>
      </c>
      <c r="H127">
        <v>418100135625</v>
      </c>
      <c r="I127">
        <v>56495.33</v>
      </c>
      <c r="J127">
        <v>0</v>
      </c>
      <c r="K127" t="s">
        <v>22</v>
      </c>
      <c r="L127" t="s">
        <v>23</v>
      </c>
      <c r="M127" t="s">
        <v>24</v>
      </c>
      <c r="N127" t="s">
        <v>25</v>
      </c>
      <c r="O127">
        <v>0</v>
      </c>
      <c r="Q127" t="str">
        <f t="shared" si="2"/>
        <v/>
      </c>
      <c r="R127" t="str">
        <f t="shared" si="3"/>
        <v/>
      </c>
    </row>
    <row r="128" spans="1:18" x14ac:dyDescent="0.35">
      <c r="A128">
        <v>52103</v>
      </c>
      <c r="B128" t="s">
        <v>75</v>
      </c>
      <c r="C128" s="217">
        <v>45898</v>
      </c>
      <c r="D128">
        <v>4558</v>
      </c>
      <c r="E128" t="s">
        <v>80</v>
      </c>
      <c r="F128" t="s">
        <v>81</v>
      </c>
      <c r="G128" t="s">
        <v>50</v>
      </c>
      <c r="H128">
        <v>418100136537</v>
      </c>
      <c r="I128">
        <v>65219.05</v>
      </c>
      <c r="J128">
        <v>0</v>
      </c>
      <c r="K128" t="s">
        <v>22</v>
      </c>
      <c r="L128" t="s">
        <v>23</v>
      </c>
      <c r="M128" t="s">
        <v>24</v>
      </c>
      <c r="N128" t="s">
        <v>25</v>
      </c>
      <c r="O128">
        <v>0</v>
      </c>
      <c r="Q128" t="str">
        <f t="shared" si="2"/>
        <v/>
      </c>
      <c r="R128" t="str">
        <f t="shared" si="3"/>
        <v/>
      </c>
    </row>
    <row r="129" spans="1:18" x14ac:dyDescent="0.35">
      <c r="A129">
        <v>52103</v>
      </c>
      <c r="B129" t="s">
        <v>75</v>
      </c>
      <c r="C129" s="217">
        <v>45898</v>
      </c>
      <c r="D129">
        <v>4558</v>
      </c>
      <c r="E129" t="s">
        <v>80</v>
      </c>
      <c r="F129" t="s">
        <v>81</v>
      </c>
      <c r="G129" t="s">
        <v>50</v>
      </c>
      <c r="H129">
        <v>418100136537</v>
      </c>
      <c r="I129">
        <v>11631.79</v>
      </c>
      <c r="J129">
        <v>0</v>
      </c>
      <c r="K129" t="s">
        <v>22</v>
      </c>
      <c r="L129" t="s">
        <v>23</v>
      </c>
      <c r="M129" t="s">
        <v>24</v>
      </c>
      <c r="N129" t="s">
        <v>25</v>
      </c>
      <c r="O129">
        <v>0</v>
      </c>
      <c r="Q129" t="str">
        <f t="shared" si="2"/>
        <v/>
      </c>
      <c r="R129" t="str">
        <f t="shared" si="3"/>
        <v/>
      </c>
    </row>
    <row r="130" spans="1:18" x14ac:dyDescent="0.35">
      <c r="A130">
        <v>52103</v>
      </c>
      <c r="B130" t="s">
        <v>75</v>
      </c>
      <c r="C130" s="217">
        <v>45898</v>
      </c>
      <c r="D130">
        <v>4559</v>
      </c>
      <c r="E130" t="s">
        <v>82</v>
      </c>
      <c r="F130" t="s">
        <v>83</v>
      </c>
      <c r="G130" t="s">
        <v>50</v>
      </c>
      <c r="H130">
        <v>800000386</v>
      </c>
      <c r="I130">
        <v>6611.57</v>
      </c>
      <c r="J130">
        <v>0</v>
      </c>
      <c r="K130" t="s">
        <v>22</v>
      </c>
      <c r="L130" t="s">
        <v>23</v>
      </c>
      <c r="M130" t="s">
        <v>24</v>
      </c>
      <c r="N130" t="s">
        <v>25</v>
      </c>
      <c r="O130">
        <v>0</v>
      </c>
      <c r="Q130" t="str">
        <f t="shared" ref="Q130:Q193" si="4">IFERROR(TRIM(LEFT($E130,FIND(" | ",$E130)-1)),"")</f>
        <v/>
      </c>
      <c r="R130" t="str">
        <f t="shared" ref="R130:R193" si="5">IFERROR(TRIM(UPPER(MID($E130,FIND(" | ",$E130)+3,IFERROR(FIND(" | ",$E130,FIND(" | ",$E130)+3),LEN($E130)+1)-FIND(" | ",$E130)-3))),"")</f>
        <v/>
      </c>
    </row>
    <row r="131" spans="1:18" x14ac:dyDescent="0.35">
      <c r="A131">
        <v>52103</v>
      </c>
      <c r="B131" t="s">
        <v>75</v>
      </c>
      <c r="C131" s="217">
        <v>45898</v>
      </c>
      <c r="D131">
        <v>5423</v>
      </c>
      <c r="E131" t="s">
        <v>76</v>
      </c>
      <c r="F131" t="s">
        <v>28</v>
      </c>
      <c r="G131" t="s">
        <v>59</v>
      </c>
      <c r="H131">
        <v>4156</v>
      </c>
      <c r="I131">
        <v>4100</v>
      </c>
      <c r="J131">
        <v>0</v>
      </c>
      <c r="K131" t="s">
        <v>22</v>
      </c>
      <c r="L131" t="s">
        <v>23</v>
      </c>
      <c r="M131" t="s">
        <v>24</v>
      </c>
      <c r="N131" t="s">
        <v>25</v>
      </c>
      <c r="O131">
        <v>0</v>
      </c>
      <c r="Q131" t="str">
        <f t="shared" si="4"/>
        <v/>
      </c>
      <c r="R131" t="str">
        <f t="shared" si="5"/>
        <v/>
      </c>
    </row>
    <row r="132" spans="1:18" x14ac:dyDescent="0.35">
      <c r="A132">
        <v>52103</v>
      </c>
      <c r="B132" t="s">
        <v>75</v>
      </c>
      <c r="C132" s="217">
        <v>45905</v>
      </c>
      <c r="D132">
        <v>4569</v>
      </c>
      <c r="E132" t="s">
        <v>80</v>
      </c>
      <c r="F132" t="s">
        <v>81</v>
      </c>
      <c r="G132" t="s">
        <v>50</v>
      </c>
      <c r="H132">
        <v>418100137031</v>
      </c>
      <c r="I132">
        <v>11903.25</v>
      </c>
      <c r="J132">
        <v>0</v>
      </c>
      <c r="K132" t="s">
        <v>22</v>
      </c>
      <c r="L132" t="s">
        <v>23</v>
      </c>
      <c r="M132" t="s">
        <v>24</v>
      </c>
      <c r="N132" t="s">
        <v>25</v>
      </c>
      <c r="O132">
        <v>0</v>
      </c>
      <c r="Q132" t="str">
        <f t="shared" si="4"/>
        <v/>
      </c>
      <c r="R132" t="str">
        <f t="shared" si="5"/>
        <v/>
      </c>
    </row>
    <row r="133" spans="1:18" x14ac:dyDescent="0.35">
      <c r="A133">
        <v>52103</v>
      </c>
      <c r="B133" t="s">
        <v>75</v>
      </c>
      <c r="C133" s="217">
        <v>45905</v>
      </c>
      <c r="D133">
        <v>4569</v>
      </c>
      <c r="E133" t="s">
        <v>80</v>
      </c>
      <c r="F133" t="s">
        <v>81</v>
      </c>
      <c r="G133" t="s">
        <v>50</v>
      </c>
      <c r="H133">
        <v>418100137031</v>
      </c>
      <c r="I133">
        <v>65127.91</v>
      </c>
      <c r="J133">
        <v>0</v>
      </c>
      <c r="K133" t="s">
        <v>22</v>
      </c>
      <c r="L133" t="s">
        <v>23</v>
      </c>
      <c r="M133" t="s">
        <v>24</v>
      </c>
      <c r="N133" t="s">
        <v>25</v>
      </c>
      <c r="O133">
        <v>0</v>
      </c>
      <c r="Q133" t="str">
        <f t="shared" si="4"/>
        <v/>
      </c>
      <c r="R133" t="str">
        <f t="shared" si="5"/>
        <v/>
      </c>
    </row>
    <row r="134" spans="1:18" x14ac:dyDescent="0.35">
      <c r="A134">
        <v>52103</v>
      </c>
      <c r="B134" t="s">
        <v>75</v>
      </c>
      <c r="C134" s="217">
        <v>45905</v>
      </c>
      <c r="D134">
        <v>4572</v>
      </c>
      <c r="E134" t="s">
        <v>82</v>
      </c>
      <c r="F134" t="s">
        <v>83</v>
      </c>
      <c r="G134" t="s">
        <v>50</v>
      </c>
      <c r="H134">
        <v>800000394</v>
      </c>
      <c r="I134">
        <v>6611.57</v>
      </c>
      <c r="J134">
        <v>0</v>
      </c>
      <c r="K134" t="s">
        <v>22</v>
      </c>
      <c r="L134" t="s">
        <v>23</v>
      </c>
      <c r="M134" t="s">
        <v>24</v>
      </c>
      <c r="N134" t="s">
        <v>25</v>
      </c>
      <c r="O134">
        <v>0</v>
      </c>
      <c r="Q134" t="str">
        <f t="shared" si="4"/>
        <v/>
      </c>
      <c r="R134" t="str">
        <f t="shared" si="5"/>
        <v/>
      </c>
    </row>
    <row r="135" spans="1:18" x14ac:dyDescent="0.35">
      <c r="A135">
        <v>52103</v>
      </c>
      <c r="B135" t="s">
        <v>75</v>
      </c>
      <c r="C135" s="217">
        <v>45912</v>
      </c>
      <c r="D135">
        <v>4809</v>
      </c>
      <c r="E135" t="s">
        <v>80</v>
      </c>
      <c r="F135" t="s">
        <v>81</v>
      </c>
      <c r="G135" t="s">
        <v>50</v>
      </c>
      <c r="H135">
        <v>418100137506</v>
      </c>
      <c r="I135">
        <v>11068.01</v>
      </c>
      <c r="J135">
        <v>0</v>
      </c>
      <c r="K135" t="s">
        <v>22</v>
      </c>
      <c r="L135" t="s">
        <v>23</v>
      </c>
      <c r="M135" t="s">
        <v>24</v>
      </c>
      <c r="N135" t="s">
        <v>25</v>
      </c>
      <c r="O135">
        <v>0</v>
      </c>
      <c r="Q135" t="str">
        <f t="shared" si="4"/>
        <v/>
      </c>
      <c r="R135" t="str">
        <f t="shared" si="5"/>
        <v/>
      </c>
    </row>
    <row r="136" spans="1:18" x14ac:dyDescent="0.35">
      <c r="A136">
        <v>52103</v>
      </c>
      <c r="B136" t="s">
        <v>75</v>
      </c>
      <c r="C136" s="217">
        <v>45912</v>
      </c>
      <c r="D136">
        <v>4809</v>
      </c>
      <c r="E136" t="s">
        <v>80</v>
      </c>
      <c r="F136" t="s">
        <v>81</v>
      </c>
      <c r="G136" t="s">
        <v>50</v>
      </c>
      <c r="H136">
        <v>418100137506</v>
      </c>
      <c r="I136">
        <v>64098.17</v>
      </c>
      <c r="J136">
        <v>0</v>
      </c>
      <c r="K136" t="s">
        <v>22</v>
      </c>
      <c r="L136" t="s">
        <v>23</v>
      </c>
      <c r="M136" t="s">
        <v>24</v>
      </c>
      <c r="N136" t="s">
        <v>25</v>
      </c>
      <c r="O136">
        <v>0</v>
      </c>
      <c r="Q136" t="str">
        <f t="shared" si="4"/>
        <v/>
      </c>
      <c r="R136" t="str">
        <f t="shared" si="5"/>
        <v/>
      </c>
    </row>
    <row r="137" spans="1:18" x14ac:dyDescent="0.35">
      <c r="A137">
        <v>52103</v>
      </c>
      <c r="B137" t="s">
        <v>75</v>
      </c>
      <c r="C137" s="217">
        <v>45912</v>
      </c>
      <c r="D137">
        <v>4810</v>
      </c>
      <c r="E137" t="s">
        <v>82</v>
      </c>
      <c r="F137" t="s">
        <v>83</v>
      </c>
      <c r="G137" t="s">
        <v>50</v>
      </c>
      <c r="H137">
        <v>800000406</v>
      </c>
      <c r="I137">
        <v>6611.57</v>
      </c>
      <c r="J137">
        <v>0</v>
      </c>
      <c r="K137" t="s">
        <v>22</v>
      </c>
      <c r="L137" t="s">
        <v>23</v>
      </c>
      <c r="M137" t="s">
        <v>24</v>
      </c>
      <c r="N137" t="s">
        <v>25</v>
      </c>
      <c r="O137">
        <v>0</v>
      </c>
      <c r="Q137" t="str">
        <f t="shared" si="4"/>
        <v/>
      </c>
      <c r="R137" t="str">
        <f t="shared" si="5"/>
        <v/>
      </c>
    </row>
    <row r="138" spans="1:18" x14ac:dyDescent="0.35">
      <c r="A138">
        <v>52103</v>
      </c>
      <c r="B138" t="s">
        <v>75</v>
      </c>
      <c r="C138" s="217">
        <v>45926</v>
      </c>
      <c r="D138">
        <v>4853</v>
      </c>
      <c r="E138" t="s">
        <v>82</v>
      </c>
      <c r="F138" t="s">
        <v>83</v>
      </c>
      <c r="G138" t="s">
        <v>50</v>
      </c>
      <c r="H138">
        <v>800000419</v>
      </c>
      <c r="I138">
        <v>4958.68</v>
      </c>
      <c r="J138">
        <v>0</v>
      </c>
      <c r="K138" t="s">
        <v>22</v>
      </c>
      <c r="L138" t="s">
        <v>23</v>
      </c>
      <c r="M138" t="s">
        <v>24</v>
      </c>
      <c r="N138" t="s">
        <v>25</v>
      </c>
      <c r="O138">
        <v>0</v>
      </c>
      <c r="Q138" t="str">
        <f t="shared" si="4"/>
        <v/>
      </c>
      <c r="R138" t="str">
        <f t="shared" si="5"/>
        <v/>
      </c>
    </row>
    <row r="139" spans="1:18" x14ac:dyDescent="0.35">
      <c r="A139">
        <v>52103</v>
      </c>
      <c r="B139" t="s">
        <v>75</v>
      </c>
      <c r="C139" s="217">
        <v>45926</v>
      </c>
      <c r="D139">
        <v>4854</v>
      </c>
      <c r="E139" t="s">
        <v>80</v>
      </c>
      <c r="F139" t="s">
        <v>81</v>
      </c>
      <c r="G139" t="s">
        <v>50</v>
      </c>
      <c r="H139">
        <v>418100138463</v>
      </c>
      <c r="I139">
        <v>10799.59</v>
      </c>
      <c r="J139">
        <v>0</v>
      </c>
      <c r="K139" t="s">
        <v>22</v>
      </c>
      <c r="L139" t="s">
        <v>23</v>
      </c>
      <c r="M139" t="s">
        <v>24</v>
      </c>
      <c r="N139" t="s">
        <v>25</v>
      </c>
      <c r="O139">
        <v>0</v>
      </c>
      <c r="Q139" t="str">
        <f t="shared" si="4"/>
        <v/>
      </c>
      <c r="R139" t="str">
        <f t="shared" si="5"/>
        <v/>
      </c>
    </row>
    <row r="140" spans="1:18" x14ac:dyDescent="0.35">
      <c r="A140">
        <v>52103</v>
      </c>
      <c r="B140" t="s">
        <v>75</v>
      </c>
      <c r="C140" s="217">
        <v>45926</v>
      </c>
      <c r="D140">
        <v>4854</v>
      </c>
      <c r="E140" t="s">
        <v>80</v>
      </c>
      <c r="F140" t="s">
        <v>81</v>
      </c>
      <c r="G140" t="s">
        <v>50</v>
      </c>
      <c r="H140">
        <v>418100138463</v>
      </c>
      <c r="I140">
        <v>71103.22</v>
      </c>
      <c r="J140">
        <v>0</v>
      </c>
      <c r="K140" t="s">
        <v>22</v>
      </c>
      <c r="L140" t="s">
        <v>23</v>
      </c>
      <c r="M140" t="s">
        <v>24</v>
      </c>
      <c r="N140" t="s">
        <v>25</v>
      </c>
      <c r="O140">
        <v>0</v>
      </c>
      <c r="Q140" t="str">
        <f t="shared" si="4"/>
        <v/>
      </c>
      <c r="R140" t="str">
        <f t="shared" si="5"/>
        <v/>
      </c>
    </row>
    <row r="141" spans="1:18" x14ac:dyDescent="0.35">
      <c r="A141">
        <v>52103</v>
      </c>
      <c r="B141" t="s">
        <v>75</v>
      </c>
      <c r="C141" s="217">
        <v>45933</v>
      </c>
      <c r="D141">
        <v>5254</v>
      </c>
      <c r="E141" t="s">
        <v>82</v>
      </c>
      <c r="F141" t="s">
        <v>83</v>
      </c>
      <c r="G141" t="s">
        <v>50</v>
      </c>
      <c r="H141">
        <v>800000432</v>
      </c>
      <c r="I141">
        <v>6611.57</v>
      </c>
      <c r="J141">
        <v>0</v>
      </c>
      <c r="K141" t="s">
        <v>22</v>
      </c>
      <c r="L141" t="s">
        <v>23</v>
      </c>
      <c r="M141" t="s">
        <v>24</v>
      </c>
      <c r="N141" t="s">
        <v>25</v>
      </c>
      <c r="O141">
        <v>0</v>
      </c>
      <c r="Q141" t="str">
        <f t="shared" si="4"/>
        <v/>
      </c>
      <c r="R141" t="str">
        <f t="shared" si="5"/>
        <v/>
      </c>
    </row>
    <row r="142" spans="1:18" x14ac:dyDescent="0.35">
      <c r="A142">
        <v>52103</v>
      </c>
      <c r="B142" t="s">
        <v>75</v>
      </c>
      <c r="C142" s="217">
        <v>45933</v>
      </c>
      <c r="D142">
        <v>5255</v>
      </c>
      <c r="E142" t="s">
        <v>80</v>
      </c>
      <c r="F142" t="s">
        <v>81</v>
      </c>
      <c r="G142" t="s">
        <v>50</v>
      </c>
      <c r="H142">
        <v>418100138944</v>
      </c>
      <c r="I142">
        <v>11243.93</v>
      </c>
      <c r="J142">
        <v>0</v>
      </c>
      <c r="K142" t="s">
        <v>22</v>
      </c>
      <c r="L142" t="s">
        <v>23</v>
      </c>
      <c r="M142" t="s">
        <v>24</v>
      </c>
      <c r="N142" t="s">
        <v>25</v>
      </c>
      <c r="O142">
        <v>0</v>
      </c>
      <c r="Q142" t="str">
        <f t="shared" si="4"/>
        <v/>
      </c>
      <c r="R142" t="str">
        <f t="shared" si="5"/>
        <v/>
      </c>
    </row>
    <row r="143" spans="1:18" x14ac:dyDescent="0.35">
      <c r="A143">
        <v>52103</v>
      </c>
      <c r="B143" t="s">
        <v>75</v>
      </c>
      <c r="C143" s="217">
        <v>45933</v>
      </c>
      <c r="D143">
        <v>5255</v>
      </c>
      <c r="E143" t="s">
        <v>80</v>
      </c>
      <c r="F143" t="s">
        <v>81</v>
      </c>
      <c r="G143" t="s">
        <v>50</v>
      </c>
      <c r="H143">
        <v>418100138944</v>
      </c>
      <c r="I143">
        <v>59192.23</v>
      </c>
      <c r="J143">
        <v>0</v>
      </c>
      <c r="K143" t="s">
        <v>22</v>
      </c>
      <c r="L143" t="s">
        <v>23</v>
      </c>
      <c r="M143" t="s">
        <v>24</v>
      </c>
      <c r="N143" t="s">
        <v>25</v>
      </c>
      <c r="O143">
        <v>0</v>
      </c>
      <c r="Q143" t="str">
        <f t="shared" si="4"/>
        <v/>
      </c>
      <c r="R143" t="str">
        <f t="shared" si="5"/>
        <v/>
      </c>
    </row>
    <row r="144" spans="1:18" x14ac:dyDescent="0.35">
      <c r="A144">
        <v>52103</v>
      </c>
      <c r="B144" t="s">
        <v>75</v>
      </c>
      <c r="C144" s="217">
        <v>45946</v>
      </c>
      <c r="D144">
        <v>2323</v>
      </c>
      <c r="E144" t="s">
        <v>76</v>
      </c>
      <c r="F144" t="s">
        <v>28</v>
      </c>
      <c r="G144" t="s">
        <v>41</v>
      </c>
      <c r="H144">
        <v>7693</v>
      </c>
      <c r="I144">
        <v>4500</v>
      </c>
      <c r="J144">
        <v>0</v>
      </c>
      <c r="K144" t="s">
        <v>22</v>
      </c>
      <c r="L144" t="s">
        <v>23</v>
      </c>
      <c r="M144" t="s">
        <v>24</v>
      </c>
      <c r="N144" t="s">
        <v>25</v>
      </c>
      <c r="O144">
        <v>0</v>
      </c>
      <c r="Q144" t="str">
        <f t="shared" si="4"/>
        <v/>
      </c>
      <c r="R144" t="str">
        <f t="shared" si="5"/>
        <v/>
      </c>
    </row>
    <row r="145" spans="1:18" x14ac:dyDescent="0.35">
      <c r="A145">
        <v>52103</v>
      </c>
      <c r="B145" t="s">
        <v>75</v>
      </c>
      <c r="C145" s="217">
        <v>45947</v>
      </c>
      <c r="D145">
        <v>2334</v>
      </c>
      <c r="E145" t="s">
        <v>76</v>
      </c>
      <c r="F145" t="s">
        <v>28</v>
      </c>
      <c r="G145" t="s">
        <v>41</v>
      </c>
      <c r="H145">
        <v>7704</v>
      </c>
      <c r="I145">
        <v>9169.2199999999993</v>
      </c>
      <c r="J145">
        <v>0</v>
      </c>
      <c r="K145" t="s">
        <v>22</v>
      </c>
      <c r="L145" t="s">
        <v>23</v>
      </c>
      <c r="M145" t="s">
        <v>24</v>
      </c>
      <c r="N145" t="s">
        <v>25</v>
      </c>
      <c r="O145">
        <v>0</v>
      </c>
      <c r="Q145" t="str">
        <f t="shared" si="4"/>
        <v/>
      </c>
      <c r="R145" t="str">
        <f t="shared" si="5"/>
        <v/>
      </c>
    </row>
    <row r="146" spans="1:18" x14ac:dyDescent="0.35">
      <c r="A146">
        <v>52103</v>
      </c>
      <c r="B146" t="s">
        <v>75</v>
      </c>
      <c r="C146" s="217">
        <v>45947</v>
      </c>
      <c r="D146">
        <v>2335</v>
      </c>
      <c r="E146" t="s">
        <v>76</v>
      </c>
      <c r="F146" t="s">
        <v>28</v>
      </c>
      <c r="G146" t="s">
        <v>41</v>
      </c>
      <c r="H146">
        <v>7705</v>
      </c>
      <c r="I146">
        <v>9483.51</v>
      </c>
      <c r="J146">
        <v>0</v>
      </c>
      <c r="K146" t="s">
        <v>22</v>
      </c>
      <c r="L146" t="s">
        <v>23</v>
      </c>
      <c r="M146" t="s">
        <v>24</v>
      </c>
      <c r="N146" t="s">
        <v>25</v>
      </c>
      <c r="O146">
        <v>0</v>
      </c>
      <c r="Q146" t="str">
        <f t="shared" si="4"/>
        <v/>
      </c>
      <c r="R146" t="str">
        <f t="shared" si="5"/>
        <v/>
      </c>
    </row>
    <row r="147" spans="1:18" x14ac:dyDescent="0.35">
      <c r="A147">
        <v>52103</v>
      </c>
      <c r="B147" t="s">
        <v>75</v>
      </c>
      <c r="C147" s="217">
        <v>45947</v>
      </c>
      <c r="D147">
        <v>5406</v>
      </c>
      <c r="E147" t="s">
        <v>80</v>
      </c>
      <c r="F147" t="s">
        <v>81</v>
      </c>
      <c r="G147" t="s">
        <v>50</v>
      </c>
      <c r="H147">
        <v>418100139864</v>
      </c>
      <c r="I147">
        <v>11449.7</v>
      </c>
      <c r="J147">
        <v>0</v>
      </c>
      <c r="K147" t="s">
        <v>22</v>
      </c>
      <c r="L147" t="s">
        <v>23</v>
      </c>
      <c r="M147" t="s">
        <v>24</v>
      </c>
      <c r="N147" t="s">
        <v>25</v>
      </c>
      <c r="O147">
        <v>0</v>
      </c>
      <c r="Q147" t="str">
        <f t="shared" si="4"/>
        <v/>
      </c>
      <c r="R147" t="str">
        <f t="shared" si="5"/>
        <v/>
      </c>
    </row>
    <row r="148" spans="1:18" x14ac:dyDescent="0.35">
      <c r="A148">
        <v>52103</v>
      </c>
      <c r="B148" t="s">
        <v>75</v>
      </c>
      <c r="C148" s="217">
        <v>45947</v>
      </c>
      <c r="D148">
        <v>5406</v>
      </c>
      <c r="E148" t="s">
        <v>80</v>
      </c>
      <c r="F148" t="s">
        <v>81</v>
      </c>
      <c r="G148" t="s">
        <v>50</v>
      </c>
      <c r="H148">
        <v>418100139864</v>
      </c>
      <c r="I148">
        <v>51645.78</v>
      </c>
      <c r="J148">
        <v>0</v>
      </c>
      <c r="K148" t="s">
        <v>22</v>
      </c>
      <c r="L148" t="s">
        <v>23</v>
      </c>
      <c r="M148" t="s">
        <v>24</v>
      </c>
      <c r="N148" t="s">
        <v>25</v>
      </c>
      <c r="O148">
        <v>0</v>
      </c>
      <c r="Q148" t="str">
        <f t="shared" si="4"/>
        <v/>
      </c>
      <c r="R148" t="str">
        <f t="shared" si="5"/>
        <v/>
      </c>
    </row>
    <row r="149" spans="1:18" x14ac:dyDescent="0.35">
      <c r="A149">
        <v>52103</v>
      </c>
      <c r="B149" t="s">
        <v>75</v>
      </c>
      <c r="C149" s="217">
        <v>45954</v>
      </c>
      <c r="D149">
        <v>5545</v>
      </c>
      <c r="E149" t="s">
        <v>82</v>
      </c>
      <c r="F149" t="s">
        <v>83</v>
      </c>
      <c r="G149" t="s">
        <v>50</v>
      </c>
      <c r="H149">
        <v>800000458</v>
      </c>
      <c r="I149">
        <v>6611.57</v>
      </c>
      <c r="J149">
        <v>0</v>
      </c>
      <c r="K149" t="s">
        <v>22</v>
      </c>
      <c r="L149" t="s">
        <v>23</v>
      </c>
      <c r="M149" t="s">
        <v>24</v>
      </c>
      <c r="N149" t="s">
        <v>25</v>
      </c>
      <c r="O149">
        <v>0</v>
      </c>
      <c r="Q149" t="str">
        <f t="shared" si="4"/>
        <v/>
      </c>
      <c r="R149" t="str">
        <f t="shared" si="5"/>
        <v/>
      </c>
    </row>
    <row r="150" spans="1:18" x14ac:dyDescent="0.35">
      <c r="A150">
        <v>52103</v>
      </c>
      <c r="B150" t="s">
        <v>75</v>
      </c>
      <c r="C150" s="217">
        <v>45954</v>
      </c>
      <c r="D150">
        <v>5546</v>
      </c>
      <c r="E150" t="s">
        <v>80</v>
      </c>
      <c r="F150" t="s">
        <v>81</v>
      </c>
      <c r="G150" t="s">
        <v>50</v>
      </c>
      <c r="H150">
        <v>418100140350</v>
      </c>
      <c r="I150">
        <v>11886.14</v>
      </c>
      <c r="J150">
        <v>0</v>
      </c>
      <c r="K150" t="s">
        <v>22</v>
      </c>
      <c r="L150" t="s">
        <v>23</v>
      </c>
      <c r="M150" t="s">
        <v>24</v>
      </c>
      <c r="N150" t="s">
        <v>25</v>
      </c>
      <c r="O150">
        <v>0</v>
      </c>
      <c r="Q150" t="str">
        <f t="shared" si="4"/>
        <v/>
      </c>
      <c r="R150" t="str">
        <f t="shared" si="5"/>
        <v/>
      </c>
    </row>
    <row r="151" spans="1:18" x14ac:dyDescent="0.35">
      <c r="A151">
        <v>52103</v>
      </c>
      <c r="B151" t="s">
        <v>75</v>
      </c>
      <c r="C151" s="217">
        <v>45954</v>
      </c>
      <c r="D151">
        <v>5546</v>
      </c>
      <c r="E151" t="s">
        <v>80</v>
      </c>
      <c r="F151" t="s">
        <v>81</v>
      </c>
      <c r="G151" t="s">
        <v>50</v>
      </c>
      <c r="H151">
        <v>418100140350</v>
      </c>
      <c r="I151">
        <v>61493.38</v>
      </c>
      <c r="J151">
        <v>0</v>
      </c>
      <c r="K151" t="s">
        <v>22</v>
      </c>
      <c r="L151" t="s">
        <v>23</v>
      </c>
      <c r="M151" t="s">
        <v>24</v>
      </c>
      <c r="N151" t="s">
        <v>25</v>
      </c>
      <c r="O151">
        <v>0</v>
      </c>
      <c r="Q151" t="str">
        <f t="shared" si="4"/>
        <v/>
      </c>
      <c r="R151" t="str">
        <f t="shared" si="5"/>
        <v/>
      </c>
    </row>
    <row r="152" spans="1:18" x14ac:dyDescent="0.35">
      <c r="A152">
        <v>52103</v>
      </c>
      <c r="B152" t="s">
        <v>75</v>
      </c>
      <c r="C152" s="217">
        <v>45968</v>
      </c>
      <c r="D152">
        <v>199</v>
      </c>
      <c r="E152" t="s">
        <v>82</v>
      </c>
      <c r="F152" t="s">
        <v>83</v>
      </c>
      <c r="G152" t="s">
        <v>50</v>
      </c>
      <c r="H152">
        <v>800000478</v>
      </c>
      <c r="I152">
        <v>8264.4599999999991</v>
      </c>
      <c r="J152">
        <v>0</v>
      </c>
      <c r="K152" t="s">
        <v>22</v>
      </c>
      <c r="L152" t="s">
        <v>23</v>
      </c>
      <c r="M152" t="s">
        <v>24</v>
      </c>
      <c r="N152" t="s">
        <v>25</v>
      </c>
      <c r="O152">
        <v>0</v>
      </c>
      <c r="Q152" t="str">
        <f t="shared" si="4"/>
        <v/>
      </c>
      <c r="R152" t="str">
        <f t="shared" si="5"/>
        <v/>
      </c>
    </row>
    <row r="153" spans="1:18" x14ac:dyDescent="0.35">
      <c r="A153">
        <v>52103</v>
      </c>
      <c r="B153" t="s">
        <v>75</v>
      </c>
      <c r="C153" s="217">
        <v>45968</v>
      </c>
      <c r="D153">
        <v>200</v>
      </c>
      <c r="E153" t="s">
        <v>80</v>
      </c>
      <c r="F153" t="s">
        <v>81</v>
      </c>
      <c r="G153" t="s">
        <v>50</v>
      </c>
      <c r="H153">
        <v>418100141337</v>
      </c>
      <c r="I153">
        <v>10264.299999999999</v>
      </c>
      <c r="J153">
        <v>0</v>
      </c>
      <c r="K153" t="s">
        <v>22</v>
      </c>
      <c r="L153" t="s">
        <v>23</v>
      </c>
      <c r="M153" t="s">
        <v>24</v>
      </c>
      <c r="N153" t="s">
        <v>25</v>
      </c>
      <c r="O153">
        <v>0</v>
      </c>
      <c r="Q153" t="str">
        <f t="shared" si="4"/>
        <v/>
      </c>
      <c r="R153" t="str">
        <f t="shared" si="5"/>
        <v/>
      </c>
    </row>
    <row r="154" spans="1:18" x14ac:dyDescent="0.35">
      <c r="A154">
        <v>52103</v>
      </c>
      <c r="B154" t="s">
        <v>75</v>
      </c>
      <c r="C154" s="217">
        <v>45968</v>
      </c>
      <c r="D154">
        <v>200</v>
      </c>
      <c r="E154" t="s">
        <v>80</v>
      </c>
      <c r="F154" t="s">
        <v>81</v>
      </c>
      <c r="G154" t="s">
        <v>50</v>
      </c>
      <c r="H154">
        <v>418100141337</v>
      </c>
      <c r="I154">
        <v>71280.06</v>
      </c>
      <c r="J154">
        <v>0</v>
      </c>
      <c r="K154" t="s">
        <v>22</v>
      </c>
      <c r="L154" t="s">
        <v>23</v>
      </c>
      <c r="M154" t="s">
        <v>24</v>
      </c>
      <c r="N154" t="s">
        <v>25</v>
      </c>
      <c r="O154">
        <v>0</v>
      </c>
      <c r="Q154" t="str">
        <f t="shared" si="4"/>
        <v/>
      </c>
      <c r="R154" t="str">
        <f t="shared" si="5"/>
        <v/>
      </c>
    </row>
    <row r="155" spans="1:18" x14ac:dyDescent="0.35">
      <c r="A155">
        <v>52103</v>
      </c>
      <c r="B155" t="s">
        <v>75</v>
      </c>
      <c r="C155" s="217">
        <v>45975</v>
      </c>
      <c r="D155">
        <v>202</v>
      </c>
      <c r="E155" t="s">
        <v>80</v>
      </c>
      <c r="F155" t="s">
        <v>81</v>
      </c>
      <c r="G155" t="s">
        <v>50</v>
      </c>
      <c r="H155">
        <v>418100141777</v>
      </c>
      <c r="I155">
        <v>74337.33</v>
      </c>
      <c r="J155">
        <v>0</v>
      </c>
      <c r="K155" t="s">
        <v>22</v>
      </c>
      <c r="L155" t="s">
        <v>23</v>
      </c>
      <c r="M155" t="s">
        <v>24</v>
      </c>
      <c r="N155" t="s">
        <v>25</v>
      </c>
      <c r="O155">
        <v>0</v>
      </c>
      <c r="Q155" t="str">
        <f t="shared" si="4"/>
        <v/>
      </c>
      <c r="R155" t="str">
        <f t="shared" si="5"/>
        <v/>
      </c>
    </row>
    <row r="156" spans="1:18" x14ac:dyDescent="0.35">
      <c r="A156">
        <v>52103</v>
      </c>
      <c r="B156" t="s">
        <v>75</v>
      </c>
      <c r="C156" s="217">
        <v>45975</v>
      </c>
      <c r="D156">
        <v>202</v>
      </c>
      <c r="E156" t="s">
        <v>80</v>
      </c>
      <c r="F156" t="s">
        <v>81</v>
      </c>
      <c r="G156" t="s">
        <v>50</v>
      </c>
      <c r="H156">
        <v>418100141777</v>
      </c>
      <c r="I156">
        <v>14076.55</v>
      </c>
      <c r="J156">
        <v>0</v>
      </c>
      <c r="K156" t="s">
        <v>22</v>
      </c>
      <c r="L156" t="s">
        <v>23</v>
      </c>
      <c r="M156" t="s">
        <v>24</v>
      </c>
      <c r="N156" t="s">
        <v>25</v>
      </c>
      <c r="O156">
        <v>0</v>
      </c>
      <c r="Q156" t="str">
        <f t="shared" si="4"/>
        <v/>
      </c>
      <c r="R156" t="str">
        <f t="shared" si="5"/>
        <v/>
      </c>
    </row>
    <row r="157" spans="1:18" x14ac:dyDescent="0.35">
      <c r="A157">
        <v>52103</v>
      </c>
      <c r="B157" t="s">
        <v>75</v>
      </c>
      <c r="C157" s="217">
        <v>45975</v>
      </c>
      <c r="D157">
        <v>253</v>
      </c>
      <c r="E157" t="s">
        <v>76</v>
      </c>
      <c r="F157" t="s">
        <v>28</v>
      </c>
      <c r="G157" t="s">
        <v>59</v>
      </c>
      <c r="H157">
        <v>4213</v>
      </c>
      <c r="I157">
        <v>10000</v>
      </c>
      <c r="J157">
        <v>0</v>
      </c>
      <c r="K157" t="s">
        <v>22</v>
      </c>
      <c r="L157" t="s">
        <v>23</v>
      </c>
      <c r="M157" t="s">
        <v>24</v>
      </c>
      <c r="N157" t="s">
        <v>25</v>
      </c>
      <c r="O157">
        <v>0</v>
      </c>
      <c r="Q157" t="str">
        <f t="shared" si="4"/>
        <v/>
      </c>
      <c r="R157" t="str">
        <f t="shared" si="5"/>
        <v/>
      </c>
    </row>
    <row r="158" spans="1:18" x14ac:dyDescent="0.35">
      <c r="A158">
        <v>52103</v>
      </c>
      <c r="B158" t="s">
        <v>75</v>
      </c>
      <c r="C158" s="217">
        <v>45982</v>
      </c>
      <c r="D158">
        <v>222</v>
      </c>
      <c r="E158" t="s">
        <v>80</v>
      </c>
      <c r="F158" t="s">
        <v>81</v>
      </c>
      <c r="G158" t="s">
        <v>50</v>
      </c>
      <c r="H158">
        <v>418100142237</v>
      </c>
      <c r="I158">
        <v>14751.95</v>
      </c>
      <c r="J158">
        <v>0</v>
      </c>
      <c r="K158" t="s">
        <v>22</v>
      </c>
      <c r="L158" t="s">
        <v>23</v>
      </c>
      <c r="M158" t="s">
        <v>24</v>
      </c>
      <c r="N158" t="s">
        <v>25</v>
      </c>
      <c r="O158">
        <v>0</v>
      </c>
      <c r="Q158" t="str">
        <f t="shared" si="4"/>
        <v/>
      </c>
      <c r="R158" t="str">
        <f t="shared" si="5"/>
        <v/>
      </c>
    </row>
    <row r="159" spans="1:18" x14ac:dyDescent="0.35">
      <c r="A159">
        <v>52103</v>
      </c>
      <c r="B159" t="s">
        <v>75</v>
      </c>
      <c r="C159" s="217">
        <v>45982</v>
      </c>
      <c r="D159">
        <v>222</v>
      </c>
      <c r="E159" t="s">
        <v>80</v>
      </c>
      <c r="F159" t="s">
        <v>81</v>
      </c>
      <c r="G159" t="s">
        <v>50</v>
      </c>
      <c r="H159">
        <v>418100142237</v>
      </c>
      <c r="I159">
        <v>70295.429999999993</v>
      </c>
      <c r="J159">
        <v>0</v>
      </c>
      <c r="K159" t="s">
        <v>22</v>
      </c>
      <c r="L159" t="s">
        <v>23</v>
      </c>
      <c r="M159" t="s">
        <v>24</v>
      </c>
      <c r="N159" t="s">
        <v>25</v>
      </c>
      <c r="O159">
        <v>0</v>
      </c>
      <c r="Q159" t="str">
        <f t="shared" si="4"/>
        <v/>
      </c>
      <c r="R159" t="str">
        <f t="shared" si="5"/>
        <v/>
      </c>
    </row>
    <row r="160" spans="1:18" x14ac:dyDescent="0.35">
      <c r="A160">
        <v>52103</v>
      </c>
      <c r="B160" t="s">
        <v>75</v>
      </c>
      <c r="C160" s="217">
        <v>45996</v>
      </c>
      <c r="D160">
        <v>423</v>
      </c>
      <c r="E160" t="s">
        <v>80</v>
      </c>
      <c r="F160" t="s">
        <v>81</v>
      </c>
      <c r="G160" t="s">
        <v>50</v>
      </c>
      <c r="H160">
        <v>418100143276</v>
      </c>
      <c r="I160">
        <v>14554.74</v>
      </c>
      <c r="J160">
        <v>0</v>
      </c>
      <c r="K160" t="s">
        <v>22</v>
      </c>
      <c r="L160" t="s">
        <v>23</v>
      </c>
      <c r="M160" t="s">
        <v>24</v>
      </c>
      <c r="N160" t="s">
        <v>25</v>
      </c>
      <c r="O160">
        <v>0</v>
      </c>
      <c r="Q160" t="str">
        <f t="shared" si="4"/>
        <v/>
      </c>
      <c r="R160" t="str">
        <f t="shared" si="5"/>
        <v/>
      </c>
    </row>
    <row r="161" spans="1:18" x14ac:dyDescent="0.35">
      <c r="A161">
        <v>52103</v>
      </c>
      <c r="B161" t="s">
        <v>75</v>
      </c>
      <c r="C161" s="217">
        <v>45996</v>
      </c>
      <c r="D161">
        <v>423</v>
      </c>
      <c r="E161" t="s">
        <v>80</v>
      </c>
      <c r="F161" t="s">
        <v>81</v>
      </c>
      <c r="G161" t="s">
        <v>50</v>
      </c>
      <c r="H161">
        <v>418100143276</v>
      </c>
      <c r="I161">
        <v>96026.65</v>
      </c>
      <c r="J161">
        <v>0</v>
      </c>
      <c r="K161" t="s">
        <v>22</v>
      </c>
      <c r="L161" t="s">
        <v>23</v>
      </c>
      <c r="M161" t="s">
        <v>24</v>
      </c>
      <c r="N161" t="s">
        <v>25</v>
      </c>
      <c r="O161">
        <v>0</v>
      </c>
      <c r="Q161" t="str">
        <f t="shared" si="4"/>
        <v/>
      </c>
      <c r="R161" t="str">
        <f t="shared" si="5"/>
        <v/>
      </c>
    </row>
    <row r="162" spans="1:18" x14ac:dyDescent="0.35">
      <c r="A162">
        <v>52103</v>
      </c>
      <c r="B162" t="s">
        <v>75</v>
      </c>
      <c r="C162" s="217">
        <v>46000</v>
      </c>
      <c r="D162">
        <v>424</v>
      </c>
      <c r="E162" t="s">
        <v>77</v>
      </c>
      <c r="F162" t="s">
        <v>69</v>
      </c>
      <c r="G162" t="s">
        <v>50</v>
      </c>
      <c r="H162">
        <v>1165500001529</v>
      </c>
      <c r="I162">
        <v>4684.26</v>
      </c>
      <c r="J162">
        <v>0</v>
      </c>
      <c r="K162" t="s">
        <v>22</v>
      </c>
      <c r="L162" t="s">
        <v>23</v>
      </c>
      <c r="M162" t="s">
        <v>24</v>
      </c>
      <c r="N162" t="s">
        <v>25</v>
      </c>
      <c r="O162">
        <v>0</v>
      </c>
      <c r="Q162" t="str">
        <f t="shared" si="4"/>
        <v/>
      </c>
      <c r="R162" t="str">
        <f t="shared" si="5"/>
        <v/>
      </c>
    </row>
    <row r="163" spans="1:18" x14ac:dyDescent="0.35">
      <c r="A163">
        <v>52103</v>
      </c>
      <c r="B163" t="s">
        <v>75</v>
      </c>
      <c r="C163" s="217">
        <v>46013</v>
      </c>
      <c r="D163">
        <v>193</v>
      </c>
      <c r="E163" t="s">
        <v>76</v>
      </c>
      <c r="F163" t="s">
        <v>28</v>
      </c>
      <c r="G163" t="s">
        <v>41</v>
      </c>
      <c r="H163">
        <v>8220</v>
      </c>
      <c r="I163">
        <v>2505</v>
      </c>
      <c r="J163">
        <v>0</v>
      </c>
      <c r="K163" t="s">
        <v>22</v>
      </c>
      <c r="L163" t="s">
        <v>23</v>
      </c>
      <c r="M163" t="s">
        <v>24</v>
      </c>
      <c r="N163" t="s">
        <v>25</v>
      </c>
      <c r="O163">
        <v>0</v>
      </c>
      <c r="Q163" t="str">
        <f t="shared" si="4"/>
        <v/>
      </c>
      <c r="R163" t="str">
        <f t="shared" si="5"/>
        <v/>
      </c>
    </row>
    <row r="164" spans="1:18" x14ac:dyDescent="0.35">
      <c r="A164">
        <v>52103</v>
      </c>
      <c r="B164" t="s">
        <v>75</v>
      </c>
      <c r="C164" s="217">
        <v>46015</v>
      </c>
      <c r="D164">
        <v>902</v>
      </c>
      <c r="E164" t="s">
        <v>80</v>
      </c>
      <c r="F164" t="s">
        <v>81</v>
      </c>
      <c r="G164" t="s">
        <v>50</v>
      </c>
      <c r="H164">
        <v>418100144858</v>
      </c>
      <c r="I164">
        <v>7933.78</v>
      </c>
      <c r="J164">
        <v>0</v>
      </c>
      <c r="K164" t="s">
        <v>22</v>
      </c>
      <c r="L164" t="s">
        <v>23</v>
      </c>
      <c r="M164" t="s">
        <v>24</v>
      </c>
      <c r="N164" t="s">
        <v>25</v>
      </c>
      <c r="O164">
        <v>0</v>
      </c>
      <c r="Q164" t="str">
        <f t="shared" si="4"/>
        <v/>
      </c>
      <c r="R164" t="str">
        <f t="shared" si="5"/>
        <v/>
      </c>
    </row>
    <row r="165" spans="1:18" x14ac:dyDescent="0.35">
      <c r="A165">
        <v>52103</v>
      </c>
      <c r="B165" t="s">
        <v>75</v>
      </c>
      <c r="C165" s="217">
        <v>46031</v>
      </c>
      <c r="D165">
        <v>349</v>
      </c>
      <c r="E165" t="s">
        <v>76</v>
      </c>
      <c r="F165" t="s">
        <v>28</v>
      </c>
      <c r="G165" t="s">
        <v>41</v>
      </c>
      <c r="H165">
        <v>8373</v>
      </c>
      <c r="I165">
        <v>7220</v>
      </c>
      <c r="J165">
        <v>0</v>
      </c>
      <c r="K165" t="s">
        <v>22</v>
      </c>
      <c r="L165" t="s">
        <v>23</v>
      </c>
      <c r="M165" t="s">
        <v>24</v>
      </c>
      <c r="N165" t="s">
        <v>25</v>
      </c>
      <c r="O165">
        <v>0</v>
      </c>
      <c r="Q165" t="str">
        <f t="shared" si="4"/>
        <v/>
      </c>
      <c r="R165" t="str">
        <f t="shared" si="5"/>
        <v/>
      </c>
    </row>
    <row r="166" spans="1:18" x14ac:dyDescent="0.35">
      <c r="A166">
        <v>52103</v>
      </c>
      <c r="B166" t="s">
        <v>75</v>
      </c>
      <c r="C166" s="217">
        <v>46067</v>
      </c>
      <c r="D166">
        <v>1475</v>
      </c>
      <c r="E166" t="s">
        <v>80</v>
      </c>
      <c r="F166" t="s">
        <v>81</v>
      </c>
      <c r="G166" t="s">
        <v>50</v>
      </c>
      <c r="H166">
        <v>418100147944</v>
      </c>
      <c r="I166">
        <v>6097.83</v>
      </c>
      <c r="J166">
        <v>0</v>
      </c>
      <c r="K166" t="s">
        <v>22</v>
      </c>
      <c r="L166" t="s">
        <v>23</v>
      </c>
      <c r="M166" t="s">
        <v>24</v>
      </c>
      <c r="N166" t="s">
        <v>25</v>
      </c>
      <c r="O166">
        <v>0</v>
      </c>
      <c r="Q166" t="str">
        <f t="shared" si="4"/>
        <v/>
      </c>
      <c r="R166" t="str">
        <f t="shared" si="5"/>
        <v/>
      </c>
    </row>
    <row r="167" spans="1:18" x14ac:dyDescent="0.35">
      <c r="A167">
        <v>52104</v>
      </c>
      <c r="B167" t="s">
        <v>84</v>
      </c>
      <c r="C167" s="217">
        <v>45729</v>
      </c>
      <c r="D167">
        <v>1603</v>
      </c>
      <c r="E167" t="s">
        <v>85</v>
      </c>
      <c r="F167" t="s">
        <v>86</v>
      </c>
      <c r="G167" t="s">
        <v>50</v>
      </c>
      <c r="H167">
        <v>200007273</v>
      </c>
      <c r="I167">
        <v>44000</v>
      </c>
      <c r="J167">
        <v>0</v>
      </c>
      <c r="K167" t="s">
        <v>22</v>
      </c>
      <c r="L167" t="s">
        <v>23</v>
      </c>
      <c r="M167" t="s">
        <v>24</v>
      </c>
      <c r="N167" t="s">
        <v>25</v>
      </c>
      <c r="O167">
        <v>0</v>
      </c>
      <c r="Q167" t="str">
        <f t="shared" si="4"/>
        <v/>
      </c>
      <c r="R167" t="str">
        <f t="shared" si="5"/>
        <v/>
      </c>
    </row>
    <row r="168" spans="1:18" x14ac:dyDescent="0.35">
      <c r="A168">
        <v>52104</v>
      </c>
      <c r="B168" t="s">
        <v>84</v>
      </c>
      <c r="C168" s="217">
        <v>45742</v>
      </c>
      <c r="D168">
        <v>1854</v>
      </c>
      <c r="E168" t="s">
        <v>85</v>
      </c>
      <c r="F168" t="s">
        <v>86</v>
      </c>
      <c r="G168" t="s">
        <v>50</v>
      </c>
      <c r="H168">
        <v>200007301</v>
      </c>
      <c r="I168">
        <v>70400</v>
      </c>
      <c r="J168">
        <v>0</v>
      </c>
      <c r="K168" t="s">
        <v>22</v>
      </c>
      <c r="L168" t="s">
        <v>23</v>
      </c>
      <c r="M168" t="s">
        <v>24</v>
      </c>
      <c r="N168" t="s">
        <v>25</v>
      </c>
      <c r="O168">
        <v>0</v>
      </c>
      <c r="Q168" t="str">
        <f t="shared" si="4"/>
        <v/>
      </c>
      <c r="R168" t="str">
        <f t="shared" si="5"/>
        <v/>
      </c>
    </row>
    <row r="169" spans="1:18" x14ac:dyDescent="0.35">
      <c r="A169">
        <v>52104</v>
      </c>
      <c r="B169" t="s">
        <v>84</v>
      </c>
      <c r="C169" s="217">
        <v>45839</v>
      </c>
      <c r="D169">
        <v>3826</v>
      </c>
      <c r="E169" t="s">
        <v>87</v>
      </c>
      <c r="F169" t="s">
        <v>88</v>
      </c>
      <c r="G169" t="s">
        <v>50</v>
      </c>
      <c r="H169">
        <v>1100000579</v>
      </c>
      <c r="I169">
        <v>171600</v>
      </c>
      <c r="J169">
        <v>0</v>
      </c>
      <c r="K169" t="s">
        <v>22</v>
      </c>
      <c r="L169" t="s">
        <v>23</v>
      </c>
      <c r="M169" t="s">
        <v>24</v>
      </c>
      <c r="N169" t="s">
        <v>25</v>
      </c>
      <c r="O169">
        <v>0</v>
      </c>
      <c r="Q169" t="str">
        <f t="shared" si="4"/>
        <v/>
      </c>
      <c r="R169" t="str">
        <f t="shared" si="5"/>
        <v/>
      </c>
    </row>
    <row r="170" spans="1:18" x14ac:dyDescent="0.35">
      <c r="A170">
        <v>52104</v>
      </c>
      <c r="B170" t="s">
        <v>84</v>
      </c>
      <c r="C170" s="217">
        <v>45917</v>
      </c>
      <c r="D170">
        <v>4666</v>
      </c>
      <c r="E170" t="s">
        <v>87</v>
      </c>
      <c r="F170" t="s">
        <v>88</v>
      </c>
      <c r="G170" t="s">
        <v>50</v>
      </c>
      <c r="H170">
        <v>1100001206</v>
      </c>
      <c r="I170">
        <v>26400</v>
      </c>
      <c r="J170">
        <v>0</v>
      </c>
      <c r="K170" t="s">
        <v>22</v>
      </c>
      <c r="L170" t="s">
        <v>23</v>
      </c>
      <c r="M170" t="s">
        <v>24</v>
      </c>
      <c r="N170" t="s">
        <v>25</v>
      </c>
      <c r="O170">
        <v>0</v>
      </c>
      <c r="Q170" t="str">
        <f t="shared" si="4"/>
        <v/>
      </c>
      <c r="R170" t="str">
        <f t="shared" si="5"/>
        <v/>
      </c>
    </row>
    <row r="171" spans="1:18" x14ac:dyDescent="0.35">
      <c r="A171">
        <v>52104</v>
      </c>
      <c r="B171" t="s">
        <v>84</v>
      </c>
      <c r="C171" s="217">
        <v>45927</v>
      </c>
      <c r="D171">
        <v>4856</v>
      </c>
      <c r="E171" t="s">
        <v>87</v>
      </c>
      <c r="F171" t="s">
        <v>88</v>
      </c>
      <c r="G171" t="s">
        <v>50</v>
      </c>
      <c r="H171">
        <v>1100001207</v>
      </c>
      <c r="I171">
        <v>237600</v>
      </c>
      <c r="J171">
        <v>0</v>
      </c>
      <c r="K171" t="s">
        <v>22</v>
      </c>
      <c r="L171" t="s">
        <v>23</v>
      </c>
      <c r="M171" t="s">
        <v>24</v>
      </c>
      <c r="N171" t="s">
        <v>25</v>
      </c>
      <c r="O171">
        <v>0</v>
      </c>
      <c r="Q171" t="str">
        <f t="shared" si="4"/>
        <v/>
      </c>
      <c r="R171" t="str">
        <f t="shared" si="5"/>
        <v/>
      </c>
    </row>
    <row r="172" spans="1:18" x14ac:dyDescent="0.35">
      <c r="A172">
        <v>52104</v>
      </c>
      <c r="B172" t="s">
        <v>84</v>
      </c>
      <c r="C172" s="217">
        <v>45931</v>
      </c>
      <c r="D172">
        <v>5111</v>
      </c>
      <c r="E172" t="s">
        <v>87</v>
      </c>
      <c r="F172" t="s">
        <v>88</v>
      </c>
      <c r="G172" t="s">
        <v>50</v>
      </c>
      <c r="H172">
        <v>1100001445</v>
      </c>
      <c r="I172">
        <v>176000</v>
      </c>
      <c r="J172">
        <v>0</v>
      </c>
      <c r="K172" t="s">
        <v>22</v>
      </c>
      <c r="L172" t="s">
        <v>23</v>
      </c>
      <c r="M172" t="s">
        <v>24</v>
      </c>
      <c r="N172" t="s">
        <v>25</v>
      </c>
      <c r="O172">
        <v>0</v>
      </c>
      <c r="Q172" t="str">
        <f t="shared" si="4"/>
        <v/>
      </c>
      <c r="R172" t="str">
        <f t="shared" si="5"/>
        <v/>
      </c>
    </row>
    <row r="173" spans="1:18" x14ac:dyDescent="0.35">
      <c r="A173">
        <v>52104</v>
      </c>
      <c r="B173" t="s">
        <v>84</v>
      </c>
      <c r="C173" s="217">
        <v>45962</v>
      </c>
      <c r="D173">
        <v>19</v>
      </c>
      <c r="E173" t="s">
        <v>87</v>
      </c>
      <c r="F173" t="s">
        <v>88</v>
      </c>
      <c r="G173" t="s">
        <v>50</v>
      </c>
      <c r="H173">
        <v>1100001734</v>
      </c>
      <c r="I173">
        <v>460000</v>
      </c>
      <c r="J173">
        <v>0</v>
      </c>
      <c r="K173" t="s">
        <v>22</v>
      </c>
      <c r="L173" t="s">
        <v>23</v>
      </c>
      <c r="M173" t="s">
        <v>24</v>
      </c>
      <c r="N173" t="s">
        <v>25</v>
      </c>
      <c r="O173">
        <v>0</v>
      </c>
      <c r="Q173" t="str">
        <f t="shared" si="4"/>
        <v/>
      </c>
      <c r="R173" t="str">
        <f t="shared" si="5"/>
        <v/>
      </c>
    </row>
    <row r="174" spans="1:18" x14ac:dyDescent="0.35">
      <c r="A174">
        <v>52104</v>
      </c>
      <c r="B174" t="s">
        <v>84</v>
      </c>
      <c r="C174" s="217">
        <v>45962</v>
      </c>
      <c r="D174">
        <v>2339</v>
      </c>
      <c r="E174" t="s">
        <v>87</v>
      </c>
      <c r="F174" t="s">
        <v>88</v>
      </c>
      <c r="G174" t="s">
        <v>50</v>
      </c>
      <c r="H174">
        <v>1100001208</v>
      </c>
      <c r="I174">
        <v>132000</v>
      </c>
      <c r="J174">
        <v>0</v>
      </c>
      <c r="K174" t="s">
        <v>22</v>
      </c>
      <c r="L174" t="s">
        <v>23</v>
      </c>
      <c r="M174" t="s">
        <v>24</v>
      </c>
      <c r="N174" t="s">
        <v>25</v>
      </c>
      <c r="O174">
        <v>0</v>
      </c>
      <c r="Q174" t="str">
        <f t="shared" si="4"/>
        <v/>
      </c>
      <c r="R174" t="str">
        <f t="shared" si="5"/>
        <v/>
      </c>
    </row>
    <row r="175" spans="1:18" x14ac:dyDescent="0.35">
      <c r="A175">
        <v>52104</v>
      </c>
      <c r="B175" t="s">
        <v>84</v>
      </c>
      <c r="C175" s="217">
        <v>45992</v>
      </c>
      <c r="D175">
        <v>353</v>
      </c>
      <c r="E175" t="s">
        <v>87</v>
      </c>
      <c r="F175" t="s">
        <v>88</v>
      </c>
      <c r="G175" t="s">
        <v>50</v>
      </c>
      <c r="H175">
        <v>1100002020</v>
      </c>
      <c r="I175">
        <v>370000</v>
      </c>
      <c r="J175">
        <v>0</v>
      </c>
      <c r="K175" t="s">
        <v>22</v>
      </c>
      <c r="L175" t="s">
        <v>23</v>
      </c>
      <c r="M175" t="s">
        <v>24</v>
      </c>
      <c r="N175" t="s">
        <v>25</v>
      </c>
      <c r="O175">
        <v>0</v>
      </c>
      <c r="Q175" t="str">
        <f t="shared" si="4"/>
        <v/>
      </c>
      <c r="R175" t="str">
        <f t="shared" si="5"/>
        <v/>
      </c>
    </row>
    <row r="176" spans="1:18" x14ac:dyDescent="0.35">
      <c r="A176">
        <v>52104</v>
      </c>
      <c r="B176" t="s">
        <v>84</v>
      </c>
      <c r="C176" s="217">
        <v>46023</v>
      </c>
      <c r="D176">
        <v>751</v>
      </c>
      <c r="E176" t="s">
        <v>87</v>
      </c>
      <c r="F176" t="s">
        <v>88</v>
      </c>
      <c r="G176" t="s">
        <v>50</v>
      </c>
      <c r="H176">
        <v>1100002286</v>
      </c>
      <c r="I176">
        <v>240000</v>
      </c>
      <c r="J176">
        <v>0</v>
      </c>
      <c r="K176" t="s">
        <v>22</v>
      </c>
      <c r="L176" t="s">
        <v>23</v>
      </c>
      <c r="M176" t="s">
        <v>24</v>
      </c>
      <c r="N176" t="s">
        <v>25</v>
      </c>
      <c r="O176">
        <v>0</v>
      </c>
      <c r="Q176" t="str">
        <f t="shared" si="4"/>
        <v/>
      </c>
      <c r="R176" t="str">
        <f t="shared" si="5"/>
        <v/>
      </c>
    </row>
    <row r="177" spans="1:18" x14ac:dyDescent="0.35">
      <c r="A177">
        <v>52104</v>
      </c>
      <c r="B177" t="s">
        <v>84</v>
      </c>
      <c r="C177" s="217">
        <v>46056</v>
      </c>
      <c r="D177">
        <v>1204</v>
      </c>
      <c r="E177" t="s">
        <v>87</v>
      </c>
      <c r="F177" t="s">
        <v>88</v>
      </c>
      <c r="G177" t="s">
        <v>50</v>
      </c>
      <c r="H177">
        <v>1100002558</v>
      </c>
      <c r="I177">
        <v>370000</v>
      </c>
      <c r="J177">
        <v>0</v>
      </c>
      <c r="K177" t="s">
        <v>22</v>
      </c>
      <c r="L177" t="s">
        <v>23</v>
      </c>
      <c r="M177" t="s">
        <v>24</v>
      </c>
      <c r="N177" t="s">
        <v>25</v>
      </c>
      <c r="O177">
        <v>0</v>
      </c>
      <c r="Q177" t="str">
        <f t="shared" si="4"/>
        <v/>
      </c>
      <c r="R177" t="str">
        <f t="shared" si="5"/>
        <v/>
      </c>
    </row>
    <row r="178" spans="1:18" x14ac:dyDescent="0.35">
      <c r="A178">
        <v>52104</v>
      </c>
      <c r="B178" t="s">
        <v>84</v>
      </c>
      <c r="C178" s="217">
        <v>46083</v>
      </c>
      <c r="D178">
        <v>1630</v>
      </c>
      <c r="E178" t="s">
        <v>87</v>
      </c>
      <c r="F178" t="s">
        <v>88</v>
      </c>
      <c r="G178" t="s">
        <v>50</v>
      </c>
      <c r="H178">
        <v>1100002825</v>
      </c>
      <c r="I178">
        <v>330000</v>
      </c>
      <c r="J178">
        <v>0</v>
      </c>
      <c r="K178" t="s">
        <v>22</v>
      </c>
      <c r="L178" t="s">
        <v>23</v>
      </c>
      <c r="M178" t="s">
        <v>24</v>
      </c>
      <c r="N178" t="s">
        <v>25</v>
      </c>
      <c r="O178">
        <v>0</v>
      </c>
      <c r="Q178" t="str">
        <f t="shared" si="4"/>
        <v/>
      </c>
      <c r="R178" t="str">
        <f t="shared" si="5"/>
        <v/>
      </c>
    </row>
    <row r="179" spans="1:18" x14ac:dyDescent="0.35">
      <c r="A179">
        <v>52104</v>
      </c>
      <c r="B179" t="s">
        <v>84</v>
      </c>
      <c r="C179" s="217">
        <v>46113</v>
      </c>
      <c r="D179">
        <v>2354</v>
      </c>
      <c r="E179" t="s">
        <v>87</v>
      </c>
      <c r="F179" t="s">
        <v>88</v>
      </c>
      <c r="G179" t="s">
        <v>50</v>
      </c>
      <c r="H179">
        <v>1100003146</v>
      </c>
      <c r="I179">
        <v>340000</v>
      </c>
      <c r="J179">
        <v>0</v>
      </c>
      <c r="K179" t="s">
        <v>22</v>
      </c>
      <c r="L179" t="s">
        <v>23</v>
      </c>
      <c r="M179" t="s">
        <v>24</v>
      </c>
      <c r="N179" t="s">
        <v>25</v>
      </c>
      <c r="O179">
        <v>0</v>
      </c>
      <c r="Q179" t="str">
        <f t="shared" si="4"/>
        <v/>
      </c>
      <c r="R179" t="str">
        <f t="shared" si="5"/>
        <v/>
      </c>
    </row>
    <row r="180" spans="1:18" x14ac:dyDescent="0.35">
      <c r="A180">
        <v>52202</v>
      </c>
      <c r="B180" t="s">
        <v>89</v>
      </c>
      <c r="C180" s="217">
        <v>45964</v>
      </c>
      <c r="D180">
        <v>5</v>
      </c>
      <c r="E180" t="s">
        <v>90</v>
      </c>
      <c r="F180" t="s">
        <v>28</v>
      </c>
      <c r="G180" t="s">
        <v>41</v>
      </c>
      <c r="H180">
        <v>7826</v>
      </c>
      <c r="I180">
        <v>1500000</v>
      </c>
      <c r="J180">
        <v>0</v>
      </c>
      <c r="K180" t="s">
        <v>22</v>
      </c>
      <c r="L180" t="s">
        <v>23</v>
      </c>
      <c r="M180" t="s">
        <v>24</v>
      </c>
      <c r="N180" t="s">
        <v>25</v>
      </c>
      <c r="O180">
        <v>0</v>
      </c>
      <c r="Q180" t="str">
        <f t="shared" si="4"/>
        <v/>
      </c>
      <c r="R180" t="str">
        <f t="shared" si="5"/>
        <v/>
      </c>
    </row>
    <row r="181" spans="1:18" x14ac:dyDescent="0.35">
      <c r="A181">
        <v>52202</v>
      </c>
      <c r="B181" t="s">
        <v>89</v>
      </c>
      <c r="C181" s="217">
        <v>46101</v>
      </c>
      <c r="D181">
        <v>827</v>
      </c>
      <c r="E181" t="s">
        <v>91</v>
      </c>
      <c r="F181" t="s">
        <v>28</v>
      </c>
      <c r="G181" t="s">
        <v>41</v>
      </c>
      <c r="H181">
        <v>8855</v>
      </c>
      <c r="I181">
        <v>3000000</v>
      </c>
      <c r="J181">
        <v>0</v>
      </c>
      <c r="K181" t="s">
        <v>22</v>
      </c>
      <c r="L181" t="s">
        <v>23</v>
      </c>
      <c r="M181" t="s">
        <v>24</v>
      </c>
      <c r="N181" t="s">
        <v>25</v>
      </c>
      <c r="O181">
        <v>0</v>
      </c>
      <c r="Q181" t="str">
        <f t="shared" si="4"/>
        <v/>
      </c>
      <c r="R181" t="str">
        <f t="shared" si="5"/>
        <v/>
      </c>
    </row>
    <row r="182" spans="1:18" x14ac:dyDescent="0.35">
      <c r="A182">
        <v>52204</v>
      </c>
      <c r="B182" t="s">
        <v>92</v>
      </c>
      <c r="C182" s="217">
        <v>45691</v>
      </c>
      <c r="D182">
        <v>1089</v>
      </c>
      <c r="E182" t="s">
        <v>93</v>
      </c>
      <c r="F182" t="s">
        <v>94</v>
      </c>
      <c r="G182" t="s">
        <v>50</v>
      </c>
      <c r="H182">
        <v>300001153</v>
      </c>
      <c r="I182">
        <v>240000</v>
      </c>
      <c r="J182">
        <v>0</v>
      </c>
      <c r="K182" t="s">
        <v>22</v>
      </c>
      <c r="L182" t="s">
        <v>23</v>
      </c>
      <c r="M182" t="s">
        <v>24</v>
      </c>
      <c r="N182" t="s">
        <v>25</v>
      </c>
      <c r="O182">
        <v>0</v>
      </c>
      <c r="Q182" t="str">
        <f t="shared" si="4"/>
        <v/>
      </c>
      <c r="R182" t="str">
        <f t="shared" si="5"/>
        <v/>
      </c>
    </row>
    <row r="183" spans="1:18" x14ac:dyDescent="0.35">
      <c r="A183">
        <v>52204</v>
      </c>
      <c r="B183" t="s">
        <v>92</v>
      </c>
      <c r="C183" s="217">
        <v>45721</v>
      </c>
      <c r="D183">
        <v>1438</v>
      </c>
      <c r="E183" t="s">
        <v>93</v>
      </c>
      <c r="F183" t="s">
        <v>94</v>
      </c>
      <c r="G183" t="s">
        <v>50</v>
      </c>
      <c r="H183">
        <v>300001173</v>
      </c>
      <c r="I183">
        <v>307000</v>
      </c>
      <c r="J183">
        <v>0</v>
      </c>
      <c r="K183" t="s">
        <v>22</v>
      </c>
      <c r="L183" t="s">
        <v>23</v>
      </c>
      <c r="M183" t="s">
        <v>24</v>
      </c>
      <c r="N183" t="s">
        <v>25</v>
      </c>
      <c r="O183">
        <v>0</v>
      </c>
      <c r="Q183" t="str">
        <f t="shared" si="4"/>
        <v/>
      </c>
      <c r="R183" t="str">
        <f t="shared" si="5"/>
        <v/>
      </c>
    </row>
    <row r="184" spans="1:18" x14ac:dyDescent="0.35">
      <c r="A184">
        <v>52204</v>
      </c>
      <c r="B184" t="s">
        <v>92</v>
      </c>
      <c r="C184" s="217">
        <v>45746</v>
      </c>
      <c r="D184">
        <v>1932</v>
      </c>
      <c r="E184" t="s">
        <v>93</v>
      </c>
      <c r="F184" t="s">
        <v>95</v>
      </c>
      <c r="G184" t="s">
        <v>73</v>
      </c>
      <c r="H184">
        <v>100000027</v>
      </c>
      <c r="I184">
        <v>1250000</v>
      </c>
      <c r="J184">
        <v>0</v>
      </c>
      <c r="K184" t="s">
        <v>22</v>
      </c>
      <c r="L184" t="s">
        <v>23</v>
      </c>
      <c r="M184" t="s">
        <v>24</v>
      </c>
      <c r="N184" t="s">
        <v>25</v>
      </c>
      <c r="O184">
        <v>0</v>
      </c>
      <c r="Q184" t="str">
        <f t="shared" si="4"/>
        <v/>
      </c>
      <c r="R184" t="str">
        <f t="shared" si="5"/>
        <v/>
      </c>
    </row>
    <row r="185" spans="1:18" x14ac:dyDescent="0.35">
      <c r="A185">
        <v>52204</v>
      </c>
      <c r="B185" t="s">
        <v>92</v>
      </c>
      <c r="C185" s="217">
        <v>45748</v>
      </c>
      <c r="D185">
        <v>1995</v>
      </c>
      <c r="E185" t="s">
        <v>93</v>
      </c>
      <c r="F185" t="s">
        <v>94</v>
      </c>
      <c r="G185" t="s">
        <v>50</v>
      </c>
      <c r="H185">
        <v>300001194</v>
      </c>
      <c r="I185">
        <v>446700</v>
      </c>
      <c r="J185">
        <v>0</v>
      </c>
      <c r="K185" t="s">
        <v>22</v>
      </c>
      <c r="L185" t="s">
        <v>23</v>
      </c>
      <c r="M185" t="s">
        <v>24</v>
      </c>
      <c r="N185" t="s">
        <v>25</v>
      </c>
      <c r="O185">
        <v>0</v>
      </c>
      <c r="Q185" t="str">
        <f t="shared" si="4"/>
        <v/>
      </c>
      <c r="R185" t="str">
        <f t="shared" si="5"/>
        <v/>
      </c>
    </row>
    <row r="186" spans="1:18" x14ac:dyDescent="0.35">
      <c r="A186">
        <v>52204</v>
      </c>
      <c r="B186" t="s">
        <v>92</v>
      </c>
      <c r="C186" s="217">
        <v>45782</v>
      </c>
      <c r="D186">
        <v>2407</v>
      </c>
      <c r="E186" t="s">
        <v>93</v>
      </c>
      <c r="F186" t="s">
        <v>94</v>
      </c>
      <c r="G186" t="s">
        <v>50</v>
      </c>
      <c r="H186">
        <v>300001214</v>
      </c>
      <c r="I186">
        <v>267000</v>
      </c>
      <c r="J186">
        <v>0</v>
      </c>
      <c r="K186" t="s">
        <v>22</v>
      </c>
      <c r="L186" t="s">
        <v>23</v>
      </c>
      <c r="M186" t="s">
        <v>24</v>
      </c>
      <c r="N186" t="s">
        <v>25</v>
      </c>
      <c r="O186">
        <v>0</v>
      </c>
      <c r="Q186" t="str">
        <f t="shared" si="4"/>
        <v/>
      </c>
      <c r="R186" t="str">
        <f t="shared" si="5"/>
        <v/>
      </c>
    </row>
    <row r="187" spans="1:18" x14ac:dyDescent="0.35">
      <c r="A187">
        <v>52204</v>
      </c>
      <c r="B187" t="s">
        <v>92</v>
      </c>
      <c r="C187" s="217">
        <v>45782</v>
      </c>
      <c r="D187">
        <v>2407</v>
      </c>
      <c r="E187" t="s">
        <v>93</v>
      </c>
      <c r="F187" t="s">
        <v>94</v>
      </c>
      <c r="G187" t="s">
        <v>50</v>
      </c>
      <c r="H187">
        <v>300001214</v>
      </c>
      <c r="I187">
        <v>190000</v>
      </c>
      <c r="J187">
        <v>0</v>
      </c>
      <c r="K187" t="s">
        <v>22</v>
      </c>
      <c r="L187" t="s">
        <v>23</v>
      </c>
      <c r="M187" t="s">
        <v>24</v>
      </c>
      <c r="N187" t="s">
        <v>25</v>
      </c>
      <c r="O187">
        <v>0</v>
      </c>
      <c r="Q187" t="str">
        <f t="shared" si="4"/>
        <v/>
      </c>
      <c r="R187" t="str">
        <f t="shared" si="5"/>
        <v/>
      </c>
    </row>
    <row r="188" spans="1:18" x14ac:dyDescent="0.35">
      <c r="A188">
        <v>52204</v>
      </c>
      <c r="B188" t="s">
        <v>92</v>
      </c>
      <c r="C188" s="217">
        <v>45782</v>
      </c>
      <c r="D188">
        <v>2434</v>
      </c>
      <c r="E188" t="s">
        <v>96</v>
      </c>
      <c r="F188" t="s">
        <v>95</v>
      </c>
      <c r="G188" t="s">
        <v>73</v>
      </c>
      <c r="H188">
        <v>100000028</v>
      </c>
      <c r="I188">
        <v>1250000</v>
      </c>
      <c r="J188">
        <v>0</v>
      </c>
      <c r="K188" t="s">
        <v>22</v>
      </c>
      <c r="L188" t="s">
        <v>23</v>
      </c>
      <c r="M188" t="s">
        <v>24</v>
      </c>
      <c r="N188" t="s">
        <v>25</v>
      </c>
      <c r="O188">
        <v>0</v>
      </c>
      <c r="Q188" t="str">
        <f t="shared" si="4"/>
        <v/>
      </c>
      <c r="R188" t="str">
        <f t="shared" si="5"/>
        <v/>
      </c>
    </row>
    <row r="189" spans="1:18" x14ac:dyDescent="0.35">
      <c r="A189">
        <v>52204</v>
      </c>
      <c r="B189" t="s">
        <v>92</v>
      </c>
      <c r="C189" s="217">
        <v>45812</v>
      </c>
      <c r="D189">
        <v>3203</v>
      </c>
      <c r="E189" t="s">
        <v>93</v>
      </c>
      <c r="F189" t="s">
        <v>94</v>
      </c>
      <c r="G189" t="s">
        <v>50</v>
      </c>
      <c r="H189">
        <v>300001238</v>
      </c>
      <c r="I189">
        <v>275000</v>
      </c>
      <c r="J189">
        <v>0</v>
      </c>
      <c r="K189" t="s">
        <v>22</v>
      </c>
      <c r="L189" t="s">
        <v>23</v>
      </c>
      <c r="M189" t="s">
        <v>24</v>
      </c>
      <c r="N189" t="s">
        <v>25</v>
      </c>
      <c r="O189">
        <v>0</v>
      </c>
      <c r="Q189" t="str">
        <f t="shared" si="4"/>
        <v/>
      </c>
      <c r="R189" t="str">
        <f t="shared" si="5"/>
        <v/>
      </c>
    </row>
    <row r="190" spans="1:18" x14ac:dyDescent="0.35">
      <c r="A190">
        <v>52204</v>
      </c>
      <c r="B190" t="s">
        <v>92</v>
      </c>
      <c r="C190" s="217">
        <v>45812</v>
      </c>
      <c r="D190">
        <v>3203</v>
      </c>
      <c r="E190" t="s">
        <v>93</v>
      </c>
      <c r="F190" t="s">
        <v>94</v>
      </c>
      <c r="G190" t="s">
        <v>50</v>
      </c>
      <c r="H190">
        <v>300001238</v>
      </c>
      <c r="I190">
        <v>137500</v>
      </c>
      <c r="J190">
        <v>0</v>
      </c>
      <c r="K190" t="s">
        <v>22</v>
      </c>
      <c r="L190" t="s">
        <v>23</v>
      </c>
      <c r="M190" t="s">
        <v>24</v>
      </c>
      <c r="N190" t="s">
        <v>25</v>
      </c>
      <c r="O190">
        <v>0</v>
      </c>
      <c r="Q190" t="str">
        <f t="shared" si="4"/>
        <v/>
      </c>
      <c r="R190" t="str">
        <f t="shared" si="5"/>
        <v/>
      </c>
    </row>
    <row r="191" spans="1:18" x14ac:dyDescent="0.35">
      <c r="A191">
        <v>52204</v>
      </c>
      <c r="B191" t="s">
        <v>92</v>
      </c>
      <c r="C191" s="217">
        <v>45812</v>
      </c>
      <c r="D191">
        <v>3203</v>
      </c>
      <c r="E191" t="s">
        <v>93</v>
      </c>
      <c r="F191" t="s">
        <v>94</v>
      </c>
      <c r="G191" t="s">
        <v>50</v>
      </c>
      <c r="H191">
        <v>300001238</v>
      </c>
      <c r="I191">
        <v>190000</v>
      </c>
      <c r="J191">
        <v>0</v>
      </c>
      <c r="K191" t="s">
        <v>22</v>
      </c>
      <c r="L191" t="s">
        <v>23</v>
      </c>
      <c r="M191" t="s">
        <v>24</v>
      </c>
      <c r="N191" t="s">
        <v>25</v>
      </c>
      <c r="O191">
        <v>0</v>
      </c>
      <c r="Q191" t="str">
        <f t="shared" si="4"/>
        <v/>
      </c>
      <c r="R191" t="str">
        <f t="shared" si="5"/>
        <v/>
      </c>
    </row>
    <row r="192" spans="1:18" x14ac:dyDescent="0.35">
      <c r="A192">
        <v>52204</v>
      </c>
      <c r="B192" t="s">
        <v>92</v>
      </c>
      <c r="C192" s="217">
        <v>45814</v>
      </c>
      <c r="D192">
        <v>3219</v>
      </c>
      <c r="E192" t="s">
        <v>93</v>
      </c>
      <c r="F192" t="s">
        <v>95</v>
      </c>
      <c r="G192" t="s">
        <v>73</v>
      </c>
      <c r="H192">
        <v>100000029</v>
      </c>
      <c r="I192">
        <v>1250000</v>
      </c>
      <c r="J192">
        <v>0</v>
      </c>
      <c r="K192" t="s">
        <v>22</v>
      </c>
      <c r="L192" t="s">
        <v>23</v>
      </c>
      <c r="M192" t="s">
        <v>24</v>
      </c>
      <c r="N192" t="s">
        <v>25</v>
      </c>
      <c r="O192">
        <v>0</v>
      </c>
      <c r="Q192" t="str">
        <f t="shared" si="4"/>
        <v/>
      </c>
      <c r="R192" t="str">
        <f t="shared" si="5"/>
        <v/>
      </c>
    </row>
    <row r="193" spans="1:18" x14ac:dyDescent="0.35">
      <c r="A193">
        <v>52204</v>
      </c>
      <c r="B193" t="s">
        <v>92</v>
      </c>
      <c r="C193" s="217">
        <v>45838</v>
      </c>
      <c r="D193">
        <v>3496</v>
      </c>
      <c r="E193" t="s">
        <v>93</v>
      </c>
      <c r="F193" t="s">
        <v>95</v>
      </c>
      <c r="G193" t="s">
        <v>73</v>
      </c>
      <c r="H193">
        <v>100000030</v>
      </c>
      <c r="I193">
        <v>1250000</v>
      </c>
      <c r="J193">
        <v>0</v>
      </c>
      <c r="K193" t="s">
        <v>22</v>
      </c>
      <c r="L193" t="s">
        <v>23</v>
      </c>
      <c r="M193" t="s">
        <v>24</v>
      </c>
      <c r="N193" t="s">
        <v>25</v>
      </c>
      <c r="O193">
        <v>0</v>
      </c>
      <c r="Q193" t="str">
        <f t="shared" si="4"/>
        <v/>
      </c>
      <c r="R193" t="str">
        <f t="shared" si="5"/>
        <v/>
      </c>
    </row>
    <row r="194" spans="1:18" x14ac:dyDescent="0.35">
      <c r="A194">
        <v>52204</v>
      </c>
      <c r="B194" t="s">
        <v>92</v>
      </c>
      <c r="C194" s="217">
        <v>45839</v>
      </c>
      <c r="D194">
        <v>3501</v>
      </c>
      <c r="E194" t="s">
        <v>93</v>
      </c>
      <c r="F194" t="s">
        <v>94</v>
      </c>
      <c r="G194" t="s">
        <v>50</v>
      </c>
      <c r="H194">
        <v>300001259</v>
      </c>
      <c r="I194">
        <v>427500</v>
      </c>
      <c r="J194">
        <v>0</v>
      </c>
      <c r="K194" t="s">
        <v>22</v>
      </c>
      <c r="L194" t="s">
        <v>23</v>
      </c>
      <c r="M194" t="s">
        <v>24</v>
      </c>
      <c r="N194" t="s">
        <v>25</v>
      </c>
      <c r="O194">
        <v>0</v>
      </c>
      <c r="Q194" t="str">
        <f t="shared" ref="Q194:Q257" si="6">IFERROR(TRIM(LEFT($E194,FIND(" | ",$E194)-1)),"")</f>
        <v/>
      </c>
      <c r="R194" t="str">
        <f t="shared" ref="R194:R257" si="7">IFERROR(TRIM(UPPER(MID($E194,FIND(" | ",$E194)+3,IFERROR(FIND(" | ",$E194,FIND(" | ",$E194)+3),LEN($E194)+1)-FIND(" | ",$E194)-3))),"")</f>
        <v/>
      </c>
    </row>
    <row r="195" spans="1:18" x14ac:dyDescent="0.35">
      <c r="A195">
        <v>52204</v>
      </c>
      <c r="B195" t="s">
        <v>92</v>
      </c>
      <c r="C195" s="217">
        <v>45842</v>
      </c>
      <c r="D195">
        <v>3662</v>
      </c>
      <c r="E195" t="s">
        <v>93</v>
      </c>
      <c r="F195" t="s">
        <v>94</v>
      </c>
      <c r="G195" t="s">
        <v>51</v>
      </c>
      <c r="H195">
        <v>300000046</v>
      </c>
      <c r="I195">
        <v>0</v>
      </c>
      <c r="J195">
        <v>515000</v>
      </c>
      <c r="K195" t="s">
        <v>22</v>
      </c>
      <c r="L195" t="s">
        <v>23</v>
      </c>
      <c r="M195" t="s">
        <v>24</v>
      </c>
      <c r="N195" t="s">
        <v>25</v>
      </c>
      <c r="O195">
        <v>0</v>
      </c>
      <c r="Q195" t="str">
        <f t="shared" si="6"/>
        <v/>
      </c>
      <c r="R195" t="str">
        <f t="shared" si="7"/>
        <v/>
      </c>
    </row>
    <row r="196" spans="1:18" x14ac:dyDescent="0.35">
      <c r="A196">
        <v>52204</v>
      </c>
      <c r="B196" t="s">
        <v>92</v>
      </c>
      <c r="C196" s="217">
        <v>45849</v>
      </c>
      <c r="D196">
        <v>1779</v>
      </c>
      <c r="E196" t="s">
        <v>97</v>
      </c>
      <c r="F196" t="s">
        <v>28</v>
      </c>
      <c r="G196" t="s">
        <v>41</v>
      </c>
      <c r="H196">
        <v>7175</v>
      </c>
      <c r="I196">
        <v>623150</v>
      </c>
      <c r="J196">
        <v>0</v>
      </c>
      <c r="K196" t="s">
        <v>22</v>
      </c>
      <c r="L196" t="s">
        <v>23</v>
      </c>
      <c r="M196" t="s">
        <v>24</v>
      </c>
      <c r="N196" t="s">
        <v>25</v>
      </c>
      <c r="O196">
        <v>0</v>
      </c>
      <c r="Q196" t="str">
        <f t="shared" si="6"/>
        <v/>
      </c>
      <c r="R196" t="str">
        <f t="shared" si="7"/>
        <v/>
      </c>
    </row>
    <row r="197" spans="1:18" x14ac:dyDescent="0.35">
      <c r="A197">
        <v>52204</v>
      </c>
      <c r="B197" t="s">
        <v>92</v>
      </c>
      <c r="C197" s="217">
        <v>45873</v>
      </c>
      <c r="D197">
        <v>4011</v>
      </c>
      <c r="E197" t="s">
        <v>93</v>
      </c>
      <c r="F197" t="s">
        <v>94</v>
      </c>
      <c r="G197" t="s">
        <v>50</v>
      </c>
      <c r="H197">
        <v>300001282</v>
      </c>
      <c r="I197">
        <v>685000</v>
      </c>
      <c r="J197">
        <v>0</v>
      </c>
      <c r="K197" t="s">
        <v>22</v>
      </c>
      <c r="L197" t="s">
        <v>23</v>
      </c>
      <c r="M197" t="s">
        <v>24</v>
      </c>
      <c r="N197" t="s">
        <v>25</v>
      </c>
      <c r="O197">
        <v>0</v>
      </c>
      <c r="Q197" t="str">
        <f t="shared" si="6"/>
        <v/>
      </c>
      <c r="R197" t="str">
        <f t="shared" si="7"/>
        <v/>
      </c>
    </row>
    <row r="198" spans="1:18" x14ac:dyDescent="0.35">
      <c r="A198">
        <v>52204</v>
      </c>
      <c r="B198" t="s">
        <v>92</v>
      </c>
      <c r="C198" s="217">
        <v>45875</v>
      </c>
      <c r="D198">
        <v>1990</v>
      </c>
      <c r="E198" t="s">
        <v>98</v>
      </c>
      <c r="F198" t="s">
        <v>28</v>
      </c>
      <c r="G198" t="s">
        <v>41</v>
      </c>
      <c r="H198">
        <v>7386</v>
      </c>
      <c r="I198">
        <v>155000</v>
      </c>
      <c r="J198">
        <v>0</v>
      </c>
      <c r="K198" t="s">
        <v>22</v>
      </c>
      <c r="L198" t="s">
        <v>23</v>
      </c>
      <c r="M198" t="s">
        <v>24</v>
      </c>
      <c r="N198" t="s">
        <v>25</v>
      </c>
      <c r="O198">
        <v>0</v>
      </c>
      <c r="Q198" t="str">
        <f t="shared" si="6"/>
        <v/>
      </c>
      <c r="R198" t="str">
        <f t="shared" si="7"/>
        <v/>
      </c>
    </row>
    <row r="199" spans="1:18" x14ac:dyDescent="0.35">
      <c r="A199">
        <v>52204</v>
      </c>
      <c r="B199" t="s">
        <v>92</v>
      </c>
      <c r="C199" s="217">
        <v>45875</v>
      </c>
      <c r="D199">
        <v>1993</v>
      </c>
      <c r="E199" t="s">
        <v>99</v>
      </c>
      <c r="F199" t="s">
        <v>28</v>
      </c>
      <c r="G199" t="s">
        <v>41</v>
      </c>
      <c r="H199">
        <v>7389</v>
      </c>
      <c r="I199">
        <v>6900</v>
      </c>
      <c r="J199">
        <v>0</v>
      </c>
      <c r="K199" t="s">
        <v>22</v>
      </c>
      <c r="L199" t="s">
        <v>23</v>
      </c>
      <c r="M199" t="s">
        <v>24</v>
      </c>
      <c r="N199" t="s">
        <v>25</v>
      </c>
      <c r="O199">
        <v>0</v>
      </c>
      <c r="Q199" t="str">
        <f t="shared" si="6"/>
        <v/>
      </c>
      <c r="R199" t="str">
        <f t="shared" si="7"/>
        <v/>
      </c>
    </row>
    <row r="200" spans="1:18" x14ac:dyDescent="0.35">
      <c r="A200">
        <v>52204</v>
      </c>
      <c r="B200" t="s">
        <v>92</v>
      </c>
      <c r="C200" s="217">
        <v>45875</v>
      </c>
      <c r="D200">
        <v>4019</v>
      </c>
      <c r="E200" t="s">
        <v>93</v>
      </c>
      <c r="F200" t="s">
        <v>94</v>
      </c>
      <c r="G200" t="s">
        <v>51</v>
      </c>
      <c r="H200">
        <v>300000048</v>
      </c>
      <c r="I200">
        <v>0</v>
      </c>
      <c r="J200">
        <v>187550</v>
      </c>
      <c r="K200" t="s">
        <v>22</v>
      </c>
      <c r="L200" t="s">
        <v>23</v>
      </c>
      <c r="M200" t="s">
        <v>24</v>
      </c>
      <c r="N200" t="s">
        <v>25</v>
      </c>
      <c r="O200">
        <v>0</v>
      </c>
      <c r="Q200" t="str">
        <f t="shared" si="6"/>
        <v/>
      </c>
      <c r="R200" t="str">
        <f t="shared" si="7"/>
        <v/>
      </c>
    </row>
    <row r="201" spans="1:18" x14ac:dyDescent="0.35">
      <c r="A201">
        <v>52204</v>
      </c>
      <c r="B201" t="s">
        <v>92</v>
      </c>
      <c r="C201" s="217">
        <v>45901</v>
      </c>
      <c r="D201">
        <v>4465</v>
      </c>
      <c r="E201" t="s">
        <v>93</v>
      </c>
      <c r="F201" t="s">
        <v>94</v>
      </c>
      <c r="G201" t="s">
        <v>50</v>
      </c>
      <c r="H201">
        <v>300001306</v>
      </c>
      <c r="I201">
        <v>563844</v>
      </c>
      <c r="J201">
        <v>0</v>
      </c>
      <c r="K201" t="s">
        <v>22</v>
      </c>
      <c r="L201" t="s">
        <v>23</v>
      </c>
      <c r="M201" t="s">
        <v>24</v>
      </c>
      <c r="N201" t="s">
        <v>25</v>
      </c>
      <c r="O201">
        <v>0</v>
      </c>
      <c r="Q201" t="str">
        <f t="shared" si="6"/>
        <v/>
      </c>
      <c r="R201" t="str">
        <f t="shared" si="7"/>
        <v/>
      </c>
    </row>
    <row r="202" spans="1:18" x14ac:dyDescent="0.35">
      <c r="A202">
        <v>52204</v>
      </c>
      <c r="B202" t="s">
        <v>92</v>
      </c>
      <c r="C202" s="217">
        <v>45910</v>
      </c>
      <c r="D202">
        <v>4581</v>
      </c>
      <c r="E202" t="s">
        <v>93</v>
      </c>
      <c r="F202" t="s">
        <v>94</v>
      </c>
      <c r="G202" t="s">
        <v>51</v>
      </c>
      <c r="H202">
        <v>300000051</v>
      </c>
      <c r="I202">
        <v>0</v>
      </c>
      <c r="J202">
        <v>157948</v>
      </c>
      <c r="K202" t="s">
        <v>22</v>
      </c>
      <c r="L202" t="s">
        <v>23</v>
      </c>
      <c r="M202" t="s">
        <v>24</v>
      </c>
      <c r="N202" t="s">
        <v>25</v>
      </c>
      <c r="O202">
        <v>0</v>
      </c>
      <c r="Q202" t="str">
        <f t="shared" si="6"/>
        <v/>
      </c>
      <c r="R202" t="str">
        <f t="shared" si="7"/>
        <v/>
      </c>
    </row>
    <row r="203" spans="1:18" x14ac:dyDescent="0.35">
      <c r="A203">
        <v>52204</v>
      </c>
      <c r="B203" t="s">
        <v>92</v>
      </c>
      <c r="C203" s="217">
        <v>45932</v>
      </c>
      <c r="D203">
        <v>5121</v>
      </c>
      <c r="E203" t="s">
        <v>93</v>
      </c>
      <c r="F203" t="s">
        <v>94</v>
      </c>
      <c r="G203" t="s">
        <v>50</v>
      </c>
      <c r="H203">
        <v>300001332</v>
      </c>
      <c r="I203">
        <v>325000</v>
      </c>
      <c r="J203">
        <v>0</v>
      </c>
      <c r="K203" t="s">
        <v>22</v>
      </c>
      <c r="L203" t="s">
        <v>23</v>
      </c>
      <c r="M203" t="s">
        <v>24</v>
      </c>
      <c r="N203" t="s">
        <v>25</v>
      </c>
      <c r="O203">
        <v>0</v>
      </c>
      <c r="Q203" t="str">
        <f t="shared" si="6"/>
        <v/>
      </c>
      <c r="R203" t="str">
        <f t="shared" si="7"/>
        <v/>
      </c>
    </row>
    <row r="204" spans="1:18" x14ac:dyDescent="0.35">
      <c r="A204">
        <v>52204</v>
      </c>
      <c r="B204" t="s">
        <v>92</v>
      </c>
      <c r="C204" s="217">
        <v>45932</v>
      </c>
      <c r="D204">
        <v>5121</v>
      </c>
      <c r="E204" t="s">
        <v>100</v>
      </c>
      <c r="F204" t="s">
        <v>94</v>
      </c>
      <c r="G204" t="s">
        <v>50</v>
      </c>
      <c r="H204">
        <v>300001332</v>
      </c>
      <c r="I204">
        <v>110000</v>
      </c>
      <c r="J204">
        <v>0</v>
      </c>
      <c r="K204" t="s">
        <v>22</v>
      </c>
      <c r="L204" t="s">
        <v>23</v>
      </c>
      <c r="M204" t="s">
        <v>24</v>
      </c>
      <c r="N204" t="s">
        <v>25</v>
      </c>
      <c r="O204">
        <v>0</v>
      </c>
      <c r="Q204" t="str">
        <f t="shared" si="6"/>
        <v/>
      </c>
      <c r="R204" t="str">
        <f t="shared" si="7"/>
        <v/>
      </c>
    </row>
    <row r="205" spans="1:18" x14ac:dyDescent="0.35">
      <c r="A205">
        <v>52204</v>
      </c>
      <c r="B205" t="s">
        <v>92</v>
      </c>
      <c r="C205" s="217">
        <v>45945</v>
      </c>
      <c r="D205">
        <v>2363</v>
      </c>
      <c r="E205" t="s">
        <v>101</v>
      </c>
      <c r="F205" t="s">
        <v>28</v>
      </c>
      <c r="G205" t="s">
        <v>41</v>
      </c>
      <c r="H205">
        <v>7733</v>
      </c>
      <c r="I205">
        <v>162500</v>
      </c>
      <c r="J205">
        <v>0</v>
      </c>
      <c r="K205" t="s">
        <v>22</v>
      </c>
      <c r="L205" t="s">
        <v>23</v>
      </c>
      <c r="M205" t="s">
        <v>24</v>
      </c>
      <c r="N205" t="s">
        <v>25</v>
      </c>
      <c r="O205">
        <v>0</v>
      </c>
      <c r="Q205" t="str">
        <f t="shared" si="6"/>
        <v/>
      </c>
      <c r="R205" t="str">
        <f t="shared" si="7"/>
        <v/>
      </c>
    </row>
    <row r="206" spans="1:18" x14ac:dyDescent="0.35">
      <c r="A206">
        <v>52204</v>
      </c>
      <c r="B206" t="s">
        <v>92</v>
      </c>
      <c r="C206" s="217">
        <v>45966</v>
      </c>
      <c r="D206">
        <v>33</v>
      </c>
      <c r="E206" t="s">
        <v>93</v>
      </c>
      <c r="F206" t="s">
        <v>94</v>
      </c>
      <c r="G206" t="s">
        <v>50</v>
      </c>
      <c r="H206">
        <v>300001370</v>
      </c>
      <c r="I206">
        <v>332000</v>
      </c>
      <c r="J206">
        <v>0</v>
      </c>
      <c r="K206" t="s">
        <v>22</v>
      </c>
      <c r="L206" t="s">
        <v>23</v>
      </c>
      <c r="M206" t="s">
        <v>24</v>
      </c>
      <c r="N206" t="s">
        <v>25</v>
      </c>
      <c r="O206">
        <v>0</v>
      </c>
      <c r="Q206" t="str">
        <f t="shared" si="6"/>
        <v/>
      </c>
      <c r="R206" t="str">
        <f t="shared" si="7"/>
        <v/>
      </c>
    </row>
    <row r="207" spans="1:18" x14ac:dyDescent="0.35">
      <c r="A207">
        <v>52204</v>
      </c>
      <c r="B207" t="s">
        <v>92</v>
      </c>
      <c r="C207" s="217">
        <v>45979</v>
      </c>
      <c r="D207">
        <v>53</v>
      </c>
      <c r="E207" t="s">
        <v>102</v>
      </c>
      <c r="F207" t="s">
        <v>28</v>
      </c>
      <c r="G207" t="s">
        <v>41</v>
      </c>
      <c r="H207">
        <v>7978</v>
      </c>
      <c r="I207">
        <v>279500</v>
      </c>
      <c r="J207">
        <v>0</v>
      </c>
      <c r="K207" t="s">
        <v>22</v>
      </c>
      <c r="L207" t="s">
        <v>23</v>
      </c>
      <c r="M207" t="s">
        <v>24</v>
      </c>
      <c r="N207" t="s">
        <v>25</v>
      </c>
      <c r="O207">
        <v>0</v>
      </c>
      <c r="Q207" t="str">
        <f t="shared" si="6"/>
        <v/>
      </c>
      <c r="R207" t="str">
        <f t="shared" si="7"/>
        <v/>
      </c>
    </row>
    <row r="208" spans="1:18" x14ac:dyDescent="0.35">
      <c r="A208">
        <v>52204</v>
      </c>
      <c r="B208" t="s">
        <v>92</v>
      </c>
      <c r="C208" s="217">
        <v>45993</v>
      </c>
      <c r="D208">
        <v>318</v>
      </c>
      <c r="E208" t="s">
        <v>93</v>
      </c>
      <c r="F208" t="s">
        <v>94</v>
      </c>
      <c r="G208" t="s">
        <v>50</v>
      </c>
      <c r="H208">
        <v>300001373</v>
      </c>
      <c r="I208">
        <v>339775</v>
      </c>
      <c r="J208">
        <v>0</v>
      </c>
      <c r="K208" t="s">
        <v>22</v>
      </c>
      <c r="L208" t="s">
        <v>23</v>
      </c>
      <c r="M208" t="s">
        <v>24</v>
      </c>
      <c r="N208" t="s">
        <v>25</v>
      </c>
      <c r="O208">
        <v>0</v>
      </c>
      <c r="Q208" t="str">
        <f t="shared" si="6"/>
        <v/>
      </c>
      <c r="R208" t="str">
        <f t="shared" si="7"/>
        <v/>
      </c>
    </row>
    <row r="209" spans="1:18" x14ac:dyDescent="0.35">
      <c r="A209">
        <v>52204</v>
      </c>
      <c r="B209" t="s">
        <v>92</v>
      </c>
      <c r="C209" s="217">
        <v>45995</v>
      </c>
      <c r="D209">
        <v>327</v>
      </c>
      <c r="E209" t="s">
        <v>102</v>
      </c>
      <c r="F209" t="s">
        <v>28</v>
      </c>
      <c r="G209" t="s">
        <v>41</v>
      </c>
      <c r="H209">
        <v>8348</v>
      </c>
      <c r="I209">
        <v>170400</v>
      </c>
      <c r="J209">
        <v>0</v>
      </c>
      <c r="K209" t="s">
        <v>22</v>
      </c>
      <c r="L209" t="s">
        <v>23</v>
      </c>
      <c r="M209" t="s">
        <v>24</v>
      </c>
      <c r="N209" t="s">
        <v>25</v>
      </c>
      <c r="O209">
        <v>0</v>
      </c>
      <c r="Q209" t="str">
        <f t="shared" si="6"/>
        <v/>
      </c>
      <c r="R209" t="str">
        <f t="shared" si="7"/>
        <v/>
      </c>
    </row>
    <row r="210" spans="1:18" x14ac:dyDescent="0.35">
      <c r="A210">
        <v>52204</v>
      </c>
      <c r="B210" t="s">
        <v>92</v>
      </c>
      <c r="C210" s="217">
        <v>46024</v>
      </c>
      <c r="D210">
        <v>704</v>
      </c>
      <c r="E210" t="s">
        <v>93</v>
      </c>
      <c r="F210" t="s">
        <v>94</v>
      </c>
      <c r="G210" t="s">
        <v>50</v>
      </c>
      <c r="H210">
        <v>300001392</v>
      </c>
      <c r="I210">
        <v>348178</v>
      </c>
      <c r="J210">
        <v>0</v>
      </c>
      <c r="K210" t="s">
        <v>22</v>
      </c>
      <c r="L210" t="s">
        <v>23</v>
      </c>
      <c r="M210" t="s">
        <v>24</v>
      </c>
      <c r="N210" t="s">
        <v>25</v>
      </c>
      <c r="O210">
        <v>0</v>
      </c>
      <c r="Q210" t="str">
        <f t="shared" si="6"/>
        <v/>
      </c>
      <c r="R210" t="str">
        <f t="shared" si="7"/>
        <v/>
      </c>
    </row>
    <row r="211" spans="1:18" x14ac:dyDescent="0.35">
      <c r="A211">
        <v>52204</v>
      </c>
      <c r="B211" t="s">
        <v>92</v>
      </c>
      <c r="C211" s="217">
        <v>46045</v>
      </c>
      <c r="D211">
        <v>392</v>
      </c>
      <c r="E211" t="s">
        <v>103</v>
      </c>
      <c r="F211" t="s">
        <v>28</v>
      </c>
      <c r="G211" t="s">
        <v>41</v>
      </c>
      <c r="H211">
        <v>8416</v>
      </c>
      <c r="I211">
        <v>174100</v>
      </c>
      <c r="J211">
        <v>0</v>
      </c>
      <c r="K211" t="s">
        <v>22</v>
      </c>
      <c r="L211" t="s">
        <v>23</v>
      </c>
      <c r="M211" t="s">
        <v>24</v>
      </c>
      <c r="N211" t="s">
        <v>25</v>
      </c>
      <c r="O211">
        <v>0</v>
      </c>
      <c r="Q211" t="str">
        <f t="shared" si="6"/>
        <v/>
      </c>
      <c r="R211" t="str">
        <f t="shared" si="7"/>
        <v/>
      </c>
    </row>
    <row r="212" spans="1:18" x14ac:dyDescent="0.35">
      <c r="A212">
        <v>52204</v>
      </c>
      <c r="B212" t="s">
        <v>92</v>
      </c>
      <c r="C212" s="217">
        <v>46047</v>
      </c>
      <c r="D212">
        <v>1007</v>
      </c>
      <c r="E212" t="s">
        <v>93</v>
      </c>
      <c r="F212" t="s">
        <v>104</v>
      </c>
      <c r="G212" t="s">
        <v>73</v>
      </c>
      <c r="H212">
        <v>300000843</v>
      </c>
      <c r="I212">
        <v>380000</v>
      </c>
      <c r="J212">
        <v>0</v>
      </c>
      <c r="K212" t="s">
        <v>22</v>
      </c>
      <c r="L212" t="s">
        <v>23</v>
      </c>
      <c r="M212" t="s">
        <v>24</v>
      </c>
      <c r="N212" t="s">
        <v>25</v>
      </c>
      <c r="O212">
        <v>0</v>
      </c>
      <c r="Q212" t="str">
        <f t="shared" si="6"/>
        <v/>
      </c>
      <c r="R212" t="str">
        <f t="shared" si="7"/>
        <v/>
      </c>
    </row>
    <row r="213" spans="1:18" x14ac:dyDescent="0.35">
      <c r="A213">
        <v>52204</v>
      </c>
      <c r="B213" t="s">
        <v>92</v>
      </c>
      <c r="C213" s="217">
        <v>46055</v>
      </c>
      <c r="D213">
        <v>1381</v>
      </c>
      <c r="E213" t="s">
        <v>93</v>
      </c>
      <c r="F213" t="s">
        <v>94</v>
      </c>
      <c r="G213" t="s">
        <v>50</v>
      </c>
      <c r="H213">
        <v>300001414</v>
      </c>
      <c r="I213">
        <v>358083</v>
      </c>
      <c r="J213">
        <v>0</v>
      </c>
      <c r="K213" t="s">
        <v>22</v>
      </c>
      <c r="L213" t="s">
        <v>23</v>
      </c>
      <c r="M213" t="s">
        <v>24</v>
      </c>
      <c r="N213" t="s">
        <v>25</v>
      </c>
      <c r="O213">
        <v>0</v>
      </c>
      <c r="Q213" t="str">
        <f t="shared" si="6"/>
        <v/>
      </c>
      <c r="R213" t="str">
        <f t="shared" si="7"/>
        <v/>
      </c>
    </row>
    <row r="214" spans="1:18" x14ac:dyDescent="0.35">
      <c r="A214">
        <v>52204</v>
      </c>
      <c r="B214" t="s">
        <v>92</v>
      </c>
      <c r="C214" s="217">
        <v>46079</v>
      </c>
      <c r="D214">
        <v>607</v>
      </c>
      <c r="E214" t="s">
        <v>102</v>
      </c>
      <c r="F214" t="s">
        <v>28</v>
      </c>
      <c r="G214" t="s">
        <v>41</v>
      </c>
      <c r="H214">
        <v>8625</v>
      </c>
      <c r="I214">
        <v>179041</v>
      </c>
      <c r="J214">
        <v>0</v>
      </c>
      <c r="K214" t="s">
        <v>22</v>
      </c>
      <c r="L214" t="s">
        <v>23</v>
      </c>
      <c r="M214" t="s">
        <v>24</v>
      </c>
      <c r="N214" t="s">
        <v>25</v>
      </c>
      <c r="O214">
        <v>0</v>
      </c>
      <c r="Q214" t="str">
        <f t="shared" si="6"/>
        <v/>
      </c>
      <c r="R214" t="str">
        <f t="shared" si="7"/>
        <v/>
      </c>
    </row>
    <row r="215" spans="1:18" x14ac:dyDescent="0.35">
      <c r="A215">
        <v>52204</v>
      </c>
      <c r="B215" t="s">
        <v>92</v>
      </c>
      <c r="C215" s="217">
        <v>46083</v>
      </c>
      <c r="D215">
        <v>1490</v>
      </c>
      <c r="E215" t="s">
        <v>93</v>
      </c>
      <c r="F215" t="s">
        <v>104</v>
      </c>
      <c r="G215" t="s">
        <v>73</v>
      </c>
      <c r="H215">
        <v>300000870</v>
      </c>
      <c r="I215">
        <v>470000</v>
      </c>
      <c r="J215">
        <v>0</v>
      </c>
      <c r="K215" t="s">
        <v>22</v>
      </c>
      <c r="L215" t="s">
        <v>23</v>
      </c>
      <c r="M215" t="s">
        <v>24</v>
      </c>
      <c r="N215" t="s">
        <v>25</v>
      </c>
      <c r="O215">
        <v>0</v>
      </c>
      <c r="Q215" t="str">
        <f t="shared" si="6"/>
        <v/>
      </c>
      <c r="R215" t="str">
        <f t="shared" si="7"/>
        <v/>
      </c>
    </row>
    <row r="216" spans="1:18" x14ac:dyDescent="0.35">
      <c r="A216">
        <v>52204</v>
      </c>
      <c r="B216" t="s">
        <v>92</v>
      </c>
      <c r="C216" s="217">
        <v>46084</v>
      </c>
      <c r="D216">
        <v>2072</v>
      </c>
      <c r="E216" t="s">
        <v>93</v>
      </c>
      <c r="F216" t="s">
        <v>94</v>
      </c>
      <c r="G216" t="s">
        <v>50</v>
      </c>
      <c r="H216">
        <v>300001433</v>
      </c>
      <c r="I216">
        <v>370000</v>
      </c>
      <c r="J216">
        <v>0</v>
      </c>
      <c r="K216" t="s">
        <v>22</v>
      </c>
      <c r="L216" t="s">
        <v>23</v>
      </c>
      <c r="M216" t="s">
        <v>24</v>
      </c>
      <c r="N216" t="s">
        <v>25</v>
      </c>
      <c r="O216">
        <v>0</v>
      </c>
      <c r="Q216" t="str">
        <f t="shared" si="6"/>
        <v/>
      </c>
      <c r="R216" t="str">
        <f t="shared" si="7"/>
        <v/>
      </c>
    </row>
    <row r="217" spans="1:18" x14ac:dyDescent="0.35">
      <c r="A217">
        <v>52204</v>
      </c>
      <c r="B217" t="s">
        <v>92</v>
      </c>
      <c r="C217" s="217">
        <v>46098</v>
      </c>
      <c r="D217">
        <v>801</v>
      </c>
      <c r="E217" t="s">
        <v>105</v>
      </c>
      <c r="F217" t="s">
        <v>28</v>
      </c>
      <c r="G217" t="s">
        <v>41</v>
      </c>
      <c r="H217">
        <v>8829</v>
      </c>
      <c r="I217">
        <v>185000</v>
      </c>
      <c r="J217">
        <v>0</v>
      </c>
      <c r="K217" t="s">
        <v>22</v>
      </c>
      <c r="L217" t="s">
        <v>23</v>
      </c>
      <c r="M217" t="s">
        <v>24</v>
      </c>
      <c r="N217" t="s">
        <v>25</v>
      </c>
      <c r="O217">
        <v>0</v>
      </c>
      <c r="Q217" t="str">
        <f t="shared" si="6"/>
        <v/>
      </c>
      <c r="R217" t="str">
        <f t="shared" si="7"/>
        <v/>
      </c>
    </row>
    <row r="218" spans="1:18" x14ac:dyDescent="0.35">
      <c r="A218">
        <v>52204</v>
      </c>
      <c r="B218" t="s">
        <v>92</v>
      </c>
      <c r="C218" s="217">
        <v>46107</v>
      </c>
      <c r="D218">
        <v>2101</v>
      </c>
      <c r="E218" t="s">
        <v>106</v>
      </c>
      <c r="F218" t="s">
        <v>104</v>
      </c>
      <c r="G218" t="s">
        <v>73</v>
      </c>
      <c r="H218">
        <v>300000879</v>
      </c>
      <c r="I218">
        <v>660000</v>
      </c>
      <c r="J218">
        <v>0</v>
      </c>
      <c r="K218" t="s">
        <v>22</v>
      </c>
      <c r="L218" t="s">
        <v>23</v>
      </c>
      <c r="M218" t="s">
        <v>24</v>
      </c>
      <c r="N218" t="s">
        <v>25</v>
      </c>
      <c r="O218">
        <v>0</v>
      </c>
      <c r="Q218" t="str">
        <f t="shared" si="6"/>
        <v/>
      </c>
      <c r="R218" t="str">
        <f t="shared" si="7"/>
        <v/>
      </c>
    </row>
    <row r="219" spans="1:18" x14ac:dyDescent="0.35">
      <c r="A219">
        <v>52204</v>
      </c>
      <c r="B219" t="s">
        <v>92</v>
      </c>
      <c r="C219" s="217">
        <v>46113</v>
      </c>
      <c r="D219">
        <v>2174</v>
      </c>
      <c r="E219" t="s">
        <v>93</v>
      </c>
      <c r="F219" t="s">
        <v>94</v>
      </c>
      <c r="G219" t="s">
        <v>50</v>
      </c>
      <c r="H219">
        <v>300001454</v>
      </c>
      <c r="I219">
        <v>370000</v>
      </c>
      <c r="J219">
        <v>0</v>
      </c>
      <c r="K219" t="s">
        <v>22</v>
      </c>
      <c r="L219" t="s">
        <v>23</v>
      </c>
      <c r="M219" t="s">
        <v>24</v>
      </c>
      <c r="N219" t="s">
        <v>25</v>
      </c>
      <c r="O219">
        <v>0</v>
      </c>
      <c r="Q219" t="str">
        <f t="shared" si="6"/>
        <v/>
      </c>
      <c r="R219" t="str">
        <f t="shared" si="7"/>
        <v/>
      </c>
    </row>
    <row r="220" spans="1:18" x14ac:dyDescent="0.35">
      <c r="A220">
        <v>52204</v>
      </c>
      <c r="B220" t="s">
        <v>92</v>
      </c>
      <c r="C220" s="217">
        <v>46113</v>
      </c>
      <c r="D220">
        <v>2174</v>
      </c>
      <c r="E220" t="s">
        <v>93</v>
      </c>
      <c r="F220" t="s">
        <v>94</v>
      </c>
      <c r="G220" t="s">
        <v>50</v>
      </c>
      <c r="H220">
        <v>300001454</v>
      </c>
      <c r="I220">
        <v>420000</v>
      </c>
      <c r="J220">
        <v>0</v>
      </c>
      <c r="K220" t="s">
        <v>22</v>
      </c>
      <c r="L220" t="s">
        <v>23</v>
      </c>
      <c r="M220" t="s">
        <v>24</v>
      </c>
      <c r="N220" t="s">
        <v>25</v>
      </c>
      <c r="O220">
        <v>0</v>
      </c>
      <c r="Q220" t="str">
        <f t="shared" si="6"/>
        <v/>
      </c>
      <c r="R220" t="str">
        <f t="shared" si="7"/>
        <v/>
      </c>
    </row>
    <row r="221" spans="1:18" x14ac:dyDescent="0.35">
      <c r="A221">
        <v>52204</v>
      </c>
      <c r="B221" t="s">
        <v>92</v>
      </c>
      <c r="C221" s="217">
        <v>46145</v>
      </c>
      <c r="D221">
        <v>2610</v>
      </c>
      <c r="E221" t="s">
        <v>93</v>
      </c>
      <c r="F221" t="s">
        <v>104</v>
      </c>
      <c r="G221" t="s">
        <v>73</v>
      </c>
      <c r="H221">
        <v>300000901</v>
      </c>
      <c r="I221">
        <v>90000</v>
      </c>
      <c r="J221">
        <v>0</v>
      </c>
      <c r="K221" t="s">
        <v>22</v>
      </c>
      <c r="L221" t="s">
        <v>23</v>
      </c>
      <c r="M221" t="s">
        <v>24</v>
      </c>
      <c r="N221" t="s">
        <v>25</v>
      </c>
      <c r="O221">
        <v>0</v>
      </c>
      <c r="Q221" t="str">
        <f t="shared" si="6"/>
        <v/>
      </c>
      <c r="R221" t="str">
        <f t="shared" si="7"/>
        <v/>
      </c>
    </row>
    <row r="222" spans="1:18" x14ac:dyDescent="0.35">
      <c r="A222">
        <v>52205</v>
      </c>
      <c r="B222" t="s">
        <v>107</v>
      </c>
      <c r="C222" s="217">
        <v>45642</v>
      </c>
      <c r="D222">
        <v>252</v>
      </c>
      <c r="E222" t="s">
        <v>108</v>
      </c>
      <c r="F222" t="s">
        <v>28</v>
      </c>
      <c r="G222" t="s">
        <v>41</v>
      </c>
      <c r="H222">
        <v>5679</v>
      </c>
      <c r="I222">
        <v>3000000</v>
      </c>
      <c r="J222">
        <v>0</v>
      </c>
      <c r="K222" t="s">
        <v>22</v>
      </c>
      <c r="L222" t="s">
        <v>23</v>
      </c>
      <c r="M222" t="s">
        <v>24</v>
      </c>
      <c r="N222" t="s">
        <v>25</v>
      </c>
      <c r="O222">
        <v>0</v>
      </c>
      <c r="Q222" t="str">
        <f t="shared" si="6"/>
        <v/>
      </c>
      <c r="R222" t="str">
        <f t="shared" si="7"/>
        <v/>
      </c>
    </row>
    <row r="223" spans="1:18" x14ac:dyDescent="0.35">
      <c r="A223">
        <v>52205</v>
      </c>
      <c r="B223" t="s">
        <v>107</v>
      </c>
      <c r="C223" s="217">
        <v>45664</v>
      </c>
      <c r="D223">
        <v>253</v>
      </c>
      <c r="E223" t="s">
        <v>109</v>
      </c>
      <c r="F223" t="s">
        <v>28</v>
      </c>
      <c r="G223" t="s">
        <v>41</v>
      </c>
      <c r="H223">
        <v>5680</v>
      </c>
      <c r="I223">
        <v>1600900</v>
      </c>
      <c r="J223">
        <v>0</v>
      </c>
      <c r="K223" t="s">
        <v>22</v>
      </c>
      <c r="L223" t="s">
        <v>23</v>
      </c>
      <c r="M223" t="s">
        <v>24</v>
      </c>
      <c r="N223" t="s">
        <v>25</v>
      </c>
      <c r="O223">
        <v>0</v>
      </c>
      <c r="Q223" t="str">
        <f t="shared" si="6"/>
        <v/>
      </c>
      <c r="R223" t="str">
        <f t="shared" si="7"/>
        <v/>
      </c>
    </row>
    <row r="224" spans="1:18" x14ac:dyDescent="0.35">
      <c r="A224">
        <v>52205</v>
      </c>
      <c r="B224" t="s">
        <v>107</v>
      </c>
      <c r="C224" s="217">
        <v>45664</v>
      </c>
      <c r="D224">
        <v>253</v>
      </c>
      <c r="E224" t="s">
        <v>108</v>
      </c>
      <c r="F224" t="s">
        <v>28</v>
      </c>
      <c r="G224" t="s">
        <v>41</v>
      </c>
      <c r="H224">
        <v>5680</v>
      </c>
      <c r="I224">
        <v>552500</v>
      </c>
      <c r="J224">
        <v>0</v>
      </c>
      <c r="K224" t="s">
        <v>22</v>
      </c>
      <c r="L224" t="s">
        <v>23</v>
      </c>
      <c r="M224" t="s">
        <v>24</v>
      </c>
      <c r="N224" t="s">
        <v>25</v>
      </c>
      <c r="O224">
        <v>0</v>
      </c>
      <c r="Q224" t="str">
        <f t="shared" si="6"/>
        <v/>
      </c>
      <c r="R224" t="str">
        <f t="shared" si="7"/>
        <v/>
      </c>
    </row>
    <row r="225" spans="1:18" x14ac:dyDescent="0.35">
      <c r="A225">
        <v>52206</v>
      </c>
      <c r="B225" t="s">
        <v>110</v>
      </c>
      <c r="C225" s="217">
        <v>45646</v>
      </c>
      <c r="D225">
        <v>202</v>
      </c>
      <c r="E225" t="s">
        <v>111</v>
      </c>
      <c r="F225" t="s">
        <v>28</v>
      </c>
      <c r="G225" t="s">
        <v>41</v>
      </c>
      <c r="H225">
        <v>5628</v>
      </c>
      <c r="I225">
        <v>110000</v>
      </c>
      <c r="J225">
        <v>0</v>
      </c>
      <c r="K225" t="s">
        <v>22</v>
      </c>
      <c r="L225" t="s">
        <v>23</v>
      </c>
      <c r="M225" t="s">
        <v>24</v>
      </c>
      <c r="N225" t="s">
        <v>25</v>
      </c>
      <c r="O225">
        <v>0</v>
      </c>
      <c r="Q225" t="str">
        <f t="shared" si="6"/>
        <v/>
      </c>
      <c r="R225" t="str">
        <f t="shared" si="7"/>
        <v/>
      </c>
    </row>
    <row r="226" spans="1:18" x14ac:dyDescent="0.35">
      <c r="A226">
        <v>52206</v>
      </c>
      <c r="B226" t="s">
        <v>110</v>
      </c>
      <c r="C226" s="217">
        <v>45933</v>
      </c>
      <c r="D226">
        <v>2483</v>
      </c>
      <c r="E226" t="s">
        <v>112</v>
      </c>
      <c r="F226" t="s">
        <v>28</v>
      </c>
      <c r="G226" t="s">
        <v>41</v>
      </c>
      <c r="H226">
        <v>7820</v>
      </c>
      <c r="I226">
        <v>3500000</v>
      </c>
      <c r="J226">
        <v>0</v>
      </c>
      <c r="K226" t="s">
        <v>22</v>
      </c>
      <c r="L226" t="s">
        <v>23</v>
      </c>
      <c r="M226" t="s">
        <v>24</v>
      </c>
      <c r="N226" t="s">
        <v>25</v>
      </c>
      <c r="O226">
        <v>0</v>
      </c>
      <c r="Q226" t="str">
        <f t="shared" si="6"/>
        <v/>
      </c>
      <c r="R226" t="str">
        <f t="shared" si="7"/>
        <v/>
      </c>
    </row>
    <row r="227" spans="1:18" x14ac:dyDescent="0.35">
      <c r="A227">
        <v>52206</v>
      </c>
      <c r="B227" t="s">
        <v>110</v>
      </c>
      <c r="C227" s="217">
        <v>45964</v>
      </c>
      <c r="D227">
        <v>4</v>
      </c>
      <c r="E227" t="s">
        <v>113</v>
      </c>
      <c r="F227" t="s">
        <v>28</v>
      </c>
      <c r="G227" t="s">
        <v>41</v>
      </c>
      <c r="H227">
        <v>7825</v>
      </c>
      <c r="I227">
        <v>3500000</v>
      </c>
      <c r="J227">
        <v>0</v>
      </c>
      <c r="K227" t="s">
        <v>22</v>
      </c>
      <c r="L227" t="s">
        <v>23</v>
      </c>
      <c r="M227" t="s">
        <v>24</v>
      </c>
      <c r="N227" t="s">
        <v>25</v>
      </c>
      <c r="O227">
        <v>0</v>
      </c>
      <c r="Q227" t="str">
        <f t="shared" si="6"/>
        <v/>
      </c>
      <c r="R227" t="str">
        <f t="shared" si="7"/>
        <v/>
      </c>
    </row>
    <row r="228" spans="1:18" x14ac:dyDescent="0.35">
      <c r="A228">
        <v>52210</v>
      </c>
      <c r="B228" t="s">
        <v>114</v>
      </c>
      <c r="C228" s="217">
        <v>45604</v>
      </c>
      <c r="D228">
        <v>89</v>
      </c>
      <c r="E228" t="s">
        <v>115</v>
      </c>
      <c r="F228" t="s">
        <v>28</v>
      </c>
      <c r="G228" t="s">
        <v>41</v>
      </c>
      <c r="H228">
        <v>5521</v>
      </c>
      <c r="I228">
        <v>275000</v>
      </c>
      <c r="J228">
        <v>0</v>
      </c>
      <c r="K228" t="s">
        <v>22</v>
      </c>
      <c r="L228" t="s">
        <v>23</v>
      </c>
      <c r="M228" t="s">
        <v>24</v>
      </c>
      <c r="N228" t="s">
        <v>25</v>
      </c>
      <c r="O228">
        <v>0</v>
      </c>
      <c r="Q228" t="str">
        <f t="shared" si="6"/>
        <v/>
      </c>
      <c r="R228" t="str">
        <f t="shared" si="7"/>
        <v/>
      </c>
    </row>
    <row r="229" spans="1:18" x14ac:dyDescent="0.35">
      <c r="A229">
        <v>52210</v>
      </c>
      <c r="B229" t="s">
        <v>114</v>
      </c>
      <c r="C229" s="217">
        <v>45638</v>
      </c>
      <c r="D229">
        <v>865</v>
      </c>
      <c r="E229" t="s">
        <v>116</v>
      </c>
      <c r="F229" t="s">
        <v>28</v>
      </c>
      <c r="G229" t="s">
        <v>41</v>
      </c>
      <c r="H229">
        <v>6281</v>
      </c>
      <c r="I229">
        <v>481500</v>
      </c>
      <c r="J229">
        <v>0</v>
      </c>
      <c r="K229" t="s">
        <v>22</v>
      </c>
      <c r="L229" t="s">
        <v>23</v>
      </c>
      <c r="M229" t="s">
        <v>24</v>
      </c>
      <c r="N229" t="s">
        <v>25</v>
      </c>
      <c r="O229">
        <v>0</v>
      </c>
      <c r="Q229" t="str">
        <f t="shared" si="6"/>
        <v/>
      </c>
      <c r="R229" t="str">
        <f t="shared" si="7"/>
        <v/>
      </c>
    </row>
    <row r="230" spans="1:18" x14ac:dyDescent="0.35">
      <c r="A230">
        <v>52210</v>
      </c>
      <c r="B230" t="s">
        <v>114</v>
      </c>
      <c r="C230" s="217">
        <v>45793</v>
      </c>
      <c r="D230">
        <v>1432</v>
      </c>
      <c r="E230" t="s">
        <v>117</v>
      </c>
      <c r="F230" t="s">
        <v>28</v>
      </c>
      <c r="G230" t="s">
        <v>41</v>
      </c>
      <c r="H230">
        <v>6838</v>
      </c>
      <c r="I230">
        <v>180000</v>
      </c>
      <c r="J230">
        <v>0</v>
      </c>
      <c r="K230" t="s">
        <v>22</v>
      </c>
      <c r="L230" t="s">
        <v>23</v>
      </c>
      <c r="M230" t="s">
        <v>24</v>
      </c>
      <c r="N230" t="s">
        <v>25</v>
      </c>
      <c r="O230">
        <v>0</v>
      </c>
      <c r="Q230" t="str">
        <f t="shared" si="6"/>
        <v/>
      </c>
      <c r="R230" t="str">
        <f t="shared" si="7"/>
        <v/>
      </c>
    </row>
    <row r="231" spans="1:18" x14ac:dyDescent="0.35">
      <c r="A231">
        <v>52302</v>
      </c>
      <c r="B231" t="s">
        <v>118</v>
      </c>
      <c r="C231" s="217">
        <v>45673</v>
      </c>
      <c r="D231">
        <v>322</v>
      </c>
      <c r="E231" t="s">
        <v>119</v>
      </c>
      <c r="F231" t="s">
        <v>28</v>
      </c>
      <c r="G231" t="s">
        <v>41</v>
      </c>
      <c r="H231">
        <v>5754</v>
      </c>
      <c r="I231">
        <v>320000</v>
      </c>
      <c r="J231">
        <v>0</v>
      </c>
      <c r="K231" t="s">
        <v>22</v>
      </c>
      <c r="L231" t="s">
        <v>23</v>
      </c>
      <c r="M231" t="s">
        <v>24</v>
      </c>
      <c r="N231" t="s">
        <v>25</v>
      </c>
      <c r="O231">
        <v>0</v>
      </c>
      <c r="Q231" t="str">
        <f t="shared" si="6"/>
        <v/>
      </c>
      <c r="R231" t="str">
        <f t="shared" si="7"/>
        <v/>
      </c>
    </row>
    <row r="232" spans="1:18" x14ac:dyDescent="0.35">
      <c r="A232">
        <v>52302</v>
      </c>
      <c r="B232" t="s">
        <v>118</v>
      </c>
      <c r="C232" s="217">
        <v>45731</v>
      </c>
      <c r="D232">
        <v>1818</v>
      </c>
      <c r="E232" t="s">
        <v>120</v>
      </c>
      <c r="F232" t="s">
        <v>121</v>
      </c>
      <c r="G232" t="s">
        <v>50</v>
      </c>
      <c r="H232">
        <v>217201598671</v>
      </c>
      <c r="I232">
        <v>49673.86</v>
      </c>
      <c r="J232">
        <v>0</v>
      </c>
      <c r="K232" t="s">
        <v>22</v>
      </c>
      <c r="L232" t="s">
        <v>23</v>
      </c>
      <c r="M232" t="s">
        <v>24</v>
      </c>
      <c r="N232" t="s">
        <v>25</v>
      </c>
      <c r="O232">
        <v>0</v>
      </c>
      <c r="Q232" t="str">
        <f t="shared" si="6"/>
        <v/>
      </c>
      <c r="R232" t="str">
        <f t="shared" si="7"/>
        <v/>
      </c>
    </row>
    <row r="233" spans="1:18" x14ac:dyDescent="0.35">
      <c r="A233">
        <v>52302</v>
      </c>
      <c r="B233" t="s">
        <v>118</v>
      </c>
      <c r="C233" s="217">
        <v>45731</v>
      </c>
      <c r="D233">
        <v>1818</v>
      </c>
      <c r="E233" t="s">
        <v>122</v>
      </c>
      <c r="F233" t="s">
        <v>121</v>
      </c>
      <c r="G233" t="s">
        <v>50</v>
      </c>
      <c r="H233">
        <v>217201598671</v>
      </c>
      <c r="I233">
        <v>595.07000000000005</v>
      </c>
      <c r="J233">
        <v>0</v>
      </c>
      <c r="K233" t="s">
        <v>22</v>
      </c>
      <c r="L233" t="s">
        <v>23</v>
      </c>
      <c r="M233" t="s">
        <v>24</v>
      </c>
      <c r="N233" t="s">
        <v>25</v>
      </c>
      <c r="O233">
        <v>0</v>
      </c>
      <c r="Q233" t="str">
        <f t="shared" si="6"/>
        <v/>
      </c>
      <c r="R233" t="str">
        <f t="shared" si="7"/>
        <v/>
      </c>
    </row>
    <row r="234" spans="1:18" x14ac:dyDescent="0.35">
      <c r="A234">
        <v>52302</v>
      </c>
      <c r="B234" t="s">
        <v>118</v>
      </c>
      <c r="C234" s="217">
        <v>45731</v>
      </c>
      <c r="D234">
        <v>1818</v>
      </c>
      <c r="E234" t="s">
        <v>123</v>
      </c>
      <c r="F234" t="s">
        <v>121</v>
      </c>
      <c r="G234" t="s">
        <v>50</v>
      </c>
      <c r="H234">
        <v>217201598671</v>
      </c>
      <c r="I234">
        <v>7365.58</v>
      </c>
      <c r="J234">
        <v>0</v>
      </c>
      <c r="K234" t="s">
        <v>22</v>
      </c>
      <c r="L234" t="s">
        <v>23</v>
      </c>
      <c r="M234" t="s">
        <v>24</v>
      </c>
      <c r="N234" t="s">
        <v>25</v>
      </c>
      <c r="O234">
        <v>0</v>
      </c>
      <c r="Q234" t="str">
        <f t="shared" si="6"/>
        <v/>
      </c>
      <c r="R234" t="str">
        <f t="shared" si="7"/>
        <v/>
      </c>
    </row>
    <row r="235" spans="1:18" x14ac:dyDescent="0.35">
      <c r="A235">
        <v>52302</v>
      </c>
      <c r="B235" t="s">
        <v>118</v>
      </c>
      <c r="C235" s="217">
        <v>45762</v>
      </c>
      <c r="D235">
        <v>2292</v>
      </c>
      <c r="E235" t="s">
        <v>124</v>
      </c>
      <c r="F235" t="s">
        <v>121</v>
      </c>
      <c r="G235" t="s">
        <v>50</v>
      </c>
      <c r="H235">
        <v>217201634197</v>
      </c>
      <c r="I235">
        <v>598.08000000000004</v>
      </c>
      <c r="J235">
        <v>0</v>
      </c>
      <c r="K235" t="s">
        <v>22</v>
      </c>
      <c r="L235" t="s">
        <v>23</v>
      </c>
      <c r="M235" t="s">
        <v>24</v>
      </c>
      <c r="N235" t="s">
        <v>25</v>
      </c>
      <c r="O235">
        <v>0</v>
      </c>
      <c r="Q235" t="str">
        <f t="shared" si="6"/>
        <v/>
      </c>
      <c r="R235" t="str">
        <f t="shared" si="7"/>
        <v/>
      </c>
    </row>
    <row r="236" spans="1:18" x14ac:dyDescent="0.35">
      <c r="A236">
        <v>52302</v>
      </c>
      <c r="B236" t="s">
        <v>118</v>
      </c>
      <c r="C236" s="217">
        <v>45762</v>
      </c>
      <c r="D236">
        <v>2292</v>
      </c>
      <c r="E236" t="s">
        <v>125</v>
      </c>
      <c r="F236" t="s">
        <v>121</v>
      </c>
      <c r="G236" t="s">
        <v>50</v>
      </c>
      <c r="H236">
        <v>217201634197</v>
      </c>
      <c r="I236">
        <v>46411.85</v>
      </c>
      <c r="J236">
        <v>0</v>
      </c>
      <c r="K236" t="s">
        <v>22</v>
      </c>
      <c r="L236" t="s">
        <v>23</v>
      </c>
      <c r="M236" t="s">
        <v>24</v>
      </c>
      <c r="N236" t="s">
        <v>25</v>
      </c>
      <c r="O236">
        <v>0</v>
      </c>
      <c r="Q236" t="str">
        <f t="shared" si="6"/>
        <v/>
      </c>
      <c r="R236" t="str">
        <f t="shared" si="7"/>
        <v/>
      </c>
    </row>
    <row r="237" spans="1:18" x14ac:dyDescent="0.35">
      <c r="A237">
        <v>52302</v>
      </c>
      <c r="B237" t="s">
        <v>118</v>
      </c>
      <c r="C237" s="217">
        <v>45762</v>
      </c>
      <c r="D237">
        <v>2292</v>
      </c>
      <c r="E237" t="s">
        <v>123</v>
      </c>
      <c r="F237" t="s">
        <v>121</v>
      </c>
      <c r="G237" t="s">
        <v>50</v>
      </c>
      <c r="H237">
        <v>217201634197</v>
      </c>
      <c r="I237">
        <v>7980.8</v>
      </c>
      <c r="J237">
        <v>0</v>
      </c>
      <c r="K237" t="s">
        <v>22</v>
      </c>
      <c r="L237" t="s">
        <v>23</v>
      </c>
      <c r="M237" t="s">
        <v>24</v>
      </c>
      <c r="N237" t="s">
        <v>25</v>
      </c>
      <c r="O237">
        <v>0</v>
      </c>
      <c r="Q237" t="str">
        <f t="shared" si="6"/>
        <v/>
      </c>
      <c r="R237" t="str">
        <f t="shared" si="7"/>
        <v/>
      </c>
    </row>
    <row r="238" spans="1:18" x14ac:dyDescent="0.35">
      <c r="A238">
        <v>52302</v>
      </c>
      <c r="B238" t="s">
        <v>118</v>
      </c>
      <c r="C238" s="217">
        <v>45768</v>
      </c>
      <c r="D238">
        <v>2396</v>
      </c>
      <c r="E238" t="s">
        <v>126</v>
      </c>
      <c r="F238" t="s">
        <v>127</v>
      </c>
      <c r="G238" t="s">
        <v>70</v>
      </c>
      <c r="H238">
        <v>1900071680</v>
      </c>
      <c r="I238">
        <v>3361.97</v>
      </c>
      <c r="J238">
        <v>0</v>
      </c>
      <c r="K238" t="s">
        <v>22</v>
      </c>
      <c r="L238" t="s">
        <v>23</v>
      </c>
      <c r="M238" t="s">
        <v>24</v>
      </c>
      <c r="N238" t="s">
        <v>25</v>
      </c>
      <c r="O238">
        <v>0</v>
      </c>
      <c r="Q238" t="str">
        <f t="shared" si="6"/>
        <v/>
      </c>
      <c r="R238" t="str">
        <f t="shared" si="7"/>
        <v/>
      </c>
    </row>
    <row r="239" spans="1:18" x14ac:dyDescent="0.35">
      <c r="A239">
        <v>52302</v>
      </c>
      <c r="B239" t="s">
        <v>118</v>
      </c>
      <c r="C239" s="217">
        <v>45768</v>
      </c>
      <c r="D239">
        <v>2396</v>
      </c>
      <c r="E239" t="s">
        <v>126</v>
      </c>
      <c r="F239" t="s">
        <v>127</v>
      </c>
      <c r="G239" t="s">
        <v>70</v>
      </c>
      <c r="H239">
        <v>1900071680</v>
      </c>
      <c r="I239">
        <v>820.01</v>
      </c>
      <c r="J239">
        <v>0</v>
      </c>
      <c r="K239" t="s">
        <v>22</v>
      </c>
      <c r="L239" t="s">
        <v>23</v>
      </c>
      <c r="M239" t="s">
        <v>24</v>
      </c>
      <c r="N239" t="s">
        <v>25</v>
      </c>
      <c r="O239">
        <v>0</v>
      </c>
      <c r="Q239" t="str">
        <f t="shared" si="6"/>
        <v/>
      </c>
      <c r="R239" t="str">
        <f t="shared" si="7"/>
        <v/>
      </c>
    </row>
    <row r="240" spans="1:18" x14ac:dyDescent="0.35">
      <c r="A240">
        <v>52302</v>
      </c>
      <c r="B240" t="s">
        <v>118</v>
      </c>
      <c r="C240" s="217">
        <v>45783</v>
      </c>
      <c r="D240">
        <v>2836</v>
      </c>
      <c r="E240" t="s">
        <v>128</v>
      </c>
      <c r="F240" t="s">
        <v>129</v>
      </c>
      <c r="G240" t="s">
        <v>50</v>
      </c>
      <c r="H240">
        <v>3000021376</v>
      </c>
      <c r="I240">
        <v>975.8</v>
      </c>
      <c r="J240">
        <v>0</v>
      </c>
      <c r="K240" t="s">
        <v>22</v>
      </c>
      <c r="L240" t="s">
        <v>23</v>
      </c>
      <c r="M240" t="s">
        <v>24</v>
      </c>
      <c r="N240" t="s">
        <v>25</v>
      </c>
      <c r="O240">
        <v>0</v>
      </c>
      <c r="Q240" t="str">
        <f t="shared" si="6"/>
        <v/>
      </c>
      <c r="R240" t="str">
        <f t="shared" si="7"/>
        <v/>
      </c>
    </row>
    <row r="241" spans="1:18" x14ac:dyDescent="0.35">
      <c r="A241">
        <v>52302</v>
      </c>
      <c r="B241" t="s">
        <v>118</v>
      </c>
      <c r="C241" s="217">
        <v>45783</v>
      </c>
      <c r="D241">
        <v>2836</v>
      </c>
      <c r="E241" t="s">
        <v>130</v>
      </c>
      <c r="F241" t="s">
        <v>129</v>
      </c>
      <c r="G241" t="s">
        <v>50</v>
      </c>
      <c r="H241">
        <v>3000021376</v>
      </c>
      <c r="I241">
        <v>59.77</v>
      </c>
      <c r="J241">
        <v>0</v>
      </c>
      <c r="K241" t="s">
        <v>22</v>
      </c>
      <c r="L241" t="s">
        <v>23</v>
      </c>
      <c r="M241" t="s">
        <v>24</v>
      </c>
      <c r="N241" t="s">
        <v>25</v>
      </c>
      <c r="O241">
        <v>0</v>
      </c>
      <c r="Q241" t="str">
        <f t="shared" si="6"/>
        <v/>
      </c>
      <c r="R241" t="str">
        <f t="shared" si="7"/>
        <v/>
      </c>
    </row>
    <row r="242" spans="1:18" x14ac:dyDescent="0.35">
      <c r="A242">
        <v>52302</v>
      </c>
      <c r="B242" t="s">
        <v>118</v>
      </c>
      <c r="C242" s="217">
        <v>45783</v>
      </c>
      <c r="D242">
        <v>2836</v>
      </c>
      <c r="E242" t="s">
        <v>131</v>
      </c>
      <c r="F242" t="s">
        <v>129</v>
      </c>
      <c r="G242" t="s">
        <v>50</v>
      </c>
      <c r="H242">
        <v>3000021376</v>
      </c>
      <c r="I242">
        <v>4354.12</v>
      </c>
      <c r="J242">
        <v>0</v>
      </c>
      <c r="K242" t="s">
        <v>22</v>
      </c>
      <c r="L242" t="s">
        <v>23</v>
      </c>
      <c r="M242" t="s">
        <v>24</v>
      </c>
      <c r="N242" t="s">
        <v>25</v>
      </c>
      <c r="O242">
        <v>0</v>
      </c>
      <c r="Q242" t="str">
        <f t="shared" si="6"/>
        <v/>
      </c>
      <c r="R242" t="str">
        <f t="shared" si="7"/>
        <v/>
      </c>
    </row>
    <row r="243" spans="1:18" x14ac:dyDescent="0.35">
      <c r="A243">
        <v>52302</v>
      </c>
      <c r="B243" t="s">
        <v>118</v>
      </c>
      <c r="C243" s="217">
        <v>45792</v>
      </c>
      <c r="D243">
        <v>3102</v>
      </c>
      <c r="E243" t="s">
        <v>120</v>
      </c>
      <c r="F243" t="s">
        <v>121</v>
      </c>
      <c r="G243" t="s">
        <v>50</v>
      </c>
      <c r="H243">
        <v>217201669346</v>
      </c>
      <c r="I243">
        <v>33444.160000000003</v>
      </c>
      <c r="J243">
        <v>0</v>
      </c>
      <c r="K243" t="s">
        <v>22</v>
      </c>
      <c r="L243" t="s">
        <v>23</v>
      </c>
      <c r="M243" t="s">
        <v>24</v>
      </c>
      <c r="N243" t="s">
        <v>25</v>
      </c>
      <c r="O243">
        <v>0</v>
      </c>
      <c r="Q243" t="str">
        <f t="shared" si="6"/>
        <v/>
      </c>
      <c r="R243" t="str">
        <f t="shared" si="7"/>
        <v/>
      </c>
    </row>
    <row r="244" spans="1:18" x14ac:dyDescent="0.35">
      <c r="A244">
        <v>52302</v>
      </c>
      <c r="B244" t="s">
        <v>118</v>
      </c>
      <c r="C244" s="217">
        <v>45792</v>
      </c>
      <c r="D244">
        <v>3102</v>
      </c>
      <c r="E244" t="s">
        <v>122</v>
      </c>
      <c r="F244" t="s">
        <v>121</v>
      </c>
      <c r="G244" t="s">
        <v>50</v>
      </c>
      <c r="H244">
        <v>217201669346</v>
      </c>
      <c r="I244">
        <v>451.42</v>
      </c>
      <c r="J244">
        <v>0</v>
      </c>
      <c r="K244" t="s">
        <v>22</v>
      </c>
      <c r="L244" t="s">
        <v>23</v>
      </c>
      <c r="M244" t="s">
        <v>24</v>
      </c>
      <c r="N244" t="s">
        <v>25</v>
      </c>
      <c r="O244">
        <v>0</v>
      </c>
      <c r="Q244" t="str">
        <f t="shared" si="6"/>
        <v/>
      </c>
      <c r="R244" t="str">
        <f t="shared" si="7"/>
        <v/>
      </c>
    </row>
    <row r="245" spans="1:18" x14ac:dyDescent="0.35">
      <c r="A245">
        <v>52302</v>
      </c>
      <c r="B245" t="s">
        <v>118</v>
      </c>
      <c r="C245" s="217">
        <v>45792</v>
      </c>
      <c r="D245">
        <v>3102</v>
      </c>
      <c r="E245" t="s">
        <v>123</v>
      </c>
      <c r="F245" t="s">
        <v>121</v>
      </c>
      <c r="G245" t="s">
        <v>50</v>
      </c>
      <c r="H245">
        <v>217201669346</v>
      </c>
      <c r="I245">
        <v>6133.33</v>
      </c>
      <c r="J245">
        <v>0</v>
      </c>
      <c r="K245" t="s">
        <v>22</v>
      </c>
      <c r="L245" t="s">
        <v>23</v>
      </c>
      <c r="M245" t="s">
        <v>24</v>
      </c>
      <c r="N245" t="s">
        <v>25</v>
      </c>
      <c r="O245">
        <v>0</v>
      </c>
      <c r="Q245" t="str">
        <f t="shared" si="6"/>
        <v/>
      </c>
      <c r="R245" t="str">
        <f t="shared" si="7"/>
        <v/>
      </c>
    </row>
    <row r="246" spans="1:18" x14ac:dyDescent="0.35">
      <c r="A246">
        <v>52302</v>
      </c>
      <c r="B246" t="s">
        <v>118</v>
      </c>
      <c r="C246" s="217">
        <v>45801</v>
      </c>
      <c r="D246">
        <v>3130</v>
      </c>
      <c r="E246" t="s">
        <v>132</v>
      </c>
      <c r="F246" t="s">
        <v>129</v>
      </c>
      <c r="G246" t="s">
        <v>50</v>
      </c>
      <c r="H246">
        <v>3000021734</v>
      </c>
      <c r="I246">
        <v>4171.91</v>
      </c>
      <c r="J246">
        <v>0</v>
      </c>
      <c r="K246" t="s">
        <v>22</v>
      </c>
      <c r="L246" t="s">
        <v>23</v>
      </c>
      <c r="M246" t="s">
        <v>24</v>
      </c>
      <c r="N246" t="s">
        <v>25</v>
      </c>
      <c r="O246">
        <v>0</v>
      </c>
      <c r="Q246" t="str">
        <f t="shared" si="6"/>
        <v/>
      </c>
      <c r="R246" t="str">
        <f t="shared" si="7"/>
        <v/>
      </c>
    </row>
    <row r="247" spans="1:18" x14ac:dyDescent="0.35">
      <c r="A247">
        <v>52302</v>
      </c>
      <c r="B247" t="s">
        <v>118</v>
      </c>
      <c r="C247" s="217">
        <v>45801</v>
      </c>
      <c r="D247">
        <v>3130</v>
      </c>
      <c r="E247" t="s">
        <v>128</v>
      </c>
      <c r="F247" t="s">
        <v>129</v>
      </c>
      <c r="G247" t="s">
        <v>50</v>
      </c>
      <c r="H247">
        <v>3000021734</v>
      </c>
      <c r="I247">
        <v>917.8</v>
      </c>
      <c r="J247">
        <v>0</v>
      </c>
      <c r="K247" t="s">
        <v>22</v>
      </c>
      <c r="L247" t="s">
        <v>23</v>
      </c>
      <c r="M247" t="s">
        <v>24</v>
      </c>
      <c r="N247" t="s">
        <v>25</v>
      </c>
      <c r="O247">
        <v>0</v>
      </c>
      <c r="Q247" t="str">
        <f t="shared" si="6"/>
        <v/>
      </c>
      <c r="R247" t="str">
        <f t="shared" si="7"/>
        <v/>
      </c>
    </row>
    <row r="248" spans="1:18" x14ac:dyDescent="0.35">
      <c r="A248">
        <v>52302</v>
      </c>
      <c r="B248" t="s">
        <v>118</v>
      </c>
      <c r="C248" s="217">
        <v>45801</v>
      </c>
      <c r="D248">
        <v>3130</v>
      </c>
      <c r="E248" t="s">
        <v>130</v>
      </c>
      <c r="F248" t="s">
        <v>129</v>
      </c>
      <c r="G248" t="s">
        <v>50</v>
      </c>
      <c r="H248">
        <v>3000021734</v>
      </c>
      <c r="I248">
        <v>56.22</v>
      </c>
      <c r="J248">
        <v>0</v>
      </c>
      <c r="K248" t="s">
        <v>22</v>
      </c>
      <c r="L248" t="s">
        <v>23</v>
      </c>
      <c r="M248" t="s">
        <v>24</v>
      </c>
      <c r="N248" t="s">
        <v>25</v>
      </c>
      <c r="O248">
        <v>0</v>
      </c>
      <c r="Q248" t="str">
        <f t="shared" si="6"/>
        <v/>
      </c>
      <c r="R248" t="str">
        <f t="shared" si="7"/>
        <v/>
      </c>
    </row>
    <row r="249" spans="1:18" x14ac:dyDescent="0.35">
      <c r="A249">
        <v>52302</v>
      </c>
      <c r="B249" t="s">
        <v>118</v>
      </c>
      <c r="C249" s="217">
        <v>45808</v>
      </c>
      <c r="D249">
        <v>3195</v>
      </c>
      <c r="E249" t="s">
        <v>124</v>
      </c>
      <c r="F249" t="s">
        <v>121</v>
      </c>
      <c r="G249" t="s">
        <v>50</v>
      </c>
      <c r="H249">
        <v>217201683487</v>
      </c>
      <c r="I249">
        <v>375.18</v>
      </c>
      <c r="J249">
        <v>0</v>
      </c>
      <c r="K249" t="s">
        <v>22</v>
      </c>
      <c r="L249" t="s">
        <v>23</v>
      </c>
      <c r="M249" t="s">
        <v>24</v>
      </c>
      <c r="N249" t="s">
        <v>25</v>
      </c>
      <c r="O249">
        <v>0</v>
      </c>
      <c r="Q249" t="str">
        <f t="shared" si="6"/>
        <v/>
      </c>
      <c r="R249" t="str">
        <f t="shared" si="7"/>
        <v/>
      </c>
    </row>
    <row r="250" spans="1:18" x14ac:dyDescent="0.35">
      <c r="A250">
        <v>52302</v>
      </c>
      <c r="B250" t="s">
        <v>118</v>
      </c>
      <c r="C250" s="217">
        <v>45808</v>
      </c>
      <c r="D250">
        <v>3195</v>
      </c>
      <c r="E250" t="s">
        <v>133</v>
      </c>
      <c r="F250" t="s">
        <v>121</v>
      </c>
      <c r="G250" t="s">
        <v>50</v>
      </c>
      <c r="H250">
        <v>217201683487</v>
      </c>
      <c r="I250">
        <v>27571.85</v>
      </c>
      <c r="J250">
        <v>0</v>
      </c>
      <c r="K250" t="s">
        <v>22</v>
      </c>
      <c r="L250" t="s">
        <v>23</v>
      </c>
      <c r="M250" t="s">
        <v>24</v>
      </c>
      <c r="N250" t="s">
        <v>25</v>
      </c>
      <c r="O250">
        <v>0</v>
      </c>
      <c r="Q250" t="str">
        <f t="shared" si="6"/>
        <v/>
      </c>
      <c r="R250" t="str">
        <f t="shared" si="7"/>
        <v/>
      </c>
    </row>
    <row r="251" spans="1:18" x14ac:dyDescent="0.35">
      <c r="A251">
        <v>52302</v>
      </c>
      <c r="B251" t="s">
        <v>118</v>
      </c>
      <c r="C251" s="217">
        <v>45808</v>
      </c>
      <c r="D251">
        <v>3195</v>
      </c>
      <c r="E251" t="s">
        <v>123</v>
      </c>
      <c r="F251" t="s">
        <v>121</v>
      </c>
      <c r="G251" t="s">
        <v>50</v>
      </c>
      <c r="H251">
        <v>217201683487</v>
      </c>
      <c r="I251">
        <v>4341.93</v>
      </c>
      <c r="J251">
        <v>0</v>
      </c>
      <c r="K251" t="s">
        <v>22</v>
      </c>
      <c r="L251" t="s">
        <v>23</v>
      </c>
      <c r="M251" t="s">
        <v>24</v>
      </c>
      <c r="N251" t="s">
        <v>25</v>
      </c>
      <c r="O251">
        <v>0</v>
      </c>
      <c r="Q251" t="str">
        <f t="shared" si="6"/>
        <v/>
      </c>
      <c r="R251" t="str">
        <f t="shared" si="7"/>
        <v/>
      </c>
    </row>
    <row r="252" spans="1:18" x14ac:dyDescent="0.35">
      <c r="A252">
        <v>52302</v>
      </c>
      <c r="B252" t="s">
        <v>118</v>
      </c>
      <c r="C252" s="217">
        <v>45808</v>
      </c>
      <c r="D252">
        <v>3195</v>
      </c>
      <c r="E252" t="s">
        <v>134</v>
      </c>
      <c r="F252" t="s">
        <v>121</v>
      </c>
      <c r="G252" t="s">
        <v>50</v>
      </c>
      <c r="H252">
        <v>217201683487</v>
      </c>
      <c r="I252">
        <v>19158.09</v>
      </c>
      <c r="J252">
        <v>0</v>
      </c>
      <c r="K252" t="s">
        <v>22</v>
      </c>
      <c r="L252" t="s">
        <v>23</v>
      </c>
      <c r="M252" t="s">
        <v>24</v>
      </c>
      <c r="N252" t="s">
        <v>25</v>
      </c>
      <c r="O252">
        <v>0</v>
      </c>
      <c r="Q252" t="str">
        <f t="shared" si="6"/>
        <v/>
      </c>
      <c r="R252" t="str">
        <f t="shared" si="7"/>
        <v/>
      </c>
    </row>
    <row r="253" spans="1:18" x14ac:dyDescent="0.35">
      <c r="A253">
        <v>52302</v>
      </c>
      <c r="B253" t="s">
        <v>118</v>
      </c>
      <c r="C253" s="217">
        <v>45821</v>
      </c>
      <c r="D253">
        <v>1627</v>
      </c>
      <c r="E253" t="s">
        <v>135</v>
      </c>
      <c r="F253" t="s">
        <v>28</v>
      </c>
      <c r="G253" t="s">
        <v>41</v>
      </c>
      <c r="H253">
        <v>7027</v>
      </c>
      <c r="I253">
        <v>17864</v>
      </c>
      <c r="J253">
        <v>0</v>
      </c>
      <c r="K253" t="s">
        <v>22</v>
      </c>
      <c r="L253" t="s">
        <v>23</v>
      </c>
      <c r="M253" t="s">
        <v>24</v>
      </c>
      <c r="N253" t="s">
        <v>25</v>
      </c>
      <c r="O253">
        <v>0</v>
      </c>
      <c r="Q253" t="str">
        <f t="shared" si="6"/>
        <v/>
      </c>
      <c r="R253" t="str">
        <f t="shared" si="7"/>
        <v/>
      </c>
    </row>
    <row r="254" spans="1:18" x14ac:dyDescent="0.35">
      <c r="A254">
        <v>52302</v>
      </c>
      <c r="B254" t="s">
        <v>118</v>
      </c>
      <c r="C254" s="217">
        <v>45823</v>
      </c>
      <c r="D254">
        <v>3395</v>
      </c>
      <c r="E254" t="s">
        <v>124</v>
      </c>
      <c r="F254" t="s">
        <v>121</v>
      </c>
      <c r="G254" t="s">
        <v>50</v>
      </c>
      <c r="H254">
        <v>217201705229</v>
      </c>
      <c r="I254">
        <v>417.21</v>
      </c>
      <c r="J254">
        <v>0</v>
      </c>
      <c r="K254" t="s">
        <v>22</v>
      </c>
      <c r="L254" t="s">
        <v>23</v>
      </c>
      <c r="M254" t="s">
        <v>24</v>
      </c>
      <c r="N254" t="s">
        <v>25</v>
      </c>
      <c r="O254">
        <v>0</v>
      </c>
      <c r="Q254" t="str">
        <f t="shared" si="6"/>
        <v/>
      </c>
      <c r="R254" t="str">
        <f t="shared" si="7"/>
        <v/>
      </c>
    </row>
    <row r="255" spans="1:18" x14ac:dyDescent="0.35">
      <c r="A255">
        <v>52302</v>
      </c>
      <c r="B255" t="s">
        <v>118</v>
      </c>
      <c r="C255" s="217">
        <v>45823</v>
      </c>
      <c r="D255">
        <v>3395</v>
      </c>
      <c r="E255" t="s">
        <v>136</v>
      </c>
      <c r="F255" t="s">
        <v>121</v>
      </c>
      <c r="G255" t="s">
        <v>50</v>
      </c>
      <c r="H255">
        <v>217201705229</v>
      </c>
      <c r="I255">
        <v>27501.75</v>
      </c>
      <c r="J255">
        <v>0</v>
      </c>
      <c r="K255" t="s">
        <v>22</v>
      </c>
      <c r="L255" t="s">
        <v>23</v>
      </c>
      <c r="M255" t="s">
        <v>24</v>
      </c>
      <c r="N255" t="s">
        <v>25</v>
      </c>
      <c r="O255">
        <v>0</v>
      </c>
      <c r="Q255" t="str">
        <f t="shared" si="6"/>
        <v/>
      </c>
      <c r="R255" t="str">
        <f t="shared" si="7"/>
        <v/>
      </c>
    </row>
    <row r="256" spans="1:18" x14ac:dyDescent="0.35">
      <c r="A256">
        <v>52302</v>
      </c>
      <c r="B256" t="s">
        <v>118</v>
      </c>
      <c r="C256" s="217">
        <v>45823</v>
      </c>
      <c r="D256">
        <v>3395</v>
      </c>
      <c r="E256" t="s">
        <v>137</v>
      </c>
      <c r="F256" t="s">
        <v>121</v>
      </c>
      <c r="G256" t="s">
        <v>50</v>
      </c>
      <c r="H256">
        <v>217201705229</v>
      </c>
      <c r="I256">
        <v>18338.62</v>
      </c>
      <c r="J256">
        <v>0</v>
      </c>
      <c r="K256" t="s">
        <v>22</v>
      </c>
      <c r="L256" t="s">
        <v>23</v>
      </c>
      <c r="M256" t="s">
        <v>24</v>
      </c>
      <c r="N256" t="s">
        <v>25</v>
      </c>
      <c r="O256">
        <v>0</v>
      </c>
      <c r="Q256" t="str">
        <f t="shared" si="6"/>
        <v/>
      </c>
      <c r="R256" t="str">
        <f t="shared" si="7"/>
        <v/>
      </c>
    </row>
    <row r="257" spans="1:18" x14ac:dyDescent="0.35">
      <c r="A257">
        <v>52302</v>
      </c>
      <c r="B257" t="s">
        <v>118</v>
      </c>
      <c r="C257" s="217">
        <v>45823</v>
      </c>
      <c r="D257">
        <v>3395</v>
      </c>
      <c r="E257" t="s">
        <v>123</v>
      </c>
      <c r="F257" t="s">
        <v>121</v>
      </c>
      <c r="G257" t="s">
        <v>50</v>
      </c>
      <c r="H257">
        <v>217201705229</v>
      </c>
      <c r="I257">
        <v>5038.3999999999996</v>
      </c>
      <c r="J257">
        <v>0</v>
      </c>
      <c r="K257" t="s">
        <v>22</v>
      </c>
      <c r="L257" t="s">
        <v>23</v>
      </c>
      <c r="M257" t="s">
        <v>24</v>
      </c>
      <c r="N257" t="s">
        <v>25</v>
      </c>
      <c r="O257">
        <v>0</v>
      </c>
      <c r="Q257" t="str">
        <f t="shared" si="6"/>
        <v/>
      </c>
      <c r="R257" t="str">
        <f t="shared" si="7"/>
        <v/>
      </c>
    </row>
    <row r="258" spans="1:18" x14ac:dyDescent="0.35">
      <c r="A258">
        <v>52302</v>
      </c>
      <c r="B258" t="s">
        <v>118</v>
      </c>
      <c r="C258" s="217">
        <v>45837</v>
      </c>
      <c r="D258">
        <v>3493</v>
      </c>
      <c r="E258" t="s">
        <v>128</v>
      </c>
      <c r="F258" t="s">
        <v>129</v>
      </c>
      <c r="G258" t="s">
        <v>50</v>
      </c>
      <c r="H258">
        <v>2900015044</v>
      </c>
      <c r="I258">
        <v>1049.94</v>
      </c>
      <c r="J258">
        <v>0</v>
      </c>
      <c r="K258" t="s">
        <v>22</v>
      </c>
      <c r="L258" t="s">
        <v>23</v>
      </c>
      <c r="M258" t="s">
        <v>24</v>
      </c>
      <c r="N258" t="s">
        <v>25</v>
      </c>
      <c r="O258">
        <v>0</v>
      </c>
      <c r="Q258" t="str">
        <f t="shared" ref="Q258:Q321" si="8">IFERROR(TRIM(LEFT($E258,FIND(" | ",$E258)-1)),"")</f>
        <v/>
      </c>
      <c r="R258" t="str">
        <f t="shared" ref="R258:R321" si="9">IFERROR(TRIM(UPPER(MID($E258,FIND(" | ",$E258)+3,IFERROR(FIND(" | ",$E258,FIND(" | ",$E258)+3),LEN($E258)+1)-FIND(" | ",$E258)-3))),"")</f>
        <v/>
      </c>
    </row>
    <row r="259" spans="1:18" x14ac:dyDescent="0.35">
      <c r="A259">
        <v>52302</v>
      </c>
      <c r="B259" t="s">
        <v>118</v>
      </c>
      <c r="C259" s="217">
        <v>45837</v>
      </c>
      <c r="D259">
        <v>3493</v>
      </c>
      <c r="E259" t="s">
        <v>130</v>
      </c>
      <c r="F259" t="s">
        <v>129</v>
      </c>
      <c r="G259" t="s">
        <v>50</v>
      </c>
      <c r="H259">
        <v>2900015044</v>
      </c>
      <c r="I259">
        <v>64.319999999999993</v>
      </c>
      <c r="J259">
        <v>0</v>
      </c>
      <c r="K259" t="s">
        <v>22</v>
      </c>
      <c r="L259" t="s">
        <v>23</v>
      </c>
      <c r="M259" t="s">
        <v>24</v>
      </c>
      <c r="N259" t="s">
        <v>25</v>
      </c>
      <c r="O259">
        <v>0</v>
      </c>
      <c r="Q259" t="str">
        <f t="shared" si="8"/>
        <v/>
      </c>
      <c r="R259" t="str">
        <f t="shared" si="9"/>
        <v/>
      </c>
    </row>
    <row r="260" spans="1:18" x14ac:dyDescent="0.35">
      <c r="A260">
        <v>52302</v>
      </c>
      <c r="B260" t="s">
        <v>118</v>
      </c>
      <c r="C260" s="217">
        <v>45837</v>
      </c>
      <c r="D260">
        <v>3493</v>
      </c>
      <c r="E260" t="s">
        <v>131</v>
      </c>
      <c r="F260" t="s">
        <v>129</v>
      </c>
      <c r="G260" t="s">
        <v>50</v>
      </c>
      <c r="H260">
        <v>2900015044</v>
      </c>
      <c r="I260">
        <v>4708.08</v>
      </c>
      <c r="J260">
        <v>0</v>
      </c>
      <c r="K260" t="s">
        <v>22</v>
      </c>
      <c r="L260" t="s">
        <v>23</v>
      </c>
      <c r="M260" t="s">
        <v>24</v>
      </c>
      <c r="N260" t="s">
        <v>25</v>
      </c>
      <c r="O260">
        <v>0</v>
      </c>
      <c r="Q260" t="str">
        <f t="shared" si="8"/>
        <v/>
      </c>
      <c r="R260" t="str">
        <f t="shared" si="9"/>
        <v/>
      </c>
    </row>
    <row r="261" spans="1:18" x14ac:dyDescent="0.35">
      <c r="A261">
        <v>52302</v>
      </c>
      <c r="B261" t="s">
        <v>118</v>
      </c>
      <c r="C261" s="217">
        <v>45848</v>
      </c>
      <c r="D261">
        <v>3715</v>
      </c>
      <c r="E261" t="s">
        <v>124</v>
      </c>
      <c r="F261" t="s">
        <v>121</v>
      </c>
      <c r="G261" t="s">
        <v>50</v>
      </c>
      <c r="H261">
        <v>217201719278</v>
      </c>
      <c r="I261">
        <v>755.83</v>
      </c>
      <c r="J261">
        <v>0</v>
      </c>
      <c r="K261" t="s">
        <v>22</v>
      </c>
      <c r="L261" t="s">
        <v>23</v>
      </c>
      <c r="M261" t="s">
        <v>24</v>
      </c>
      <c r="N261" t="s">
        <v>25</v>
      </c>
      <c r="O261">
        <v>0</v>
      </c>
      <c r="Q261" t="str">
        <f t="shared" si="8"/>
        <v/>
      </c>
      <c r="R261" t="str">
        <f t="shared" si="9"/>
        <v/>
      </c>
    </row>
    <row r="262" spans="1:18" x14ac:dyDescent="0.35">
      <c r="A262">
        <v>52302</v>
      </c>
      <c r="B262" t="s">
        <v>118</v>
      </c>
      <c r="C262" s="217">
        <v>45848</v>
      </c>
      <c r="D262">
        <v>3715</v>
      </c>
      <c r="E262" t="s">
        <v>133</v>
      </c>
      <c r="F262" t="s">
        <v>121</v>
      </c>
      <c r="G262" t="s">
        <v>50</v>
      </c>
      <c r="H262">
        <v>217201719278</v>
      </c>
      <c r="I262">
        <v>49886.9</v>
      </c>
      <c r="J262">
        <v>0</v>
      </c>
      <c r="K262" t="s">
        <v>22</v>
      </c>
      <c r="L262" t="s">
        <v>23</v>
      </c>
      <c r="M262" t="s">
        <v>24</v>
      </c>
      <c r="N262" t="s">
        <v>25</v>
      </c>
      <c r="O262">
        <v>0</v>
      </c>
      <c r="Q262" t="str">
        <f t="shared" si="8"/>
        <v/>
      </c>
      <c r="R262" t="str">
        <f t="shared" si="9"/>
        <v/>
      </c>
    </row>
    <row r="263" spans="1:18" x14ac:dyDescent="0.35">
      <c r="A263">
        <v>52302</v>
      </c>
      <c r="B263" t="s">
        <v>118</v>
      </c>
      <c r="C263" s="217">
        <v>45848</v>
      </c>
      <c r="D263">
        <v>3715</v>
      </c>
      <c r="E263" t="s">
        <v>123</v>
      </c>
      <c r="F263" t="s">
        <v>121</v>
      </c>
      <c r="G263" t="s">
        <v>50</v>
      </c>
      <c r="H263">
        <v>217201719278</v>
      </c>
      <c r="I263">
        <v>9148.81</v>
      </c>
      <c r="J263">
        <v>0</v>
      </c>
      <c r="K263" t="s">
        <v>22</v>
      </c>
      <c r="L263" t="s">
        <v>23</v>
      </c>
      <c r="M263" t="s">
        <v>24</v>
      </c>
      <c r="N263" t="s">
        <v>25</v>
      </c>
      <c r="O263">
        <v>0</v>
      </c>
      <c r="Q263" t="str">
        <f t="shared" si="8"/>
        <v/>
      </c>
      <c r="R263" t="str">
        <f t="shared" si="9"/>
        <v/>
      </c>
    </row>
    <row r="264" spans="1:18" x14ac:dyDescent="0.35">
      <c r="A264">
        <v>52302</v>
      </c>
      <c r="B264" t="s">
        <v>118</v>
      </c>
      <c r="C264" s="217">
        <v>45859</v>
      </c>
      <c r="D264">
        <v>3840</v>
      </c>
      <c r="E264" t="s">
        <v>132</v>
      </c>
      <c r="F264" t="s">
        <v>129</v>
      </c>
      <c r="G264" t="s">
        <v>50</v>
      </c>
      <c r="H264">
        <v>3000022907</v>
      </c>
      <c r="I264">
        <v>4837.8500000000004</v>
      </c>
      <c r="J264">
        <v>0</v>
      </c>
      <c r="K264" t="s">
        <v>22</v>
      </c>
      <c r="L264" t="s">
        <v>23</v>
      </c>
      <c r="M264" t="s">
        <v>24</v>
      </c>
      <c r="N264" t="s">
        <v>25</v>
      </c>
      <c r="O264">
        <v>0</v>
      </c>
      <c r="Q264" t="str">
        <f t="shared" si="8"/>
        <v/>
      </c>
      <c r="R264" t="str">
        <f t="shared" si="9"/>
        <v/>
      </c>
    </row>
    <row r="265" spans="1:18" x14ac:dyDescent="0.35">
      <c r="A265">
        <v>52302</v>
      </c>
      <c r="B265" t="s">
        <v>118</v>
      </c>
      <c r="C265" s="217">
        <v>45859</v>
      </c>
      <c r="D265">
        <v>3840</v>
      </c>
      <c r="E265" t="s">
        <v>132</v>
      </c>
      <c r="F265" t="s">
        <v>129</v>
      </c>
      <c r="G265" t="s">
        <v>50</v>
      </c>
      <c r="H265">
        <v>3000022907</v>
      </c>
      <c r="I265">
        <v>1114.94</v>
      </c>
      <c r="J265">
        <v>0</v>
      </c>
      <c r="K265" t="s">
        <v>22</v>
      </c>
      <c r="L265" t="s">
        <v>23</v>
      </c>
      <c r="M265" t="s">
        <v>24</v>
      </c>
      <c r="N265" t="s">
        <v>25</v>
      </c>
      <c r="O265">
        <v>0</v>
      </c>
      <c r="Q265" t="str">
        <f t="shared" si="8"/>
        <v/>
      </c>
      <c r="R265" t="str">
        <f t="shared" si="9"/>
        <v/>
      </c>
    </row>
    <row r="266" spans="1:18" x14ac:dyDescent="0.35">
      <c r="A266">
        <v>52302</v>
      </c>
      <c r="B266" t="s">
        <v>118</v>
      </c>
      <c r="C266" s="217">
        <v>45859</v>
      </c>
      <c r="D266">
        <v>3840</v>
      </c>
      <c r="E266" t="s">
        <v>132</v>
      </c>
      <c r="F266" t="s">
        <v>129</v>
      </c>
      <c r="G266" t="s">
        <v>50</v>
      </c>
      <c r="H266">
        <v>3000022907</v>
      </c>
      <c r="I266">
        <v>68.3</v>
      </c>
      <c r="J266">
        <v>0</v>
      </c>
      <c r="K266" t="s">
        <v>22</v>
      </c>
      <c r="L266" t="s">
        <v>23</v>
      </c>
      <c r="M266" t="s">
        <v>24</v>
      </c>
      <c r="N266" t="s">
        <v>25</v>
      </c>
      <c r="O266">
        <v>0</v>
      </c>
      <c r="Q266" t="str">
        <f t="shared" si="8"/>
        <v/>
      </c>
      <c r="R266" t="str">
        <f t="shared" si="9"/>
        <v/>
      </c>
    </row>
    <row r="267" spans="1:18" x14ac:dyDescent="0.35">
      <c r="A267">
        <v>52302</v>
      </c>
      <c r="B267" t="s">
        <v>118</v>
      </c>
      <c r="C267" s="217">
        <v>45863</v>
      </c>
      <c r="D267">
        <v>3857</v>
      </c>
      <c r="E267" t="s">
        <v>138</v>
      </c>
      <c r="F267" t="s">
        <v>121</v>
      </c>
      <c r="G267" t="s">
        <v>50</v>
      </c>
      <c r="H267">
        <v>217201742671</v>
      </c>
      <c r="I267">
        <v>41676.910000000003</v>
      </c>
      <c r="J267">
        <v>0</v>
      </c>
      <c r="K267" t="s">
        <v>22</v>
      </c>
      <c r="L267" t="s">
        <v>23</v>
      </c>
      <c r="M267" t="s">
        <v>24</v>
      </c>
      <c r="N267" t="s">
        <v>25</v>
      </c>
      <c r="O267">
        <v>0</v>
      </c>
      <c r="Q267" t="str">
        <f t="shared" si="8"/>
        <v/>
      </c>
      <c r="R267" t="str">
        <f t="shared" si="9"/>
        <v/>
      </c>
    </row>
    <row r="268" spans="1:18" x14ac:dyDescent="0.35">
      <c r="A268">
        <v>52302</v>
      </c>
      <c r="B268" t="s">
        <v>118</v>
      </c>
      <c r="C268" s="217">
        <v>45863</v>
      </c>
      <c r="D268">
        <v>3857</v>
      </c>
      <c r="E268" t="s">
        <v>124</v>
      </c>
      <c r="F268" t="s">
        <v>121</v>
      </c>
      <c r="G268" t="s">
        <v>50</v>
      </c>
      <c r="H268">
        <v>217201742671</v>
      </c>
      <c r="I268">
        <v>626.16999999999996</v>
      </c>
      <c r="J268">
        <v>0</v>
      </c>
      <c r="K268" t="s">
        <v>22</v>
      </c>
      <c r="L268" t="s">
        <v>23</v>
      </c>
      <c r="M268" t="s">
        <v>24</v>
      </c>
      <c r="N268" t="s">
        <v>25</v>
      </c>
      <c r="O268">
        <v>0</v>
      </c>
      <c r="Q268" t="str">
        <f t="shared" si="8"/>
        <v/>
      </c>
      <c r="R268" t="str">
        <f t="shared" si="9"/>
        <v/>
      </c>
    </row>
    <row r="269" spans="1:18" x14ac:dyDescent="0.35">
      <c r="A269">
        <v>52302</v>
      </c>
      <c r="B269" t="s">
        <v>118</v>
      </c>
      <c r="C269" s="217">
        <v>45863</v>
      </c>
      <c r="D269">
        <v>3857</v>
      </c>
      <c r="E269" t="s">
        <v>123</v>
      </c>
      <c r="F269" t="s">
        <v>121</v>
      </c>
      <c r="G269" t="s">
        <v>50</v>
      </c>
      <c r="H269">
        <v>217201742671</v>
      </c>
      <c r="I269">
        <v>7860.79</v>
      </c>
      <c r="J269">
        <v>0</v>
      </c>
      <c r="K269" t="s">
        <v>22</v>
      </c>
      <c r="L269" t="s">
        <v>23</v>
      </c>
      <c r="M269" t="s">
        <v>24</v>
      </c>
      <c r="N269" t="s">
        <v>25</v>
      </c>
      <c r="O269">
        <v>0</v>
      </c>
      <c r="Q269" t="str">
        <f t="shared" si="8"/>
        <v/>
      </c>
      <c r="R269" t="str">
        <f t="shared" si="9"/>
        <v/>
      </c>
    </row>
    <row r="270" spans="1:18" x14ac:dyDescent="0.35">
      <c r="A270">
        <v>52302</v>
      </c>
      <c r="B270" t="s">
        <v>118</v>
      </c>
      <c r="C270" s="217">
        <v>45869</v>
      </c>
      <c r="D270">
        <v>4005</v>
      </c>
      <c r="E270" t="s">
        <v>124</v>
      </c>
      <c r="F270" t="s">
        <v>121</v>
      </c>
      <c r="G270" t="s">
        <v>50</v>
      </c>
      <c r="H270">
        <v>217201756805</v>
      </c>
      <c r="I270">
        <v>359.99</v>
      </c>
      <c r="J270">
        <v>0</v>
      </c>
      <c r="K270" t="s">
        <v>22</v>
      </c>
      <c r="L270" t="s">
        <v>23</v>
      </c>
      <c r="M270" t="s">
        <v>24</v>
      </c>
      <c r="N270" t="s">
        <v>25</v>
      </c>
      <c r="O270">
        <v>0</v>
      </c>
      <c r="Q270" t="str">
        <f t="shared" si="8"/>
        <v/>
      </c>
      <c r="R270" t="str">
        <f t="shared" si="9"/>
        <v/>
      </c>
    </row>
    <row r="271" spans="1:18" x14ac:dyDescent="0.35">
      <c r="A271">
        <v>52302</v>
      </c>
      <c r="B271" t="s">
        <v>118</v>
      </c>
      <c r="C271" s="217">
        <v>45869</v>
      </c>
      <c r="D271">
        <v>4005</v>
      </c>
      <c r="E271" t="s">
        <v>125</v>
      </c>
      <c r="F271" t="s">
        <v>121</v>
      </c>
      <c r="G271" t="s">
        <v>50</v>
      </c>
      <c r="H271">
        <v>217201756805</v>
      </c>
      <c r="I271">
        <v>24365.16</v>
      </c>
      <c r="J271">
        <v>0</v>
      </c>
      <c r="K271" t="s">
        <v>22</v>
      </c>
      <c r="L271" t="s">
        <v>23</v>
      </c>
      <c r="M271" t="s">
        <v>24</v>
      </c>
      <c r="N271" t="s">
        <v>25</v>
      </c>
      <c r="O271">
        <v>0</v>
      </c>
      <c r="Q271" t="str">
        <f t="shared" si="8"/>
        <v/>
      </c>
      <c r="R271" t="str">
        <f t="shared" si="9"/>
        <v/>
      </c>
    </row>
    <row r="272" spans="1:18" x14ac:dyDescent="0.35">
      <c r="A272">
        <v>52302</v>
      </c>
      <c r="B272" t="s">
        <v>118</v>
      </c>
      <c r="C272" s="217">
        <v>45869</v>
      </c>
      <c r="D272">
        <v>4005</v>
      </c>
      <c r="E272" t="s">
        <v>123</v>
      </c>
      <c r="F272" t="s">
        <v>121</v>
      </c>
      <c r="G272" t="s">
        <v>50</v>
      </c>
      <c r="H272">
        <v>217201756805</v>
      </c>
      <c r="I272">
        <v>4533.33</v>
      </c>
      <c r="J272">
        <v>0</v>
      </c>
      <c r="K272" t="s">
        <v>22</v>
      </c>
      <c r="L272" t="s">
        <v>23</v>
      </c>
      <c r="M272" t="s">
        <v>24</v>
      </c>
      <c r="N272" t="s">
        <v>25</v>
      </c>
      <c r="O272">
        <v>0</v>
      </c>
      <c r="Q272" t="str">
        <f t="shared" si="8"/>
        <v/>
      </c>
      <c r="R272" t="str">
        <f t="shared" si="9"/>
        <v/>
      </c>
    </row>
    <row r="273" spans="1:18" x14ac:dyDescent="0.35">
      <c r="A273">
        <v>52302</v>
      </c>
      <c r="B273" t="s">
        <v>118</v>
      </c>
      <c r="C273" s="217">
        <v>45884</v>
      </c>
      <c r="D273">
        <v>4191</v>
      </c>
      <c r="E273" t="s">
        <v>124</v>
      </c>
      <c r="F273" t="s">
        <v>121</v>
      </c>
      <c r="G273" t="s">
        <v>50</v>
      </c>
      <c r="H273">
        <v>217201779235</v>
      </c>
      <c r="I273">
        <v>1009.2</v>
      </c>
      <c r="J273">
        <v>0</v>
      </c>
      <c r="K273" t="s">
        <v>22</v>
      </c>
      <c r="L273" t="s">
        <v>23</v>
      </c>
      <c r="M273" t="s">
        <v>24</v>
      </c>
      <c r="N273" t="s">
        <v>25</v>
      </c>
      <c r="O273">
        <v>0</v>
      </c>
      <c r="Q273" t="str">
        <f t="shared" si="8"/>
        <v/>
      </c>
      <c r="R273" t="str">
        <f t="shared" si="9"/>
        <v/>
      </c>
    </row>
    <row r="274" spans="1:18" x14ac:dyDescent="0.35">
      <c r="A274">
        <v>52302</v>
      </c>
      <c r="B274" t="s">
        <v>118</v>
      </c>
      <c r="C274" s="217">
        <v>45884</v>
      </c>
      <c r="D274">
        <v>4191</v>
      </c>
      <c r="E274" t="s">
        <v>133</v>
      </c>
      <c r="F274" t="s">
        <v>121</v>
      </c>
      <c r="G274" t="s">
        <v>50</v>
      </c>
      <c r="H274">
        <v>217201779235</v>
      </c>
      <c r="I274">
        <v>42584.73</v>
      </c>
      <c r="J274">
        <v>0</v>
      </c>
      <c r="K274" t="s">
        <v>22</v>
      </c>
      <c r="L274" t="s">
        <v>23</v>
      </c>
      <c r="M274" t="s">
        <v>24</v>
      </c>
      <c r="N274" t="s">
        <v>25</v>
      </c>
      <c r="O274">
        <v>0</v>
      </c>
      <c r="Q274" t="str">
        <f t="shared" si="8"/>
        <v/>
      </c>
      <c r="R274" t="str">
        <f t="shared" si="9"/>
        <v/>
      </c>
    </row>
    <row r="275" spans="1:18" x14ac:dyDescent="0.35">
      <c r="A275">
        <v>52302</v>
      </c>
      <c r="B275" t="s">
        <v>118</v>
      </c>
      <c r="C275" s="217">
        <v>45884</v>
      </c>
      <c r="D275">
        <v>4191</v>
      </c>
      <c r="E275" t="s">
        <v>139</v>
      </c>
      <c r="F275" t="s">
        <v>121</v>
      </c>
      <c r="G275" t="s">
        <v>50</v>
      </c>
      <c r="H275">
        <v>217201779235</v>
      </c>
      <c r="I275">
        <v>26066.6</v>
      </c>
      <c r="J275">
        <v>0</v>
      </c>
      <c r="K275" t="s">
        <v>22</v>
      </c>
      <c r="L275" t="s">
        <v>23</v>
      </c>
      <c r="M275" t="s">
        <v>24</v>
      </c>
      <c r="N275" t="s">
        <v>25</v>
      </c>
      <c r="O275">
        <v>0</v>
      </c>
      <c r="Q275" t="str">
        <f t="shared" si="8"/>
        <v/>
      </c>
      <c r="R275" t="str">
        <f t="shared" si="9"/>
        <v/>
      </c>
    </row>
    <row r="276" spans="1:18" x14ac:dyDescent="0.35">
      <c r="A276">
        <v>52302</v>
      </c>
      <c r="B276" t="s">
        <v>118</v>
      </c>
      <c r="C276" s="217">
        <v>45884</v>
      </c>
      <c r="D276">
        <v>4191</v>
      </c>
      <c r="E276" t="s">
        <v>123</v>
      </c>
      <c r="F276" t="s">
        <v>121</v>
      </c>
      <c r="G276" t="s">
        <v>50</v>
      </c>
      <c r="H276">
        <v>217201779235</v>
      </c>
      <c r="I276">
        <v>12739.96</v>
      </c>
      <c r="J276">
        <v>0</v>
      </c>
      <c r="K276" t="s">
        <v>22</v>
      </c>
      <c r="L276" t="s">
        <v>23</v>
      </c>
      <c r="M276" t="s">
        <v>24</v>
      </c>
      <c r="N276" t="s">
        <v>25</v>
      </c>
      <c r="O276">
        <v>0</v>
      </c>
      <c r="Q276" t="str">
        <f t="shared" si="8"/>
        <v/>
      </c>
      <c r="R276" t="str">
        <f t="shared" si="9"/>
        <v/>
      </c>
    </row>
    <row r="277" spans="1:18" x14ac:dyDescent="0.35">
      <c r="A277">
        <v>52302</v>
      </c>
      <c r="B277" t="s">
        <v>118</v>
      </c>
      <c r="C277" s="217">
        <v>45915</v>
      </c>
      <c r="D277">
        <v>4659</v>
      </c>
      <c r="E277" t="s">
        <v>124</v>
      </c>
      <c r="F277" t="s">
        <v>121</v>
      </c>
      <c r="G277" t="s">
        <v>50</v>
      </c>
      <c r="H277">
        <v>217201816579</v>
      </c>
      <c r="I277">
        <v>443.98</v>
      </c>
      <c r="J277">
        <v>0</v>
      </c>
      <c r="K277" t="s">
        <v>22</v>
      </c>
      <c r="L277" t="s">
        <v>23</v>
      </c>
      <c r="M277" t="s">
        <v>24</v>
      </c>
      <c r="N277" t="s">
        <v>25</v>
      </c>
      <c r="O277">
        <v>0</v>
      </c>
      <c r="Q277" t="str">
        <f t="shared" si="8"/>
        <v/>
      </c>
      <c r="R277" t="str">
        <f t="shared" si="9"/>
        <v/>
      </c>
    </row>
    <row r="278" spans="1:18" x14ac:dyDescent="0.35">
      <c r="A278">
        <v>52302</v>
      </c>
      <c r="B278" t="s">
        <v>118</v>
      </c>
      <c r="C278" s="217">
        <v>45915</v>
      </c>
      <c r="D278">
        <v>4659</v>
      </c>
      <c r="E278" t="s">
        <v>139</v>
      </c>
      <c r="F278" t="s">
        <v>121</v>
      </c>
      <c r="G278" t="s">
        <v>50</v>
      </c>
      <c r="H278">
        <v>217201816579</v>
      </c>
      <c r="I278">
        <v>30544.1</v>
      </c>
      <c r="J278">
        <v>0</v>
      </c>
      <c r="K278" t="s">
        <v>22</v>
      </c>
      <c r="L278" t="s">
        <v>23</v>
      </c>
      <c r="M278" t="s">
        <v>24</v>
      </c>
      <c r="N278" t="s">
        <v>25</v>
      </c>
      <c r="O278">
        <v>0</v>
      </c>
      <c r="Q278" t="str">
        <f t="shared" si="8"/>
        <v/>
      </c>
      <c r="R278" t="str">
        <f t="shared" si="9"/>
        <v/>
      </c>
    </row>
    <row r="279" spans="1:18" x14ac:dyDescent="0.35">
      <c r="A279">
        <v>52302</v>
      </c>
      <c r="B279" t="s">
        <v>118</v>
      </c>
      <c r="C279" s="217">
        <v>45915</v>
      </c>
      <c r="D279">
        <v>4659</v>
      </c>
      <c r="E279" t="s">
        <v>123</v>
      </c>
      <c r="F279" t="s">
        <v>121</v>
      </c>
      <c r="G279" t="s">
        <v>50</v>
      </c>
      <c r="H279">
        <v>217201816579</v>
      </c>
      <c r="I279">
        <v>5468.11</v>
      </c>
      <c r="J279">
        <v>0</v>
      </c>
      <c r="K279" t="s">
        <v>22</v>
      </c>
      <c r="L279" t="s">
        <v>23</v>
      </c>
      <c r="M279" t="s">
        <v>24</v>
      </c>
      <c r="N279" t="s">
        <v>25</v>
      </c>
      <c r="O279">
        <v>0</v>
      </c>
      <c r="Q279" t="str">
        <f t="shared" si="8"/>
        <v/>
      </c>
      <c r="R279" t="str">
        <f t="shared" si="9"/>
        <v/>
      </c>
    </row>
    <row r="280" spans="1:18" x14ac:dyDescent="0.35">
      <c r="A280">
        <v>52302</v>
      </c>
      <c r="B280" t="s">
        <v>118</v>
      </c>
      <c r="C280" s="217">
        <v>45930</v>
      </c>
      <c r="D280">
        <v>5142</v>
      </c>
      <c r="E280" t="s">
        <v>140</v>
      </c>
      <c r="F280" t="s">
        <v>121</v>
      </c>
      <c r="G280" t="s">
        <v>50</v>
      </c>
      <c r="H280">
        <v>217201831393</v>
      </c>
      <c r="I280">
        <v>16165.25</v>
      </c>
      <c r="J280">
        <v>0</v>
      </c>
      <c r="K280" t="s">
        <v>22</v>
      </c>
      <c r="L280" t="s">
        <v>23</v>
      </c>
      <c r="M280" t="s">
        <v>24</v>
      </c>
      <c r="N280" t="s">
        <v>25</v>
      </c>
      <c r="O280">
        <v>0</v>
      </c>
      <c r="Q280" t="str">
        <f t="shared" si="8"/>
        <v/>
      </c>
      <c r="R280" t="str">
        <f t="shared" si="9"/>
        <v/>
      </c>
    </row>
    <row r="281" spans="1:18" x14ac:dyDescent="0.35">
      <c r="A281">
        <v>52302</v>
      </c>
      <c r="B281" t="s">
        <v>118</v>
      </c>
      <c r="C281" s="217">
        <v>45930</v>
      </c>
      <c r="D281">
        <v>5142</v>
      </c>
      <c r="E281" t="s">
        <v>124</v>
      </c>
      <c r="F281" t="s">
        <v>121</v>
      </c>
      <c r="G281" t="s">
        <v>50</v>
      </c>
      <c r="H281">
        <v>217201831393</v>
      </c>
      <c r="I281">
        <v>306.56</v>
      </c>
      <c r="J281">
        <v>0</v>
      </c>
      <c r="K281" t="s">
        <v>22</v>
      </c>
      <c r="L281" t="s">
        <v>23</v>
      </c>
      <c r="M281" t="s">
        <v>24</v>
      </c>
      <c r="N281" t="s">
        <v>25</v>
      </c>
      <c r="O281">
        <v>0</v>
      </c>
      <c r="Q281" t="str">
        <f t="shared" si="8"/>
        <v/>
      </c>
      <c r="R281" t="str">
        <f t="shared" si="9"/>
        <v/>
      </c>
    </row>
    <row r="282" spans="1:18" x14ac:dyDescent="0.35">
      <c r="A282">
        <v>52302</v>
      </c>
      <c r="B282" t="s">
        <v>118</v>
      </c>
      <c r="C282" s="217">
        <v>45930</v>
      </c>
      <c r="D282">
        <v>5142</v>
      </c>
      <c r="E282" t="s">
        <v>123</v>
      </c>
      <c r="F282" t="s">
        <v>121</v>
      </c>
      <c r="G282" t="s">
        <v>50</v>
      </c>
      <c r="H282">
        <v>217201831393</v>
      </c>
      <c r="I282">
        <v>2976.36</v>
      </c>
      <c r="J282">
        <v>0</v>
      </c>
      <c r="K282" t="s">
        <v>22</v>
      </c>
      <c r="L282" t="s">
        <v>23</v>
      </c>
      <c r="M282" t="s">
        <v>24</v>
      </c>
      <c r="N282" t="s">
        <v>25</v>
      </c>
      <c r="O282">
        <v>0</v>
      </c>
      <c r="Q282" t="str">
        <f t="shared" si="8"/>
        <v/>
      </c>
      <c r="R282" t="str">
        <f t="shared" si="9"/>
        <v/>
      </c>
    </row>
    <row r="283" spans="1:18" x14ac:dyDescent="0.35">
      <c r="A283">
        <v>52302</v>
      </c>
      <c r="B283" t="s">
        <v>118</v>
      </c>
      <c r="C283" s="217">
        <v>45932</v>
      </c>
      <c r="D283">
        <v>5123</v>
      </c>
      <c r="E283" t="s">
        <v>141</v>
      </c>
      <c r="F283" t="s">
        <v>142</v>
      </c>
      <c r="G283" t="s">
        <v>50</v>
      </c>
      <c r="H283">
        <v>400002164</v>
      </c>
      <c r="I283">
        <v>8000</v>
      </c>
      <c r="J283">
        <v>0</v>
      </c>
      <c r="K283" t="s">
        <v>22</v>
      </c>
      <c r="L283" t="s">
        <v>23</v>
      </c>
      <c r="M283" t="s">
        <v>24</v>
      </c>
      <c r="N283" t="s">
        <v>25</v>
      </c>
      <c r="O283">
        <v>0</v>
      </c>
      <c r="Q283" t="str">
        <f t="shared" si="8"/>
        <v/>
      </c>
      <c r="R283" t="str">
        <f t="shared" si="9"/>
        <v/>
      </c>
    </row>
    <row r="284" spans="1:18" x14ac:dyDescent="0.35">
      <c r="A284">
        <v>52302</v>
      </c>
      <c r="B284" t="s">
        <v>118</v>
      </c>
      <c r="C284" s="217">
        <v>45945</v>
      </c>
      <c r="D284">
        <v>5400</v>
      </c>
      <c r="E284" t="s">
        <v>124</v>
      </c>
      <c r="F284" t="s">
        <v>121</v>
      </c>
      <c r="G284" t="s">
        <v>50</v>
      </c>
      <c r="H284">
        <v>217201854964</v>
      </c>
      <c r="I284">
        <v>445.28</v>
      </c>
      <c r="J284">
        <v>0</v>
      </c>
      <c r="K284" t="s">
        <v>22</v>
      </c>
      <c r="L284" t="s">
        <v>23</v>
      </c>
      <c r="M284" t="s">
        <v>24</v>
      </c>
      <c r="N284" t="s">
        <v>25</v>
      </c>
      <c r="O284">
        <v>0</v>
      </c>
      <c r="Q284" t="str">
        <f t="shared" si="8"/>
        <v/>
      </c>
      <c r="R284" t="str">
        <f t="shared" si="9"/>
        <v/>
      </c>
    </row>
    <row r="285" spans="1:18" x14ac:dyDescent="0.35">
      <c r="A285">
        <v>52302</v>
      </c>
      <c r="B285" t="s">
        <v>118</v>
      </c>
      <c r="C285" s="217">
        <v>45945</v>
      </c>
      <c r="D285">
        <v>5400</v>
      </c>
      <c r="E285" t="s">
        <v>143</v>
      </c>
      <c r="F285" t="s">
        <v>121</v>
      </c>
      <c r="G285" t="s">
        <v>50</v>
      </c>
      <c r="H285">
        <v>217201854964</v>
      </c>
      <c r="I285">
        <v>31205.439999999999</v>
      </c>
      <c r="J285">
        <v>0</v>
      </c>
      <c r="K285" t="s">
        <v>22</v>
      </c>
      <c r="L285" t="s">
        <v>23</v>
      </c>
      <c r="M285" t="s">
        <v>24</v>
      </c>
      <c r="N285" t="s">
        <v>25</v>
      </c>
      <c r="O285">
        <v>0</v>
      </c>
      <c r="Q285" t="str">
        <f t="shared" si="8"/>
        <v/>
      </c>
      <c r="R285" t="str">
        <f t="shared" si="9"/>
        <v/>
      </c>
    </row>
    <row r="286" spans="1:18" x14ac:dyDescent="0.35">
      <c r="A286">
        <v>52302</v>
      </c>
      <c r="B286" t="s">
        <v>118</v>
      </c>
      <c r="C286" s="217">
        <v>45945</v>
      </c>
      <c r="D286">
        <v>5400</v>
      </c>
      <c r="E286" t="s">
        <v>123</v>
      </c>
      <c r="F286" t="s">
        <v>121</v>
      </c>
      <c r="G286" t="s">
        <v>50</v>
      </c>
      <c r="H286">
        <v>217201854964</v>
      </c>
      <c r="I286">
        <v>5451.77</v>
      </c>
      <c r="J286">
        <v>0</v>
      </c>
      <c r="K286" t="s">
        <v>22</v>
      </c>
      <c r="L286" t="s">
        <v>23</v>
      </c>
      <c r="M286" t="s">
        <v>24</v>
      </c>
      <c r="N286" t="s">
        <v>25</v>
      </c>
      <c r="O286">
        <v>0</v>
      </c>
      <c r="Q286" t="str">
        <f t="shared" si="8"/>
        <v/>
      </c>
      <c r="R286" t="str">
        <f t="shared" si="9"/>
        <v/>
      </c>
    </row>
    <row r="287" spans="1:18" x14ac:dyDescent="0.35">
      <c r="A287">
        <v>52302</v>
      </c>
      <c r="B287" t="s">
        <v>118</v>
      </c>
      <c r="C287" s="217">
        <v>45952</v>
      </c>
      <c r="D287">
        <v>5544</v>
      </c>
      <c r="E287" t="s">
        <v>132</v>
      </c>
      <c r="F287" t="s">
        <v>129</v>
      </c>
      <c r="G287" t="s">
        <v>70</v>
      </c>
      <c r="H287">
        <v>2000022862</v>
      </c>
      <c r="I287">
        <v>5620.92</v>
      </c>
      <c r="J287">
        <v>0</v>
      </c>
      <c r="K287" t="s">
        <v>22</v>
      </c>
      <c r="L287" t="s">
        <v>23</v>
      </c>
      <c r="M287" t="s">
        <v>24</v>
      </c>
      <c r="N287" t="s">
        <v>25</v>
      </c>
      <c r="O287">
        <v>0</v>
      </c>
      <c r="Q287" t="str">
        <f t="shared" si="8"/>
        <v/>
      </c>
      <c r="R287" t="str">
        <f t="shared" si="9"/>
        <v/>
      </c>
    </row>
    <row r="288" spans="1:18" x14ac:dyDescent="0.35">
      <c r="A288">
        <v>52302</v>
      </c>
      <c r="B288" t="s">
        <v>118</v>
      </c>
      <c r="C288" s="217">
        <v>45952</v>
      </c>
      <c r="D288">
        <v>5544</v>
      </c>
      <c r="E288" t="s">
        <v>132</v>
      </c>
      <c r="F288" t="s">
        <v>129</v>
      </c>
      <c r="G288" t="s">
        <v>70</v>
      </c>
      <c r="H288">
        <v>2000022862</v>
      </c>
      <c r="I288">
        <v>1227.55</v>
      </c>
      <c r="J288">
        <v>0</v>
      </c>
      <c r="K288" t="s">
        <v>22</v>
      </c>
      <c r="L288" t="s">
        <v>23</v>
      </c>
      <c r="M288" t="s">
        <v>24</v>
      </c>
      <c r="N288" t="s">
        <v>25</v>
      </c>
      <c r="O288">
        <v>0</v>
      </c>
      <c r="Q288" t="str">
        <f t="shared" si="8"/>
        <v/>
      </c>
      <c r="R288" t="str">
        <f t="shared" si="9"/>
        <v/>
      </c>
    </row>
    <row r="289" spans="1:18" x14ac:dyDescent="0.35">
      <c r="A289">
        <v>52302</v>
      </c>
      <c r="B289" t="s">
        <v>118</v>
      </c>
      <c r="C289" s="217">
        <v>45952</v>
      </c>
      <c r="D289">
        <v>5544</v>
      </c>
      <c r="E289" t="s">
        <v>132</v>
      </c>
      <c r="F289" t="s">
        <v>129</v>
      </c>
      <c r="G289" t="s">
        <v>70</v>
      </c>
      <c r="H289">
        <v>2000022862</v>
      </c>
      <c r="I289">
        <v>75.2</v>
      </c>
      <c r="J289">
        <v>0</v>
      </c>
      <c r="K289" t="s">
        <v>22</v>
      </c>
      <c r="L289" t="s">
        <v>23</v>
      </c>
      <c r="M289" t="s">
        <v>24</v>
      </c>
      <c r="N289" t="s">
        <v>25</v>
      </c>
      <c r="O289">
        <v>0</v>
      </c>
      <c r="Q289" t="str">
        <f t="shared" si="8"/>
        <v/>
      </c>
      <c r="R289" t="str">
        <f t="shared" si="9"/>
        <v/>
      </c>
    </row>
    <row r="290" spans="1:18" x14ac:dyDescent="0.35">
      <c r="A290">
        <v>52302</v>
      </c>
      <c r="B290" t="s">
        <v>118</v>
      </c>
      <c r="C290" s="217">
        <v>45961</v>
      </c>
      <c r="D290">
        <v>5584</v>
      </c>
      <c r="E290" t="s">
        <v>122</v>
      </c>
      <c r="F290" t="s">
        <v>121</v>
      </c>
      <c r="G290" t="s">
        <v>50</v>
      </c>
      <c r="H290">
        <v>217201868522</v>
      </c>
      <c r="I290">
        <v>905.28</v>
      </c>
      <c r="J290">
        <v>0</v>
      </c>
      <c r="K290" t="s">
        <v>22</v>
      </c>
      <c r="L290" t="s">
        <v>23</v>
      </c>
      <c r="M290" t="s">
        <v>24</v>
      </c>
      <c r="N290" t="s">
        <v>25</v>
      </c>
      <c r="O290">
        <v>0</v>
      </c>
      <c r="Q290" t="str">
        <f t="shared" si="8"/>
        <v/>
      </c>
      <c r="R290" t="str">
        <f t="shared" si="9"/>
        <v/>
      </c>
    </row>
    <row r="291" spans="1:18" x14ac:dyDescent="0.35">
      <c r="A291">
        <v>52302</v>
      </c>
      <c r="B291" t="s">
        <v>118</v>
      </c>
      <c r="C291" s="217">
        <v>45961</v>
      </c>
      <c r="D291">
        <v>5584</v>
      </c>
      <c r="E291" t="s">
        <v>144</v>
      </c>
      <c r="F291" t="s">
        <v>121</v>
      </c>
      <c r="G291" t="s">
        <v>50</v>
      </c>
      <c r="H291">
        <v>217201868522</v>
      </c>
      <c r="I291">
        <v>46929.15</v>
      </c>
      <c r="J291">
        <v>0</v>
      </c>
      <c r="K291" t="s">
        <v>22</v>
      </c>
      <c r="L291" t="s">
        <v>23</v>
      </c>
      <c r="M291" t="s">
        <v>24</v>
      </c>
      <c r="N291" t="s">
        <v>25</v>
      </c>
      <c r="O291">
        <v>0</v>
      </c>
      <c r="Q291" t="str">
        <f t="shared" si="8"/>
        <v/>
      </c>
      <c r="R291" t="str">
        <f t="shared" si="9"/>
        <v/>
      </c>
    </row>
    <row r="292" spans="1:18" x14ac:dyDescent="0.35">
      <c r="A292">
        <v>52302</v>
      </c>
      <c r="B292" t="s">
        <v>118</v>
      </c>
      <c r="C292" s="217">
        <v>45961</v>
      </c>
      <c r="D292">
        <v>5584</v>
      </c>
      <c r="E292" t="s">
        <v>145</v>
      </c>
      <c r="F292" t="s">
        <v>121</v>
      </c>
      <c r="G292" t="s">
        <v>50</v>
      </c>
      <c r="H292">
        <v>217201868522</v>
      </c>
      <c r="I292">
        <v>18686.330000000002</v>
      </c>
      <c r="J292">
        <v>0</v>
      </c>
      <c r="K292" t="s">
        <v>22</v>
      </c>
      <c r="L292" t="s">
        <v>23</v>
      </c>
      <c r="M292" t="s">
        <v>24</v>
      </c>
      <c r="N292" t="s">
        <v>25</v>
      </c>
      <c r="O292">
        <v>0</v>
      </c>
      <c r="Q292" t="str">
        <f t="shared" si="8"/>
        <v/>
      </c>
      <c r="R292" t="str">
        <f t="shared" si="9"/>
        <v/>
      </c>
    </row>
    <row r="293" spans="1:18" x14ac:dyDescent="0.35">
      <c r="A293">
        <v>52302</v>
      </c>
      <c r="B293" t="s">
        <v>118</v>
      </c>
      <c r="C293" s="217">
        <v>45961</v>
      </c>
      <c r="D293">
        <v>5584</v>
      </c>
      <c r="E293" t="s">
        <v>123</v>
      </c>
      <c r="F293" t="s">
        <v>121</v>
      </c>
      <c r="G293" t="s">
        <v>50</v>
      </c>
      <c r="H293">
        <v>217201868522</v>
      </c>
      <c r="I293">
        <v>11593.87</v>
      </c>
      <c r="J293">
        <v>0</v>
      </c>
      <c r="K293" t="s">
        <v>22</v>
      </c>
      <c r="L293" t="s">
        <v>23</v>
      </c>
      <c r="M293" t="s">
        <v>24</v>
      </c>
      <c r="N293" t="s">
        <v>25</v>
      </c>
      <c r="O293">
        <v>0</v>
      </c>
      <c r="Q293" t="str">
        <f t="shared" si="8"/>
        <v/>
      </c>
      <c r="R293" t="str">
        <f t="shared" si="9"/>
        <v/>
      </c>
    </row>
    <row r="294" spans="1:18" x14ac:dyDescent="0.35">
      <c r="A294">
        <v>52302</v>
      </c>
      <c r="B294" t="s">
        <v>118</v>
      </c>
      <c r="C294" s="217">
        <v>45976</v>
      </c>
      <c r="D294">
        <v>203</v>
      </c>
      <c r="E294" t="s">
        <v>146</v>
      </c>
      <c r="F294" t="s">
        <v>121</v>
      </c>
      <c r="G294" t="s">
        <v>50</v>
      </c>
      <c r="H294">
        <v>217201892519</v>
      </c>
      <c r="I294">
        <v>26131.51</v>
      </c>
      <c r="J294">
        <v>0</v>
      </c>
      <c r="K294" t="s">
        <v>22</v>
      </c>
      <c r="L294" t="s">
        <v>23</v>
      </c>
      <c r="M294" t="s">
        <v>24</v>
      </c>
      <c r="N294" t="s">
        <v>25</v>
      </c>
      <c r="O294">
        <v>0</v>
      </c>
      <c r="Q294" t="str">
        <f t="shared" si="8"/>
        <v/>
      </c>
      <c r="R294" t="str">
        <f t="shared" si="9"/>
        <v/>
      </c>
    </row>
    <row r="295" spans="1:18" x14ac:dyDescent="0.35">
      <c r="A295">
        <v>52302</v>
      </c>
      <c r="B295" t="s">
        <v>118</v>
      </c>
      <c r="C295" s="217">
        <v>45976</v>
      </c>
      <c r="D295">
        <v>203</v>
      </c>
      <c r="E295" t="s">
        <v>124</v>
      </c>
      <c r="F295" t="s">
        <v>121</v>
      </c>
      <c r="G295" t="s">
        <v>50</v>
      </c>
      <c r="H295">
        <v>217201892519</v>
      </c>
      <c r="I295">
        <v>676.8</v>
      </c>
      <c r="J295">
        <v>0</v>
      </c>
      <c r="K295" t="s">
        <v>22</v>
      </c>
      <c r="L295" t="s">
        <v>23</v>
      </c>
      <c r="M295" t="s">
        <v>24</v>
      </c>
      <c r="N295" t="s">
        <v>25</v>
      </c>
      <c r="O295">
        <v>0</v>
      </c>
      <c r="Q295" t="str">
        <f t="shared" si="8"/>
        <v/>
      </c>
      <c r="R295" t="str">
        <f t="shared" si="9"/>
        <v/>
      </c>
    </row>
    <row r="296" spans="1:18" x14ac:dyDescent="0.35">
      <c r="A296">
        <v>52302</v>
      </c>
      <c r="B296" t="s">
        <v>118</v>
      </c>
      <c r="C296" s="217">
        <v>45976</v>
      </c>
      <c r="D296">
        <v>203</v>
      </c>
      <c r="E296" t="s">
        <v>147</v>
      </c>
      <c r="F296" t="s">
        <v>121</v>
      </c>
      <c r="G296" t="s">
        <v>50</v>
      </c>
      <c r="H296">
        <v>217201892519</v>
      </c>
      <c r="I296">
        <v>15494.56</v>
      </c>
      <c r="J296">
        <v>0</v>
      </c>
      <c r="K296" t="s">
        <v>22</v>
      </c>
      <c r="L296" t="s">
        <v>23</v>
      </c>
      <c r="M296" t="s">
        <v>24</v>
      </c>
      <c r="N296" t="s">
        <v>25</v>
      </c>
      <c r="O296">
        <v>0</v>
      </c>
      <c r="Q296" t="str">
        <f t="shared" si="8"/>
        <v/>
      </c>
      <c r="R296" t="str">
        <f t="shared" si="9"/>
        <v/>
      </c>
    </row>
    <row r="297" spans="1:18" x14ac:dyDescent="0.35">
      <c r="A297">
        <v>52302</v>
      </c>
      <c r="B297" t="s">
        <v>118</v>
      </c>
      <c r="C297" s="217">
        <v>45976</v>
      </c>
      <c r="D297">
        <v>203</v>
      </c>
      <c r="E297" t="s">
        <v>123</v>
      </c>
      <c r="F297" t="s">
        <v>121</v>
      </c>
      <c r="G297" t="s">
        <v>50</v>
      </c>
      <c r="H297">
        <v>217201892519</v>
      </c>
      <c r="I297">
        <v>7396.2</v>
      </c>
      <c r="J297">
        <v>0</v>
      </c>
      <c r="K297" t="s">
        <v>22</v>
      </c>
      <c r="L297" t="s">
        <v>23</v>
      </c>
      <c r="M297" t="s">
        <v>24</v>
      </c>
      <c r="N297" t="s">
        <v>25</v>
      </c>
      <c r="O297">
        <v>0</v>
      </c>
      <c r="Q297" t="str">
        <f t="shared" si="8"/>
        <v/>
      </c>
      <c r="R297" t="str">
        <f t="shared" si="9"/>
        <v/>
      </c>
    </row>
    <row r="298" spans="1:18" x14ac:dyDescent="0.35">
      <c r="A298">
        <v>52302</v>
      </c>
      <c r="B298" t="s">
        <v>118</v>
      </c>
      <c r="C298" s="217">
        <v>45982</v>
      </c>
      <c r="D298">
        <v>74</v>
      </c>
      <c r="E298" t="s">
        <v>148</v>
      </c>
      <c r="F298" t="s">
        <v>28</v>
      </c>
      <c r="G298" t="s">
        <v>41</v>
      </c>
      <c r="H298">
        <v>7999</v>
      </c>
      <c r="I298">
        <v>7800</v>
      </c>
      <c r="J298">
        <v>0</v>
      </c>
      <c r="K298" t="s">
        <v>22</v>
      </c>
      <c r="L298" t="s">
        <v>23</v>
      </c>
      <c r="M298" t="s">
        <v>24</v>
      </c>
      <c r="N298" t="s">
        <v>25</v>
      </c>
      <c r="O298">
        <v>0</v>
      </c>
      <c r="Q298" t="str">
        <f t="shared" si="8"/>
        <v/>
      </c>
      <c r="R298" t="str">
        <f t="shared" si="9"/>
        <v/>
      </c>
    </row>
    <row r="299" spans="1:18" x14ac:dyDescent="0.35">
      <c r="A299">
        <v>52302</v>
      </c>
      <c r="B299" t="s">
        <v>118</v>
      </c>
      <c r="C299" s="217">
        <v>45989</v>
      </c>
      <c r="D299">
        <v>420</v>
      </c>
      <c r="E299" t="s">
        <v>132</v>
      </c>
      <c r="F299" t="s">
        <v>129</v>
      </c>
      <c r="G299" t="s">
        <v>50</v>
      </c>
      <c r="H299">
        <v>3000025853</v>
      </c>
      <c r="I299">
        <v>5585.3</v>
      </c>
      <c r="J299">
        <v>0</v>
      </c>
      <c r="K299" t="s">
        <v>22</v>
      </c>
      <c r="L299" t="s">
        <v>23</v>
      </c>
      <c r="M299" t="s">
        <v>24</v>
      </c>
      <c r="N299" t="s">
        <v>25</v>
      </c>
      <c r="O299">
        <v>0</v>
      </c>
      <c r="Q299" t="str">
        <f t="shared" si="8"/>
        <v/>
      </c>
      <c r="R299" t="str">
        <f t="shared" si="9"/>
        <v/>
      </c>
    </row>
    <row r="300" spans="1:18" x14ac:dyDescent="0.35">
      <c r="A300">
        <v>52302</v>
      </c>
      <c r="B300" t="s">
        <v>118</v>
      </c>
      <c r="C300" s="217">
        <v>45989</v>
      </c>
      <c r="D300">
        <v>420</v>
      </c>
      <c r="E300" t="s">
        <v>132</v>
      </c>
      <c r="F300" t="s">
        <v>129</v>
      </c>
      <c r="G300" t="s">
        <v>50</v>
      </c>
      <c r="H300">
        <v>3000025853</v>
      </c>
      <c r="I300">
        <v>1194.55</v>
      </c>
      <c r="J300">
        <v>0</v>
      </c>
      <c r="K300" t="s">
        <v>22</v>
      </c>
      <c r="L300" t="s">
        <v>23</v>
      </c>
      <c r="M300" t="s">
        <v>24</v>
      </c>
      <c r="N300" t="s">
        <v>25</v>
      </c>
      <c r="O300">
        <v>0</v>
      </c>
      <c r="Q300" t="str">
        <f t="shared" si="8"/>
        <v/>
      </c>
      <c r="R300" t="str">
        <f t="shared" si="9"/>
        <v/>
      </c>
    </row>
    <row r="301" spans="1:18" x14ac:dyDescent="0.35">
      <c r="A301">
        <v>52302</v>
      </c>
      <c r="B301" t="s">
        <v>118</v>
      </c>
      <c r="C301" s="217">
        <v>45989</v>
      </c>
      <c r="D301">
        <v>420</v>
      </c>
      <c r="E301" t="s">
        <v>132</v>
      </c>
      <c r="F301" t="s">
        <v>129</v>
      </c>
      <c r="G301" t="s">
        <v>50</v>
      </c>
      <c r="H301">
        <v>3000025853</v>
      </c>
      <c r="I301">
        <v>73.17</v>
      </c>
      <c r="J301">
        <v>0</v>
      </c>
      <c r="K301" t="s">
        <v>22</v>
      </c>
      <c r="L301" t="s">
        <v>23</v>
      </c>
      <c r="M301" t="s">
        <v>24</v>
      </c>
      <c r="N301" t="s">
        <v>25</v>
      </c>
      <c r="O301">
        <v>0</v>
      </c>
      <c r="Q301" t="str">
        <f t="shared" si="8"/>
        <v/>
      </c>
      <c r="R301" t="str">
        <f t="shared" si="9"/>
        <v/>
      </c>
    </row>
    <row r="302" spans="1:18" x14ac:dyDescent="0.35">
      <c r="A302">
        <v>52302</v>
      </c>
      <c r="B302" t="s">
        <v>118</v>
      </c>
      <c r="C302" s="217">
        <v>45991</v>
      </c>
      <c r="D302">
        <v>351</v>
      </c>
      <c r="E302" t="s">
        <v>149</v>
      </c>
      <c r="F302" t="s">
        <v>121</v>
      </c>
      <c r="G302" t="s">
        <v>50</v>
      </c>
      <c r="H302">
        <v>217201905588</v>
      </c>
      <c r="I302">
        <v>27897.85</v>
      </c>
      <c r="J302">
        <v>0</v>
      </c>
      <c r="K302" t="s">
        <v>22</v>
      </c>
      <c r="L302" t="s">
        <v>23</v>
      </c>
      <c r="M302" t="s">
        <v>24</v>
      </c>
      <c r="N302" t="s">
        <v>25</v>
      </c>
      <c r="O302">
        <v>0</v>
      </c>
      <c r="Q302" t="str">
        <f t="shared" si="8"/>
        <v/>
      </c>
      <c r="R302" t="str">
        <f t="shared" si="9"/>
        <v/>
      </c>
    </row>
    <row r="303" spans="1:18" x14ac:dyDescent="0.35">
      <c r="A303">
        <v>52302</v>
      </c>
      <c r="B303" t="s">
        <v>118</v>
      </c>
      <c r="C303" s="217">
        <v>45991</v>
      </c>
      <c r="D303">
        <v>351</v>
      </c>
      <c r="E303" t="s">
        <v>122</v>
      </c>
      <c r="F303" t="s">
        <v>121</v>
      </c>
      <c r="G303" t="s">
        <v>50</v>
      </c>
      <c r="H303">
        <v>217201905588</v>
      </c>
      <c r="I303">
        <v>373.14</v>
      </c>
      <c r="J303">
        <v>0</v>
      </c>
      <c r="K303" t="s">
        <v>22</v>
      </c>
      <c r="L303" t="s">
        <v>23</v>
      </c>
      <c r="M303" t="s">
        <v>24</v>
      </c>
      <c r="N303" t="s">
        <v>25</v>
      </c>
      <c r="O303">
        <v>0</v>
      </c>
      <c r="Q303" t="str">
        <f t="shared" si="8"/>
        <v/>
      </c>
      <c r="R303" t="str">
        <f t="shared" si="9"/>
        <v/>
      </c>
    </row>
    <row r="304" spans="1:18" x14ac:dyDescent="0.35">
      <c r="A304">
        <v>52302</v>
      </c>
      <c r="B304" t="s">
        <v>118</v>
      </c>
      <c r="C304" s="217">
        <v>45991</v>
      </c>
      <c r="D304">
        <v>351</v>
      </c>
      <c r="E304" t="s">
        <v>123</v>
      </c>
      <c r="F304" t="s">
        <v>121</v>
      </c>
      <c r="G304" t="s">
        <v>50</v>
      </c>
      <c r="H304">
        <v>217201905588</v>
      </c>
      <c r="I304">
        <v>4825.45</v>
      </c>
      <c r="J304">
        <v>0</v>
      </c>
      <c r="K304" t="s">
        <v>22</v>
      </c>
      <c r="L304" t="s">
        <v>23</v>
      </c>
      <c r="M304" t="s">
        <v>24</v>
      </c>
      <c r="N304" t="s">
        <v>25</v>
      </c>
      <c r="O304">
        <v>0</v>
      </c>
      <c r="Q304" t="str">
        <f t="shared" si="8"/>
        <v/>
      </c>
      <c r="R304" t="str">
        <f t="shared" si="9"/>
        <v/>
      </c>
    </row>
    <row r="305" spans="1:18" x14ac:dyDescent="0.35">
      <c r="A305">
        <v>52302</v>
      </c>
      <c r="B305" t="s">
        <v>118</v>
      </c>
      <c r="C305" s="217">
        <v>46006</v>
      </c>
      <c r="D305">
        <v>685</v>
      </c>
      <c r="E305" t="s">
        <v>149</v>
      </c>
      <c r="F305" t="s">
        <v>121</v>
      </c>
      <c r="G305" t="s">
        <v>50</v>
      </c>
      <c r="H305">
        <v>217201931277</v>
      </c>
      <c r="I305">
        <v>49751.23</v>
      </c>
      <c r="J305">
        <v>0</v>
      </c>
      <c r="K305" t="s">
        <v>22</v>
      </c>
      <c r="L305" t="s">
        <v>23</v>
      </c>
      <c r="M305" t="s">
        <v>24</v>
      </c>
      <c r="N305" t="s">
        <v>25</v>
      </c>
      <c r="O305">
        <v>0</v>
      </c>
      <c r="Q305" t="str">
        <f t="shared" si="8"/>
        <v/>
      </c>
      <c r="R305" t="str">
        <f t="shared" si="9"/>
        <v/>
      </c>
    </row>
    <row r="306" spans="1:18" x14ac:dyDescent="0.35">
      <c r="A306">
        <v>52302</v>
      </c>
      <c r="B306" t="s">
        <v>118</v>
      </c>
      <c r="C306" s="217">
        <v>46006</v>
      </c>
      <c r="D306">
        <v>685</v>
      </c>
      <c r="E306" t="s">
        <v>122</v>
      </c>
      <c r="F306" t="s">
        <v>121</v>
      </c>
      <c r="G306" t="s">
        <v>50</v>
      </c>
      <c r="H306">
        <v>217201931277</v>
      </c>
      <c r="I306">
        <v>1277.3699999999999</v>
      </c>
      <c r="J306">
        <v>0</v>
      </c>
      <c r="K306" t="s">
        <v>22</v>
      </c>
      <c r="L306" t="s">
        <v>23</v>
      </c>
      <c r="M306" t="s">
        <v>24</v>
      </c>
      <c r="N306" t="s">
        <v>25</v>
      </c>
      <c r="O306">
        <v>0</v>
      </c>
      <c r="Q306" t="str">
        <f t="shared" si="8"/>
        <v/>
      </c>
      <c r="R306" t="str">
        <f t="shared" si="9"/>
        <v/>
      </c>
    </row>
    <row r="307" spans="1:18" x14ac:dyDescent="0.35">
      <c r="A307">
        <v>52302</v>
      </c>
      <c r="B307" t="s">
        <v>118</v>
      </c>
      <c r="C307" s="217">
        <v>46006</v>
      </c>
      <c r="D307">
        <v>685</v>
      </c>
      <c r="E307" t="s">
        <v>150</v>
      </c>
      <c r="F307" t="s">
        <v>121</v>
      </c>
      <c r="G307" t="s">
        <v>50</v>
      </c>
      <c r="H307">
        <v>217201931277</v>
      </c>
      <c r="I307">
        <v>41716.04</v>
      </c>
      <c r="J307">
        <v>0</v>
      </c>
      <c r="K307" t="s">
        <v>22</v>
      </c>
      <c r="L307" t="s">
        <v>23</v>
      </c>
      <c r="M307" t="s">
        <v>24</v>
      </c>
      <c r="N307" t="s">
        <v>25</v>
      </c>
      <c r="O307">
        <v>0</v>
      </c>
      <c r="Q307" t="str">
        <f t="shared" si="8"/>
        <v/>
      </c>
      <c r="R307" t="str">
        <f t="shared" si="9"/>
        <v/>
      </c>
    </row>
    <row r="308" spans="1:18" x14ac:dyDescent="0.35">
      <c r="A308">
        <v>52302</v>
      </c>
      <c r="B308" t="s">
        <v>118</v>
      </c>
      <c r="C308" s="217">
        <v>46006</v>
      </c>
      <c r="D308">
        <v>685</v>
      </c>
      <c r="E308" t="s">
        <v>123</v>
      </c>
      <c r="F308" t="s">
        <v>121</v>
      </c>
      <c r="G308" t="s">
        <v>50</v>
      </c>
      <c r="H308">
        <v>217201931277</v>
      </c>
      <c r="I308">
        <v>17272.150000000001</v>
      </c>
      <c r="J308">
        <v>0</v>
      </c>
      <c r="K308" t="s">
        <v>22</v>
      </c>
      <c r="L308" t="s">
        <v>23</v>
      </c>
      <c r="M308" t="s">
        <v>24</v>
      </c>
      <c r="N308" t="s">
        <v>25</v>
      </c>
      <c r="O308">
        <v>0</v>
      </c>
      <c r="Q308" t="str">
        <f t="shared" si="8"/>
        <v/>
      </c>
      <c r="R308" t="str">
        <f t="shared" si="9"/>
        <v/>
      </c>
    </row>
    <row r="309" spans="1:18" x14ac:dyDescent="0.35">
      <c r="A309">
        <v>52302</v>
      </c>
      <c r="B309" t="s">
        <v>118</v>
      </c>
      <c r="C309" s="217">
        <v>46014</v>
      </c>
      <c r="D309">
        <v>350</v>
      </c>
      <c r="E309" t="s">
        <v>151</v>
      </c>
      <c r="F309" t="s">
        <v>28</v>
      </c>
      <c r="G309" t="s">
        <v>41</v>
      </c>
      <c r="H309">
        <v>8374</v>
      </c>
      <c r="I309">
        <v>17230</v>
      </c>
      <c r="J309">
        <v>0</v>
      </c>
      <c r="K309" t="s">
        <v>22</v>
      </c>
      <c r="L309" t="s">
        <v>23</v>
      </c>
      <c r="M309" t="s">
        <v>24</v>
      </c>
      <c r="N309" t="s">
        <v>25</v>
      </c>
      <c r="O309">
        <v>0</v>
      </c>
      <c r="Q309" t="str">
        <f t="shared" si="8"/>
        <v/>
      </c>
      <c r="R309" t="str">
        <f t="shared" si="9"/>
        <v/>
      </c>
    </row>
    <row r="310" spans="1:18" x14ac:dyDescent="0.35">
      <c r="A310">
        <v>52302</v>
      </c>
      <c r="B310" t="s">
        <v>118</v>
      </c>
      <c r="C310" s="217">
        <v>46014</v>
      </c>
      <c r="D310">
        <v>351</v>
      </c>
      <c r="E310" t="s">
        <v>151</v>
      </c>
      <c r="F310" t="s">
        <v>28</v>
      </c>
      <c r="G310" t="s">
        <v>41</v>
      </c>
      <c r="H310">
        <v>8375</v>
      </c>
      <c r="I310">
        <v>13890</v>
      </c>
      <c r="J310">
        <v>0</v>
      </c>
      <c r="K310" t="s">
        <v>22</v>
      </c>
      <c r="L310" t="s">
        <v>23</v>
      </c>
      <c r="M310" t="s">
        <v>24</v>
      </c>
      <c r="N310" t="s">
        <v>25</v>
      </c>
      <c r="O310">
        <v>0</v>
      </c>
      <c r="Q310" t="str">
        <f t="shared" si="8"/>
        <v/>
      </c>
      <c r="R310" t="str">
        <f t="shared" si="9"/>
        <v/>
      </c>
    </row>
    <row r="311" spans="1:18" x14ac:dyDescent="0.35">
      <c r="A311">
        <v>52302</v>
      </c>
      <c r="B311" t="s">
        <v>118</v>
      </c>
      <c r="C311" s="217">
        <v>46020</v>
      </c>
      <c r="D311">
        <v>693</v>
      </c>
      <c r="E311" t="s">
        <v>152</v>
      </c>
      <c r="F311" t="s">
        <v>153</v>
      </c>
      <c r="G311" t="s">
        <v>50</v>
      </c>
      <c r="H311">
        <v>200000046</v>
      </c>
      <c r="I311">
        <v>300000</v>
      </c>
      <c r="J311">
        <v>0</v>
      </c>
      <c r="K311" t="s">
        <v>22</v>
      </c>
      <c r="L311" t="s">
        <v>23</v>
      </c>
      <c r="M311" t="s">
        <v>24</v>
      </c>
      <c r="N311" t="s">
        <v>25</v>
      </c>
      <c r="O311">
        <v>0</v>
      </c>
      <c r="Q311" t="str">
        <f t="shared" si="8"/>
        <v/>
      </c>
      <c r="R311" t="str">
        <f t="shared" si="9"/>
        <v/>
      </c>
    </row>
    <row r="312" spans="1:18" x14ac:dyDescent="0.35">
      <c r="A312">
        <v>52302</v>
      </c>
      <c r="B312" t="s">
        <v>118</v>
      </c>
      <c r="C312" s="217">
        <v>46022</v>
      </c>
      <c r="D312">
        <v>695</v>
      </c>
      <c r="E312" t="s">
        <v>154</v>
      </c>
      <c r="F312" t="s">
        <v>121</v>
      </c>
      <c r="G312" t="s">
        <v>50</v>
      </c>
      <c r="H312">
        <v>217201945178</v>
      </c>
      <c r="I312">
        <v>39470.15</v>
      </c>
      <c r="J312">
        <v>0</v>
      </c>
      <c r="K312" t="s">
        <v>22</v>
      </c>
      <c r="L312" t="s">
        <v>23</v>
      </c>
      <c r="M312" t="s">
        <v>24</v>
      </c>
      <c r="N312" t="s">
        <v>25</v>
      </c>
      <c r="O312">
        <v>0</v>
      </c>
      <c r="Q312" t="str">
        <f t="shared" si="8"/>
        <v/>
      </c>
      <c r="R312" t="str">
        <f t="shared" si="9"/>
        <v/>
      </c>
    </row>
    <row r="313" spans="1:18" x14ac:dyDescent="0.35">
      <c r="A313">
        <v>52302</v>
      </c>
      <c r="B313" t="s">
        <v>118</v>
      </c>
      <c r="C313" s="217">
        <v>46022</v>
      </c>
      <c r="D313">
        <v>695</v>
      </c>
      <c r="E313" t="s">
        <v>122</v>
      </c>
      <c r="F313" t="s">
        <v>121</v>
      </c>
      <c r="G313" t="s">
        <v>50</v>
      </c>
      <c r="H313">
        <v>217201945178</v>
      </c>
      <c r="I313">
        <v>1171.8800000000001</v>
      </c>
      <c r="J313">
        <v>0</v>
      </c>
      <c r="K313" t="s">
        <v>22</v>
      </c>
      <c r="L313" t="s">
        <v>23</v>
      </c>
      <c r="M313" t="s">
        <v>24</v>
      </c>
      <c r="N313" t="s">
        <v>25</v>
      </c>
      <c r="O313">
        <v>0</v>
      </c>
      <c r="Q313" t="str">
        <f t="shared" si="8"/>
        <v/>
      </c>
      <c r="R313" t="str">
        <f t="shared" si="9"/>
        <v/>
      </c>
    </row>
    <row r="314" spans="1:18" x14ac:dyDescent="0.35">
      <c r="A314">
        <v>52302</v>
      </c>
      <c r="B314" t="s">
        <v>118</v>
      </c>
      <c r="C314" s="217">
        <v>46022</v>
      </c>
      <c r="D314">
        <v>695</v>
      </c>
      <c r="E314" t="s">
        <v>145</v>
      </c>
      <c r="F314" t="s">
        <v>121</v>
      </c>
      <c r="G314" t="s">
        <v>50</v>
      </c>
      <c r="H314">
        <v>217201945178</v>
      </c>
      <c r="I314">
        <v>46747.16</v>
      </c>
      <c r="J314">
        <v>0</v>
      </c>
      <c r="K314" t="s">
        <v>22</v>
      </c>
      <c r="L314" t="s">
        <v>23</v>
      </c>
      <c r="M314" t="s">
        <v>24</v>
      </c>
      <c r="N314" t="s">
        <v>25</v>
      </c>
      <c r="O314">
        <v>0</v>
      </c>
      <c r="Q314" t="str">
        <f t="shared" si="8"/>
        <v/>
      </c>
      <c r="R314" t="str">
        <f t="shared" si="9"/>
        <v/>
      </c>
    </row>
    <row r="315" spans="1:18" x14ac:dyDescent="0.35">
      <c r="A315">
        <v>52302</v>
      </c>
      <c r="B315" t="s">
        <v>118</v>
      </c>
      <c r="C315" s="217">
        <v>46022</v>
      </c>
      <c r="D315">
        <v>695</v>
      </c>
      <c r="E315" t="s">
        <v>123</v>
      </c>
      <c r="F315" t="s">
        <v>121</v>
      </c>
      <c r="G315" t="s">
        <v>50</v>
      </c>
      <c r="H315">
        <v>217201945178</v>
      </c>
      <c r="I315">
        <v>15667.77</v>
      </c>
      <c r="J315">
        <v>0</v>
      </c>
      <c r="K315" t="s">
        <v>22</v>
      </c>
      <c r="L315" t="s">
        <v>23</v>
      </c>
      <c r="M315" t="s">
        <v>24</v>
      </c>
      <c r="N315" t="s">
        <v>25</v>
      </c>
      <c r="O315">
        <v>0</v>
      </c>
      <c r="Q315" t="str">
        <f t="shared" si="8"/>
        <v/>
      </c>
      <c r="R315" t="str">
        <f t="shared" si="9"/>
        <v/>
      </c>
    </row>
    <row r="316" spans="1:18" x14ac:dyDescent="0.35">
      <c r="A316">
        <v>52302</v>
      </c>
      <c r="B316" t="s">
        <v>118</v>
      </c>
      <c r="C316" s="217">
        <v>46031</v>
      </c>
      <c r="D316">
        <v>328</v>
      </c>
      <c r="E316" t="s">
        <v>155</v>
      </c>
      <c r="F316" t="s">
        <v>28</v>
      </c>
      <c r="G316" t="s">
        <v>41</v>
      </c>
      <c r="H316">
        <v>8349</v>
      </c>
      <c r="I316">
        <v>450000</v>
      </c>
      <c r="J316">
        <v>0</v>
      </c>
      <c r="K316" t="s">
        <v>22</v>
      </c>
      <c r="L316" t="s">
        <v>23</v>
      </c>
      <c r="M316" t="s">
        <v>24</v>
      </c>
      <c r="N316" t="s">
        <v>25</v>
      </c>
      <c r="O316">
        <v>0</v>
      </c>
      <c r="Q316" t="str">
        <f t="shared" si="8"/>
        <v/>
      </c>
      <c r="R316" t="str">
        <f t="shared" si="9"/>
        <v/>
      </c>
    </row>
    <row r="317" spans="1:18" x14ac:dyDescent="0.35">
      <c r="A317">
        <v>52302</v>
      </c>
      <c r="B317" t="s">
        <v>118</v>
      </c>
      <c r="C317" s="217">
        <v>46031</v>
      </c>
      <c r="D317">
        <v>772</v>
      </c>
      <c r="E317" t="s">
        <v>152</v>
      </c>
      <c r="F317" t="s">
        <v>153</v>
      </c>
      <c r="G317" t="s">
        <v>50</v>
      </c>
      <c r="H317">
        <v>200000049</v>
      </c>
      <c r="I317">
        <v>680000</v>
      </c>
      <c r="J317">
        <v>0</v>
      </c>
      <c r="K317" t="s">
        <v>22</v>
      </c>
      <c r="L317" t="s">
        <v>23</v>
      </c>
      <c r="M317" t="s">
        <v>24</v>
      </c>
      <c r="N317" t="s">
        <v>25</v>
      </c>
      <c r="O317">
        <v>0</v>
      </c>
      <c r="Q317" t="str">
        <f t="shared" si="8"/>
        <v/>
      </c>
      <c r="R317" t="str">
        <f t="shared" si="9"/>
        <v/>
      </c>
    </row>
    <row r="318" spans="1:18" x14ac:dyDescent="0.35">
      <c r="A318">
        <v>52302</v>
      </c>
      <c r="B318" t="s">
        <v>118</v>
      </c>
      <c r="C318" s="217">
        <v>46034</v>
      </c>
      <c r="D318">
        <v>810</v>
      </c>
      <c r="E318" t="s">
        <v>156</v>
      </c>
      <c r="F318" t="s">
        <v>153</v>
      </c>
      <c r="G318" t="s">
        <v>50</v>
      </c>
      <c r="H318">
        <v>200000050</v>
      </c>
      <c r="I318">
        <v>340000</v>
      </c>
      <c r="J318">
        <v>0</v>
      </c>
      <c r="K318" t="s">
        <v>22</v>
      </c>
      <c r="L318" t="s">
        <v>23</v>
      </c>
      <c r="M318" t="s">
        <v>24</v>
      </c>
      <c r="N318" t="s">
        <v>25</v>
      </c>
      <c r="O318">
        <v>0</v>
      </c>
      <c r="Q318" t="str">
        <f t="shared" si="8"/>
        <v/>
      </c>
      <c r="R318" t="str">
        <f t="shared" si="9"/>
        <v/>
      </c>
    </row>
    <row r="319" spans="1:18" x14ac:dyDescent="0.35">
      <c r="A319">
        <v>52302</v>
      </c>
      <c r="B319" t="s">
        <v>118</v>
      </c>
      <c r="C319" s="217">
        <v>46040</v>
      </c>
      <c r="D319">
        <v>919</v>
      </c>
      <c r="E319" t="s">
        <v>157</v>
      </c>
      <c r="F319" t="s">
        <v>121</v>
      </c>
      <c r="G319" t="s">
        <v>50</v>
      </c>
      <c r="H319">
        <v>142000009935</v>
      </c>
      <c r="I319">
        <v>14310.76</v>
      </c>
      <c r="J319">
        <v>0</v>
      </c>
      <c r="K319" t="s">
        <v>22</v>
      </c>
      <c r="L319" t="s">
        <v>23</v>
      </c>
      <c r="M319" t="s">
        <v>24</v>
      </c>
      <c r="N319" t="s">
        <v>25</v>
      </c>
      <c r="O319">
        <v>0</v>
      </c>
      <c r="Q319" t="str">
        <f t="shared" si="8"/>
        <v/>
      </c>
      <c r="R319" t="str">
        <f t="shared" si="9"/>
        <v/>
      </c>
    </row>
    <row r="320" spans="1:18" x14ac:dyDescent="0.35">
      <c r="A320">
        <v>52302</v>
      </c>
      <c r="B320" t="s">
        <v>118</v>
      </c>
      <c r="C320" s="217">
        <v>46040</v>
      </c>
      <c r="D320">
        <v>919</v>
      </c>
      <c r="E320" t="s">
        <v>157</v>
      </c>
      <c r="F320" t="s">
        <v>121</v>
      </c>
      <c r="G320" t="s">
        <v>50</v>
      </c>
      <c r="H320">
        <v>142000009935</v>
      </c>
      <c r="I320">
        <v>15394.57</v>
      </c>
      <c r="J320">
        <v>0</v>
      </c>
      <c r="K320" t="s">
        <v>22</v>
      </c>
      <c r="L320" t="s">
        <v>23</v>
      </c>
      <c r="M320" t="s">
        <v>24</v>
      </c>
      <c r="N320" t="s">
        <v>25</v>
      </c>
      <c r="O320">
        <v>0</v>
      </c>
      <c r="Q320" t="str">
        <f t="shared" si="8"/>
        <v/>
      </c>
      <c r="R320" t="str">
        <f t="shared" si="9"/>
        <v/>
      </c>
    </row>
    <row r="321" spans="1:18" x14ac:dyDescent="0.35">
      <c r="A321">
        <v>52302</v>
      </c>
      <c r="B321" t="s">
        <v>118</v>
      </c>
      <c r="C321" s="217">
        <v>46040</v>
      </c>
      <c r="D321">
        <v>919</v>
      </c>
      <c r="E321" t="s">
        <v>158</v>
      </c>
      <c r="F321" t="s">
        <v>121</v>
      </c>
      <c r="G321" t="s">
        <v>50</v>
      </c>
      <c r="H321">
        <v>142000009935</v>
      </c>
      <c r="I321">
        <v>6440.08</v>
      </c>
      <c r="J321">
        <v>0</v>
      </c>
      <c r="K321" t="s">
        <v>22</v>
      </c>
      <c r="L321" t="s">
        <v>23</v>
      </c>
      <c r="M321" t="s">
        <v>24</v>
      </c>
      <c r="N321" t="s">
        <v>25</v>
      </c>
      <c r="O321">
        <v>0</v>
      </c>
      <c r="Q321" t="str">
        <f t="shared" si="8"/>
        <v/>
      </c>
      <c r="R321" t="str">
        <f t="shared" si="9"/>
        <v/>
      </c>
    </row>
    <row r="322" spans="1:18" x14ac:dyDescent="0.35">
      <c r="A322">
        <v>52302</v>
      </c>
      <c r="B322" t="s">
        <v>118</v>
      </c>
      <c r="C322" s="217">
        <v>46040</v>
      </c>
      <c r="D322">
        <v>919</v>
      </c>
      <c r="E322" t="s">
        <v>159</v>
      </c>
      <c r="F322" t="s">
        <v>121</v>
      </c>
      <c r="G322" t="s">
        <v>50</v>
      </c>
      <c r="H322">
        <v>142000009935</v>
      </c>
      <c r="I322">
        <v>394.49</v>
      </c>
      <c r="J322">
        <v>0</v>
      </c>
      <c r="K322" t="s">
        <v>22</v>
      </c>
      <c r="L322" t="s">
        <v>23</v>
      </c>
      <c r="M322" t="s">
        <v>24</v>
      </c>
      <c r="N322" t="s">
        <v>25</v>
      </c>
      <c r="O322">
        <v>0</v>
      </c>
      <c r="Q322" t="str">
        <f t="shared" ref="Q322:Q385" si="10">IFERROR(TRIM(LEFT($E322,FIND(" | ",$E322)-1)),"")</f>
        <v/>
      </c>
      <c r="R322" t="str">
        <f t="shared" ref="R322:R385" si="11">IFERROR(TRIM(UPPER(MID($E322,FIND(" | ",$E322)+3,IFERROR(FIND(" | ",$E322,FIND(" | ",$E322)+3),LEN($E322)+1)-FIND(" | ",$E322)-3))),"")</f>
        <v/>
      </c>
    </row>
    <row r="323" spans="1:18" x14ac:dyDescent="0.35">
      <c r="A323">
        <v>52302</v>
      </c>
      <c r="B323" t="s">
        <v>118</v>
      </c>
      <c r="C323" s="217">
        <v>46040</v>
      </c>
      <c r="D323">
        <v>919</v>
      </c>
      <c r="E323" t="s">
        <v>160</v>
      </c>
      <c r="F323" t="s">
        <v>121</v>
      </c>
      <c r="G323" t="s">
        <v>50</v>
      </c>
      <c r="H323">
        <v>142000009935</v>
      </c>
      <c r="I323">
        <v>131.49</v>
      </c>
      <c r="J323">
        <v>0</v>
      </c>
      <c r="K323" t="s">
        <v>22</v>
      </c>
      <c r="L323" t="s">
        <v>23</v>
      </c>
      <c r="M323" t="s">
        <v>24</v>
      </c>
      <c r="N323" t="s">
        <v>25</v>
      </c>
      <c r="O323">
        <v>0</v>
      </c>
      <c r="Q323" t="str">
        <f t="shared" si="10"/>
        <v/>
      </c>
      <c r="R323" t="str">
        <f t="shared" si="11"/>
        <v/>
      </c>
    </row>
    <row r="324" spans="1:18" x14ac:dyDescent="0.35">
      <c r="A324">
        <v>52302</v>
      </c>
      <c r="B324" t="s">
        <v>118</v>
      </c>
      <c r="C324" s="217">
        <v>46053</v>
      </c>
      <c r="D324">
        <v>1323</v>
      </c>
      <c r="E324" t="s">
        <v>157</v>
      </c>
      <c r="F324" t="s">
        <v>121</v>
      </c>
      <c r="G324" t="s">
        <v>50</v>
      </c>
      <c r="H324">
        <v>142000021052</v>
      </c>
      <c r="I324">
        <v>112609.95</v>
      </c>
      <c r="J324">
        <v>0</v>
      </c>
      <c r="K324" t="s">
        <v>22</v>
      </c>
      <c r="L324" t="s">
        <v>23</v>
      </c>
      <c r="M324" t="s">
        <v>24</v>
      </c>
      <c r="N324" t="s">
        <v>25</v>
      </c>
      <c r="O324">
        <v>0</v>
      </c>
      <c r="Q324" t="str">
        <f t="shared" si="10"/>
        <v/>
      </c>
      <c r="R324" t="str">
        <f t="shared" si="11"/>
        <v/>
      </c>
    </row>
    <row r="325" spans="1:18" x14ac:dyDescent="0.35">
      <c r="A325">
        <v>52302</v>
      </c>
      <c r="B325" t="s">
        <v>118</v>
      </c>
      <c r="C325" s="217">
        <v>46053</v>
      </c>
      <c r="D325">
        <v>1323</v>
      </c>
      <c r="E325" t="s">
        <v>158</v>
      </c>
      <c r="F325" t="s">
        <v>121</v>
      </c>
      <c r="G325" t="s">
        <v>50</v>
      </c>
      <c r="H325">
        <v>142000021052</v>
      </c>
      <c r="I325">
        <v>19802.5</v>
      </c>
      <c r="J325">
        <v>0</v>
      </c>
      <c r="K325" t="s">
        <v>22</v>
      </c>
      <c r="L325" t="s">
        <v>23</v>
      </c>
      <c r="M325" t="s">
        <v>24</v>
      </c>
      <c r="N325" t="s">
        <v>25</v>
      </c>
      <c r="O325">
        <v>0</v>
      </c>
      <c r="Q325" t="str">
        <f t="shared" si="10"/>
        <v/>
      </c>
      <c r="R325" t="str">
        <f t="shared" si="11"/>
        <v/>
      </c>
    </row>
    <row r="326" spans="1:18" x14ac:dyDescent="0.35">
      <c r="A326">
        <v>52302</v>
      </c>
      <c r="B326" t="s">
        <v>118</v>
      </c>
      <c r="C326" s="217">
        <v>46053</v>
      </c>
      <c r="D326">
        <v>1323</v>
      </c>
      <c r="E326" t="s">
        <v>159</v>
      </c>
      <c r="F326" t="s">
        <v>121</v>
      </c>
      <c r="G326" t="s">
        <v>50</v>
      </c>
      <c r="H326">
        <v>142000021052</v>
      </c>
      <c r="I326">
        <v>1595.28</v>
      </c>
      <c r="J326">
        <v>0</v>
      </c>
      <c r="K326" t="s">
        <v>22</v>
      </c>
      <c r="L326" t="s">
        <v>23</v>
      </c>
      <c r="M326" t="s">
        <v>24</v>
      </c>
      <c r="N326" t="s">
        <v>25</v>
      </c>
      <c r="O326">
        <v>0</v>
      </c>
      <c r="Q326" t="str">
        <f t="shared" si="10"/>
        <v/>
      </c>
      <c r="R326" t="str">
        <f t="shared" si="11"/>
        <v/>
      </c>
    </row>
    <row r="327" spans="1:18" x14ac:dyDescent="0.35">
      <c r="A327">
        <v>52302</v>
      </c>
      <c r="B327" t="s">
        <v>118</v>
      </c>
      <c r="C327" s="217">
        <v>46074</v>
      </c>
      <c r="D327">
        <v>1345</v>
      </c>
      <c r="E327" t="s">
        <v>157</v>
      </c>
      <c r="F327" t="s">
        <v>121</v>
      </c>
      <c r="G327" t="s">
        <v>50</v>
      </c>
      <c r="H327">
        <v>142000054718</v>
      </c>
      <c r="I327">
        <v>65692.990000000005</v>
      </c>
      <c r="J327">
        <v>0</v>
      </c>
      <c r="K327" t="s">
        <v>22</v>
      </c>
      <c r="L327" t="s">
        <v>23</v>
      </c>
      <c r="M327" t="s">
        <v>24</v>
      </c>
      <c r="N327" t="s">
        <v>25</v>
      </c>
      <c r="O327">
        <v>0</v>
      </c>
      <c r="Q327" t="str">
        <f t="shared" si="10"/>
        <v/>
      </c>
      <c r="R327" t="str">
        <f t="shared" si="11"/>
        <v/>
      </c>
    </row>
    <row r="328" spans="1:18" x14ac:dyDescent="0.35">
      <c r="A328">
        <v>52302</v>
      </c>
      <c r="B328" t="s">
        <v>118</v>
      </c>
      <c r="C328" s="217">
        <v>46081</v>
      </c>
      <c r="D328">
        <v>1485</v>
      </c>
      <c r="E328" t="s">
        <v>158</v>
      </c>
      <c r="F328" t="s">
        <v>121</v>
      </c>
      <c r="G328" t="s">
        <v>50</v>
      </c>
      <c r="H328">
        <v>142000071412</v>
      </c>
      <c r="I328">
        <v>13596</v>
      </c>
      <c r="J328">
        <v>0</v>
      </c>
      <c r="K328" t="s">
        <v>22</v>
      </c>
      <c r="L328" t="s">
        <v>23</v>
      </c>
      <c r="M328" t="s">
        <v>24</v>
      </c>
      <c r="N328" t="s">
        <v>25</v>
      </c>
      <c r="O328">
        <v>0</v>
      </c>
      <c r="Q328" t="str">
        <f t="shared" si="10"/>
        <v/>
      </c>
      <c r="R328" t="str">
        <f t="shared" si="11"/>
        <v/>
      </c>
    </row>
    <row r="329" spans="1:18" x14ac:dyDescent="0.35">
      <c r="A329">
        <v>52302</v>
      </c>
      <c r="B329" t="s">
        <v>118</v>
      </c>
      <c r="C329" s="217">
        <v>46081</v>
      </c>
      <c r="D329">
        <v>1485</v>
      </c>
      <c r="E329" t="s">
        <v>159</v>
      </c>
      <c r="F329" t="s">
        <v>121</v>
      </c>
      <c r="G329" t="s">
        <v>50</v>
      </c>
      <c r="H329">
        <v>142000071412</v>
      </c>
      <c r="I329">
        <v>1031.06</v>
      </c>
      <c r="J329">
        <v>0</v>
      </c>
      <c r="K329" t="s">
        <v>22</v>
      </c>
      <c r="L329" t="s">
        <v>23</v>
      </c>
      <c r="M329" t="s">
        <v>24</v>
      </c>
      <c r="N329" t="s">
        <v>25</v>
      </c>
      <c r="O329">
        <v>0</v>
      </c>
      <c r="Q329" t="str">
        <f t="shared" si="10"/>
        <v/>
      </c>
      <c r="R329" t="str">
        <f t="shared" si="11"/>
        <v/>
      </c>
    </row>
    <row r="330" spans="1:18" x14ac:dyDescent="0.35">
      <c r="A330">
        <v>52302</v>
      </c>
      <c r="B330" t="s">
        <v>118</v>
      </c>
      <c r="C330" s="217">
        <v>46081</v>
      </c>
      <c r="D330">
        <v>1485</v>
      </c>
      <c r="E330" t="s">
        <v>161</v>
      </c>
      <c r="F330" t="s">
        <v>121</v>
      </c>
      <c r="G330" t="s">
        <v>50</v>
      </c>
      <c r="H330">
        <v>142000071412</v>
      </c>
      <c r="I330">
        <v>32310.03</v>
      </c>
      <c r="J330">
        <v>0</v>
      </c>
      <c r="K330" t="s">
        <v>22</v>
      </c>
      <c r="L330" t="s">
        <v>23</v>
      </c>
      <c r="M330" t="s">
        <v>24</v>
      </c>
      <c r="N330" t="s">
        <v>25</v>
      </c>
      <c r="O330">
        <v>0</v>
      </c>
      <c r="Q330" t="str">
        <f t="shared" si="10"/>
        <v/>
      </c>
      <c r="R330" t="str">
        <f t="shared" si="11"/>
        <v/>
      </c>
    </row>
    <row r="331" spans="1:18" x14ac:dyDescent="0.35">
      <c r="A331">
        <v>52302</v>
      </c>
      <c r="B331" t="s">
        <v>118</v>
      </c>
      <c r="C331" s="217">
        <v>46081</v>
      </c>
      <c r="D331">
        <v>1485</v>
      </c>
      <c r="E331" t="s">
        <v>162</v>
      </c>
      <c r="F331" t="s">
        <v>121</v>
      </c>
      <c r="G331" t="s">
        <v>50</v>
      </c>
      <c r="H331">
        <v>142000071412</v>
      </c>
      <c r="I331">
        <v>38299.449999999997</v>
      </c>
      <c r="J331">
        <v>0</v>
      </c>
      <c r="K331" t="s">
        <v>22</v>
      </c>
      <c r="L331" t="s">
        <v>23</v>
      </c>
      <c r="M331" t="s">
        <v>24</v>
      </c>
      <c r="N331" t="s">
        <v>25</v>
      </c>
      <c r="O331">
        <v>0</v>
      </c>
      <c r="Q331" t="str">
        <f t="shared" si="10"/>
        <v/>
      </c>
      <c r="R331" t="str">
        <f t="shared" si="11"/>
        <v/>
      </c>
    </row>
    <row r="332" spans="1:18" x14ac:dyDescent="0.35">
      <c r="A332">
        <v>52302</v>
      </c>
      <c r="B332" t="s">
        <v>118</v>
      </c>
      <c r="C332" s="217">
        <v>46096</v>
      </c>
      <c r="D332">
        <v>1717</v>
      </c>
      <c r="E332" t="s">
        <v>158</v>
      </c>
      <c r="F332" t="s">
        <v>121</v>
      </c>
      <c r="G332" t="s">
        <v>50</v>
      </c>
      <c r="H332">
        <v>142000092187</v>
      </c>
      <c r="I332">
        <v>17939.400000000001</v>
      </c>
      <c r="J332">
        <v>0</v>
      </c>
      <c r="K332" t="s">
        <v>22</v>
      </c>
      <c r="L332" t="s">
        <v>23</v>
      </c>
      <c r="M332" t="s">
        <v>24</v>
      </c>
      <c r="N332" t="s">
        <v>25</v>
      </c>
      <c r="O332">
        <v>0</v>
      </c>
      <c r="Q332" t="str">
        <f t="shared" si="10"/>
        <v/>
      </c>
      <c r="R332" t="str">
        <f t="shared" si="11"/>
        <v/>
      </c>
    </row>
    <row r="333" spans="1:18" x14ac:dyDescent="0.35">
      <c r="A333">
        <v>52302</v>
      </c>
      <c r="B333" t="s">
        <v>118</v>
      </c>
      <c r="C333" s="217">
        <v>46096</v>
      </c>
      <c r="D333">
        <v>1717</v>
      </c>
      <c r="E333" t="s">
        <v>159</v>
      </c>
      <c r="F333" t="s">
        <v>121</v>
      </c>
      <c r="G333" t="s">
        <v>50</v>
      </c>
      <c r="H333">
        <v>142000092187</v>
      </c>
      <c r="I333">
        <v>1286.4100000000001</v>
      </c>
      <c r="J333">
        <v>0</v>
      </c>
      <c r="K333" t="s">
        <v>22</v>
      </c>
      <c r="L333" t="s">
        <v>23</v>
      </c>
      <c r="M333" t="s">
        <v>24</v>
      </c>
      <c r="N333" t="s">
        <v>25</v>
      </c>
      <c r="O333">
        <v>0</v>
      </c>
      <c r="Q333" t="str">
        <f t="shared" si="10"/>
        <v/>
      </c>
      <c r="R333" t="str">
        <f t="shared" si="11"/>
        <v/>
      </c>
    </row>
    <row r="334" spans="1:18" x14ac:dyDescent="0.35">
      <c r="A334">
        <v>52302</v>
      </c>
      <c r="B334" t="s">
        <v>118</v>
      </c>
      <c r="C334" s="217">
        <v>46096</v>
      </c>
      <c r="D334">
        <v>1717</v>
      </c>
      <c r="E334" t="s">
        <v>161</v>
      </c>
      <c r="F334" t="s">
        <v>121</v>
      </c>
      <c r="G334" t="s">
        <v>50</v>
      </c>
      <c r="H334">
        <v>142000092187</v>
      </c>
      <c r="I334">
        <v>50783.43</v>
      </c>
      <c r="J334">
        <v>0</v>
      </c>
      <c r="K334" t="s">
        <v>22</v>
      </c>
      <c r="L334" t="s">
        <v>23</v>
      </c>
      <c r="M334" t="s">
        <v>24</v>
      </c>
      <c r="N334" t="s">
        <v>25</v>
      </c>
      <c r="O334">
        <v>0</v>
      </c>
      <c r="Q334" t="str">
        <f t="shared" si="10"/>
        <v/>
      </c>
      <c r="R334" t="str">
        <f t="shared" si="11"/>
        <v/>
      </c>
    </row>
    <row r="335" spans="1:18" x14ac:dyDescent="0.35">
      <c r="A335">
        <v>52302</v>
      </c>
      <c r="B335" t="s">
        <v>118</v>
      </c>
      <c r="C335" s="217">
        <v>46096</v>
      </c>
      <c r="D335">
        <v>1717</v>
      </c>
      <c r="E335" t="s">
        <v>162</v>
      </c>
      <c r="F335" t="s">
        <v>121</v>
      </c>
      <c r="G335" t="s">
        <v>50</v>
      </c>
      <c r="H335">
        <v>142000092187</v>
      </c>
      <c r="I335">
        <v>35717.06</v>
      </c>
      <c r="J335">
        <v>0</v>
      </c>
      <c r="K335" t="s">
        <v>22</v>
      </c>
      <c r="L335" t="s">
        <v>23</v>
      </c>
      <c r="M335" t="s">
        <v>24</v>
      </c>
      <c r="N335" t="s">
        <v>25</v>
      </c>
      <c r="O335">
        <v>0</v>
      </c>
      <c r="Q335" t="str">
        <f t="shared" si="10"/>
        <v/>
      </c>
      <c r="R335" t="str">
        <f t="shared" si="11"/>
        <v/>
      </c>
    </row>
    <row r="336" spans="1:18" x14ac:dyDescent="0.35">
      <c r="A336">
        <v>52302</v>
      </c>
      <c r="B336" t="s">
        <v>118</v>
      </c>
      <c r="C336" s="217">
        <v>46112</v>
      </c>
      <c r="D336">
        <v>2351</v>
      </c>
      <c r="E336" t="s">
        <v>158</v>
      </c>
      <c r="F336" t="s">
        <v>121</v>
      </c>
      <c r="G336" t="s">
        <v>50</v>
      </c>
      <c r="H336">
        <v>142000105577</v>
      </c>
      <c r="I336">
        <v>15552.6</v>
      </c>
      <c r="J336">
        <v>0</v>
      </c>
      <c r="K336" t="s">
        <v>22</v>
      </c>
      <c r="L336" t="s">
        <v>23</v>
      </c>
      <c r="M336" t="s">
        <v>24</v>
      </c>
      <c r="N336" t="s">
        <v>25</v>
      </c>
      <c r="O336">
        <v>0</v>
      </c>
      <c r="Q336" t="str">
        <f t="shared" si="10"/>
        <v/>
      </c>
      <c r="R336" t="str">
        <f t="shared" si="11"/>
        <v/>
      </c>
    </row>
    <row r="337" spans="1:18" x14ac:dyDescent="0.35">
      <c r="A337">
        <v>52302</v>
      </c>
      <c r="B337" t="s">
        <v>118</v>
      </c>
      <c r="C337" s="217">
        <v>46112</v>
      </c>
      <c r="D337">
        <v>2351</v>
      </c>
      <c r="E337" t="s">
        <v>159</v>
      </c>
      <c r="F337" t="s">
        <v>121</v>
      </c>
      <c r="G337" t="s">
        <v>50</v>
      </c>
      <c r="H337">
        <v>142000105577</v>
      </c>
      <c r="I337">
        <v>1197.49</v>
      </c>
      <c r="J337">
        <v>0</v>
      </c>
      <c r="K337" t="s">
        <v>22</v>
      </c>
      <c r="L337" t="s">
        <v>23</v>
      </c>
      <c r="M337" t="s">
        <v>24</v>
      </c>
      <c r="N337" t="s">
        <v>25</v>
      </c>
      <c r="O337">
        <v>0</v>
      </c>
      <c r="Q337" t="str">
        <f t="shared" si="10"/>
        <v/>
      </c>
      <c r="R337" t="str">
        <f t="shared" si="11"/>
        <v/>
      </c>
    </row>
    <row r="338" spans="1:18" x14ac:dyDescent="0.35">
      <c r="A338">
        <v>52302</v>
      </c>
      <c r="B338" t="s">
        <v>118</v>
      </c>
      <c r="C338" s="217">
        <v>46112</v>
      </c>
      <c r="D338">
        <v>2351</v>
      </c>
      <c r="E338" t="s">
        <v>161</v>
      </c>
      <c r="F338" t="s">
        <v>121</v>
      </c>
      <c r="G338" t="s">
        <v>50</v>
      </c>
      <c r="H338">
        <v>142000105577</v>
      </c>
      <c r="I338">
        <v>54265.599999999999</v>
      </c>
      <c r="J338">
        <v>0</v>
      </c>
      <c r="K338" t="s">
        <v>22</v>
      </c>
      <c r="L338" t="s">
        <v>23</v>
      </c>
      <c r="M338" t="s">
        <v>24</v>
      </c>
      <c r="N338" t="s">
        <v>25</v>
      </c>
      <c r="O338">
        <v>0</v>
      </c>
      <c r="Q338" t="str">
        <f t="shared" si="10"/>
        <v/>
      </c>
      <c r="R338" t="str">
        <f t="shared" si="11"/>
        <v/>
      </c>
    </row>
    <row r="339" spans="1:18" x14ac:dyDescent="0.35">
      <c r="A339">
        <v>52302</v>
      </c>
      <c r="B339" t="s">
        <v>118</v>
      </c>
      <c r="C339" s="217">
        <v>46112</v>
      </c>
      <c r="D339">
        <v>2351</v>
      </c>
      <c r="E339" t="s">
        <v>162</v>
      </c>
      <c r="F339" t="s">
        <v>121</v>
      </c>
      <c r="G339" t="s">
        <v>50</v>
      </c>
      <c r="H339">
        <v>142000105577</v>
      </c>
      <c r="I339">
        <v>28495.06</v>
      </c>
      <c r="J339">
        <v>0</v>
      </c>
      <c r="K339" t="s">
        <v>22</v>
      </c>
      <c r="L339" t="s">
        <v>23</v>
      </c>
      <c r="M339" t="s">
        <v>24</v>
      </c>
      <c r="N339" t="s">
        <v>25</v>
      </c>
      <c r="O339">
        <v>0</v>
      </c>
      <c r="Q339" t="str">
        <f t="shared" si="10"/>
        <v/>
      </c>
      <c r="R339" t="str">
        <f t="shared" si="11"/>
        <v/>
      </c>
    </row>
    <row r="340" spans="1:18" x14ac:dyDescent="0.35">
      <c r="A340">
        <v>52302</v>
      </c>
      <c r="B340" t="s">
        <v>118</v>
      </c>
      <c r="C340" s="217">
        <v>46127</v>
      </c>
      <c r="D340">
        <v>2376</v>
      </c>
      <c r="E340" t="s">
        <v>158</v>
      </c>
      <c r="F340" t="s">
        <v>121</v>
      </c>
      <c r="G340" t="s">
        <v>50</v>
      </c>
      <c r="H340">
        <v>142000129001</v>
      </c>
      <c r="I340">
        <v>9145.16</v>
      </c>
      <c r="J340">
        <v>0</v>
      </c>
      <c r="K340" t="s">
        <v>22</v>
      </c>
      <c r="L340" t="s">
        <v>23</v>
      </c>
      <c r="M340" t="s">
        <v>24</v>
      </c>
      <c r="N340" t="s">
        <v>25</v>
      </c>
      <c r="O340">
        <v>0</v>
      </c>
      <c r="Q340" t="str">
        <f t="shared" si="10"/>
        <v/>
      </c>
      <c r="R340" t="str">
        <f t="shared" si="11"/>
        <v/>
      </c>
    </row>
    <row r="341" spans="1:18" x14ac:dyDescent="0.35">
      <c r="A341">
        <v>52302</v>
      </c>
      <c r="B341" t="s">
        <v>118</v>
      </c>
      <c r="C341" s="217">
        <v>46127</v>
      </c>
      <c r="D341">
        <v>2376</v>
      </c>
      <c r="E341" t="s">
        <v>159</v>
      </c>
      <c r="F341" t="s">
        <v>121</v>
      </c>
      <c r="G341" t="s">
        <v>50</v>
      </c>
      <c r="H341">
        <v>142000129001</v>
      </c>
      <c r="I341">
        <v>760</v>
      </c>
      <c r="J341">
        <v>0</v>
      </c>
      <c r="K341" t="s">
        <v>22</v>
      </c>
      <c r="L341" t="s">
        <v>23</v>
      </c>
      <c r="M341" t="s">
        <v>24</v>
      </c>
      <c r="N341" t="s">
        <v>25</v>
      </c>
      <c r="O341">
        <v>0</v>
      </c>
      <c r="Q341" t="str">
        <f t="shared" si="10"/>
        <v/>
      </c>
      <c r="R341" t="str">
        <f t="shared" si="11"/>
        <v/>
      </c>
    </row>
    <row r="342" spans="1:18" x14ac:dyDescent="0.35">
      <c r="A342">
        <v>52302</v>
      </c>
      <c r="B342" t="s">
        <v>118</v>
      </c>
      <c r="C342" s="217">
        <v>46127</v>
      </c>
      <c r="D342">
        <v>2376</v>
      </c>
      <c r="E342" t="s">
        <v>161</v>
      </c>
      <c r="F342" t="s">
        <v>121</v>
      </c>
      <c r="G342" t="s">
        <v>50</v>
      </c>
      <c r="H342">
        <v>142000129001</v>
      </c>
      <c r="I342">
        <v>27160.13</v>
      </c>
      <c r="J342">
        <v>0</v>
      </c>
      <c r="K342" t="s">
        <v>22</v>
      </c>
      <c r="L342" t="s">
        <v>23</v>
      </c>
      <c r="M342" t="s">
        <v>24</v>
      </c>
      <c r="N342" t="s">
        <v>25</v>
      </c>
      <c r="O342">
        <v>0</v>
      </c>
      <c r="Q342" t="str">
        <f t="shared" si="10"/>
        <v/>
      </c>
      <c r="R342" t="str">
        <f t="shared" si="11"/>
        <v/>
      </c>
    </row>
    <row r="343" spans="1:18" x14ac:dyDescent="0.35">
      <c r="A343">
        <v>52302</v>
      </c>
      <c r="B343" t="s">
        <v>118</v>
      </c>
      <c r="C343" s="217">
        <v>46127</v>
      </c>
      <c r="D343">
        <v>2376</v>
      </c>
      <c r="E343" t="s">
        <v>162</v>
      </c>
      <c r="F343" t="s">
        <v>121</v>
      </c>
      <c r="G343" t="s">
        <v>50</v>
      </c>
      <c r="H343">
        <v>142000129001</v>
      </c>
      <c r="I343">
        <v>23190.49</v>
      </c>
      <c r="J343">
        <v>0</v>
      </c>
      <c r="K343" t="s">
        <v>22</v>
      </c>
      <c r="L343" t="s">
        <v>23</v>
      </c>
      <c r="M343" t="s">
        <v>24</v>
      </c>
      <c r="N343" t="s">
        <v>25</v>
      </c>
      <c r="O343">
        <v>0</v>
      </c>
      <c r="Q343" t="str">
        <f t="shared" si="10"/>
        <v/>
      </c>
      <c r="R343" t="str">
        <f t="shared" si="11"/>
        <v/>
      </c>
    </row>
    <row r="344" spans="1:18" x14ac:dyDescent="0.35">
      <c r="A344">
        <v>52302</v>
      </c>
      <c r="B344" t="s">
        <v>118</v>
      </c>
      <c r="C344" s="217">
        <v>46142</v>
      </c>
      <c r="D344">
        <v>2598</v>
      </c>
      <c r="E344" t="s">
        <v>158</v>
      </c>
      <c r="F344" t="s">
        <v>121</v>
      </c>
      <c r="G344" t="s">
        <v>50</v>
      </c>
      <c r="H344">
        <v>142000143812</v>
      </c>
      <c r="I344">
        <v>24813.79</v>
      </c>
      <c r="J344">
        <v>0</v>
      </c>
      <c r="K344" t="s">
        <v>22</v>
      </c>
      <c r="L344" t="s">
        <v>23</v>
      </c>
      <c r="M344" t="s">
        <v>24</v>
      </c>
      <c r="N344" t="s">
        <v>25</v>
      </c>
      <c r="O344">
        <v>0</v>
      </c>
      <c r="Q344" t="str">
        <f t="shared" si="10"/>
        <v/>
      </c>
      <c r="R344" t="str">
        <f t="shared" si="11"/>
        <v/>
      </c>
    </row>
    <row r="345" spans="1:18" x14ac:dyDescent="0.35">
      <c r="A345">
        <v>52302</v>
      </c>
      <c r="B345" t="s">
        <v>118</v>
      </c>
      <c r="C345" s="217">
        <v>46142</v>
      </c>
      <c r="D345">
        <v>2598</v>
      </c>
      <c r="E345" t="s">
        <v>159</v>
      </c>
      <c r="F345" t="s">
        <v>121</v>
      </c>
      <c r="G345" t="s">
        <v>50</v>
      </c>
      <c r="H345">
        <v>142000143812</v>
      </c>
      <c r="I345">
        <v>1971.36</v>
      </c>
      <c r="J345">
        <v>0</v>
      </c>
      <c r="K345" t="s">
        <v>22</v>
      </c>
      <c r="L345" t="s">
        <v>23</v>
      </c>
      <c r="M345" t="s">
        <v>24</v>
      </c>
      <c r="N345" t="s">
        <v>25</v>
      </c>
      <c r="O345">
        <v>0</v>
      </c>
      <c r="Q345" t="str">
        <f t="shared" si="10"/>
        <v/>
      </c>
      <c r="R345" t="str">
        <f t="shared" si="11"/>
        <v/>
      </c>
    </row>
    <row r="346" spans="1:18" x14ac:dyDescent="0.35">
      <c r="A346">
        <v>52302</v>
      </c>
      <c r="B346" t="s">
        <v>118</v>
      </c>
      <c r="C346" s="217">
        <v>46142</v>
      </c>
      <c r="D346">
        <v>2598</v>
      </c>
      <c r="E346" t="s">
        <v>161</v>
      </c>
      <c r="F346" t="s">
        <v>121</v>
      </c>
      <c r="G346" t="s">
        <v>50</v>
      </c>
      <c r="H346">
        <v>142000143812</v>
      </c>
      <c r="I346">
        <v>74897.899999999994</v>
      </c>
      <c r="J346">
        <v>0</v>
      </c>
      <c r="K346" t="s">
        <v>22</v>
      </c>
      <c r="L346" t="s">
        <v>23</v>
      </c>
      <c r="M346" t="s">
        <v>24</v>
      </c>
      <c r="N346" t="s">
        <v>25</v>
      </c>
      <c r="O346">
        <v>0</v>
      </c>
      <c r="Q346" t="str">
        <f t="shared" si="10"/>
        <v/>
      </c>
      <c r="R346" t="str">
        <f t="shared" si="11"/>
        <v/>
      </c>
    </row>
    <row r="347" spans="1:18" x14ac:dyDescent="0.35">
      <c r="A347">
        <v>52302</v>
      </c>
      <c r="B347" t="s">
        <v>118</v>
      </c>
      <c r="C347" s="217">
        <v>46142</v>
      </c>
      <c r="D347">
        <v>2598</v>
      </c>
      <c r="E347" t="s">
        <v>162</v>
      </c>
      <c r="F347" t="s">
        <v>121</v>
      </c>
      <c r="G347" t="s">
        <v>50</v>
      </c>
      <c r="H347">
        <v>142000143812</v>
      </c>
      <c r="I347">
        <v>69493.31</v>
      </c>
      <c r="J347">
        <v>0</v>
      </c>
      <c r="K347" t="s">
        <v>22</v>
      </c>
      <c r="L347" t="s">
        <v>23</v>
      </c>
      <c r="M347" t="s">
        <v>24</v>
      </c>
      <c r="N347" t="s">
        <v>25</v>
      </c>
      <c r="O347">
        <v>0</v>
      </c>
      <c r="Q347" t="str">
        <f t="shared" si="10"/>
        <v/>
      </c>
      <c r="R347" t="str">
        <f t="shared" si="11"/>
        <v/>
      </c>
    </row>
    <row r="348" spans="1:18" x14ac:dyDescent="0.35">
      <c r="A348">
        <v>52402</v>
      </c>
      <c r="B348" t="s">
        <v>163</v>
      </c>
      <c r="C348" s="217">
        <v>45741</v>
      </c>
      <c r="D348">
        <v>1886</v>
      </c>
      <c r="E348" t="s">
        <v>164</v>
      </c>
      <c r="F348" t="s">
        <v>165</v>
      </c>
      <c r="G348" t="s">
        <v>166</v>
      </c>
      <c r="H348">
        <v>17333</v>
      </c>
      <c r="I348">
        <v>80615.33</v>
      </c>
      <c r="J348">
        <v>0</v>
      </c>
      <c r="K348" t="s">
        <v>22</v>
      </c>
      <c r="L348" t="s">
        <v>23</v>
      </c>
      <c r="M348" t="s">
        <v>24</v>
      </c>
      <c r="N348" t="s">
        <v>25</v>
      </c>
      <c r="O348">
        <v>0</v>
      </c>
      <c r="Q348" t="str">
        <f t="shared" si="10"/>
        <v/>
      </c>
      <c r="R348" t="str">
        <f t="shared" si="11"/>
        <v/>
      </c>
    </row>
    <row r="349" spans="1:18" x14ac:dyDescent="0.35">
      <c r="A349">
        <v>52405</v>
      </c>
      <c r="B349" t="s">
        <v>167</v>
      </c>
      <c r="C349" s="217">
        <v>45714</v>
      </c>
      <c r="D349">
        <v>1491</v>
      </c>
      <c r="E349" t="s">
        <v>168</v>
      </c>
      <c r="F349" t="s">
        <v>169</v>
      </c>
      <c r="G349" t="s">
        <v>50</v>
      </c>
      <c r="H349">
        <v>400011783</v>
      </c>
      <c r="I349">
        <v>0.05</v>
      </c>
      <c r="J349">
        <v>0</v>
      </c>
      <c r="K349" t="s">
        <v>22</v>
      </c>
      <c r="L349" t="s">
        <v>23</v>
      </c>
      <c r="M349" t="s">
        <v>24</v>
      </c>
      <c r="N349" t="s">
        <v>25</v>
      </c>
      <c r="O349">
        <v>0</v>
      </c>
      <c r="Q349" t="str">
        <f t="shared" si="10"/>
        <v/>
      </c>
      <c r="R349" t="str">
        <f t="shared" si="11"/>
        <v/>
      </c>
    </row>
    <row r="350" spans="1:18" x14ac:dyDescent="0.35">
      <c r="A350">
        <v>52405</v>
      </c>
      <c r="B350" t="s">
        <v>167</v>
      </c>
      <c r="C350" s="217">
        <v>45723</v>
      </c>
      <c r="D350">
        <v>1804</v>
      </c>
      <c r="E350" t="s">
        <v>170</v>
      </c>
      <c r="F350" t="s">
        <v>171</v>
      </c>
      <c r="G350" t="s">
        <v>50</v>
      </c>
      <c r="H350">
        <v>200011812</v>
      </c>
      <c r="I350">
        <v>0.01</v>
      </c>
      <c r="J350">
        <v>0</v>
      </c>
      <c r="K350" t="s">
        <v>22</v>
      </c>
      <c r="L350" t="s">
        <v>23</v>
      </c>
      <c r="M350" t="s">
        <v>24</v>
      </c>
      <c r="N350" t="s">
        <v>25</v>
      </c>
      <c r="O350">
        <v>0</v>
      </c>
      <c r="Q350" t="str">
        <f t="shared" si="10"/>
        <v/>
      </c>
      <c r="R350" t="str">
        <f t="shared" si="11"/>
        <v/>
      </c>
    </row>
    <row r="351" spans="1:18" x14ac:dyDescent="0.35">
      <c r="A351">
        <v>52405</v>
      </c>
      <c r="B351" t="s">
        <v>167</v>
      </c>
      <c r="C351" s="217">
        <v>45723</v>
      </c>
      <c r="D351">
        <v>1805</v>
      </c>
      <c r="E351" t="s">
        <v>170</v>
      </c>
      <c r="F351" t="s">
        <v>171</v>
      </c>
      <c r="G351" t="s">
        <v>50</v>
      </c>
      <c r="H351">
        <v>200011805</v>
      </c>
      <c r="I351">
        <v>0.01</v>
      </c>
      <c r="J351">
        <v>0</v>
      </c>
      <c r="K351" t="s">
        <v>22</v>
      </c>
      <c r="L351" t="s">
        <v>23</v>
      </c>
      <c r="M351" t="s">
        <v>24</v>
      </c>
      <c r="N351" t="s">
        <v>25</v>
      </c>
      <c r="O351">
        <v>0</v>
      </c>
      <c r="Q351" t="str">
        <f t="shared" si="10"/>
        <v/>
      </c>
      <c r="R351" t="str">
        <f t="shared" si="11"/>
        <v/>
      </c>
    </row>
    <row r="352" spans="1:18" x14ac:dyDescent="0.35">
      <c r="A352">
        <v>52405</v>
      </c>
      <c r="B352" t="s">
        <v>167</v>
      </c>
      <c r="C352" s="217">
        <v>45750</v>
      </c>
      <c r="D352">
        <v>2213</v>
      </c>
      <c r="E352" t="s">
        <v>172</v>
      </c>
      <c r="F352" t="s">
        <v>79</v>
      </c>
      <c r="G352" t="s">
        <v>50</v>
      </c>
      <c r="H352">
        <v>1178700000206</v>
      </c>
      <c r="I352">
        <v>0.01</v>
      </c>
      <c r="J352">
        <v>0</v>
      </c>
      <c r="K352" t="s">
        <v>22</v>
      </c>
      <c r="L352" t="s">
        <v>23</v>
      </c>
      <c r="M352" t="s">
        <v>24</v>
      </c>
      <c r="N352" t="s">
        <v>25</v>
      </c>
      <c r="O352">
        <v>0</v>
      </c>
      <c r="Q352" t="str">
        <f t="shared" si="10"/>
        <v/>
      </c>
      <c r="R352" t="str">
        <f t="shared" si="11"/>
        <v/>
      </c>
    </row>
    <row r="353" spans="1:18" x14ac:dyDescent="0.35">
      <c r="A353">
        <v>52405</v>
      </c>
      <c r="B353" t="s">
        <v>167</v>
      </c>
      <c r="C353" s="217">
        <v>45750</v>
      </c>
      <c r="D353">
        <v>2214</v>
      </c>
      <c r="E353" t="s">
        <v>173</v>
      </c>
      <c r="F353" t="s">
        <v>69</v>
      </c>
      <c r="G353" t="s">
        <v>50</v>
      </c>
      <c r="H353">
        <v>136500001451</v>
      </c>
      <c r="I353">
        <v>0.01</v>
      </c>
      <c r="J353">
        <v>0</v>
      </c>
      <c r="K353" t="s">
        <v>22</v>
      </c>
      <c r="L353" t="s">
        <v>23</v>
      </c>
      <c r="M353" t="s">
        <v>24</v>
      </c>
      <c r="N353" t="s">
        <v>25</v>
      </c>
      <c r="O353">
        <v>0</v>
      </c>
      <c r="Q353" t="str">
        <f t="shared" si="10"/>
        <v/>
      </c>
      <c r="R353" t="str">
        <f t="shared" si="11"/>
        <v/>
      </c>
    </row>
    <row r="354" spans="1:18" x14ac:dyDescent="0.35">
      <c r="A354">
        <v>52405</v>
      </c>
      <c r="B354" t="s">
        <v>167</v>
      </c>
      <c r="C354" s="217">
        <v>45761</v>
      </c>
      <c r="D354">
        <v>2143</v>
      </c>
      <c r="E354" t="s">
        <v>170</v>
      </c>
      <c r="F354" t="s">
        <v>171</v>
      </c>
      <c r="G354" t="s">
        <v>50</v>
      </c>
      <c r="H354">
        <v>200012081</v>
      </c>
      <c r="I354">
        <v>0.01</v>
      </c>
      <c r="J354">
        <v>0</v>
      </c>
      <c r="K354" t="s">
        <v>22</v>
      </c>
      <c r="L354" t="s">
        <v>23</v>
      </c>
      <c r="M354" t="s">
        <v>24</v>
      </c>
      <c r="N354" t="s">
        <v>25</v>
      </c>
      <c r="O354">
        <v>0</v>
      </c>
      <c r="Q354" t="str">
        <f t="shared" si="10"/>
        <v/>
      </c>
      <c r="R354" t="str">
        <f t="shared" si="11"/>
        <v/>
      </c>
    </row>
    <row r="355" spans="1:18" x14ac:dyDescent="0.35">
      <c r="A355">
        <v>52405</v>
      </c>
      <c r="B355" t="s">
        <v>167</v>
      </c>
      <c r="C355" s="217">
        <v>45768</v>
      </c>
      <c r="D355">
        <v>2396</v>
      </c>
      <c r="E355" t="s">
        <v>174</v>
      </c>
      <c r="F355" t="s">
        <v>127</v>
      </c>
      <c r="G355" t="s">
        <v>70</v>
      </c>
      <c r="H355">
        <v>1900071680</v>
      </c>
      <c r="I355">
        <v>0.01</v>
      </c>
      <c r="J355">
        <v>0</v>
      </c>
      <c r="K355" t="s">
        <v>22</v>
      </c>
      <c r="L355" t="s">
        <v>23</v>
      </c>
      <c r="M355" t="s">
        <v>24</v>
      </c>
      <c r="N355" t="s">
        <v>25</v>
      </c>
      <c r="O355">
        <v>0</v>
      </c>
      <c r="Q355" t="str">
        <f t="shared" si="10"/>
        <v/>
      </c>
      <c r="R355" t="str">
        <f t="shared" si="11"/>
        <v/>
      </c>
    </row>
    <row r="356" spans="1:18" x14ac:dyDescent="0.35">
      <c r="A356">
        <v>52405</v>
      </c>
      <c r="B356" t="s">
        <v>167</v>
      </c>
      <c r="C356" s="217">
        <v>45880</v>
      </c>
      <c r="D356">
        <v>5735</v>
      </c>
      <c r="E356" t="s">
        <v>175</v>
      </c>
      <c r="F356" t="s">
        <v>176</v>
      </c>
      <c r="G356" t="s">
        <v>50</v>
      </c>
      <c r="H356">
        <v>300007829</v>
      </c>
      <c r="I356">
        <v>0.01</v>
      </c>
      <c r="J356">
        <v>0</v>
      </c>
      <c r="K356" t="s">
        <v>22</v>
      </c>
      <c r="L356" t="s">
        <v>23</v>
      </c>
      <c r="M356" t="s">
        <v>24</v>
      </c>
      <c r="N356" t="s">
        <v>25</v>
      </c>
      <c r="O356">
        <v>0</v>
      </c>
      <c r="Q356" t="str">
        <f t="shared" si="10"/>
        <v/>
      </c>
      <c r="R356" t="str">
        <f t="shared" si="11"/>
        <v/>
      </c>
    </row>
    <row r="357" spans="1:18" x14ac:dyDescent="0.35">
      <c r="A357">
        <v>52405</v>
      </c>
      <c r="B357" t="s">
        <v>167</v>
      </c>
      <c r="C357" s="217">
        <v>45934</v>
      </c>
      <c r="D357">
        <v>5149</v>
      </c>
      <c r="E357" t="s">
        <v>177</v>
      </c>
      <c r="F357" t="s">
        <v>178</v>
      </c>
      <c r="G357" t="s">
        <v>70</v>
      </c>
      <c r="H357">
        <v>400015214</v>
      </c>
      <c r="I357">
        <v>0.01</v>
      </c>
      <c r="J357">
        <v>0</v>
      </c>
      <c r="K357" t="s">
        <v>22</v>
      </c>
      <c r="L357" t="s">
        <v>23</v>
      </c>
      <c r="M357" t="s">
        <v>24</v>
      </c>
      <c r="N357" t="s">
        <v>25</v>
      </c>
      <c r="O357">
        <v>0</v>
      </c>
      <c r="Q357" t="str">
        <f t="shared" si="10"/>
        <v/>
      </c>
      <c r="R357" t="str">
        <f t="shared" si="11"/>
        <v/>
      </c>
    </row>
    <row r="358" spans="1:18" x14ac:dyDescent="0.35">
      <c r="A358">
        <v>52405</v>
      </c>
      <c r="B358" t="s">
        <v>167</v>
      </c>
      <c r="C358" s="217">
        <v>45938</v>
      </c>
      <c r="D358">
        <v>5208</v>
      </c>
      <c r="E358" t="s">
        <v>179</v>
      </c>
      <c r="F358" t="s">
        <v>180</v>
      </c>
      <c r="G358" t="s">
        <v>50</v>
      </c>
      <c r="H358">
        <v>1500085990</v>
      </c>
      <c r="I358">
        <v>0.01</v>
      </c>
      <c r="J358">
        <v>0</v>
      </c>
      <c r="K358" t="s">
        <v>22</v>
      </c>
      <c r="L358" t="s">
        <v>23</v>
      </c>
      <c r="M358" t="s">
        <v>24</v>
      </c>
      <c r="N358" t="s">
        <v>25</v>
      </c>
      <c r="O358">
        <v>0</v>
      </c>
      <c r="Q358" t="str">
        <f t="shared" si="10"/>
        <v/>
      </c>
      <c r="R358" t="str">
        <f t="shared" si="11"/>
        <v/>
      </c>
    </row>
    <row r="359" spans="1:18" x14ac:dyDescent="0.35">
      <c r="A359">
        <v>52405</v>
      </c>
      <c r="B359" t="s">
        <v>167</v>
      </c>
      <c r="C359" s="217">
        <v>45952</v>
      </c>
      <c r="D359">
        <v>5648</v>
      </c>
      <c r="E359" t="s">
        <v>179</v>
      </c>
      <c r="F359" t="s">
        <v>180</v>
      </c>
      <c r="G359" t="s">
        <v>50</v>
      </c>
      <c r="H359">
        <v>1500086557</v>
      </c>
      <c r="I359">
        <v>0.01</v>
      </c>
      <c r="J359">
        <v>0</v>
      </c>
      <c r="K359" t="s">
        <v>22</v>
      </c>
      <c r="L359" t="s">
        <v>23</v>
      </c>
      <c r="M359" t="s">
        <v>24</v>
      </c>
      <c r="N359" t="s">
        <v>25</v>
      </c>
      <c r="O359">
        <v>0</v>
      </c>
      <c r="Q359" t="str">
        <f t="shared" si="10"/>
        <v/>
      </c>
      <c r="R359" t="str">
        <f t="shared" si="11"/>
        <v/>
      </c>
    </row>
    <row r="360" spans="1:18" x14ac:dyDescent="0.35">
      <c r="A360">
        <v>52405</v>
      </c>
      <c r="B360" t="s">
        <v>167</v>
      </c>
      <c r="C360" s="217">
        <v>45954</v>
      </c>
      <c r="D360">
        <v>5546</v>
      </c>
      <c r="E360" t="s">
        <v>181</v>
      </c>
      <c r="F360" t="s">
        <v>81</v>
      </c>
      <c r="G360" t="s">
        <v>50</v>
      </c>
      <c r="H360">
        <v>418100140350</v>
      </c>
      <c r="I360">
        <v>0.01</v>
      </c>
      <c r="J360">
        <v>0</v>
      </c>
      <c r="K360" t="s">
        <v>22</v>
      </c>
      <c r="L360" t="s">
        <v>23</v>
      </c>
      <c r="M360" t="s">
        <v>24</v>
      </c>
      <c r="N360" t="s">
        <v>25</v>
      </c>
      <c r="O360">
        <v>0</v>
      </c>
      <c r="Q360" t="str">
        <f t="shared" si="10"/>
        <v/>
      </c>
      <c r="R360" t="str">
        <f t="shared" si="11"/>
        <v/>
      </c>
    </row>
    <row r="361" spans="1:18" x14ac:dyDescent="0.35">
      <c r="A361">
        <v>52405</v>
      </c>
      <c r="B361" t="s">
        <v>167</v>
      </c>
      <c r="C361" s="217">
        <v>45959</v>
      </c>
      <c r="D361">
        <v>5558</v>
      </c>
      <c r="E361" t="s">
        <v>182</v>
      </c>
      <c r="F361" t="s">
        <v>183</v>
      </c>
      <c r="G361" t="s">
        <v>50</v>
      </c>
      <c r="H361">
        <v>2400127318</v>
      </c>
      <c r="I361">
        <v>0.04</v>
      </c>
      <c r="J361">
        <v>0</v>
      </c>
      <c r="K361" t="s">
        <v>22</v>
      </c>
      <c r="L361" t="s">
        <v>23</v>
      </c>
      <c r="M361" t="s">
        <v>24</v>
      </c>
      <c r="N361" t="s">
        <v>25</v>
      </c>
      <c r="O361">
        <v>0</v>
      </c>
      <c r="Q361" t="str">
        <f t="shared" si="10"/>
        <v/>
      </c>
      <c r="R361" t="str">
        <f t="shared" si="11"/>
        <v/>
      </c>
    </row>
    <row r="362" spans="1:18" x14ac:dyDescent="0.35">
      <c r="A362">
        <v>52405</v>
      </c>
      <c r="B362" t="s">
        <v>167</v>
      </c>
      <c r="C362" s="217">
        <v>46000</v>
      </c>
      <c r="D362">
        <v>424</v>
      </c>
      <c r="E362" t="s">
        <v>173</v>
      </c>
      <c r="F362" t="s">
        <v>69</v>
      </c>
      <c r="G362" t="s">
        <v>50</v>
      </c>
      <c r="H362">
        <v>1165500001529</v>
      </c>
      <c r="I362">
        <v>0.01</v>
      </c>
      <c r="J362">
        <v>0</v>
      </c>
      <c r="K362" t="s">
        <v>22</v>
      </c>
      <c r="L362" t="s">
        <v>23</v>
      </c>
      <c r="M362" t="s">
        <v>24</v>
      </c>
      <c r="N362" t="s">
        <v>25</v>
      </c>
      <c r="O362">
        <v>0</v>
      </c>
      <c r="Q362" t="str">
        <f t="shared" si="10"/>
        <v/>
      </c>
      <c r="R362" t="str">
        <f t="shared" si="11"/>
        <v/>
      </c>
    </row>
    <row r="363" spans="1:18" x14ac:dyDescent="0.35">
      <c r="A363">
        <v>52405</v>
      </c>
      <c r="B363" t="s">
        <v>167</v>
      </c>
      <c r="C363" s="217">
        <v>46085</v>
      </c>
      <c r="D363">
        <v>1496</v>
      </c>
      <c r="E363" t="s">
        <v>184</v>
      </c>
      <c r="F363" t="s">
        <v>185</v>
      </c>
      <c r="G363" t="s">
        <v>50</v>
      </c>
      <c r="H363">
        <v>4300009261</v>
      </c>
      <c r="I363">
        <v>0.01</v>
      </c>
      <c r="J363">
        <v>0</v>
      </c>
      <c r="K363" t="s">
        <v>22</v>
      </c>
      <c r="L363" t="s">
        <v>23</v>
      </c>
      <c r="M363" t="s">
        <v>24</v>
      </c>
      <c r="N363" t="s">
        <v>25</v>
      </c>
      <c r="O363">
        <v>0</v>
      </c>
      <c r="Q363" t="str">
        <f t="shared" si="10"/>
        <v/>
      </c>
      <c r="R363" t="str">
        <f t="shared" si="11"/>
        <v/>
      </c>
    </row>
    <row r="364" spans="1:18" x14ac:dyDescent="0.35">
      <c r="A364">
        <v>52405</v>
      </c>
      <c r="B364" t="s">
        <v>167</v>
      </c>
      <c r="C364" s="217">
        <v>46098</v>
      </c>
      <c r="D364">
        <v>2082</v>
      </c>
      <c r="E364" t="s">
        <v>184</v>
      </c>
      <c r="F364" t="s">
        <v>185</v>
      </c>
      <c r="G364" t="s">
        <v>50</v>
      </c>
      <c r="H364">
        <v>4300009314</v>
      </c>
      <c r="I364">
        <v>0.01</v>
      </c>
      <c r="J364">
        <v>0</v>
      </c>
      <c r="K364" t="s">
        <v>22</v>
      </c>
      <c r="L364" t="s">
        <v>23</v>
      </c>
      <c r="M364" t="s">
        <v>24</v>
      </c>
      <c r="N364" t="s">
        <v>25</v>
      </c>
      <c r="O364">
        <v>0</v>
      </c>
      <c r="Q364" t="str">
        <f t="shared" si="10"/>
        <v/>
      </c>
      <c r="R364" t="str">
        <f t="shared" si="11"/>
        <v/>
      </c>
    </row>
    <row r="365" spans="1:18" x14ac:dyDescent="0.35">
      <c r="A365">
        <v>52405</v>
      </c>
      <c r="B365" t="s">
        <v>167</v>
      </c>
      <c r="C365" s="217">
        <v>46101</v>
      </c>
      <c r="D365">
        <v>1811</v>
      </c>
      <c r="E365" t="s">
        <v>186</v>
      </c>
      <c r="F365" t="s">
        <v>187</v>
      </c>
      <c r="G365" t="s">
        <v>50</v>
      </c>
      <c r="H365">
        <v>1400008956</v>
      </c>
      <c r="I365">
        <v>0.01</v>
      </c>
      <c r="J365">
        <v>0</v>
      </c>
      <c r="K365" t="s">
        <v>22</v>
      </c>
      <c r="L365" t="s">
        <v>23</v>
      </c>
      <c r="M365" t="s">
        <v>24</v>
      </c>
      <c r="N365" t="s">
        <v>25</v>
      </c>
      <c r="O365">
        <v>0</v>
      </c>
      <c r="Q365" t="str">
        <f t="shared" si="10"/>
        <v/>
      </c>
      <c r="R365" t="str">
        <f t="shared" si="11"/>
        <v/>
      </c>
    </row>
    <row r="366" spans="1:18" x14ac:dyDescent="0.35">
      <c r="A366">
        <v>52405</v>
      </c>
      <c r="B366" t="s">
        <v>167</v>
      </c>
      <c r="C366" s="217">
        <v>46111</v>
      </c>
      <c r="D366">
        <v>2347</v>
      </c>
      <c r="E366" t="s">
        <v>184</v>
      </c>
      <c r="F366" t="s">
        <v>185</v>
      </c>
      <c r="G366" t="s">
        <v>50</v>
      </c>
      <c r="H366">
        <v>4300009384</v>
      </c>
      <c r="I366">
        <v>0.01</v>
      </c>
      <c r="J366">
        <v>0</v>
      </c>
      <c r="K366" t="s">
        <v>22</v>
      </c>
      <c r="L366" t="s">
        <v>23</v>
      </c>
      <c r="M366" t="s">
        <v>24</v>
      </c>
      <c r="N366" t="s">
        <v>25</v>
      </c>
      <c r="O366">
        <v>0</v>
      </c>
      <c r="Q366" t="str">
        <f t="shared" si="10"/>
        <v/>
      </c>
      <c r="R366" t="str">
        <f t="shared" si="11"/>
        <v/>
      </c>
    </row>
    <row r="367" spans="1:18" x14ac:dyDescent="0.35">
      <c r="A367">
        <v>52405</v>
      </c>
      <c r="B367" t="s">
        <v>167</v>
      </c>
      <c r="C367" s="217">
        <v>46126</v>
      </c>
      <c r="D367">
        <v>2367</v>
      </c>
      <c r="E367" t="s">
        <v>188</v>
      </c>
      <c r="F367" t="s">
        <v>189</v>
      </c>
      <c r="G367" t="s">
        <v>50</v>
      </c>
      <c r="H367">
        <v>2200055088</v>
      </c>
      <c r="I367">
        <v>0.03</v>
      </c>
      <c r="J367">
        <v>0</v>
      </c>
      <c r="K367" t="s">
        <v>22</v>
      </c>
      <c r="L367" t="s">
        <v>23</v>
      </c>
      <c r="M367" t="s">
        <v>24</v>
      </c>
      <c r="N367" t="s">
        <v>25</v>
      </c>
      <c r="O367">
        <v>0</v>
      </c>
      <c r="Q367" t="str">
        <f t="shared" si="10"/>
        <v/>
      </c>
      <c r="R367" t="str">
        <f t="shared" si="11"/>
        <v/>
      </c>
    </row>
    <row r="368" spans="1:18" x14ac:dyDescent="0.35">
      <c r="A368">
        <v>52405</v>
      </c>
      <c r="B368" t="s">
        <v>167</v>
      </c>
      <c r="C368" s="217">
        <v>46147</v>
      </c>
      <c r="D368">
        <v>2620</v>
      </c>
      <c r="E368" t="s">
        <v>190</v>
      </c>
      <c r="F368" t="s">
        <v>191</v>
      </c>
      <c r="G368" t="s">
        <v>50</v>
      </c>
      <c r="H368">
        <v>900003209</v>
      </c>
      <c r="I368">
        <v>0.01</v>
      </c>
      <c r="J368">
        <v>0</v>
      </c>
      <c r="K368" t="s">
        <v>22</v>
      </c>
      <c r="L368" t="s">
        <v>23</v>
      </c>
      <c r="M368" t="s">
        <v>24</v>
      </c>
      <c r="N368" t="s">
        <v>25</v>
      </c>
      <c r="O368">
        <v>0</v>
      </c>
      <c r="Q368" t="str">
        <f t="shared" si="10"/>
        <v/>
      </c>
      <c r="R368" t="str">
        <f t="shared" si="11"/>
        <v/>
      </c>
    </row>
    <row r="369" spans="1:18" x14ac:dyDescent="0.35">
      <c r="A369">
        <v>53001</v>
      </c>
      <c r="B369" t="s">
        <v>192</v>
      </c>
      <c r="C369" s="217">
        <v>45705</v>
      </c>
      <c r="D369">
        <v>1462</v>
      </c>
      <c r="E369" t="s">
        <v>193</v>
      </c>
      <c r="F369" t="s">
        <v>194</v>
      </c>
      <c r="G369" t="s">
        <v>50</v>
      </c>
      <c r="H369">
        <v>600010802</v>
      </c>
      <c r="I369">
        <v>4462.8100000000004</v>
      </c>
      <c r="J369">
        <v>0</v>
      </c>
      <c r="K369" t="s">
        <v>22</v>
      </c>
      <c r="L369" t="s">
        <v>23</v>
      </c>
      <c r="M369" t="s">
        <v>24</v>
      </c>
      <c r="N369" t="s">
        <v>25</v>
      </c>
      <c r="O369">
        <v>0</v>
      </c>
      <c r="Q369" t="str">
        <f t="shared" si="10"/>
        <v/>
      </c>
      <c r="R369" t="str">
        <f t="shared" si="11"/>
        <v/>
      </c>
    </row>
    <row r="370" spans="1:18" x14ac:dyDescent="0.35">
      <c r="A370">
        <v>53001</v>
      </c>
      <c r="B370" t="s">
        <v>192</v>
      </c>
      <c r="C370" s="217">
        <v>45707</v>
      </c>
      <c r="D370">
        <v>1463</v>
      </c>
      <c r="E370" t="s">
        <v>195</v>
      </c>
      <c r="F370" t="s">
        <v>196</v>
      </c>
      <c r="G370" t="s">
        <v>50</v>
      </c>
      <c r="H370">
        <v>500000403</v>
      </c>
      <c r="I370">
        <v>23307</v>
      </c>
      <c r="J370">
        <v>0</v>
      </c>
      <c r="K370" t="s">
        <v>22</v>
      </c>
      <c r="L370" t="s">
        <v>23</v>
      </c>
      <c r="M370" t="s">
        <v>24</v>
      </c>
      <c r="N370" t="s">
        <v>25</v>
      </c>
      <c r="O370">
        <v>0</v>
      </c>
      <c r="Q370" t="str">
        <f t="shared" si="10"/>
        <v/>
      </c>
      <c r="R370" t="str">
        <f t="shared" si="11"/>
        <v/>
      </c>
    </row>
    <row r="371" spans="1:18" x14ac:dyDescent="0.35">
      <c r="A371">
        <v>53001</v>
      </c>
      <c r="B371" t="s">
        <v>192</v>
      </c>
      <c r="C371" s="217">
        <v>45707</v>
      </c>
      <c r="D371">
        <v>1464</v>
      </c>
      <c r="E371" t="s">
        <v>197</v>
      </c>
      <c r="F371" t="s">
        <v>194</v>
      </c>
      <c r="G371" t="s">
        <v>50</v>
      </c>
      <c r="H371">
        <v>600010818</v>
      </c>
      <c r="I371">
        <v>17851.240000000002</v>
      </c>
      <c r="J371">
        <v>0</v>
      </c>
      <c r="K371" t="s">
        <v>22</v>
      </c>
      <c r="L371" t="s">
        <v>23</v>
      </c>
      <c r="M371" t="s">
        <v>24</v>
      </c>
      <c r="N371" t="s">
        <v>25</v>
      </c>
      <c r="O371">
        <v>0</v>
      </c>
      <c r="Q371" t="str">
        <f t="shared" si="10"/>
        <v/>
      </c>
      <c r="R371" t="str">
        <f t="shared" si="11"/>
        <v/>
      </c>
    </row>
    <row r="372" spans="1:18" x14ac:dyDescent="0.35">
      <c r="A372">
        <v>53001</v>
      </c>
      <c r="B372" t="s">
        <v>192</v>
      </c>
      <c r="C372" s="217">
        <v>45708</v>
      </c>
      <c r="D372">
        <v>1467</v>
      </c>
      <c r="E372" t="s">
        <v>197</v>
      </c>
      <c r="F372" t="s">
        <v>194</v>
      </c>
      <c r="G372" t="s">
        <v>50</v>
      </c>
      <c r="H372">
        <v>600010837</v>
      </c>
      <c r="I372">
        <v>3553.72</v>
      </c>
      <c r="J372">
        <v>0</v>
      </c>
      <c r="K372" t="s">
        <v>22</v>
      </c>
      <c r="L372" t="s">
        <v>23</v>
      </c>
      <c r="M372" t="s">
        <v>24</v>
      </c>
      <c r="N372" t="s">
        <v>25</v>
      </c>
      <c r="O372">
        <v>0</v>
      </c>
      <c r="Q372" t="str">
        <f t="shared" si="10"/>
        <v/>
      </c>
      <c r="R372" t="str">
        <f t="shared" si="11"/>
        <v/>
      </c>
    </row>
    <row r="373" spans="1:18" x14ac:dyDescent="0.35">
      <c r="A373">
        <v>53001</v>
      </c>
      <c r="B373" t="s">
        <v>192</v>
      </c>
      <c r="C373" s="217">
        <v>45709</v>
      </c>
      <c r="D373">
        <v>1163</v>
      </c>
      <c r="E373" t="s">
        <v>198</v>
      </c>
      <c r="F373" t="s">
        <v>28</v>
      </c>
      <c r="G373" t="s">
        <v>41</v>
      </c>
      <c r="H373">
        <v>6577</v>
      </c>
      <c r="I373">
        <v>9000</v>
      </c>
      <c r="J373">
        <v>0</v>
      </c>
      <c r="K373" t="s">
        <v>22</v>
      </c>
      <c r="L373" t="s">
        <v>23</v>
      </c>
      <c r="M373" t="s">
        <v>24</v>
      </c>
      <c r="N373" t="s">
        <v>25</v>
      </c>
      <c r="O373">
        <v>0</v>
      </c>
      <c r="Q373" t="str">
        <f t="shared" si="10"/>
        <v/>
      </c>
      <c r="R373" t="str">
        <f t="shared" si="11"/>
        <v/>
      </c>
    </row>
    <row r="374" spans="1:18" x14ac:dyDescent="0.35">
      <c r="A374">
        <v>53001</v>
      </c>
      <c r="B374" t="s">
        <v>192</v>
      </c>
      <c r="C374" s="217">
        <v>45709</v>
      </c>
      <c r="D374">
        <v>1164</v>
      </c>
      <c r="E374" t="s">
        <v>198</v>
      </c>
      <c r="F374" t="s">
        <v>28</v>
      </c>
      <c r="G374" t="s">
        <v>41</v>
      </c>
      <c r="H374">
        <v>6578</v>
      </c>
      <c r="I374">
        <v>7600.01</v>
      </c>
      <c r="J374">
        <v>0</v>
      </c>
      <c r="K374" t="s">
        <v>22</v>
      </c>
      <c r="L374" t="s">
        <v>23</v>
      </c>
      <c r="M374" t="s">
        <v>24</v>
      </c>
      <c r="N374" t="s">
        <v>25</v>
      </c>
      <c r="O374">
        <v>0</v>
      </c>
      <c r="Q374" t="str">
        <f t="shared" si="10"/>
        <v/>
      </c>
      <c r="R374" t="str">
        <f t="shared" si="11"/>
        <v/>
      </c>
    </row>
    <row r="375" spans="1:18" x14ac:dyDescent="0.35">
      <c r="A375">
        <v>53001</v>
      </c>
      <c r="B375" t="s">
        <v>192</v>
      </c>
      <c r="C375" s="217">
        <v>45709</v>
      </c>
      <c r="D375">
        <v>1468</v>
      </c>
      <c r="E375" t="s">
        <v>199</v>
      </c>
      <c r="F375" t="s">
        <v>200</v>
      </c>
      <c r="G375" t="s">
        <v>50</v>
      </c>
      <c r="H375">
        <v>500000619</v>
      </c>
      <c r="I375">
        <v>7438.02</v>
      </c>
      <c r="J375">
        <v>0</v>
      </c>
      <c r="K375" t="s">
        <v>22</v>
      </c>
      <c r="L375" t="s">
        <v>23</v>
      </c>
      <c r="M375" t="s">
        <v>24</v>
      </c>
      <c r="N375" t="s">
        <v>25</v>
      </c>
      <c r="O375">
        <v>0</v>
      </c>
      <c r="Q375" t="str">
        <f t="shared" si="10"/>
        <v/>
      </c>
      <c r="R375" t="str">
        <f t="shared" si="11"/>
        <v/>
      </c>
    </row>
    <row r="376" spans="1:18" x14ac:dyDescent="0.35">
      <c r="A376">
        <v>53001</v>
      </c>
      <c r="B376" t="s">
        <v>192</v>
      </c>
      <c r="C376" s="217">
        <v>45709</v>
      </c>
      <c r="D376">
        <v>1470</v>
      </c>
      <c r="E376" t="s">
        <v>201</v>
      </c>
      <c r="F376" t="s">
        <v>202</v>
      </c>
      <c r="G376" t="s">
        <v>50</v>
      </c>
      <c r="H376">
        <v>300005764</v>
      </c>
      <c r="I376">
        <v>5355.37</v>
      </c>
      <c r="J376">
        <v>0</v>
      </c>
      <c r="K376" t="s">
        <v>22</v>
      </c>
      <c r="L376" t="s">
        <v>23</v>
      </c>
      <c r="M376" t="s">
        <v>24</v>
      </c>
      <c r="N376" t="s">
        <v>25</v>
      </c>
      <c r="O376">
        <v>0</v>
      </c>
      <c r="Q376" t="str">
        <f t="shared" si="10"/>
        <v/>
      </c>
      <c r="R376" t="str">
        <f t="shared" si="11"/>
        <v/>
      </c>
    </row>
    <row r="377" spans="1:18" x14ac:dyDescent="0.35">
      <c r="A377">
        <v>53001</v>
      </c>
      <c r="B377" t="s">
        <v>192</v>
      </c>
      <c r="C377" s="217">
        <v>45713</v>
      </c>
      <c r="D377">
        <v>1472</v>
      </c>
      <c r="E377" t="s">
        <v>203</v>
      </c>
      <c r="F377" t="s">
        <v>200</v>
      </c>
      <c r="G377" t="s">
        <v>50</v>
      </c>
      <c r="H377">
        <v>500000635</v>
      </c>
      <c r="I377">
        <v>6281</v>
      </c>
      <c r="J377">
        <v>0</v>
      </c>
      <c r="K377" t="s">
        <v>22</v>
      </c>
      <c r="L377" t="s">
        <v>23</v>
      </c>
      <c r="M377" t="s">
        <v>24</v>
      </c>
      <c r="N377" t="s">
        <v>25</v>
      </c>
      <c r="O377">
        <v>0</v>
      </c>
      <c r="Q377" t="str">
        <f t="shared" si="10"/>
        <v/>
      </c>
      <c r="R377" t="str">
        <f t="shared" si="11"/>
        <v/>
      </c>
    </row>
    <row r="378" spans="1:18" x14ac:dyDescent="0.35">
      <c r="A378">
        <v>53001</v>
      </c>
      <c r="B378" t="s">
        <v>192</v>
      </c>
      <c r="C378" s="217">
        <v>45716</v>
      </c>
      <c r="D378">
        <v>592</v>
      </c>
      <c r="E378" t="s">
        <v>204</v>
      </c>
      <c r="F378" t="s">
        <v>28</v>
      </c>
      <c r="G378" t="s">
        <v>41</v>
      </c>
      <c r="H378">
        <v>6018</v>
      </c>
      <c r="I378">
        <v>100000</v>
      </c>
      <c r="J378">
        <v>0</v>
      </c>
      <c r="K378" t="s">
        <v>22</v>
      </c>
      <c r="L378" t="s">
        <v>23</v>
      </c>
      <c r="M378" t="s">
        <v>24</v>
      </c>
      <c r="N378" t="s">
        <v>25</v>
      </c>
      <c r="O378">
        <v>0</v>
      </c>
      <c r="Q378" t="str">
        <f t="shared" si="10"/>
        <v/>
      </c>
      <c r="R378" t="str">
        <f t="shared" si="11"/>
        <v/>
      </c>
    </row>
    <row r="379" spans="1:18" x14ac:dyDescent="0.35">
      <c r="A379">
        <v>53001</v>
      </c>
      <c r="B379" t="s">
        <v>192</v>
      </c>
      <c r="C379" s="217">
        <v>45716</v>
      </c>
      <c r="D379">
        <v>593</v>
      </c>
      <c r="E379" t="s">
        <v>205</v>
      </c>
      <c r="F379" t="s">
        <v>28</v>
      </c>
      <c r="G379" t="s">
        <v>41</v>
      </c>
      <c r="H379">
        <v>6019</v>
      </c>
      <c r="I379">
        <v>100000</v>
      </c>
      <c r="J379">
        <v>0</v>
      </c>
      <c r="K379" t="s">
        <v>22</v>
      </c>
      <c r="L379" t="s">
        <v>23</v>
      </c>
      <c r="M379" t="s">
        <v>24</v>
      </c>
      <c r="N379" t="s">
        <v>25</v>
      </c>
      <c r="O379">
        <v>0</v>
      </c>
      <c r="Q379" t="str">
        <f t="shared" si="10"/>
        <v/>
      </c>
      <c r="R379" t="str">
        <f t="shared" si="11"/>
        <v/>
      </c>
    </row>
    <row r="380" spans="1:18" x14ac:dyDescent="0.35">
      <c r="A380">
        <v>53001</v>
      </c>
      <c r="B380" t="s">
        <v>192</v>
      </c>
      <c r="C380" s="217">
        <v>45716</v>
      </c>
      <c r="D380">
        <v>594</v>
      </c>
      <c r="E380" t="s">
        <v>206</v>
      </c>
      <c r="F380" t="s">
        <v>28</v>
      </c>
      <c r="G380" t="s">
        <v>41</v>
      </c>
      <c r="H380">
        <v>6020</v>
      </c>
      <c r="I380">
        <v>100000</v>
      </c>
      <c r="J380">
        <v>0</v>
      </c>
      <c r="K380" t="s">
        <v>22</v>
      </c>
      <c r="L380" t="s">
        <v>23</v>
      </c>
      <c r="M380" t="s">
        <v>24</v>
      </c>
      <c r="N380" t="s">
        <v>25</v>
      </c>
      <c r="O380">
        <v>0</v>
      </c>
      <c r="Q380" t="str">
        <f t="shared" si="10"/>
        <v/>
      </c>
      <c r="R380" t="str">
        <f t="shared" si="11"/>
        <v/>
      </c>
    </row>
    <row r="381" spans="1:18" x14ac:dyDescent="0.35">
      <c r="A381">
        <v>53001</v>
      </c>
      <c r="B381" t="s">
        <v>192</v>
      </c>
      <c r="C381" s="217">
        <v>45722</v>
      </c>
      <c r="D381">
        <v>1945</v>
      </c>
      <c r="E381" t="s">
        <v>207</v>
      </c>
      <c r="F381" t="s">
        <v>208</v>
      </c>
      <c r="G381" t="s">
        <v>50</v>
      </c>
      <c r="H381">
        <v>1400064174</v>
      </c>
      <c r="I381">
        <v>9092.01</v>
      </c>
      <c r="J381">
        <v>0</v>
      </c>
      <c r="K381" t="s">
        <v>22</v>
      </c>
      <c r="L381" t="s">
        <v>23</v>
      </c>
      <c r="M381" t="s">
        <v>24</v>
      </c>
      <c r="N381" t="s">
        <v>25</v>
      </c>
      <c r="O381">
        <v>0</v>
      </c>
      <c r="Q381" t="str">
        <f t="shared" si="10"/>
        <v/>
      </c>
      <c r="R381" t="str">
        <f t="shared" si="11"/>
        <v/>
      </c>
    </row>
    <row r="382" spans="1:18" x14ac:dyDescent="0.35">
      <c r="A382">
        <v>53001</v>
      </c>
      <c r="B382" t="s">
        <v>192</v>
      </c>
      <c r="C382" s="217">
        <v>45723</v>
      </c>
      <c r="D382">
        <v>1804</v>
      </c>
      <c r="E382" t="s">
        <v>209</v>
      </c>
      <c r="F382" t="s">
        <v>171</v>
      </c>
      <c r="G382" t="s">
        <v>50</v>
      </c>
      <c r="H382">
        <v>200011812</v>
      </c>
      <c r="I382">
        <v>2254328.19</v>
      </c>
      <c r="J382">
        <v>0</v>
      </c>
      <c r="K382" t="s">
        <v>22</v>
      </c>
      <c r="L382" t="s">
        <v>23</v>
      </c>
      <c r="M382" t="s">
        <v>24</v>
      </c>
      <c r="N382" t="s">
        <v>25</v>
      </c>
      <c r="O382">
        <v>0</v>
      </c>
      <c r="Q382" t="str">
        <f t="shared" si="10"/>
        <v/>
      </c>
      <c r="R382" t="str">
        <f t="shared" si="11"/>
        <v/>
      </c>
    </row>
    <row r="383" spans="1:18" x14ac:dyDescent="0.35">
      <c r="A383">
        <v>53001</v>
      </c>
      <c r="B383" t="s">
        <v>192</v>
      </c>
      <c r="C383" s="217">
        <v>45726</v>
      </c>
      <c r="D383">
        <v>1168</v>
      </c>
      <c r="E383" t="s">
        <v>198</v>
      </c>
      <c r="F383" t="s">
        <v>28</v>
      </c>
      <c r="G383" t="s">
        <v>41</v>
      </c>
      <c r="H383">
        <v>6582</v>
      </c>
      <c r="I383">
        <v>12800</v>
      </c>
      <c r="J383">
        <v>0</v>
      </c>
      <c r="K383" t="s">
        <v>22</v>
      </c>
      <c r="L383" t="s">
        <v>23</v>
      </c>
      <c r="M383" t="s">
        <v>24</v>
      </c>
      <c r="N383" t="s">
        <v>25</v>
      </c>
      <c r="O383">
        <v>0</v>
      </c>
      <c r="Q383" t="str">
        <f t="shared" si="10"/>
        <v/>
      </c>
      <c r="R383" t="str">
        <f t="shared" si="11"/>
        <v/>
      </c>
    </row>
    <row r="384" spans="1:18" x14ac:dyDescent="0.35">
      <c r="A384">
        <v>53001</v>
      </c>
      <c r="B384" t="s">
        <v>192</v>
      </c>
      <c r="C384" s="217">
        <v>45726</v>
      </c>
      <c r="D384">
        <v>1946</v>
      </c>
      <c r="E384" t="s">
        <v>210</v>
      </c>
      <c r="F384" t="s">
        <v>211</v>
      </c>
      <c r="G384" t="s">
        <v>50</v>
      </c>
      <c r="H384">
        <v>400000327</v>
      </c>
      <c r="I384">
        <v>10578.51</v>
      </c>
      <c r="J384">
        <v>0</v>
      </c>
      <c r="K384" t="s">
        <v>22</v>
      </c>
      <c r="L384" t="s">
        <v>23</v>
      </c>
      <c r="M384" t="s">
        <v>24</v>
      </c>
      <c r="N384" t="s">
        <v>25</v>
      </c>
      <c r="O384">
        <v>0</v>
      </c>
      <c r="Q384" t="str">
        <f t="shared" si="10"/>
        <v/>
      </c>
      <c r="R384" t="str">
        <f t="shared" si="11"/>
        <v/>
      </c>
    </row>
    <row r="385" spans="1:18" x14ac:dyDescent="0.35">
      <c r="A385">
        <v>53001</v>
      </c>
      <c r="B385" t="s">
        <v>192</v>
      </c>
      <c r="C385" s="217">
        <v>45727</v>
      </c>
      <c r="D385">
        <v>1171</v>
      </c>
      <c r="E385" t="s">
        <v>198</v>
      </c>
      <c r="F385" t="s">
        <v>28</v>
      </c>
      <c r="G385" t="s">
        <v>41</v>
      </c>
      <c r="H385">
        <v>6585</v>
      </c>
      <c r="I385">
        <v>6999.97</v>
      </c>
      <c r="J385">
        <v>0</v>
      </c>
      <c r="K385" t="s">
        <v>22</v>
      </c>
      <c r="L385" t="s">
        <v>23</v>
      </c>
      <c r="M385" t="s">
        <v>24</v>
      </c>
      <c r="N385" t="s">
        <v>25</v>
      </c>
      <c r="O385">
        <v>0</v>
      </c>
      <c r="Q385" t="str">
        <f t="shared" si="10"/>
        <v/>
      </c>
      <c r="R385" t="str">
        <f t="shared" si="11"/>
        <v/>
      </c>
    </row>
    <row r="386" spans="1:18" x14ac:dyDescent="0.35">
      <c r="A386">
        <v>53001</v>
      </c>
      <c r="B386" t="s">
        <v>192</v>
      </c>
      <c r="C386" s="217">
        <v>45727</v>
      </c>
      <c r="D386">
        <v>1947</v>
      </c>
      <c r="E386" t="s">
        <v>195</v>
      </c>
      <c r="F386" t="s">
        <v>196</v>
      </c>
      <c r="G386" t="s">
        <v>50</v>
      </c>
      <c r="H386">
        <v>1000000052</v>
      </c>
      <c r="I386">
        <v>11984</v>
      </c>
      <c r="J386">
        <v>0</v>
      </c>
      <c r="K386" t="s">
        <v>22</v>
      </c>
      <c r="L386" t="s">
        <v>23</v>
      </c>
      <c r="M386" t="s">
        <v>24</v>
      </c>
      <c r="N386" t="s">
        <v>25</v>
      </c>
      <c r="O386">
        <v>0</v>
      </c>
      <c r="Q386" t="str">
        <f t="shared" ref="Q386:Q449" si="12">IFERROR(TRIM(LEFT($E386,FIND(" | ",$E386)-1)),"")</f>
        <v/>
      </c>
      <c r="R386" t="str">
        <f t="shared" ref="R386:R449" si="13">IFERROR(TRIM(UPPER(MID($E386,FIND(" | ",$E386)+3,IFERROR(FIND(" | ",$E386,FIND(" | ",$E386)+3),LEN($E386)+1)-FIND(" | ",$E386)-3))),"")</f>
        <v/>
      </c>
    </row>
    <row r="387" spans="1:18" x14ac:dyDescent="0.35">
      <c r="A387">
        <v>53001</v>
      </c>
      <c r="B387" t="s">
        <v>192</v>
      </c>
      <c r="C387" s="217">
        <v>45727</v>
      </c>
      <c r="D387">
        <v>1948</v>
      </c>
      <c r="E387" t="s">
        <v>195</v>
      </c>
      <c r="F387" t="s">
        <v>196</v>
      </c>
      <c r="G387" t="s">
        <v>50</v>
      </c>
      <c r="H387">
        <v>500000418</v>
      </c>
      <c r="I387">
        <v>2892.6</v>
      </c>
      <c r="J387">
        <v>0</v>
      </c>
      <c r="K387" t="s">
        <v>22</v>
      </c>
      <c r="L387" t="s">
        <v>23</v>
      </c>
      <c r="M387" t="s">
        <v>24</v>
      </c>
      <c r="N387" t="s">
        <v>25</v>
      </c>
      <c r="O387">
        <v>0</v>
      </c>
      <c r="Q387" t="str">
        <f t="shared" si="12"/>
        <v/>
      </c>
      <c r="R387" t="str">
        <f t="shared" si="13"/>
        <v/>
      </c>
    </row>
    <row r="388" spans="1:18" x14ac:dyDescent="0.35">
      <c r="A388">
        <v>53001</v>
      </c>
      <c r="B388" t="s">
        <v>192</v>
      </c>
      <c r="C388" s="217">
        <v>45727</v>
      </c>
      <c r="D388">
        <v>1949</v>
      </c>
      <c r="E388" t="s">
        <v>210</v>
      </c>
      <c r="F388" t="s">
        <v>211</v>
      </c>
      <c r="G388" t="s">
        <v>50</v>
      </c>
      <c r="H388">
        <v>400000328</v>
      </c>
      <c r="I388">
        <v>5785.1</v>
      </c>
      <c r="J388">
        <v>0</v>
      </c>
      <c r="K388" t="s">
        <v>22</v>
      </c>
      <c r="L388" t="s">
        <v>23</v>
      </c>
      <c r="M388" t="s">
        <v>24</v>
      </c>
      <c r="N388" t="s">
        <v>25</v>
      </c>
      <c r="O388">
        <v>0</v>
      </c>
      <c r="Q388" t="str">
        <f t="shared" si="12"/>
        <v/>
      </c>
      <c r="R388" t="str">
        <f t="shared" si="13"/>
        <v/>
      </c>
    </row>
    <row r="389" spans="1:18" x14ac:dyDescent="0.35">
      <c r="A389">
        <v>53001</v>
      </c>
      <c r="B389" t="s">
        <v>192</v>
      </c>
      <c r="C389" s="217">
        <v>45727</v>
      </c>
      <c r="D389">
        <v>1950</v>
      </c>
      <c r="E389" t="s">
        <v>195</v>
      </c>
      <c r="F389" t="s">
        <v>196</v>
      </c>
      <c r="G389" t="s">
        <v>50</v>
      </c>
      <c r="H389">
        <v>1000000051</v>
      </c>
      <c r="I389">
        <v>8762</v>
      </c>
      <c r="J389">
        <v>0</v>
      </c>
      <c r="K389" t="s">
        <v>22</v>
      </c>
      <c r="L389" t="s">
        <v>23</v>
      </c>
      <c r="M389" t="s">
        <v>24</v>
      </c>
      <c r="N389" t="s">
        <v>25</v>
      </c>
      <c r="O389">
        <v>0</v>
      </c>
      <c r="Q389" t="str">
        <f t="shared" si="12"/>
        <v/>
      </c>
      <c r="R389" t="str">
        <f t="shared" si="13"/>
        <v/>
      </c>
    </row>
    <row r="390" spans="1:18" x14ac:dyDescent="0.35">
      <c r="A390">
        <v>53001</v>
      </c>
      <c r="B390" t="s">
        <v>192</v>
      </c>
      <c r="C390" s="217">
        <v>45736</v>
      </c>
      <c r="D390">
        <v>1746</v>
      </c>
      <c r="E390" t="s">
        <v>212</v>
      </c>
      <c r="F390" t="s">
        <v>187</v>
      </c>
      <c r="G390" t="s">
        <v>50</v>
      </c>
      <c r="H390">
        <v>1400007323</v>
      </c>
      <c r="I390">
        <v>120800.1</v>
      </c>
      <c r="J390">
        <v>0</v>
      </c>
      <c r="K390" t="s">
        <v>22</v>
      </c>
      <c r="L390" t="s">
        <v>23</v>
      </c>
      <c r="M390" t="s">
        <v>24</v>
      </c>
      <c r="N390" t="s">
        <v>25</v>
      </c>
      <c r="O390">
        <v>0</v>
      </c>
      <c r="Q390" t="str">
        <f t="shared" si="12"/>
        <v/>
      </c>
      <c r="R390" t="str">
        <f t="shared" si="13"/>
        <v/>
      </c>
    </row>
    <row r="391" spans="1:18" x14ac:dyDescent="0.35">
      <c r="A391">
        <v>53001</v>
      </c>
      <c r="B391" t="s">
        <v>192</v>
      </c>
      <c r="C391" s="217">
        <v>45750</v>
      </c>
      <c r="D391">
        <v>2214</v>
      </c>
      <c r="E391" t="s">
        <v>213</v>
      </c>
      <c r="F391" t="s">
        <v>69</v>
      </c>
      <c r="G391" t="s">
        <v>50</v>
      </c>
      <c r="H391">
        <v>136500001451</v>
      </c>
      <c r="I391">
        <v>1971.07</v>
      </c>
      <c r="J391">
        <v>0</v>
      </c>
      <c r="K391" t="s">
        <v>22</v>
      </c>
      <c r="L391" t="s">
        <v>23</v>
      </c>
      <c r="M391" t="s">
        <v>24</v>
      </c>
      <c r="N391" t="s">
        <v>25</v>
      </c>
      <c r="O391">
        <v>0</v>
      </c>
      <c r="Q391" t="str">
        <f t="shared" si="12"/>
        <v/>
      </c>
      <c r="R391" t="str">
        <f t="shared" si="13"/>
        <v/>
      </c>
    </row>
    <row r="392" spans="1:18" x14ac:dyDescent="0.35">
      <c r="A392">
        <v>53001</v>
      </c>
      <c r="B392" t="s">
        <v>192</v>
      </c>
      <c r="C392" s="217">
        <v>45761</v>
      </c>
      <c r="D392">
        <v>2217</v>
      </c>
      <c r="E392" t="s">
        <v>214</v>
      </c>
      <c r="F392" t="s">
        <v>200</v>
      </c>
      <c r="G392" t="s">
        <v>50</v>
      </c>
      <c r="H392">
        <v>500000968</v>
      </c>
      <c r="I392">
        <v>7438.02</v>
      </c>
      <c r="J392">
        <v>0</v>
      </c>
      <c r="K392" t="s">
        <v>22</v>
      </c>
      <c r="L392" t="s">
        <v>23</v>
      </c>
      <c r="M392" t="s">
        <v>24</v>
      </c>
      <c r="N392" t="s">
        <v>25</v>
      </c>
      <c r="O392">
        <v>0</v>
      </c>
      <c r="Q392" t="str">
        <f t="shared" si="12"/>
        <v/>
      </c>
      <c r="R392" t="str">
        <f t="shared" si="13"/>
        <v/>
      </c>
    </row>
    <row r="393" spans="1:18" x14ac:dyDescent="0.35">
      <c r="A393">
        <v>53001</v>
      </c>
      <c r="B393" t="s">
        <v>192</v>
      </c>
      <c r="C393" s="217">
        <v>45764</v>
      </c>
      <c r="D393">
        <v>2225</v>
      </c>
      <c r="E393" t="s">
        <v>213</v>
      </c>
      <c r="F393" t="s">
        <v>69</v>
      </c>
      <c r="G393" t="s">
        <v>50</v>
      </c>
      <c r="H393">
        <v>1165500001212</v>
      </c>
      <c r="I393">
        <v>4805.78</v>
      </c>
      <c r="J393">
        <v>0</v>
      </c>
      <c r="K393" t="s">
        <v>22</v>
      </c>
      <c r="L393" t="s">
        <v>23</v>
      </c>
      <c r="M393" t="s">
        <v>24</v>
      </c>
      <c r="N393" t="s">
        <v>25</v>
      </c>
      <c r="O393">
        <v>0</v>
      </c>
      <c r="Q393" t="str">
        <f t="shared" si="12"/>
        <v/>
      </c>
      <c r="R393" t="str">
        <f t="shared" si="13"/>
        <v/>
      </c>
    </row>
    <row r="394" spans="1:18" x14ac:dyDescent="0.35">
      <c r="A394">
        <v>53001</v>
      </c>
      <c r="B394" t="s">
        <v>192</v>
      </c>
      <c r="C394" s="217">
        <v>45838</v>
      </c>
      <c r="D394">
        <v>3467</v>
      </c>
      <c r="E394" t="s">
        <v>215</v>
      </c>
      <c r="F394" t="s">
        <v>176</v>
      </c>
      <c r="G394" t="s">
        <v>50</v>
      </c>
      <c r="H394">
        <v>300007032</v>
      </c>
      <c r="I394">
        <v>92816.22</v>
      </c>
      <c r="J394">
        <v>0</v>
      </c>
      <c r="K394" t="s">
        <v>22</v>
      </c>
      <c r="L394" t="s">
        <v>23</v>
      </c>
      <c r="M394" t="s">
        <v>24</v>
      </c>
      <c r="N394" t="s">
        <v>25</v>
      </c>
      <c r="O394">
        <v>0</v>
      </c>
      <c r="Q394" t="str">
        <f t="shared" si="12"/>
        <v/>
      </c>
      <c r="R394" t="str">
        <f t="shared" si="13"/>
        <v/>
      </c>
    </row>
    <row r="395" spans="1:18" x14ac:dyDescent="0.35">
      <c r="A395">
        <v>53001</v>
      </c>
      <c r="B395" t="s">
        <v>192</v>
      </c>
      <c r="C395" s="217">
        <v>45856</v>
      </c>
      <c r="D395">
        <v>3837</v>
      </c>
      <c r="E395" t="s">
        <v>195</v>
      </c>
      <c r="F395" t="s">
        <v>196</v>
      </c>
      <c r="G395" t="s">
        <v>50</v>
      </c>
      <c r="H395">
        <v>1000000100</v>
      </c>
      <c r="I395">
        <v>6364</v>
      </c>
      <c r="J395">
        <v>0</v>
      </c>
      <c r="K395" t="s">
        <v>22</v>
      </c>
      <c r="L395" t="s">
        <v>23</v>
      </c>
      <c r="M395" t="s">
        <v>24</v>
      </c>
      <c r="N395" t="s">
        <v>25</v>
      </c>
      <c r="O395">
        <v>0</v>
      </c>
      <c r="Q395" t="str">
        <f t="shared" si="12"/>
        <v/>
      </c>
      <c r="R395" t="str">
        <f t="shared" si="13"/>
        <v/>
      </c>
    </row>
    <row r="396" spans="1:18" x14ac:dyDescent="0.35">
      <c r="A396">
        <v>53001</v>
      </c>
      <c r="B396" t="s">
        <v>192</v>
      </c>
      <c r="C396" s="217">
        <v>45860</v>
      </c>
      <c r="D396">
        <v>3846</v>
      </c>
      <c r="E396" t="s">
        <v>216</v>
      </c>
      <c r="F396" t="s">
        <v>211</v>
      </c>
      <c r="G396" t="s">
        <v>50</v>
      </c>
      <c r="H396">
        <v>400000445</v>
      </c>
      <c r="I396">
        <v>8264.44</v>
      </c>
      <c r="J396">
        <v>0</v>
      </c>
      <c r="K396" t="s">
        <v>22</v>
      </c>
      <c r="L396" t="s">
        <v>23</v>
      </c>
      <c r="M396" t="s">
        <v>24</v>
      </c>
      <c r="N396" t="s">
        <v>25</v>
      </c>
      <c r="O396">
        <v>0</v>
      </c>
      <c r="Q396" t="str">
        <f t="shared" si="12"/>
        <v/>
      </c>
      <c r="R396" t="str">
        <f t="shared" si="13"/>
        <v/>
      </c>
    </row>
    <row r="397" spans="1:18" x14ac:dyDescent="0.35">
      <c r="A397">
        <v>53001</v>
      </c>
      <c r="B397" t="s">
        <v>192</v>
      </c>
      <c r="C397" s="217">
        <v>45871</v>
      </c>
      <c r="D397">
        <v>4086</v>
      </c>
      <c r="E397" t="s">
        <v>217</v>
      </c>
      <c r="F397" t="s">
        <v>218</v>
      </c>
      <c r="G397" t="s">
        <v>50</v>
      </c>
      <c r="H397">
        <v>600004228</v>
      </c>
      <c r="I397">
        <v>14049.58</v>
      </c>
      <c r="J397">
        <v>0</v>
      </c>
      <c r="K397" t="s">
        <v>22</v>
      </c>
      <c r="L397" t="s">
        <v>23</v>
      </c>
      <c r="M397" t="s">
        <v>24</v>
      </c>
      <c r="N397" t="s">
        <v>25</v>
      </c>
      <c r="O397">
        <v>0</v>
      </c>
      <c r="Q397" t="str">
        <f t="shared" si="12"/>
        <v/>
      </c>
      <c r="R397" t="str">
        <f t="shared" si="13"/>
        <v/>
      </c>
    </row>
    <row r="398" spans="1:18" x14ac:dyDescent="0.35">
      <c r="A398">
        <v>53001</v>
      </c>
      <c r="B398" t="s">
        <v>192</v>
      </c>
      <c r="C398" s="217">
        <v>45876</v>
      </c>
      <c r="D398">
        <v>4097</v>
      </c>
      <c r="E398" t="s">
        <v>219</v>
      </c>
      <c r="F398" t="s">
        <v>211</v>
      </c>
      <c r="G398" t="s">
        <v>50</v>
      </c>
      <c r="H398">
        <v>400000466</v>
      </c>
      <c r="I398">
        <v>10330.6</v>
      </c>
      <c r="J398">
        <v>0</v>
      </c>
      <c r="K398" t="s">
        <v>22</v>
      </c>
      <c r="L398" t="s">
        <v>23</v>
      </c>
      <c r="M398" t="s">
        <v>24</v>
      </c>
      <c r="N398" t="s">
        <v>25</v>
      </c>
      <c r="O398">
        <v>0</v>
      </c>
      <c r="Q398" t="str">
        <f t="shared" si="12"/>
        <v/>
      </c>
      <c r="R398" t="str">
        <f t="shared" si="13"/>
        <v/>
      </c>
    </row>
    <row r="399" spans="1:18" x14ac:dyDescent="0.35">
      <c r="A399">
        <v>53001</v>
      </c>
      <c r="B399" t="s">
        <v>192</v>
      </c>
      <c r="C399" s="217">
        <v>45876</v>
      </c>
      <c r="D399">
        <v>4098</v>
      </c>
      <c r="E399" t="s">
        <v>220</v>
      </c>
      <c r="F399" t="s">
        <v>211</v>
      </c>
      <c r="G399" t="s">
        <v>50</v>
      </c>
      <c r="H399">
        <v>400000465</v>
      </c>
      <c r="I399">
        <v>24793.38</v>
      </c>
      <c r="J399">
        <v>0</v>
      </c>
      <c r="K399" t="s">
        <v>22</v>
      </c>
      <c r="L399" t="s">
        <v>23</v>
      </c>
      <c r="M399" t="s">
        <v>24</v>
      </c>
      <c r="N399" t="s">
        <v>25</v>
      </c>
      <c r="O399">
        <v>0</v>
      </c>
      <c r="Q399" t="str">
        <f t="shared" si="12"/>
        <v/>
      </c>
      <c r="R399" t="str">
        <f t="shared" si="13"/>
        <v/>
      </c>
    </row>
    <row r="400" spans="1:18" x14ac:dyDescent="0.35">
      <c r="A400">
        <v>53001</v>
      </c>
      <c r="B400" t="s">
        <v>192</v>
      </c>
      <c r="C400" s="217">
        <v>45932</v>
      </c>
      <c r="D400">
        <v>5246</v>
      </c>
      <c r="E400" t="s">
        <v>221</v>
      </c>
      <c r="F400" t="s">
        <v>211</v>
      </c>
      <c r="G400" t="s">
        <v>50</v>
      </c>
      <c r="H400">
        <v>400000515</v>
      </c>
      <c r="I400">
        <v>29752.080000000002</v>
      </c>
      <c r="J400">
        <v>0</v>
      </c>
      <c r="K400" t="s">
        <v>22</v>
      </c>
      <c r="L400" t="s">
        <v>23</v>
      </c>
      <c r="M400" t="s">
        <v>24</v>
      </c>
      <c r="N400" t="s">
        <v>25</v>
      </c>
      <c r="O400">
        <v>0</v>
      </c>
      <c r="Q400" t="str">
        <f t="shared" si="12"/>
        <v/>
      </c>
      <c r="R400" t="str">
        <f t="shared" si="13"/>
        <v/>
      </c>
    </row>
    <row r="401" spans="1:18" x14ac:dyDescent="0.35">
      <c r="A401">
        <v>53001</v>
      </c>
      <c r="B401" t="s">
        <v>192</v>
      </c>
      <c r="C401" s="217">
        <v>45937</v>
      </c>
      <c r="D401">
        <v>5199</v>
      </c>
      <c r="E401" t="s">
        <v>222</v>
      </c>
      <c r="F401" t="s">
        <v>223</v>
      </c>
      <c r="G401" t="s">
        <v>50</v>
      </c>
      <c r="H401">
        <v>24000040400</v>
      </c>
      <c r="I401">
        <v>711814.48</v>
      </c>
      <c r="J401">
        <v>0</v>
      </c>
      <c r="K401" t="s">
        <v>22</v>
      </c>
      <c r="L401" t="s">
        <v>23</v>
      </c>
      <c r="M401" t="s">
        <v>24</v>
      </c>
      <c r="N401" t="s">
        <v>25</v>
      </c>
      <c r="O401">
        <v>0</v>
      </c>
      <c r="Q401" t="str">
        <f t="shared" si="12"/>
        <v/>
      </c>
      <c r="R401" t="str">
        <f t="shared" si="13"/>
        <v/>
      </c>
    </row>
    <row r="402" spans="1:18" x14ac:dyDescent="0.35">
      <c r="A402">
        <v>53001</v>
      </c>
      <c r="B402" t="s">
        <v>192</v>
      </c>
      <c r="C402" s="217">
        <v>45937</v>
      </c>
      <c r="D402">
        <v>5200</v>
      </c>
      <c r="E402" t="s">
        <v>224</v>
      </c>
      <c r="F402" t="s">
        <v>178</v>
      </c>
      <c r="G402" t="s">
        <v>70</v>
      </c>
      <c r="H402">
        <v>400015229</v>
      </c>
      <c r="I402">
        <v>24297.51</v>
      </c>
      <c r="J402">
        <v>0</v>
      </c>
      <c r="K402" t="s">
        <v>22</v>
      </c>
      <c r="L402" t="s">
        <v>23</v>
      </c>
      <c r="M402" t="s">
        <v>24</v>
      </c>
      <c r="N402" t="s">
        <v>25</v>
      </c>
      <c r="O402">
        <v>0</v>
      </c>
      <c r="Q402" t="str">
        <f t="shared" si="12"/>
        <v/>
      </c>
      <c r="R402" t="str">
        <f t="shared" si="13"/>
        <v/>
      </c>
    </row>
    <row r="403" spans="1:18" x14ac:dyDescent="0.35">
      <c r="A403">
        <v>53001</v>
      </c>
      <c r="B403" t="s">
        <v>192</v>
      </c>
      <c r="C403" s="217">
        <v>45939</v>
      </c>
      <c r="D403">
        <v>5271</v>
      </c>
      <c r="E403" t="s">
        <v>225</v>
      </c>
      <c r="F403" t="s">
        <v>211</v>
      </c>
      <c r="G403" t="s">
        <v>50</v>
      </c>
      <c r="H403">
        <v>400000518</v>
      </c>
      <c r="I403">
        <v>13223.14</v>
      </c>
      <c r="J403">
        <v>0</v>
      </c>
      <c r="K403" t="s">
        <v>22</v>
      </c>
      <c r="L403" t="s">
        <v>23</v>
      </c>
      <c r="M403" t="s">
        <v>24</v>
      </c>
      <c r="N403" t="s">
        <v>25</v>
      </c>
      <c r="O403">
        <v>0</v>
      </c>
      <c r="Q403" t="str">
        <f t="shared" si="12"/>
        <v/>
      </c>
      <c r="R403" t="str">
        <f t="shared" si="13"/>
        <v/>
      </c>
    </row>
    <row r="404" spans="1:18" x14ac:dyDescent="0.35">
      <c r="A404">
        <v>53001</v>
      </c>
      <c r="B404" t="s">
        <v>192</v>
      </c>
      <c r="C404" s="217">
        <v>45944</v>
      </c>
      <c r="D404">
        <v>5385</v>
      </c>
      <c r="E404" t="s">
        <v>226</v>
      </c>
      <c r="F404" t="s">
        <v>49</v>
      </c>
      <c r="G404" t="s">
        <v>50</v>
      </c>
      <c r="H404">
        <v>1000210817</v>
      </c>
      <c r="I404">
        <v>11743.53</v>
      </c>
      <c r="J404">
        <v>0</v>
      </c>
      <c r="K404" t="s">
        <v>22</v>
      </c>
      <c r="L404" t="s">
        <v>23</v>
      </c>
      <c r="M404" t="s">
        <v>24</v>
      </c>
      <c r="N404" t="s">
        <v>25</v>
      </c>
      <c r="O404">
        <v>0</v>
      </c>
      <c r="Q404" t="str">
        <f t="shared" si="12"/>
        <v/>
      </c>
      <c r="R404" t="str">
        <f t="shared" si="13"/>
        <v/>
      </c>
    </row>
    <row r="405" spans="1:18" x14ac:dyDescent="0.35">
      <c r="A405">
        <v>53001</v>
      </c>
      <c r="B405" t="s">
        <v>192</v>
      </c>
      <c r="C405" s="217">
        <v>45944</v>
      </c>
      <c r="D405">
        <v>5386</v>
      </c>
      <c r="E405" t="s">
        <v>227</v>
      </c>
      <c r="F405" t="s">
        <v>228</v>
      </c>
      <c r="G405" t="s">
        <v>50</v>
      </c>
      <c r="H405">
        <v>400030510</v>
      </c>
      <c r="I405">
        <v>332191.21999999997</v>
      </c>
      <c r="J405">
        <v>0</v>
      </c>
      <c r="K405" t="s">
        <v>22</v>
      </c>
      <c r="L405" t="s">
        <v>23</v>
      </c>
      <c r="M405" t="s">
        <v>24</v>
      </c>
      <c r="N405" t="s">
        <v>25</v>
      </c>
      <c r="O405">
        <v>0</v>
      </c>
      <c r="Q405" t="str">
        <f t="shared" si="12"/>
        <v/>
      </c>
      <c r="R405" t="str">
        <f t="shared" si="13"/>
        <v/>
      </c>
    </row>
    <row r="406" spans="1:18" x14ac:dyDescent="0.35">
      <c r="A406">
        <v>53001</v>
      </c>
      <c r="B406" t="s">
        <v>192</v>
      </c>
      <c r="C406" s="217">
        <v>45944</v>
      </c>
      <c r="D406">
        <v>5387</v>
      </c>
      <c r="E406" t="s">
        <v>227</v>
      </c>
      <c r="F406" t="s">
        <v>228</v>
      </c>
      <c r="G406" t="s">
        <v>50</v>
      </c>
      <c r="H406">
        <v>400030512</v>
      </c>
      <c r="I406">
        <v>115348.76</v>
      </c>
      <c r="J406">
        <v>0</v>
      </c>
      <c r="K406" t="s">
        <v>22</v>
      </c>
      <c r="L406" t="s">
        <v>23</v>
      </c>
      <c r="M406" t="s">
        <v>24</v>
      </c>
      <c r="N406" t="s">
        <v>25</v>
      </c>
      <c r="O406">
        <v>0</v>
      </c>
      <c r="Q406" t="str">
        <f t="shared" si="12"/>
        <v/>
      </c>
      <c r="R406" t="str">
        <f t="shared" si="13"/>
        <v/>
      </c>
    </row>
    <row r="407" spans="1:18" x14ac:dyDescent="0.35">
      <c r="A407">
        <v>53001</v>
      </c>
      <c r="B407" t="s">
        <v>192</v>
      </c>
      <c r="C407" s="217">
        <v>45945</v>
      </c>
      <c r="D407">
        <v>5394</v>
      </c>
      <c r="E407" t="s">
        <v>227</v>
      </c>
      <c r="F407" t="s">
        <v>228</v>
      </c>
      <c r="G407" t="s">
        <v>50</v>
      </c>
      <c r="H407">
        <v>400030550</v>
      </c>
      <c r="I407">
        <v>24557.55</v>
      </c>
      <c r="J407">
        <v>0</v>
      </c>
      <c r="K407" t="s">
        <v>22</v>
      </c>
      <c r="L407" t="s">
        <v>23</v>
      </c>
      <c r="M407" t="s">
        <v>24</v>
      </c>
      <c r="N407" t="s">
        <v>25</v>
      </c>
      <c r="O407">
        <v>0</v>
      </c>
      <c r="Q407" t="str">
        <f t="shared" si="12"/>
        <v/>
      </c>
      <c r="R407" t="str">
        <f t="shared" si="13"/>
        <v/>
      </c>
    </row>
    <row r="408" spans="1:18" x14ac:dyDescent="0.35">
      <c r="A408">
        <v>53001</v>
      </c>
      <c r="B408" t="s">
        <v>192</v>
      </c>
      <c r="C408" s="217">
        <v>45954</v>
      </c>
      <c r="D408">
        <v>5496</v>
      </c>
      <c r="E408" t="s">
        <v>229</v>
      </c>
      <c r="F408" t="s">
        <v>230</v>
      </c>
      <c r="G408" t="s">
        <v>50</v>
      </c>
      <c r="H408">
        <v>300001735</v>
      </c>
      <c r="I408">
        <v>202741.82</v>
      </c>
      <c r="J408">
        <v>0</v>
      </c>
      <c r="K408" t="s">
        <v>22</v>
      </c>
      <c r="L408" t="s">
        <v>23</v>
      </c>
      <c r="M408" t="s">
        <v>24</v>
      </c>
      <c r="N408" t="s">
        <v>25</v>
      </c>
      <c r="O408">
        <v>0</v>
      </c>
      <c r="Q408" t="str">
        <f t="shared" si="12"/>
        <v/>
      </c>
      <c r="R408" t="str">
        <f t="shared" si="13"/>
        <v/>
      </c>
    </row>
    <row r="409" spans="1:18" x14ac:dyDescent="0.35">
      <c r="A409">
        <v>53001</v>
      </c>
      <c r="B409" t="s">
        <v>192</v>
      </c>
      <c r="C409" s="217">
        <v>45966</v>
      </c>
      <c r="D409">
        <v>32</v>
      </c>
      <c r="E409" t="s">
        <v>231</v>
      </c>
      <c r="F409" t="s">
        <v>230</v>
      </c>
      <c r="G409" t="s">
        <v>50</v>
      </c>
      <c r="H409">
        <v>300001741</v>
      </c>
      <c r="I409">
        <v>202741.82</v>
      </c>
      <c r="J409">
        <v>0</v>
      </c>
      <c r="K409" t="s">
        <v>22</v>
      </c>
      <c r="L409" t="s">
        <v>23</v>
      </c>
      <c r="M409" t="s">
        <v>24</v>
      </c>
      <c r="N409" t="s">
        <v>25</v>
      </c>
      <c r="O409">
        <v>0</v>
      </c>
      <c r="Q409" t="str">
        <f t="shared" si="12"/>
        <v/>
      </c>
      <c r="R409" t="str">
        <f t="shared" si="13"/>
        <v/>
      </c>
    </row>
    <row r="410" spans="1:18" x14ac:dyDescent="0.35">
      <c r="A410">
        <v>53003</v>
      </c>
      <c r="B410" t="s">
        <v>232</v>
      </c>
      <c r="C410" s="217">
        <v>45727</v>
      </c>
      <c r="D410">
        <v>790</v>
      </c>
      <c r="E410" t="s">
        <v>233</v>
      </c>
      <c r="F410" t="s">
        <v>28</v>
      </c>
      <c r="G410" t="s">
        <v>41</v>
      </c>
      <c r="H410">
        <v>6213</v>
      </c>
      <c r="I410">
        <v>1580000</v>
      </c>
      <c r="J410">
        <v>0</v>
      </c>
      <c r="K410" t="s">
        <v>22</v>
      </c>
      <c r="L410" t="s">
        <v>23</v>
      </c>
      <c r="M410" t="s">
        <v>24</v>
      </c>
      <c r="N410" t="s">
        <v>25</v>
      </c>
      <c r="O410">
        <v>0</v>
      </c>
      <c r="Q410" t="str">
        <f t="shared" si="12"/>
        <v/>
      </c>
      <c r="R410" t="str">
        <f t="shared" si="13"/>
        <v/>
      </c>
    </row>
    <row r="411" spans="1:18" x14ac:dyDescent="0.35">
      <c r="A411">
        <v>53003</v>
      </c>
      <c r="B411" t="s">
        <v>232</v>
      </c>
      <c r="C411" s="217">
        <v>45742</v>
      </c>
      <c r="D411">
        <v>1954</v>
      </c>
      <c r="E411" t="s">
        <v>234</v>
      </c>
      <c r="F411" t="s">
        <v>196</v>
      </c>
      <c r="G411" t="s">
        <v>50</v>
      </c>
      <c r="H411">
        <v>1000000056</v>
      </c>
      <c r="I411">
        <v>10335</v>
      </c>
      <c r="J411">
        <v>0</v>
      </c>
      <c r="K411" t="s">
        <v>22</v>
      </c>
      <c r="L411" t="s">
        <v>23</v>
      </c>
      <c r="M411" t="s">
        <v>24</v>
      </c>
      <c r="N411" t="s">
        <v>25</v>
      </c>
      <c r="O411">
        <v>0</v>
      </c>
      <c r="Q411" t="str">
        <f t="shared" si="12"/>
        <v/>
      </c>
      <c r="R411" t="str">
        <f t="shared" si="13"/>
        <v/>
      </c>
    </row>
    <row r="412" spans="1:18" x14ac:dyDescent="0.35">
      <c r="A412">
        <v>53003</v>
      </c>
      <c r="B412" t="s">
        <v>232</v>
      </c>
      <c r="C412" s="217">
        <v>45771</v>
      </c>
      <c r="D412">
        <v>1322</v>
      </c>
      <c r="E412" t="s">
        <v>235</v>
      </c>
      <c r="F412" t="s">
        <v>28</v>
      </c>
      <c r="G412" t="s">
        <v>41</v>
      </c>
      <c r="H412">
        <v>6733</v>
      </c>
      <c r="I412">
        <v>1030000</v>
      </c>
      <c r="J412">
        <v>0</v>
      </c>
      <c r="K412" t="s">
        <v>22</v>
      </c>
      <c r="L412" t="s">
        <v>23</v>
      </c>
      <c r="M412" t="s">
        <v>24</v>
      </c>
      <c r="N412" t="s">
        <v>25</v>
      </c>
      <c r="O412">
        <v>0</v>
      </c>
      <c r="Q412" t="str">
        <f t="shared" si="12"/>
        <v/>
      </c>
      <c r="R412" t="str">
        <f t="shared" si="13"/>
        <v/>
      </c>
    </row>
    <row r="413" spans="1:18" x14ac:dyDescent="0.35">
      <c r="A413">
        <v>53003</v>
      </c>
      <c r="B413" t="s">
        <v>232</v>
      </c>
      <c r="C413" s="217">
        <v>45799</v>
      </c>
      <c r="D413">
        <v>1444</v>
      </c>
      <c r="E413" t="s">
        <v>236</v>
      </c>
      <c r="F413" t="s">
        <v>28</v>
      </c>
      <c r="G413" t="s">
        <v>41</v>
      </c>
      <c r="H413">
        <v>6851</v>
      </c>
      <c r="I413">
        <v>1030000</v>
      </c>
      <c r="J413">
        <v>0</v>
      </c>
      <c r="K413" t="s">
        <v>22</v>
      </c>
      <c r="L413" t="s">
        <v>23</v>
      </c>
      <c r="M413" t="s">
        <v>24</v>
      </c>
      <c r="N413" t="s">
        <v>25</v>
      </c>
      <c r="O413">
        <v>0</v>
      </c>
      <c r="Q413" t="str">
        <f t="shared" si="12"/>
        <v/>
      </c>
      <c r="R413" t="str">
        <f t="shared" si="13"/>
        <v/>
      </c>
    </row>
    <row r="414" spans="1:18" x14ac:dyDescent="0.35">
      <c r="A414">
        <v>53003</v>
      </c>
      <c r="B414" t="s">
        <v>232</v>
      </c>
      <c r="C414" s="217">
        <v>45814</v>
      </c>
      <c r="D414">
        <v>1572</v>
      </c>
      <c r="E414" t="s">
        <v>237</v>
      </c>
      <c r="F414" t="s">
        <v>28</v>
      </c>
      <c r="G414" t="s">
        <v>41</v>
      </c>
      <c r="H414">
        <v>6978</v>
      </c>
      <c r="I414">
        <v>1944000</v>
      </c>
      <c r="J414">
        <v>0</v>
      </c>
      <c r="K414" t="s">
        <v>22</v>
      </c>
      <c r="L414" t="s">
        <v>23</v>
      </c>
      <c r="M414" t="s">
        <v>24</v>
      </c>
      <c r="N414" t="s">
        <v>25</v>
      </c>
      <c r="O414">
        <v>0</v>
      </c>
      <c r="Q414" t="str">
        <f t="shared" si="12"/>
        <v/>
      </c>
      <c r="R414" t="str">
        <f t="shared" si="13"/>
        <v/>
      </c>
    </row>
    <row r="415" spans="1:18" x14ac:dyDescent="0.35">
      <c r="A415">
        <v>53003</v>
      </c>
      <c r="B415" t="s">
        <v>232</v>
      </c>
      <c r="C415" s="217">
        <v>45834</v>
      </c>
      <c r="D415">
        <v>1707</v>
      </c>
      <c r="E415" t="s">
        <v>237</v>
      </c>
      <c r="F415" t="s">
        <v>28</v>
      </c>
      <c r="G415" t="s">
        <v>41</v>
      </c>
      <c r="H415">
        <v>7109</v>
      </c>
      <c r="I415">
        <v>1696000</v>
      </c>
      <c r="J415">
        <v>0</v>
      </c>
      <c r="K415" t="s">
        <v>22</v>
      </c>
      <c r="L415" t="s">
        <v>23</v>
      </c>
      <c r="M415" t="s">
        <v>24</v>
      </c>
      <c r="N415" t="s">
        <v>25</v>
      </c>
      <c r="O415">
        <v>0</v>
      </c>
      <c r="Q415" t="str">
        <f t="shared" si="12"/>
        <v/>
      </c>
      <c r="R415" t="str">
        <f t="shared" si="13"/>
        <v/>
      </c>
    </row>
    <row r="416" spans="1:18" x14ac:dyDescent="0.35">
      <c r="A416">
        <v>53003</v>
      </c>
      <c r="B416" t="s">
        <v>232</v>
      </c>
      <c r="C416" s="217">
        <v>45849</v>
      </c>
      <c r="D416">
        <v>1782</v>
      </c>
      <c r="E416" t="s">
        <v>238</v>
      </c>
      <c r="F416" t="s">
        <v>28</v>
      </c>
      <c r="G416" t="s">
        <v>41</v>
      </c>
      <c r="H416">
        <v>7178</v>
      </c>
      <c r="I416">
        <v>1416000</v>
      </c>
      <c r="J416">
        <v>0</v>
      </c>
      <c r="K416" t="s">
        <v>22</v>
      </c>
      <c r="L416" t="s">
        <v>23</v>
      </c>
      <c r="M416" t="s">
        <v>24</v>
      </c>
      <c r="N416" t="s">
        <v>25</v>
      </c>
      <c r="O416">
        <v>0</v>
      </c>
      <c r="Q416" t="str">
        <f t="shared" si="12"/>
        <v/>
      </c>
      <c r="R416" t="str">
        <f t="shared" si="13"/>
        <v/>
      </c>
    </row>
    <row r="417" spans="1:18" x14ac:dyDescent="0.35">
      <c r="A417">
        <v>53004</v>
      </c>
      <c r="B417" t="s">
        <v>239</v>
      </c>
      <c r="C417" s="217">
        <v>45714</v>
      </c>
      <c r="D417">
        <v>1491</v>
      </c>
      <c r="E417" t="s">
        <v>240</v>
      </c>
      <c r="F417" t="s">
        <v>169</v>
      </c>
      <c r="G417" t="s">
        <v>50</v>
      </c>
      <c r="H417">
        <v>400011783</v>
      </c>
      <c r="I417">
        <v>1220419</v>
      </c>
      <c r="J417">
        <v>0</v>
      </c>
      <c r="K417" t="s">
        <v>22</v>
      </c>
      <c r="L417" t="s">
        <v>23</v>
      </c>
      <c r="M417" t="s">
        <v>24</v>
      </c>
      <c r="N417" t="s">
        <v>25</v>
      </c>
      <c r="O417">
        <v>0</v>
      </c>
      <c r="Q417" t="str">
        <f t="shared" si="12"/>
        <v/>
      </c>
      <c r="R417" t="str">
        <f t="shared" si="13"/>
        <v/>
      </c>
    </row>
    <row r="418" spans="1:18" x14ac:dyDescent="0.35">
      <c r="A418">
        <v>53004</v>
      </c>
      <c r="B418" t="s">
        <v>239</v>
      </c>
      <c r="C418" s="217">
        <v>45723</v>
      </c>
      <c r="D418">
        <v>1805</v>
      </c>
      <c r="E418" t="s">
        <v>241</v>
      </c>
      <c r="F418" t="s">
        <v>171</v>
      </c>
      <c r="G418" t="s">
        <v>50</v>
      </c>
      <c r="H418">
        <v>200011805</v>
      </c>
      <c r="I418">
        <v>2389199.1</v>
      </c>
      <c r="J418">
        <v>0</v>
      </c>
      <c r="K418" t="s">
        <v>22</v>
      </c>
      <c r="L418" t="s">
        <v>23</v>
      </c>
      <c r="M418" t="s">
        <v>24</v>
      </c>
      <c r="N418" t="s">
        <v>25</v>
      </c>
      <c r="O418">
        <v>0</v>
      </c>
      <c r="Q418" t="str">
        <f t="shared" si="12"/>
        <v/>
      </c>
      <c r="R418" t="str">
        <f t="shared" si="13"/>
        <v/>
      </c>
    </row>
    <row r="419" spans="1:18" x14ac:dyDescent="0.35">
      <c r="A419">
        <v>53004</v>
      </c>
      <c r="B419" t="s">
        <v>239</v>
      </c>
      <c r="C419" s="217">
        <v>45734</v>
      </c>
      <c r="D419">
        <v>1821</v>
      </c>
      <c r="E419" t="s">
        <v>242</v>
      </c>
      <c r="F419" t="s">
        <v>165</v>
      </c>
      <c r="G419" t="s">
        <v>50</v>
      </c>
      <c r="H419">
        <v>101000424312</v>
      </c>
      <c r="I419">
        <v>17917773.68</v>
      </c>
      <c r="J419">
        <v>0</v>
      </c>
      <c r="K419" t="s">
        <v>22</v>
      </c>
      <c r="L419" t="s">
        <v>23</v>
      </c>
      <c r="M419" t="s">
        <v>24</v>
      </c>
      <c r="N419" t="s">
        <v>25</v>
      </c>
      <c r="O419">
        <v>0</v>
      </c>
      <c r="Q419" t="str">
        <f t="shared" si="12"/>
        <v/>
      </c>
      <c r="R419" t="str">
        <f t="shared" si="13"/>
        <v/>
      </c>
    </row>
    <row r="420" spans="1:18" x14ac:dyDescent="0.35">
      <c r="A420">
        <v>53004</v>
      </c>
      <c r="B420" t="s">
        <v>239</v>
      </c>
      <c r="C420" s="217">
        <v>45737</v>
      </c>
      <c r="D420">
        <v>1749</v>
      </c>
      <c r="E420" t="s">
        <v>243</v>
      </c>
      <c r="F420" t="s">
        <v>244</v>
      </c>
      <c r="G420" t="s">
        <v>50</v>
      </c>
      <c r="H420">
        <v>200007164</v>
      </c>
      <c r="I420">
        <v>522880</v>
      </c>
      <c r="J420">
        <v>0</v>
      </c>
      <c r="K420" t="s">
        <v>22</v>
      </c>
      <c r="L420" t="s">
        <v>23</v>
      </c>
      <c r="M420" t="s">
        <v>24</v>
      </c>
      <c r="N420" t="s">
        <v>25</v>
      </c>
      <c r="O420">
        <v>0</v>
      </c>
      <c r="Q420" t="str">
        <f t="shared" si="12"/>
        <v/>
      </c>
      <c r="R420" t="str">
        <f t="shared" si="13"/>
        <v/>
      </c>
    </row>
    <row r="421" spans="1:18" x14ac:dyDescent="0.35">
      <c r="A421">
        <v>53004</v>
      </c>
      <c r="B421" t="s">
        <v>239</v>
      </c>
      <c r="C421" s="217">
        <v>45744</v>
      </c>
      <c r="D421">
        <v>1930</v>
      </c>
      <c r="E421" t="s">
        <v>245</v>
      </c>
      <c r="F421" t="s">
        <v>246</v>
      </c>
      <c r="G421" t="s">
        <v>50</v>
      </c>
      <c r="H421">
        <v>1700041407</v>
      </c>
      <c r="I421">
        <v>1024500</v>
      </c>
      <c r="J421">
        <v>0</v>
      </c>
      <c r="K421" t="s">
        <v>22</v>
      </c>
      <c r="L421" t="s">
        <v>23</v>
      </c>
      <c r="M421" t="s">
        <v>24</v>
      </c>
      <c r="N421" t="s">
        <v>25</v>
      </c>
      <c r="O421">
        <v>0</v>
      </c>
      <c r="Q421" t="str">
        <f t="shared" si="12"/>
        <v/>
      </c>
      <c r="R421" t="str">
        <f t="shared" si="13"/>
        <v/>
      </c>
    </row>
    <row r="422" spans="1:18" x14ac:dyDescent="0.35">
      <c r="A422">
        <v>53004</v>
      </c>
      <c r="B422" t="s">
        <v>239</v>
      </c>
      <c r="C422" s="217">
        <v>45748</v>
      </c>
      <c r="D422">
        <v>1015</v>
      </c>
      <c r="E422" t="s">
        <v>247</v>
      </c>
      <c r="F422" t="s">
        <v>28</v>
      </c>
      <c r="G422" t="s">
        <v>41</v>
      </c>
      <c r="H422">
        <v>6429</v>
      </c>
      <c r="I422">
        <v>17884000</v>
      </c>
      <c r="J422">
        <v>0</v>
      </c>
      <c r="K422" t="s">
        <v>22</v>
      </c>
      <c r="L422" t="s">
        <v>23</v>
      </c>
      <c r="M422" t="s">
        <v>24</v>
      </c>
      <c r="N422" t="s">
        <v>25</v>
      </c>
      <c r="O422">
        <v>0</v>
      </c>
      <c r="Q422" t="str">
        <f t="shared" si="12"/>
        <v/>
      </c>
      <c r="R422" t="str">
        <f t="shared" si="13"/>
        <v/>
      </c>
    </row>
    <row r="423" spans="1:18" x14ac:dyDescent="0.35">
      <c r="A423">
        <v>53004</v>
      </c>
      <c r="B423" t="s">
        <v>239</v>
      </c>
      <c r="C423" s="217">
        <v>45754</v>
      </c>
      <c r="D423">
        <v>972</v>
      </c>
      <c r="E423" t="s">
        <v>248</v>
      </c>
      <c r="F423" t="s">
        <v>28</v>
      </c>
      <c r="G423" t="s">
        <v>41</v>
      </c>
      <c r="H423">
        <v>6388</v>
      </c>
      <c r="I423">
        <v>301500</v>
      </c>
      <c r="J423">
        <v>0</v>
      </c>
      <c r="K423" t="s">
        <v>22</v>
      </c>
      <c r="L423" t="s">
        <v>23</v>
      </c>
      <c r="M423" t="s">
        <v>24</v>
      </c>
      <c r="N423" t="s">
        <v>25</v>
      </c>
      <c r="O423">
        <v>0</v>
      </c>
      <c r="Q423" t="str">
        <f t="shared" si="12"/>
        <v/>
      </c>
      <c r="R423" t="str">
        <f t="shared" si="13"/>
        <v/>
      </c>
    </row>
    <row r="424" spans="1:18" x14ac:dyDescent="0.35">
      <c r="A424">
        <v>53004</v>
      </c>
      <c r="B424" t="s">
        <v>239</v>
      </c>
      <c r="C424" s="217">
        <v>45754</v>
      </c>
      <c r="D424">
        <v>973</v>
      </c>
      <c r="E424" t="s">
        <v>248</v>
      </c>
      <c r="F424" t="s">
        <v>28</v>
      </c>
      <c r="G424" t="s">
        <v>41</v>
      </c>
      <c r="H424">
        <v>6389</v>
      </c>
      <c r="I424">
        <v>45000</v>
      </c>
      <c r="J424">
        <v>0</v>
      </c>
      <c r="K424" t="s">
        <v>22</v>
      </c>
      <c r="L424" t="s">
        <v>23</v>
      </c>
      <c r="M424" t="s">
        <v>24</v>
      </c>
      <c r="N424" t="s">
        <v>25</v>
      </c>
      <c r="O424">
        <v>0</v>
      </c>
      <c r="Q424" t="str">
        <f t="shared" si="12"/>
        <v/>
      </c>
      <c r="R424" t="str">
        <f t="shared" si="13"/>
        <v/>
      </c>
    </row>
    <row r="425" spans="1:18" x14ac:dyDescent="0.35">
      <c r="A425">
        <v>53004</v>
      </c>
      <c r="B425" t="s">
        <v>239</v>
      </c>
      <c r="C425" s="217">
        <v>45755</v>
      </c>
      <c r="D425">
        <v>2051</v>
      </c>
      <c r="E425" t="s">
        <v>249</v>
      </c>
      <c r="F425" t="s">
        <v>250</v>
      </c>
      <c r="G425" t="s">
        <v>50</v>
      </c>
      <c r="H425">
        <v>900004659</v>
      </c>
      <c r="I425">
        <v>71074.38</v>
      </c>
      <c r="J425">
        <v>0</v>
      </c>
      <c r="K425" t="s">
        <v>22</v>
      </c>
      <c r="L425" t="s">
        <v>23</v>
      </c>
      <c r="M425" t="s">
        <v>24</v>
      </c>
      <c r="N425" t="s">
        <v>25</v>
      </c>
      <c r="O425">
        <v>0</v>
      </c>
      <c r="Q425" t="str">
        <f t="shared" si="12"/>
        <v/>
      </c>
      <c r="R425" t="str">
        <f t="shared" si="13"/>
        <v/>
      </c>
    </row>
    <row r="426" spans="1:18" x14ac:dyDescent="0.35">
      <c r="A426">
        <v>53004</v>
      </c>
      <c r="B426" t="s">
        <v>239</v>
      </c>
      <c r="C426" s="217">
        <v>45761</v>
      </c>
      <c r="D426">
        <v>2142</v>
      </c>
      <c r="E426" t="s">
        <v>251</v>
      </c>
      <c r="F426" t="s">
        <v>246</v>
      </c>
      <c r="G426" t="s">
        <v>50</v>
      </c>
      <c r="H426">
        <v>1700041735</v>
      </c>
      <c r="I426">
        <v>43767900</v>
      </c>
      <c r="J426">
        <v>0</v>
      </c>
      <c r="K426" t="s">
        <v>22</v>
      </c>
      <c r="L426" t="s">
        <v>23</v>
      </c>
      <c r="M426" t="s">
        <v>24</v>
      </c>
      <c r="N426" t="s">
        <v>25</v>
      </c>
      <c r="O426">
        <v>0</v>
      </c>
      <c r="Q426" t="str">
        <f t="shared" si="12"/>
        <v/>
      </c>
      <c r="R426" t="str">
        <f t="shared" si="13"/>
        <v/>
      </c>
    </row>
    <row r="427" spans="1:18" x14ac:dyDescent="0.35">
      <c r="A427">
        <v>53004</v>
      </c>
      <c r="B427" t="s">
        <v>239</v>
      </c>
      <c r="C427" s="217">
        <v>45761</v>
      </c>
      <c r="D427">
        <v>2143</v>
      </c>
      <c r="E427" t="s">
        <v>241</v>
      </c>
      <c r="F427" t="s">
        <v>171</v>
      </c>
      <c r="G427" t="s">
        <v>50</v>
      </c>
      <c r="H427">
        <v>200012081</v>
      </c>
      <c r="I427">
        <v>661184.24</v>
      </c>
      <c r="J427">
        <v>0</v>
      </c>
      <c r="K427" t="s">
        <v>22</v>
      </c>
      <c r="L427" t="s">
        <v>23</v>
      </c>
      <c r="M427" t="s">
        <v>24</v>
      </c>
      <c r="N427" t="s">
        <v>25</v>
      </c>
      <c r="O427">
        <v>0</v>
      </c>
      <c r="Q427" t="str">
        <f t="shared" si="12"/>
        <v/>
      </c>
      <c r="R427" t="str">
        <f t="shared" si="13"/>
        <v/>
      </c>
    </row>
    <row r="428" spans="1:18" x14ac:dyDescent="0.35">
      <c r="A428">
        <v>53004</v>
      </c>
      <c r="B428" t="s">
        <v>239</v>
      </c>
      <c r="C428" s="217">
        <v>45763</v>
      </c>
      <c r="D428">
        <v>1195</v>
      </c>
      <c r="E428" t="s">
        <v>252</v>
      </c>
      <c r="F428" t="s">
        <v>28</v>
      </c>
      <c r="G428" t="s">
        <v>41</v>
      </c>
      <c r="H428">
        <v>6608</v>
      </c>
      <c r="I428">
        <v>620000</v>
      </c>
      <c r="J428">
        <v>0</v>
      </c>
      <c r="K428" t="s">
        <v>22</v>
      </c>
      <c r="L428" t="s">
        <v>23</v>
      </c>
      <c r="M428" t="s">
        <v>24</v>
      </c>
      <c r="N428" t="s">
        <v>25</v>
      </c>
      <c r="O428">
        <v>0</v>
      </c>
      <c r="Q428" t="str">
        <f t="shared" si="12"/>
        <v/>
      </c>
      <c r="R428" t="str">
        <f t="shared" si="13"/>
        <v/>
      </c>
    </row>
    <row r="429" spans="1:18" x14ac:dyDescent="0.35">
      <c r="A429">
        <v>53004</v>
      </c>
      <c r="B429" t="s">
        <v>239</v>
      </c>
      <c r="C429" s="217">
        <v>45763</v>
      </c>
      <c r="D429">
        <v>1197</v>
      </c>
      <c r="E429" t="s">
        <v>253</v>
      </c>
      <c r="F429" t="s">
        <v>28</v>
      </c>
      <c r="G429" t="s">
        <v>41</v>
      </c>
      <c r="H429">
        <v>6610</v>
      </c>
      <c r="I429">
        <v>66100</v>
      </c>
      <c r="J429">
        <v>0</v>
      </c>
      <c r="K429" t="s">
        <v>22</v>
      </c>
      <c r="L429" t="s">
        <v>23</v>
      </c>
      <c r="M429" t="s">
        <v>24</v>
      </c>
      <c r="N429" t="s">
        <v>25</v>
      </c>
      <c r="O429">
        <v>0</v>
      </c>
      <c r="Q429" t="str">
        <f t="shared" si="12"/>
        <v/>
      </c>
      <c r="R429" t="str">
        <f t="shared" si="13"/>
        <v/>
      </c>
    </row>
    <row r="430" spans="1:18" x14ac:dyDescent="0.35">
      <c r="A430">
        <v>53004</v>
      </c>
      <c r="B430" t="s">
        <v>239</v>
      </c>
      <c r="C430" s="217">
        <v>45772</v>
      </c>
      <c r="D430">
        <v>2340</v>
      </c>
      <c r="E430" t="s">
        <v>254</v>
      </c>
      <c r="F430" t="s">
        <v>255</v>
      </c>
      <c r="G430" t="s">
        <v>256</v>
      </c>
      <c r="H430">
        <v>22400005958</v>
      </c>
      <c r="I430">
        <v>248400</v>
      </c>
      <c r="J430">
        <v>0</v>
      </c>
      <c r="K430" t="s">
        <v>22</v>
      </c>
      <c r="L430" t="s">
        <v>23</v>
      </c>
      <c r="M430" t="s">
        <v>24</v>
      </c>
      <c r="N430" t="s">
        <v>25</v>
      </c>
      <c r="O430">
        <v>0</v>
      </c>
      <c r="Q430" t="str">
        <f t="shared" si="12"/>
        <v/>
      </c>
      <c r="R430" t="str">
        <f t="shared" si="13"/>
        <v/>
      </c>
    </row>
    <row r="431" spans="1:18" x14ac:dyDescent="0.35">
      <c r="A431">
        <v>53004</v>
      </c>
      <c r="B431" t="s">
        <v>239</v>
      </c>
      <c r="C431" s="217">
        <v>45776</v>
      </c>
      <c r="D431">
        <v>3081</v>
      </c>
      <c r="E431" t="s">
        <v>257</v>
      </c>
      <c r="F431" t="s">
        <v>255</v>
      </c>
      <c r="G431" t="s">
        <v>256</v>
      </c>
      <c r="H431">
        <v>22400005974</v>
      </c>
      <c r="I431">
        <v>248400</v>
      </c>
      <c r="J431">
        <v>0</v>
      </c>
      <c r="K431" t="s">
        <v>22</v>
      </c>
      <c r="L431" t="s">
        <v>23</v>
      </c>
      <c r="M431" t="s">
        <v>24</v>
      </c>
      <c r="N431" t="s">
        <v>25</v>
      </c>
      <c r="O431">
        <v>0</v>
      </c>
      <c r="Q431" t="str">
        <f t="shared" si="12"/>
        <v/>
      </c>
      <c r="R431" t="str">
        <f t="shared" si="13"/>
        <v/>
      </c>
    </row>
    <row r="432" spans="1:18" x14ac:dyDescent="0.35">
      <c r="A432">
        <v>53004</v>
      </c>
      <c r="B432" t="s">
        <v>239</v>
      </c>
      <c r="C432" s="217">
        <v>45776</v>
      </c>
      <c r="D432">
        <v>3713</v>
      </c>
      <c r="E432" t="s">
        <v>257</v>
      </c>
      <c r="F432" t="s">
        <v>255</v>
      </c>
      <c r="G432" t="s">
        <v>256</v>
      </c>
      <c r="H432">
        <v>22400005973</v>
      </c>
      <c r="I432">
        <v>248400</v>
      </c>
      <c r="J432">
        <v>0</v>
      </c>
      <c r="K432" t="s">
        <v>22</v>
      </c>
      <c r="L432" t="s">
        <v>23</v>
      </c>
      <c r="M432" t="s">
        <v>24</v>
      </c>
      <c r="N432" t="s">
        <v>25</v>
      </c>
      <c r="O432">
        <v>0</v>
      </c>
      <c r="Q432" t="str">
        <f t="shared" si="12"/>
        <v/>
      </c>
      <c r="R432" t="str">
        <f t="shared" si="13"/>
        <v/>
      </c>
    </row>
    <row r="433" spans="1:18" x14ac:dyDescent="0.35">
      <c r="A433">
        <v>53004</v>
      </c>
      <c r="B433" t="s">
        <v>239</v>
      </c>
      <c r="C433" s="217">
        <v>45777</v>
      </c>
      <c r="D433">
        <v>2379</v>
      </c>
      <c r="E433" t="s">
        <v>241</v>
      </c>
      <c r="F433" t="s">
        <v>171</v>
      </c>
      <c r="G433" t="s">
        <v>50</v>
      </c>
      <c r="H433">
        <v>200012129</v>
      </c>
      <c r="I433">
        <v>216279.1</v>
      </c>
      <c r="J433">
        <v>0</v>
      </c>
      <c r="K433" t="s">
        <v>22</v>
      </c>
      <c r="L433" t="s">
        <v>23</v>
      </c>
      <c r="M433" t="s">
        <v>24</v>
      </c>
      <c r="N433" t="s">
        <v>25</v>
      </c>
      <c r="O433">
        <v>0</v>
      </c>
      <c r="Q433" t="str">
        <f t="shared" si="12"/>
        <v/>
      </c>
      <c r="R433" t="str">
        <f t="shared" si="13"/>
        <v/>
      </c>
    </row>
    <row r="434" spans="1:18" x14ac:dyDescent="0.35">
      <c r="A434">
        <v>53004</v>
      </c>
      <c r="B434" t="s">
        <v>239</v>
      </c>
      <c r="C434" s="217">
        <v>45785</v>
      </c>
      <c r="D434">
        <v>2837</v>
      </c>
      <c r="E434" t="s">
        <v>258</v>
      </c>
      <c r="F434" t="s">
        <v>259</v>
      </c>
      <c r="G434" t="s">
        <v>50</v>
      </c>
      <c r="H434">
        <v>500007640</v>
      </c>
      <c r="I434">
        <v>8264.4599999999991</v>
      </c>
      <c r="J434">
        <v>0</v>
      </c>
      <c r="K434" t="s">
        <v>22</v>
      </c>
      <c r="L434" t="s">
        <v>23</v>
      </c>
      <c r="M434" t="s">
        <v>24</v>
      </c>
      <c r="N434" t="s">
        <v>25</v>
      </c>
      <c r="O434">
        <v>0</v>
      </c>
      <c r="Q434" t="str">
        <f t="shared" si="12"/>
        <v/>
      </c>
      <c r="R434" t="str">
        <f t="shared" si="13"/>
        <v/>
      </c>
    </row>
    <row r="435" spans="1:18" x14ac:dyDescent="0.35">
      <c r="A435">
        <v>53004</v>
      </c>
      <c r="B435" t="s">
        <v>239</v>
      </c>
      <c r="C435" s="217">
        <v>45789</v>
      </c>
      <c r="D435">
        <v>3307</v>
      </c>
      <c r="E435" t="s">
        <v>257</v>
      </c>
      <c r="F435" t="s">
        <v>255</v>
      </c>
      <c r="G435" t="s">
        <v>256</v>
      </c>
      <c r="H435">
        <v>22400006002</v>
      </c>
      <c r="I435">
        <v>155200</v>
      </c>
      <c r="J435">
        <v>0</v>
      </c>
      <c r="K435" t="s">
        <v>22</v>
      </c>
      <c r="L435" t="s">
        <v>23</v>
      </c>
      <c r="M435" t="s">
        <v>24</v>
      </c>
      <c r="N435" t="s">
        <v>25</v>
      </c>
      <c r="O435">
        <v>0</v>
      </c>
      <c r="Q435" t="str">
        <f t="shared" si="12"/>
        <v/>
      </c>
      <c r="R435" t="str">
        <f t="shared" si="13"/>
        <v/>
      </c>
    </row>
    <row r="436" spans="1:18" x14ac:dyDescent="0.35">
      <c r="A436">
        <v>53004</v>
      </c>
      <c r="B436" t="s">
        <v>239</v>
      </c>
      <c r="C436" s="217">
        <v>45804</v>
      </c>
      <c r="D436">
        <v>3143</v>
      </c>
      <c r="E436" t="s">
        <v>260</v>
      </c>
      <c r="F436" t="s">
        <v>261</v>
      </c>
      <c r="G436" t="s">
        <v>50</v>
      </c>
      <c r="H436">
        <v>500031800</v>
      </c>
      <c r="I436">
        <v>342388.55</v>
      </c>
      <c r="J436">
        <v>0</v>
      </c>
      <c r="K436" t="s">
        <v>22</v>
      </c>
      <c r="L436" t="s">
        <v>23</v>
      </c>
      <c r="M436" t="s">
        <v>24</v>
      </c>
      <c r="N436" t="s">
        <v>25</v>
      </c>
      <c r="O436">
        <v>0</v>
      </c>
      <c r="Q436" t="str">
        <f t="shared" si="12"/>
        <v/>
      </c>
      <c r="R436" t="str">
        <f t="shared" si="13"/>
        <v/>
      </c>
    </row>
    <row r="437" spans="1:18" x14ac:dyDescent="0.35">
      <c r="A437">
        <v>53004</v>
      </c>
      <c r="B437" t="s">
        <v>239</v>
      </c>
      <c r="C437" s="217">
        <v>45805</v>
      </c>
      <c r="D437">
        <v>3150</v>
      </c>
      <c r="E437" t="s">
        <v>262</v>
      </c>
      <c r="F437" t="s">
        <v>263</v>
      </c>
      <c r="G437" t="s">
        <v>50</v>
      </c>
      <c r="H437">
        <v>5000013747</v>
      </c>
      <c r="I437">
        <v>3429716.87</v>
      </c>
      <c r="J437">
        <v>0</v>
      </c>
      <c r="K437" t="s">
        <v>22</v>
      </c>
      <c r="L437" t="s">
        <v>23</v>
      </c>
      <c r="M437" t="s">
        <v>24</v>
      </c>
      <c r="N437" t="s">
        <v>25</v>
      </c>
      <c r="O437">
        <v>0</v>
      </c>
      <c r="Q437" t="str">
        <f t="shared" si="12"/>
        <v/>
      </c>
      <c r="R437" t="str">
        <f t="shared" si="13"/>
        <v/>
      </c>
    </row>
    <row r="438" spans="1:18" x14ac:dyDescent="0.35">
      <c r="A438">
        <v>53004</v>
      </c>
      <c r="B438" t="s">
        <v>239</v>
      </c>
      <c r="C438" s="217">
        <v>45805</v>
      </c>
      <c r="D438">
        <v>3151</v>
      </c>
      <c r="E438" t="s">
        <v>240</v>
      </c>
      <c r="F438" t="s">
        <v>169</v>
      </c>
      <c r="G438" t="s">
        <v>50</v>
      </c>
      <c r="H438">
        <v>400011908</v>
      </c>
      <c r="I438">
        <v>6612657.7999999998</v>
      </c>
      <c r="J438">
        <v>0</v>
      </c>
      <c r="K438" t="s">
        <v>22</v>
      </c>
      <c r="L438" t="s">
        <v>23</v>
      </c>
      <c r="M438" t="s">
        <v>24</v>
      </c>
      <c r="N438" t="s">
        <v>25</v>
      </c>
      <c r="O438">
        <v>0</v>
      </c>
      <c r="Q438" t="str">
        <f t="shared" si="12"/>
        <v/>
      </c>
      <c r="R438" t="str">
        <f t="shared" si="13"/>
        <v/>
      </c>
    </row>
    <row r="439" spans="1:18" x14ac:dyDescent="0.35">
      <c r="A439">
        <v>53004</v>
      </c>
      <c r="B439" t="s">
        <v>239</v>
      </c>
      <c r="C439" s="217">
        <v>45806</v>
      </c>
      <c r="D439">
        <v>3157</v>
      </c>
      <c r="E439" t="s">
        <v>262</v>
      </c>
      <c r="F439" t="s">
        <v>263</v>
      </c>
      <c r="G439" t="s">
        <v>50</v>
      </c>
      <c r="H439">
        <v>5000013748</v>
      </c>
      <c r="I439">
        <v>3501881</v>
      </c>
      <c r="J439">
        <v>0</v>
      </c>
      <c r="K439" t="s">
        <v>22</v>
      </c>
      <c r="L439" t="s">
        <v>23</v>
      </c>
      <c r="M439" t="s">
        <v>24</v>
      </c>
      <c r="N439" t="s">
        <v>25</v>
      </c>
      <c r="O439">
        <v>0</v>
      </c>
      <c r="Q439" t="str">
        <f t="shared" si="12"/>
        <v/>
      </c>
      <c r="R439" t="str">
        <f t="shared" si="13"/>
        <v/>
      </c>
    </row>
    <row r="440" spans="1:18" x14ac:dyDescent="0.35">
      <c r="A440">
        <v>53004</v>
      </c>
      <c r="B440" t="s">
        <v>239</v>
      </c>
      <c r="C440" s="217">
        <v>45806</v>
      </c>
      <c r="D440">
        <v>3160</v>
      </c>
      <c r="E440" t="s">
        <v>264</v>
      </c>
      <c r="F440" t="s">
        <v>255</v>
      </c>
      <c r="G440" t="s">
        <v>256</v>
      </c>
      <c r="H440">
        <v>22400006074</v>
      </c>
      <c r="I440">
        <v>155200</v>
      </c>
      <c r="J440">
        <v>0</v>
      </c>
      <c r="K440" t="s">
        <v>22</v>
      </c>
      <c r="L440" t="s">
        <v>23</v>
      </c>
      <c r="M440" t="s">
        <v>24</v>
      </c>
      <c r="N440" t="s">
        <v>25</v>
      </c>
      <c r="O440">
        <v>0</v>
      </c>
      <c r="Q440" t="str">
        <f t="shared" si="12"/>
        <v/>
      </c>
      <c r="R440" t="str">
        <f t="shared" si="13"/>
        <v/>
      </c>
    </row>
    <row r="441" spans="1:18" x14ac:dyDescent="0.35">
      <c r="A441">
        <v>53004</v>
      </c>
      <c r="B441" t="s">
        <v>239</v>
      </c>
      <c r="C441" s="217">
        <v>45806</v>
      </c>
      <c r="D441">
        <v>3163</v>
      </c>
      <c r="E441" t="s">
        <v>265</v>
      </c>
      <c r="F441" t="s">
        <v>263</v>
      </c>
      <c r="G441" t="s">
        <v>51</v>
      </c>
      <c r="H441">
        <v>5000000980</v>
      </c>
      <c r="I441">
        <v>0</v>
      </c>
      <c r="J441">
        <v>3429716.87</v>
      </c>
      <c r="K441" t="s">
        <v>22</v>
      </c>
      <c r="L441" t="s">
        <v>23</v>
      </c>
      <c r="M441" t="s">
        <v>24</v>
      </c>
      <c r="N441" t="s">
        <v>25</v>
      </c>
      <c r="O441">
        <v>0</v>
      </c>
      <c r="Q441" t="str">
        <f t="shared" si="12"/>
        <v/>
      </c>
      <c r="R441" t="str">
        <f t="shared" si="13"/>
        <v/>
      </c>
    </row>
    <row r="442" spans="1:18" x14ac:dyDescent="0.35">
      <c r="A442">
        <v>53004</v>
      </c>
      <c r="B442" t="s">
        <v>239</v>
      </c>
      <c r="C442" s="217">
        <v>45807</v>
      </c>
      <c r="D442">
        <v>3166</v>
      </c>
      <c r="E442" t="s">
        <v>266</v>
      </c>
      <c r="F442" t="s">
        <v>180</v>
      </c>
      <c r="G442" t="s">
        <v>50</v>
      </c>
      <c r="H442">
        <v>1500080163</v>
      </c>
      <c r="I442">
        <v>712497.53</v>
      </c>
      <c r="J442">
        <v>0</v>
      </c>
      <c r="K442" t="s">
        <v>22</v>
      </c>
      <c r="L442" t="s">
        <v>23</v>
      </c>
      <c r="M442" t="s">
        <v>24</v>
      </c>
      <c r="N442" t="s">
        <v>25</v>
      </c>
      <c r="O442">
        <v>0</v>
      </c>
      <c r="Q442" t="str">
        <f t="shared" si="12"/>
        <v/>
      </c>
      <c r="R442" t="str">
        <f t="shared" si="13"/>
        <v/>
      </c>
    </row>
    <row r="443" spans="1:18" x14ac:dyDescent="0.35">
      <c r="A443">
        <v>53004</v>
      </c>
      <c r="B443" t="s">
        <v>239</v>
      </c>
      <c r="C443" s="217">
        <v>45814</v>
      </c>
      <c r="D443">
        <v>3225</v>
      </c>
      <c r="E443" t="s">
        <v>267</v>
      </c>
      <c r="F443" t="s">
        <v>244</v>
      </c>
      <c r="G443" t="s">
        <v>50</v>
      </c>
      <c r="H443">
        <v>200007598</v>
      </c>
      <c r="I443">
        <v>324630</v>
      </c>
      <c r="J443">
        <v>0</v>
      </c>
      <c r="K443" t="s">
        <v>22</v>
      </c>
      <c r="L443" t="s">
        <v>23</v>
      </c>
      <c r="M443" t="s">
        <v>24</v>
      </c>
      <c r="N443" t="s">
        <v>25</v>
      </c>
      <c r="O443">
        <v>0</v>
      </c>
      <c r="Q443" t="str">
        <f t="shared" si="12"/>
        <v/>
      </c>
      <c r="R443" t="str">
        <f t="shared" si="13"/>
        <v/>
      </c>
    </row>
    <row r="444" spans="1:18" x14ac:dyDescent="0.35">
      <c r="A444">
        <v>53004</v>
      </c>
      <c r="B444" t="s">
        <v>239</v>
      </c>
      <c r="C444" s="217">
        <v>45832</v>
      </c>
      <c r="D444">
        <v>3658</v>
      </c>
      <c r="E444" t="s">
        <v>268</v>
      </c>
      <c r="F444" t="s">
        <v>263</v>
      </c>
      <c r="G444" t="s">
        <v>50</v>
      </c>
      <c r="H444">
        <v>5000013894</v>
      </c>
      <c r="I444">
        <v>507594.79</v>
      </c>
      <c r="J444">
        <v>0</v>
      </c>
      <c r="K444" t="s">
        <v>22</v>
      </c>
      <c r="L444" t="s">
        <v>23</v>
      </c>
      <c r="M444" t="s">
        <v>24</v>
      </c>
      <c r="N444" t="s">
        <v>25</v>
      </c>
      <c r="O444">
        <v>0</v>
      </c>
      <c r="Q444" t="str">
        <f t="shared" si="12"/>
        <v/>
      </c>
      <c r="R444" t="str">
        <f t="shared" si="13"/>
        <v/>
      </c>
    </row>
    <row r="445" spans="1:18" x14ac:dyDescent="0.35">
      <c r="A445">
        <v>53004</v>
      </c>
      <c r="B445" t="s">
        <v>239</v>
      </c>
      <c r="C445" s="217">
        <v>45835</v>
      </c>
      <c r="D445">
        <v>3412</v>
      </c>
      <c r="E445" t="s">
        <v>269</v>
      </c>
      <c r="F445" t="s">
        <v>180</v>
      </c>
      <c r="G445" t="s">
        <v>50</v>
      </c>
      <c r="H445">
        <v>1500081286</v>
      </c>
      <c r="I445">
        <v>191117.67</v>
      </c>
      <c r="J445">
        <v>0</v>
      </c>
      <c r="K445" t="s">
        <v>22</v>
      </c>
      <c r="L445" t="s">
        <v>23</v>
      </c>
      <c r="M445" t="s">
        <v>24</v>
      </c>
      <c r="N445" t="s">
        <v>25</v>
      </c>
      <c r="O445">
        <v>0</v>
      </c>
      <c r="Q445" t="str">
        <f t="shared" si="12"/>
        <v/>
      </c>
      <c r="R445" t="str">
        <f t="shared" si="13"/>
        <v/>
      </c>
    </row>
    <row r="446" spans="1:18" x14ac:dyDescent="0.35">
      <c r="A446">
        <v>53004</v>
      </c>
      <c r="B446" t="s">
        <v>239</v>
      </c>
      <c r="C446" s="217">
        <v>45838</v>
      </c>
      <c r="D446">
        <v>1702</v>
      </c>
      <c r="E446" t="s">
        <v>252</v>
      </c>
      <c r="F446" t="s">
        <v>28</v>
      </c>
      <c r="G446" t="s">
        <v>41</v>
      </c>
      <c r="H446">
        <v>7104</v>
      </c>
      <c r="I446">
        <v>568000</v>
      </c>
      <c r="J446">
        <v>0</v>
      </c>
      <c r="K446" t="s">
        <v>22</v>
      </c>
      <c r="L446" t="s">
        <v>23</v>
      </c>
      <c r="M446" t="s">
        <v>24</v>
      </c>
      <c r="N446" t="s">
        <v>25</v>
      </c>
      <c r="O446">
        <v>0</v>
      </c>
      <c r="Q446" t="str">
        <f t="shared" si="12"/>
        <v/>
      </c>
      <c r="R446" t="str">
        <f t="shared" si="13"/>
        <v/>
      </c>
    </row>
    <row r="447" spans="1:18" x14ac:dyDescent="0.35">
      <c r="A447">
        <v>53004</v>
      </c>
      <c r="B447" t="s">
        <v>239</v>
      </c>
      <c r="C447" s="217">
        <v>45840</v>
      </c>
      <c r="D447">
        <v>3555</v>
      </c>
      <c r="E447" t="s">
        <v>257</v>
      </c>
      <c r="F447" t="s">
        <v>255</v>
      </c>
      <c r="G447" t="s">
        <v>256</v>
      </c>
      <c r="H447">
        <v>22400006136</v>
      </c>
      <c r="I447">
        <v>155200</v>
      </c>
      <c r="J447">
        <v>0</v>
      </c>
      <c r="K447" t="s">
        <v>22</v>
      </c>
      <c r="L447" t="s">
        <v>23</v>
      </c>
      <c r="M447" t="s">
        <v>24</v>
      </c>
      <c r="N447" t="s">
        <v>25</v>
      </c>
      <c r="O447">
        <v>0</v>
      </c>
      <c r="Q447" t="str">
        <f t="shared" si="12"/>
        <v/>
      </c>
      <c r="R447" t="str">
        <f t="shared" si="13"/>
        <v/>
      </c>
    </row>
    <row r="448" spans="1:18" x14ac:dyDescent="0.35">
      <c r="A448">
        <v>53004</v>
      </c>
      <c r="B448" t="s">
        <v>239</v>
      </c>
      <c r="C448" s="217">
        <v>45842</v>
      </c>
      <c r="D448">
        <v>1717</v>
      </c>
      <c r="E448" t="s">
        <v>270</v>
      </c>
      <c r="F448" t="s">
        <v>28</v>
      </c>
      <c r="G448" t="s">
        <v>41</v>
      </c>
      <c r="H448">
        <v>7117</v>
      </c>
      <c r="I448">
        <v>500000</v>
      </c>
      <c r="J448">
        <v>0</v>
      </c>
      <c r="K448" t="s">
        <v>22</v>
      </c>
      <c r="L448" t="s">
        <v>23</v>
      </c>
      <c r="M448" t="s">
        <v>24</v>
      </c>
      <c r="N448" t="s">
        <v>25</v>
      </c>
      <c r="O448">
        <v>0</v>
      </c>
      <c r="Q448" t="str">
        <f t="shared" si="12"/>
        <v/>
      </c>
      <c r="R448" t="str">
        <f t="shared" si="13"/>
        <v/>
      </c>
    </row>
    <row r="449" spans="1:18" x14ac:dyDescent="0.35">
      <c r="A449">
        <v>53004</v>
      </c>
      <c r="B449" t="s">
        <v>239</v>
      </c>
      <c r="C449" s="217">
        <v>45859</v>
      </c>
      <c r="D449">
        <v>3841</v>
      </c>
      <c r="E449" t="s">
        <v>271</v>
      </c>
      <c r="F449" t="s">
        <v>263</v>
      </c>
      <c r="G449" t="s">
        <v>50</v>
      </c>
      <c r="H449">
        <v>5000014028</v>
      </c>
      <c r="I449">
        <v>1799355.43</v>
      </c>
      <c r="J449">
        <v>0</v>
      </c>
      <c r="K449" t="s">
        <v>22</v>
      </c>
      <c r="L449" t="s">
        <v>23</v>
      </c>
      <c r="M449" t="s">
        <v>24</v>
      </c>
      <c r="N449" t="s">
        <v>25</v>
      </c>
      <c r="O449">
        <v>0</v>
      </c>
      <c r="Q449" t="str">
        <f t="shared" si="12"/>
        <v/>
      </c>
      <c r="R449" t="str">
        <f t="shared" si="13"/>
        <v/>
      </c>
    </row>
    <row r="450" spans="1:18" x14ac:dyDescent="0.35">
      <c r="A450">
        <v>53004</v>
      </c>
      <c r="B450" t="s">
        <v>239</v>
      </c>
      <c r="C450" s="217">
        <v>45860</v>
      </c>
      <c r="D450">
        <v>1874</v>
      </c>
      <c r="E450" t="s">
        <v>272</v>
      </c>
      <c r="F450" t="s">
        <v>28</v>
      </c>
      <c r="G450" t="s">
        <v>41</v>
      </c>
      <c r="H450">
        <v>7269</v>
      </c>
      <c r="I450">
        <v>22000000</v>
      </c>
      <c r="J450">
        <v>0</v>
      </c>
      <c r="K450" t="s">
        <v>22</v>
      </c>
      <c r="L450" t="s">
        <v>23</v>
      </c>
      <c r="M450" t="s">
        <v>24</v>
      </c>
      <c r="N450" t="s">
        <v>25</v>
      </c>
      <c r="O450">
        <v>0</v>
      </c>
      <c r="Q450" t="str">
        <f t="shared" ref="Q450:Q501" si="14">IFERROR(TRIM(LEFT($E450,FIND(" | ",$E450)-1)),"")</f>
        <v/>
      </c>
      <c r="R450" t="str">
        <f t="shared" ref="R450:R501" si="15">IFERROR(TRIM(UPPER(MID($E450,FIND(" | ",$E450)+3,IFERROR(FIND(" | ",$E450,FIND(" | ",$E450)+3),LEN($E450)+1)-FIND(" | ",$E450)-3))),"")</f>
        <v/>
      </c>
    </row>
    <row r="451" spans="1:18" x14ac:dyDescent="0.35">
      <c r="A451">
        <v>53004</v>
      </c>
      <c r="B451" t="s">
        <v>239</v>
      </c>
      <c r="C451" s="217">
        <v>45860</v>
      </c>
      <c r="D451">
        <v>4181</v>
      </c>
      <c r="E451" t="s">
        <v>273</v>
      </c>
      <c r="F451" t="s">
        <v>28</v>
      </c>
      <c r="G451" t="s">
        <v>59</v>
      </c>
      <c r="H451">
        <v>3966</v>
      </c>
      <c r="I451">
        <v>70730</v>
      </c>
      <c r="J451">
        <v>0</v>
      </c>
      <c r="K451" t="s">
        <v>22</v>
      </c>
      <c r="L451" t="s">
        <v>23</v>
      </c>
      <c r="M451" t="s">
        <v>24</v>
      </c>
      <c r="N451" t="s">
        <v>25</v>
      </c>
      <c r="O451">
        <v>0</v>
      </c>
      <c r="Q451" t="str">
        <f t="shared" si="14"/>
        <v/>
      </c>
      <c r="R451" t="str">
        <f t="shared" si="15"/>
        <v/>
      </c>
    </row>
    <row r="452" spans="1:18" x14ac:dyDescent="0.35">
      <c r="A452">
        <v>53004</v>
      </c>
      <c r="B452" t="s">
        <v>239</v>
      </c>
      <c r="C452" s="217">
        <v>45861</v>
      </c>
      <c r="D452">
        <v>4187</v>
      </c>
      <c r="E452" t="s">
        <v>274</v>
      </c>
      <c r="F452" t="s">
        <v>180</v>
      </c>
      <c r="G452" t="s">
        <v>50</v>
      </c>
      <c r="H452">
        <v>1500082335</v>
      </c>
      <c r="I452">
        <v>485442.16</v>
      </c>
      <c r="J452">
        <v>0</v>
      </c>
      <c r="K452" t="s">
        <v>22</v>
      </c>
      <c r="L452" t="s">
        <v>23</v>
      </c>
      <c r="M452" t="s">
        <v>24</v>
      </c>
      <c r="N452" t="s">
        <v>25</v>
      </c>
      <c r="O452">
        <v>0</v>
      </c>
      <c r="Q452" t="str">
        <f t="shared" si="14"/>
        <v/>
      </c>
      <c r="R452" t="str">
        <f t="shared" si="15"/>
        <v/>
      </c>
    </row>
    <row r="453" spans="1:18" x14ac:dyDescent="0.35">
      <c r="A453">
        <v>53004</v>
      </c>
      <c r="B453" t="s">
        <v>239</v>
      </c>
      <c r="C453" s="217">
        <v>45862</v>
      </c>
      <c r="D453">
        <v>3921</v>
      </c>
      <c r="E453" t="s">
        <v>268</v>
      </c>
      <c r="F453" t="s">
        <v>263</v>
      </c>
      <c r="G453" t="s">
        <v>50</v>
      </c>
      <c r="H453">
        <v>5000014056</v>
      </c>
      <c r="I453">
        <v>8761588.8000000007</v>
      </c>
      <c r="J453">
        <v>0</v>
      </c>
      <c r="K453" t="s">
        <v>22</v>
      </c>
      <c r="L453" t="s">
        <v>23</v>
      </c>
      <c r="M453" t="s">
        <v>24</v>
      </c>
      <c r="N453" t="s">
        <v>25</v>
      </c>
      <c r="O453">
        <v>0</v>
      </c>
      <c r="Q453" t="str">
        <f t="shared" si="14"/>
        <v/>
      </c>
      <c r="R453" t="str">
        <f t="shared" si="15"/>
        <v/>
      </c>
    </row>
    <row r="454" spans="1:18" x14ac:dyDescent="0.35">
      <c r="A454">
        <v>53004</v>
      </c>
      <c r="B454" t="s">
        <v>239</v>
      </c>
      <c r="C454" s="217">
        <v>45878</v>
      </c>
      <c r="D454">
        <v>4108</v>
      </c>
      <c r="E454" t="s">
        <v>275</v>
      </c>
      <c r="F454" t="s">
        <v>49</v>
      </c>
      <c r="G454" t="s">
        <v>50</v>
      </c>
      <c r="H454">
        <v>1000205475</v>
      </c>
      <c r="I454">
        <v>212249.02</v>
      </c>
      <c r="J454">
        <v>0</v>
      </c>
      <c r="K454" t="s">
        <v>22</v>
      </c>
      <c r="L454" t="s">
        <v>23</v>
      </c>
      <c r="M454" t="s">
        <v>24</v>
      </c>
      <c r="N454" t="s">
        <v>25</v>
      </c>
      <c r="O454">
        <v>0</v>
      </c>
      <c r="Q454" t="str">
        <f t="shared" si="14"/>
        <v/>
      </c>
      <c r="R454" t="str">
        <f t="shared" si="15"/>
        <v/>
      </c>
    </row>
    <row r="455" spans="1:18" x14ac:dyDescent="0.35">
      <c r="A455">
        <v>53004</v>
      </c>
      <c r="B455" t="s">
        <v>239</v>
      </c>
      <c r="C455" s="217">
        <v>45883</v>
      </c>
      <c r="D455">
        <v>4185</v>
      </c>
      <c r="E455" t="s">
        <v>276</v>
      </c>
      <c r="F455" t="s">
        <v>255</v>
      </c>
      <c r="G455" t="s">
        <v>256</v>
      </c>
      <c r="H455">
        <v>22400006247</v>
      </c>
      <c r="I455">
        <v>310400</v>
      </c>
      <c r="J455">
        <v>0</v>
      </c>
      <c r="K455" t="s">
        <v>22</v>
      </c>
      <c r="L455" t="s">
        <v>23</v>
      </c>
      <c r="M455" t="s">
        <v>24</v>
      </c>
      <c r="N455" t="s">
        <v>25</v>
      </c>
      <c r="O455">
        <v>0</v>
      </c>
      <c r="Q455" t="str">
        <f t="shared" si="14"/>
        <v/>
      </c>
      <c r="R455" t="str">
        <f t="shared" si="15"/>
        <v/>
      </c>
    </row>
    <row r="456" spans="1:18" x14ac:dyDescent="0.35">
      <c r="A456">
        <v>53004</v>
      </c>
      <c r="B456" t="s">
        <v>239</v>
      </c>
      <c r="C456" s="217">
        <v>45884</v>
      </c>
      <c r="D456">
        <v>4192</v>
      </c>
      <c r="E456" t="s">
        <v>274</v>
      </c>
      <c r="F456" t="s">
        <v>180</v>
      </c>
      <c r="G456" t="s">
        <v>50</v>
      </c>
      <c r="H456">
        <v>1500083497</v>
      </c>
      <c r="I456">
        <v>185498.87</v>
      </c>
      <c r="J456">
        <v>0</v>
      </c>
      <c r="K456" t="s">
        <v>22</v>
      </c>
      <c r="L456" t="s">
        <v>23</v>
      </c>
      <c r="M456" t="s">
        <v>24</v>
      </c>
      <c r="N456" t="s">
        <v>25</v>
      </c>
      <c r="O456">
        <v>0</v>
      </c>
      <c r="Q456" t="str">
        <f t="shared" si="14"/>
        <v/>
      </c>
      <c r="R456" t="str">
        <f t="shared" si="15"/>
        <v/>
      </c>
    </row>
    <row r="457" spans="1:18" x14ac:dyDescent="0.35">
      <c r="A457">
        <v>53004</v>
      </c>
      <c r="B457" t="s">
        <v>239</v>
      </c>
      <c r="C457" s="217">
        <v>45890</v>
      </c>
      <c r="D457">
        <v>4252</v>
      </c>
      <c r="E457" t="s">
        <v>277</v>
      </c>
      <c r="F457" t="s">
        <v>263</v>
      </c>
      <c r="G457" t="s">
        <v>50</v>
      </c>
      <c r="H457">
        <v>5000014202</v>
      </c>
      <c r="I457">
        <v>2692435.13</v>
      </c>
      <c r="J457">
        <v>0</v>
      </c>
      <c r="K457" t="s">
        <v>22</v>
      </c>
      <c r="L457" t="s">
        <v>23</v>
      </c>
      <c r="M457" t="s">
        <v>24</v>
      </c>
      <c r="N457" t="s">
        <v>25</v>
      </c>
      <c r="O457">
        <v>0</v>
      </c>
      <c r="Q457" t="str">
        <f t="shared" si="14"/>
        <v/>
      </c>
      <c r="R457" t="str">
        <f t="shared" si="15"/>
        <v/>
      </c>
    </row>
    <row r="458" spans="1:18" x14ac:dyDescent="0.35">
      <c r="A458">
        <v>53004</v>
      </c>
      <c r="B458" t="s">
        <v>239</v>
      </c>
      <c r="C458" s="217">
        <v>45898</v>
      </c>
      <c r="D458">
        <v>4420</v>
      </c>
      <c r="E458" t="s">
        <v>278</v>
      </c>
      <c r="F458" t="s">
        <v>180</v>
      </c>
      <c r="G458" t="s">
        <v>50</v>
      </c>
      <c r="H458">
        <v>1500084095</v>
      </c>
      <c r="I458">
        <v>539814.63</v>
      </c>
      <c r="J458">
        <v>0</v>
      </c>
      <c r="K458" t="s">
        <v>22</v>
      </c>
      <c r="L458" t="s">
        <v>23</v>
      </c>
      <c r="M458" t="s">
        <v>24</v>
      </c>
      <c r="N458" t="s">
        <v>25</v>
      </c>
      <c r="O458">
        <v>0</v>
      </c>
      <c r="Q458" t="str">
        <f t="shared" si="14"/>
        <v/>
      </c>
      <c r="R458" t="str">
        <f t="shared" si="15"/>
        <v/>
      </c>
    </row>
    <row r="459" spans="1:18" x14ac:dyDescent="0.35">
      <c r="A459">
        <v>53004</v>
      </c>
      <c r="B459" t="s">
        <v>239</v>
      </c>
      <c r="C459" s="217">
        <v>45909</v>
      </c>
      <c r="D459">
        <v>4576</v>
      </c>
      <c r="E459" t="s">
        <v>268</v>
      </c>
      <c r="F459" t="s">
        <v>263</v>
      </c>
      <c r="G459" t="s">
        <v>50</v>
      </c>
      <c r="H459">
        <v>5000014310</v>
      </c>
      <c r="I459">
        <v>5017074.53</v>
      </c>
      <c r="J459">
        <v>0</v>
      </c>
      <c r="K459" t="s">
        <v>22</v>
      </c>
      <c r="L459" t="s">
        <v>23</v>
      </c>
      <c r="M459" t="s">
        <v>24</v>
      </c>
      <c r="N459" t="s">
        <v>25</v>
      </c>
      <c r="O459">
        <v>0</v>
      </c>
      <c r="Q459" t="str">
        <f t="shared" si="14"/>
        <v/>
      </c>
      <c r="R459" t="str">
        <f t="shared" si="15"/>
        <v/>
      </c>
    </row>
    <row r="460" spans="1:18" x14ac:dyDescent="0.35">
      <c r="A460">
        <v>53004</v>
      </c>
      <c r="B460" t="s">
        <v>239</v>
      </c>
      <c r="C460" s="217">
        <v>45915</v>
      </c>
      <c r="D460">
        <v>4813</v>
      </c>
      <c r="E460" t="s">
        <v>254</v>
      </c>
      <c r="F460" t="s">
        <v>255</v>
      </c>
      <c r="G460" t="s">
        <v>256</v>
      </c>
      <c r="H460">
        <v>22400006332</v>
      </c>
      <c r="I460">
        <v>320800</v>
      </c>
      <c r="J460">
        <v>0</v>
      </c>
      <c r="K460" t="s">
        <v>22</v>
      </c>
      <c r="L460" t="s">
        <v>23</v>
      </c>
      <c r="M460" t="s">
        <v>24</v>
      </c>
      <c r="N460" t="s">
        <v>25</v>
      </c>
      <c r="O460">
        <v>0</v>
      </c>
      <c r="Q460" t="str">
        <f t="shared" si="14"/>
        <v/>
      </c>
      <c r="R460" t="str">
        <f t="shared" si="15"/>
        <v/>
      </c>
    </row>
    <row r="461" spans="1:18" x14ac:dyDescent="0.35">
      <c r="A461">
        <v>53004</v>
      </c>
      <c r="B461" t="s">
        <v>239</v>
      </c>
      <c r="C461" s="217">
        <v>45916</v>
      </c>
      <c r="D461">
        <v>4814</v>
      </c>
      <c r="E461" t="s">
        <v>279</v>
      </c>
      <c r="F461" t="s">
        <v>250</v>
      </c>
      <c r="G461" t="s">
        <v>50</v>
      </c>
      <c r="H461">
        <v>900005790</v>
      </c>
      <c r="I461">
        <v>327272.73</v>
      </c>
      <c r="J461">
        <v>0</v>
      </c>
      <c r="K461" t="s">
        <v>22</v>
      </c>
      <c r="L461" t="s">
        <v>23</v>
      </c>
      <c r="M461" t="s">
        <v>24</v>
      </c>
      <c r="N461" t="s">
        <v>25</v>
      </c>
      <c r="O461">
        <v>0</v>
      </c>
      <c r="Q461" t="str">
        <f t="shared" si="14"/>
        <v/>
      </c>
      <c r="R461" t="str">
        <f t="shared" si="15"/>
        <v/>
      </c>
    </row>
    <row r="462" spans="1:18" x14ac:dyDescent="0.35">
      <c r="A462">
        <v>53004</v>
      </c>
      <c r="B462" t="s">
        <v>239</v>
      </c>
      <c r="C462" s="217">
        <v>45919</v>
      </c>
      <c r="D462">
        <v>4745</v>
      </c>
      <c r="E462" t="s">
        <v>280</v>
      </c>
      <c r="F462" t="s">
        <v>281</v>
      </c>
      <c r="G462" t="s">
        <v>50</v>
      </c>
      <c r="H462">
        <v>200000248</v>
      </c>
      <c r="I462">
        <v>328900</v>
      </c>
      <c r="J462">
        <v>0</v>
      </c>
      <c r="K462" t="s">
        <v>22</v>
      </c>
      <c r="L462" t="s">
        <v>23</v>
      </c>
      <c r="M462" t="s">
        <v>24</v>
      </c>
      <c r="N462" t="s">
        <v>25</v>
      </c>
      <c r="O462">
        <v>0</v>
      </c>
      <c r="Q462" t="str">
        <f t="shared" si="14"/>
        <v/>
      </c>
      <c r="R462" t="str">
        <f t="shared" si="15"/>
        <v/>
      </c>
    </row>
    <row r="463" spans="1:18" x14ac:dyDescent="0.35">
      <c r="A463">
        <v>53004</v>
      </c>
      <c r="B463" t="s">
        <v>239</v>
      </c>
      <c r="C463" s="217">
        <v>45919</v>
      </c>
      <c r="D463">
        <v>4826</v>
      </c>
      <c r="E463" t="s">
        <v>274</v>
      </c>
      <c r="F463" t="s">
        <v>180</v>
      </c>
      <c r="G463" t="s">
        <v>50</v>
      </c>
      <c r="H463">
        <v>1500085139</v>
      </c>
      <c r="I463">
        <v>945843.99</v>
      </c>
      <c r="J463">
        <v>0</v>
      </c>
      <c r="K463" t="s">
        <v>22</v>
      </c>
      <c r="L463" t="s">
        <v>23</v>
      </c>
      <c r="M463" t="s">
        <v>24</v>
      </c>
      <c r="N463" t="s">
        <v>25</v>
      </c>
      <c r="O463">
        <v>0</v>
      </c>
      <c r="Q463" t="str">
        <f t="shared" si="14"/>
        <v/>
      </c>
      <c r="R463" t="str">
        <f t="shared" si="15"/>
        <v/>
      </c>
    </row>
    <row r="464" spans="1:18" x14ac:dyDescent="0.35">
      <c r="A464">
        <v>53004</v>
      </c>
      <c r="B464" t="s">
        <v>239</v>
      </c>
      <c r="C464" s="217">
        <v>45934</v>
      </c>
      <c r="D464">
        <v>5148</v>
      </c>
      <c r="E464" t="s">
        <v>282</v>
      </c>
      <c r="F464" t="s">
        <v>49</v>
      </c>
      <c r="G464" t="s">
        <v>50</v>
      </c>
      <c r="H464">
        <v>1000210192</v>
      </c>
      <c r="I464">
        <v>325448.5</v>
      </c>
      <c r="J464">
        <v>0</v>
      </c>
      <c r="K464" t="s">
        <v>22</v>
      </c>
      <c r="L464" t="s">
        <v>23</v>
      </c>
      <c r="M464" t="s">
        <v>24</v>
      </c>
      <c r="N464" t="s">
        <v>25</v>
      </c>
      <c r="O464">
        <v>0</v>
      </c>
      <c r="Q464" t="str">
        <f t="shared" si="14"/>
        <v/>
      </c>
      <c r="R464" t="str">
        <f t="shared" si="15"/>
        <v/>
      </c>
    </row>
    <row r="465" spans="1:18" x14ac:dyDescent="0.35">
      <c r="A465">
        <v>53004</v>
      </c>
      <c r="B465" t="s">
        <v>239</v>
      </c>
      <c r="C465" s="217">
        <v>45936</v>
      </c>
      <c r="D465">
        <v>5481</v>
      </c>
      <c r="E465" t="s">
        <v>283</v>
      </c>
      <c r="F465" t="s">
        <v>169</v>
      </c>
      <c r="G465" t="s">
        <v>50</v>
      </c>
      <c r="H465">
        <v>400012141</v>
      </c>
      <c r="I465">
        <v>257592.5</v>
      </c>
      <c r="J465">
        <v>0</v>
      </c>
      <c r="K465" t="s">
        <v>22</v>
      </c>
      <c r="L465" t="s">
        <v>23</v>
      </c>
      <c r="M465" t="s">
        <v>24</v>
      </c>
      <c r="N465" t="s">
        <v>25</v>
      </c>
      <c r="O465">
        <v>0</v>
      </c>
      <c r="Q465" t="str">
        <f t="shared" si="14"/>
        <v/>
      </c>
      <c r="R465" t="str">
        <f t="shared" si="15"/>
        <v/>
      </c>
    </row>
    <row r="466" spans="1:18" x14ac:dyDescent="0.35">
      <c r="A466">
        <v>53004</v>
      </c>
      <c r="B466" t="s">
        <v>239</v>
      </c>
      <c r="C466" s="217">
        <v>45938</v>
      </c>
      <c r="D466">
        <v>5208</v>
      </c>
      <c r="E466" t="s">
        <v>274</v>
      </c>
      <c r="F466" t="s">
        <v>180</v>
      </c>
      <c r="G466" t="s">
        <v>50</v>
      </c>
      <c r="H466">
        <v>1500085990</v>
      </c>
      <c r="I466">
        <v>1188455.3</v>
      </c>
      <c r="J466">
        <v>0</v>
      </c>
      <c r="K466" t="s">
        <v>22</v>
      </c>
      <c r="L466" t="s">
        <v>23</v>
      </c>
      <c r="M466" t="s">
        <v>24</v>
      </c>
      <c r="N466" t="s">
        <v>25</v>
      </c>
      <c r="O466">
        <v>0</v>
      </c>
      <c r="Q466" t="str">
        <f t="shared" si="14"/>
        <v/>
      </c>
      <c r="R466" t="str">
        <f t="shared" si="15"/>
        <v/>
      </c>
    </row>
    <row r="467" spans="1:18" x14ac:dyDescent="0.35">
      <c r="A467">
        <v>53004</v>
      </c>
      <c r="B467" t="s">
        <v>239</v>
      </c>
      <c r="C467" s="217">
        <v>45944</v>
      </c>
      <c r="D467">
        <v>5280</v>
      </c>
      <c r="E467" t="s">
        <v>284</v>
      </c>
      <c r="F467" t="s">
        <v>285</v>
      </c>
      <c r="G467" t="s">
        <v>50</v>
      </c>
      <c r="H467">
        <v>200003705</v>
      </c>
      <c r="I467">
        <v>4863228.91</v>
      </c>
      <c r="J467">
        <v>0</v>
      </c>
      <c r="K467" t="s">
        <v>22</v>
      </c>
      <c r="L467" t="s">
        <v>23</v>
      </c>
      <c r="M467" t="s">
        <v>24</v>
      </c>
      <c r="N467" t="s">
        <v>25</v>
      </c>
      <c r="O467">
        <v>0</v>
      </c>
      <c r="Q467" t="str">
        <f t="shared" si="14"/>
        <v/>
      </c>
      <c r="R467" t="str">
        <f t="shared" si="15"/>
        <v/>
      </c>
    </row>
    <row r="468" spans="1:18" x14ac:dyDescent="0.35">
      <c r="A468">
        <v>53004</v>
      </c>
      <c r="B468" t="s">
        <v>239</v>
      </c>
      <c r="C468" s="217">
        <v>45944</v>
      </c>
      <c r="D468">
        <v>5281</v>
      </c>
      <c r="E468" t="s">
        <v>284</v>
      </c>
      <c r="F468" t="s">
        <v>285</v>
      </c>
      <c r="G468" t="s">
        <v>50</v>
      </c>
      <c r="H468">
        <v>200003704</v>
      </c>
      <c r="I468">
        <v>8352790.6500000004</v>
      </c>
      <c r="J468">
        <v>0</v>
      </c>
      <c r="K468" t="s">
        <v>22</v>
      </c>
      <c r="L468" t="s">
        <v>23</v>
      </c>
      <c r="M468" t="s">
        <v>24</v>
      </c>
      <c r="N468" t="s">
        <v>25</v>
      </c>
      <c r="O468">
        <v>0</v>
      </c>
      <c r="Q468" t="str">
        <f t="shared" si="14"/>
        <v/>
      </c>
      <c r="R468" t="str">
        <f t="shared" si="15"/>
        <v/>
      </c>
    </row>
    <row r="469" spans="1:18" x14ac:dyDescent="0.35">
      <c r="A469">
        <v>53004</v>
      </c>
      <c r="B469" t="s">
        <v>239</v>
      </c>
      <c r="C469" s="217">
        <v>45950</v>
      </c>
      <c r="D469">
        <v>2396</v>
      </c>
      <c r="E469" t="s">
        <v>286</v>
      </c>
      <c r="F469" t="s">
        <v>28</v>
      </c>
      <c r="G469" t="s">
        <v>41</v>
      </c>
      <c r="H469">
        <v>7760</v>
      </c>
      <c r="I469">
        <v>75000</v>
      </c>
      <c r="J469">
        <v>0</v>
      </c>
      <c r="K469" t="s">
        <v>22</v>
      </c>
      <c r="L469" t="s">
        <v>23</v>
      </c>
      <c r="M469" t="s">
        <v>24</v>
      </c>
      <c r="N469" t="s">
        <v>25</v>
      </c>
      <c r="O469">
        <v>0</v>
      </c>
      <c r="Q469" t="str">
        <f t="shared" si="14"/>
        <v/>
      </c>
      <c r="R469" t="str">
        <f t="shared" si="15"/>
        <v/>
      </c>
    </row>
    <row r="470" spans="1:18" x14ac:dyDescent="0.35">
      <c r="A470">
        <v>53004</v>
      </c>
      <c r="B470" t="s">
        <v>239</v>
      </c>
      <c r="C470" s="217">
        <v>45951</v>
      </c>
      <c r="D470">
        <v>5412</v>
      </c>
      <c r="E470" t="s">
        <v>276</v>
      </c>
      <c r="F470" t="s">
        <v>255</v>
      </c>
      <c r="G470" t="s">
        <v>256</v>
      </c>
      <c r="H470">
        <v>22400006425</v>
      </c>
      <c r="I470">
        <v>232800</v>
      </c>
      <c r="J470">
        <v>0</v>
      </c>
      <c r="K470" t="s">
        <v>22</v>
      </c>
      <c r="L470" t="s">
        <v>23</v>
      </c>
      <c r="M470" t="s">
        <v>24</v>
      </c>
      <c r="N470" t="s">
        <v>25</v>
      </c>
      <c r="O470">
        <v>0</v>
      </c>
      <c r="Q470" t="str">
        <f t="shared" si="14"/>
        <v/>
      </c>
      <c r="R470" t="str">
        <f t="shared" si="15"/>
        <v/>
      </c>
    </row>
    <row r="471" spans="1:18" x14ac:dyDescent="0.35">
      <c r="A471">
        <v>53004</v>
      </c>
      <c r="B471" t="s">
        <v>239</v>
      </c>
      <c r="C471" s="217">
        <v>45952</v>
      </c>
      <c r="D471">
        <v>5648</v>
      </c>
      <c r="E471" t="s">
        <v>274</v>
      </c>
      <c r="F471" t="s">
        <v>180</v>
      </c>
      <c r="G471" t="s">
        <v>50</v>
      </c>
      <c r="H471">
        <v>1500086557</v>
      </c>
      <c r="I471">
        <v>410021.48</v>
      </c>
      <c r="J471">
        <v>0</v>
      </c>
      <c r="K471" t="s">
        <v>22</v>
      </c>
      <c r="L471" t="s">
        <v>23</v>
      </c>
      <c r="M471" t="s">
        <v>24</v>
      </c>
      <c r="N471" t="s">
        <v>25</v>
      </c>
      <c r="O471">
        <v>0</v>
      </c>
      <c r="Q471" t="str">
        <f t="shared" si="14"/>
        <v/>
      </c>
      <c r="R471" t="str">
        <f t="shared" si="15"/>
        <v/>
      </c>
    </row>
    <row r="472" spans="1:18" x14ac:dyDescent="0.35">
      <c r="A472">
        <v>53004</v>
      </c>
      <c r="B472" t="s">
        <v>239</v>
      </c>
      <c r="C472" s="217">
        <v>45959</v>
      </c>
      <c r="D472">
        <v>5649</v>
      </c>
      <c r="E472" t="s">
        <v>274</v>
      </c>
      <c r="F472" t="s">
        <v>180</v>
      </c>
      <c r="G472" t="s">
        <v>50</v>
      </c>
      <c r="H472">
        <v>1500086884</v>
      </c>
      <c r="I472">
        <v>288850.84000000003</v>
      </c>
      <c r="J472">
        <v>0</v>
      </c>
      <c r="K472" t="s">
        <v>22</v>
      </c>
      <c r="L472" t="s">
        <v>23</v>
      </c>
      <c r="M472" t="s">
        <v>24</v>
      </c>
      <c r="N472" t="s">
        <v>25</v>
      </c>
      <c r="O472">
        <v>0</v>
      </c>
      <c r="Q472" t="str">
        <f t="shared" si="14"/>
        <v/>
      </c>
      <c r="R472" t="str">
        <f t="shared" si="15"/>
        <v/>
      </c>
    </row>
    <row r="473" spans="1:18" x14ac:dyDescent="0.35">
      <c r="A473">
        <v>53004</v>
      </c>
      <c r="B473" t="s">
        <v>239</v>
      </c>
      <c r="C473" s="217">
        <v>45961</v>
      </c>
      <c r="D473">
        <v>5650</v>
      </c>
      <c r="E473" t="s">
        <v>274</v>
      </c>
      <c r="F473" t="s">
        <v>180</v>
      </c>
      <c r="G473" t="s">
        <v>50</v>
      </c>
      <c r="H473">
        <v>1500087118</v>
      </c>
      <c r="I473">
        <v>235213.32</v>
      </c>
      <c r="J473">
        <v>0</v>
      </c>
      <c r="K473" t="s">
        <v>22</v>
      </c>
      <c r="L473" t="s">
        <v>23</v>
      </c>
      <c r="M473" t="s">
        <v>24</v>
      </c>
      <c r="N473" t="s">
        <v>25</v>
      </c>
      <c r="O473">
        <v>0</v>
      </c>
      <c r="Q473" t="str">
        <f t="shared" si="14"/>
        <v/>
      </c>
      <c r="R473" t="str">
        <f t="shared" si="15"/>
        <v/>
      </c>
    </row>
    <row r="474" spans="1:18" x14ac:dyDescent="0.35">
      <c r="A474">
        <v>53004</v>
      </c>
      <c r="B474" t="s">
        <v>239</v>
      </c>
      <c r="C474" s="217">
        <v>46009</v>
      </c>
      <c r="D474">
        <v>687</v>
      </c>
      <c r="E474" t="s">
        <v>287</v>
      </c>
      <c r="F474" t="s">
        <v>246</v>
      </c>
      <c r="G474" t="s">
        <v>50</v>
      </c>
      <c r="H474">
        <v>1700047718</v>
      </c>
      <c r="I474">
        <v>961200</v>
      </c>
      <c r="J474">
        <v>0</v>
      </c>
      <c r="K474" t="s">
        <v>22</v>
      </c>
      <c r="L474" t="s">
        <v>23</v>
      </c>
      <c r="M474" t="s">
        <v>24</v>
      </c>
      <c r="N474" t="s">
        <v>25</v>
      </c>
      <c r="O474">
        <v>0</v>
      </c>
      <c r="Q474" t="str">
        <f t="shared" si="14"/>
        <v/>
      </c>
      <c r="R474" t="str">
        <f t="shared" si="15"/>
        <v/>
      </c>
    </row>
    <row r="475" spans="1:18" x14ac:dyDescent="0.35">
      <c r="A475">
        <v>53005</v>
      </c>
      <c r="B475" t="s">
        <v>288</v>
      </c>
      <c r="C475" s="217">
        <v>45706</v>
      </c>
      <c r="D475">
        <v>533</v>
      </c>
      <c r="E475" t="s">
        <v>289</v>
      </c>
      <c r="F475" t="s">
        <v>28</v>
      </c>
      <c r="G475" t="s">
        <v>41</v>
      </c>
      <c r="H475">
        <v>5959</v>
      </c>
      <c r="I475">
        <v>911200</v>
      </c>
      <c r="J475">
        <v>0</v>
      </c>
      <c r="K475" t="s">
        <v>22</v>
      </c>
      <c r="L475" t="s">
        <v>23</v>
      </c>
      <c r="M475" t="s">
        <v>24</v>
      </c>
      <c r="N475" t="s">
        <v>25</v>
      </c>
      <c r="O475">
        <v>0</v>
      </c>
      <c r="Q475" t="str">
        <f t="shared" si="14"/>
        <v/>
      </c>
      <c r="R475" t="str">
        <f t="shared" si="15"/>
        <v/>
      </c>
    </row>
    <row r="476" spans="1:18" x14ac:dyDescent="0.35">
      <c r="A476">
        <v>53005</v>
      </c>
      <c r="B476" t="s">
        <v>288</v>
      </c>
      <c r="C476" s="217">
        <v>45754</v>
      </c>
      <c r="D476">
        <v>971</v>
      </c>
      <c r="E476" t="s">
        <v>290</v>
      </c>
      <c r="F476" t="s">
        <v>28</v>
      </c>
      <c r="G476" t="s">
        <v>41</v>
      </c>
      <c r="H476">
        <v>6387</v>
      </c>
      <c r="I476">
        <v>229200</v>
      </c>
      <c r="J476">
        <v>0</v>
      </c>
      <c r="K476" t="s">
        <v>22</v>
      </c>
      <c r="L476" t="s">
        <v>23</v>
      </c>
      <c r="M476" t="s">
        <v>24</v>
      </c>
      <c r="N476" t="s">
        <v>25</v>
      </c>
      <c r="O476">
        <v>0</v>
      </c>
      <c r="Q476" t="str">
        <f t="shared" si="14"/>
        <v/>
      </c>
      <c r="R476" t="str">
        <f t="shared" si="15"/>
        <v/>
      </c>
    </row>
    <row r="477" spans="1:18" x14ac:dyDescent="0.35">
      <c r="A477">
        <v>53005</v>
      </c>
      <c r="B477" t="s">
        <v>288</v>
      </c>
      <c r="C477" s="217">
        <v>45763</v>
      </c>
      <c r="D477">
        <v>1191</v>
      </c>
      <c r="E477" t="s">
        <v>291</v>
      </c>
      <c r="F477" t="s">
        <v>292</v>
      </c>
      <c r="G477" t="s">
        <v>41</v>
      </c>
      <c r="H477">
        <v>6604</v>
      </c>
      <c r="I477">
        <v>2126070</v>
      </c>
      <c r="J477">
        <v>0</v>
      </c>
      <c r="K477" t="s">
        <v>22</v>
      </c>
      <c r="L477" t="s">
        <v>23</v>
      </c>
      <c r="M477" t="s">
        <v>24</v>
      </c>
      <c r="N477" t="s">
        <v>25</v>
      </c>
      <c r="O477">
        <v>0</v>
      </c>
      <c r="Q477" t="str">
        <f t="shared" si="14"/>
        <v/>
      </c>
      <c r="R477" t="str">
        <f t="shared" si="15"/>
        <v/>
      </c>
    </row>
    <row r="478" spans="1:18" x14ac:dyDescent="0.35">
      <c r="A478">
        <v>53005</v>
      </c>
      <c r="B478" t="s">
        <v>288</v>
      </c>
      <c r="C478" s="217">
        <v>45763</v>
      </c>
      <c r="D478">
        <v>1192</v>
      </c>
      <c r="E478" t="s">
        <v>293</v>
      </c>
      <c r="F478" t="s">
        <v>28</v>
      </c>
      <c r="G478" t="s">
        <v>41</v>
      </c>
      <c r="H478">
        <v>6605</v>
      </c>
      <c r="I478">
        <v>68700</v>
      </c>
      <c r="J478">
        <v>0</v>
      </c>
      <c r="K478" t="s">
        <v>22</v>
      </c>
      <c r="L478" t="s">
        <v>23</v>
      </c>
      <c r="M478" t="s">
        <v>24</v>
      </c>
      <c r="N478" t="s">
        <v>25</v>
      </c>
      <c r="O478">
        <v>0</v>
      </c>
      <c r="Q478" t="str">
        <f t="shared" si="14"/>
        <v/>
      </c>
      <c r="R478" t="str">
        <f t="shared" si="15"/>
        <v/>
      </c>
    </row>
    <row r="479" spans="1:18" x14ac:dyDescent="0.35">
      <c r="A479">
        <v>53005</v>
      </c>
      <c r="B479" t="s">
        <v>288</v>
      </c>
      <c r="C479" s="217">
        <v>45763</v>
      </c>
      <c r="D479">
        <v>1193</v>
      </c>
      <c r="E479" t="s">
        <v>294</v>
      </c>
      <c r="F479" t="s">
        <v>28</v>
      </c>
      <c r="G479" t="s">
        <v>41</v>
      </c>
      <c r="H479">
        <v>6606</v>
      </c>
      <c r="I479">
        <v>29430</v>
      </c>
      <c r="J479">
        <v>0</v>
      </c>
      <c r="K479" t="s">
        <v>22</v>
      </c>
      <c r="L479" t="s">
        <v>23</v>
      </c>
      <c r="M479" t="s">
        <v>24</v>
      </c>
      <c r="N479" t="s">
        <v>25</v>
      </c>
      <c r="O479">
        <v>0</v>
      </c>
      <c r="Q479" t="str">
        <f t="shared" si="14"/>
        <v/>
      </c>
      <c r="R479" t="str">
        <f t="shared" si="15"/>
        <v/>
      </c>
    </row>
    <row r="480" spans="1:18" x14ac:dyDescent="0.35">
      <c r="A480">
        <v>53005</v>
      </c>
      <c r="B480" t="s">
        <v>288</v>
      </c>
      <c r="C480" s="217">
        <v>45826</v>
      </c>
      <c r="D480">
        <v>1611</v>
      </c>
      <c r="E480" t="s">
        <v>295</v>
      </c>
      <c r="F480" t="s">
        <v>28</v>
      </c>
      <c r="G480" t="s">
        <v>41</v>
      </c>
      <c r="H480">
        <v>7011</v>
      </c>
      <c r="I480">
        <v>63170</v>
      </c>
      <c r="J480">
        <v>0</v>
      </c>
      <c r="K480" t="s">
        <v>22</v>
      </c>
      <c r="L480" t="s">
        <v>23</v>
      </c>
      <c r="M480" t="s">
        <v>24</v>
      </c>
      <c r="N480" t="s">
        <v>25</v>
      </c>
      <c r="O480">
        <v>0</v>
      </c>
      <c r="Q480" t="str">
        <f t="shared" si="14"/>
        <v/>
      </c>
      <c r="R480" t="str">
        <f t="shared" si="15"/>
        <v/>
      </c>
    </row>
    <row r="481" spans="1:18" x14ac:dyDescent="0.35">
      <c r="A481">
        <v>53005</v>
      </c>
      <c r="B481" t="s">
        <v>288</v>
      </c>
      <c r="C481" s="217">
        <v>45849</v>
      </c>
      <c r="D481">
        <v>1747</v>
      </c>
      <c r="E481" t="s">
        <v>296</v>
      </c>
      <c r="F481" t="s">
        <v>28</v>
      </c>
      <c r="G481" t="s">
        <v>41</v>
      </c>
      <c r="H481">
        <v>7147</v>
      </c>
      <c r="I481">
        <v>7895819</v>
      </c>
      <c r="J481">
        <v>0</v>
      </c>
      <c r="K481" t="s">
        <v>22</v>
      </c>
      <c r="L481" t="s">
        <v>23</v>
      </c>
      <c r="M481" t="s">
        <v>24</v>
      </c>
      <c r="N481" t="s">
        <v>25</v>
      </c>
      <c r="O481">
        <v>0</v>
      </c>
      <c r="Q481" t="str">
        <f t="shared" si="14"/>
        <v/>
      </c>
      <c r="R481" t="str">
        <f t="shared" si="15"/>
        <v/>
      </c>
    </row>
    <row r="482" spans="1:18" x14ac:dyDescent="0.35">
      <c r="A482">
        <v>53005</v>
      </c>
      <c r="B482" t="s">
        <v>288</v>
      </c>
      <c r="C482" s="217">
        <v>45849</v>
      </c>
      <c r="D482">
        <v>1748</v>
      </c>
      <c r="E482" t="s">
        <v>296</v>
      </c>
      <c r="F482" t="s">
        <v>28</v>
      </c>
      <c r="G482" t="s">
        <v>41</v>
      </c>
      <c r="H482">
        <v>7148</v>
      </c>
      <c r="I482">
        <v>236874</v>
      </c>
      <c r="J482">
        <v>0</v>
      </c>
      <c r="K482" t="s">
        <v>22</v>
      </c>
      <c r="L482" t="s">
        <v>23</v>
      </c>
      <c r="M482" t="s">
        <v>24</v>
      </c>
      <c r="N482" t="s">
        <v>25</v>
      </c>
      <c r="O482">
        <v>0</v>
      </c>
      <c r="Q482" t="str">
        <f t="shared" si="14"/>
        <v/>
      </c>
      <c r="R482" t="str">
        <f t="shared" si="15"/>
        <v/>
      </c>
    </row>
    <row r="483" spans="1:18" x14ac:dyDescent="0.35">
      <c r="A483">
        <v>53005</v>
      </c>
      <c r="B483" t="s">
        <v>288</v>
      </c>
      <c r="C483" s="217">
        <v>45877</v>
      </c>
      <c r="D483">
        <v>1895</v>
      </c>
      <c r="E483" t="s">
        <v>297</v>
      </c>
      <c r="F483" t="s">
        <v>28</v>
      </c>
      <c r="G483" t="s">
        <v>41</v>
      </c>
      <c r="H483">
        <v>7290</v>
      </c>
      <c r="I483">
        <v>500000</v>
      </c>
      <c r="J483">
        <v>0</v>
      </c>
      <c r="K483" t="s">
        <v>22</v>
      </c>
      <c r="L483" t="s">
        <v>23</v>
      </c>
      <c r="M483" t="s">
        <v>24</v>
      </c>
      <c r="N483" t="s">
        <v>25</v>
      </c>
      <c r="O483">
        <v>0</v>
      </c>
      <c r="Q483" t="str">
        <f t="shared" si="14"/>
        <v/>
      </c>
      <c r="R483" t="str">
        <f t="shared" si="15"/>
        <v/>
      </c>
    </row>
    <row r="484" spans="1:18" x14ac:dyDescent="0.35">
      <c r="A484">
        <v>53005</v>
      </c>
      <c r="B484" t="s">
        <v>288</v>
      </c>
      <c r="C484" s="217">
        <v>45911</v>
      </c>
      <c r="D484">
        <v>2265</v>
      </c>
      <c r="E484" t="s">
        <v>298</v>
      </c>
      <c r="F484" t="s">
        <v>28</v>
      </c>
      <c r="G484" t="s">
        <v>41</v>
      </c>
      <c r="H484">
        <v>7546</v>
      </c>
      <c r="I484">
        <v>274662</v>
      </c>
      <c r="J484">
        <v>0</v>
      </c>
      <c r="K484" t="s">
        <v>22</v>
      </c>
      <c r="L484" t="s">
        <v>23</v>
      </c>
      <c r="M484" t="s">
        <v>24</v>
      </c>
      <c r="N484" t="s">
        <v>25</v>
      </c>
      <c r="O484">
        <v>0</v>
      </c>
      <c r="Q484" t="str">
        <f t="shared" si="14"/>
        <v/>
      </c>
      <c r="R484" t="str">
        <f t="shared" si="15"/>
        <v/>
      </c>
    </row>
    <row r="485" spans="1:18" x14ac:dyDescent="0.35">
      <c r="A485">
        <v>53005</v>
      </c>
      <c r="B485" t="s">
        <v>288</v>
      </c>
      <c r="C485" s="217">
        <v>45932</v>
      </c>
      <c r="D485">
        <v>2252</v>
      </c>
      <c r="E485" t="s">
        <v>299</v>
      </c>
      <c r="F485" t="s">
        <v>28</v>
      </c>
      <c r="G485" t="s">
        <v>41</v>
      </c>
      <c r="H485">
        <v>7623</v>
      </c>
      <c r="I485">
        <v>56200</v>
      </c>
      <c r="J485">
        <v>0</v>
      </c>
      <c r="K485" t="s">
        <v>22</v>
      </c>
      <c r="L485" t="s">
        <v>23</v>
      </c>
      <c r="M485" t="s">
        <v>24</v>
      </c>
      <c r="N485" t="s">
        <v>25</v>
      </c>
      <c r="O485">
        <v>0</v>
      </c>
      <c r="Q485" t="str">
        <f t="shared" si="14"/>
        <v/>
      </c>
      <c r="R485" t="str">
        <f t="shared" si="15"/>
        <v/>
      </c>
    </row>
    <row r="486" spans="1:18" x14ac:dyDescent="0.35">
      <c r="A486">
        <v>53005</v>
      </c>
      <c r="B486" t="s">
        <v>288</v>
      </c>
      <c r="C486" s="217">
        <v>45939</v>
      </c>
      <c r="D486">
        <v>2354</v>
      </c>
      <c r="E486" t="s">
        <v>300</v>
      </c>
      <c r="F486" t="s">
        <v>28</v>
      </c>
      <c r="G486" t="s">
        <v>41</v>
      </c>
      <c r="H486">
        <v>7724</v>
      </c>
      <c r="I486">
        <v>4422000</v>
      </c>
      <c r="J486">
        <v>0</v>
      </c>
      <c r="K486" t="s">
        <v>22</v>
      </c>
      <c r="L486" t="s">
        <v>23</v>
      </c>
      <c r="M486" t="s">
        <v>24</v>
      </c>
      <c r="N486" t="s">
        <v>25</v>
      </c>
      <c r="O486">
        <v>0</v>
      </c>
      <c r="Q486" t="str">
        <f t="shared" si="14"/>
        <v/>
      </c>
      <c r="R486" t="str">
        <f t="shared" si="15"/>
        <v/>
      </c>
    </row>
    <row r="487" spans="1:18" x14ac:dyDescent="0.35">
      <c r="A487">
        <v>53005</v>
      </c>
      <c r="B487" t="s">
        <v>288</v>
      </c>
      <c r="C487" s="217">
        <v>45971</v>
      </c>
      <c r="D487">
        <v>39</v>
      </c>
      <c r="E487" t="s">
        <v>301</v>
      </c>
      <c r="F487" t="s">
        <v>28</v>
      </c>
      <c r="G487" t="s">
        <v>41</v>
      </c>
      <c r="H487">
        <v>7964</v>
      </c>
      <c r="I487">
        <v>621500</v>
      </c>
      <c r="J487">
        <v>0</v>
      </c>
      <c r="K487" t="s">
        <v>22</v>
      </c>
      <c r="L487" t="s">
        <v>23</v>
      </c>
      <c r="M487" t="s">
        <v>24</v>
      </c>
      <c r="N487" t="s">
        <v>25</v>
      </c>
      <c r="O487">
        <v>0</v>
      </c>
      <c r="Q487" t="str">
        <f t="shared" si="14"/>
        <v/>
      </c>
      <c r="R487" t="str">
        <f t="shared" si="15"/>
        <v/>
      </c>
    </row>
    <row r="488" spans="1:18" x14ac:dyDescent="0.35">
      <c r="A488">
        <v>53005</v>
      </c>
      <c r="B488" t="s">
        <v>288</v>
      </c>
      <c r="C488" s="217">
        <v>45986</v>
      </c>
      <c r="D488">
        <v>88</v>
      </c>
      <c r="E488" t="s">
        <v>302</v>
      </c>
      <c r="F488" t="s">
        <v>28</v>
      </c>
      <c r="G488" t="s">
        <v>41</v>
      </c>
      <c r="H488">
        <v>8013</v>
      </c>
      <c r="I488">
        <v>1860510</v>
      </c>
      <c r="J488">
        <v>0</v>
      </c>
      <c r="K488" t="s">
        <v>22</v>
      </c>
      <c r="L488" t="s">
        <v>23</v>
      </c>
      <c r="M488" t="s">
        <v>24</v>
      </c>
      <c r="N488" t="s">
        <v>25</v>
      </c>
      <c r="O488">
        <v>0</v>
      </c>
      <c r="Q488" t="str">
        <f t="shared" si="14"/>
        <v/>
      </c>
      <c r="R488" t="str">
        <f t="shared" si="15"/>
        <v/>
      </c>
    </row>
    <row r="489" spans="1:18" x14ac:dyDescent="0.35">
      <c r="A489">
        <v>53005</v>
      </c>
      <c r="B489" t="s">
        <v>288</v>
      </c>
      <c r="C489" s="217">
        <v>45986</v>
      </c>
      <c r="D489">
        <v>89</v>
      </c>
      <c r="E489" t="s">
        <v>303</v>
      </c>
      <c r="F489" t="s">
        <v>28</v>
      </c>
      <c r="G489" t="s">
        <v>41</v>
      </c>
      <c r="H489">
        <v>8014</v>
      </c>
      <c r="I489">
        <v>1620678</v>
      </c>
      <c r="J489">
        <v>0</v>
      </c>
      <c r="K489" t="s">
        <v>22</v>
      </c>
      <c r="L489" t="s">
        <v>23</v>
      </c>
      <c r="M489" t="s">
        <v>24</v>
      </c>
      <c r="N489" t="s">
        <v>25</v>
      </c>
      <c r="O489">
        <v>0</v>
      </c>
      <c r="Q489" t="str">
        <f t="shared" si="14"/>
        <v/>
      </c>
      <c r="R489" t="str">
        <f t="shared" si="15"/>
        <v/>
      </c>
    </row>
    <row r="490" spans="1:18" x14ac:dyDescent="0.35">
      <c r="A490">
        <v>53005</v>
      </c>
      <c r="B490" t="s">
        <v>288</v>
      </c>
      <c r="C490" s="217">
        <v>46001</v>
      </c>
      <c r="D490">
        <v>144</v>
      </c>
      <c r="E490" t="s">
        <v>304</v>
      </c>
      <c r="F490" t="s">
        <v>28</v>
      </c>
      <c r="G490" t="s">
        <v>41</v>
      </c>
      <c r="H490">
        <v>8163</v>
      </c>
      <c r="I490">
        <v>1923300</v>
      </c>
      <c r="J490">
        <v>0</v>
      </c>
      <c r="K490" t="s">
        <v>22</v>
      </c>
      <c r="L490" t="s">
        <v>23</v>
      </c>
      <c r="M490" t="s">
        <v>24</v>
      </c>
      <c r="N490" t="s">
        <v>25</v>
      </c>
      <c r="O490">
        <v>0</v>
      </c>
      <c r="Q490" t="str">
        <f t="shared" si="14"/>
        <v/>
      </c>
      <c r="R490" t="str">
        <f t="shared" si="15"/>
        <v/>
      </c>
    </row>
    <row r="491" spans="1:18" x14ac:dyDescent="0.35">
      <c r="A491">
        <v>53008</v>
      </c>
      <c r="B491" t="s">
        <v>305</v>
      </c>
      <c r="C491" s="217">
        <v>45709</v>
      </c>
      <c r="D491">
        <v>1469</v>
      </c>
      <c r="E491" t="s">
        <v>306</v>
      </c>
      <c r="F491" t="s">
        <v>194</v>
      </c>
      <c r="G491" t="s">
        <v>50</v>
      </c>
      <c r="H491">
        <v>600010845</v>
      </c>
      <c r="I491">
        <v>7479.36</v>
      </c>
      <c r="J491">
        <v>0</v>
      </c>
      <c r="K491" t="s">
        <v>22</v>
      </c>
      <c r="L491" t="s">
        <v>23</v>
      </c>
      <c r="M491" t="s">
        <v>24</v>
      </c>
      <c r="N491" t="s">
        <v>25</v>
      </c>
      <c r="O491">
        <v>0</v>
      </c>
      <c r="Q491" t="str">
        <f t="shared" si="14"/>
        <v/>
      </c>
      <c r="R491" t="str">
        <f t="shared" si="15"/>
        <v/>
      </c>
    </row>
    <row r="492" spans="1:18" x14ac:dyDescent="0.35">
      <c r="A492">
        <v>53008</v>
      </c>
      <c r="B492" t="s">
        <v>305</v>
      </c>
      <c r="C492" s="217">
        <v>45728</v>
      </c>
      <c r="D492">
        <v>1568</v>
      </c>
      <c r="E492" t="s">
        <v>307</v>
      </c>
      <c r="F492" t="s">
        <v>171</v>
      </c>
      <c r="G492" t="s">
        <v>50</v>
      </c>
      <c r="H492">
        <v>200011848</v>
      </c>
      <c r="I492">
        <v>141995.76</v>
      </c>
      <c r="J492">
        <v>0</v>
      </c>
      <c r="K492" t="s">
        <v>22</v>
      </c>
      <c r="L492" t="s">
        <v>23</v>
      </c>
      <c r="M492" t="s">
        <v>24</v>
      </c>
      <c r="N492" t="s">
        <v>25</v>
      </c>
      <c r="O492">
        <v>0</v>
      </c>
      <c r="Q492" t="str">
        <f t="shared" si="14"/>
        <v/>
      </c>
      <c r="R492" t="str">
        <f t="shared" si="15"/>
        <v/>
      </c>
    </row>
    <row r="493" spans="1:18" x14ac:dyDescent="0.35">
      <c r="A493">
        <v>53008</v>
      </c>
      <c r="B493" t="s">
        <v>305</v>
      </c>
      <c r="C493" s="217">
        <v>45735</v>
      </c>
      <c r="D493">
        <v>1953</v>
      </c>
      <c r="E493" t="s">
        <v>308</v>
      </c>
      <c r="F493" t="s">
        <v>196</v>
      </c>
      <c r="G493" t="s">
        <v>50</v>
      </c>
      <c r="H493">
        <v>1000000053</v>
      </c>
      <c r="I493">
        <v>1653</v>
      </c>
      <c r="J493">
        <v>0</v>
      </c>
      <c r="K493" t="s">
        <v>22</v>
      </c>
      <c r="L493" t="s">
        <v>23</v>
      </c>
      <c r="M493" t="s">
        <v>24</v>
      </c>
      <c r="N493" t="s">
        <v>25</v>
      </c>
      <c r="O493">
        <v>0</v>
      </c>
      <c r="Q493" t="str">
        <f t="shared" si="14"/>
        <v/>
      </c>
      <c r="R493" t="str">
        <f t="shared" si="15"/>
        <v/>
      </c>
    </row>
    <row r="494" spans="1:18" x14ac:dyDescent="0.35">
      <c r="A494">
        <v>53008</v>
      </c>
      <c r="B494" t="s">
        <v>305</v>
      </c>
      <c r="C494" s="217">
        <v>45821</v>
      </c>
      <c r="D494">
        <v>3317</v>
      </c>
      <c r="E494" t="s">
        <v>309</v>
      </c>
      <c r="F494" t="s">
        <v>180</v>
      </c>
      <c r="G494" t="s">
        <v>50</v>
      </c>
      <c r="H494">
        <v>1500080784</v>
      </c>
      <c r="I494">
        <v>43528.94</v>
      </c>
      <c r="J494">
        <v>0</v>
      </c>
      <c r="K494" t="s">
        <v>22</v>
      </c>
      <c r="L494" t="s">
        <v>23</v>
      </c>
      <c r="M494" t="s">
        <v>24</v>
      </c>
      <c r="N494" t="s">
        <v>25</v>
      </c>
      <c r="O494">
        <v>0</v>
      </c>
      <c r="Q494" t="str">
        <f t="shared" si="14"/>
        <v/>
      </c>
      <c r="R494" t="str">
        <f t="shared" si="15"/>
        <v/>
      </c>
    </row>
    <row r="495" spans="1:18" x14ac:dyDescent="0.35">
      <c r="A495">
        <v>53008</v>
      </c>
      <c r="B495" t="s">
        <v>305</v>
      </c>
      <c r="C495" s="217">
        <v>45878</v>
      </c>
      <c r="D495">
        <v>4105</v>
      </c>
      <c r="E495" t="s">
        <v>310</v>
      </c>
      <c r="F495" t="s">
        <v>49</v>
      </c>
      <c r="G495" t="s">
        <v>50</v>
      </c>
      <c r="H495">
        <v>1000205454</v>
      </c>
      <c r="I495">
        <v>73627.81</v>
      </c>
      <c r="J495">
        <v>0</v>
      </c>
      <c r="K495" t="s">
        <v>22</v>
      </c>
      <c r="L495" t="s">
        <v>23</v>
      </c>
      <c r="M495" t="s">
        <v>24</v>
      </c>
      <c r="N495" t="s">
        <v>25</v>
      </c>
      <c r="O495">
        <v>0</v>
      </c>
      <c r="Q495" t="str">
        <f t="shared" si="14"/>
        <v/>
      </c>
      <c r="R495" t="str">
        <f t="shared" si="15"/>
        <v/>
      </c>
    </row>
    <row r="496" spans="1:18" x14ac:dyDescent="0.35">
      <c r="A496">
        <v>53008</v>
      </c>
      <c r="B496" t="s">
        <v>305</v>
      </c>
      <c r="C496" s="217">
        <v>45878</v>
      </c>
      <c r="D496">
        <v>4109</v>
      </c>
      <c r="E496" t="s">
        <v>52</v>
      </c>
      <c r="F496" t="s">
        <v>49</v>
      </c>
      <c r="G496" t="s">
        <v>50</v>
      </c>
      <c r="H496">
        <v>1000205482</v>
      </c>
      <c r="I496">
        <v>98236.800000000003</v>
      </c>
      <c r="J496">
        <v>0</v>
      </c>
      <c r="K496" t="s">
        <v>22</v>
      </c>
      <c r="L496" t="s">
        <v>23</v>
      </c>
      <c r="M496" t="s">
        <v>24</v>
      </c>
      <c r="N496" t="s">
        <v>25</v>
      </c>
      <c r="O496">
        <v>0</v>
      </c>
      <c r="Q496" t="str">
        <f t="shared" si="14"/>
        <v/>
      </c>
      <c r="R496" t="str">
        <f t="shared" si="15"/>
        <v/>
      </c>
    </row>
    <row r="497" spans="1:18" x14ac:dyDescent="0.35">
      <c r="A497">
        <v>53008</v>
      </c>
      <c r="B497" t="s">
        <v>305</v>
      </c>
      <c r="C497" s="217">
        <v>45932</v>
      </c>
      <c r="D497">
        <v>5123</v>
      </c>
      <c r="E497" t="s">
        <v>311</v>
      </c>
      <c r="F497" t="s">
        <v>142</v>
      </c>
      <c r="G497" t="s">
        <v>50</v>
      </c>
      <c r="H497">
        <v>400002164</v>
      </c>
      <c r="I497">
        <v>226115.7</v>
      </c>
      <c r="J497">
        <v>0</v>
      </c>
      <c r="K497" t="s">
        <v>22</v>
      </c>
      <c r="L497" t="s">
        <v>23</v>
      </c>
      <c r="M497" t="s">
        <v>24</v>
      </c>
      <c r="N497" t="s">
        <v>25</v>
      </c>
      <c r="O497">
        <v>0</v>
      </c>
      <c r="Q497" t="str">
        <f t="shared" si="14"/>
        <v/>
      </c>
      <c r="R497" t="str">
        <f t="shared" si="15"/>
        <v/>
      </c>
    </row>
    <row r="498" spans="1:18" x14ac:dyDescent="0.35">
      <c r="A498">
        <v>53008</v>
      </c>
      <c r="B498" t="s">
        <v>305</v>
      </c>
      <c r="C498" s="217">
        <v>45934</v>
      </c>
      <c r="D498">
        <v>5149</v>
      </c>
      <c r="E498" t="s">
        <v>312</v>
      </c>
      <c r="F498" t="s">
        <v>178</v>
      </c>
      <c r="G498" t="s">
        <v>70</v>
      </c>
      <c r="H498">
        <v>400015214</v>
      </c>
      <c r="I498">
        <v>32314.07</v>
      </c>
      <c r="J498">
        <v>0</v>
      </c>
      <c r="K498" t="s">
        <v>22</v>
      </c>
      <c r="L498" t="s">
        <v>23</v>
      </c>
      <c r="M498" t="s">
        <v>24</v>
      </c>
      <c r="N498" t="s">
        <v>25</v>
      </c>
      <c r="O498">
        <v>0</v>
      </c>
      <c r="Q498" t="str">
        <f t="shared" si="14"/>
        <v/>
      </c>
      <c r="R498" t="str">
        <f t="shared" si="15"/>
        <v/>
      </c>
    </row>
    <row r="499" spans="1:18" x14ac:dyDescent="0.35">
      <c r="A499">
        <v>53008</v>
      </c>
      <c r="B499" t="s">
        <v>305</v>
      </c>
      <c r="C499" s="217">
        <v>45938</v>
      </c>
      <c r="D499">
        <v>5208</v>
      </c>
      <c r="E499" t="s">
        <v>313</v>
      </c>
      <c r="F499" t="s">
        <v>180</v>
      </c>
      <c r="G499" t="s">
        <v>50</v>
      </c>
      <c r="H499">
        <v>1500085990</v>
      </c>
      <c r="I499">
        <v>124302.82</v>
      </c>
      <c r="J499">
        <v>0</v>
      </c>
      <c r="K499" t="s">
        <v>22</v>
      </c>
      <c r="L499" t="s">
        <v>23</v>
      </c>
      <c r="M499" t="s">
        <v>24</v>
      </c>
      <c r="N499" t="s">
        <v>25</v>
      </c>
      <c r="O499">
        <v>0</v>
      </c>
      <c r="Q499" t="str">
        <f t="shared" si="14"/>
        <v/>
      </c>
      <c r="R499" t="str">
        <f t="shared" si="15"/>
        <v/>
      </c>
    </row>
    <row r="500" spans="1:18" x14ac:dyDescent="0.35">
      <c r="A500">
        <v>53008</v>
      </c>
      <c r="B500" t="s">
        <v>305</v>
      </c>
      <c r="C500" s="217">
        <v>45945</v>
      </c>
      <c r="D500">
        <v>5503</v>
      </c>
      <c r="E500" t="s">
        <v>314</v>
      </c>
      <c r="F500" t="s">
        <v>315</v>
      </c>
      <c r="G500" t="s">
        <v>50</v>
      </c>
      <c r="H500">
        <v>800028501</v>
      </c>
      <c r="I500">
        <v>4528.9799999999996</v>
      </c>
      <c r="J500">
        <v>0</v>
      </c>
      <c r="K500" t="s">
        <v>22</v>
      </c>
      <c r="L500" t="s">
        <v>23</v>
      </c>
      <c r="M500" t="s">
        <v>24</v>
      </c>
      <c r="N500" t="s">
        <v>25</v>
      </c>
      <c r="O500">
        <v>0</v>
      </c>
      <c r="Q500" t="str">
        <f t="shared" si="14"/>
        <v/>
      </c>
      <c r="R500" t="str">
        <f t="shared" si="15"/>
        <v/>
      </c>
    </row>
    <row r="501" spans="1:18" x14ac:dyDescent="0.35">
      <c r="A501">
        <v>53008</v>
      </c>
      <c r="B501" t="s">
        <v>305</v>
      </c>
      <c r="C501" s="217">
        <v>45945</v>
      </c>
      <c r="D501">
        <v>5504</v>
      </c>
      <c r="E501" t="s">
        <v>314</v>
      </c>
      <c r="F501" t="s">
        <v>315</v>
      </c>
      <c r="G501" t="s">
        <v>50</v>
      </c>
      <c r="H501">
        <v>800028502</v>
      </c>
      <c r="I501">
        <v>2264.4899999999998</v>
      </c>
      <c r="J501">
        <v>0</v>
      </c>
      <c r="K501" t="s">
        <v>22</v>
      </c>
      <c r="L501" t="s">
        <v>23</v>
      </c>
      <c r="M501" t="s">
        <v>24</v>
      </c>
      <c r="N501" t="s">
        <v>25</v>
      </c>
      <c r="O501">
        <v>0</v>
      </c>
      <c r="Q501" t="str">
        <f t="shared" si="14"/>
        <v/>
      </c>
      <c r="R501" t="str">
        <f t="shared" si="15"/>
        <v/>
      </c>
    </row>
    <row r="502" spans="1:18" x14ac:dyDescent="0.35">
      <c r="A502">
        <v>53008</v>
      </c>
      <c r="B502" t="s">
        <v>305</v>
      </c>
      <c r="C502" s="217">
        <v>45952</v>
      </c>
      <c r="D502">
        <v>5648</v>
      </c>
      <c r="E502" t="s">
        <v>309</v>
      </c>
      <c r="F502" t="s">
        <v>180</v>
      </c>
      <c r="G502" t="s">
        <v>50</v>
      </c>
      <c r="H502">
        <v>1500086557</v>
      </c>
      <c r="I502">
        <v>72519.3</v>
      </c>
      <c r="J502">
        <v>0</v>
      </c>
      <c r="K502" t="s">
        <v>22</v>
      </c>
      <c r="L502" t="s">
        <v>23</v>
      </c>
      <c r="M502" t="s">
        <v>24</v>
      </c>
      <c r="N502" t="s">
        <v>25</v>
      </c>
      <c r="O502">
        <v>0</v>
      </c>
    </row>
    <row r="503" spans="1:18" x14ac:dyDescent="0.35">
      <c r="A503">
        <v>53008</v>
      </c>
      <c r="B503" t="s">
        <v>305</v>
      </c>
      <c r="C503" s="217">
        <v>45952</v>
      </c>
      <c r="D503">
        <v>5648</v>
      </c>
      <c r="E503" t="s">
        <v>309</v>
      </c>
      <c r="F503" t="s">
        <v>180</v>
      </c>
      <c r="G503" t="s">
        <v>50</v>
      </c>
      <c r="H503">
        <v>1500086557</v>
      </c>
      <c r="I503">
        <v>20661.16</v>
      </c>
      <c r="J503">
        <v>0</v>
      </c>
      <c r="K503" t="s">
        <v>22</v>
      </c>
      <c r="L503" t="s">
        <v>23</v>
      </c>
      <c r="M503" t="s">
        <v>24</v>
      </c>
      <c r="N503" t="s">
        <v>25</v>
      </c>
      <c r="O503">
        <v>0</v>
      </c>
    </row>
    <row r="504" spans="1:18" x14ac:dyDescent="0.35">
      <c r="A504">
        <v>53008</v>
      </c>
      <c r="B504" t="s">
        <v>305</v>
      </c>
      <c r="C504" s="217">
        <v>45959</v>
      </c>
      <c r="D504">
        <v>5558</v>
      </c>
      <c r="E504" t="s">
        <v>316</v>
      </c>
      <c r="F504" t="s">
        <v>183</v>
      </c>
      <c r="G504" t="s">
        <v>50</v>
      </c>
      <c r="H504">
        <v>2400127318</v>
      </c>
      <c r="I504">
        <v>12524830.699999999</v>
      </c>
      <c r="J504">
        <v>0</v>
      </c>
      <c r="K504" t="s">
        <v>22</v>
      </c>
      <c r="L504" t="s">
        <v>23</v>
      </c>
      <c r="M504" t="s">
        <v>24</v>
      </c>
      <c r="N504" t="s">
        <v>25</v>
      </c>
      <c r="O504">
        <v>0</v>
      </c>
    </row>
    <row r="505" spans="1:18" x14ac:dyDescent="0.35">
      <c r="A505">
        <v>53008</v>
      </c>
      <c r="B505" t="s">
        <v>305</v>
      </c>
      <c r="C505" s="217">
        <v>45973</v>
      </c>
      <c r="D505">
        <v>95</v>
      </c>
      <c r="E505" t="s">
        <v>317</v>
      </c>
      <c r="F505" t="s">
        <v>142</v>
      </c>
      <c r="G505" t="s">
        <v>50</v>
      </c>
      <c r="H505">
        <v>400002307</v>
      </c>
      <c r="I505">
        <v>414528.93</v>
      </c>
      <c r="J505">
        <v>0</v>
      </c>
      <c r="K505" t="s">
        <v>22</v>
      </c>
      <c r="L505" t="s">
        <v>23</v>
      </c>
      <c r="M505" t="s">
        <v>24</v>
      </c>
      <c r="N505" t="s">
        <v>25</v>
      </c>
      <c r="O505">
        <v>0</v>
      </c>
    </row>
    <row r="506" spans="1:18" x14ac:dyDescent="0.35">
      <c r="A506">
        <v>53008</v>
      </c>
      <c r="B506" t="s">
        <v>305</v>
      </c>
      <c r="C506" s="217">
        <v>45974</v>
      </c>
      <c r="D506">
        <v>157</v>
      </c>
      <c r="E506" t="s">
        <v>318</v>
      </c>
      <c r="F506" t="s">
        <v>28</v>
      </c>
      <c r="G506" t="s">
        <v>41</v>
      </c>
      <c r="H506">
        <v>8176</v>
      </c>
      <c r="I506">
        <v>2807107</v>
      </c>
      <c r="J506">
        <v>0</v>
      </c>
      <c r="K506" t="s">
        <v>22</v>
      </c>
      <c r="L506" t="s">
        <v>23</v>
      </c>
      <c r="M506" t="s">
        <v>24</v>
      </c>
      <c r="N506" t="s">
        <v>25</v>
      </c>
      <c r="O506">
        <v>0</v>
      </c>
    </row>
    <row r="507" spans="1:18" x14ac:dyDescent="0.35">
      <c r="A507">
        <v>53008</v>
      </c>
      <c r="B507" t="s">
        <v>305</v>
      </c>
      <c r="C507" s="217">
        <v>45982</v>
      </c>
      <c r="D507">
        <v>344</v>
      </c>
      <c r="E507" t="s">
        <v>309</v>
      </c>
      <c r="F507" t="s">
        <v>180</v>
      </c>
      <c r="G507" t="s">
        <v>50</v>
      </c>
      <c r="H507">
        <v>1500088156</v>
      </c>
      <c r="I507">
        <v>40747.14</v>
      </c>
      <c r="J507">
        <v>0</v>
      </c>
      <c r="K507" t="s">
        <v>22</v>
      </c>
      <c r="L507" t="s">
        <v>23</v>
      </c>
      <c r="M507" t="s">
        <v>24</v>
      </c>
      <c r="N507" t="s">
        <v>25</v>
      </c>
      <c r="O507">
        <v>0</v>
      </c>
    </row>
    <row r="508" spans="1:18" x14ac:dyDescent="0.35">
      <c r="A508">
        <v>53008</v>
      </c>
      <c r="B508" t="s">
        <v>305</v>
      </c>
      <c r="C508" s="217">
        <v>45989</v>
      </c>
      <c r="D508">
        <v>242</v>
      </c>
      <c r="E508" t="s">
        <v>309</v>
      </c>
      <c r="F508" t="s">
        <v>180</v>
      </c>
      <c r="G508" t="s">
        <v>50</v>
      </c>
      <c r="H508">
        <v>1500088398</v>
      </c>
      <c r="I508">
        <v>120330</v>
      </c>
      <c r="J508">
        <v>0</v>
      </c>
      <c r="K508" t="s">
        <v>22</v>
      </c>
      <c r="L508" t="s">
        <v>23</v>
      </c>
      <c r="M508" t="s">
        <v>24</v>
      </c>
      <c r="N508" t="s">
        <v>25</v>
      </c>
      <c r="O508">
        <v>0</v>
      </c>
    </row>
    <row r="509" spans="1:18" x14ac:dyDescent="0.35">
      <c r="A509">
        <v>53008</v>
      </c>
      <c r="B509" t="s">
        <v>305</v>
      </c>
      <c r="C509" s="217">
        <v>45996</v>
      </c>
      <c r="D509">
        <v>374</v>
      </c>
      <c r="E509" t="s">
        <v>309</v>
      </c>
      <c r="F509" t="s">
        <v>180</v>
      </c>
      <c r="G509" t="s">
        <v>50</v>
      </c>
      <c r="H509">
        <v>1500088657</v>
      </c>
      <c r="I509">
        <v>1074966.1599999999</v>
      </c>
      <c r="J509">
        <v>0</v>
      </c>
      <c r="K509" t="s">
        <v>22</v>
      </c>
      <c r="L509" t="s">
        <v>23</v>
      </c>
      <c r="M509" t="s">
        <v>24</v>
      </c>
      <c r="N509" t="s">
        <v>25</v>
      </c>
      <c r="O509">
        <v>0</v>
      </c>
    </row>
    <row r="510" spans="1:18" x14ac:dyDescent="0.35">
      <c r="A510">
        <v>53008</v>
      </c>
      <c r="B510" t="s">
        <v>305</v>
      </c>
      <c r="C510" s="217">
        <v>46050</v>
      </c>
      <c r="D510">
        <v>1053</v>
      </c>
      <c r="E510" t="s">
        <v>309</v>
      </c>
      <c r="F510" t="s">
        <v>180</v>
      </c>
      <c r="G510" t="s">
        <v>50</v>
      </c>
      <c r="H510">
        <v>1500090410</v>
      </c>
      <c r="I510">
        <v>2338455.54</v>
      </c>
      <c r="J510">
        <v>0</v>
      </c>
      <c r="K510" t="s">
        <v>22</v>
      </c>
      <c r="L510" t="s">
        <v>23</v>
      </c>
      <c r="M510" t="s">
        <v>24</v>
      </c>
      <c r="N510" t="s">
        <v>25</v>
      </c>
      <c r="O510">
        <v>0</v>
      </c>
    </row>
    <row r="511" spans="1:18" x14ac:dyDescent="0.35">
      <c r="A511">
        <v>53008</v>
      </c>
      <c r="B511" t="s">
        <v>305</v>
      </c>
      <c r="C511" s="217">
        <v>46059</v>
      </c>
      <c r="D511">
        <v>1661</v>
      </c>
      <c r="E511" t="s">
        <v>309</v>
      </c>
      <c r="F511" t="s">
        <v>180</v>
      </c>
      <c r="G511" t="s">
        <v>50</v>
      </c>
      <c r="H511">
        <v>1500090793</v>
      </c>
      <c r="I511">
        <v>490042.13</v>
      </c>
      <c r="J511">
        <v>0</v>
      </c>
      <c r="K511" t="s">
        <v>22</v>
      </c>
      <c r="L511" t="s">
        <v>23</v>
      </c>
      <c r="M511" t="s">
        <v>24</v>
      </c>
      <c r="N511" t="s">
        <v>25</v>
      </c>
      <c r="O511">
        <v>0</v>
      </c>
    </row>
    <row r="512" spans="1:18" x14ac:dyDescent="0.35">
      <c r="A512">
        <v>53008</v>
      </c>
      <c r="B512" t="s">
        <v>305</v>
      </c>
      <c r="C512" s="217">
        <v>46066</v>
      </c>
      <c r="D512">
        <v>1663</v>
      </c>
      <c r="E512" t="s">
        <v>309</v>
      </c>
      <c r="F512" t="s">
        <v>180</v>
      </c>
      <c r="G512" t="s">
        <v>50</v>
      </c>
      <c r="H512">
        <v>1500091168</v>
      </c>
      <c r="I512">
        <v>2033596.02</v>
      </c>
      <c r="J512">
        <v>0</v>
      </c>
      <c r="K512" t="s">
        <v>22</v>
      </c>
      <c r="L512" t="s">
        <v>23</v>
      </c>
      <c r="M512" t="s">
        <v>24</v>
      </c>
      <c r="N512" t="s">
        <v>25</v>
      </c>
      <c r="O512">
        <v>0</v>
      </c>
    </row>
    <row r="513" spans="1:15" x14ac:dyDescent="0.35">
      <c r="A513">
        <v>53008</v>
      </c>
      <c r="B513" t="s">
        <v>305</v>
      </c>
      <c r="C513" s="217">
        <v>46078</v>
      </c>
      <c r="D513">
        <v>1392</v>
      </c>
      <c r="E513" t="s">
        <v>309</v>
      </c>
      <c r="F513" t="s">
        <v>180</v>
      </c>
      <c r="G513" t="s">
        <v>50</v>
      </c>
      <c r="H513">
        <v>1500091445</v>
      </c>
      <c r="I513">
        <v>3429171.88</v>
      </c>
      <c r="J513">
        <v>0</v>
      </c>
      <c r="K513" t="s">
        <v>22</v>
      </c>
      <c r="L513" t="s">
        <v>23</v>
      </c>
      <c r="M513" t="s">
        <v>24</v>
      </c>
      <c r="N513" t="s">
        <v>25</v>
      </c>
      <c r="O513">
        <v>0</v>
      </c>
    </row>
    <row r="514" spans="1:15" x14ac:dyDescent="0.35">
      <c r="A514">
        <v>53008</v>
      </c>
      <c r="B514" t="s">
        <v>305</v>
      </c>
      <c r="C514" s="217">
        <v>46094</v>
      </c>
      <c r="D514">
        <v>1678</v>
      </c>
      <c r="E514" t="s">
        <v>309</v>
      </c>
      <c r="F514" t="s">
        <v>180</v>
      </c>
      <c r="G514" t="s">
        <v>50</v>
      </c>
      <c r="H514">
        <v>1500092217</v>
      </c>
      <c r="I514">
        <v>2012146.6</v>
      </c>
      <c r="J514">
        <v>0</v>
      </c>
      <c r="K514" t="s">
        <v>22</v>
      </c>
      <c r="L514" t="s">
        <v>23</v>
      </c>
      <c r="M514" t="s">
        <v>24</v>
      </c>
      <c r="N514" t="s">
        <v>25</v>
      </c>
      <c r="O514">
        <v>0</v>
      </c>
    </row>
    <row r="515" spans="1:15" x14ac:dyDescent="0.35">
      <c r="A515">
        <v>53008</v>
      </c>
      <c r="B515" t="s">
        <v>305</v>
      </c>
      <c r="C515" s="217">
        <v>46108</v>
      </c>
      <c r="D515">
        <v>2114</v>
      </c>
      <c r="E515" t="s">
        <v>319</v>
      </c>
      <c r="F515" t="s">
        <v>320</v>
      </c>
      <c r="G515" t="s">
        <v>50</v>
      </c>
      <c r="H515">
        <v>3700065174</v>
      </c>
      <c r="I515">
        <v>3936405.89</v>
      </c>
      <c r="J515">
        <v>0</v>
      </c>
      <c r="K515" t="s">
        <v>22</v>
      </c>
      <c r="L515" t="s">
        <v>23</v>
      </c>
      <c r="M515" t="s">
        <v>24</v>
      </c>
      <c r="N515" t="s">
        <v>25</v>
      </c>
      <c r="O515">
        <v>0</v>
      </c>
    </row>
    <row r="516" spans="1:15" x14ac:dyDescent="0.35">
      <c r="A516">
        <v>53008</v>
      </c>
      <c r="B516" t="s">
        <v>305</v>
      </c>
      <c r="C516" s="217">
        <v>46120</v>
      </c>
      <c r="D516">
        <v>2184</v>
      </c>
      <c r="E516" t="s">
        <v>309</v>
      </c>
      <c r="F516" t="s">
        <v>180</v>
      </c>
      <c r="G516" t="s">
        <v>50</v>
      </c>
      <c r="H516">
        <v>1500093249</v>
      </c>
      <c r="I516">
        <v>1554533.88</v>
      </c>
      <c r="J516">
        <v>0</v>
      </c>
      <c r="K516" t="s">
        <v>22</v>
      </c>
      <c r="L516" t="s">
        <v>23</v>
      </c>
      <c r="M516" t="s">
        <v>24</v>
      </c>
      <c r="N516" t="s">
        <v>25</v>
      </c>
      <c r="O516">
        <v>0</v>
      </c>
    </row>
    <row r="517" spans="1:15" x14ac:dyDescent="0.35">
      <c r="A517">
        <v>53009</v>
      </c>
      <c r="B517" t="s">
        <v>321</v>
      </c>
      <c r="C517" s="217">
        <v>45673</v>
      </c>
      <c r="D517">
        <v>321</v>
      </c>
      <c r="E517" t="s">
        <v>322</v>
      </c>
      <c r="F517" t="s">
        <v>28</v>
      </c>
      <c r="G517" t="s">
        <v>41</v>
      </c>
      <c r="H517">
        <v>5753</v>
      </c>
      <c r="I517">
        <v>30100</v>
      </c>
      <c r="J517">
        <v>0</v>
      </c>
      <c r="K517" t="s">
        <v>22</v>
      </c>
      <c r="L517" t="s">
        <v>23</v>
      </c>
      <c r="M517" t="s">
        <v>24</v>
      </c>
      <c r="N517" t="s">
        <v>25</v>
      </c>
      <c r="O517">
        <v>0</v>
      </c>
    </row>
    <row r="518" spans="1:15" x14ac:dyDescent="0.35">
      <c r="A518">
        <v>53009</v>
      </c>
      <c r="B518" t="s">
        <v>321</v>
      </c>
      <c r="C518" s="217">
        <v>45708</v>
      </c>
      <c r="D518">
        <v>475</v>
      </c>
      <c r="E518" t="s">
        <v>323</v>
      </c>
      <c r="F518" t="s">
        <v>28</v>
      </c>
      <c r="G518" t="s">
        <v>41</v>
      </c>
      <c r="H518">
        <v>5901</v>
      </c>
      <c r="I518">
        <v>100000</v>
      </c>
      <c r="J518">
        <v>0</v>
      </c>
      <c r="K518" t="s">
        <v>22</v>
      </c>
      <c r="L518" t="s">
        <v>23</v>
      </c>
      <c r="M518" t="s">
        <v>24</v>
      </c>
      <c r="N518" t="s">
        <v>25</v>
      </c>
      <c r="O518">
        <v>0</v>
      </c>
    </row>
    <row r="519" spans="1:15" x14ac:dyDescent="0.35">
      <c r="A519">
        <v>53009</v>
      </c>
      <c r="B519" t="s">
        <v>321</v>
      </c>
      <c r="C519" s="217">
        <v>45723</v>
      </c>
      <c r="D519">
        <v>623</v>
      </c>
      <c r="E519" t="s">
        <v>324</v>
      </c>
      <c r="F519" t="s">
        <v>28</v>
      </c>
      <c r="G519" t="s">
        <v>41</v>
      </c>
      <c r="H519">
        <v>6049</v>
      </c>
      <c r="I519">
        <v>81400</v>
      </c>
      <c r="J519">
        <v>0</v>
      </c>
      <c r="K519" t="s">
        <v>22</v>
      </c>
      <c r="L519" t="s">
        <v>23</v>
      </c>
      <c r="M519" t="s">
        <v>24</v>
      </c>
      <c r="N519" t="s">
        <v>25</v>
      </c>
      <c r="O519">
        <v>0</v>
      </c>
    </row>
    <row r="520" spans="1:15" x14ac:dyDescent="0.35">
      <c r="A520">
        <v>53009</v>
      </c>
      <c r="B520" t="s">
        <v>321</v>
      </c>
      <c r="C520" s="217">
        <v>45723</v>
      </c>
      <c r="D520">
        <v>624</v>
      </c>
      <c r="E520" t="s">
        <v>325</v>
      </c>
      <c r="F520" t="s">
        <v>28</v>
      </c>
      <c r="G520" t="s">
        <v>41</v>
      </c>
      <c r="H520">
        <v>6050</v>
      </c>
      <c r="I520">
        <v>106666.67</v>
      </c>
      <c r="J520">
        <v>0</v>
      </c>
      <c r="K520" t="s">
        <v>22</v>
      </c>
      <c r="L520" t="s">
        <v>23</v>
      </c>
      <c r="M520" t="s">
        <v>24</v>
      </c>
      <c r="N520" t="s">
        <v>25</v>
      </c>
      <c r="O520">
        <v>0</v>
      </c>
    </row>
    <row r="521" spans="1:15" x14ac:dyDescent="0.35">
      <c r="A521">
        <v>53009</v>
      </c>
      <c r="B521" t="s">
        <v>321</v>
      </c>
      <c r="C521" s="217">
        <v>45723</v>
      </c>
      <c r="D521">
        <v>626</v>
      </c>
      <c r="E521" t="s">
        <v>326</v>
      </c>
      <c r="F521" t="s">
        <v>28</v>
      </c>
      <c r="G521" t="s">
        <v>41</v>
      </c>
      <c r="H521">
        <v>6052</v>
      </c>
      <c r="I521">
        <v>160700</v>
      </c>
      <c r="J521">
        <v>0</v>
      </c>
      <c r="K521" t="s">
        <v>22</v>
      </c>
      <c r="L521" t="s">
        <v>23</v>
      </c>
      <c r="M521" t="s">
        <v>24</v>
      </c>
      <c r="N521" t="s">
        <v>25</v>
      </c>
      <c r="O521">
        <v>0</v>
      </c>
    </row>
    <row r="522" spans="1:15" x14ac:dyDescent="0.35">
      <c r="A522">
        <v>53009</v>
      </c>
      <c r="B522" t="s">
        <v>321</v>
      </c>
      <c r="C522" s="217">
        <v>45723</v>
      </c>
      <c r="D522">
        <v>627</v>
      </c>
      <c r="E522" t="s">
        <v>327</v>
      </c>
      <c r="F522" t="s">
        <v>28</v>
      </c>
      <c r="G522" t="s">
        <v>41</v>
      </c>
      <c r="H522">
        <v>6053</v>
      </c>
      <c r="I522">
        <v>160700</v>
      </c>
      <c r="J522">
        <v>0</v>
      </c>
      <c r="K522" t="s">
        <v>22</v>
      </c>
      <c r="L522" t="s">
        <v>23</v>
      </c>
      <c r="M522" t="s">
        <v>24</v>
      </c>
      <c r="N522" t="s">
        <v>25</v>
      </c>
      <c r="O522">
        <v>0</v>
      </c>
    </row>
    <row r="523" spans="1:15" x14ac:dyDescent="0.35">
      <c r="A523">
        <v>53009</v>
      </c>
      <c r="B523" t="s">
        <v>321</v>
      </c>
      <c r="C523" s="217">
        <v>45723</v>
      </c>
      <c r="D523">
        <v>628</v>
      </c>
      <c r="E523" t="s">
        <v>328</v>
      </c>
      <c r="F523" t="s">
        <v>28</v>
      </c>
      <c r="G523" t="s">
        <v>41</v>
      </c>
      <c r="H523">
        <v>6054</v>
      </c>
      <c r="I523">
        <v>160700</v>
      </c>
      <c r="J523">
        <v>0</v>
      </c>
      <c r="K523" t="s">
        <v>22</v>
      </c>
      <c r="L523" t="s">
        <v>23</v>
      </c>
      <c r="M523" t="s">
        <v>24</v>
      </c>
      <c r="N523" t="s">
        <v>25</v>
      </c>
      <c r="O523">
        <v>0</v>
      </c>
    </row>
    <row r="524" spans="1:15" x14ac:dyDescent="0.35">
      <c r="A524">
        <v>53009</v>
      </c>
      <c r="B524" t="s">
        <v>321</v>
      </c>
      <c r="C524" s="217">
        <v>45723</v>
      </c>
      <c r="D524">
        <v>629</v>
      </c>
      <c r="E524" t="s">
        <v>329</v>
      </c>
      <c r="F524" t="s">
        <v>28</v>
      </c>
      <c r="G524" t="s">
        <v>41</v>
      </c>
      <c r="H524">
        <v>6055</v>
      </c>
      <c r="I524">
        <v>83220</v>
      </c>
      <c r="J524">
        <v>0</v>
      </c>
      <c r="K524" t="s">
        <v>22</v>
      </c>
      <c r="L524" t="s">
        <v>23</v>
      </c>
      <c r="M524" t="s">
        <v>24</v>
      </c>
      <c r="N524" t="s">
        <v>25</v>
      </c>
      <c r="O524">
        <v>0</v>
      </c>
    </row>
    <row r="525" spans="1:15" x14ac:dyDescent="0.35">
      <c r="A525">
        <v>53009</v>
      </c>
      <c r="B525" t="s">
        <v>321</v>
      </c>
      <c r="C525" s="217">
        <v>45736</v>
      </c>
      <c r="D525">
        <v>878</v>
      </c>
      <c r="E525" t="s">
        <v>330</v>
      </c>
      <c r="F525" t="s">
        <v>28</v>
      </c>
      <c r="G525" t="s">
        <v>41</v>
      </c>
      <c r="H525">
        <v>6295</v>
      </c>
      <c r="I525">
        <v>200000</v>
      </c>
      <c r="J525">
        <v>0</v>
      </c>
      <c r="K525" t="s">
        <v>22</v>
      </c>
      <c r="L525" t="s">
        <v>23</v>
      </c>
      <c r="M525" t="s">
        <v>24</v>
      </c>
      <c r="N525" t="s">
        <v>25</v>
      </c>
      <c r="O525">
        <v>0</v>
      </c>
    </row>
    <row r="526" spans="1:15" x14ac:dyDescent="0.35">
      <c r="A526">
        <v>53009</v>
      </c>
      <c r="B526" t="s">
        <v>321</v>
      </c>
      <c r="C526" s="217">
        <v>45736</v>
      </c>
      <c r="D526">
        <v>882</v>
      </c>
      <c r="E526" t="s">
        <v>331</v>
      </c>
      <c r="F526" t="s">
        <v>28</v>
      </c>
      <c r="G526" t="s">
        <v>41</v>
      </c>
      <c r="H526">
        <v>6299</v>
      </c>
      <c r="I526">
        <v>848200</v>
      </c>
      <c r="J526">
        <v>0</v>
      </c>
      <c r="K526" t="s">
        <v>22</v>
      </c>
      <c r="L526" t="s">
        <v>23</v>
      </c>
      <c r="M526" t="s">
        <v>24</v>
      </c>
      <c r="N526" t="s">
        <v>25</v>
      </c>
      <c r="O526">
        <v>0</v>
      </c>
    </row>
    <row r="527" spans="1:15" x14ac:dyDescent="0.35">
      <c r="A527">
        <v>53009</v>
      </c>
      <c r="B527" t="s">
        <v>321</v>
      </c>
      <c r="C527" s="217">
        <v>45769</v>
      </c>
      <c r="D527">
        <v>1213</v>
      </c>
      <c r="E527" t="s">
        <v>332</v>
      </c>
      <c r="F527" t="s">
        <v>28</v>
      </c>
      <c r="G527" t="s">
        <v>41</v>
      </c>
      <c r="H527">
        <v>6626</v>
      </c>
      <c r="I527">
        <v>1294000</v>
      </c>
      <c r="J527">
        <v>0</v>
      </c>
      <c r="K527" t="s">
        <v>22</v>
      </c>
      <c r="L527" t="s">
        <v>23</v>
      </c>
      <c r="M527" t="s">
        <v>24</v>
      </c>
      <c r="N527" t="s">
        <v>25</v>
      </c>
      <c r="O527">
        <v>0</v>
      </c>
    </row>
    <row r="528" spans="1:15" x14ac:dyDescent="0.35">
      <c r="A528">
        <v>53009</v>
      </c>
      <c r="B528" t="s">
        <v>321</v>
      </c>
      <c r="C528" s="217">
        <v>45769</v>
      </c>
      <c r="D528">
        <v>1214</v>
      </c>
      <c r="E528" t="s">
        <v>333</v>
      </c>
      <c r="F528" t="s">
        <v>28</v>
      </c>
      <c r="G528" t="s">
        <v>41</v>
      </c>
      <c r="H528">
        <v>6627</v>
      </c>
      <c r="I528">
        <v>200000</v>
      </c>
      <c r="J528">
        <v>0</v>
      </c>
      <c r="K528" t="s">
        <v>22</v>
      </c>
      <c r="L528" t="s">
        <v>23</v>
      </c>
      <c r="M528" t="s">
        <v>24</v>
      </c>
      <c r="N528" t="s">
        <v>25</v>
      </c>
      <c r="O528">
        <v>0</v>
      </c>
    </row>
    <row r="529" spans="1:15" x14ac:dyDescent="0.35">
      <c r="A529">
        <v>53009</v>
      </c>
      <c r="B529" t="s">
        <v>321</v>
      </c>
      <c r="C529" s="217">
        <v>45785</v>
      </c>
      <c r="D529">
        <v>1373</v>
      </c>
      <c r="E529" t="s">
        <v>334</v>
      </c>
      <c r="F529" t="s">
        <v>28</v>
      </c>
      <c r="G529" t="s">
        <v>41</v>
      </c>
      <c r="H529">
        <v>6783</v>
      </c>
      <c r="I529">
        <v>200000</v>
      </c>
      <c r="J529">
        <v>0</v>
      </c>
      <c r="K529" t="s">
        <v>22</v>
      </c>
      <c r="L529" t="s">
        <v>23</v>
      </c>
      <c r="M529" t="s">
        <v>24</v>
      </c>
      <c r="N529" t="s">
        <v>25</v>
      </c>
      <c r="O529">
        <v>0</v>
      </c>
    </row>
    <row r="530" spans="1:15" x14ac:dyDescent="0.35">
      <c r="A530">
        <v>53009</v>
      </c>
      <c r="B530" t="s">
        <v>321</v>
      </c>
      <c r="C530" s="217">
        <v>45785</v>
      </c>
      <c r="D530">
        <v>1381</v>
      </c>
      <c r="E530" t="s">
        <v>335</v>
      </c>
      <c r="F530" t="s">
        <v>28</v>
      </c>
      <c r="G530" t="s">
        <v>41</v>
      </c>
      <c r="H530">
        <v>6791</v>
      </c>
      <c r="I530">
        <v>1586000</v>
      </c>
      <c r="J530">
        <v>0</v>
      </c>
      <c r="K530" t="s">
        <v>22</v>
      </c>
      <c r="L530" t="s">
        <v>23</v>
      </c>
      <c r="M530" t="s">
        <v>24</v>
      </c>
      <c r="N530" t="s">
        <v>25</v>
      </c>
      <c r="O530">
        <v>0</v>
      </c>
    </row>
    <row r="531" spans="1:15" x14ac:dyDescent="0.35">
      <c r="A531">
        <v>53009</v>
      </c>
      <c r="B531" t="s">
        <v>321</v>
      </c>
      <c r="C531" s="217">
        <v>45799</v>
      </c>
      <c r="D531">
        <v>1449</v>
      </c>
      <c r="E531" t="s">
        <v>336</v>
      </c>
      <c r="F531" t="s">
        <v>28</v>
      </c>
      <c r="G531" t="s">
        <v>41</v>
      </c>
      <c r="H531">
        <v>6856</v>
      </c>
      <c r="I531">
        <v>1256000</v>
      </c>
      <c r="J531">
        <v>0</v>
      </c>
      <c r="K531" t="s">
        <v>22</v>
      </c>
      <c r="L531" t="s">
        <v>23</v>
      </c>
      <c r="M531" t="s">
        <v>24</v>
      </c>
      <c r="N531" t="s">
        <v>25</v>
      </c>
      <c r="O531">
        <v>0</v>
      </c>
    </row>
    <row r="532" spans="1:15" x14ac:dyDescent="0.35">
      <c r="A532">
        <v>53009</v>
      </c>
      <c r="B532" t="s">
        <v>321</v>
      </c>
      <c r="C532" s="217">
        <v>45812</v>
      </c>
      <c r="D532">
        <v>1538</v>
      </c>
      <c r="E532" t="s">
        <v>337</v>
      </c>
      <c r="F532" t="s">
        <v>28</v>
      </c>
      <c r="G532" t="s">
        <v>41</v>
      </c>
      <c r="H532">
        <v>6943</v>
      </c>
      <c r="I532">
        <v>1769545</v>
      </c>
      <c r="J532">
        <v>0</v>
      </c>
      <c r="K532" t="s">
        <v>22</v>
      </c>
      <c r="L532" t="s">
        <v>23</v>
      </c>
      <c r="M532" t="s">
        <v>24</v>
      </c>
      <c r="N532" t="s">
        <v>25</v>
      </c>
      <c r="O532">
        <v>0</v>
      </c>
    </row>
    <row r="533" spans="1:15" x14ac:dyDescent="0.35">
      <c r="A533">
        <v>53009</v>
      </c>
      <c r="B533" t="s">
        <v>321</v>
      </c>
      <c r="C533" s="217">
        <v>45832</v>
      </c>
      <c r="D533">
        <v>1648</v>
      </c>
      <c r="E533" t="s">
        <v>338</v>
      </c>
      <c r="F533" t="s">
        <v>28</v>
      </c>
      <c r="G533" t="s">
        <v>41</v>
      </c>
      <c r="H533">
        <v>7049</v>
      </c>
      <c r="I533">
        <v>1451500</v>
      </c>
      <c r="J533">
        <v>0</v>
      </c>
      <c r="K533" t="s">
        <v>22</v>
      </c>
      <c r="L533" t="s">
        <v>23</v>
      </c>
      <c r="M533" t="s">
        <v>24</v>
      </c>
      <c r="N533" t="s">
        <v>25</v>
      </c>
      <c r="O533">
        <v>0</v>
      </c>
    </row>
    <row r="534" spans="1:15" x14ac:dyDescent="0.35">
      <c r="A534">
        <v>53009</v>
      </c>
      <c r="B534" t="s">
        <v>321</v>
      </c>
      <c r="C534" s="217">
        <v>45845</v>
      </c>
      <c r="D534">
        <v>1722</v>
      </c>
      <c r="E534" t="s">
        <v>339</v>
      </c>
      <c r="F534" t="s">
        <v>28</v>
      </c>
      <c r="G534" t="s">
        <v>41</v>
      </c>
      <c r="H534">
        <v>7122</v>
      </c>
      <c r="I534">
        <v>1596000</v>
      </c>
      <c r="J534">
        <v>0</v>
      </c>
      <c r="K534" t="s">
        <v>22</v>
      </c>
      <c r="L534" t="s">
        <v>23</v>
      </c>
      <c r="M534" t="s">
        <v>24</v>
      </c>
      <c r="N534" t="s">
        <v>25</v>
      </c>
      <c r="O534">
        <v>0</v>
      </c>
    </row>
    <row r="535" spans="1:15" x14ac:dyDescent="0.35">
      <c r="A535">
        <v>53009</v>
      </c>
      <c r="B535" t="s">
        <v>321</v>
      </c>
      <c r="C535" s="217">
        <v>45859</v>
      </c>
      <c r="D535">
        <v>1794</v>
      </c>
      <c r="E535" t="s">
        <v>340</v>
      </c>
      <c r="F535" t="s">
        <v>28</v>
      </c>
      <c r="G535" t="s">
        <v>41</v>
      </c>
      <c r="H535">
        <v>7190</v>
      </c>
      <c r="I535">
        <v>2019000</v>
      </c>
      <c r="J535">
        <v>0</v>
      </c>
      <c r="K535" t="s">
        <v>22</v>
      </c>
      <c r="L535" t="s">
        <v>23</v>
      </c>
      <c r="M535" t="s">
        <v>24</v>
      </c>
      <c r="N535" t="s">
        <v>25</v>
      </c>
      <c r="O535">
        <v>0</v>
      </c>
    </row>
    <row r="536" spans="1:15" x14ac:dyDescent="0.35">
      <c r="A536">
        <v>53009</v>
      </c>
      <c r="B536" t="s">
        <v>321</v>
      </c>
      <c r="C536" s="217">
        <v>45875</v>
      </c>
      <c r="D536">
        <v>1864</v>
      </c>
      <c r="E536" t="s">
        <v>341</v>
      </c>
      <c r="F536" t="s">
        <v>28</v>
      </c>
      <c r="G536" t="s">
        <v>41</v>
      </c>
      <c r="H536">
        <v>7259</v>
      </c>
      <c r="I536">
        <v>2487500</v>
      </c>
      <c r="J536">
        <v>0</v>
      </c>
      <c r="K536" t="s">
        <v>22</v>
      </c>
      <c r="L536" t="s">
        <v>23</v>
      </c>
      <c r="M536" t="s">
        <v>24</v>
      </c>
      <c r="N536" t="s">
        <v>25</v>
      </c>
      <c r="O536">
        <v>0</v>
      </c>
    </row>
    <row r="537" spans="1:15" x14ac:dyDescent="0.35">
      <c r="A537">
        <v>53009</v>
      </c>
      <c r="B537" t="s">
        <v>321</v>
      </c>
      <c r="C537" s="217">
        <v>45889</v>
      </c>
      <c r="D537">
        <v>2013</v>
      </c>
      <c r="E537" t="s">
        <v>342</v>
      </c>
      <c r="F537" t="s">
        <v>28</v>
      </c>
      <c r="G537" t="s">
        <v>41</v>
      </c>
      <c r="H537">
        <v>7405</v>
      </c>
      <c r="I537">
        <v>2053000</v>
      </c>
      <c r="J537">
        <v>0</v>
      </c>
      <c r="K537" t="s">
        <v>22</v>
      </c>
      <c r="L537" t="s">
        <v>23</v>
      </c>
      <c r="M537" t="s">
        <v>24</v>
      </c>
      <c r="N537" t="s">
        <v>25</v>
      </c>
      <c r="O537">
        <v>0</v>
      </c>
    </row>
    <row r="538" spans="1:15" x14ac:dyDescent="0.35">
      <c r="A538">
        <v>53009</v>
      </c>
      <c r="B538" t="s">
        <v>321</v>
      </c>
      <c r="C538" s="217">
        <v>45904</v>
      </c>
      <c r="D538">
        <v>2078</v>
      </c>
      <c r="E538" t="s">
        <v>343</v>
      </c>
      <c r="F538" t="s">
        <v>28</v>
      </c>
      <c r="G538" t="s">
        <v>41</v>
      </c>
      <c r="H538">
        <v>7455</v>
      </c>
      <c r="I538">
        <v>2337000</v>
      </c>
      <c r="J538">
        <v>0</v>
      </c>
      <c r="K538" t="s">
        <v>22</v>
      </c>
      <c r="L538" t="s">
        <v>23</v>
      </c>
      <c r="M538" t="s">
        <v>24</v>
      </c>
      <c r="N538" t="s">
        <v>25</v>
      </c>
      <c r="O538">
        <v>0</v>
      </c>
    </row>
    <row r="539" spans="1:15" x14ac:dyDescent="0.35">
      <c r="A539">
        <v>53009</v>
      </c>
      <c r="B539" t="s">
        <v>321</v>
      </c>
      <c r="C539" s="217">
        <v>45919</v>
      </c>
      <c r="D539">
        <v>2180</v>
      </c>
      <c r="E539" t="s">
        <v>344</v>
      </c>
      <c r="F539" t="s">
        <v>28</v>
      </c>
      <c r="G539" t="s">
        <v>41</v>
      </c>
      <c r="H539">
        <v>7559</v>
      </c>
      <c r="I539">
        <v>2398500</v>
      </c>
      <c r="J539">
        <v>0</v>
      </c>
      <c r="K539" t="s">
        <v>22</v>
      </c>
      <c r="L539" t="s">
        <v>23</v>
      </c>
      <c r="M539" t="s">
        <v>24</v>
      </c>
      <c r="N539" t="s">
        <v>25</v>
      </c>
      <c r="O539">
        <v>0</v>
      </c>
    </row>
    <row r="540" spans="1:15" x14ac:dyDescent="0.35">
      <c r="A540">
        <v>53009</v>
      </c>
      <c r="B540" t="s">
        <v>321</v>
      </c>
      <c r="C540" s="217">
        <v>45936</v>
      </c>
      <c r="D540">
        <v>2340</v>
      </c>
      <c r="E540" t="s">
        <v>345</v>
      </c>
      <c r="F540" t="s">
        <v>28</v>
      </c>
      <c r="G540" t="s">
        <v>41</v>
      </c>
      <c r="H540">
        <v>7710</v>
      </c>
      <c r="I540">
        <v>3263000</v>
      </c>
      <c r="J540">
        <v>0</v>
      </c>
      <c r="K540" t="s">
        <v>22</v>
      </c>
      <c r="L540" t="s">
        <v>23</v>
      </c>
      <c r="M540" t="s">
        <v>24</v>
      </c>
      <c r="N540" t="s">
        <v>25</v>
      </c>
      <c r="O540">
        <v>0</v>
      </c>
    </row>
    <row r="541" spans="1:15" x14ac:dyDescent="0.35">
      <c r="A541">
        <v>53009</v>
      </c>
      <c r="B541" t="s">
        <v>321</v>
      </c>
      <c r="C541" s="217">
        <v>45951</v>
      </c>
      <c r="D541">
        <v>2387</v>
      </c>
      <c r="E541" t="s">
        <v>346</v>
      </c>
      <c r="F541" t="s">
        <v>28</v>
      </c>
      <c r="G541" t="s">
        <v>41</v>
      </c>
      <c r="H541">
        <v>7751</v>
      </c>
      <c r="I541">
        <v>2926000</v>
      </c>
      <c r="J541">
        <v>0</v>
      </c>
      <c r="K541" t="s">
        <v>22</v>
      </c>
      <c r="L541" t="s">
        <v>23</v>
      </c>
      <c r="M541" t="s">
        <v>24</v>
      </c>
      <c r="N541" t="s">
        <v>25</v>
      </c>
      <c r="O541">
        <v>0</v>
      </c>
    </row>
    <row r="542" spans="1:15" x14ac:dyDescent="0.35">
      <c r="A542">
        <v>53009</v>
      </c>
      <c r="B542" t="s">
        <v>321</v>
      </c>
      <c r="C542" s="217">
        <v>45951</v>
      </c>
      <c r="D542">
        <v>2388</v>
      </c>
      <c r="E542" t="s">
        <v>347</v>
      </c>
      <c r="F542" t="s">
        <v>28</v>
      </c>
      <c r="G542" t="s">
        <v>41</v>
      </c>
      <c r="H542">
        <v>7752</v>
      </c>
      <c r="I542">
        <v>210000</v>
      </c>
      <c r="J542">
        <v>0</v>
      </c>
      <c r="K542" t="s">
        <v>22</v>
      </c>
      <c r="L542" t="s">
        <v>23</v>
      </c>
      <c r="M542" t="s">
        <v>24</v>
      </c>
      <c r="N542" t="s">
        <v>25</v>
      </c>
      <c r="O542">
        <v>0</v>
      </c>
    </row>
    <row r="543" spans="1:15" x14ac:dyDescent="0.35">
      <c r="A543">
        <v>53009</v>
      </c>
      <c r="B543" t="s">
        <v>321</v>
      </c>
      <c r="C543" s="217">
        <v>45967</v>
      </c>
      <c r="D543">
        <v>29</v>
      </c>
      <c r="E543" t="s">
        <v>348</v>
      </c>
      <c r="F543" t="s">
        <v>28</v>
      </c>
      <c r="G543" t="s">
        <v>41</v>
      </c>
      <c r="H543">
        <v>7954</v>
      </c>
      <c r="I543">
        <v>3634000</v>
      </c>
      <c r="J543">
        <v>0</v>
      </c>
      <c r="K543" t="s">
        <v>22</v>
      </c>
      <c r="L543" t="s">
        <v>23</v>
      </c>
      <c r="M543" t="s">
        <v>24</v>
      </c>
      <c r="N543" t="s">
        <v>25</v>
      </c>
      <c r="O543">
        <v>0</v>
      </c>
    </row>
    <row r="544" spans="1:15" x14ac:dyDescent="0.35">
      <c r="A544">
        <v>53009</v>
      </c>
      <c r="B544" t="s">
        <v>321</v>
      </c>
      <c r="C544" s="217">
        <v>45968</v>
      </c>
      <c r="D544">
        <v>31</v>
      </c>
      <c r="E544" t="s">
        <v>349</v>
      </c>
      <c r="F544" t="s">
        <v>28</v>
      </c>
      <c r="G544" t="s">
        <v>41</v>
      </c>
      <c r="H544">
        <v>7956</v>
      </c>
      <c r="I544">
        <v>210000</v>
      </c>
      <c r="J544">
        <v>0</v>
      </c>
      <c r="K544" t="s">
        <v>22</v>
      </c>
      <c r="L544" t="s">
        <v>23</v>
      </c>
      <c r="M544" t="s">
        <v>24</v>
      </c>
      <c r="N544" t="s">
        <v>25</v>
      </c>
      <c r="O544">
        <v>0</v>
      </c>
    </row>
    <row r="545" spans="1:15" x14ac:dyDescent="0.35">
      <c r="A545">
        <v>53009</v>
      </c>
      <c r="B545" t="s">
        <v>321</v>
      </c>
      <c r="C545" s="217">
        <v>45982</v>
      </c>
      <c r="D545">
        <v>60</v>
      </c>
      <c r="E545" t="s">
        <v>350</v>
      </c>
      <c r="F545" t="s">
        <v>28</v>
      </c>
      <c r="G545" t="s">
        <v>41</v>
      </c>
      <c r="H545">
        <v>7985</v>
      </c>
      <c r="I545">
        <v>210000</v>
      </c>
      <c r="J545">
        <v>0</v>
      </c>
      <c r="K545" t="s">
        <v>22</v>
      </c>
      <c r="L545" t="s">
        <v>23</v>
      </c>
      <c r="M545" t="s">
        <v>24</v>
      </c>
      <c r="N545" t="s">
        <v>25</v>
      </c>
      <c r="O545">
        <v>0</v>
      </c>
    </row>
    <row r="546" spans="1:15" x14ac:dyDescent="0.35">
      <c r="A546">
        <v>53009</v>
      </c>
      <c r="B546" t="s">
        <v>321</v>
      </c>
      <c r="C546" s="217">
        <v>45982</v>
      </c>
      <c r="D546">
        <v>66</v>
      </c>
      <c r="E546" t="s">
        <v>351</v>
      </c>
      <c r="F546" t="s">
        <v>28</v>
      </c>
      <c r="G546" t="s">
        <v>41</v>
      </c>
      <c r="H546">
        <v>7991</v>
      </c>
      <c r="I546">
        <v>3978500</v>
      </c>
      <c r="J546">
        <v>0</v>
      </c>
      <c r="K546" t="s">
        <v>22</v>
      </c>
      <c r="L546" t="s">
        <v>23</v>
      </c>
      <c r="M546" t="s">
        <v>24</v>
      </c>
      <c r="N546" t="s">
        <v>25</v>
      </c>
      <c r="O546">
        <v>0</v>
      </c>
    </row>
    <row r="547" spans="1:15" x14ac:dyDescent="0.35">
      <c r="A547">
        <v>53009</v>
      </c>
      <c r="B547" t="s">
        <v>321</v>
      </c>
      <c r="C547" s="217">
        <v>45996</v>
      </c>
      <c r="D547">
        <v>116</v>
      </c>
      <c r="E547" t="s">
        <v>352</v>
      </c>
      <c r="F547" t="s">
        <v>28</v>
      </c>
      <c r="G547" t="s">
        <v>41</v>
      </c>
      <c r="H547">
        <v>8050</v>
      </c>
      <c r="I547">
        <v>216000</v>
      </c>
      <c r="J547">
        <v>0</v>
      </c>
      <c r="K547" t="s">
        <v>22</v>
      </c>
      <c r="L547" t="s">
        <v>23</v>
      </c>
      <c r="M547" t="s">
        <v>24</v>
      </c>
      <c r="N547" t="s">
        <v>25</v>
      </c>
      <c r="O547">
        <v>0</v>
      </c>
    </row>
    <row r="548" spans="1:15" x14ac:dyDescent="0.35">
      <c r="A548">
        <v>53009</v>
      </c>
      <c r="B548" t="s">
        <v>321</v>
      </c>
      <c r="C548" s="217">
        <v>45996</v>
      </c>
      <c r="D548">
        <v>140</v>
      </c>
      <c r="E548" t="s">
        <v>353</v>
      </c>
      <c r="F548" t="s">
        <v>28</v>
      </c>
      <c r="G548" t="s">
        <v>41</v>
      </c>
      <c r="H548">
        <v>8159</v>
      </c>
      <c r="I548">
        <v>2885000</v>
      </c>
      <c r="J548">
        <v>0</v>
      </c>
      <c r="K548" t="s">
        <v>22</v>
      </c>
      <c r="L548" t="s">
        <v>23</v>
      </c>
      <c r="M548" t="s">
        <v>24</v>
      </c>
      <c r="N548" t="s">
        <v>25</v>
      </c>
      <c r="O548">
        <v>0</v>
      </c>
    </row>
    <row r="549" spans="1:15" x14ac:dyDescent="0.35">
      <c r="A549">
        <v>53009</v>
      </c>
      <c r="B549" t="s">
        <v>321</v>
      </c>
      <c r="C549" s="217">
        <v>46010</v>
      </c>
      <c r="D549">
        <v>201</v>
      </c>
      <c r="E549" t="s">
        <v>354</v>
      </c>
      <c r="F549" t="s">
        <v>28</v>
      </c>
      <c r="G549" t="s">
        <v>41</v>
      </c>
      <c r="H549">
        <v>8228</v>
      </c>
      <c r="I549">
        <v>220000</v>
      </c>
      <c r="J549">
        <v>0</v>
      </c>
      <c r="K549" t="s">
        <v>22</v>
      </c>
      <c r="L549" t="s">
        <v>23</v>
      </c>
      <c r="M549" t="s">
        <v>24</v>
      </c>
      <c r="N549" t="s">
        <v>25</v>
      </c>
      <c r="O549">
        <v>0</v>
      </c>
    </row>
    <row r="550" spans="1:15" x14ac:dyDescent="0.35">
      <c r="A550">
        <v>53009</v>
      </c>
      <c r="B550" t="s">
        <v>321</v>
      </c>
      <c r="C550" s="217">
        <v>46010</v>
      </c>
      <c r="D550">
        <v>208</v>
      </c>
      <c r="E550" t="s">
        <v>355</v>
      </c>
      <c r="F550" t="s">
        <v>28</v>
      </c>
      <c r="G550" t="s">
        <v>41</v>
      </c>
      <c r="H550">
        <v>8235</v>
      </c>
      <c r="I550">
        <v>2213500</v>
      </c>
      <c r="J550">
        <v>0</v>
      </c>
      <c r="K550" t="s">
        <v>22</v>
      </c>
      <c r="L550" t="s">
        <v>23</v>
      </c>
      <c r="M550" t="s">
        <v>24</v>
      </c>
      <c r="N550" t="s">
        <v>25</v>
      </c>
      <c r="O550">
        <v>0</v>
      </c>
    </row>
    <row r="551" spans="1:15" x14ac:dyDescent="0.35">
      <c r="A551">
        <v>53009</v>
      </c>
      <c r="B551" t="s">
        <v>321</v>
      </c>
      <c r="C551" s="217">
        <v>46030</v>
      </c>
      <c r="D551">
        <v>303</v>
      </c>
      <c r="E551" t="s">
        <v>356</v>
      </c>
      <c r="F551" t="s">
        <v>28</v>
      </c>
      <c r="G551" t="s">
        <v>41</v>
      </c>
      <c r="H551">
        <v>8326</v>
      </c>
      <c r="I551">
        <v>2029000</v>
      </c>
      <c r="J551">
        <v>0</v>
      </c>
      <c r="K551" t="s">
        <v>22</v>
      </c>
      <c r="L551" t="s">
        <v>23</v>
      </c>
      <c r="M551" t="s">
        <v>24</v>
      </c>
      <c r="N551" t="s">
        <v>25</v>
      </c>
      <c r="O551">
        <v>0</v>
      </c>
    </row>
    <row r="552" spans="1:15" x14ac:dyDescent="0.35">
      <c r="A552">
        <v>53009</v>
      </c>
      <c r="B552" t="s">
        <v>321</v>
      </c>
      <c r="C552" s="217">
        <v>46031</v>
      </c>
      <c r="D552">
        <v>308</v>
      </c>
      <c r="E552" t="s">
        <v>357</v>
      </c>
      <c r="F552" t="s">
        <v>28</v>
      </c>
      <c r="G552" t="s">
        <v>41</v>
      </c>
      <c r="H552">
        <v>8331</v>
      </c>
      <c r="I552">
        <v>220000</v>
      </c>
      <c r="J552">
        <v>0</v>
      </c>
      <c r="K552" t="s">
        <v>22</v>
      </c>
      <c r="L552" t="s">
        <v>23</v>
      </c>
      <c r="M552" t="s">
        <v>24</v>
      </c>
      <c r="N552" t="s">
        <v>25</v>
      </c>
      <c r="O552">
        <v>0</v>
      </c>
    </row>
    <row r="553" spans="1:15" x14ac:dyDescent="0.35">
      <c r="A553">
        <v>53009</v>
      </c>
      <c r="B553" t="s">
        <v>321</v>
      </c>
      <c r="C553" s="217">
        <v>46031</v>
      </c>
      <c r="D553">
        <v>317</v>
      </c>
      <c r="E553" t="s">
        <v>358</v>
      </c>
      <c r="F553" t="s">
        <v>28</v>
      </c>
      <c r="G553" t="s">
        <v>41</v>
      </c>
      <c r="H553">
        <v>8340</v>
      </c>
      <c r="I553">
        <v>139500</v>
      </c>
      <c r="J553">
        <v>0</v>
      </c>
      <c r="K553" t="s">
        <v>22</v>
      </c>
      <c r="L553" t="s">
        <v>23</v>
      </c>
      <c r="M553" t="s">
        <v>24</v>
      </c>
      <c r="N553" t="s">
        <v>25</v>
      </c>
      <c r="O553">
        <v>0</v>
      </c>
    </row>
    <row r="554" spans="1:15" x14ac:dyDescent="0.35">
      <c r="A554">
        <v>53009</v>
      </c>
      <c r="B554" t="s">
        <v>321</v>
      </c>
      <c r="C554" s="217">
        <v>46044</v>
      </c>
      <c r="D554">
        <v>413</v>
      </c>
      <c r="E554" t="s">
        <v>359</v>
      </c>
      <c r="F554" t="s">
        <v>28</v>
      </c>
      <c r="G554" t="s">
        <v>41</v>
      </c>
      <c r="H554">
        <v>8437</v>
      </c>
      <c r="I554">
        <v>2783000</v>
      </c>
      <c r="J554">
        <v>0</v>
      </c>
      <c r="K554" t="s">
        <v>22</v>
      </c>
      <c r="L554" t="s">
        <v>23</v>
      </c>
      <c r="M554" t="s">
        <v>24</v>
      </c>
      <c r="N554" t="s">
        <v>25</v>
      </c>
      <c r="O554">
        <v>0</v>
      </c>
    </row>
    <row r="555" spans="1:15" x14ac:dyDescent="0.35">
      <c r="A555">
        <v>53009</v>
      </c>
      <c r="B555" t="s">
        <v>321</v>
      </c>
      <c r="C555" s="217">
        <v>46044</v>
      </c>
      <c r="D555">
        <v>419</v>
      </c>
      <c r="E555" t="s">
        <v>360</v>
      </c>
      <c r="F555" t="s">
        <v>28</v>
      </c>
      <c r="G555" t="s">
        <v>41</v>
      </c>
      <c r="H555">
        <v>8443</v>
      </c>
      <c r="I555">
        <v>224500</v>
      </c>
      <c r="J555">
        <v>0</v>
      </c>
      <c r="K555" t="s">
        <v>22</v>
      </c>
      <c r="L555" t="s">
        <v>23</v>
      </c>
      <c r="M555" t="s">
        <v>24</v>
      </c>
      <c r="N555" t="s">
        <v>25</v>
      </c>
      <c r="O555">
        <v>0</v>
      </c>
    </row>
    <row r="556" spans="1:15" x14ac:dyDescent="0.35">
      <c r="A556">
        <v>53009</v>
      </c>
      <c r="B556" t="s">
        <v>321</v>
      </c>
      <c r="C556" s="217">
        <v>46059</v>
      </c>
      <c r="D556">
        <v>546</v>
      </c>
      <c r="E556" t="s">
        <v>361</v>
      </c>
      <c r="F556" t="s">
        <v>28</v>
      </c>
      <c r="G556" t="s">
        <v>41</v>
      </c>
      <c r="H556">
        <v>8567</v>
      </c>
      <c r="I556">
        <v>3128000</v>
      </c>
      <c r="J556">
        <v>0</v>
      </c>
      <c r="K556" t="s">
        <v>22</v>
      </c>
      <c r="L556" t="s">
        <v>23</v>
      </c>
      <c r="M556" t="s">
        <v>24</v>
      </c>
      <c r="N556" t="s">
        <v>25</v>
      </c>
      <c r="O556">
        <v>0</v>
      </c>
    </row>
    <row r="557" spans="1:15" x14ac:dyDescent="0.35">
      <c r="A557">
        <v>53009</v>
      </c>
      <c r="B557" t="s">
        <v>321</v>
      </c>
      <c r="C557" s="217">
        <v>46087</v>
      </c>
      <c r="D557">
        <v>667</v>
      </c>
      <c r="E557" t="s">
        <v>362</v>
      </c>
      <c r="F557" t="s">
        <v>28</v>
      </c>
      <c r="G557" t="s">
        <v>41</v>
      </c>
      <c r="H557">
        <v>8685</v>
      </c>
      <c r="I557">
        <v>2255000</v>
      </c>
      <c r="J557">
        <v>0</v>
      </c>
      <c r="K557" t="s">
        <v>22</v>
      </c>
      <c r="L557" t="s">
        <v>23</v>
      </c>
      <c r="M557" t="s">
        <v>24</v>
      </c>
      <c r="N557" t="s">
        <v>25</v>
      </c>
      <c r="O557">
        <v>0</v>
      </c>
    </row>
    <row r="558" spans="1:15" x14ac:dyDescent="0.35">
      <c r="A558">
        <v>53009</v>
      </c>
      <c r="B558" t="s">
        <v>321</v>
      </c>
      <c r="C558" s="217">
        <v>46087</v>
      </c>
      <c r="D558">
        <v>670</v>
      </c>
      <c r="E558" t="s">
        <v>363</v>
      </c>
      <c r="F558" t="s">
        <v>28</v>
      </c>
      <c r="G558" t="s">
        <v>41</v>
      </c>
      <c r="H558">
        <v>8688</v>
      </c>
      <c r="I558">
        <v>228500</v>
      </c>
      <c r="J558">
        <v>0</v>
      </c>
      <c r="K558" t="s">
        <v>22</v>
      </c>
      <c r="L558" t="s">
        <v>23</v>
      </c>
      <c r="M558" t="s">
        <v>24</v>
      </c>
      <c r="N558" t="s">
        <v>25</v>
      </c>
      <c r="O558">
        <v>0</v>
      </c>
    </row>
    <row r="559" spans="1:15" x14ac:dyDescent="0.35">
      <c r="A559">
        <v>53009</v>
      </c>
      <c r="B559" t="s">
        <v>321</v>
      </c>
      <c r="C559" s="217">
        <v>46087</v>
      </c>
      <c r="D559">
        <v>671</v>
      </c>
      <c r="E559" t="s">
        <v>364</v>
      </c>
      <c r="F559" t="s">
        <v>28</v>
      </c>
      <c r="G559" t="s">
        <v>41</v>
      </c>
      <c r="H559">
        <v>8689</v>
      </c>
      <c r="I559">
        <v>267500</v>
      </c>
      <c r="J559">
        <v>0</v>
      </c>
      <c r="K559" t="s">
        <v>22</v>
      </c>
      <c r="L559" t="s">
        <v>23</v>
      </c>
      <c r="M559" t="s">
        <v>24</v>
      </c>
      <c r="N559" t="s">
        <v>25</v>
      </c>
      <c r="O559">
        <v>0</v>
      </c>
    </row>
    <row r="560" spans="1:15" x14ac:dyDescent="0.35">
      <c r="A560">
        <v>53009</v>
      </c>
      <c r="B560" t="s">
        <v>321</v>
      </c>
      <c r="C560" s="217">
        <v>46094</v>
      </c>
      <c r="D560">
        <v>687</v>
      </c>
      <c r="E560" t="s">
        <v>365</v>
      </c>
      <c r="F560" t="s">
        <v>28</v>
      </c>
      <c r="G560" t="s">
        <v>41</v>
      </c>
      <c r="H560">
        <v>8701</v>
      </c>
      <c r="I560">
        <v>1552000</v>
      </c>
      <c r="J560">
        <v>0</v>
      </c>
      <c r="K560" t="s">
        <v>22</v>
      </c>
      <c r="L560" t="s">
        <v>23</v>
      </c>
      <c r="M560" t="s">
        <v>24</v>
      </c>
      <c r="N560" t="s">
        <v>25</v>
      </c>
      <c r="O560">
        <v>0</v>
      </c>
    </row>
    <row r="561" spans="1:15" x14ac:dyDescent="0.35">
      <c r="A561">
        <v>53009</v>
      </c>
      <c r="B561" t="s">
        <v>321</v>
      </c>
      <c r="C561" s="217">
        <v>46100</v>
      </c>
      <c r="D561">
        <v>814</v>
      </c>
      <c r="E561" t="s">
        <v>366</v>
      </c>
      <c r="F561" t="s">
        <v>28</v>
      </c>
      <c r="G561" t="s">
        <v>41</v>
      </c>
      <c r="H561">
        <v>8842</v>
      </c>
      <c r="I561">
        <v>2627500</v>
      </c>
      <c r="J561">
        <v>0</v>
      </c>
      <c r="K561" t="s">
        <v>22</v>
      </c>
      <c r="L561" t="s">
        <v>23</v>
      </c>
      <c r="M561" t="s">
        <v>24</v>
      </c>
      <c r="N561" t="s">
        <v>25</v>
      </c>
      <c r="O561">
        <v>0</v>
      </c>
    </row>
    <row r="562" spans="1:15" x14ac:dyDescent="0.35">
      <c r="A562">
        <v>53009</v>
      </c>
      <c r="B562" t="s">
        <v>321</v>
      </c>
      <c r="C562" s="217">
        <v>46104</v>
      </c>
      <c r="D562">
        <v>832</v>
      </c>
      <c r="E562" t="s">
        <v>367</v>
      </c>
      <c r="F562" t="s">
        <v>28</v>
      </c>
      <c r="G562" t="s">
        <v>41</v>
      </c>
      <c r="H562">
        <v>8860</v>
      </c>
      <c r="I562">
        <v>76500</v>
      </c>
      <c r="J562">
        <v>0</v>
      </c>
      <c r="K562" t="s">
        <v>22</v>
      </c>
      <c r="L562" t="s">
        <v>23</v>
      </c>
      <c r="M562" t="s">
        <v>24</v>
      </c>
      <c r="N562" t="s">
        <v>25</v>
      </c>
      <c r="O562">
        <v>0</v>
      </c>
    </row>
    <row r="563" spans="1:15" x14ac:dyDescent="0.35">
      <c r="A563">
        <v>53009</v>
      </c>
      <c r="B563" t="s">
        <v>321</v>
      </c>
      <c r="C563" s="217">
        <v>46104</v>
      </c>
      <c r="D563">
        <v>833</v>
      </c>
      <c r="E563" t="s">
        <v>368</v>
      </c>
      <c r="F563" t="s">
        <v>28</v>
      </c>
      <c r="G563" t="s">
        <v>41</v>
      </c>
      <c r="H563">
        <v>8861</v>
      </c>
      <c r="I563">
        <v>79600</v>
      </c>
      <c r="J563">
        <v>0</v>
      </c>
      <c r="K563" t="s">
        <v>22</v>
      </c>
      <c r="L563" t="s">
        <v>23</v>
      </c>
      <c r="M563" t="s">
        <v>24</v>
      </c>
      <c r="N563" t="s">
        <v>25</v>
      </c>
      <c r="O563">
        <v>0</v>
      </c>
    </row>
    <row r="564" spans="1:15" x14ac:dyDescent="0.35">
      <c r="A564">
        <v>53009</v>
      </c>
      <c r="B564" t="s">
        <v>321</v>
      </c>
      <c r="C564" s="217">
        <v>46104</v>
      </c>
      <c r="D564">
        <v>834</v>
      </c>
      <c r="E564" t="s">
        <v>369</v>
      </c>
      <c r="F564" t="s">
        <v>28</v>
      </c>
      <c r="G564" t="s">
        <v>41</v>
      </c>
      <c r="H564">
        <v>8862</v>
      </c>
      <c r="I564">
        <v>79600</v>
      </c>
      <c r="J564">
        <v>0</v>
      </c>
      <c r="K564" t="s">
        <v>22</v>
      </c>
      <c r="L564" t="s">
        <v>23</v>
      </c>
      <c r="M564" t="s">
        <v>24</v>
      </c>
      <c r="N564" t="s">
        <v>25</v>
      </c>
      <c r="O564">
        <v>0</v>
      </c>
    </row>
    <row r="565" spans="1:15" x14ac:dyDescent="0.35">
      <c r="A565">
        <v>53009</v>
      </c>
      <c r="B565" t="s">
        <v>321</v>
      </c>
      <c r="C565" s="217">
        <v>46104</v>
      </c>
      <c r="D565">
        <v>836</v>
      </c>
      <c r="E565" t="s">
        <v>370</v>
      </c>
      <c r="F565" t="s">
        <v>28</v>
      </c>
      <c r="G565" t="s">
        <v>41</v>
      </c>
      <c r="H565">
        <v>8864</v>
      </c>
      <c r="I565">
        <v>90000</v>
      </c>
      <c r="J565">
        <v>0</v>
      </c>
      <c r="K565" t="s">
        <v>22</v>
      </c>
      <c r="L565" t="s">
        <v>23</v>
      </c>
      <c r="M565" t="s">
        <v>24</v>
      </c>
      <c r="N565" t="s">
        <v>25</v>
      </c>
      <c r="O565">
        <v>0</v>
      </c>
    </row>
    <row r="566" spans="1:15" x14ac:dyDescent="0.35">
      <c r="A566">
        <v>53009</v>
      </c>
      <c r="B566" t="s">
        <v>321</v>
      </c>
      <c r="C566" s="217">
        <v>46104</v>
      </c>
      <c r="D566">
        <v>837</v>
      </c>
      <c r="E566" t="s">
        <v>371</v>
      </c>
      <c r="F566" t="s">
        <v>28</v>
      </c>
      <c r="G566" t="s">
        <v>41</v>
      </c>
      <c r="H566">
        <v>8865</v>
      </c>
      <c r="I566">
        <v>93000</v>
      </c>
      <c r="J566">
        <v>0</v>
      </c>
      <c r="K566" t="s">
        <v>22</v>
      </c>
      <c r="L566" t="s">
        <v>23</v>
      </c>
      <c r="M566" t="s">
        <v>24</v>
      </c>
      <c r="N566" t="s">
        <v>25</v>
      </c>
      <c r="O566">
        <v>0</v>
      </c>
    </row>
    <row r="567" spans="1:15" x14ac:dyDescent="0.35">
      <c r="A567">
        <v>53009</v>
      </c>
      <c r="B567" t="s">
        <v>321</v>
      </c>
      <c r="C567" s="217">
        <v>46108</v>
      </c>
      <c r="D567">
        <v>851</v>
      </c>
      <c r="E567" t="s">
        <v>372</v>
      </c>
      <c r="F567" t="s">
        <v>28</v>
      </c>
      <c r="G567" t="s">
        <v>41</v>
      </c>
      <c r="H567">
        <v>8879</v>
      </c>
      <c r="I567">
        <v>1264500</v>
      </c>
      <c r="J567">
        <v>0</v>
      </c>
      <c r="K567" t="s">
        <v>22</v>
      </c>
      <c r="L567" t="s">
        <v>23</v>
      </c>
      <c r="M567" t="s">
        <v>24</v>
      </c>
      <c r="N567" t="s">
        <v>25</v>
      </c>
      <c r="O567">
        <v>0</v>
      </c>
    </row>
    <row r="568" spans="1:15" x14ac:dyDescent="0.35">
      <c r="A568">
        <v>53009</v>
      </c>
      <c r="B568" t="s">
        <v>321</v>
      </c>
      <c r="C568" s="217">
        <v>46108</v>
      </c>
      <c r="D568">
        <v>852</v>
      </c>
      <c r="E568" t="s">
        <v>373</v>
      </c>
      <c r="F568" t="s">
        <v>28</v>
      </c>
      <c r="G568" t="s">
        <v>41</v>
      </c>
      <c r="H568">
        <v>8880</v>
      </c>
      <c r="I568">
        <v>97030</v>
      </c>
      <c r="J568">
        <v>0</v>
      </c>
      <c r="K568" t="s">
        <v>22</v>
      </c>
      <c r="L568" t="s">
        <v>23</v>
      </c>
      <c r="M568" t="s">
        <v>24</v>
      </c>
      <c r="N568" t="s">
        <v>25</v>
      </c>
      <c r="O568">
        <v>0</v>
      </c>
    </row>
    <row r="569" spans="1:15" x14ac:dyDescent="0.35">
      <c r="A569">
        <v>53009</v>
      </c>
      <c r="B569" t="s">
        <v>321</v>
      </c>
      <c r="C569" s="217">
        <v>46108</v>
      </c>
      <c r="D569">
        <v>853</v>
      </c>
      <c r="E569" t="s">
        <v>373</v>
      </c>
      <c r="F569" t="s">
        <v>28</v>
      </c>
      <c r="G569" t="s">
        <v>41</v>
      </c>
      <c r="H569">
        <v>8881</v>
      </c>
      <c r="I569">
        <v>54300</v>
      </c>
      <c r="J569">
        <v>0</v>
      </c>
      <c r="K569" t="s">
        <v>22</v>
      </c>
      <c r="L569" t="s">
        <v>23</v>
      </c>
      <c r="M569" t="s">
        <v>24</v>
      </c>
      <c r="N569" t="s">
        <v>25</v>
      </c>
      <c r="O569">
        <v>0</v>
      </c>
    </row>
    <row r="570" spans="1:15" x14ac:dyDescent="0.35">
      <c r="A570">
        <v>53009</v>
      </c>
      <c r="B570" t="s">
        <v>321</v>
      </c>
      <c r="C570" s="217">
        <v>46121</v>
      </c>
      <c r="D570">
        <v>968</v>
      </c>
      <c r="E570" t="s">
        <v>374</v>
      </c>
      <c r="F570" t="s">
        <v>28</v>
      </c>
      <c r="G570" t="s">
        <v>41</v>
      </c>
      <c r="H570">
        <v>8996</v>
      </c>
      <c r="I570">
        <v>190000</v>
      </c>
      <c r="J570">
        <v>0</v>
      </c>
      <c r="K570" t="s">
        <v>22</v>
      </c>
      <c r="L570" t="s">
        <v>23</v>
      </c>
      <c r="M570" t="s">
        <v>24</v>
      </c>
      <c r="N570" t="s">
        <v>25</v>
      </c>
      <c r="O570">
        <v>0</v>
      </c>
    </row>
    <row r="571" spans="1:15" x14ac:dyDescent="0.35">
      <c r="A571">
        <v>53009</v>
      </c>
      <c r="B571" t="s">
        <v>321</v>
      </c>
      <c r="C571" s="217">
        <v>46122</v>
      </c>
      <c r="D571">
        <v>971</v>
      </c>
      <c r="E571" t="s">
        <v>375</v>
      </c>
      <c r="F571" t="s">
        <v>28</v>
      </c>
      <c r="G571" t="s">
        <v>41</v>
      </c>
      <c r="H571">
        <v>8999</v>
      </c>
      <c r="I571">
        <v>1829165</v>
      </c>
      <c r="J571">
        <v>0</v>
      </c>
      <c r="K571" t="s">
        <v>22</v>
      </c>
      <c r="L571" t="s">
        <v>23</v>
      </c>
      <c r="M571" t="s">
        <v>24</v>
      </c>
      <c r="N571" t="s">
        <v>25</v>
      </c>
      <c r="O571">
        <v>0</v>
      </c>
    </row>
    <row r="572" spans="1:15" x14ac:dyDescent="0.35">
      <c r="A572">
        <v>53009</v>
      </c>
      <c r="B572" t="s">
        <v>321</v>
      </c>
      <c r="C572" s="217">
        <v>46129</v>
      </c>
      <c r="D572">
        <v>997</v>
      </c>
      <c r="E572" t="s">
        <v>376</v>
      </c>
      <c r="F572" t="s">
        <v>28</v>
      </c>
      <c r="G572" t="s">
        <v>41</v>
      </c>
      <c r="H572">
        <v>9025</v>
      </c>
      <c r="I572">
        <v>3016000</v>
      </c>
      <c r="J572">
        <v>0</v>
      </c>
      <c r="K572" t="s">
        <v>22</v>
      </c>
      <c r="L572" t="s">
        <v>23</v>
      </c>
      <c r="M572" t="s">
        <v>24</v>
      </c>
      <c r="N572" t="s">
        <v>25</v>
      </c>
      <c r="O572">
        <v>0</v>
      </c>
    </row>
    <row r="573" spans="1:15" x14ac:dyDescent="0.35">
      <c r="A573">
        <v>53009</v>
      </c>
      <c r="B573" t="s">
        <v>321</v>
      </c>
      <c r="C573" s="217">
        <v>46129</v>
      </c>
      <c r="D573">
        <v>1003</v>
      </c>
      <c r="E573" t="s">
        <v>377</v>
      </c>
      <c r="F573" t="s">
        <v>28</v>
      </c>
      <c r="G573" t="s">
        <v>41</v>
      </c>
      <c r="H573">
        <v>9031</v>
      </c>
      <c r="I573">
        <v>245000</v>
      </c>
      <c r="J573">
        <v>0</v>
      </c>
      <c r="K573" t="s">
        <v>22</v>
      </c>
      <c r="L573" t="s">
        <v>23</v>
      </c>
      <c r="M573" t="s">
        <v>24</v>
      </c>
      <c r="N573" t="s">
        <v>25</v>
      </c>
      <c r="O573">
        <v>0</v>
      </c>
    </row>
    <row r="574" spans="1:15" x14ac:dyDescent="0.35">
      <c r="A574">
        <v>53010</v>
      </c>
      <c r="B574" t="s">
        <v>378</v>
      </c>
      <c r="C574" s="217">
        <v>45722</v>
      </c>
      <c r="D574">
        <v>1167</v>
      </c>
      <c r="E574" t="s">
        <v>379</v>
      </c>
      <c r="F574" t="s">
        <v>28</v>
      </c>
      <c r="G574" t="s">
        <v>41</v>
      </c>
      <c r="H574">
        <v>6581</v>
      </c>
      <c r="I574">
        <v>11228.53</v>
      </c>
      <c r="J574">
        <v>0</v>
      </c>
      <c r="K574" t="s">
        <v>22</v>
      </c>
      <c r="L574" t="s">
        <v>23</v>
      </c>
      <c r="M574" t="s">
        <v>24</v>
      </c>
      <c r="N574" t="s">
        <v>25</v>
      </c>
      <c r="O574">
        <v>0</v>
      </c>
    </row>
    <row r="575" spans="1:15" x14ac:dyDescent="0.35">
      <c r="A575">
        <v>53010</v>
      </c>
      <c r="B575" t="s">
        <v>378</v>
      </c>
      <c r="C575" s="217">
        <v>46029</v>
      </c>
      <c r="D575">
        <v>766</v>
      </c>
      <c r="E575" t="s">
        <v>380</v>
      </c>
      <c r="F575" t="s">
        <v>187</v>
      </c>
      <c r="G575" t="s">
        <v>50</v>
      </c>
      <c r="H575">
        <v>1400008617</v>
      </c>
      <c r="I575">
        <v>6890433.5800000001</v>
      </c>
      <c r="J575">
        <v>0</v>
      </c>
      <c r="K575" t="s">
        <v>22</v>
      </c>
      <c r="L575" t="s">
        <v>23</v>
      </c>
      <c r="M575" t="s">
        <v>24</v>
      </c>
      <c r="N575" t="s">
        <v>25</v>
      </c>
      <c r="O575">
        <v>0</v>
      </c>
    </row>
    <row r="576" spans="1:15" x14ac:dyDescent="0.35">
      <c r="A576">
        <v>53010</v>
      </c>
      <c r="B576" t="s">
        <v>378</v>
      </c>
      <c r="C576" s="217">
        <v>46045</v>
      </c>
      <c r="D576">
        <v>984</v>
      </c>
      <c r="E576" t="s">
        <v>381</v>
      </c>
      <c r="F576" t="s">
        <v>180</v>
      </c>
      <c r="G576" t="s">
        <v>50</v>
      </c>
      <c r="H576">
        <v>1500090202</v>
      </c>
      <c r="I576">
        <v>482477.82</v>
      </c>
      <c r="J576">
        <v>0</v>
      </c>
      <c r="K576" t="s">
        <v>22</v>
      </c>
      <c r="L576" t="s">
        <v>23</v>
      </c>
      <c r="M576" t="s">
        <v>24</v>
      </c>
      <c r="N576" t="s">
        <v>25</v>
      </c>
      <c r="O576">
        <v>0</v>
      </c>
    </row>
    <row r="577" spans="1:15" x14ac:dyDescent="0.35">
      <c r="A577">
        <v>53010</v>
      </c>
      <c r="B577" t="s">
        <v>378</v>
      </c>
      <c r="C577" s="217">
        <v>46052</v>
      </c>
      <c r="D577">
        <v>1165</v>
      </c>
      <c r="E577" t="s">
        <v>381</v>
      </c>
      <c r="F577" t="s">
        <v>180</v>
      </c>
      <c r="G577" t="s">
        <v>50</v>
      </c>
      <c r="H577">
        <v>1500090534</v>
      </c>
      <c r="I577">
        <v>410512.32</v>
      </c>
      <c r="J577">
        <v>0</v>
      </c>
      <c r="K577" t="s">
        <v>22</v>
      </c>
      <c r="L577" t="s">
        <v>23</v>
      </c>
      <c r="M577" t="s">
        <v>24</v>
      </c>
      <c r="N577" t="s">
        <v>25</v>
      </c>
      <c r="O577">
        <v>0</v>
      </c>
    </row>
    <row r="578" spans="1:15" x14ac:dyDescent="0.35">
      <c r="A578">
        <v>53010</v>
      </c>
      <c r="B578" t="s">
        <v>378</v>
      </c>
      <c r="C578" s="217">
        <v>46101</v>
      </c>
      <c r="D578">
        <v>1811</v>
      </c>
      <c r="E578" t="s">
        <v>382</v>
      </c>
      <c r="F578" t="s">
        <v>187</v>
      </c>
      <c r="G578" t="s">
        <v>50</v>
      </c>
      <c r="H578">
        <v>1400008956</v>
      </c>
      <c r="I578">
        <v>1583421.5</v>
      </c>
      <c r="J578">
        <v>0</v>
      </c>
      <c r="K578" t="s">
        <v>22</v>
      </c>
      <c r="L578" t="s">
        <v>23</v>
      </c>
      <c r="M578" t="s">
        <v>24</v>
      </c>
      <c r="N578" t="s">
        <v>25</v>
      </c>
      <c r="O578">
        <v>0</v>
      </c>
    </row>
    <row r="579" spans="1:15" x14ac:dyDescent="0.35">
      <c r="A579">
        <v>53010</v>
      </c>
      <c r="B579" t="s">
        <v>378</v>
      </c>
      <c r="C579" s="217">
        <v>46146</v>
      </c>
      <c r="D579">
        <v>2614</v>
      </c>
      <c r="E579" t="s">
        <v>383</v>
      </c>
      <c r="F579" t="s">
        <v>384</v>
      </c>
      <c r="G579" t="s">
        <v>50</v>
      </c>
      <c r="H579">
        <v>600000476</v>
      </c>
      <c r="I579">
        <v>1831716.18</v>
      </c>
      <c r="J579">
        <v>0</v>
      </c>
      <c r="K579" t="s">
        <v>22</v>
      </c>
      <c r="L579" t="s">
        <v>23</v>
      </c>
      <c r="M579" t="s">
        <v>24</v>
      </c>
      <c r="N579" t="s">
        <v>25</v>
      </c>
      <c r="O579">
        <v>0</v>
      </c>
    </row>
    <row r="580" spans="1:15" x14ac:dyDescent="0.35">
      <c r="A580">
        <v>53011</v>
      </c>
      <c r="B580" t="s">
        <v>385</v>
      </c>
      <c r="C580" s="217">
        <v>46057</v>
      </c>
      <c r="D580">
        <v>542</v>
      </c>
      <c r="E580" t="s">
        <v>386</v>
      </c>
      <c r="F580" t="s">
        <v>28</v>
      </c>
      <c r="G580" t="s">
        <v>41</v>
      </c>
      <c r="H580">
        <v>8563</v>
      </c>
      <c r="I580">
        <v>1000000</v>
      </c>
      <c r="J580">
        <v>0</v>
      </c>
      <c r="K580" t="s">
        <v>22</v>
      </c>
      <c r="L580" t="s">
        <v>23</v>
      </c>
      <c r="M580" t="s">
        <v>24</v>
      </c>
      <c r="N580" t="s">
        <v>25</v>
      </c>
      <c r="O580">
        <v>0</v>
      </c>
    </row>
    <row r="581" spans="1:15" x14ac:dyDescent="0.35">
      <c r="A581">
        <v>53011</v>
      </c>
      <c r="B581" t="s">
        <v>385</v>
      </c>
      <c r="C581" s="217">
        <v>46066</v>
      </c>
      <c r="D581">
        <v>560</v>
      </c>
      <c r="E581" t="s">
        <v>386</v>
      </c>
      <c r="F581" t="s">
        <v>28</v>
      </c>
      <c r="G581" t="s">
        <v>41</v>
      </c>
      <c r="H581">
        <v>8581</v>
      </c>
      <c r="I581">
        <v>1000000</v>
      </c>
      <c r="J581">
        <v>0</v>
      </c>
      <c r="K581" t="s">
        <v>22</v>
      </c>
      <c r="L581" t="s">
        <v>23</v>
      </c>
      <c r="M581" t="s">
        <v>24</v>
      </c>
      <c r="N581" t="s">
        <v>25</v>
      </c>
      <c r="O581">
        <v>0</v>
      </c>
    </row>
    <row r="582" spans="1:15" x14ac:dyDescent="0.35">
      <c r="A582">
        <v>53011</v>
      </c>
      <c r="B582" t="s">
        <v>385</v>
      </c>
      <c r="C582" s="217">
        <v>46073</v>
      </c>
      <c r="D582">
        <v>591</v>
      </c>
      <c r="E582" t="s">
        <v>387</v>
      </c>
      <c r="F582" t="s">
        <v>28</v>
      </c>
      <c r="G582" t="s">
        <v>41</v>
      </c>
      <c r="H582">
        <v>8612</v>
      </c>
      <c r="I582">
        <v>400000</v>
      </c>
      <c r="J582">
        <v>0</v>
      </c>
      <c r="K582" t="s">
        <v>22</v>
      </c>
      <c r="L582" t="s">
        <v>23</v>
      </c>
      <c r="M582" t="s">
        <v>24</v>
      </c>
      <c r="N582" t="s">
        <v>25</v>
      </c>
      <c r="O582">
        <v>0</v>
      </c>
    </row>
    <row r="583" spans="1:15" x14ac:dyDescent="0.35">
      <c r="A583">
        <v>53011</v>
      </c>
      <c r="B583" t="s">
        <v>385</v>
      </c>
      <c r="C583" s="217">
        <v>46094</v>
      </c>
      <c r="D583">
        <v>688</v>
      </c>
      <c r="E583" t="s">
        <v>365</v>
      </c>
      <c r="F583" t="s">
        <v>28</v>
      </c>
      <c r="G583" t="s">
        <v>41</v>
      </c>
      <c r="H583">
        <v>8702</v>
      </c>
      <c r="I583">
        <v>3000000</v>
      </c>
      <c r="J583">
        <v>0</v>
      </c>
      <c r="K583" t="s">
        <v>22</v>
      </c>
      <c r="L583" t="s">
        <v>23</v>
      </c>
      <c r="M583" t="s">
        <v>24</v>
      </c>
      <c r="N583" t="s">
        <v>25</v>
      </c>
      <c r="O583">
        <v>0</v>
      </c>
    </row>
    <row r="584" spans="1:15" x14ac:dyDescent="0.35">
      <c r="A584">
        <v>53011</v>
      </c>
      <c r="B584" t="s">
        <v>385</v>
      </c>
      <c r="C584" s="217">
        <v>46108</v>
      </c>
      <c r="D584">
        <v>850</v>
      </c>
      <c r="E584" t="s">
        <v>372</v>
      </c>
      <c r="F584" t="s">
        <v>28</v>
      </c>
      <c r="G584" t="s">
        <v>41</v>
      </c>
      <c r="H584">
        <v>8878</v>
      </c>
      <c r="I584">
        <v>4094000</v>
      </c>
      <c r="J584">
        <v>0</v>
      </c>
      <c r="K584" t="s">
        <v>22</v>
      </c>
      <c r="L584" t="s">
        <v>23</v>
      </c>
      <c r="M584" t="s">
        <v>24</v>
      </c>
      <c r="N584" t="s">
        <v>25</v>
      </c>
      <c r="O584">
        <v>0</v>
      </c>
    </row>
    <row r="585" spans="1:15" x14ac:dyDescent="0.35">
      <c r="A585">
        <v>53011</v>
      </c>
      <c r="B585" t="s">
        <v>385</v>
      </c>
      <c r="C585" s="217">
        <v>46108</v>
      </c>
      <c r="D585">
        <v>854</v>
      </c>
      <c r="E585" t="s">
        <v>373</v>
      </c>
      <c r="F585" t="s">
        <v>28</v>
      </c>
      <c r="G585" t="s">
        <v>41</v>
      </c>
      <c r="H585">
        <v>8882</v>
      </c>
      <c r="I585">
        <v>150000</v>
      </c>
      <c r="J585">
        <v>0</v>
      </c>
      <c r="K585" t="s">
        <v>22</v>
      </c>
      <c r="L585" t="s">
        <v>23</v>
      </c>
      <c r="M585" t="s">
        <v>24</v>
      </c>
      <c r="N585" t="s">
        <v>25</v>
      </c>
      <c r="O585">
        <v>0</v>
      </c>
    </row>
    <row r="586" spans="1:15" x14ac:dyDescent="0.35">
      <c r="A586">
        <v>53011</v>
      </c>
      <c r="B586" t="s">
        <v>385</v>
      </c>
      <c r="C586" s="217">
        <v>46122</v>
      </c>
      <c r="D586">
        <v>972</v>
      </c>
      <c r="E586" t="s">
        <v>375</v>
      </c>
      <c r="F586" t="s">
        <v>28</v>
      </c>
      <c r="G586" t="s">
        <v>41</v>
      </c>
      <c r="H586">
        <v>9000</v>
      </c>
      <c r="I586">
        <v>2408785</v>
      </c>
      <c r="J586">
        <v>0</v>
      </c>
      <c r="K586" t="s">
        <v>22</v>
      </c>
      <c r="L586" t="s">
        <v>23</v>
      </c>
      <c r="M586" t="s">
        <v>24</v>
      </c>
      <c r="N586" t="s">
        <v>25</v>
      </c>
      <c r="O586">
        <v>0</v>
      </c>
    </row>
    <row r="587" spans="1:15" x14ac:dyDescent="0.35">
      <c r="A587">
        <v>53011</v>
      </c>
      <c r="B587" t="s">
        <v>385</v>
      </c>
      <c r="C587" s="217">
        <v>46136</v>
      </c>
      <c r="D587">
        <v>1022</v>
      </c>
      <c r="E587" t="s">
        <v>388</v>
      </c>
      <c r="F587" t="s">
        <v>28</v>
      </c>
      <c r="G587" t="s">
        <v>41</v>
      </c>
      <c r="H587">
        <v>9050</v>
      </c>
      <c r="I587">
        <v>274680</v>
      </c>
      <c r="J587">
        <v>0</v>
      </c>
      <c r="K587" t="s">
        <v>22</v>
      </c>
      <c r="L587" t="s">
        <v>23</v>
      </c>
      <c r="M587" t="s">
        <v>24</v>
      </c>
      <c r="N587" t="s">
        <v>25</v>
      </c>
      <c r="O587">
        <v>0</v>
      </c>
    </row>
    <row r="588" spans="1:15" x14ac:dyDescent="0.35">
      <c r="A588">
        <v>53013</v>
      </c>
      <c r="B588" t="s">
        <v>389</v>
      </c>
      <c r="C588" s="217">
        <v>46085</v>
      </c>
      <c r="D588">
        <v>1500</v>
      </c>
      <c r="E588" t="s">
        <v>390</v>
      </c>
      <c r="F588" t="s">
        <v>180</v>
      </c>
      <c r="G588" t="s">
        <v>50</v>
      </c>
      <c r="H588">
        <v>1500091779</v>
      </c>
      <c r="I588">
        <v>2012146.6</v>
      </c>
      <c r="J588">
        <v>0</v>
      </c>
      <c r="K588" t="s">
        <v>22</v>
      </c>
      <c r="L588" t="s">
        <v>23</v>
      </c>
      <c r="M588" t="s">
        <v>24</v>
      </c>
      <c r="N588" t="s">
        <v>25</v>
      </c>
      <c r="O588">
        <v>0</v>
      </c>
    </row>
    <row r="589" spans="1:15" x14ac:dyDescent="0.35">
      <c r="A589">
        <v>53014</v>
      </c>
      <c r="B589" t="s">
        <v>391</v>
      </c>
      <c r="C589" s="217">
        <v>46080</v>
      </c>
      <c r="D589">
        <v>609</v>
      </c>
      <c r="E589" t="s">
        <v>392</v>
      </c>
      <c r="F589" t="s">
        <v>28</v>
      </c>
      <c r="G589" t="s">
        <v>41</v>
      </c>
      <c r="H589">
        <v>8627</v>
      </c>
      <c r="I589">
        <v>1940600</v>
      </c>
      <c r="J589">
        <v>0</v>
      </c>
      <c r="K589" t="s">
        <v>22</v>
      </c>
      <c r="L589" t="s">
        <v>23</v>
      </c>
      <c r="M589" t="s">
        <v>24</v>
      </c>
      <c r="N589" t="s">
        <v>25</v>
      </c>
      <c r="O589">
        <v>0</v>
      </c>
    </row>
    <row r="590" spans="1:15" x14ac:dyDescent="0.35">
      <c r="A590">
        <v>53015</v>
      </c>
      <c r="B590" t="s">
        <v>393</v>
      </c>
      <c r="C590" s="217">
        <v>46037</v>
      </c>
      <c r="D590">
        <v>860</v>
      </c>
      <c r="E590" t="s">
        <v>394</v>
      </c>
      <c r="F590" t="s">
        <v>395</v>
      </c>
      <c r="G590" t="s">
        <v>50</v>
      </c>
      <c r="H590">
        <v>126000002156</v>
      </c>
      <c r="I590">
        <v>116399.22</v>
      </c>
      <c r="J590">
        <v>0</v>
      </c>
      <c r="K590" t="s">
        <v>22</v>
      </c>
      <c r="L590" t="s">
        <v>23</v>
      </c>
      <c r="M590" t="s">
        <v>24</v>
      </c>
      <c r="N590" t="s">
        <v>25</v>
      </c>
      <c r="O590">
        <v>0</v>
      </c>
    </row>
    <row r="591" spans="1:15" x14ac:dyDescent="0.35">
      <c r="A591">
        <v>53015</v>
      </c>
      <c r="B591" t="s">
        <v>393</v>
      </c>
      <c r="C591" s="217">
        <v>46085</v>
      </c>
      <c r="D591">
        <v>1496</v>
      </c>
      <c r="E591" t="s">
        <v>396</v>
      </c>
      <c r="F591" t="s">
        <v>185</v>
      </c>
      <c r="G591" t="s">
        <v>50</v>
      </c>
      <c r="H591">
        <v>4300009261</v>
      </c>
      <c r="I591">
        <v>25503.3</v>
      </c>
      <c r="J591">
        <v>0</v>
      </c>
      <c r="K591" t="s">
        <v>22</v>
      </c>
      <c r="L591" t="s">
        <v>23</v>
      </c>
      <c r="M591" t="s">
        <v>24</v>
      </c>
      <c r="N591" t="s">
        <v>25</v>
      </c>
      <c r="O591">
        <v>0</v>
      </c>
    </row>
    <row r="592" spans="1:15" x14ac:dyDescent="0.35">
      <c r="A592">
        <v>53015</v>
      </c>
      <c r="B592" t="s">
        <v>393</v>
      </c>
      <c r="C592" s="217">
        <v>46098</v>
      </c>
      <c r="D592">
        <v>2082</v>
      </c>
      <c r="E592" t="s">
        <v>396</v>
      </c>
      <c r="F592" t="s">
        <v>185</v>
      </c>
      <c r="G592" t="s">
        <v>50</v>
      </c>
      <c r="H592">
        <v>4300009314</v>
      </c>
      <c r="I592">
        <v>7013.54</v>
      </c>
      <c r="J592">
        <v>0</v>
      </c>
      <c r="K592" t="s">
        <v>22</v>
      </c>
      <c r="L592" t="s">
        <v>23</v>
      </c>
      <c r="M592" t="s">
        <v>24</v>
      </c>
      <c r="N592" t="s">
        <v>25</v>
      </c>
      <c r="O592">
        <v>0</v>
      </c>
    </row>
    <row r="593" spans="1:15" x14ac:dyDescent="0.35">
      <c r="A593">
        <v>53015</v>
      </c>
      <c r="B593" t="s">
        <v>393</v>
      </c>
      <c r="C593" s="217">
        <v>46111</v>
      </c>
      <c r="D593">
        <v>2347</v>
      </c>
      <c r="E593" t="s">
        <v>396</v>
      </c>
      <c r="F593" t="s">
        <v>185</v>
      </c>
      <c r="G593" t="s">
        <v>50</v>
      </c>
      <c r="H593">
        <v>4300009384</v>
      </c>
      <c r="I593">
        <v>8515.8799999999992</v>
      </c>
      <c r="J593">
        <v>0</v>
      </c>
      <c r="K593" t="s">
        <v>22</v>
      </c>
      <c r="L593" t="s">
        <v>23</v>
      </c>
      <c r="M593" t="s">
        <v>24</v>
      </c>
      <c r="N593" t="s">
        <v>25</v>
      </c>
      <c r="O593">
        <v>0</v>
      </c>
    </row>
    <row r="594" spans="1:15" x14ac:dyDescent="0.35">
      <c r="A594">
        <v>53015</v>
      </c>
      <c r="B594" t="s">
        <v>393</v>
      </c>
      <c r="C594" s="217">
        <v>46111</v>
      </c>
      <c r="D594">
        <v>2348</v>
      </c>
      <c r="E594" t="s">
        <v>396</v>
      </c>
      <c r="F594" t="s">
        <v>185</v>
      </c>
      <c r="G594" t="s">
        <v>50</v>
      </c>
      <c r="H594">
        <v>4300009385</v>
      </c>
      <c r="I594">
        <v>5734.44</v>
      </c>
      <c r="J594">
        <v>0</v>
      </c>
      <c r="K594" t="s">
        <v>22</v>
      </c>
      <c r="L594" t="s">
        <v>23</v>
      </c>
      <c r="M594" t="s">
        <v>24</v>
      </c>
      <c r="N594" t="s">
        <v>25</v>
      </c>
      <c r="O594">
        <v>0</v>
      </c>
    </row>
    <row r="595" spans="1:15" x14ac:dyDescent="0.35">
      <c r="A595">
        <v>53015</v>
      </c>
      <c r="B595" t="s">
        <v>393</v>
      </c>
      <c r="C595" s="217">
        <v>46139</v>
      </c>
      <c r="D595">
        <v>2550</v>
      </c>
      <c r="E595" t="s">
        <v>394</v>
      </c>
      <c r="F595" t="s">
        <v>395</v>
      </c>
      <c r="G595" t="s">
        <v>50</v>
      </c>
      <c r="H595">
        <v>126000003947</v>
      </c>
      <c r="I595">
        <v>271135.8</v>
      </c>
      <c r="J595">
        <v>0</v>
      </c>
      <c r="K595" t="s">
        <v>22</v>
      </c>
      <c r="L595" t="s">
        <v>23</v>
      </c>
      <c r="M595" t="s">
        <v>24</v>
      </c>
      <c r="N595" t="s">
        <v>25</v>
      </c>
      <c r="O595">
        <v>0</v>
      </c>
    </row>
    <row r="596" spans="1:15" x14ac:dyDescent="0.35">
      <c r="A596">
        <v>53017</v>
      </c>
      <c r="B596" t="s">
        <v>397</v>
      </c>
      <c r="C596" s="217">
        <v>45861</v>
      </c>
      <c r="D596">
        <v>3852</v>
      </c>
      <c r="E596" t="s">
        <v>398</v>
      </c>
      <c r="F596" t="s">
        <v>202</v>
      </c>
      <c r="G596" t="s">
        <v>70</v>
      </c>
      <c r="H596">
        <v>300006234</v>
      </c>
      <c r="I596">
        <v>7851.24</v>
      </c>
      <c r="J596">
        <v>0</v>
      </c>
      <c r="K596" t="s">
        <v>22</v>
      </c>
      <c r="L596" t="s">
        <v>23</v>
      </c>
      <c r="M596" t="s">
        <v>24</v>
      </c>
      <c r="N596" t="s">
        <v>25</v>
      </c>
      <c r="O596">
        <v>0</v>
      </c>
    </row>
    <row r="597" spans="1:15" x14ac:dyDescent="0.35">
      <c r="A597">
        <v>53017</v>
      </c>
      <c r="B597" t="s">
        <v>397</v>
      </c>
      <c r="C597" s="217">
        <v>45933</v>
      </c>
      <c r="D597">
        <v>5258</v>
      </c>
      <c r="E597" t="s">
        <v>399</v>
      </c>
      <c r="F597" t="s">
        <v>400</v>
      </c>
      <c r="G597" t="s">
        <v>50</v>
      </c>
      <c r="H597">
        <v>700026485</v>
      </c>
      <c r="I597">
        <v>8731.2099999999991</v>
      </c>
      <c r="J597">
        <v>0</v>
      </c>
      <c r="K597" t="s">
        <v>22</v>
      </c>
      <c r="L597" t="s">
        <v>23</v>
      </c>
      <c r="M597" t="s">
        <v>24</v>
      </c>
      <c r="N597" t="s">
        <v>25</v>
      </c>
      <c r="O597">
        <v>0</v>
      </c>
    </row>
    <row r="598" spans="1:15" x14ac:dyDescent="0.35">
      <c r="A598">
        <v>53017</v>
      </c>
      <c r="B598" t="s">
        <v>397</v>
      </c>
      <c r="C598" s="217">
        <v>45933</v>
      </c>
      <c r="D598">
        <v>5259</v>
      </c>
      <c r="E598" t="s">
        <v>401</v>
      </c>
      <c r="F598" t="s">
        <v>202</v>
      </c>
      <c r="G598" t="s">
        <v>70</v>
      </c>
      <c r="H598">
        <v>300006429</v>
      </c>
      <c r="I598">
        <v>3264.46</v>
      </c>
      <c r="J598">
        <v>0</v>
      </c>
      <c r="K598" t="s">
        <v>22</v>
      </c>
      <c r="L598" t="s">
        <v>23</v>
      </c>
      <c r="M598" t="s">
        <v>24</v>
      </c>
      <c r="N598" t="s">
        <v>25</v>
      </c>
      <c r="O598">
        <v>0</v>
      </c>
    </row>
    <row r="599" spans="1:15" x14ac:dyDescent="0.35">
      <c r="A599">
        <v>53017</v>
      </c>
      <c r="B599" t="s">
        <v>397</v>
      </c>
      <c r="C599" s="217">
        <v>45933</v>
      </c>
      <c r="D599">
        <v>5260</v>
      </c>
      <c r="E599" t="s">
        <v>399</v>
      </c>
      <c r="F599" t="s">
        <v>400</v>
      </c>
      <c r="G599" t="s">
        <v>50</v>
      </c>
      <c r="H599">
        <v>700026484</v>
      </c>
      <c r="I599">
        <v>7777.92</v>
      </c>
      <c r="J599">
        <v>0</v>
      </c>
      <c r="K599" t="s">
        <v>22</v>
      </c>
      <c r="L599" t="s">
        <v>23</v>
      </c>
      <c r="M599" t="s">
        <v>24</v>
      </c>
      <c r="N599" t="s">
        <v>25</v>
      </c>
      <c r="O599">
        <v>0</v>
      </c>
    </row>
    <row r="600" spans="1:15" x14ac:dyDescent="0.35">
      <c r="A600">
        <v>53017</v>
      </c>
      <c r="B600" t="s">
        <v>397</v>
      </c>
      <c r="C600" s="217">
        <v>45938</v>
      </c>
      <c r="D600">
        <v>5268</v>
      </c>
      <c r="E600" t="s">
        <v>401</v>
      </c>
      <c r="F600" t="s">
        <v>202</v>
      </c>
      <c r="G600" t="s">
        <v>70</v>
      </c>
      <c r="H600">
        <v>300006437</v>
      </c>
      <c r="I600">
        <v>39999.99</v>
      </c>
      <c r="J600">
        <v>0</v>
      </c>
      <c r="K600" t="s">
        <v>22</v>
      </c>
      <c r="L600" t="s">
        <v>23</v>
      </c>
      <c r="M600" t="s">
        <v>24</v>
      </c>
      <c r="N600" t="s">
        <v>25</v>
      </c>
      <c r="O600">
        <v>0</v>
      </c>
    </row>
    <row r="601" spans="1:15" x14ac:dyDescent="0.35">
      <c r="A601">
        <v>53017</v>
      </c>
      <c r="B601" t="s">
        <v>397</v>
      </c>
      <c r="C601" s="217">
        <v>45938</v>
      </c>
      <c r="D601">
        <v>5269</v>
      </c>
      <c r="E601" t="s">
        <v>401</v>
      </c>
      <c r="F601" t="s">
        <v>202</v>
      </c>
      <c r="G601" t="s">
        <v>70</v>
      </c>
      <c r="H601">
        <v>300006438</v>
      </c>
      <c r="I601">
        <v>1487.6</v>
      </c>
      <c r="J601">
        <v>0</v>
      </c>
      <c r="K601" t="s">
        <v>22</v>
      </c>
      <c r="L601" t="s">
        <v>23</v>
      </c>
      <c r="M601" t="s">
        <v>24</v>
      </c>
      <c r="N601" t="s">
        <v>25</v>
      </c>
      <c r="O601">
        <v>0</v>
      </c>
    </row>
    <row r="602" spans="1:15" x14ac:dyDescent="0.35">
      <c r="A602">
        <v>53017</v>
      </c>
      <c r="B602" t="s">
        <v>397</v>
      </c>
      <c r="C602" s="217">
        <v>45939</v>
      </c>
      <c r="D602">
        <v>5270</v>
      </c>
      <c r="E602" t="s">
        <v>401</v>
      </c>
      <c r="F602" t="s">
        <v>202</v>
      </c>
      <c r="G602" t="s">
        <v>70</v>
      </c>
      <c r="H602">
        <v>300006441</v>
      </c>
      <c r="I602">
        <v>18181.82</v>
      </c>
      <c r="J602">
        <v>0</v>
      </c>
      <c r="K602" t="s">
        <v>22</v>
      </c>
      <c r="L602" t="s">
        <v>23</v>
      </c>
      <c r="M602" t="s">
        <v>24</v>
      </c>
      <c r="N602" t="s">
        <v>25</v>
      </c>
      <c r="O602">
        <v>0</v>
      </c>
    </row>
    <row r="603" spans="1:15" x14ac:dyDescent="0.35">
      <c r="A603">
        <v>53017</v>
      </c>
      <c r="B603" t="s">
        <v>397</v>
      </c>
      <c r="C603" s="217">
        <v>45944</v>
      </c>
      <c r="D603">
        <v>5383</v>
      </c>
      <c r="E603" t="s">
        <v>401</v>
      </c>
      <c r="F603" t="s">
        <v>202</v>
      </c>
      <c r="G603" t="s">
        <v>70</v>
      </c>
      <c r="H603">
        <v>300006460</v>
      </c>
      <c r="I603">
        <v>15371.9</v>
      </c>
      <c r="J603">
        <v>0</v>
      </c>
      <c r="K603" t="s">
        <v>22</v>
      </c>
      <c r="L603" t="s">
        <v>23</v>
      </c>
      <c r="M603" t="s">
        <v>24</v>
      </c>
      <c r="N603" t="s">
        <v>25</v>
      </c>
      <c r="O603">
        <v>0</v>
      </c>
    </row>
    <row r="604" spans="1:15" x14ac:dyDescent="0.35">
      <c r="A604">
        <v>53017</v>
      </c>
      <c r="B604" t="s">
        <v>397</v>
      </c>
      <c r="C604" s="217">
        <v>45994</v>
      </c>
      <c r="D604">
        <v>389</v>
      </c>
      <c r="E604" t="s">
        <v>402</v>
      </c>
      <c r="F604" t="s">
        <v>191</v>
      </c>
      <c r="G604" t="s">
        <v>50</v>
      </c>
      <c r="H604">
        <v>900002342</v>
      </c>
      <c r="I604">
        <v>2973837.18</v>
      </c>
      <c r="J604">
        <v>0</v>
      </c>
      <c r="K604" t="s">
        <v>22</v>
      </c>
      <c r="L604" t="s">
        <v>23</v>
      </c>
      <c r="M604" t="s">
        <v>24</v>
      </c>
      <c r="N604" t="s">
        <v>25</v>
      </c>
      <c r="O604">
        <v>0</v>
      </c>
    </row>
    <row r="605" spans="1:15" x14ac:dyDescent="0.35">
      <c r="A605">
        <v>53017</v>
      </c>
      <c r="B605" t="s">
        <v>397</v>
      </c>
      <c r="C605" s="217">
        <v>45995</v>
      </c>
      <c r="D605">
        <v>367</v>
      </c>
      <c r="E605" t="s">
        <v>403</v>
      </c>
      <c r="F605" t="s">
        <v>228</v>
      </c>
      <c r="G605" t="s">
        <v>50</v>
      </c>
      <c r="H605">
        <v>400031834</v>
      </c>
      <c r="I605">
        <v>346799.95</v>
      </c>
      <c r="J605">
        <v>0</v>
      </c>
      <c r="K605" t="s">
        <v>22</v>
      </c>
      <c r="L605" t="s">
        <v>23</v>
      </c>
      <c r="M605" t="s">
        <v>24</v>
      </c>
      <c r="N605" t="s">
        <v>25</v>
      </c>
      <c r="O605">
        <v>0</v>
      </c>
    </row>
    <row r="606" spans="1:15" x14ac:dyDescent="0.35">
      <c r="A606">
        <v>53017</v>
      </c>
      <c r="B606" t="s">
        <v>397</v>
      </c>
      <c r="C606" s="217">
        <v>45996</v>
      </c>
      <c r="D606">
        <v>421</v>
      </c>
      <c r="E606" t="s">
        <v>401</v>
      </c>
      <c r="F606" t="s">
        <v>202</v>
      </c>
      <c r="G606" t="s">
        <v>70</v>
      </c>
      <c r="H606">
        <v>300006565</v>
      </c>
      <c r="I606">
        <v>16280.99</v>
      </c>
      <c r="J606">
        <v>0</v>
      </c>
      <c r="K606" t="s">
        <v>22</v>
      </c>
      <c r="L606" t="s">
        <v>23</v>
      </c>
      <c r="M606" t="s">
        <v>24</v>
      </c>
      <c r="N606" t="s">
        <v>25</v>
      </c>
      <c r="O606">
        <v>0</v>
      </c>
    </row>
    <row r="607" spans="1:15" x14ac:dyDescent="0.35">
      <c r="A607">
        <v>53017</v>
      </c>
      <c r="B607" t="s">
        <v>397</v>
      </c>
      <c r="C607" s="217">
        <v>45996</v>
      </c>
      <c r="D607">
        <v>422</v>
      </c>
      <c r="E607" t="s">
        <v>401</v>
      </c>
      <c r="F607" t="s">
        <v>202</v>
      </c>
      <c r="G607" t="s">
        <v>70</v>
      </c>
      <c r="H607">
        <v>300006566</v>
      </c>
      <c r="I607">
        <v>6446.28</v>
      </c>
      <c r="J607">
        <v>0</v>
      </c>
      <c r="K607" t="s">
        <v>22</v>
      </c>
      <c r="L607" t="s">
        <v>23</v>
      </c>
      <c r="M607" t="s">
        <v>24</v>
      </c>
      <c r="N607" t="s">
        <v>25</v>
      </c>
      <c r="O607">
        <v>0</v>
      </c>
    </row>
    <row r="608" spans="1:15" x14ac:dyDescent="0.35">
      <c r="A608">
        <v>53017</v>
      </c>
      <c r="B608" t="s">
        <v>397</v>
      </c>
      <c r="C608" s="217">
        <v>46003</v>
      </c>
      <c r="D608">
        <v>519</v>
      </c>
      <c r="E608" t="s">
        <v>404</v>
      </c>
      <c r="F608" t="s">
        <v>191</v>
      </c>
      <c r="G608" t="s">
        <v>50</v>
      </c>
      <c r="H608">
        <v>900002406</v>
      </c>
      <c r="I608">
        <v>874917.55</v>
      </c>
      <c r="J608">
        <v>0</v>
      </c>
      <c r="K608" t="s">
        <v>22</v>
      </c>
      <c r="L608" t="s">
        <v>23</v>
      </c>
      <c r="M608" t="s">
        <v>24</v>
      </c>
      <c r="N608" t="s">
        <v>25</v>
      </c>
      <c r="O608">
        <v>0</v>
      </c>
    </row>
    <row r="609" spans="1:15" x14ac:dyDescent="0.35">
      <c r="A609">
        <v>53017</v>
      </c>
      <c r="B609" t="s">
        <v>397</v>
      </c>
      <c r="C609" s="217">
        <v>46003</v>
      </c>
      <c r="D609">
        <v>520</v>
      </c>
      <c r="E609" t="s">
        <v>404</v>
      </c>
      <c r="F609" t="s">
        <v>191</v>
      </c>
      <c r="G609" t="s">
        <v>50</v>
      </c>
      <c r="H609">
        <v>900002405</v>
      </c>
      <c r="I609">
        <v>1577941.23</v>
      </c>
      <c r="J609">
        <v>0</v>
      </c>
      <c r="K609" t="s">
        <v>22</v>
      </c>
      <c r="L609" t="s">
        <v>23</v>
      </c>
      <c r="M609" t="s">
        <v>24</v>
      </c>
      <c r="N609" t="s">
        <v>25</v>
      </c>
      <c r="O609">
        <v>0</v>
      </c>
    </row>
    <row r="610" spans="1:15" x14ac:dyDescent="0.35">
      <c r="A610">
        <v>53017</v>
      </c>
      <c r="B610" t="s">
        <v>397</v>
      </c>
      <c r="C610" s="217">
        <v>46003</v>
      </c>
      <c r="D610">
        <v>575</v>
      </c>
      <c r="E610" t="s">
        <v>401</v>
      </c>
      <c r="F610" t="s">
        <v>202</v>
      </c>
      <c r="G610" t="s">
        <v>70</v>
      </c>
      <c r="H610">
        <v>300006574</v>
      </c>
      <c r="I610">
        <v>30826.45</v>
      </c>
      <c r="J610">
        <v>0</v>
      </c>
      <c r="K610" t="s">
        <v>22</v>
      </c>
      <c r="L610" t="s">
        <v>23</v>
      </c>
      <c r="M610" t="s">
        <v>24</v>
      </c>
      <c r="N610" t="s">
        <v>25</v>
      </c>
      <c r="O610">
        <v>0</v>
      </c>
    </row>
    <row r="611" spans="1:15" x14ac:dyDescent="0.35">
      <c r="A611">
        <v>53017</v>
      </c>
      <c r="B611" t="s">
        <v>397</v>
      </c>
      <c r="C611" s="217">
        <v>46004</v>
      </c>
      <c r="D611">
        <v>192</v>
      </c>
      <c r="E611" t="s">
        <v>405</v>
      </c>
      <c r="F611" t="s">
        <v>28</v>
      </c>
      <c r="G611" t="s">
        <v>41</v>
      </c>
      <c r="H611">
        <v>8219</v>
      </c>
      <c r="I611">
        <v>6600</v>
      </c>
      <c r="J611">
        <v>0</v>
      </c>
      <c r="K611" t="s">
        <v>22</v>
      </c>
      <c r="L611" t="s">
        <v>23</v>
      </c>
      <c r="M611" t="s">
        <v>24</v>
      </c>
      <c r="N611" t="s">
        <v>25</v>
      </c>
      <c r="O611">
        <v>0</v>
      </c>
    </row>
    <row r="612" spans="1:15" x14ac:dyDescent="0.35">
      <c r="A612">
        <v>53017</v>
      </c>
      <c r="B612" t="s">
        <v>397</v>
      </c>
      <c r="C612" s="217">
        <v>46007</v>
      </c>
      <c r="D612">
        <v>577</v>
      </c>
      <c r="E612" t="s">
        <v>401</v>
      </c>
      <c r="F612" t="s">
        <v>202</v>
      </c>
      <c r="G612" t="s">
        <v>50</v>
      </c>
      <c r="H612">
        <v>300006580</v>
      </c>
      <c r="I612">
        <v>11570.25</v>
      </c>
      <c r="J612">
        <v>0</v>
      </c>
      <c r="K612" t="s">
        <v>22</v>
      </c>
      <c r="L612" t="s">
        <v>23</v>
      </c>
      <c r="M612" t="s">
        <v>24</v>
      </c>
      <c r="N612" t="s">
        <v>25</v>
      </c>
      <c r="O612">
        <v>0</v>
      </c>
    </row>
    <row r="613" spans="1:15" x14ac:dyDescent="0.35">
      <c r="A613">
        <v>53017</v>
      </c>
      <c r="B613" t="s">
        <v>397</v>
      </c>
      <c r="C613" s="217">
        <v>46011</v>
      </c>
      <c r="D613">
        <v>581</v>
      </c>
      <c r="E613" t="s">
        <v>401</v>
      </c>
      <c r="F613" t="s">
        <v>202</v>
      </c>
      <c r="G613" t="s">
        <v>70</v>
      </c>
      <c r="H613">
        <v>300006596</v>
      </c>
      <c r="I613">
        <v>29338.84</v>
      </c>
      <c r="J613">
        <v>0</v>
      </c>
      <c r="K613" t="s">
        <v>22</v>
      </c>
      <c r="L613" t="s">
        <v>23</v>
      </c>
      <c r="M613" t="s">
        <v>24</v>
      </c>
      <c r="N613" t="s">
        <v>25</v>
      </c>
      <c r="O613">
        <v>0</v>
      </c>
    </row>
    <row r="614" spans="1:15" x14ac:dyDescent="0.35">
      <c r="A614">
        <v>53017</v>
      </c>
      <c r="B614" t="s">
        <v>397</v>
      </c>
      <c r="C614" s="217">
        <v>46024</v>
      </c>
      <c r="D614">
        <v>907</v>
      </c>
      <c r="E614" t="s">
        <v>401</v>
      </c>
      <c r="F614" t="s">
        <v>202</v>
      </c>
      <c r="G614" t="s">
        <v>70</v>
      </c>
      <c r="H614">
        <v>300006640</v>
      </c>
      <c r="I614">
        <v>14256.2</v>
      </c>
      <c r="J614">
        <v>0</v>
      </c>
      <c r="K614" t="s">
        <v>22</v>
      </c>
      <c r="L614" t="s">
        <v>23</v>
      </c>
      <c r="M614" t="s">
        <v>24</v>
      </c>
      <c r="N614" t="s">
        <v>25</v>
      </c>
      <c r="O614">
        <v>0</v>
      </c>
    </row>
    <row r="615" spans="1:15" x14ac:dyDescent="0.35">
      <c r="A615">
        <v>53017</v>
      </c>
      <c r="B615" t="s">
        <v>397</v>
      </c>
      <c r="C615" s="217">
        <v>46028</v>
      </c>
      <c r="D615">
        <v>911</v>
      </c>
      <c r="E615" t="s">
        <v>401</v>
      </c>
      <c r="F615" t="s">
        <v>202</v>
      </c>
      <c r="G615" t="s">
        <v>70</v>
      </c>
      <c r="H615">
        <v>300006651</v>
      </c>
      <c r="I615">
        <v>10330.58</v>
      </c>
      <c r="J615">
        <v>0</v>
      </c>
      <c r="K615" t="s">
        <v>22</v>
      </c>
      <c r="L615" t="s">
        <v>23</v>
      </c>
      <c r="M615" t="s">
        <v>24</v>
      </c>
      <c r="N615" t="s">
        <v>25</v>
      </c>
      <c r="O615">
        <v>0</v>
      </c>
    </row>
    <row r="616" spans="1:15" x14ac:dyDescent="0.35">
      <c r="A616">
        <v>53017</v>
      </c>
      <c r="B616" t="s">
        <v>397</v>
      </c>
      <c r="C616" s="217">
        <v>46042</v>
      </c>
      <c r="D616">
        <v>925</v>
      </c>
      <c r="E616" t="s">
        <v>401</v>
      </c>
      <c r="F616" t="s">
        <v>202</v>
      </c>
      <c r="G616" t="s">
        <v>70</v>
      </c>
      <c r="H616">
        <v>300006695</v>
      </c>
      <c r="I616">
        <v>15702.48</v>
      </c>
      <c r="J616">
        <v>0</v>
      </c>
      <c r="K616" t="s">
        <v>22</v>
      </c>
      <c r="L616" t="s">
        <v>23</v>
      </c>
      <c r="M616" t="s">
        <v>24</v>
      </c>
      <c r="N616" t="s">
        <v>25</v>
      </c>
      <c r="O616">
        <v>0</v>
      </c>
    </row>
    <row r="617" spans="1:15" x14ac:dyDescent="0.35">
      <c r="A617">
        <v>53017</v>
      </c>
      <c r="B617" t="s">
        <v>397</v>
      </c>
      <c r="C617" s="217">
        <v>46042</v>
      </c>
      <c r="D617">
        <v>926</v>
      </c>
      <c r="E617" t="s">
        <v>401</v>
      </c>
      <c r="F617" t="s">
        <v>202</v>
      </c>
      <c r="G617" t="s">
        <v>70</v>
      </c>
      <c r="H617">
        <v>300006693</v>
      </c>
      <c r="I617">
        <v>68264.460000000006</v>
      </c>
      <c r="J617">
        <v>0</v>
      </c>
      <c r="K617" t="s">
        <v>22</v>
      </c>
      <c r="L617" t="s">
        <v>23</v>
      </c>
      <c r="M617" t="s">
        <v>24</v>
      </c>
      <c r="N617" t="s">
        <v>25</v>
      </c>
      <c r="O617">
        <v>0</v>
      </c>
    </row>
    <row r="618" spans="1:15" x14ac:dyDescent="0.35">
      <c r="A618">
        <v>53017</v>
      </c>
      <c r="B618" t="s">
        <v>397</v>
      </c>
      <c r="C618" s="217">
        <v>46043</v>
      </c>
      <c r="D618">
        <v>998</v>
      </c>
      <c r="E618" t="s">
        <v>404</v>
      </c>
      <c r="F618" t="s">
        <v>191</v>
      </c>
      <c r="G618" t="s">
        <v>50</v>
      </c>
      <c r="H618">
        <v>900002599</v>
      </c>
      <c r="I618">
        <v>252133.5</v>
      </c>
      <c r="J618">
        <v>0</v>
      </c>
      <c r="K618" t="s">
        <v>22</v>
      </c>
      <c r="L618" t="s">
        <v>23</v>
      </c>
      <c r="M618" t="s">
        <v>24</v>
      </c>
      <c r="N618" t="s">
        <v>25</v>
      </c>
      <c r="O618">
        <v>0</v>
      </c>
    </row>
    <row r="619" spans="1:15" x14ac:dyDescent="0.35">
      <c r="A619">
        <v>53017</v>
      </c>
      <c r="B619" t="s">
        <v>397</v>
      </c>
      <c r="C619" s="217">
        <v>46043</v>
      </c>
      <c r="D619">
        <v>1148</v>
      </c>
      <c r="E619" t="s">
        <v>404</v>
      </c>
      <c r="F619" t="s">
        <v>191</v>
      </c>
      <c r="G619" t="s">
        <v>50</v>
      </c>
      <c r="H619">
        <v>900002598</v>
      </c>
      <c r="I619">
        <v>359172.25</v>
      </c>
      <c r="J619">
        <v>0</v>
      </c>
      <c r="K619" t="s">
        <v>22</v>
      </c>
      <c r="L619" t="s">
        <v>23</v>
      </c>
      <c r="M619" t="s">
        <v>24</v>
      </c>
      <c r="N619" t="s">
        <v>25</v>
      </c>
      <c r="O619">
        <v>0</v>
      </c>
    </row>
    <row r="620" spans="1:15" x14ac:dyDescent="0.35">
      <c r="A620">
        <v>53017</v>
      </c>
      <c r="B620" t="s">
        <v>397</v>
      </c>
      <c r="C620" s="217">
        <v>46048</v>
      </c>
      <c r="D620">
        <v>1008</v>
      </c>
      <c r="E620" t="s">
        <v>403</v>
      </c>
      <c r="F620" t="s">
        <v>228</v>
      </c>
      <c r="G620" t="s">
        <v>50</v>
      </c>
      <c r="H620">
        <v>400032696</v>
      </c>
      <c r="I620">
        <v>1060440.6200000001</v>
      </c>
      <c r="J620">
        <v>0</v>
      </c>
      <c r="K620" t="s">
        <v>22</v>
      </c>
      <c r="L620" t="s">
        <v>23</v>
      </c>
      <c r="M620" t="s">
        <v>24</v>
      </c>
      <c r="N620" t="s">
        <v>25</v>
      </c>
      <c r="O620">
        <v>0</v>
      </c>
    </row>
    <row r="621" spans="1:15" x14ac:dyDescent="0.35">
      <c r="A621">
        <v>53017</v>
      </c>
      <c r="B621" t="s">
        <v>397</v>
      </c>
      <c r="C621" s="217">
        <v>46051</v>
      </c>
      <c r="D621">
        <v>1185</v>
      </c>
      <c r="E621" t="s">
        <v>401</v>
      </c>
      <c r="F621" t="s">
        <v>202</v>
      </c>
      <c r="G621" t="s">
        <v>70</v>
      </c>
      <c r="H621">
        <v>300006713</v>
      </c>
      <c r="I621">
        <v>7231.41</v>
      </c>
      <c r="J621">
        <v>0</v>
      </c>
      <c r="K621" t="s">
        <v>22</v>
      </c>
      <c r="L621" t="s">
        <v>23</v>
      </c>
      <c r="M621" t="s">
        <v>24</v>
      </c>
      <c r="N621" t="s">
        <v>25</v>
      </c>
      <c r="O621">
        <v>0</v>
      </c>
    </row>
    <row r="622" spans="1:15" x14ac:dyDescent="0.35">
      <c r="A622">
        <v>53017</v>
      </c>
      <c r="B622" t="s">
        <v>397</v>
      </c>
      <c r="C622" s="217">
        <v>46055</v>
      </c>
      <c r="D622">
        <v>1620</v>
      </c>
      <c r="E622" t="s">
        <v>404</v>
      </c>
      <c r="F622" t="s">
        <v>191</v>
      </c>
      <c r="G622" t="s">
        <v>50</v>
      </c>
      <c r="H622">
        <v>900002668</v>
      </c>
      <c r="I622">
        <v>440883.6</v>
      </c>
      <c r="J622">
        <v>0</v>
      </c>
      <c r="K622" t="s">
        <v>22</v>
      </c>
      <c r="L622" t="s">
        <v>23</v>
      </c>
      <c r="M622" t="s">
        <v>24</v>
      </c>
      <c r="N622" t="s">
        <v>25</v>
      </c>
      <c r="O622">
        <v>0</v>
      </c>
    </row>
    <row r="623" spans="1:15" x14ac:dyDescent="0.35">
      <c r="A623">
        <v>53017</v>
      </c>
      <c r="B623" t="s">
        <v>397</v>
      </c>
      <c r="C623" s="217">
        <v>46056</v>
      </c>
      <c r="D623">
        <v>1202</v>
      </c>
      <c r="E623" t="s">
        <v>403</v>
      </c>
      <c r="F623" t="s">
        <v>228</v>
      </c>
      <c r="G623" t="s">
        <v>51</v>
      </c>
      <c r="H623">
        <v>400004145</v>
      </c>
      <c r="I623">
        <v>0</v>
      </c>
      <c r="J623">
        <v>61424.79</v>
      </c>
      <c r="K623" t="s">
        <v>22</v>
      </c>
      <c r="L623" t="s">
        <v>23</v>
      </c>
      <c r="M623" t="s">
        <v>24</v>
      </c>
      <c r="N623" t="s">
        <v>25</v>
      </c>
      <c r="O623">
        <v>0</v>
      </c>
    </row>
    <row r="624" spans="1:15" x14ac:dyDescent="0.35">
      <c r="A624">
        <v>53017</v>
      </c>
      <c r="B624" t="s">
        <v>397</v>
      </c>
      <c r="C624" s="217">
        <v>46057</v>
      </c>
      <c r="D624">
        <v>1206</v>
      </c>
      <c r="E624" t="s">
        <v>403</v>
      </c>
      <c r="F624" t="s">
        <v>228</v>
      </c>
      <c r="G624" t="s">
        <v>50</v>
      </c>
      <c r="H624">
        <v>400032896</v>
      </c>
      <c r="I624">
        <v>59114.05</v>
      </c>
      <c r="J624">
        <v>0</v>
      </c>
      <c r="K624" t="s">
        <v>22</v>
      </c>
      <c r="L624" t="s">
        <v>23</v>
      </c>
      <c r="M624" t="s">
        <v>24</v>
      </c>
      <c r="N624" t="s">
        <v>25</v>
      </c>
      <c r="O624">
        <v>0</v>
      </c>
    </row>
    <row r="625" spans="1:15" x14ac:dyDescent="0.35">
      <c r="A625">
        <v>53017</v>
      </c>
      <c r="B625" t="s">
        <v>397</v>
      </c>
      <c r="C625" s="217">
        <v>46063</v>
      </c>
      <c r="D625">
        <v>1473</v>
      </c>
      <c r="E625" t="s">
        <v>401</v>
      </c>
      <c r="F625" t="s">
        <v>202</v>
      </c>
      <c r="G625" t="s">
        <v>70</v>
      </c>
      <c r="H625">
        <v>300006743</v>
      </c>
      <c r="I625">
        <v>35041.32</v>
      </c>
      <c r="J625">
        <v>0</v>
      </c>
      <c r="K625" t="s">
        <v>22</v>
      </c>
      <c r="L625" t="s">
        <v>23</v>
      </c>
      <c r="M625" t="s">
        <v>24</v>
      </c>
      <c r="N625" t="s">
        <v>25</v>
      </c>
      <c r="O625">
        <v>0</v>
      </c>
    </row>
    <row r="626" spans="1:15" x14ac:dyDescent="0.35">
      <c r="A626">
        <v>53017</v>
      </c>
      <c r="B626" t="s">
        <v>397</v>
      </c>
      <c r="C626" s="217">
        <v>46080</v>
      </c>
      <c r="D626">
        <v>1629</v>
      </c>
      <c r="E626" t="s">
        <v>404</v>
      </c>
      <c r="F626" t="s">
        <v>191</v>
      </c>
      <c r="G626" t="s">
        <v>50</v>
      </c>
      <c r="H626">
        <v>900002853</v>
      </c>
      <c r="I626">
        <v>202257.95</v>
      </c>
      <c r="J626">
        <v>0</v>
      </c>
      <c r="K626" t="s">
        <v>22</v>
      </c>
      <c r="L626" t="s">
        <v>23</v>
      </c>
      <c r="M626" t="s">
        <v>24</v>
      </c>
      <c r="N626" t="s">
        <v>25</v>
      </c>
      <c r="O626">
        <v>0</v>
      </c>
    </row>
    <row r="627" spans="1:15" x14ac:dyDescent="0.35">
      <c r="A627">
        <v>53017</v>
      </c>
      <c r="B627" t="s">
        <v>397</v>
      </c>
      <c r="C627" s="217">
        <v>46083</v>
      </c>
      <c r="D627">
        <v>1488</v>
      </c>
      <c r="E627" t="s">
        <v>401</v>
      </c>
      <c r="F627" t="s">
        <v>202</v>
      </c>
      <c r="G627" t="s">
        <v>70</v>
      </c>
      <c r="H627">
        <v>300006781</v>
      </c>
      <c r="I627">
        <v>6942.16</v>
      </c>
      <c r="J627">
        <v>0</v>
      </c>
      <c r="K627" t="s">
        <v>22</v>
      </c>
      <c r="L627" t="s">
        <v>23</v>
      </c>
      <c r="M627" t="s">
        <v>24</v>
      </c>
      <c r="N627" t="s">
        <v>25</v>
      </c>
      <c r="O627">
        <v>0</v>
      </c>
    </row>
    <row r="628" spans="1:15" x14ac:dyDescent="0.35">
      <c r="A628">
        <v>53017</v>
      </c>
      <c r="B628" t="s">
        <v>397</v>
      </c>
      <c r="C628" s="217">
        <v>46085</v>
      </c>
      <c r="D628">
        <v>1498</v>
      </c>
      <c r="E628" t="s">
        <v>401</v>
      </c>
      <c r="F628" t="s">
        <v>202</v>
      </c>
      <c r="G628" t="s">
        <v>70</v>
      </c>
      <c r="H628">
        <v>300006789</v>
      </c>
      <c r="I628">
        <v>4958.68</v>
      </c>
      <c r="J628">
        <v>0</v>
      </c>
      <c r="K628" t="s">
        <v>22</v>
      </c>
      <c r="L628" t="s">
        <v>23</v>
      </c>
      <c r="M628" t="s">
        <v>24</v>
      </c>
      <c r="N628" t="s">
        <v>25</v>
      </c>
      <c r="O628">
        <v>0</v>
      </c>
    </row>
    <row r="629" spans="1:15" x14ac:dyDescent="0.35">
      <c r="A629">
        <v>53017</v>
      </c>
      <c r="B629" t="s">
        <v>397</v>
      </c>
      <c r="C629" s="217">
        <v>46090</v>
      </c>
      <c r="D629">
        <v>1666</v>
      </c>
      <c r="E629" t="s">
        <v>401</v>
      </c>
      <c r="F629" t="s">
        <v>202</v>
      </c>
      <c r="G629" t="s">
        <v>70</v>
      </c>
      <c r="H629">
        <v>300006800</v>
      </c>
      <c r="I629">
        <v>4132.2299999999996</v>
      </c>
      <c r="J629">
        <v>0</v>
      </c>
      <c r="K629" t="s">
        <v>22</v>
      </c>
      <c r="L629" t="s">
        <v>23</v>
      </c>
      <c r="M629" t="s">
        <v>24</v>
      </c>
      <c r="N629" t="s">
        <v>25</v>
      </c>
      <c r="O629">
        <v>0</v>
      </c>
    </row>
    <row r="630" spans="1:15" x14ac:dyDescent="0.35">
      <c r="A630">
        <v>53017</v>
      </c>
      <c r="B630" t="s">
        <v>397</v>
      </c>
      <c r="C630" s="217">
        <v>46091</v>
      </c>
      <c r="D630">
        <v>1669</v>
      </c>
      <c r="E630" t="s">
        <v>401</v>
      </c>
      <c r="F630" t="s">
        <v>202</v>
      </c>
      <c r="G630" t="s">
        <v>70</v>
      </c>
      <c r="H630">
        <v>300006804</v>
      </c>
      <c r="I630">
        <v>49586.78</v>
      </c>
      <c r="J630">
        <v>0</v>
      </c>
      <c r="K630" t="s">
        <v>22</v>
      </c>
      <c r="L630" t="s">
        <v>23</v>
      </c>
      <c r="M630" t="s">
        <v>24</v>
      </c>
      <c r="N630" t="s">
        <v>25</v>
      </c>
      <c r="O630">
        <v>0</v>
      </c>
    </row>
    <row r="631" spans="1:15" x14ac:dyDescent="0.35">
      <c r="A631">
        <v>53017</v>
      </c>
      <c r="B631" t="s">
        <v>397</v>
      </c>
      <c r="C631" s="217">
        <v>46092</v>
      </c>
      <c r="D631">
        <v>690</v>
      </c>
      <c r="E631" t="s">
        <v>405</v>
      </c>
      <c r="F631" t="s">
        <v>28</v>
      </c>
      <c r="G631" t="s">
        <v>41</v>
      </c>
      <c r="H631">
        <v>8710</v>
      </c>
      <c r="I631">
        <v>3814</v>
      </c>
      <c r="J631">
        <v>0</v>
      </c>
      <c r="K631" t="s">
        <v>22</v>
      </c>
      <c r="L631" t="s">
        <v>23</v>
      </c>
      <c r="M631" t="s">
        <v>24</v>
      </c>
      <c r="N631" t="s">
        <v>25</v>
      </c>
      <c r="O631">
        <v>0</v>
      </c>
    </row>
    <row r="632" spans="1:15" x14ac:dyDescent="0.35">
      <c r="A632">
        <v>53017</v>
      </c>
      <c r="B632" t="s">
        <v>397</v>
      </c>
      <c r="C632" s="217">
        <v>46092</v>
      </c>
      <c r="D632">
        <v>2583</v>
      </c>
      <c r="E632" t="s">
        <v>404</v>
      </c>
      <c r="F632" t="s">
        <v>191</v>
      </c>
      <c r="G632" t="s">
        <v>50</v>
      </c>
      <c r="H632">
        <v>900002926</v>
      </c>
      <c r="I632">
        <v>10398.5</v>
      </c>
      <c r="J632">
        <v>0</v>
      </c>
      <c r="K632" t="s">
        <v>22</v>
      </c>
      <c r="L632" t="s">
        <v>23</v>
      </c>
      <c r="M632" t="s">
        <v>24</v>
      </c>
      <c r="N632" t="s">
        <v>25</v>
      </c>
      <c r="O632">
        <v>0</v>
      </c>
    </row>
    <row r="633" spans="1:15" x14ac:dyDescent="0.35">
      <c r="A633">
        <v>53017</v>
      </c>
      <c r="B633" t="s">
        <v>397</v>
      </c>
      <c r="C633" s="217">
        <v>46093</v>
      </c>
      <c r="D633">
        <v>1671</v>
      </c>
      <c r="E633" t="s">
        <v>403</v>
      </c>
      <c r="F633" t="s">
        <v>228</v>
      </c>
      <c r="G633" t="s">
        <v>50</v>
      </c>
      <c r="H633">
        <v>400033773</v>
      </c>
      <c r="I633">
        <v>77099.17</v>
      </c>
      <c r="J633">
        <v>0</v>
      </c>
      <c r="K633" t="s">
        <v>22</v>
      </c>
      <c r="L633" t="s">
        <v>23</v>
      </c>
      <c r="M633" t="s">
        <v>24</v>
      </c>
      <c r="N633" t="s">
        <v>25</v>
      </c>
      <c r="O633">
        <v>0</v>
      </c>
    </row>
    <row r="634" spans="1:15" x14ac:dyDescent="0.35">
      <c r="A634">
        <v>53017</v>
      </c>
      <c r="B634" t="s">
        <v>397</v>
      </c>
      <c r="C634" s="217">
        <v>46094</v>
      </c>
      <c r="D634">
        <v>1680</v>
      </c>
      <c r="E634" t="s">
        <v>401</v>
      </c>
      <c r="F634" t="s">
        <v>202</v>
      </c>
      <c r="G634" t="s">
        <v>70</v>
      </c>
      <c r="H634">
        <v>300006817</v>
      </c>
      <c r="I634">
        <v>63801.65</v>
      </c>
      <c r="J634">
        <v>0</v>
      </c>
      <c r="K634" t="s">
        <v>22</v>
      </c>
      <c r="L634" t="s">
        <v>23</v>
      </c>
      <c r="M634" t="s">
        <v>24</v>
      </c>
      <c r="N634" t="s">
        <v>25</v>
      </c>
      <c r="O634">
        <v>0</v>
      </c>
    </row>
    <row r="635" spans="1:15" x14ac:dyDescent="0.35">
      <c r="A635">
        <v>53017</v>
      </c>
      <c r="B635" t="s">
        <v>397</v>
      </c>
      <c r="C635" s="217">
        <v>46097</v>
      </c>
      <c r="D635">
        <v>2081</v>
      </c>
      <c r="E635" t="s">
        <v>401</v>
      </c>
      <c r="F635" t="s">
        <v>202</v>
      </c>
      <c r="G635" t="s">
        <v>70</v>
      </c>
      <c r="H635">
        <v>300006821</v>
      </c>
      <c r="I635">
        <v>18512.400000000001</v>
      </c>
      <c r="J635">
        <v>0</v>
      </c>
      <c r="K635" t="s">
        <v>22</v>
      </c>
      <c r="L635" t="s">
        <v>23</v>
      </c>
      <c r="M635" t="s">
        <v>24</v>
      </c>
      <c r="N635" t="s">
        <v>25</v>
      </c>
      <c r="O635">
        <v>0</v>
      </c>
    </row>
    <row r="636" spans="1:15" x14ac:dyDescent="0.35">
      <c r="A636">
        <v>53017</v>
      </c>
      <c r="B636" t="s">
        <v>397</v>
      </c>
      <c r="C636" s="217">
        <v>46098</v>
      </c>
      <c r="D636">
        <v>2083</v>
      </c>
      <c r="E636" t="s">
        <v>406</v>
      </c>
      <c r="F636" t="s">
        <v>407</v>
      </c>
      <c r="G636" t="s">
        <v>50</v>
      </c>
      <c r="H636">
        <v>900039966</v>
      </c>
      <c r="I636">
        <v>20910</v>
      </c>
      <c r="J636">
        <v>0</v>
      </c>
      <c r="K636" t="s">
        <v>22</v>
      </c>
      <c r="L636" t="s">
        <v>23</v>
      </c>
      <c r="M636" t="s">
        <v>24</v>
      </c>
      <c r="N636" t="s">
        <v>25</v>
      </c>
      <c r="O636">
        <v>0</v>
      </c>
    </row>
    <row r="637" spans="1:15" x14ac:dyDescent="0.35">
      <c r="A637">
        <v>53017</v>
      </c>
      <c r="B637" t="s">
        <v>397</v>
      </c>
      <c r="C637" s="217">
        <v>46099</v>
      </c>
      <c r="D637">
        <v>2085</v>
      </c>
      <c r="E637" t="s">
        <v>401</v>
      </c>
      <c r="F637" t="s">
        <v>202</v>
      </c>
      <c r="G637" t="s">
        <v>70</v>
      </c>
      <c r="H637">
        <v>300006826</v>
      </c>
      <c r="I637">
        <v>65702.48</v>
      </c>
      <c r="J637">
        <v>0</v>
      </c>
      <c r="K637" t="s">
        <v>22</v>
      </c>
      <c r="L637" t="s">
        <v>23</v>
      </c>
      <c r="M637" t="s">
        <v>24</v>
      </c>
      <c r="N637" t="s">
        <v>25</v>
      </c>
      <c r="O637">
        <v>0</v>
      </c>
    </row>
    <row r="638" spans="1:15" x14ac:dyDescent="0.35">
      <c r="A638">
        <v>53017</v>
      </c>
      <c r="B638" t="s">
        <v>397</v>
      </c>
      <c r="C638" s="217">
        <v>46100</v>
      </c>
      <c r="D638">
        <v>2089</v>
      </c>
      <c r="E638" t="s">
        <v>401</v>
      </c>
      <c r="F638" t="s">
        <v>202</v>
      </c>
      <c r="G638" t="s">
        <v>70</v>
      </c>
      <c r="H638">
        <v>300006831</v>
      </c>
      <c r="I638">
        <v>35950.42</v>
      </c>
      <c r="J638">
        <v>0</v>
      </c>
      <c r="K638" t="s">
        <v>22</v>
      </c>
      <c r="L638" t="s">
        <v>23</v>
      </c>
      <c r="M638" t="s">
        <v>24</v>
      </c>
      <c r="N638" t="s">
        <v>25</v>
      </c>
      <c r="O638">
        <v>0</v>
      </c>
    </row>
    <row r="639" spans="1:15" x14ac:dyDescent="0.35">
      <c r="A639">
        <v>53017</v>
      </c>
      <c r="B639" t="s">
        <v>397</v>
      </c>
      <c r="C639" s="217">
        <v>46101</v>
      </c>
      <c r="D639">
        <v>2092</v>
      </c>
      <c r="E639" t="s">
        <v>401</v>
      </c>
      <c r="F639" t="s">
        <v>202</v>
      </c>
      <c r="G639" t="s">
        <v>70</v>
      </c>
      <c r="H639">
        <v>300006832</v>
      </c>
      <c r="I639">
        <v>11363.64</v>
      </c>
      <c r="J639">
        <v>0</v>
      </c>
      <c r="K639" t="s">
        <v>22</v>
      </c>
      <c r="L639" t="s">
        <v>23</v>
      </c>
      <c r="M639" t="s">
        <v>24</v>
      </c>
      <c r="N639" t="s">
        <v>25</v>
      </c>
      <c r="O639">
        <v>0</v>
      </c>
    </row>
    <row r="640" spans="1:15" x14ac:dyDescent="0.35">
      <c r="A640">
        <v>53017</v>
      </c>
      <c r="B640" t="s">
        <v>397</v>
      </c>
      <c r="C640" s="217">
        <v>46108</v>
      </c>
      <c r="D640">
        <v>2345</v>
      </c>
      <c r="E640" t="s">
        <v>401</v>
      </c>
      <c r="F640" t="s">
        <v>202</v>
      </c>
      <c r="G640" t="s">
        <v>70</v>
      </c>
      <c r="H640">
        <v>300006847</v>
      </c>
      <c r="I640">
        <v>15702.48</v>
      </c>
      <c r="J640">
        <v>0</v>
      </c>
      <c r="K640" t="s">
        <v>22</v>
      </c>
      <c r="L640" t="s">
        <v>23</v>
      </c>
      <c r="M640" t="s">
        <v>24</v>
      </c>
      <c r="N640" t="s">
        <v>25</v>
      </c>
      <c r="O640">
        <v>0</v>
      </c>
    </row>
    <row r="641" spans="1:15" x14ac:dyDescent="0.35">
      <c r="A641">
        <v>53017</v>
      </c>
      <c r="B641" t="s">
        <v>397</v>
      </c>
      <c r="C641" s="217">
        <v>46112</v>
      </c>
      <c r="D641">
        <v>2349</v>
      </c>
      <c r="E641" t="s">
        <v>406</v>
      </c>
      <c r="F641" t="s">
        <v>407</v>
      </c>
      <c r="G641" t="s">
        <v>50</v>
      </c>
      <c r="H641">
        <v>900040307</v>
      </c>
      <c r="I641">
        <v>24009</v>
      </c>
      <c r="J641">
        <v>0</v>
      </c>
      <c r="K641" t="s">
        <v>22</v>
      </c>
      <c r="L641" t="s">
        <v>23</v>
      </c>
      <c r="M641" t="s">
        <v>24</v>
      </c>
      <c r="N641" t="s">
        <v>25</v>
      </c>
      <c r="O641">
        <v>0</v>
      </c>
    </row>
    <row r="642" spans="1:15" x14ac:dyDescent="0.35">
      <c r="A642">
        <v>53017</v>
      </c>
      <c r="B642" t="s">
        <v>397</v>
      </c>
      <c r="C642" s="217">
        <v>46113</v>
      </c>
      <c r="D642">
        <v>2353</v>
      </c>
      <c r="E642" t="s">
        <v>404</v>
      </c>
      <c r="F642" t="s">
        <v>191</v>
      </c>
      <c r="G642" t="s">
        <v>50</v>
      </c>
      <c r="H642">
        <v>900003044</v>
      </c>
      <c r="I642">
        <v>633057</v>
      </c>
      <c r="J642">
        <v>0</v>
      </c>
      <c r="K642" t="s">
        <v>22</v>
      </c>
      <c r="L642" t="s">
        <v>23</v>
      </c>
      <c r="M642" t="s">
        <v>24</v>
      </c>
      <c r="N642" t="s">
        <v>25</v>
      </c>
      <c r="O642">
        <v>0</v>
      </c>
    </row>
    <row r="643" spans="1:15" x14ac:dyDescent="0.35">
      <c r="A643">
        <v>53017</v>
      </c>
      <c r="B643" t="s">
        <v>397</v>
      </c>
      <c r="C643" s="217">
        <v>46128</v>
      </c>
      <c r="D643">
        <v>2505</v>
      </c>
      <c r="E643" t="s">
        <v>401</v>
      </c>
      <c r="F643" t="s">
        <v>202</v>
      </c>
      <c r="G643" t="s">
        <v>70</v>
      </c>
      <c r="H643">
        <v>300006887</v>
      </c>
      <c r="I643">
        <v>3305.79</v>
      </c>
      <c r="J643">
        <v>0</v>
      </c>
      <c r="K643" t="s">
        <v>22</v>
      </c>
      <c r="L643" t="s">
        <v>23</v>
      </c>
      <c r="M643" t="s">
        <v>24</v>
      </c>
      <c r="N643" t="s">
        <v>25</v>
      </c>
      <c r="O643">
        <v>0</v>
      </c>
    </row>
    <row r="644" spans="1:15" x14ac:dyDescent="0.35">
      <c r="A644">
        <v>53017</v>
      </c>
      <c r="B644" t="s">
        <v>397</v>
      </c>
      <c r="C644" s="217">
        <v>46129</v>
      </c>
      <c r="D644">
        <v>2507</v>
      </c>
      <c r="E644" t="s">
        <v>401</v>
      </c>
      <c r="F644" t="s">
        <v>202</v>
      </c>
      <c r="G644" t="s">
        <v>70</v>
      </c>
      <c r="H644">
        <v>300006892</v>
      </c>
      <c r="I644">
        <v>11157.03</v>
      </c>
      <c r="J644">
        <v>0</v>
      </c>
      <c r="K644" t="s">
        <v>22</v>
      </c>
      <c r="L644" t="s">
        <v>23</v>
      </c>
      <c r="M644" t="s">
        <v>24</v>
      </c>
      <c r="N644" t="s">
        <v>25</v>
      </c>
      <c r="O644">
        <v>0</v>
      </c>
    </row>
    <row r="645" spans="1:15" x14ac:dyDescent="0.35">
      <c r="A645">
        <v>53017</v>
      </c>
      <c r="B645" t="s">
        <v>397</v>
      </c>
      <c r="C645" s="217">
        <v>46134</v>
      </c>
      <c r="D645">
        <v>2533</v>
      </c>
      <c r="E645" t="s">
        <v>401</v>
      </c>
      <c r="F645" t="s">
        <v>202</v>
      </c>
      <c r="G645" t="s">
        <v>70</v>
      </c>
      <c r="H645">
        <v>300006903</v>
      </c>
      <c r="I645">
        <v>44462.8</v>
      </c>
      <c r="J645">
        <v>0</v>
      </c>
      <c r="K645" t="s">
        <v>22</v>
      </c>
      <c r="L645" t="s">
        <v>23</v>
      </c>
      <c r="M645" t="s">
        <v>24</v>
      </c>
      <c r="N645" t="s">
        <v>25</v>
      </c>
      <c r="O645">
        <v>0</v>
      </c>
    </row>
    <row r="646" spans="1:15" x14ac:dyDescent="0.35">
      <c r="A646">
        <v>53017</v>
      </c>
      <c r="B646" t="s">
        <v>397</v>
      </c>
      <c r="C646" s="217">
        <v>46134</v>
      </c>
      <c r="D646">
        <v>2591</v>
      </c>
      <c r="E646" t="s">
        <v>404</v>
      </c>
      <c r="F646" t="s">
        <v>191</v>
      </c>
      <c r="G646" t="s">
        <v>50</v>
      </c>
      <c r="H646">
        <v>900003143</v>
      </c>
      <c r="I646">
        <v>143408.5</v>
      </c>
      <c r="J646">
        <v>0</v>
      </c>
      <c r="K646" t="s">
        <v>22</v>
      </c>
      <c r="L646" t="s">
        <v>23</v>
      </c>
      <c r="M646" t="s">
        <v>24</v>
      </c>
      <c r="N646" t="s">
        <v>25</v>
      </c>
      <c r="O646">
        <v>0</v>
      </c>
    </row>
    <row r="647" spans="1:15" x14ac:dyDescent="0.35">
      <c r="A647">
        <v>53017</v>
      </c>
      <c r="B647" t="s">
        <v>397</v>
      </c>
      <c r="C647" s="217">
        <v>46139</v>
      </c>
      <c r="D647">
        <v>2555</v>
      </c>
      <c r="E647" t="s">
        <v>408</v>
      </c>
      <c r="F647" t="s">
        <v>228</v>
      </c>
      <c r="G647" t="s">
        <v>50</v>
      </c>
      <c r="H647">
        <v>400034879</v>
      </c>
      <c r="I647">
        <v>1568909.91</v>
      </c>
      <c r="J647">
        <v>0</v>
      </c>
      <c r="K647" t="s">
        <v>22</v>
      </c>
      <c r="L647" t="s">
        <v>23</v>
      </c>
      <c r="M647" t="s">
        <v>24</v>
      </c>
      <c r="N647" t="s">
        <v>25</v>
      </c>
      <c r="O647">
        <v>0</v>
      </c>
    </row>
    <row r="648" spans="1:15" x14ac:dyDescent="0.35">
      <c r="A648">
        <v>53017</v>
      </c>
      <c r="B648" t="s">
        <v>397</v>
      </c>
      <c r="C648" s="217">
        <v>46147</v>
      </c>
      <c r="D648">
        <v>2620</v>
      </c>
      <c r="E648" t="s">
        <v>404</v>
      </c>
      <c r="F648" t="s">
        <v>191</v>
      </c>
      <c r="G648" t="s">
        <v>50</v>
      </c>
      <c r="H648">
        <v>900003209</v>
      </c>
      <c r="I648">
        <v>385084.5</v>
      </c>
      <c r="J648">
        <v>0</v>
      </c>
      <c r="K648" t="s">
        <v>22</v>
      </c>
      <c r="L648" t="s">
        <v>23</v>
      </c>
      <c r="M648" t="s">
        <v>24</v>
      </c>
      <c r="N648" t="s">
        <v>25</v>
      </c>
      <c r="O648">
        <v>0</v>
      </c>
    </row>
    <row r="649" spans="1:15" x14ac:dyDescent="0.35">
      <c r="A649">
        <v>53018</v>
      </c>
      <c r="B649" t="s">
        <v>409</v>
      </c>
      <c r="C649" s="217">
        <v>45996</v>
      </c>
      <c r="D649">
        <v>137</v>
      </c>
      <c r="E649" t="s">
        <v>410</v>
      </c>
      <c r="F649" t="s">
        <v>28</v>
      </c>
      <c r="G649" t="s">
        <v>41</v>
      </c>
      <c r="H649">
        <v>8156</v>
      </c>
      <c r="I649">
        <v>390000</v>
      </c>
      <c r="J649">
        <v>0</v>
      </c>
      <c r="K649" t="s">
        <v>22</v>
      </c>
      <c r="L649" t="s">
        <v>23</v>
      </c>
      <c r="M649" t="s">
        <v>24</v>
      </c>
      <c r="N649" t="s">
        <v>25</v>
      </c>
      <c r="O649">
        <v>0</v>
      </c>
    </row>
    <row r="650" spans="1:15" x14ac:dyDescent="0.35">
      <c r="A650">
        <v>53018</v>
      </c>
      <c r="B650" t="s">
        <v>409</v>
      </c>
      <c r="C650" s="217">
        <v>46036</v>
      </c>
      <c r="D650">
        <v>330</v>
      </c>
      <c r="E650" t="s">
        <v>411</v>
      </c>
      <c r="F650" t="s">
        <v>28</v>
      </c>
      <c r="G650" t="s">
        <v>41</v>
      </c>
      <c r="H650">
        <v>8351</v>
      </c>
      <c r="I650">
        <v>260000</v>
      </c>
      <c r="J650">
        <v>0</v>
      </c>
      <c r="K650" t="s">
        <v>22</v>
      </c>
      <c r="L650" t="s">
        <v>23</v>
      </c>
      <c r="M650" t="s">
        <v>24</v>
      </c>
      <c r="N650" t="s">
        <v>25</v>
      </c>
      <c r="O650">
        <v>0</v>
      </c>
    </row>
    <row r="651" spans="1:15" x14ac:dyDescent="0.35">
      <c r="A651">
        <v>53018</v>
      </c>
      <c r="B651" t="s">
        <v>409</v>
      </c>
      <c r="C651" s="217">
        <v>46104</v>
      </c>
      <c r="D651">
        <v>835</v>
      </c>
      <c r="E651" t="s">
        <v>412</v>
      </c>
      <c r="F651" t="s">
        <v>28</v>
      </c>
      <c r="G651" t="s">
        <v>41</v>
      </c>
      <c r="H651">
        <v>8863</v>
      </c>
      <c r="I651">
        <v>96000</v>
      </c>
      <c r="J651">
        <v>0</v>
      </c>
      <c r="K651" t="s">
        <v>22</v>
      </c>
      <c r="L651" t="s">
        <v>23</v>
      </c>
      <c r="M651" t="s">
        <v>24</v>
      </c>
      <c r="N651" t="s">
        <v>25</v>
      </c>
      <c r="O651">
        <v>0</v>
      </c>
    </row>
    <row r="652" spans="1:15" x14ac:dyDescent="0.35">
      <c r="A652">
        <v>53018</v>
      </c>
      <c r="B652" t="s">
        <v>409</v>
      </c>
      <c r="C652" s="217">
        <v>46135</v>
      </c>
      <c r="D652">
        <v>2541</v>
      </c>
      <c r="E652" t="s">
        <v>413</v>
      </c>
      <c r="F652" t="s">
        <v>395</v>
      </c>
      <c r="G652" t="s">
        <v>50</v>
      </c>
      <c r="H652">
        <v>126000003884</v>
      </c>
      <c r="I652">
        <v>103713.91</v>
      </c>
      <c r="J652">
        <v>0</v>
      </c>
      <c r="K652" t="s">
        <v>22</v>
      </c>
      <c r="L652" t="s">
        <v>23</v>
      </c>
      <c r="M652" t="s">
        <v>24</v>
      </c>
      <c r="N652" t="s">
        <v>25</v>
      </c>
      <c r="O652">
        <v>0</v>
      </c>
    </row>
    <row r="653" spans="1:15" x14ac:dyDescent="0.35">
      <c r="A653">
        <v>53018</v>
      </c>
      <c r="B653" t="s">
        <v>409</v>
      </c>
      <c r="C653" s="217">
        <v>46136</v>
      </c>
      <c r="D653">
        <v>1018</v>
      </c>
      <c r="E653" t="s">
        <v>414</v>
      </c>
      <c r="F653" t="s">
        <v>28</v>
      </c>
      <c r="G653" t="s">
        <v>41</v>
      </c>
      <c r="H653">
        <v>9046</v>
      </c>
      <c r="I653">
        <v>360140</v>
      </c>
      <c r="J653">
        <v>0</v>
      </c>
      <c r="K653" t="s">
        <v>22</v>
      </c>
      <c r="L653" t="s">
        <v>23</v>
      </c>
      <c r="M653" t="s">
        <v>24</v>
      </c>
      <c r="N653" t="s">
        <v>25</v>
      </c>
      <c r="O653">
        <v>0</v>
      </c>
    </row>
    <row r="654" spans="1:15" x14ac:dyDescent="0.35">
      <c r="A654">
        <v>53018</v>
      </c>
      <c r="B654" t="s">
        <v>409</v>
      </c>
      <c r="C654" s="217">
        <v>46136</v>
      </c>
      <c r="D654">
        <v>1019</v>
      </c>
      <c r="E654" t="s">
        <v>415</v>
      </c>
      <c r="F654" t="s">
        <v>28</v>
      </c>
      <c r="G654" t="s">
        <v>41</v>
      </c>
      <c r="H654">
        <v>9047</v>
      </c>
      <c r="I654">
        <v>567860</v>
      </c>
      <c r="J654">
        <v>0</v>
      </c>
      <c r="K654" t="s">
        <v>22</v>
      </c>
      <c r="L654" t="s">
        <v>23</v>
      </c>
      <c r="M654" t="s">
        <v>24</v>
      </c>
      <c r="N654" t="s">
        <v>25</v>
      </c>
      <c r="O654">
        <v>0</v>
      </c>
    </row>
    <row r="655" spans="1:15" x14ac:dyDescent="0.35">
      <c r="A655">
        <v>53019</v>
      </c>
      <c r="B655" t="s">
        <v>416</v>
      </c>
      <c r="C655" s="217">
        <v>45702</v>
      </c>
      <c r="D655">
        <v>1735</v>
      </c>
      <c r="E655" t="s">
        <v>417</v>
      </c>
      <c r="F655" t="s">
        <v>176</v>
      </c>
      <c r="G655" t="s">
        <v>50</v>
      </c>
      <c r="H655">
        <v>300004447</v>
      </c>
      <c r="I655">
        <v>1172127.44</v>
      </c>
      <c r="J655">
        <v>0</v>
      </c>
      <c r="K655" t="s">
        <v>22</v>
      </c>
      <c r="L655" t="s">
        <v>23</v>
      </c>
      <c r="M655" t="s">
        <v>24</v>
      </c>
      <c r="N655" t="s">
        <v>25</v>
      </c>
      <c r="O655">
        <v>0</v>
      </c>
    </row>
    <row r="656" spans="1:15" x14ac:dyDescent="0.35">
      <c r="A656">
        <v>53019</v>
      </c>
      <c r="B656" t="s">
        <v>416</v>
      </c>
      <c r="C656" s="217">
        <v>45702</v>
      </c>
      <c r="D656">
        <v>1735</v>
      </c>
      <c r="E656" t="s">
        <v>417</v>
      </c>
      <c r="F656" t="s">
        <v>176</v>
      </c>
      <c r="G656" t="s">
        <v>50</v>
      </c>
      <c r="H656">
        <v>300004447</v>
      </c>
      <c r="I656">
        <v>11648.13</v>
      </c>
      <c r="J656">
        <v>0</v>
      </c>
      <c r="K656" t="s">
        <v>22</v>
      </c>
      <c r="L656" t="s">
        <v>23</v>
      </c>
      <c r="M656" t="s">
        <v>24</v>
      </c>
      <c r="N656" t="s">
        <v>25</v>
      </c>
      <c r="O656">
        <v>0</v>
      </c>
    </row>
    <row r="657" spans="1:15" x14ac:dyDescent="0.35">
      <c r="A657">
        <v>53019</v>
      </c>
      <c r="B657" t="s">
        <v>416</v>
      </c>
      <c r="C657" s="217">
        <v>45751</v>
      </c>
      <c r="D657">
        <v>2359</v>
      </c>
      <c r="E657" t="s">
        <v>417</v>
      </c>
      <c r="F657" t="s">
        <v>176</v>
      </c>
      <c r="G657" t="s">
        <v>50</v>
      </c>
      <c r="H657">
        <v>300005443</v>
      </c>
      <c r="I657">
        <v>69216.11</v>
      </c>
      <c r="J657">
        <v>0</v>
      </c>
      <c r="K657" t="s">
        <v>22</v>
      </c>
      <c r="L657" t="s">
        <v>23</v>
      </c>
      <c r="M657" t="s">
        <v>24</v>
      </c>
      <c r="N657" t="s">
        <v>25</v>
      </c>
      <c r="O657">
        <v>0</v>
      </c>
    </row>
    <row r="658" spans="1:15" x14ac:dyDescent="0.35">
      <c r="A658">
        <v>53019</v>
      </c>
      <c r="B658" t="s">
        <v>416</v>
      </c>
      <c r="C658" s="217">
        <v>45804</v>
      </c>
      <c r="D658">
        <v>3136</v>
      </c>
      <c r="E658" t="s">
        <v>417</v>
      </c>
      <c r="F658" t="s">
        <v>176</v>
      </c>
      <c r="G658" t="s">
        <v>50</v>
      </c>
      <c r="H658">
        <v>300006442</v>
      </c>
      <c r="I658">
        <v>279869.25</v>
      </c>
      <c r="J658">
        <v>0</v>
      </c>
      <c r="K658" t="s">
        <v>22</v>
      </c>
      <c r="L658" t="s">
        <v>23</v>
      </c>
      <c r="M658" t="s">
        <v>24</v>
      </c>
      <c r="N658" t="s">
        <v>25</v>
      </c>
      <c r="O658">
        <v>0</v>
      </c>
    </row>
    <row r="659" spans="1:15" x14ac:dyDescent="0.35">
      <c r="A659">
        <v>53019</v>
      </c>
      <c r="B659" t="s">
        <v>416</v>
      </c>
      <c r="C659" s="217">
        <v>45840</v>
      </c>
      <c r="D659">
        <v>5734</v>
      </c>
      <c r="E659" t="s">
        <v>417</v>
      </c>
      <c r="F659" t="s">
        <v>176</v>
      </c>
      <c r="G659" t="s">
        <v>51</v>
      </c>
      <c r="H659">
        <v>300000795</v>
      </c>
      <c r="I659">
        <v>0</v>
      </c>
      <c r="J659">
        <v>87170</v>
      </c>
      <c r="K659" t="s">
        <v>22</v>
      </c>
      <c r="L659" t="s">
        <v>23</v>
      </c>
      <c r="M659" t="s">
        <v>24</v>
      </c>
      <c r="N659" t="s">
        <v>25</v>
      </c>
      <c r="O659">
        <v>0</v>
      </c>
    </row>
    <row r="660" spans="1:15" x14ac:dyDescent="0.35">
      <c r="A660">
        <v>53019</v>
      </c>
      <c r="B660" t="s">
        <v>416</v>
      </c>
      <c r="C660" s="217">
        <v>45869</v>
      </c>
      <c r="D660">
        <v>3934</v>
      </c>
      <c r="E660" t="s">
        <v>417</v>
      </c>
      <c r="F660" t="s">
        <v>176</v>
      </c>
      <c r="G660" t="s">
        <v>50</v>
      </c>
      <c r="H660">
        <v>300007641</v>
      </c>
      <c r="I660">
        <v>299136.83</v>
      </c>
      <c r="J660">
        <v>0</v>
      </c>
      <c r="K660" t="s">
        <v>22</v>
      </c>
      <c r="L660" t="s">
        <v>23</v>
      </c>
      <c r="M660" t="s">
        <v>24</v>
      </c>
      <c r="N660" t="s">
        <v>25</v>
      </c>
      <c r="O660">
        <v>0</v>
      </c>
    </row>
    <row r="661" spans="1:15" x14ac:dyDescent="0.35">
      <c r="A661">
        <v>53019</v>
      </c>
      <c r="B661" t="s">
        <v>416</v>
      </c>
      <c r="C661" s="217">
        <v>45876</v>
      </c>
      <c r="D661">
        <v>4020</v>
      </c>
      <c r="E661" t="s">
        <v>417</v>
      </c>
      <c r="F661" t="s">
        <v>176</v>
      </c>
      <c r="G661" t="s">
        <v>50</v>
      </c>
      <c r="H661">
        <v>300007759</v>
      </c>
      <c r="I661">
        <v>795105.14</v>
      </c>
      <c r="J661">
        <v>0</v>
      </c>
      <c r="K661" t="s">
        <v>22</v>
      </c>
      <c r="L661" t="s">
        <v>23</v>
      </c>
      <c r="M661" t="s">
        <v>24</v>
      </c>
      <c r="N661" t="s">
        <v>25</v>
      </c>
      <c r="O661">
        <v>0</v>
      </c>
    </row>
    <row r="662" spans="1:15" x14ac:dyDescent="0.35">
      <c r="A662">
        <v>53019</v>
      </c>
      <c r="B662" t="s">
        <v>416</v>
      </c>
      <c r="C662" s="217">
        <v>45876</v>
      </c>
      <c r="D662">
        <v>4020</v>
      </c>
      <c r="E662" t="s">
        <v>417</v>
      </c>
      <c r="F662" t="s">
        <v>176</v>
      </c>
      <c r="G662" t="s">
        <v>50</v>
      </c>
      <c r="H662">
        <v>300007759</v>
      </c>
      <c r="I662">
        <v>257783.29</v>
      </c>
      <c r="J662">
        <v>0</v>
      </c>
      <c r="K662" t="s">
        <v>22</v>
      </c>
      <c r="L662" t="s">
        <v>23</v>
      </c>
      <c r="M662" t="s">
        <v>24</v>
      </c>
      <c r="N662" t="s">
        <v>25</v>
      </c>
      <c r="O662">
        <v>0</v>
      </c>
    </row>
    <row r="663" spans="1:15" x14ac:dyDescent="0.35">
      <c r="A663">
        <v>53019</v>
      </c>
      <c r="B663" t="s">
        <v>416</v>
      </c>
      <c r="C663" s="217">
        <v>45880</v>
      </c>
      <c r="D663">
        <v>5735</v>
      </c>
      <c r="E663" t="s">
        <v>417</v>
      </c>
      <c r="F663" t="s">
        <v>176</v>
      </c>
      <c r="G663" t="s">
        <v>50</v>
      </c>
      <c r="H663">
        <v>300007829</v>
      </c>
      <c r="I663">
        <v>412443.16</v>
      </c>
      <c r="J663">
        <v>0</v>
      </c>
      <c r="K663" t="s">
        <v>22</v>
      </c>
      <c r="L663" t="s">
        <v>23</v>
      </c>
      <c r="M663" t="s">
        <v>24</v>
      </c>
      <c r="N663" t="s">
        <v>25</v>
      </c>
      <c r="O663">
        <v>0</v>
      </c>
    </row>
    <row r="664" spans="1:15" x14ac:dyDescent="0.35">
      <c r="A664">
        <v>53019</v>
      </c>
      <c r="B664" t="s">
        <v>416</v>
      </c>
      <c r="C664" s="217">
        <v>45880</v>
      </c>
      <c r="D664">
        <v>5735</v>
      </c>
      <c r="E664" t="s">
        <v>417</v>
      </c>
      <c r="F664" t="s">
        <v>176</v>
      </c>
      <c r="G664" t="s">
        <v>50</v>
      </c>
      <c r="H664">
        <v>300007829</v>
      </c>
      <c r="I664">
        <v>7367.78</v>
      </c>
      <c r="J664">
        <v>0</v>
      </c>
      <c r="K664" t="s">
        <v>22</v>
      </c>
      <c r="L664" t="s">
        <v>23</v>
      </c>
      <c r="M664" t="s">
        <v>24</v>
      </c>
      <c r="N664" t="s">
        <v>25</v>
      </c>
      <c r="O664">
        <v>0</v>
      </c>
    </row>
    <row r="665" spans="1:15" x14ac:dyDescent="0.35">
      <c r="A665">
        <v>53019</v>
      </c>
      <c r="B665" t="s">
        <v>416</v>
      </c>
      <c r="C665" s="217">
        <v>45898</v>
      </c>
      <c r="D665">
        <v>4462</v>
      </c>
      <c r="E665" t="s">
        <v>417</v>
      </c>
      <c r="F665" t="s">
        <v>176</v>
      </c>
      <c r="G665" t="s">
        <v>50</v>
      </c>
      <c r="H665">
        <v>300008193</v>
      </c>
      <c r="I665">
        <v>59073.72</v>
      </c>
      <c r="J665">
        <v>0</v>
      </c>
      <c r="K665" t="s">
        <v>22</v>
      </c>
      <c r="L665" t="s">
        <v>23</v>
      </c>
      <c r="M665" t="s">
        <v>24</v>
      </c>
      <c r="N665" t="s">
        <v>25</v>
      </c>
      <c r="O665">
        <v>0</v>
      </c>
    </row>
    <row r="666" spans="1:15" x14ac:dyDescent="0.35">
      <c r="A666">
        <v>53019</v>
      </c>
      <c r="B666" t="s">
        <v>416</v>
      </c>
      <c r="C666" s="217">
        <v>45917</v>
      </c>
      <c r="D666">
        <v>4669</v>
      </c>
      <c r="E666" t="s">
        <v>418</v>
      </c>
      <c r="F666" t="s">
        <v>176</v>
      </c>
      <c r="G666" t="s">
        <v>50</v>
      </c>
      <c r="H666">
        <v>300008536</v>
      </c>
      <c r="I666">
        <v>61796.99</v>
      </c>
      <c r="J666">
        <v>0</v>
      </c>
      <c r="K666" t="s">
        <v>22</v>
      </c>
      <c r="L666" t="s">
        <v>23</v>
      </c>
      <c r="M666" t="s">
        <v>24</v>
      </c>
      <c r="N666" t="s">
        <v>25</v>
      </c>
      <c r="O666">
        <v>0</v>
      </c>
    </row>
    <row r="667" spans="1:15" x14ac:dyDescent="0.35">
      <c r="A667">
        <v>53019</v>
      </c>
      <c r="B667" t="s">
        <v>416</v>
      </c>
      <c r="C667" s="217">
        <v>45924</v>
      </c>
      <c r="D667">
        <v>4844</v>
      </c>
      <c r="E667" t="s">
        <v>417</v>
      </c>
      <c r="F667" t="s">
        <v>176</v>
      </c>
      <c r="G667" t="s">
        <v>50</v>
      </c>
      <c r="H667">
        <v>300008663</v>
      </c>
      <c r="I667">
        <v>97777.2</v>
      </c>
      <c r="J667">
        <v>0</v>
      </c>
      <c r="K667" t="s">
        <v>22</v>
      </c>
      <c r="L667" t="s">
        <v>23</v>
      </c>
      <c r="M667" t="s">
        <v>24</v>
      </c>
      <c r="N667" t="s">
        <v>25</v>
      </c>
      <c r="O667">
        <v>0</v>
      </c>
    </row>
    <row r="668" spans="1:15" x14ac:dyDescent="0.35">
      <c r="A668">
        <v>53019</v>
      </c>
      <c r="B668" t="s">
        <v>416</v>
      </c>
      <c r="C668" s="217">
        <v>45943</v>
      </c>
      <c r="D668">
        <v>5726</v>
      </c>
      <c r="E668" t="s">
        <v>419</v>
      </c>
      <c r="F668" t="s">
        <v>189</v>
      </c>
      <c r="G668" t="s">
        <v>50</v>
      </c>
      <c r="H668">
        <v>1800095403</v>
      </c>
      <c r="I668">
        <v>348353.8</v>
      </c>
      <c r="J668">
        <v>0</v>
      </c>
      <c r="K668" t="s">
        <v>22</v>
      </c>
      <c r="L668" t="s">
        <v>23</v>
      </c>
      <c r="M668" t="s">
        <v>24</v>
      </c>
      <c r="N668" t="s">
        <v>25</v>
      </c>
      <c r="O668">
        <v>0</v>
      </c>
    </row>
    <row r="669" spans="1:15" x14ac:dyDescent="0.35">
      <c r="A669">
        <v>53019</v>
      </c>
      <c r="B669" t="s">
        <v>416</v>
      </c>
      <c r="C669" s="217">
        <v>45945</v>
      </c>
      <c r="D669">
        <v>5727</v>
      </c>
      <c r="E669" t="s">
        <v>419</v>
      </c>
      <c r="F669" t="s">
        <v>189</v>
      </c>
      <c r="G669" t="s">
        <v>50</v>
      </c>
      <c r="H669">
        <v>1800095496</v>
      </c>
      <c r="I669">
        <v>432434.55</v>
      </c>
      <c r="J669">
        <v>0</v>
      </c>
      <c r="K669" t="s">
        <v>22</v>
      </c>
      <c r="L669" t="s">
        <v>23</v>
      </c>
      <c r="M669" t="s">
        <v>24</v>
      </c>
      <c r="N669" t="s">
        <v>25</v>
      </c>
      <c r="O669">
        <v>0</v>
      </c>
    </row>
    <row r="670" spans="1:15" x14ac:dyDescent="0.35">
      <c r="A670">
        <v>53019</v>
      </c>
      <c r="B670" t="s">
        <v>416</v>
      </c>
      <c r="C670" s="217">
        <v>45945</v>
      </c>
      <c r="D670">
        <v>5727</v>
      </c>
      <c r="E670" t="s">
        <v>419</v>
      </c>
      <c r="F670" t="s">
        <v>189</v>
      </c>
      <c r="G670" t="s">
        <v>50</v>
      </c>
      <c r="H670">
        <v>1800095496</v>
      </c>
      <c r="I670">
        <v>45898.19</v>
      </c>
      <c r="J670">
        <v>0</v>
      </c>
      <c r="K670" t="s">
        <v>22</v>
      </c>
      <c r="L670" t="s">
        <v>23</v>
      </c>
      <c r="M670" t="s">
        <v>24</v>
      </c>
      <c r="N670" t="s">
        <v>25</v>
      </c>
      <c r="O670">
        <v>0</v>
      </c>
    </row>
    <row r="671" spans="1:15" x14ac:dyDescent="0.35">
      <c r="A671">
        <v>53019</v>
      </c>
      <c r="B671" t="s">
        <v>416</v>
      </c>
      <c r="C671" s="217">
        <v>45957</v>
      </c>
      <c r="D671">
        <v>5550</v>
      </c>
      <c r="E671" t="s">
        <v>417</v>
      </c>
      <c r="F671" t="s">
        <v>176</v>
      </c>
      <c r="G671" t="s">
        <v>50</v>
      </c>
      <c r="H671">
        <v>300009237</v>
      </c>
      <c r="I671">
        <v>380764.5</v>
      </c>
      <c r="J671">
        <v>0</v>
      </c>
      <c r="K671" t="s">
        <v>22</v>
      </c>
      <c r="L671" t="s">
        <v>23</v>
      </c>
      <c r="M671" t="s">
        <v>24</v>
      </c>
      <c r="N671" t="s">
        <v>25</v>
      </c>
      <c r="O671">
        <v>0</v>
      </c>
    </row>
    <row r="672" spans="1:15" x14ac:dyDescent="0.35">
      <c r="A672">
        <v>53019</v>
      </c>
      <c r="B672" t="s">
        <v>416</v>
      </c>
      <c r="C672" s="217">
        <v>45964</v>
      </c>
      <c r="D672">
        <v>429</v>
      </c>
      <c r="E672" t="s">
        <v>417</v>
      </c>
      <c r="F672" t="s">
        <v>176</v>
      </c>
      <c r="G672" t="s">
        <v>50</v>
      </c>
      <c r="H672">
        <v>300009385</v>
      </c>
      <c r="I672">
        <v>48821.94</v>
      </c>
      <c r="J672">
        <v>0</v>
      </c>
      <c r="K672" t="s">
        <v>22</v>
      </c>
      <c r="L672" t="s">
        <v>23</v>
      </c>
      <c r="M672" t="s">
        <v>24</v>
      </c>
      <c r="N672" t="s">
        <v>25</v>
      </c>
      <c r="O672">
        <v>0</v>
      </c>
    </row>
    <row r="673" spans="1:15" x14ac:dyDescent="0.35">
      <c r="A673">
        <v>53019</v>
      </c>
      <c r="B673" t="s">
        <v>416</v>
      </c>
      <c r="C673" s="217">
        <v>45982</v>
      </c>
      <c r="D673">
        <v>221</v>
      </c>
      <c r="E673" t="s">
        <v>417</v>
      </c>
      <c r="F673" t="s">
        <v>176</v>
      </c>
      <c r="G673" t="s">
        <v>50</v>
      </c>
      <c r="H673">
        <v>300009709</v>
      </c>
      <c r="I673">
        <v>319530.23999999999</v>
      </c>
      <c r="J673">
        <v>0</v>
      </c>
      <c r="K673" t="s">
        <v>22</v>
      </c>
      <c r="L673" t="s">
        <v>23</v>
      </c>
      <c r="M673" t="s">
        <v>24</v>
      </c>
      <c r="N673" t="s">
        <v>25</v>
      </c>
      <c r="O673">
        <v>0</v>
      </c>
    </row>
    <row r="674" spans="1:15" x14ac:dyDescent="0.35">
      <c r="A674">
        <v>53019</v>
      </c>
      <c r="B674" t="s">
        <v>416</v>
      </c>
      <c r="C674" s="217">
        <v>46010</v>
      </c>
      <c r="D674">
        <v>530</v>
      </c>
      <c r="E674" t="s">
        <v>417</v>
      </c>
      <c r="F674" t="s">
        <v>176</v>
      </c>
      <c r="G674" t="s">
        <v>50</v>
      </c>
      <c r="H674">
        <v>300010152</v>
      </c>
      <c r="I674">
        <v>139378.68</v>
      </c>
      <c r="J674">
        <v>0</v>
      </c>
      <c r="K674" t="s">
        <v>22</v>
      </c>
      <c r="L674" t="s">
        <v>23</v>
      </c>
      <c r="M674" t="s">
        <v>24</v>
      </c>
      <c r="N674" t="s">
        <v>25</v>
      </c>
      <c r="O674">
        <v>0</v>
      </c>
    </row>
    <row r="675" spans="1:15" x14ac:dyDescent="0.35">
      <c r="A675">
        <v>53019</v>
      </c>
      <c r="B675" t="s">
        <v>416</v>
      </c>
      <c r="C675" s="217">
        <v>46010</v>
      </c>
      <c r="D675">
        <v>690</v>
      </c>
      <c r="E675" t="s">
        <v>417</v>
      </c>
      <c r="F675" t="s">
        <v>176</v>
      </c>
      <c r="G675" t="s">
        <v>50</v>
      </c>
      <c r="H675">
        <v>300010151</v>
      </c>
      <c r="I675">
        <v>772007.51</v>
      </c>
      <c r="J675">
        <v>0</v>
      </c>
      <c r="K675" t="s">
        <v>22</v>
      </c>
      <c r="L675" t="s">
        <v>23</v>
      </c>
      <c r="M675" t="s">
        <v>24</v>
      </c>
      <c r="N675" t="s">
        <v>25</v>
      </c>
      <c r="O675">
        <v>0</v>
      </c>
    </row>
    <row r="676" spans="1:15" x14ac:dyDescent="0.35">
      <c r="A676">
        <v>53019</v>
      </c>
      <c r="B676" t="s">
        <v>416</v>
      </c>
      <c r="C676" s="217">
        <v>46024</v>
      </c>
      <c r="D676">
        <v>752</v>
      </c>
      <c r="E676" t="s">
        <v>419</v>
      </c>
      <c r="F676" t="s">
        <v>189</v>
      </c>
      <c r="G676" t="s">
        <v>50</v>
      </c>
      <c r="H676">
        <v>1800099152</v>
      </c>
      <c r="I676">
        <v>179080</v>
      </c>
      <c r="J676">
        <v>0</v>
      </c>
      <c r="K676" t="s">
        <v>22</v>
      </c>
      <c r="L676" t="s">
        <v>23</v>
      </c>
      <c r="M676" t="s">
        <v>24</v>
      </c>
      <c r="N676" t="s">
        <v>25</v>
      </c>
      <c r="O676">
        <v>0</v>
      </c>
    </row>
    <row r="677" spans="1:15" x14ac:dyDescent="0.35">
      <c r="A677">
        <v>53019</v>
      </c>
      <c r="B677" t="s">
        <v>416</v>
      </c>
      <c r="C677" s="217">
        <v>46027</v>
      </c>
      <c r="D677">
        <v>908</v>
      </c>
      <c r="E677" t="s">
        <v>417</v>
      </c>
      <c r="F677" t="s">
        <v>176</v>
      </c>
      <c r="G677" t="s">
        <v>50</v>
      </c>
      <c r="H677">
        <v>300010291</v>
      </c>
      <c r="I677">
        <v>201012.98</v>
      </c>
      <c r="J677">
        <v>0</v>
      </c>
      <c r="K677" t="s">
        <v>22</v>
      </c>
      <c r="L677" t="s">
        <v>23</v>
      </c>
      <c r="M677" t="s">
        <v>24</v>
      </c>
      <c r="N677" t="s">
        <v>25</v>
      </c>
      <c r="O677">
        <v>0</v>
      </c>
    </row>
    <row r="678" spans="1:15" x14ac:dyDescent="0.35">
      <c r="A678">
        <v>53019</v>
      </c>
      <c r="B678" t="s">
        <v>416</v>
      </c>
      <c r="C678" s="217">
        <v>46030</v>
      </c>
      <c r="D678">
        <v>769</v>
      </c>
      <c r="E678" t="s">
        <v>419</v>
      </c>
      <c r="F678" t="s">
        <v>189</v>
      </c>
      <c r="G678" t="s">
        <v>50</v>
      </c>
      <c r="H678">
        <v>2200052640</v>
      </c>
      <c r="I678">
        <v>64300.5</v>
      </c>
      <c r="J678">
        <v>0</v>
      </c>
      <c r="K678" t="s">
        <v>22</v>
      </c>
      <c r="L678" t="s">
        <v>23</v>
      </c>
      <c r="M678" t="s">
        <v>24</v>
      </c>
      <c r="N678" t="s">
        <v>25</v>
      </c>
      <c r="O678">
        <v>0</v>
      </c>
    </row>
    <row r="679" spans="1:15" x14ac:dyDescent="0.35">
      <c r="A679">
        <v>53019</v>
      </c>
      <c r="B679" t="s">
        <v>416</v>
      </c>
      <c r="C679" s="217">
        <v>46030</v>
      </c>
      <c r="D679">
        <v>770</v>
      </c>
      <c r="E679" t="s">
        <v>419</v>
      </c>
      <c r="F679" t="s">
        <v>189</v>
      </c>
      <c r="G679" t="s">
        <v>50</v>
      </c>
      <c r="H679">
        <v>2200052641</v>
      </c>
      <c r="I679">
        <v>283122.68</v>
      </c>
      <c r="J679">
        <v>0</v>
      </c>
      <c r="K679" t="s">
        <v>22</v>
      </c>
      <c r="L679" t="s">
        <v>23</v>
      </c>
      <c r="M679" t="s">
        <v>24</v>
      </c>
      <c r="N679" t="s">
        <v>25</v>
      </c>
      <c r="O679">
        <v>0</v>
      </c>
    </row>
    <row r="680" spans="1:15" x14ac:dyDescent="0.35">
      <c r="A680">
        <v>53019</v>
      </c>
      <c r="B680" t="s">
        <v>416</v>
      </c>
      <c r="C680" s="217">
        <v>46030</v>
      </c>
      <c r="D680">
        <v>2559</v>
      </c>
      <c r="E680" t="s">
        <v>419</v>
      </c>
      <c r="F680" t="s">
        <v>189</v>
      </c>
      <c r="G680" t="s">
        <v>50</v>
      </c>
      <c r="H680">
        <v>1800099324</v>
      </c>
      <c r="I680">
        <v>283122.68</v>
      </c>
      <c r="J680">
        <v>0</v>
      </c>
      <c r="K680" t="s">
        <v>22</v>
      </c>
      <c r="L680" t="s">
        <v>23</v>
      </c>
      <c r="M680" t="s">
        <v>24</v>
      </c>
      <c r="N680" t="s">
        <v>25</v>
      </c>
      <c r="O680">
        <v>0</v>
      </c>
    </row>
    <row r="681" spans="1:15" x14ac:dyDescent="0.35">
      <c r="A681">
        <v>53019</v>
      </c>
      <c r="B681" t="s">
        <v>416</v>
      </c>
      <c r="C681" s="217">
        <v>46045</v>
      </c>
      <c r="D681">
        <v>987</v>
      </c>
      <c r="E681" t="s">
        <v>417</v>
      </c>
      <c r="F681" t="s">
        <v>176</v>
      </c>
      <c r="G681" t="s">
        <v>50</v>
      </c>
      <c r="H681">
        <v>300010612</v>
      </c>
      <c r="I681">
        <v>248602.26</v>
      </c>
      <c r="J681">
        <v>0</v>
      </c>
      <c r="K681" t="s">
        <v>22</v>
      </c>
      <c r="L681" t="s">
        <v>23</v>
      </c>
      <c r="M681" t="s">
        <v>24</v>
      </c>
      <c r="N681" t="s">
        <v>25</v>
      </c>
      <c r="O681">
        <v>0</v>
      </c>
    </row>
    <row r="682" spans="1:15" x14ac:dyDescent="0.35">
      <c r="A682">
        <v>53019</v>
      </c>
      <c r="B682" t="s">
        <v>416</v>
      </c>
      <c r="C682" s="217">
        <v>46073</v>
      </c>
      <c r="D682">
        <v>1343</v>
      </c>
      <c r="E682" t="s">
        <v>417</v>
      </c>
      <c r="F682" t="s">
        <v>176</v>
      </c>
      <c r="G682" t="s">
        <v>50</v>
      </c>
      <c r="H682">
        <v>300011075</v>
      </c>
      <c r="I682">
        <v>210250.83</v>
      </c>
      <c r="J682">
        <v>0</v>
      </c>
      <c r="K682" t="s">
        <v>22</v>
      </c>
      <c r="L682" t="s">
        <v>23</v>
      </c>
      <c r="M682" t="s">
        <v>24</v>
      </c>
      <c r="N682" t="s">
        <v>25</v>
      </c>
      <c r="O682">
        <v>0</v>
      </c>
    </row>
    <row r="683" spans="1:15" x14ac:dyDescent="0.35">
      <c r="A683">
        <v>53019</v>
      </c>
      <c r="B683" t="s">
        <v>416</v>
      </c>
      <c r="C683" s="217">
        <v>46090</v>
      </c>
      <c r="D683">
        <v>1639</v>
      </c>
      <c r="E683" t="s">
        <v>417</v>
      </c>
      <c r="F683" t="s">
        <v>176</v>
      </c>
      <c r="G683" t="s">
        <v>50</v>
      </c>
      <c r="H683">
        <v>300011391</v>
      </c>
      <c r="I683">
        <v>51415.63</v>
      </c>
      <c r="J683">
        <v>0</v>
      </c>
      <c r="K683" t="s">
        <v>22</v>
      </c>
      <c r="L683" t="s">
        <v>23</v>
      </c>
      <c r="M683" t="s">
        <v>24</v>
      </c>
      <c r="N683" t="s">
        <v>25</v>
      </c>
      <c r="O683">
        <v>0</v>
      </c>
    </row>
    <row r="684" spans="1:15" x14ac:dyDescent="0.35">
      <c r="A684">
        <v>53019</v>
      </c>
      <c r="B684" t="s">
        <v>416</v>
      </c>
      <c r="C684" s="217">
        <v>46098</v>
      </c>
      <c r="D684">
        <v>1723</v>
      </c>
      <c r="E684" t="s">
        <v>417</v>
      </c>
      <c r="F684" t="s">
        <v>176</v>
      </c>
      <c r="G684" t="s">
        <v>50</v>
      </c>
      <c r="H684">
        <v>300011571</v>
      </c>
      <c r="I684">
        <v>482300.13</v>
      </c>
      <c r="J684">
        <v>0</v>
      </c>
      <c r="K684" t="s">
        <v>22</v>
      </c>
      <c r="L684" t="s">
        <v>23</v>
      </c>
      <c r="M684" t="s">
        <v>24</v>
      </c>
      <c r="N684" t="s">
        <v>25</v>
      </c>
      <c r="O684">
        <v>0</v>
      </c>
    </row>
    <row r="685" spans="1:15" x14ac:dyDescent="0.35">
      <c r="A685">
        <v>53019</v>
      </c>
      <c r="B685" t="s">
        <v>416</v>
      </c>
      <c r="C685" s="217">
        <v>46106</v>
      </c>
      <c r="D685">
        <v>1943</v>
      </c>
      <c r="E685" t="s">
        <v>417</v>
      </c>
      <c r="F685" t="s">
        <v>176</v>
      </c>
      <c r="G685" t="s">
        <v>50</v>
      </c>
      <c r="H685">
        <v>300011696</v>
      </c>
      <c r="I685">
        <v>99153.49</v>
      </c>
      <c r="J685">
        <v>0</v>
      </c>
      <c r="K685" t="s">
        <v>22</v>
      </c>
      <c r="L685" t="s">
        <v>23</v>
      </c>
      <c r="M685" t="s">
        <v>24</v>
      </c>
      <c r="N685" t="s">
        <v>25</v>
      </c>
      <c r="O685">
        <v>0</v>
      </c>
    </row>
    <row r="686" spans="1:15" x14ac:dyDescent="0.35">
      <c r="A686">
        <v>53019</v>
      </c>
      <c r="B686" t="s">
        <v>416</v>
      </c>
      <c r="C686" s="217">
        <v>46108</v>
      </c>
      <c r="D686">
        <v>2113</v>
      </c>
      <c r="E686" t="s">
        <v>417</v>
      </c>
      <c r="F686" t="s">
        <v>176</v>
      </c>
      <c r="G686" t="s">
        <v>51</v>
      </c>
      <c r="H686">
        <v>300001366</v>
      </c>
      <c r="I686">
        <v>0</v>
      </c>
      <c r="J686">
        <v>58793.66</v>
      </c>
      <c r="K686" t="s">
        <v>22</v>
      </c>
      <c r="L686" t="s">
        <v>23</v>
      </c>
      <c r="M686" t="s">
        <v>24</v>
      </c>
      <c r="N686" t="s">
        <v>25</v>
      </c>
      <c r="O686">
        <v>0</v>
      </c>
    </row>
    <row r="687" spans="1:15" x14ac:dyDescent="0.35">
      <c r="A687">
        <v>53019</v>
      </c>
      <c r="B687" t="s">
        <v>416</v>
      </c>
      <c r="C687" s="217">
        <v>46126</v>
      </c>
      <c r="D687">
        <v>2367</v>
      </c>
      <c r="E687" t="s">
        <v>419</v>
      </c>
      <c r="F687" t="s">
        <v>189</v>
      </c>
      <c r="G687" t="s">
        <v>50</v>
      </c>
      <c r="H687">
        <v>2200055088</v>
      </c>
      <c r="I687">
        <v>76388.009999999995</v>
      </c>
      <c r="J687">
        <v>0</v>
      </c>
      <c r="K687" t="s">
        <v>22</v>
      </c>
      <c r="L687" t="s">
        <v>23</v>
      </c>
      <c r="M687" t="s">
        <v>24</v>
      </c>
      <c r="N687" t="s">
        <v>25</v>
      </c>
      <c r="O687">
        <v>0</v>
      </c>
    </row>
    <row r="688" spans="1:15" x14ac:dyDescent="0.35">
      <c r="A688">
        <v>53020</v>
      </c>
      <c r="B688" t="s">
        <v>420</v>
      </c>
      <c r="C688" s="217">
        <v>45863</v>
      </c>
      <c r="D688">
        <v>1824</v>
      </c>
      <c r="E688" t="s">
        <v>421</v>
      </c>
      <c r="F688" t="s">
        <v>28</v>
      </c>
      <c r="G688" t="s">
        <v>41</v>
      </c>
      <c r="H688">
        <v>7219</v>
      </c>
      <c r="I688">
        <v>500000</v>
      </c>
      <c r="J688">
        <v>0</v>
      </c>
      <c r="K688" t="s">
        <v>22</v>
      </c>
      <c r="L688" t="s">
        <v>23</v>
      </c>
      <c r="M688" t="s">
        <v>24</v>
      </c>
      <c r="N688" t="s">
        <v>25</v>
      </c>
      <c r="O688">
        <v>0</v>
      </c>
    </row>
    <row r="689" spans="1:15" x14ac:dyDescent="0.35">
      <c r="A689">
        <v>53020</v>
      </c>
      <c r="B689" t="s">
        <v>420</v>
      </c>
      <c r="C689" s="217">
        <v>45884</v>
      </c>
      <c r="D689">
        <v>1994</v>
      </c>
      <c r="E689" t="s">
        <v>422</v>
      </c>
      <c r="F689" t="s">
        <v>28</v>
      </c>
      <c r="G689" t="s">
        <v>41</v>
      </c>
      <c r="H689">
        <v>7390</v>
      </c>
      <c r="I689">
        <v>450000</v>
      </c>
      <c r="J689">
        <v>0</v>
      </c>
      <c r="K689" t="s">
        <v>22</v>
      </c>
      <c r="L689" t="s">
        <v>23</v>
      </c>
      <c r="M689" t="s">
        <v>24</v>
      </c>
      <c r="N689" t="s">
        <v>25</v>
      </c>
      <c r="O689">
        <v>0</v>
      </c>
    </row>
    <row r="690" spans="1:15" x14ac:dyDescent="0.35">
      <c r="A690">
        <v>53020</v>
      </c>
      <c r="B690" t="s">
        <v>420</v>
      </c>
      <c r="C690" s="217">
        <v>46010</v>
      </c>
      <c r="D690">
        <v>203</v>
      </c>
      <c r="E690" t="s">
        <v>423</v>
      </c>
      <c r="F690" t="s">
        <v>28</v>
      </c>
      <c r="G690" t="s">
        <v>41</v>
      </c>
      <c r="H690">
        <v>8230</v>
      </c>
      <c r="I690">
        <v>300000</v>
      </c>
      <c r="J690">
        <v>0</v>
      </c>
      <c r="K690" t="s">
        <v>22</v>
      </c>
      <c r="L690" t="s">
        <v>23</v>
      </c>
      <c r="M690" t="s">
        <v>24</v>
      </c>
      <c r="N690" t="s">
        <v>25</v>
      </c>
      <c r="O690">
        <v>0</v>
      </c>
    </row>
    <row r="691" spans="1:15" x14ac:dyDescent="0.35">
      <c r="A691">
        <v>53021</v>
      </c>
      <c r="B691" t="s">
        <v>424</v>
      </c>
      <c r="C691" s="217">
        <v>46039</v>
      </c>
      <c r="D691">
        <v>1147</v>
      </c>
      <c r="E691" t="s">
        <v>425</v>
      </c>
      <c r="F691" t="s">
        <v>49</v>
      </c>
      <c r="G691" t="s">
        <v>50</v>
      </c>
      <c r="H691">
        <v>1000217463</v>
      </c>
      <c r="I691">
        <v>62749.05</v>
      </c>
      <c r="J691">
        <v>0</v>
      </c>
      <c r="K691" t="s">
        <v>22</v>
      </c>
      <c r="L691" t="s">
        <v>23</v>
      </c>
      <c r="M691" t="s">
        <v>24</v>
      </c>
      <c r="N691" t="s">
        <v>25</v>
      </c>
      <c r="O691">
        <v>0</v>
      </c>
    </row>
    <row r="692" spans="1:15" x14ac:dyDescent="0.35">
      <c r="A692">
        <v>53021</v>
      </c>
      <c r="B692" t="s">
        <v>424</v>
      </c>
      <c r="C692" s="217">
        <v>46039</v>
      </c>
      <c r="D692">
        <v>1147</v>
      </c>
      <c r="E692" t="s">
        <v>426</v>
      </c>
      <c r="F692" t="s">
        <v>49</v>
      </c>
      <c r="G692" t="s">
        <v>50</v>
      </c>
      <c r="H692">
        <v>1000217463</v>
      </c>
      <c r="I692">
        <v>4711.05</v>
      </c>
      <c r="J692">
        <v>0</v>
      </c>
      <c r="K692" t="s">
        <v>22</v>
      </c>
      <c r="L692" t="s">
        <v>23</v>
      </c>
      <c r="M692" t="s">
        <v>24</v>
      </c>
      <c r="N692" t="s">
        <v>25</v>
      </c>
      <c r="O692">
        <v>0</v>
      </c>
    </row>
    <row r="693" spans="1:15" x14ac:dyDescent="0.35">
      <c r="A693">
        <v>53022</v>
      </c>
      <c r="B693" t="s">
        <v>427</v>
      </c>
      <c r="C693" s="217">
        <v>45632</v>
      </c>
      <c r="D693">
        <v>413</v>
      </c>
      <c r="E693" t="s">
        <v>428</v>
      </c>
      <c r="F693" t="s">
        <v>28</v>
      </c>
      <c r="G693" t="s">
        <v>59</v>
      </c>
      <c r="H693">
        <v>3488</v>
      </c>
      <c r="I693">
        <v>53000</v>
      </c>
      <c r="J693">
        <v>0</v>
      </c>
      <c r="K693" t="s">
        <v>22</v>
      </c>
      <c r="L693" t="s">
        <v>23</v>
      </c>
      <c r="M693" t="s">
        <v>24</v>
      </c>
      <c r="N693" t="s">
        <v>25</v>
      </c>
      <c r="O693">
        <v>0</v>
      </c>
    </row>
    <row r="694" spans="1:15" x14ac:dyDescent="0.35">
      <c r="A694">
        <v>53022</v>
      </c>
      <c r="B694" t="s">
        <v>427</v>
      </c>
      <c r="C694" s="217">
        <v>45632</v>
      </c>
      <c r="D694">
        <v>414</v>
      </c>
      <c r="E694" t="s">
        <v>429</v>
      </c>
      <c r="F694" t="s">
        <v>28</v>
      </c>
      <c r="G694" t="s">
        <v>59</v>
      </c>
      <c r="H694">
        <v>3489</v>
      </c>
      <c r="I694">
        <v>180000</v>
      </c>
      <c r="J694">
        <v>0</v>
      </c>
      <c r="K694" t="s">
        <v>22</v>
      </c>
      <c r="L694" t="s">
        <v>23</v>
      </c>
      <c r="M694" t="s">
        <v>24</v>
      </c>
      <c r="N694" t="s">
        <v>25</v>
      </c>
      <c r="O694">
        <v>0</v>
      </c>
    </row>
    <row r="695" spans="1:15" x14ac:dyDescent="0.35">
      <c r="A695">
        <v>53022</v>
      </c>
      <c r="B695" t="s">
        <v>427</v>
      </c>
      <c r="C695" s="217">
        <v>45645</v>
      </c>
      <c r="D695">
        <v>186</v>
      </c>
      <c r="E695" t="s">
        <v>430</v>
      </c>
      <c r="F695" t="s">
        <v>28</v>
      </c>
      <c r="G695" t="s">
        <v>41</v>
      </c>
      <c r="H695">
        <v>5612</v>
      </c>
      <c r="I695">
        <v>7005</v>
      </c>
      <c r="J695">
        <v>0</v>
      </c>
      <c r="K695" t="s">
        <v>22</v>
      </c>
      <c r="L695" t="s">
        <v>23</v>
      </c>
      <c r="M695" t="s">
        <v>24</v>
      </c>
      <c r="N695" t="s">
        <v>25</v>
      </c>
      <c r="O695">
        <v>0</v>
      </c>
    </row>
    <row r="696" spans="1:15" x14ac:dyDescent="0.35">
      <c r="A696">
        <v>53022</v>
      </c>
      <c r="B696" t="s">
        <v>427</v>
      </c>
      <c r="C696" s="217">
        <v>45645</v>
      </c>
      <c r="D696">
        <v>538</v>
      </c>
      <c r="E696" t="s">
        <v>431</v>
      </c>
      <c r="F696" t="s">
        <v>127</v>
      </c>
      <c r="G696" t="s">
        <v>70</v>
      </c>
      <c r="H696">
        <v>2100049507</v>
      </c>
      <c r="I696">
        <v>5258.93</v>
      </c>
      <c r="J696">
        <v>0</v>
      </c>
      <c r="K696" t="s">
        <v>22</v>
      </c>
      <c r="L696" t="s">
        <v>23</v>
      </c>
      <c r="M696" t="s">
        <v>24</v>
      </c>
      <c r="N696" t="s">
        <v>25</v>
      </c>
      <c r="O696">
        <v>0</v>
      </c>
    </row>
    <row r="697" spans="1:15" x14ac:dyDescent="0.35">
      <c r="A697">
        <v>53022</v>
      </c>
      <c r="B697" t="s">
        <v>427</v>
      </c>
      <c r="C697" s="217">
        <v>45645</v>
      </c>
      <c r="D697">
        <v>538</v>
      </c>
      <c r="E697" t="s">
        <v>432</v>
      </c>
      <c r="F697" t="s">
        <v>127</v>
      </c>
      <c r="G697" t="s">
        <v>70</v>
      </c>
      <c r="H697">
        <v>2100049507</v>
      </c>
      <c r="I697">
        <v>641.70000000000005</v>
      </c>
      <c r="J697">
        <v>0</v>
      </c>
      <c r="K697" t="s">
        <v>22</v>
      </c>
      <c r="L697" t="s">
        <v>23</v>
      </c>
      <c r="M697" t="s">
        <v>24</v>
      </c>
      <c r="N697" t="s">
        <v>25</v>
      </c>
      <c r="O697">
        <v>0</v>
      </c>
    </row>
    <row r="698" spans="1:15" x14ac:dyDescent="0.35">
      <c r="A698">
        <v>53022</v>
      </c>
      <c r="B698" t="s">
        <v>427</v>
      </c>
      <c r="C698" s="217">
        <v>45674</v>
      </c>
      <c r="D698">
        <v>983</v>
      </c>
      <c r="E698" t="s">
        <v>433</v>
      </c>
      <c r="F698" t="s">
        <v>28</v>
      </c>
      <c r="G698" t="s">
        <v>59</v>
      </c>
      <c r="H698">
        <v>3544</v>
      </c>
      <c r="I698">
        <v>48000</v>
      </c>
      <c r="J698">
        <v>0</v>
      </c>
      <c r="K698" t="s">
        <v>22</v>
      </c>
      <c r="L698" t="s">
        <v>23</v>
      </c>
      <c r="M698" t="s">
        <v>24</v>
      </c>
      <c r="N698" t="s">
        <v>25</v>
      </c>
      <c r="O698">
        <v>0</v>
      </c>
    </row>
    <row r="699" spans="1:15" x14ac:dyDescent="0.35">
      <c r="A699">
        <v>53022</v>
      </c>
      <c r="B699" t="s">
        <v>427</v>
      </c>
      <c r="C699" s="217">
        <v>45694</v>
      </c>
      <c r="D699">
        <v>5720</v>
      </c>
      <c r="E699" t="s">
        <v>434</v>
      </c>
      <c r="F699" t="s">
        <v>435</v>
      </c>
      <c r="G699" t="s">
        <v>50</v>
      </c>
      <c r="H699">
        <v>100019779</v>
      </c>
      <c r="I699">
        <v>544061.54</v>
      </c>
      <c r="J699">
        <v>0</v>
      </c>
      <c r="K699" t="s">
        <v>22</v>
      </c>
      <c r="L699" t="s">
        <v>23</v>
      </c>
      <c r="M699" t="s">
        <v>24</v>
      </c>
      <c r="N699" t="s">
        <v>25</v>
      </c>
      <c r="O699">
        <v>0</v>
      </c>
    </row>
    <row r="700" spans="1:15" x14ac:dyDescent="0.35">
      <c r="A700">
        <v>53022</v>
      </c>
      <c r="B700" t="s">
        <v>427</v>
      </c>
      <c r="C700" s="217">
        <v>45694</v>
      </c>
      <c r="D700">
        <v>5720</v>
      </c>
      <c r="E700" t="s">
        <v>434</v>
      </c>
      <c r="F700" t="s">
        <v>435</v>
      </c>
      <c r="G700" t="s">
        <v>50</v>
      </c>
      <c r="H700">
        <v>100019779</v>
      </c>
      <c r="I700">
        <v>5440.62</v>
      </c>
      <c r="J700">
        <v>0</v>
      </c>
      <c r="K700" t="s">
        <v>22</v>
      </c>
      <c r="L700" t="s">
        <v>23</v>
      </c>
      <c r="M700" t="s">
        <v>24</v>
      </c>
      <c r="N700" t="s">
        <v>25</v>
      </c>
      <c r="O700">
        <v>0</v>
      </c>
    </row>
    <row r="701" spans="1:15" x14ac:dyDescent="0.35">
      <c r="A701">
        <v>53022</v>
      </c>
      <c r="B701" t="s">
        <v>427</v>
      </c>
      <c r="C701" s="217">
        <v>45694</v>
      </c>
      <c r="D701">
        <v>5720</v>
      </c>
      <c r="E701" t="s">
        <v>434</v>
      </c>
      <c r="F701" t="s">
        <v>435</v>
      </c>
      <c r="G701" t="s">
        <v>50</v>
      </c>
      <c r="H701">
        <v>100019779</v>
      </c>
      <c r="I701">
        <v>6529.09</v>
      </c>
      <c r="J701">
        <v>0</v>
      </c>
      <c r="K701" t="s">
        <v>22</v>
      </c>
      <c r="L701" t="s">
        <v>23</v>
      </c>
      <c r="M701" t="s">
        <v>24</v>
      </c>
      <c r="N701" t="s">
        <v>25</v>
      </c>
      <c r="O701">
        <v>0</v>
      </c>
    </row>
    <row r="702" spans="1:15" x14ac:dyDescent="0.35">
      <c r="A702">
        <v>53022</v>
      </c>
      <c r="B702" t="s">
        <v>427</v>
      </c>
      <c r="C702" s="217">
        <v>45694</v>
      </c>
      <c r="D702">
        <v>5720</v>
      </c>
      <c r="E702" t="s">
        <v>434</v>
      </c>
      <c r="F702" t="s">
        <v>435</v>
      </c>
      <c r="G702" t="s">
        <v>50</v>
      </c>
      <c r="H702">
        <v>100019779</v>
      </c>
      <c r="I702">
        <v>15951.1</v>
      </c>
      <c r="J702">
        <v>0</v>
      </c>
      <c r="K702" t="s">
        <v>22</v>
      </c>
      <c r="L702" t="s">
        <v>23</v>
      </c>
      <c r="M702" t="s">
        <v>24</v>
      </c>
      <c r="N702" t="s">
        <v>25</v>
      </c>
      <c r="O702">
        <v>0</v>
      </c>
    </row>
    <row r="703" spans="1:15" x14ac:dyDescent="0.35">
      <c r="A703">
        <v>53022</v>
      </c>
      <c r="B703" t="s">
        <v>427</v>
      </c>
      <c r="C703" s="217">
        <v>45694</v>
      </c>
      <c r="D703">
        <v>5720</v>
      </c>
      <c r="E703" t="s">
        <v>434</v>
      </c>
      <c r="F703" t="s">
        <v>435</v>
      </c>
      <c r="G703" t="s">
        <v>50</v>
      </c>
      <c r="H703">
        <v>100019779</v>
      </c>
      <c r="I703">
        <v>377415</v>
      </c>
      <c r="J703">
        <v>0</v>
      </c>
      <c r="K703" t="s">
        <v>22</v>
      </c>
      <c r="L703" t="s">
        <v>23</v>
      </c>
      <c r="M703" t="s">
        <v>24</v>
      </c>
      <c r="N703" t="s">
        <v>25</v>
      </c>
      <c r="O703">
        <v>0</v>
      </c>
    </row>
    <row r="704" spans="1:15" x14ac:dyDescent="0.35">
      <c r="A704">
        <v>53022</v>
      </c>
      <c r="B704" t="s">
        <v>427</v>
      </c>
      <c r="C704" s="217">
        <v>45701</v>
      </c>
      <c r="D704">
        <v>1276</v>
      </c>
      <c r="E704" t="s">
        <v>436</v>
      </c>
      <c r="F704" t="s">
        <v>437</v>
      </c>
      <c r="G704" t="s">
        <v>50</v>
      </c>
      <c r="H704">
        <v>300021956</v>
      </c>
      <c r="I704">
        <v>80000</v>
      </c>
      <c r="J704">
        <v>0</v>
      </c>
      <c r="K704" t="s">
        <v>22</v>
      </c>
      <c r="L704" t="s">
        <v>23</v>
      </c>
      <c r="M704" t="s">
        <v>24</v>
      </c>
      <c r="N704" t="s">
        <v>25</v>
      </c>
      <c r="O704">
        <v>0</v>
      </c>
    </row>
    <row r="705" spans="1:15" x14ac:dyDescent="0.35">
      <c r="A705">
        <v>53022</v>
      </c>
      <c r="B705" t="s">
        <v>427</v>
      </c>
      <c r="C705" s="217">
        <v>45701</v>
      </c>
      <c r="D705">
        <v>1276</v>
      </c>
      <c r="E705" t="s">
        <v>438</v>
      </c>
      <c r="F705" t="s">
        <v>437</v>
      </c>
      <c r="G705" t="s">
        <v>50</v>
      </c>
      <c r="H705">
        <v>300021956</v>
      </c>
      <c r="I705">
        <v>10000</v>
      </c>
      <c r="J705">
        <v>0</v>
      </c>
      <c r="K705" t="s">
        <v>22</v>
      </c>
      <c r="L705" t="s">
        <v>23</v>
      </c>
      <c r="M705" t="s">
        <v>24</v>
      </c>
      <c r="N705" t="s">
        <v>25</v>
      </c>
      <c r="O705">
        <v>0</v>
      </c>
    </row>
    <row r="706" spans="1:15" x14ac:dyDescent="0.35">
      <c r="A706">
        <v>53022</v>
      </c>
      <c r="B706" t="s">
        <v>427</v>
      </c>
      <c r="C706" s="217">
        <v>45728</v>
      </c>
      <c r="D706">
        <v>1587</v>
      </c>
      <c r="E706" t="s">
        <v>439</v>
      </c>
      <c r="F706" t="s">
        <v>437</v>
      </c>
      <c r="G706" t="s">
        <v>50</v>
      </c>
      <c r="H706">
        <v>300022211</v>
      </c>
      <c r="I706">
        <v>80000</v>
      </c>
      <c r="J706">
        <v>0</v>
      </c>
      <c r="K706" t="s">
        <v>22</v>
      </c>
      <c r="L706" t="s">
        <v>23</v>
      </c>
      <c r="M706" t="s">
        <v>24</v>
      </c>
      <c r="N706" t="s">
        <v>25</v>
      </c>
      <c r="O706">
        <v>0</v>
      </c>
    </row>
    <row r="707" spans="1:15" x14ac:dyDescent="0.35">
      <c r="A707">
        <v>53022</v>
      </c>
      <c r="B707" t="s">
        <v>427</v>
      </c>
      <c r="C707" s="217">
        <v>45735</v>
      </c>
      <c r="D707">
        <v>1743</v>
      </c>
      <c r="E707" t="s">
        <v>440</v>
      </c>
      <c r="F707" t="s">
        <v>441</v>
      </c>
      <c r="G707" t="s">
        <v>73</v>
      </c>
      <c r="H707">
        <v>200000465</v>
      </c>
      <c r="I707">
        <v>100000</v>
      </c>
      <c r="J707">
        <v>0</v>
      </c>
      <c r="K707" t="s">
        <v>22</v>
      </c>
      <c r="L707" t="s">
        <v>23</v>
      </c>
      <c r="M707" t="s">
        <v>24</v>
      </c>
      <c r="N707" t="s">
        <v>25</v>
      </c>
      <c r="O707">
        <v>0</v>
      </c>
    </row>
    <row r="708" spans="1:15" x14ac:dyDescent="0.35">
      <c r="A708">
        <v>53022</v>
      </c>
      <c r="B708" t="s">
        <v>427</v>
      </c>
      <c r="C708" s="217">
        <v>45762</v>
      </c>
      <c r="D708">
        <v>2219</v>
      </c>
      <c r="E708" t="s">
        <v>442</v>
      </c>
      <c r="F708" t="s">
        <v>437</v>
      </c>
      <c r="G708" t="s">
        <v>50</v>
      </c>
      <c r="H708">
        <v>300022487</v>
      </c>
      <c r="I708">
        <v>80000</v>
      </c>
      <c r="J708">
        <v>0</v>
      </c>
      <c r="K708" t="s">
        <v>22</v>
      </c>
      <c r="L708" t="s">
        <v>23</v>
      </c>
      <c r="M708" t="s">
        <v>24</v>
      </c>
      <c r="N708" t="s">
        <v>25</v>
      </c>
      <c r="O708">
        <v>0</v>
      </c>
    </row>
    <row r="709" spans="1:15" x14ac:dyDescent="0.35">
      <c r="A709">
        <v>53022</v>
      </c>
      <c r="B709" t="s">
        <v>427</v>
      </c>
      <c r="C709" s="217">
        <v>45768</v>
      </c>
      <c r="D709">
        <v>2226</v>
      </c>
      <c r="E709" t="s">
        <v>443</v>
      </c>
      <c r="F709" t="s">
        <v>444</v>
      </c>
      <c r="G709" t="s">
        <v>50</v>
      </c>
      <c r="H709">
        <v>200005503</v>
      </c>
      <c r="I709">
        <v>80495.87</v>
      </c>
      <c r="J709">
        <v>0</v>
      </c>
      <c r="K709" t="s">
        <v>22</v>
      </c>
      <c r="L709" t="s">
        <v>23</v>
      </c>
      <c r="M709" t="s">
        <v>24</v>
      </c>
      <c r="N709" t="s">
        <v>25</v>
      </c>
      <c r="O709">
        <v>0</v>
      </c>
    </row>
    <row r="710" spans="1:15" x14ac:dyDescent="0.35">
      <c r="A710">
        <v>53022</v>
      </c>
      <c r="B710" t="s">
        <v>427</v>
      </c>
      <c r="C710" s="217">
        <v>45790</v>
      </c>
      <c r="D710">
        <v>3484</v>
      </c>
      <c r="E710" t="s">
        <v>445</v>
      </c>
      <c r="F710" t="s">
        <v>437</v>
      </c>
      <c r="G710" t="s">
        <v>50</v>
      </c>
      <c r="H710">
        <v>300022763</v>
      </c>
      <c r="I710">
        <v>80000</v>
      </c>
      <c r="J710">
        <v>0</v>
      </c>
      <c r="K710" t="s">
        <v>22</v>
      </c>
      <c r="L710" t="s">
        <v>23</v>
      </c>
      <c r="M710" t="s">
        <v>24</v>
      </c>
      <c r="N710" t="s">
        <v>25</v>
      </c>
      <c r="O710">
        <v>0</v>
      </c>
    </row>
    <row r="711" spans="1:15" x14ac:dyDescent="0.35">
      <c r="A711">
        <v>53022</v>
      </c>
      <c r="B711" t="s">
        <v>427</v>
      </c>
      <c r="C711" s="217">
        <v>45814</v>
      </c>
      <c r="D711">
        <v>1556</v>
      </c>
      <c r="E711" t="s">
        <v>446</v>
      </c>
      <c r="F711" t="s">
        <v>28</v>
      </c>
      <c r="G711" t="s">
        <v>41</v>
      </c>
      <c r="H711">
        <v>6961</v>
      </c>
      <c r="I711">
        <v>91000</v>
      </c>
      <c r="J711">
        <v>0</v>
      </c>
      <c r="K711" t="s">
        <v>22</v>
      </c>
      <c r="L711" t="s">
        <v>23</v>
      </c>
      <c r="M711" t="s">
        <v>24</v>
      </c>
      <c r="N711" t="s">
        <v>25</v>
      </c>
      <c r="O711">
        <v>0</v>
      </c>
    </row>
    <row r="712" spans="1:15" x14ac:dyDescent="0.35">
      <c r="A712">
        <v>53022</v>
      </c>
      <c r="B712" t="s">
        <v>427</v>
      </c>
      <c r="C712" s="217">
        <v>45820</v>
      </c>
      <c r="D712">
        <v>3331</v>
      </c>
      <c r="E712" t="s">
        <v>447</v>
      </c>
      <c r="F712" t="s">
        <v>437</v>
      </c>
      <c r="G712" t="s">
        <v>50</v>
      </c>
      <c r="H712">
        <v>300023035</v>
      </c>
      <c r="I712">
        <v>80000</v>
      </c>
      <c r="J712">
        <v>0</v>
      </c>
      <c r="K712" t="s">
        <v>22</v>
      </c>
      <c r="L712" t="s">
        <v>23</v>
      </c>
      <c r="M712" t="s">
        <v>24</v>
      </c>
      <c r="N712" t="s">
        <v>25</v>
      </c>
      <c r="O712">
        <v>0</v>
      </c>
    </row>
    <row r="713" spans="1:15" x14ac:dyDescent="0.35">
      <c r="A713">
        <v>53022</v>
      </c>
      <c r="B713" t="s">
        <v>427</v>
      </c>
      <c r="C713" s="217">
        <v>45831</v>
      </c>
      <c r="D713">
        <v>1712</v>
      </c>
      <c r="E713" t="s">
        <v>448</v>
      </c>
      <c r="F713" t="s">
        <v>28</v>
      </c>
      <c r="G713" t="s">
        <v>41</v>
      </c>
      <c r="H713">
        <v>7114</v>
      </c>
      <c r="I713">
        <v>300000</v>
      </c>
      <c r="J713">
        <v>0</v>
      </c>
      <c r="K713" t="s">
        <v>22</v>
      </c>
      <c r="L713" t="s">
        <v>23</v>
      </c>
      <c r="M713" t="s">
        <v>24</v>
      </c>
      <c r="N713" t="s">
        <v>25</v>
      </c>
      <c r="O713">
        <v>0</v>
      </c>
    </row>
    <row r="714" spans="1:15" x14ac:dyDescent="0.35">
      <c r="A714">
        <v>53022</v>
      </c>
      <c r="B714" t="s">
        <v>427</v>
      </c>
      <c r="C714" s="217">
        <v>45841</v>
      </c>
      <c r="D714">
        <v>1682</v>
      </c>
      <c r="E714" t="s">
        <v>449</v>
      </c>
      <c r="F714" t="s">
        <v>28</v>
      </c>
      <c r="G714" t="s">
        <v>41</v>
      </c>
      <c r="H714">
        <v>7084</v>
      </c>
      <c r="I714">
        <v>190000</v>
      </c>
      <c r="J714">
        <v>0</v>
      </c>
      <c r="K714" t="s">
        <v>22</v>
      </c>
      <c r="L714" t="s">
        <v>23</v>
      </c>
      <c r="M714" t="s">
        <v>24</v>
      </c>
      <c r="N714" t="s">
        <v>25</v>
      </c>
      <c r="O714">
        <v>0</v>
      </c>
    </row>
    <row r="715" spans="1:15" x14ac:dyDescent="0.35">
      <c r="A715">
        <v>53022</v>
      </c>
      <c r="B715" t="s">
        <v>427</v>
      </c>
      <c r="C715" s="217">
        <v>45852</v>
      </c>
      <c r="D715">
        <v>3676</v>
      </c>
      <c r="E715" t="s">
        <v>447</v>
      </c>
      <c r="F715" t="s">
        <v>437</v>
      </c>
      <c r="G715" t="s">
        <v>50</v>
      </c>
      <c r="H715">
        <v>300023304</v>
      </c>
      <c r="I715">
        <v>80000</v>
      </c>
      <c r="J715">
        <v>0</v>
      </c>
      <c r="K715" t="s">
        <v>22</v>
      </c>
      <c r="L715" t="s">
        <v>23</v>
      </c>
      <c r="M715" t="s">
        <v>24</v>
      </c>
      <c r="N715" t="s">
        <v>25</v>
      </c>
      <c r="O715">
        <v>0</v>
      </c>
    </row>
    <row r="716" spans="1:15" x14ac:dyDescent="0.35">
      <c r="A716">
        <v>53022</v>
      </c>
      <c r="B716" t="s">
        <v>427</v>
      </c>
      <c r="C716" s="217">
        <v>45863</v>
      </c>
      <c r="D716">
        <v>1826</v>
      </c>
      <c r="E716" t="s">
        <v>450</v>
      </c>
      <c r="F716" t="s">
        <v>28</v>
      </c>
      <c r="G716" t="s">
        <v>41</v>
      </c>
      <c r="H716">
        <v>7221</v>
      </c>
      <c r="I716">
        <v>80000</v>
      </c>
      <c r="J716">
        <v>0</v>
      </c>
      <c r="K716" t="s">
        <v>22</v>
      </c>
      <c r="L716" t="s">
        <v>23</v>
      </c>
      <c r="M716" t="s">
        <v>24</v>
      </c>
      <c r="N716" t="s">
        <v>25</v>
      </c>
      <c r="O716">
        <v>0</v>
      </c>
    </row>
    <row r="717" spans="1:15" x14ac:dyDescent="0.35">
      <c r="A717">
        <v>53022</v>
      </c>
      <c r="B717" t="s">
        <v>427</v>
      </c>
      <c r="C717" s="217">
        <v>45881</v>
      </c>
      <c r="D717">
        <v>2064</v>
      </c>
      <c r="E717" t="s">
        <v>451</v>
      </c>
      <c r="F717" t="s">
        <v>452</v>
      </c>
      <c r="G717" t="s">
        <v>453</v>
      </c>
      <c r="H717">
        <v>7384</v>
      </c>
      <c r="I717">
        <v>90909.09</v>
      </c>
      <c r="J717">
        <v>0</v>
      </c>
      <c r="K717" t="s">
        <v>22</v>
      </c>
      <c r="L717" t="s">
        <v>23</v>
      </c>
      <c r="M717" t="s">
        <v>24</v>
      </c>
      <c r="N717" t="s">
        <v>25</v>
      </c>
      <c r="O717">
        <v>0</v>
      </c>
    </row>
    <row r="718" spans="1:15" x14ac:dyDescent="0.35">
      <c r="A718">
        <v>53022</v>
      </c>
      <c r="B718" t="s">
        <v>427</v>
      </c>
      <c r="C718" s="217">
        <v>45882</v>
      </c>
      <c r="D718">
        <v>2066</v>
      </c>
      <c r="E718" t="s">
        <v>454</v>
      </c>
      <c r="F718" t="s">
        <v>452</v>
      </c>
      <c r="G718" t="s">
        <v>453</v>
      </c>
      <c r="H718">
        <v>7384</v>
      </c>
      <c r="I718">
        <v>90909.09</v>
      </c>
      <c r="J718">
        <v>0</v>
      </c>
      <c r="K718" t="s">
        <v>22</v>
      </c>
      <c r="L718" t="s">
        <v>23</v>
      </c>
      <c r="M718" t="s">
        <v>24</v>
      </c>
      <c r="N718" t="s">
        <v>25</v>
      </c>
      <c r="O718">
        <v>0</v>
      </c>
    </row>
    <row r="719" spans="1:15" x14ac:dyDescent="0.35">
      <c r="A719">
        <v>53022</v>
      </c>
      <c r="B719" t="s">
        <v>427</v>
      </c>
      <c r="C719" s="217">
        <v>45882</v>
      </c>
      <c r="D719">
        <v>4557</v>
      </c>
      <c r="E719" t="s">
        <v>455</v>
      </c>
      <c r="F719" t="s">
        <v>437</v>
      </c>
      <c r="G719" t="s">
        <v>50</v>
      </c>
      <c r="H719">
        <v>300023591</v>
      </c>
      <c r="I719">
        <v>85000</v>
      </c>
      <c r="J719">
        <v>0</v>
      </c>
      <c r="K719" t="s">
        <v>22</v>
      </c>
      <c r="L719" t="s">
        <v>23</v>
      </c>
      <c r="M719" t="s">
        <v>24</v>
      </c>
      <c r="N719" t="s">
        <v>25</v>
      </c>
      <c r="O719">
        <v>0</v>
      </c>
    </row>
    <row r="720" spans="1:15" x14ac:dyDescent="0.35">
      <c r="A720">
        <v>53022</v>
      </c>
      <c r="B720" t="s">
        <v>427</v>
      </c>
      <c r="C720" s="217">
        <v>45911</v>
      </c>
      <c r="D720">
        <v>2404</v>
      </c>
      <c r="E720" t="s">
        <v>451</v>
      </c>
      <c r="F720" t="s">
        <v>452</v>
      </c>
      <c r="G720" t="s">
        <v>453</v>
      </c>
      <c r="H720">
        <v>7384</v>
      </c>
      <c r="I720">
        <v>91000</v>
      </c>
      <c r="J720">
        <v>0</v>
      </c>
      <c r="K720" t="s">
        <v>22</v>
      </c>
      <c r="L720" t="s">
        <v>23</v>
      </c>
      <c r="M720" t="s">
        <v>24</v>
      </c>
      <c r="N720" t="s">
        <v>25</v>
      </c>
      <c r="O720">
        <v>0</v>
      </c>
    </row>
    <row r="721" spans="1:15" x14ac:dyDescent="0.35">
      <c r="A721">
        <v>53022</v>
      </c>
      <c r="B721" t="s">
        <v>427</v>
      </c>
      <c r="C721" s="217">
        <v>45915</v>
      </c>
      <c r="D721">
        <v>4657</v>
      </c>
      <c r="E721" t="s">
        <v>456</v>
      </c>
      <c r="F721" t="s">
        <v>437</v>
      </c>
      <c r="G721" t="s">
        <v>50</v>
      </c>
      <c r="H721">
        <v>300023873</v>
      </c>
      <c r="I721">
        <v>85000</v>
      </c>
      <c r="J721">
        <v>0</v>
      </c>
      <c r="K721" t="s">
        <v>22</v>
      </c>
      <c r="L721" t="s">
        <v>23</v>
      </c>
      <c r="M721" t="s">
        <v>24</v>
      </c>
      <c r="N721" t="s">
        <v>25</v>
      </c>
      <c r="O721">
        <v>0</v>
      </c>
    </row>
    <row r="722" spans="1:15" x14ac:dyDescent="0.35">
      <c r="A722">
        <v>53022</v>
      </c>
      <c r="B722" t="s">
        <v>427</v>
      </c>
      <c r="C722" s="217">
        <v>45925</v>
      </c>
      <c r="D722">
        <v>2410</v>
      </c>
      <c r="E722" t="s">
        <v>454</v>
      </c>
      <c r="F722" t="s">
        <v>452</v>
      </c>
      <c r="G722" t="s">
        <v>453</v>
      </c>
      <c r="H722">
        <v>7384</v>
      </c>
      <c r="I722">
        <v>91000</v>
      </c>
      <c r="J722">
        <v>0</v>
      </c>
      <c r="K722" t="s">
        <v>22</v>
      </c>
      <c r="L722" t="s">
        <v>23</v>
      </c>
      <c r="M722" t="s">
        <v>24</v>
      </c>
      <c r="N722" t="s">
        <v>25</v>
      </c>
      <c r="O722">
        <v>0</v>
      </c>
    </row>
    <row r="723" spans="1:15" x14ac:dyDescent="0.35">
      <c r="A723">
        <v>53022</v>
      </c>
      <c r="B723" t="s">
        <v>427</v>
      </c>
      <c r="C723" s="217">
        <v>45933</v>
      </c>
      <c r="D723">
        <v>2415</v>
      </c>
      <c r="E723" t="s">
        <v>451</v>
      </c>
      <c r="F723" t="s">
        <v>452</v>
      </c>
      <c r="G723" t="s">
        <v>453</v>
      </c>
      <c r="H723">
        <v>7793</v>
      </c>
      <c r="I723">
        <v>182000</v>
      </c>
      <c r="J723">
        <v>0</v>
      </c>
      <c r="K723" t="s">
        <v>22</v>
      </c>
      <c r="L723" t="s">
        <v>23</v>
      </c>
      <c r="M723" t="s">
        <v>24</v>
      </c>
      <c r="N723" t="s">
        <v>25</v>
      </c>
      <c r="O723">
        <v>0</v>
      </c>
    </row>
    <row r="724" spans="1:15" x14ac:dyDescent="0.35">
      <c r="A724">
        <v>53022</v>
      </c>
      <c r="B724" t="s">
        <v>427</v>
      </c>
      <c r="C724" s="217">
        <v>45938</v>
      </c>
      <c r="D724">
        <v>2417</v>
      </c>
      <c r="E724" t="s">
        <v>451</v>
      </c>
      <c r="F724" t="s">
        <v>452</v>
      </c>
      <c r="G724" t="s">
        <v>453</v>
      </c>
      <c r="H724">
        <v>7793</v>
      </c>
      <c r="I724">
        <v>91000</v>
      </c>
      <c r="J724">
        <v>0</v>
      </c>
      <c r="K724" t="s">
        <v>22</v>
      </c>
      <c r="L724" t="s">
        <v>23</v>
      </c>
      <c r="M724" t="s">
        <v>24</v>
      </c>
      <c r="N724" t="s">
        <v>25</v>
      </c>
      <c r="O724">
        <v>0</v>
      </c>
    </row>
    <row r="725" spans="1:15" x14ac:dyDescent="0.35">
      <c r="A725">
        <v>53022</v>
      </c>
      <c r="B725" t="s">
        <v>427</v>
      </c>
      <c r="C725" s="217">
        <v>45939</v>
      </c>
      <c r="D725">
        <v>5273</v>
      </c>
      <c r="E725" t="s">
        <v>455</v>
      </c>
      <c r="F725" t="s">
        <v>437</v>
      </c>
      <c r="G725" t="s">
        <v>50</v>
      </c>
      <c r="H725">
        <v>300024135</v>
      </c>
      <c r="I725">
        <v>85000</v>
      </c>
      <c r="J725">
        <v>0</v>
      </c>
      <c r="K725" t="s">
        <v>22</v>
      </c>
      <c r="L725" t="s">
        <v>23</v>
      </c>
      <c r="M725" t="s">
        <v>24</v>
      </c>
      <c r="N725" t="s">
        <v>25</v>
      </c>
      <c r="O725">
        <v>0</v>
      </c>
    </row>
    <row r="726" spans="1:15" x14ac:dyDescent="0.35">
      <c r="A726">
        <v>53022</v>
      </c>
      <c r="B726" t="s">
        <v>427</v>
      </c>
      <c r="C726" s="217">
        <v>45952</v>
      </c>
      <c r="D726">
        <v>2394</v>
      </c>
      <c r="E726" t="s">
        <v>457</v>
      </c>
      <c r="F726" t="s">
        <v>28</v>
      </c>
      <c r="G726" t="s">
        <v>41</v>
      </c>
      <c r="H726">
        <v>7758</v>
      </c>
      <c r="I726">
        <v>224000</v>
      </c>
      <c r="J726">
        <v>0</v>
      </c>
      <c r="K726" t="s">
        <v>22</v>
      </c>
      <c r="L726" t="s">
        <v>23</v>
      </c>
      <c r="M726" t="s">
        <v>24</v>
      </c>
      <c r="N726" t="s">
        <v>25</v>
      </c>
      <c r="O726">
        <v>0</v>
      </c>
    </row>
    <row r="727" spans="1:15" x14ac:dyDescent="0.35">
      <c r="A727">
        <v>53022</v>
      </c>
      <c r="B727" t="s">
        <v>427</v>
      </c>
      <c r="C727" s="217">
        <v>45953</v>
      </c>
      <c r="D727">
        <v>2425</v>
      </c>
      <c r="E727" t="s">
        <v>451</v>
      </c>
      <c r="F727" t="s">
        <v>452</v>
      </c>
      <c r="G727" t="s">
        <v>453</v>
      </c>
      <c r="H727">
        <v>7793</v>
      </c>
      <c r="I727">
        <v>91000</v>
      </c>
      <c r="J727">
        <v>0</v>
      </c>
      <c r="K727" t="s">
        <v>22</v>
      </c>
      <c r="L727" t="s">
        <v>23</v>
      </c>
      <c r="M727" t="s">
        <v>24</v>
      </c>
      <c r="N727" t="s">
        <v>25</v>
      </c>
      <c r="O727">
        <v>0</v>
      </c>
    </row>
    <row r="728" spans="1:15" x14ac:dyDescent="0.35">
      <c r="A728">
        <v>53022</v>
      </c>
      <c r="B728" t="s">
        <v>427</v>
      </c>
      <c r="C728" s="217">
        <v>45973</v>
      </c>
      <c r="D728">
        <v>343</v>
      </c>
      <c r="E728" t="s">
        <v>455</v>
      </c>
      <c r="F728" t="s">
        <v>437</v>
      </c>
      <c r="G728" t="s">
        <v>50</v>
      </c>
      <c r="H728">
        <v>300024398</v>
      </c>
      <c r="I728">
        <v>85000</v>
      </c>
      <c r="J728">
        <v>0</v>
      </c>
      <c r="K728" t="s">
        <v>22</v>
      </c>
      <c r="L728" t="s">
        <v>23</v>
      </c>
      <c r="M728" t="s">
        <v>24</v>
      </c>
      <c r="N728" t="s">
        <v>25</v>
      </c>
      <c r="O728">
        <v>0</v>
      </c>
    </row>
    <row r="729" spans="1:15" x14ac:dyDescent="0.35">
      <c r="A729">
        <v>53022</v>
      </c>
      <c r="B729" t="s">
        <v>427</v>
      </c>
      <c r="C729" s="217">
        <v>46001</v>
      </c>
      <c r="D729">
        <v>462</v>
      </c>
      <c r="E729" t="s">
        <v>455</v>
      </c>
      <c r="F729" t="s">
        <v>437</v>
      </c>
      <c r="G729" t="s">
        <v>50</v>
      </c>
      <c r="H729">
        <v>300024655</v>
      </c>
      <c r="I729">
        <v>85000</v>
      </c>
      <c r="J729">
        <v>0</v>
      </c>
      <c r="K729" t="s">
        <v>22</v>
      </c>
      <c r="L729" t="s">
        <v>23</v>
      </c>
      <c r="M729" t="s">
        <v>24</v>
      </c>
      <c r="N729" t="s">
        <v>25</v>
      </c>
      <c r="O729">
        <v>0</v>
      </c>
    </row>
    <row r="730" spans="1:15" x14ac:dyDescent="0.35">
      <c r="A730">
        <v>53022</v>
      </c>
      <c r="B730" t="s">
        <v>427</v>
      </c>
      <c r="C730" s="217">
        <v>46043</v>
      </c>
      <c r="D730">
        <v>498</v>
      </c>
      <c r="E730" t="s">
        <v>458</v>
      </c>
      <c r="F730" t="s">
        <v>28</v>
      </c>
      <c r="G730" t="s">
        <v>41</v>
      </c>
      <c r="H730">
        <v>8522</v>
      </c>
      <c r="I730">
        <v>261904.76</v>
      </c>
      <c r="J730">
        <v>0</v>
      </c>
      <c r="K730" t="s">
        <v>22</v>
      </c>
      <c r="L730" t="s">
        <v>23</v>
      </c>
      <c r="M730" t="s">
        <v>24</v>
      </c>
      <c r="N730" t="s">
        <v>25</v>
      </c>
      <c r="O730">
        <v>0</v>
      </c>
    </row>
    <row r="731" spans="1:15" x14ac:dyDescent="0.35">
      <c r="A731">
        <v>53022</v>
      </c>
      <c r="B731" t="s">
        <v>427</v>
      </c>
      <c r="C731" s="217">
        <v>46048</v>
      </c>
      <c r="D731">
        <v>499</v>
      </c>
      <c r="E731" t="s">
        <v>458</v>
      </c>
      <c r="F731" t="s">
        <v>28</v>
      </c>
      <c r="G731" t="s">
        <v>41</v>
      </c>
      <c r="H731">
        <v>8523</v>
      </c>
      <c r="I731">
        <v>523809.53</v>
      </c>
      <c r="J731">
        <v>0</v>
      </c>
      <c r="K731" t="s">
        <v>22</v>
      </c>
      <c r="L731" t="s">
        <v>23</v>
      </c>
      <c r="M731" t="s">
        <v>24</v>
      </c>
      <c r="N731" t="s">
        <v>25</v>
      </c>
      <c r="O731">
        <v>0</v>
      </c>
    </row>
    <row r="732" spans="1:15" x14ac:dyDescent="0.35">
      <c r="A732">
        <v>53022</v>
      </c>
      <c r="B732" t="s">
        <v>427</v>
      </c>
      <c r="C732" s="217">
        <v>46057</v>
      </c>
      <c r="D732">
        <v>541</v>
      </c>
      <c r="E732" t="s">
        <v>459</v>
      </c>
      <c r="F732" t="s">
        <v>28</v>
      </c>
      <c r="G732" t="s">
        <v>41</v>
      </c>
      <c r="H732">
        <v>8562</v>
      </c>
      <c r="I732">
        <v>500</v>
      </c>
      <c r="J732">
        <v>0</v>
      </c>
      <c r="K732" t="s">
        <v>22</v>
      </c>
      <c r="L732" t="s">
        <v>23</v>
      </c>
      <c r="M732" t="s">
        <v>24</v>
      </c>
      <c r="N732" t="s">
        <v>25</v>
      </c>
      <c r="O732">
        <v>0</v>
      </c>
    </row>
    <row r="733" spans="1:15" x14ac:dyDescent="0.35">
      <c r="A733">
        <v>53022</v>
      </c>
      <c r="B733" t="s">
        <v>427</v>
      </c>
      <c r="C733" s="217">
        <v>46077</v>
      </c>
      <c r="D733">
        <v>930</v>
      </c>
      <c r="E733" t="s">
        <v>460</v>
      </c>
      <c r="F733" t="s">
        <v>28</v>
      </c>
      <c r="G733" t="s">
        <v>41</v>
      </c>
      <c r="H733">
        <v>8962</v>
      </c>
      <c r="I733">
        <v>600000</v>
      </c>
      <c r="J733">
        <v>0</v>
      </c>
      <c r="K733" t="s">
        <v>22</v>
      </c>
      <c r="L733" t="s">
        <v>23</v>
      </c>
      <c r="M733" t="s">
        <v>24</v>
      </c>
      <c r="N733" t="s">
        <v>25</v>
      </c>
      <c r="O733">
        <v>0</v>
      </c>
    </row>
    <row r="734" spans="1:15" x14ac:dyDescent="0.35">
      <c r="A734">
        <v>53022</v>
      </c>
      <c r="B734" t="s">
        <v>427</v>
      </c>
      <c r="C734" s="217">
        <v>46091</v>
      </c>
      <c r="D734">
        <v>693</v>
      </c>
      <c r="E734" t="s">
        <v>461</v>
      </c>
      <c r="F734" t="s">
        <v>28</v>
      </c>
      <c r="G734" t="s">
        <v>41</v>
      </c>
      <c r="H734">
        <v>8713</v>
      </c>
      <c r="I734">
        <v>20000</v>
      </c>
      <c r="J734">
        <v>0</v>
      </c>
      <c r="K734" t="s">
        <v>22</v>
      </c>
      <c r="L734" t="s">
        <v>23</v>
      </c>
      <c r="M734" t="s">
        <v>24</v>
      </c>
      <c r="N734" t="s">
        <v>25</v>
      </c>
      <c r="O734">
        <v>0</v>
      </c>
    </row>
    <row r="735" spans="1:15" x14ac:dyDescent="0.35">
      <c r="A735">
        <v>53022</v>
      </c>
      <c r="B735" t="s">
        <v>427</v>
      </c>
      <c r="C735" s="217">
        <v>46094</v>
      </c>
      <c r="D735">
        <v>692</v>
      </c>
      <c r="E735" t="s">
        <v>462</v>
      </c>
      <c r="F735" t="s">
        <v>28</v>
      </c>
      <c r="G735" t="s">
        <v>41</v>
      </c>
      <c r="H735">
        <v>8712</v>
      </c>
      <c r="I735">
        <v>35000</v>
      </c>
      <c r="J735">
        <v>0</v>
      </c>
      <c r="K735" t="s">
        <v>22</v>
      </c>
      <c r="L735" t="s">
        <v>23</v>
      </c>
      <c r="M735" t="s">
        <v>24</v>
      </c>
      <c r="N735" t="s">
        <v>25</v>
      </c>
      <c r="O735">
        <v>0</v>
      </c>
    </row>
    <row r="736" spans="1:15" x14ac:dyDescent="0.35">
      <c r="A736">
        <v>53022</v>
      </c>
      <c r="B736" t="s">
        <v>427</v>
      </c>
      <c r="C736" s="217">
        <v>46101</v>
      </c>
      <c r="D736">
        <v>830</v>
      </c>
      <c r="E736" t="s">
        <v>463</v>
      </c>
      <c r="F736" t="s">
        <v>28</v>
      </c>
      <c r="G736" t="s">
        <v>41</v>
      </c>
      <c r="H736">
        <v>8858</v>
      </c>
      <c r="I736">
        <v>500000</v>
      </c>
      <c r="J736">
        <v>0</v>
      </c>
      <c r="K736" t="s">
        <v>22</v>
      </c>
      <c r="L736" t="s">
        <v>23</v>
      </c>
      <c r="M736" t="s">
        <v>24</v>
      </c>
      <c r="N736" t="s">
        <v>25</v>
      </c>
      <c r="O736">
        <v>0</v>
      </c>
    </row>
    <row r="737" spans="1:15" x14ac:dyDescent="0.35">
      <c r="A737">
        <v>53022</v>
      </c>
      <c r="B737" t="s">
        <v>427</v>
      </c>
      <c r="C737" s="217">
        <v>46106</v>
      </c>
      <c r="D737">
        <v>860</v>
      </c>
      <c r="E737" t="s">
        <v>458</v>
      </c>
      <c r="F737" t="s">
        <v>28</v>
      </c>
      <c r="G737" t="s">
        <v>41</v>
      </c>
      <c r="H737">
        <v>8888</v>
      </c>
      <c r="I737">
        <v>292285.71000000002</v>
      </c>
      <c r="J737">
        <v>0</v>
      </c>
      <c r="K737" t="s">
        <v>22</v>
      </c>
      <c r="L737" t="s">
        <v>23</v>
      </c>
      <c r="M737" t="s">
        <v>24</v>
      </c>
      <c r="N737" t="s">
        <v>25</v>
      </c>
      <c r="O737">
        <v>0</v>
      </c>
    </row>
    <row r="738" spans="1:15" x14ac:dyDescent="0.35">
      <c r="A738">
        <v>53022</v>
      </c>
      <c r="B738" t="s">
        <v>427</v>
      </c>
      <c r="C738" s="217">
        <v>46106</v>
      </c>
      <c r="D738">
        <v>860</v>
      </c>
      <c r="E738" t="s">
        <v>458</v>
      </c>
      <c r="F738" t="s">
        <v>28</v>
      </c>
      <c r="G738" t="s">
        <v>41</v>
      </c>
      <c r="H738">
        <v>8888</v>
      </c>
      <c r="I738">
        <v>500000</v>
      </c>
      <c r="J738">
        <v>0</v>
      </c>
      <c r="K738" t="s">
        <v>22</v>
      </c>
      <c r="L738" t="s">
        <v>23</v>
      </c>
      <c r="M738" t="s">
        <v>24</v>
      </c>
      <c r="N738" t="s">
        <v>25</v>
      </c>
      <c r="O738">
        <v>0</v>
      </c>
    </row>
    <row r="739" spans="1:15" x14ac:dyDescent="0.35">
      <c r="A739">
        <v>53023</v>
      </c>
      <c r="B739" t="s">
        <v>464</v>
      </c>
      <c r="C739" s="217">
        <v>45705</v>
      </c>
      <c r="D739">
        <v>1155</v>
      </c>
      <c r="E739" t="s">
        <v>465</v>
      </c>
      <c r="F739" t="s">
        <v>28</v>
      </c>
      <c r="G739" t="s">
        <v>41</v>
      </c>
      <c r="H739">
        <v>6569</v>
      </c>
      <c r="I739">
        <v>5400</v>
      </c>
      <c r="J739">
        <v>0</v>
      </c>
      <c r="K739" t="s">
        <v>22</v>
      </c>
      <c r="L739" t="s">
        <v>23</v>
      </c>
      <c r="M739" t="s">
        <v>24</v>
      </c>
      <c r="N739" t="s">
        <v>25</v>
      </c>
      <c r="O739">
        <v>0</v>
      </c>
    </row>
    <row r="740" spans="1:15" x14ac:dyDescent="0.35">
      <c r="A740">
        <v>53023</v>
      </c>
      <c r="B740" t="s">
        <v>464</v>
      </c>
      <c r="C740" s="217">
        <v>45706</v>
      </c>
      <c r="D740">
        <v>1305</v>
      </c>
      <c r="E740" t="s">
        <v>466</v>
      </c>
      <c r="F740" t="s">
        <v>49</v>
      </c>
      <c r="G740" t="s">
        <v>50</v>
      </c>
      <c r="H740">
        <v>1000192524</v>
      </c>
      <c r="I740">
        <v>824299.87</v>
      </c>
      <c r="J740">
        <v>0</v>
      </c>
      <c r="K740" t="s">
        <v>22</v>
      </c>
      <c r="L740" t="s">
        <v>23</v>
      </c>
      <c r="M740" t="s">
        <v>24</v>
      </c>
      <c r="N740" t="s">
        <v>25</v>
      </c>
      <c r="O740">
        <v>0</v>
      </c>
    </row>
    <row r="741" spans="1:15" x14ac:dyDescent="0.35">
      <c r="A741">
        <v>53023</v>
      </c>
      <c r="B741" t="s">
        <v>464</v>
      </c>
      <c r="C741" s="217">
        <v>45707</v>
      </c>
      <c r="D741">
        <v>1157</v>
      </c>
      <c r="E741" t="s">
        <v>465</v>
      </c>
      <c r="F741" t="s">
        <v>28</v>
      </c>
      <c r="G741" t="s">
        <v>41</v>
      </c>
      <c r="H741">
        <v>6571</v>
      </c>
      <c r="I741">
        <v>21600</v>
      </c>
      <c r="J741">
        <v>0</v>
      </c>
      <c r="K741" t="s">
        <v>22</v>
      </c>
      <c r="L741" t="s">
        <v>23</v>
      </c>
      <c r="M741" t="s">
        <v>24</v>
      </c>
      <c r="N741" t="s">
        <v>25</v>
      </c>
      <c r="O741">
        <v>0</v>
      </c>
    </row>
    <row r="742" spans="1:15" x14ac:dyDescent="0.35">
      <c r="A742">
        <v>53023</v>
      </c>
      <c r="B742" t="s">
        <v>464</v>
      </c>
      <c r="C742" s="217">
        <v>45707</v>
      </c>
      <c r="D742">
        <v>1158</v>
      </c>
      <c r="E742" t="s">
        <v>465</v>
      </c>
      <c r="F742" t="s">
        <v>28</v>
      </c>
      <c r="G742" t="s">
        <v>41</v>
      </c>
      <c r="H742">
        <v>6572</v>
      </c>
      <c r="I742">
        <v>28201.47</v>
      </c>
      <c r="J742">
        <v>0</v>
      </c>
      <c r="K742" t="s">
        <v>22</v>
      </c>
      <c r="L742" t="s">
        <v>23</v>
      </c>
      <c r="M742" t="s">
        <v>24</v>
      </c>
      <c r="N742" t="s">
        <v>25</v>
      </c>
      <c r="O742">
        <v>0</v>
      </c>
    </row>
    <row r="743" spans="1:15" x14ac:dyDescent="0.35">
      <c r="A743">
        <v>53023</v>
      </c>
      <c r="B743" t="s">
        <v>464</v>
      </c>
      <c r="C743" s="217">
        <v>45708</v>
      </c>
      <c r="D743">
        <v>1160</v>
      </c>
      <c r="E743" t="s">
        <v>465</v>
      </c>
      <c r="F743" t="s">
        <v>28</v>
      </c>
      <c r="G743" t="s">
        <v>41</v>
      </c>
      <c r="H743">
        <v>6574</v>
      </c>
      <c r="I743">
        <v>4300</v>
      </c>
      <c r="J743">
        <v>0</v>
      </c>
      <c r="K743" t="s">
        <v>22</v>
      </c>
      <c r="L743" t="s">
        <v>23</v>
      </c>
      <c r="M743" t="s">
        <v>24</v>
      </c>
      <c r="N743" t="s">
        <v>25</v>
      </c>
      <c r="O743">
        <v>0</v>
      </c>
    </row>
    <row r="744" spans="1:15" x14ac:dyDescent="0.35">
      <c r="A744">
        <v>53023</v>
      </c>
      <c r="B744" t="s">
        <v>464</v>
      </c>
      <c r="C744" s="217">
        <v>45709</v>
      </c>
      <c r="D744">
        <v>1161</v>
      </c>
      <c r="E744" t="s">
        <v>465</v>
      </c>
      <c r="F744" t="s">
        <v>28</v>
      </c>
      <c r="G744" t="s">
        <v>41</v>
      </c>
      <c r="H744">
        <v>6575</v>
      </c>
      <c r="I744">
        <v>6480</v>
      </c>
      <c r="J744">
        <v>0</v>
      </c>
      <c r="K744" t="s">
        <v>22</v>
      </c>
      <c r="L744" t="s">
        <v>23</v>
      </c>
      <c r="M744" t="s">
        <v>24</v>
      </c>
      <c r="N744" t="s">
        <v>25</v>
      </c>
      <c r="O744">
        <v>0</v>
      </c>
    </row>
    <row r="745" spans="1:15" x14ac:dyDescent="0.35">
      <c r="A745">
        <v>53023</v>
      </c>
      <c r="B745" t="s">
        <v>464</v>
      </c>
      <c r="C745" s="217">
        <v>45709</v>
      </c>
      <c r="D745">
        <v>1162</v>
      </c>
      <c r="E745" t="s">
        <v>465</v>
      </c>
      <c r="F745" t="s">
        <v>28</v>
      </c>
      <c r="G745" t="s">
        <v>41</v>
      </c>
      <c r="H745">
        <v>6576</v>
      </c>
      <c r="I745">
        <v>9050.0300000000007</v>
      </c>
      <c r="J745">
        <v>0</v>
      </c>
      <c r="K745" t="s">
        <v>22</v>
      </c>
      <c r="L745" t="s">
        <v>23</v>
      </c>
      <c r="M745" t="s">
        <v>24</v>
      </c>
      <c r="N745" t="s">
        <v>25</v>
      </c>
      <c r="O745">
        <v>0</v>
      </c>
    </row>
    <row r="746" spans="1:15" x14ac:dyDescent="0.35">
      <c r="A746">
        <v>53023</v>
      </c>
      <c r="B746" t="s">
        <v>464</v>
      </c>
      <c r="C746" s="217">
        <v>45714</v>
      </c>
      <c r="D746">
        <v>1166</v>
      </c>
      <c r="E746" t="s">
        <v>465</v>
      </c>
      <c r="F746" t="s">
        <v>28</v>
      </c>
      <c r="G746" t="s">
        <v>41</v>
      </c>
      <c r="H746">
        <v>6580</v>
      </c>
      <c r="I746">
        <v>6599.99</v>
      </c>
      <c r="J746">
        <v>0</v>
      </c>
      <c r="K746" t="s">
        <v>22</v>
      </c>
      <c r="L746" t="s">
        <v>23</v>
      </c>
      <c r="M746" t="s">
        <v>24</v>
      </c>
      <c r="N746" t="s">
        <v>25</v>
      </c>
      <c r="O746">
        <v>0</v>
      </c>
    </row>
    <row r="747" spans="1:15" x14ac:dyDescent="0.35">
      <c r="A747">
        <v>53023</v>
      </c>
      <c r="B747" t="s">
        <v>464</v>
      </c>
      <c r="C747" s="217">
        <v>45714</v>
      </c>
      <c r="D747">
        <v>1473</v>
      </c>
      <c r="E747" t="s">
        <v>467</v>
      </c>
      <c r="F747" t="s">
        <v>194</v>
      </c>
      <c r="G747" t="s">
        <v>50</v>
      </c>
      <c r="H747">
        <v>600010876</v>
      </c>
      <c r="I747">
        <v>5454.54</v>
      </c>
      <c r="J747">
        <v>0</v>
      </c>
      <c r="K747" t="s">
        <v>22</v>
      </c>
      <c r="L747" t="s">
        <v>23</v>
      </c>
      <c r="M747" t="s">
        <v>24</v>
      </c>
      <c r="N747" t="s">
        <v>25</v>
      </c>
      <c r="O747">
        <v>0</v>
      </c>
    </row>
    <row r="748" spans="1:15" x14ac:dyDescent="0.35">
      <c r="A748">
        <v>53023</v>
      </c>
      <c r="B748" t="s">
        <v>464</v>
      </c>
      <c r="C748" s="217">
        <v>45721</v>
      </c>
      <c r="D748">
        <v>1500</v>
      </c>
      <c r="E748" t="s">
        <v>468</v>
      </c>
      <c r="F748" t="s">
        <v>176</v>
      </c>
      <c r="G748" t="s">
        <v>50</v>
      </c>
      <c r="H748">
        <v>300004802</v>
      </c>
      <c r="I748">
        <v>11201.33</v>
      </c>
      <c r="J748">
        <v>0</v>
      </c>
      <c r="K748" t="s">
        <v>22</v>
      </c>
      <c r="L748" t="s">
        <v>23</v>
      </c>
      <c r="M748" t="s">
        <v>24</v>
      </c>
      <c r="N748" t="s">
        <v>25</v>
      </c>
      <c r="O748">
        <v>0</v>
      </c>
    </row>
    <row r="749" spans="1:15" x14ac:dyDescent="0.35">
      <c r="A749">
        <v>53023</v>
      </c>
      <c r="B749" t="s">
        <v>464</v>
      </c>
      <c r="C749" s="217">
        <v>45727</v>
      </c>
      <c r="D749">
        <v>1169</v>
      </c>
      <c r="E749" t="s">
        <v>465</v>
      </c>
      <c r="F749" t="s">
        <v>28</v>
      </c>
      <c r="G749" t="s">
        <v>41</v>
      </c>
      <c r="H749">
        <v>6583</v>
      </c>
      <c r="I749">
        <v>14500.64</v>
      </c>
      <c r="J749">
        <v>0</v>
      </c>
      <c r="K749" t="s">
        <v>22</v>
      </c>
      <c r="L749" t="s">
        <v>23</v>
      </c>
      <c r="M749" t="s">
        <v>24</v>
      </c>
      <c r="N749" t="s">
        <v>25</v>
      </c>
      <c r="O749">
        <v>0</v>
      </c>
    </row>
    <row r="750" spans="1:15" x14ac:dyDescent="0.35">
      <c r="A750">
        <v>53023</v>
      </c>
      <c r="B750" t="s">
        <v>464</v>
      </c>
      <c r="C750" s="217">
        <v>45727</v>
      </c>
      <c r="D750">
        <v>1170</v>
      </c>
      <c r="E750" t="s">
        <v>465</v>
      </c>
      <c r="F750" t="s">
        <v>28</v>
      </c>
      <c r="G750" t="s">
        <v>41</v>
      </c>
      <c r="H750">
        <v>6584</v>
      </c>
      <c r="I750">
        <v>3500.05</v>
      </c>
      <c r="J750">
        <v>0</v>
      </c>
      <c r="K750" t="s">
        <v>22</v>
      </c>
      <c r="L750" t="s">
        <v>23</v>
      </c>
      <c r="M750" t="s">
        <v>24</v>
      </c>
      <c r="N750" t="s">
        <v>25</v>
      </c>
      <c r="O750">
        <v>0</v>
      </c>
    </row>
    <row r="751" spans="1:15" x14ac:dyDescent="0.35">
      <c r="A751">
        <v>53023</v>
      </c>
      <c r="B751" t="s">
        <v>464</v>
      </c>
      <c r="C751" s="217">
        <v>45727</v>
      </c>
      <c r="D751">
        <v>1172</v>
      </c>
      <c r="E751" t="s">
        <v>465</v>
      </c>
      <c r="F751" t="s">
        <v>28</v>
      </c>
      <c r="G751" t="s">
        <v>41</v>
      </c>
      <c r="H751">
        <v>6586</v>
      </c>
      <c r="I751">
        <v>10602.02</v>
      </c>
      <c r="J751">
        <v>0</v>
      </c>
      <c r="K751" t="s">
        <v>22</v>
      </c>
      <c r="L751" t="s">
        <v>23</v>
      </c>
      <c r="M751" t="s">
        <v>24</v>
      </c>
      <c r="N751" t="s">
        <v>25</v>
      </c>
      <c r="O751">
        <v>0</v>
      </c>
    </row>
    <row r="752" spans="1:15" x14ac:dyDescent="0.35">
      <c r="A752">
        <v>53023</v>
      </c>
      <c r="B752" t="s">
        <v>464</v>
      </c>
      <c r="C752" s="217">
        <v>45727</v>
      </c>
      <c r="D752">
        <v>1579</v>
      </c>
      <c r="E752" t="s">
        <v>466</v>
      </c>
      <c r="F752" t="s">
        <v>49</v>
      </c>
      <c r="G752" t="s">
        <v>50</v>
      </c>
      <c r="H752">
        <v>1000193811</v>
      </c>
      <c r="I752">
        <v>61701.43</v>
      </c>
      <c r="J752">
        <v>0</v>
      </c>
      <c r="K752" t="s">
        <v>22</v>
      </c>
      <c r="L752" t="s">
        <v>23</v>
      </c>
      <c r="M752" t="s">
        <v>24</v>
      </c>
      <c r="N752" t="s">
        <v>25</v>
      </c>
      <c r="O752">
        <v>0</v>
      </c>
    </row>
    <row r="753" spans="1:15" x14ac:dyDescent="0.35">
      <c r="A753">
        <v>53023</v>
      </c>
      <c r="B753" t="s">
        <v>464</v>
      </c>
      <c r="C753" s="217">
        <v>45727</v>
      </c>
      <c r="D753">
        <v>1580</v>
      </c>
      <c r="E753" t="s">
        <v>466</v>
      </c>
      <c r="F753" t="s">
        <v>49</v>
      </c>
      <c r="G753" t="s">
        <v>50</v>
      </c>
      <c r="H753">
        <v>1000193809</v>
      </c>
      <c r="I753">
        <v>120793.61</v>
      </c>
      <c r="J753">
        <v>0</v>
      </c>
      <c r="K753" t="s">
        <v>22</v>
      </c>
      <c r="L753" t="s">
        <v>23</v>
      </c>
      <c r="M753" t="s">
        <v>24</v>
      </c>
      <c r="N753" t="s">
        <v>25</v>
      </c>
      <c r="O753">
        <v>0</v>
      </c>
    </row>
    <row r="754" spans="1:15" x14ac:dyDescent="0.35">
      <c r="A754">
        <v>53023</v>
      </c>
      <c r="B754" t="s">
        <v>464</v>
      </c>
      <c r="C754" s="217">
        <v>45727</v>
      </c>
      <c r="D754">
        <v>1581</v>
      </c>
      <c r="E754" t="s">
        <v>466</v>
      </c>
      <c r="F754" t="s">
        <v>49</v>
      </c>
      <c r="G754" t="s">
        <v>50</v>
      </c>
      <c r="H754">
        <v>1000193808</v>
      </c>
      <c r="I754">
        <v>465215.14</v>
      </c>
      <c r="J754">
        <v>0</v>
      </c>
      <c r="K754" t="s">
        <v>22</v>
      </c>
      <c r="L754" t="s">
        <v>23</v>
      </c>
      <c r="M754" t="s">
        <v>24</v>
      </c>
      <c r="N754" t="s">
        <v>25</v>
      </c>
      <c r="O754">
        <v>0</v>
      </c>
    </row>
    <row r="755" spans="1:15" x14ac:dyDescent="0.35">
      <c r="A755">
        <v>53023</v>
      </c>
      <c r="B755" t="s">
        <v>464</v>
      </c>
      <c r="C755" s="217">
        <v>45727</v>
      </c>
      <c r="D755">
        <v>1582</v>
      </c>
      <c r="E755" t="s">
        <v>466</v>
      </c>
      <c r="F755" t="s">
        <v>49</v>
      </c>
      <c r="G755" t="s">
        <v>50</v>
      </c>
      <c r="H755">
        <v>1000193810</v>
      </c>
      <c r="I755">
        <v>3416.18</v>
      </c>
      <c r="J755">
        <v>0</v>
      </c>
      <c r="K755" t="s">
        <v>22</v>
      </c>
      <c r="L755" t="s">
        <v>23</v>
      </c>
      <c r="M755" t="s">
        <v>24</v>
      </c>
      <c r="N755" t="s">
        <v>25</v>
      </c>
      <c r="O755">
        <v>0</v>
      </c>
    </row>
    <row r="756" spans="1:15" x14ac:dyDescent="0.35">
      <c r="A756">
        <v>53023</v>
      </c>
      <c r="B756" t="s">
        <v>464</v>
      </c>
      <c r="C756" s="217">
        <v>45730</v>
      </c>
      <c r="D756">
        <v>1173</v>
      </c>
      <c r="E756" t="s">
        <v>465</v>
      </c>
      <c r="F756" t="s">
        <v>28</v>
      </c>
      <c r="G756" t="s">
        <v>41</v>
      </c>
      <c r="H756">
        <v>6587</v>
      </c>
      <c r="I756">
        <v>12800.01</v>
      </c>
      <c r="J756">
        <v>0</v>
      </c>
      <c r="K756" t="s">
        <v>22</v>
      </c>
      <c r="L756" t="s">
        <v>23</v>
      </c>
      <c r="M756" t="s">
        <v>24</v>
      </c>
      <c r="N756" t="s">
        <v>25</v>
      </c>
      <c r="O756">
        <v>0</v>
      </c>
    </row>
    <row r="757" spans="1:15" x14ac:dyDescent="0.35">
      <c r="A757">
        <v>53023</v>
      </c>
      <c r="B757" t="s">
        <v>464</v>
      </c>
      <c r="C757" s="217">
        <v>45730</v>
      </c>
      <c r="D757">
        <v>1951</v>
      </c>
      <c r="E757" t="s">
        <v>467</v>
      </c>
      <c r="F757" t="s">
        <v>194</v>
      </c>
      <c r="G757" t="s">
        <v>50</v>
      </c>
      <c r="H757">
        <v>600010990</v>
      </c>
      <c r="I757">
        <v>10578.52</v>
      </c>
      <c r="J757">
        <v>0</v>
      </c>
      <c r="K757" t="s">
        <v>22</v>
      </c>
      <c r="L757" t="s">
        <v>23</v>
      </c>
      <c r="M757" t="s">
        <v>24</v>
      </c>
      <c r="N757" t="s">
        <v>25</v>
      </c>
      <c r="O757">
        <v>0</v>
      </c>
    </row>
    <row r="758" spans="1:15" x14ac:dyDescent="0.35">
      <c r="A758">
        <v>53023</v>
      </c>
      <c r="B758" t="s">
        <v>464</v>
      </c>
      <c r="C758" s="217">
        <v>45734</v>
      </c>
      <c r="D758">
        <v>1741</v>
      </c>
      <c r="E758" t="s">
        <v>466</v>
      </c>
      <c r="F758" t="s">
        <v>49</v>
      </c>
      <c r="G758" t="s">
        <v>50</v>
      </c>
      <c r="H758">
        <v>1000194275</v>
      </c>
      <c r="I758">
        <v>257793.36</v>
      </c>
      <c r="J758">
        <v>0</v>
      </c>
      <c r="K758" t="s">
        <v>22</v>
      </c>
      <c r="L758" t="s">
        <v>23</v>
      </c>
      <c r="M758" t="s">
        <v>24</v>
      </c>
      <c r="N758" t="s">
        <v>25</v>
      </c>
      <c r="O758">
        <v>0</v>
      </c>
    </row>
    <row r="759" spans="1:15" x14ac:dyDescent="0.35">
      <c r="A759">
        <v>53023</v>
      </c>
      <c r="B759" t="s">
        <v>464</v>
      </c>
      <c r="C759" s="217">
        <v>45735</v>
      </c>
      <c r="D759">
        <v>1175</v>
      </c>
      <c r="E759" t="s">
        <v>465</v>
      </c>
      <c r="F759" t="s">
        <v>28</v>
      </c>
      <c r="G759" t="s">
        <v>41</v>
      </c>
      <c r="H759">
        <v>6589</v>
      </c>
      <c r="I759">
        <v>2000.13</v>
      </c>
      <c r="J759">
        <v>0</v>
      </c>
      <c r="K759" t="s">
        <v>22</v>
      </c>
      <c r="L759" t="s">
        <v>23</v>
      </c>
      <c r="M759" t="s">
        <v>24</v>
      </c>
      <c r="N759" t="s">
        <v>25</v>
      </c>
      <c r="O759">
        <v>0</v>
      </c>
    </row>
    <row r="760" spans="1:15" x14ac:dyDescent="0.35">
      <c r="A760">
        <v>53023</v>
      </c>
      <c r="B760" t="s">
        <v>464</v>
      </c>
      <c r="C760" s="217">
        <v>45741</v>
      </c>
      <c r="D760">
        <v>1837</v>
      </c>
      <c r="E760" t="s">
        <v>466</v>
      </c>
      <c r="F760" t="s">
        <v>49</v>
      </c>
      <c r="G760" t="s">
        <v>50</v>
      </c>
      <c r="H760">
        <v>1000194670</v>
      </c>
      <c r="I760">
        <v>197611.94</v>
      </c>
      <c r="J760">
        <v>0</v>
      </c>
      <c r="K760" t="s">
        <v>22</v>
      </c>
      <c r="L760" t="s">
        <v>23</v>
      </c>
      <c r="M760" t="s">
        <v>24</v>
      </c>
      <c r="N760" t="s">
        <v>25</v>
      </c>
      <c r="O760">
        <v>0</v>
      </c>
    </row>
    <row r="761" spans="1:15" x14ac:dyDescent="0.35">
      <c r="A761">
        <v>53023</v>
      </c>
      <c r="B761" t="s">
        <v>464</v>
      </c>
      <c r="C761" s="217">
        <v>45742</v>
      </c>
      <c r="D761">
        <v>1176</v>
      </c>
      <c r="E761" t="s">
        <v>465</v>
      </c>
      <c r="F761" t="s">
        <v>28</v>
      </c>
      <c r="G761" t="s">
        <v>41</v>
      </c>
      <c r="H761">
        <v>6590</v>
      </c>
      <c r="I761">
        <v>12505.35</v>
      </c>
      <c r="J761">
        <v>0</v>
      </c>
      <c r="K761" t="s">
        <v>22</v>
      </c>
      <c r="L761" t="s">
        <v>23</v>
      </c>
      <c r="M761" t="s">
        <v>24</v>
      </c>
      <c r="N761" t="s">
        <v>25</v>
      </c>
      <c r="O761">
        <v>0</v>
      </c>
    </row>
    <row r="762" spans="1:15" x14ac:dyDescent="0.35">
      <c r="A762">
        <v>53023</v>
      </c>
      <c r="B762" t="s">
        <v>464</v>
      </c>
      <c r="C762" s="217">
        <v>45742</v>
      </c>
      <c r="D762">
        <v>1848</v>
      </c>
      <c r="E762" t="s">
        <v>466</v>
      </c>
      <c r="F762" t="s">
        <v>49</v>
      </c>
      <c r="G762" t="s">
        <v>51</v>
      </c>
      <c r="H762">
        <v>1000012701</v>
      </c>
      <c r="I762">
        <v>0</v>
      </c>
      <c r="J762">
        <v>3416.18</v>
      </c>
      <c r="K762" t="s">
        <v>22</v>
      </c>
      <c r="L762" t="s">
        <v>23</v>
      </c>
      <c r="M762" t="s">
        <v>24</v>
      </c>
      <c r="N762" t="s">
        <v>25</v>
      </c>
      <c r="O762">
        <v>0</v>
      </c>
    </row>
    <row r="763" spans="1:15" x14ac:dyDescent="0.35">
      <c r="A763">
        <v>53023</v>
      </c>
      <c r="B763" t="s">
        <v>464</v>
      </c>
      <c r="C763" s="217">
        <v>45743</v>
      </c>
      <c r="D763">
        <v>1856</v>
      </c>
      <c r="E763" t="s">
        <v>469</v>
      </c>
      <c r="F763" t="s">
        <v>470</v>
      </c>
      <c r="G763" t="s">
        <v>50</v>
      </c>
      <c r="H763">
        <v>600013127</v>
      </c>
      <c r="I763">
        <v>204958.68</v>
      </c>
      <c r="J763">
        <v>0</v>
      </c>
      <c r="K763" t="s">
        <v>22</v>
      </c>
      <c r="L763" t="s">
        <v>23</v>
      </c>
      <c r="M763" t="s">
        <v>24</v>
      </c>
      <c r="N763" t="s">
        <v>25</v>
      </c>
      <c r="O763">
        <v>0</v>
      </c>
    </row>
    <row r="764" spans="1:15" x14ac:dyDescent="0.35">
      <c r="A764">
        <v>53023</v>
      </c>
      <c r="B764" t="s">
        <v>464</v>
      </c>
      <c r="C764" s="217">
        <v>45743</v>
      </c>
      <c r="D764">
        <v>1857</v>
      </c>
      <c r="E764" t="s">
        <v>471</v>
      </c>
      <c r="F764" t="s">
        <v>472</v>
      </c>
      <c r="G764" t="s">
        <v>50</v>
      </c>
      <c r="H764">
        <v>11100006138</v>
      </c>
      <c r="I764">
        <v>32983.82</v>
      </c>
      <c r="J764">
        <v>0</v>
      </c>
      <c r="K764" t="s">
        <v>22</v>
      </c>
      <c r="L764" t="s">
        <v>23</v>
      </c>
      <c r="M764" t="s">
        <v>24</v>
      </c>
      <c r="N764" t="s">
        <v>25</v>
      </c>
      <c r="O764">
        <v>0</v>
      </c>
    </row>
    <row r="765" spans="1:15" x14ac:dyDescent="0.35">
      <c r="A765">
        <v>53023</v>
      </c>
      <c r="B765" t="s">
        <v>464</v>
      </c>
      <c r="C765" s="217">
        <v>45743</v>
      </c>
      <c r="D765">
        <v>1916</v>
      </c>
      <c r="E765" t="s">
        <v>466</v>
      </c>
      <c r="F765" t="s">
        <v>49</v>
      </c>
      <c r="G765" t="s">
        <v>51</v>
      </c>
      <c r="H765">
        <v>1000012712</v>
      </c>
      <c r="I765">
        <v>0</v>
      </c>
      <c r="J765">
        <v>197611.94</v>
      </c>
      <c r="K765" t="s">
        <v>22</v>
      </c>
      <c r="L765" t="s">
        <v>23</v>
      </c>
      <c r="M765" t="s">
        <v>24</v>
      </c>
      <c r="N765" t="s">
        <v>25</v>
      </c>
      <c r="O765">
        <v>0</v>
      </c>
    </row>
    <row r="766" spans="1:15" x14ac:dyDescent="0.35">
      <c r="A766">
        <v>53023</v>
      </c>
      <c r="B766" t="s">
        <v>464</v>
      </c>
      <c r="C766" s="217">
        <v>45743</v>
      </c>
      <c r="D766">
        <v>1918</v>
      </c>
      <c r="E766" t="s">
        <v>466</v>
      </c>
      <c r="F766" t="s">
        <v>49</v>
      </c>
      <c r="G766" t="s">
        <v>50</v>
      </c>
      <c r="H766">
        <v>1000194801</v>
      </c>
      <c r="I766">
        <v>197611.94</v>
      </c>
      <c r="J766">
        <v>0</v>
      </c>
      <c r="K766" t="s">
        <v>22</v>
      </c>
      <c r="L766" t="s">
        <v>23</v>
      </c>
      <c r="M766" t="s">
        <v>24</v>
      </c>
      <c r="N766" t="s">
        <v>25</v>
      </c>
      <c r="O766">
        <v>0</v>
      </c>
    </row>
    <row r="767" spans="1:15" x14ac:dyDescent="0.35">
      <c r="A767">
        <v>53023</v>
      </c>
      <c r="B767" t="s">
        <v>464</v>
      </c>
      <c r="C767" s="217">
        <v>45756</v>
      </c>
      <c r="D767">
        <v>2117</v>
      </c>
      <c r="E767" t="s">
        <v>471</v>
      </c>
      <c r="F767" t="s">
        <v>472</v>
      </c>
      <c r="G767" t="s">
        <v>50</v>
      </c>
      <c r="H767">
        <v>11100006199</v>
      </c>
      <c r="I767">
        <v>89860.53</v>
      </c>
      <c r="J767">
        <v>0</v>
      </c>
      <c r="K767" t="s">
        <v>22</v>
      </c>
      <c r="L767" t="s">
        <v>23</v>
      </c>
      <c r="M767" t="s">
        <v>24</v>
      </c>
      <c r="N767" t="s">
        <v>25</v>
      </c>
      <c r="O767">
        <v>0</v>
      </c>
    </row>
    <row r="768" spans="1:15" x14ac:dyDescent="0.35">
      <c r="A768">
        <v>53023</v>
      </c>
      <c r="B768" t="s">
        <v>464</v>
      </c>
      <c r="C768" s="217">
        <v>45761</v>
      </c>
      <c r="D768">
        <v>2186</v>
      </c>
      <c r="E768" t="s">
        <v>466</v>
      </c>
      <c r="F768" t="s">
        <v>49</v>
      </c>
      <c r="G768" t="s">
        <v>50</v>
      </c>
      <c r="H768">
        <v>1000196025</v>
      </c>
      <c r="I768">
        <v>177846.48</v>
      </c>
      <c r="J768">
        <v>0</v>
      </c>
      <c r="K768" t="s">
        <v>22</v>
      </c>
      <c r="L768" t="s">
        <v>23</v>
      </c>
      <c r="M768" t="s">
        <v>24</v>
      </c>
      <c r="N768" t="s">
        <v>25</v>
      </c>
      <c r="O768">
        <v>0</v>
      </c>
    </row>
    <row r="769" spans="1:15" x14ac:dyDescent="0.35">
      <c r="A769">
        <v>53023</v>
      </c>
      <c r="B769" t="s">
        <v>464</v>
      </c>
      <c r="C769" s="217">
        <v>45762</v>
      </c>
      <c r="D769">
        <v>5802</v>
      </c>
      <c r="E769" t="s">
        <v>466</v>
      </c>
      <c r="F769" t="s">
        <v>49</v>
      </c>
      <c r="G769" t="s">
        <v>50</v>
      </c>
      <c r="H769">
        <v>1000196191</v>
      </c>
      <c r="I769">
        <v>180068.4</v>
      </c>
      <c r="J769">
        <v>0</v>
      </c>
      <c r="K769" t="s">
        <v>22</v>
      </c>
      <c r="L769" t="s">
        <v>23</v>
      </c>
      <c r="M769" t="s">
        <v>24</v>
      </c>
      <c r="N769" t="s">
        <v>25</v>
      </c>
      <c r="O769">
        <v>0</v>
      </c>
    </row>
    <row r="770" spans="1:15" x14ac:dyDescent="0.35">
      <c r="A770">
        <v>53023</v>
      </c>
      <c r="B770" t="s">
        <v>464</v>
      </c>
      <c r="C770" s="217">
        <v>45799</v>
      </c>
      <c r="D770">
        <v>3119</v>
      </c>
      <c r="E770" t="s">
        <v>466</v>
      </c>
      <c r="F770" t="s">
        <v>49</v>
      </c>
      <c r="G770" t="s">
        <v>50</v>
      </c>
      <c r="H770">
        <v>1000198956</v>
      </c>
      <c r="I770">
        <v>982045.93</v>
      </c>
      <c r="J770">
        <v>0</v>
      </c>
      <c r="K770" t="s">
        <v>22</v>
      </c>
      <c r="L770" t="s">
        <v>23</v>
      </c>
      <c r="M770" t="s">
        <v>24</v>
      </c>
      <c r="N770" t="s">
        <v>25</v>
      </c>
      <c r="O770">
        <v>0</v>
      </c>
    </row>
    <row r="771" spans="1:15" x14ac:dyDescent="0.35">
      <c r="A771">
        <v>53023</v>
      </c>
      <c r="B771" t="s">
        <v>464</v>
      </c>
      <c r="C771" s="217">
        <v>45805</v>
      </c>
      <c r="D771">
        <v>1518</v>
      </c>
      <c r="E771" t="s">
        <v>465</v>
      </c>
      <c r="F771" t="s">
        <v>28</v>
      </c>
      <c r="G771" t="s">
        <v>41</v>
      </c>
      <c r="H771">
        <v>6924</v>
      </c>
      <c r="I771">
        <v>4140</v>
      </c>
      <c r="J771">
        <v>0</v>
      </c>
      <c r="K771" t="s">
        <v>22</v>
      </c>
      <c r="L771" t="s">
        <v>23</v>
      </c>
      <c r="M771" t="s">
        <v>24</v>
      </c>
      <c r="N771" t="s">
        <v>25</v>
      </c>
      <c r="O771">
        <v>0</v>
      </c>
    </row>
    <row r="772" spans="1:15" x14ac:dyDescent="0.35">
      <c r="A772">
        <v>53023</v>
      </c>
      <c r="B772" t="s">
        <v>464</v>
      </c>
      <c r="C772" s="217">
        <v>45832</v>
      </c>
      <c r="D772">
        <v>3491</v>
      </c>
      <c r="E772" t="s">
        <v>473</v>
      </c>
      <c r="F772" t="s">
        <v>474</v>
      </c>
      <c r="G772" t="s">
        <v>50</v>
      </c>
      <c r="H772">
        <v>2100002386</v>
      </c>
      <c r="I772">
        <v>14793.39</v>
      </c>
      <c r="J772">
        <v>0</v>
      </c>
      <c r="K772" t="s">
        <v>22</v>
      </c>
      <c r="L772" t="s">
        <v>23</v>
      </c>
      <c r="M772" t="s">
        <v>24</v>
      </c>
      <c r="N772" t="s">
        <v>25</v>
      </c>
      <c r="O772">
        <v>0</v>
      </c>
    </row>
    <row r="773" spans="1:15" x14ac:dyDescent="0.35">
      <c r="A773">
        <v>53023</v>
      </c>
      <c r="B773" t="s">
        <v>464</v>
      </c>
      <c r="C773" s="217">
        <v>45850</v>
      </c>
      <c r="D773">
        <v>3670</v>
      </c>
      <c r="E773" t="s">
        <v>466</v>
      </c>
      <c r="F773" t="s">
        <v>49</v>
      </c>
      <c r="G773" t="s">
        <v>50</v>
      </c>
      <c r="H773">
        <v>1000203135</v>
      </c>
      <c r="I773">
        <v>481571.1</v>
      </c>
      <c r="J773">
        <v>0</v>
      </c>
      <c r="K773" t="s">
        <v>22</v>
      </c>
      <c r="L773" t="s">
        <v>23</v>
      </c>
      <c r="M773" t="s">
        <v>24</v>
      </c>
      <c r="N773" t="s">
        <v>25</v>
      </c>
      <c r="O773">
        <v>0</v>
      </c>
    </row>
    <row r="774" spans="1:15" x14ac:dyDescent="0.35">
      <c r="A774">
        <v>53023</v>
      </c>
      <c r="B774" t="s">
        <v>464</v>
      </c>
      <c r="C774" s="217">
        <v>45860</v>
      </c>
      <c r="D774">
        <v>3847</v>
      </c>
      <c r="E774" t="s">
        <v>475</v>
      </c>
      <c r="F774" t="s">
        <v>218</v>
      </c>
      <c r="G774" t="s">
        <v>50</v>
      </c>
      <c r="H774">
        <v>600004195</v>
      </c>
      <c r="I774">
        <v>12396.69</v>
      </c>
      <c r="J774">
        <v>0</v>
      </c>
      <c r="K774" t="s">
        <v>22</v>
      </c>
      <c r="L774" t="s">
        <v>23</v>
      </c>
      <c r="M774" t="s">
        <v>24</v>
      </c>
      <c r="N774" t="s">
        <v>25</v>
      </c>
      <c r="O774">
        <v>0</v>
      </c>
    </row>
    <row r="775" spans="1:15" x14ac:dyDescent="0.35">
      <c r="A775">
        <v>53023</v>
      </c>
      <c r="B775" t="s">
        <v>464</v>
      </c>
      <c r="C775" s="217">
        <v>45874</v>
      </c>
      <c r="D775">
        <v>4016</v>
      </c>
      <c r="E775" t="s">
        <v>466</v>
      </c>
      <c r="F775" t="s">
        <v>49</v>
      </c>
      <c r="G775" t="s">
        <v>50</v>
      </c>
      <c r="H775">
        <v>1000205105</v>
      </c>
      <c r="I775">
        <v>182469.67</v>
      </c>
      <c r="J775">
        <v>0</v>
      </c>
      <c r="K775" t="s">
        <v>22</v>
      </c>
      <c r="L775" t="s">
        <v>23</v>
      </c>
      <c r="M775" t="s">
        <v>24</v>
      </c>
      <c r="N775" t="s">
        <v>25</v>
      </c>
      <c r="O775">
        <v>0</v>
      </c>
    </row>
    <row r="776" spans="1:15" x14ac:dyDescent="0.35">
      <c r="A776">
        <v>53023</v>
      </c>
      <c r="B776" t="s">
        <v>464</v>
      </c>
      <c r="C776" s="217">
        <v>45887</v>
      </c>
      <c r="D776">
        <v>4348</v>
      </c>
      <c r="E776" t="s">
        <v>476</v>
      </c>
      <c r="F776" t="s">
        <v>196</v>
      </c>
      <c r="G776" t="s">
        <v>50</v>
      </c>
      <c r="H776">
        <v>1000000113</v>
      </c>
      <c r="I776">
        <v>6612</v>
      </c>
      <c r="J776">
        <v>0</v>
      </c>
      <c r="K776" t="s">
        <v>22</v>
      </c>
      <c r="L776" t="s">
        <v>23</v>
      </c>
      <c r="M776" t="s">
        <v>24</v>
      </c>
      <c r="N776" t="s">
        <v>25</v>
      </c>
      <c r="O776">
        <v>0</v>
      </c>
    </row>
    <row r="777" spans="1:15" x14ac:dyDescent="0.35">
      <c r="A777">
        <v>53023</v>
      </c>
      <c r="B777" t="s">
        <v>464</v>
      </c>
      <c r="C777" s="217">
        <v>45887</v>
      </c>
      <c r="D777">
        <v>4349</v>
      </c>
      <c r="E777" t="s">
        <v>476</v>
      </c>
      <c r="F777" t="s">
        <v>196</v>
      </c>
      <c r="G777" t="s">
        <v>50</v>
      </c>
      <c r="H777">
        <v>1000000115</v>
      </c>
      <c r="I777">
        <v>3306</v>
      </c>
      <c r="J777">
        <v>0</v>
      </c>
      <c r="K777" t="s">
        <v>22</v>
      </c>
      <c r="L777" t="s">
        <v>23</v>
      </c>
      <c r="M777" t="s">
        <v>24</v>
      </c>
      <c r="N777" t="s">
        <v>25</v>
      </c>
      <c r="O777">
        <v>0</v>
      </c>
    </row>
    <row r="778" spans="1:15" x14ac:dyDescent="0.35">
      <c r="A778">
        <v>53023</v>
      </c>
      <c r="B778" t="s">
        <v>464</v>
      </c>
      <c r="C778" s="217">
        <v>45890</v>
      </c>
      <c r="D778">
        <v>4355</v>
      </c>
      <c r="E778" t="s">
        <v>467</v>
      </c>
      <c r="F778" t="s">
        <v>194</v>
      </c>
      <c r="G778" t="s">
        <v>50</v>
      </c>
      <c r="H778">
        <v>600012044</v>
      </c>
      <c r="I778">
        <v>11157.03</v>
      </c>
      <c r="J778">
        <v>0</v>
      </c>
      <c r="K778" t="s">
        <v>22</v>
      </c>
      <c r="L778" t="s">
        <v>23</v>
      </c>
      <c r="M778" t="s">
        <v>24</v>
      </c>
      <c r="N778" t="s">
        <v>25</v>
      </c>
      <c r="O778">
        <v>0</v>
      </c>
    </row>
    <row r="779" spans="1:15" x14ac:dyDescent="0.35">
      <c r="A779">
        <v>53023</v>
      </c>
      <c r="B779" t="s">
        <v>464</v>
      </c>
      <c r="C779" s="217">
        <v>45895</v>
      </c>
      <c r="D779">
        <v>4361</v>
      </c>
      <c r="E779" t="s">
        <v>466</v>
      </c>
      <c r="F779" t="s">
        <v>49</v>
      </c>
      <c r="G779" t="s">
        <v>50</v>
      </c>
      <c r="H779">
        <v>1000206822</v>
      </c>
      <c r="I779">
        <v>121621.5</v>
      </c>
      <c r="J779">
        <v>0</v>
      </c>
      <c r="K779" t="s">
        <v>22</v>
      </c>
      <c r="L779" t="s">
        <v>23</v>
      </c>
      <c r="M779" t="s">
        <v>24</v>
      </c>
      <c r="N779" t="s">
        <v>25</v>
      </c>
      <c r="O779">
        <v>0</v>
      </c>
    </row>
    <row r="780" spans="1:15" x14ac:dyDescent="0.35">
      <c r="A780">
        <v>53023</v>
      </c>
      <c r="B780" t="s">
        <v>464</v>
      </c>
      <c r="C780" s="217">
        <v>45896</v>
      </c>
      <c r="D780">
        <v>4371</v>
      </c>
      <c r="E780" t="s">
        <v>476</v>
      </c>
      <c r="F780" t="s">
        <v>196</v>
      </c>
      <c r="G780" t="s">
        <v>50</v>
      </c>
      <c r="H780">
        <v>500000543</v>
      </c>
      <c r="I780">
        <v>6612</v>
      </c>
      <c r="J780">
        <v>0</v>
      </c>
      <c r="K780" t="s">
        <v>22</v>
      </c>
      <c r="L780" t="s">
        <v>23</v>
      </c>
      <c r="M780" t="s">
        <v>24</v>
      </c>
      <c r="N780" t="s">
        <v>25</v>
      </c>
      <c r="O780">
        <v>0</v>
      </c>
    </row>
    <row r="781" spans="1:15" x14ac:dyDescent="0.35">
      <c r="A781">
        <v>53023</v>
      </c>
      <c r="B781" t="s">
        <v>464</v>
      </c>
      <c r="C781" s="217">
        <v>45904</v>
      </c>
      <c r="D781">
        <v>4567</v>
      </c>
      <c r="E781" t="s">
        <v>476</v>
      </c>
      <c r="F781" t="s">
        <v>196</v>
      </c>
      <c r="G781" t="s">
        <v>50</v>
      </c>
      <c r="H781">
        <v>500000551</v>
      </c>
      <c r="I781">
        <v>4960</v>
      </c>
      <c r="J781">
        <v>0</v>
      </c>
      <c r="K781" t="s">
        <v>22</v>
      </c>
      <c r="L781" t="s">
        <v>23</v>
      </c>
      <c r="M781" t="s">
        <v>24</v>
      </c>
      <c r="N781" t="s">
        <v>25</v>
      </c>
      <c r="O781">
        <v>0</v>
      </c>
    </row>
    <row r="782" spans="1:15" x14ac:dyDescent="0.35">
      <c r="A782">
        <v>53023</v>
      </c>
      <c r="B782" t="s">
        <v>464</v>
      </c>
      <c r="C782" s="217">
        <v>45904</v>
      </c>
      <c r="D782">
        <v>4568</v>
      </c>
      <c r="E782" t="s">
        <v>477</v>
      </c>
      <c r="F782" t="s">
        <v>211</v>
      </c>
      <c r="G782" t="s">
        <v>50</v>
      </c>
      <c r="H782">
        <v>400000494</v>
      </c>
      <c r="I782">
        <v>13223.2</v>
      </c>
      <c r="J782">
        <v>0</v>
      </c>
      <c r="K782" t="s">
        <v>22</v>
      </c>
      <c r="L782" t="s">
        <v>23</v>
      </c>
      <c r="M782" t="s">
        <v>24</v>
      </c>
      <c r="N782" t="s">
        <v>25</v>
      </c>
      <c r="O782">
        <v>0</v>
      </c>
    </row>
    <row r="783" spans="1:15" x14ac:dyDescent="0.35">
      <c r="A783">
        <v>53023</v>
      </c>
      <c r="B783" t="s">
        <v>464</v>
      </c>
      <c r="C783" s="217">
        <v>45905</v>
      </c>
      <c r="D783">
        <v>4570</v>
      </c>
      <c r="E783" t="s">
        <v>477</v>
      </c>
      <c r="F783" t="s">
        <v>211</v>
      </c>
      <c r="G783" t="s">
        <v>50</v>
      </c>
      <c r="H783">
        <v>400000495</v>
      </c>
      <c r="I783">
        <v>16529</v>
      </c>
      <c r="J783">
        <v>0</v>
      </c>
      <c r="K783" t="s">
        <v>22</v>
      </c>
      <c r="L783" t="s">
        <v>23</v>
      </c>
      <c r="M783" t="s">
        <v>24</v>
      </c>
      <c r="N783" t="s">
        <v>25</v>
      </c>
      <c r="O783">
        <v>0</v>
      </c>
    </row>
    <row r="784" spans="1:15" x14ac:dyDescent="0.35">
      <c r="A784">
        <v>53023</v>
      </c>
      <c r="B784" t="s">
        <v>464</v>
      </c>
      <c r="C784" s="217">
        <v>45905</v>
      </c>
      <c r="D784">
        <v>4570</v>
      </c>
      <c r="E784" t="s">
        <v>477</v>
      </c>
      <c r="F784" t="s">
        <v>211</v>
      </c>
      <c r="G784" t="s">
        <v>50</v>
      </c>
      <c r="H784">
        <v>400000495</v>
      </c>
      <c r="I784">
        <v>18595.05</v>
      </c>
      <c r="J784">
        <v>0</v>
      </c>
      <c r="K784" t="s">
        <v>22</v>
      </c>
      <c r="L784" t="s">
        <v>23</v>
      </c>
      <c r="M784" t="s">
        <v>24</v>
      </c>
      <c r="N784" t="s">
        <v>25</v>
      </c>
      <c r="O784">
        <v>0</v>
      </c>
    </row>
    <row r="785" spans="1:15" x14ac:dyDescent="0.35">
      <c r="A785">
        <v>53023</v>
      </c>
      <c r="B785" t="s">
        <v>464</v>
      </c>
      <c r="C785" s="217">
        <v>45905</v>
      </c>
      <c r="D785">
        <v>4571</v>
      </c>
      <c r="E785" t="s">
        <v>476</v>
      </c>
      <c r="F785" t="s">
        <v>196</v>
      </c>
      <c r="G785" t="s">
        <v>50</v>
      </c>
      <c r="H785">
        <v>1000000128</v>
      </c>
      <c r="I785">
        <v>10172</v>
      </c>
      <c r="J785">
        <v>0</v>
      </c>
      <c r="K785" t="s">
        <v>22</v>
      </c>
      <c r="L785" t="s">
        <v>23</v>
      </c>
      <c r="M785" t="s">
        <v>24</v>
      </c>
      <c r="N785" t="s">
        <v>25</v>
      </c>
      <c r="O785">
        <v>0</v>
      </c>
    </row>
    <row r="786" spans="1:15" x14ac:dyDescent="0.35">
      <c r="A786">
        <v>53023</v>
      </c>
      <c r="B786" t="s">
        <v>464</v>
      </c>
      <c r="C786" s="217">
        <v>45906</v>
      </c>
      <c r="D786">
        <v>4630</v>
      </c>
      <c r="E786" t="s">
        <v>466</v>
      </c>
      <c r="F786" t="s">
        <v>49</v>
      </c>
      <c r="G786" t="s">
        <v>50</v>
      </c>
      <c r="H786">
        <v>1000207884</v>
      </c>
      <c r="I786">
        <v>180123.74</v>
      </c>
      <c r="J786">
        <v>0</v>
      </c>
      <c r="K786" t="s">
        <v>22</v>
      </c>
      <c r="L786" t="s">
        <v>23</v>
      </c>
      <c r="M786" t="s">
        <v>24</v>
      </c>
      <c r="N786" t="s">
        <v>25</v>
      </c>
      <c r="O786">
        <v>0</v>
      </c>
    </row>
    <row r="787" spans="1:15" x14ac:dyDescent="0.35">
      <c r="A787">
        <v>53023</v>
      </c>
      <c r="B787" t="s">
        <v>464</v>
      </c>
      <c r="C787" s="217">
        <v>45906</v>
      </c>
      <c r="D787">
        <v>4803</v>
      </c>
      <c r="E787" t="s">
        <v>478</v>
      </c>
      <c r="F787" t="s">
        <v>79</v>
      </c>
      <c r="G787" t="s">
        <v>50</v>
      </c>
      <c r="H787">
        <v>1178700000282</v>
      </c>
      <c r="I787">
        <v>7209.92</v>
      </c>
      <c r="J787">
        <v>0</v>
      </c>
      <c r="K787" t="s">
        <v>22</v>
      </c>
      <c r="L787" t="s">
        <v>23</v>
      </c>
      <c r="M787" t="s">
        <v>24</v>
      </c>
      <c r="N787" t="s">
        <v>25</v>
      </c>
      <c r="O787">
        <v>0</v>
      </c>
    </row>
    <row r="788" spans="1:15" x14ac:dyDescent="0.35">
      <c r="A788">
        <v>53023</v>
      </c>
      <c r="B788" t="s">
        <v>464</v>
      </c>
      <c r="C788" s="217">
        <v>45913</v>
      </c>
      <c r="D788">
        <v>4654</v>
      </c>
      <c r="E788" t="s">
        <v>466</v>
      </c>
      <c r="F788" t="s">
        <v>49</v>
      </c>
      <c r="G788" t="s">
        <v>50</v>
      </c>
      <c r="H788">
        <v>1000208385</v>
      </c>
      <c r="I788">
        <v>99796.46</v>
      </c>
      <c r="J788">
        <v>0</v>
      </c>
      <c r="K788" t="s">
        <v>22</v>
      </c>
      <c r="L788" t="s">
        <v>23</v>
      </c>
      <c r="M788" t="s">
        <v>24</v>
      </c>
      <c r="N788" t="s">
        <v>25</v>
      </c>
      <c r="O788">
        <v>0</v>
      </c>
    </row>
    <row r="789" spans="1:15" x14ac:dyDescent="0.35">
      <c r="A789">
        <v>53023</v>
      </c>
      <c r="B789" t="s">
        <v>464</v>
      </c>
      <c r="C789" s="217">
        <v>45934</v>
      </c>
      <c r="D789">
        <v>5148</v>
      </c>
      <c r="E789" t="s">
        <v>466</v>
      </c>
      <c r="F789" t="s">
        <v>49</v>
      </c>
      <c r="G789" t="s">
        <v>50</v>
      </c>
      <c r="H789">
        <v>1000210192</v>
      </c>
      <c r="I789">
        <v>41126.400000000001</v>
      </c>
      <c r="J789">
        <v>0</v>
      </c>
      <c r="K789" t="s">
        <v>22</v>
      </c>
      <c r="L789" t="s">
        <v>23</v>
      </c>
      <c r="M789" t="s">
        <v>24</v>
      </c>
      <c r="N789" t="s">
        <v>25</v>
      </c>
      <c r="O789">
        <v>0</v>
      </c>
    </row>
    <row r="790" spans="1:15" x14ac:dyDescent="0.35">
      <c r="A790">
        <v>53023</v>
      </c>
      <c r="B790" t="s">
        <v>464</v>
      </c>
      <c r="C790" s="217">
        <v>45941</v>
      </c>
      <c r="D790">
        <v>5275</v>
      </c>
      <c r="E790" t="s">
        <v>466</v>
      </c>
      <c r="F790" t="s">
        <v>49</v>
      </c>
      <c r="G790" t="s">
        <v>50</v>
      </c>
      <c r="H790">
        <v>1000210618</v>
      </c>
      <c r="I790">
        <v>322857</v>
      </c>
      <c r="J790">
        <v>0</v>
      </c>
      <c r="K790" t="s">
        <v>22</v>
      </c>
      <c r="L790" t="s">
        <v>23</v>
      </c>
      <c r="M790" t="s">
        <v>24</v>
      </c>
      <c r="N790" t="s">
        <v>25</v>
      </c>
      <c r="O790">
        <v>0</v>
      </c>
    </row>
    <row r="791" spans="1:15" x14ac:dyDescent="0.35">
      <c r="A791">
        <v>53023</v>
      </c>
      <c r="B791" t="s">
        <v>464</v>
      </c>
      <c r="C791" s="217">
        <v>45943</v>
      </c>
      <c r="D791">
        <v>5382</v>
      </c>
      <c r="E791" t="s">
        <v>467</v>
      </c>
      <c r="F791" t="s">
        <v>194</v>
      </c>
      <c r="G791" t="s">
        <v>50</v>
      </c>
      <c r="H791">
        <v>600012435</v>
      </c>
      <c r="I791">
        <v>2909.11</v>
      </c>
      <c r="J791">
        <v>0</v>
      </c>
      <c r="K791" t="s">
        <v>22</v>
      </c>
      <c r="L791" t="s">
        <v>23</v>
      </c>
      <c r="M791" t="s">
        <v>24</v>
      </c>
      <c r="N791" t="s">
        <v>25</v>
      </c>
      <c r="O791">
        <v>0</v>
      </c>
    </row>
    <row r="792" spans="1:15" x14ac:dyDescent="0.35">
      <c r="A792">
        <v>53023</v>
      </c>
      <c r="B792" t="s">
        <v>464</v>
      </c>
      <c r="C792" s="217">
        <v>45947</v>
      </c>
      <c r="D792">
        <v>2321</v>
      </c>
      <c r="E792" t="s">
        <v>465</v>
      </c>
      <c r="F792" t="s">
        <v>28</v>
      </c>
      <c r="G792" t="s">
        <v>41</v>
      </c>
      <c r="H792">
        <v>7691</v>
      </c>
      <c r="I792">
        <v>6270</v>
      </c>
      <c r="J792">
        <v>0</v>
      </c>
      <c r="K792" t="s">
        <v>22</v>
      </c>
      <c r="L792" t="s">
        <v>23</v>
      </c>
      <c r="M792" t="s">
        <v>24</v>
      </c>
      <c r="N792" t="s">
        <v>25</v>
      </c>
      <c r="O792">
        <v>0</v>
      </c>
    </row>
    <row r="793" spans="1:15" x14ac:dyDescent="0.35">
      <c r="A793">
        <v>53023</v>
      </c>
      <c r="B793" t="s">
        <v>464</v>
      </c>
      <c r="C793" s="217">
        <v>45947</v>
      </c>
      <c r="D793">
        <v>2322</v>
      </c>
      <c r="E793" t="s">
        <v>465</v>
      </c>
      <c r="F793" t="s">
        <v>28</v>
      </c>
      <c r="G793" t="s">
        <v>41</v>
      </c>
      <c r="H793">
        <v>7692</v>
      </c>
      <c r="I793">
        <v>17700</v>
      </c>
      <c r="J793">
        <v>0</v>
      </c>
      <c r="K793" t="s">
        <v>22</v>
      </c>
      <c r="L793" t="s">
        <v>23</v>
      </c>
      <c r="M793" t="s">
        <v>24</v>
      </c>
      <c r="N793" t="s">
        <v>25</v>
      </c>
      <c r="O793">
        <v>0</v>
      </c>
    </row>
    <row r="794" spans="1:15" x14ac:dyDescent="0.35">
      <c r="A794">
        <v>53023</v>
      </c>
      <c r="B794" t="s">
        <v>464</v>
      </c>
      <c r="C794" s="217">
        <v>45950</v>
      </c>
      <c r="D794">
        <v>2427</v>
      </c>
      <c r="E794" t="s">
        <v>465</v>
      </c>
      <c r="F794" t="s">
        <v>28</v>
      </c>
      <c r="G794" t="s">
        <v>41</v>
      </c>
      <c r="H794">
        <v>7765</v>
      </c>
      <c r="I794">
        <v>2600</v>
      </c>
      <c r="J794">
        <v>0</v>
      </c>
      <c r="K794" t="s">
        <v>22</v>
      </c>
      <c r="L794" t="s">
        <v>23</v>
      </c>
      <c r="M794" t="s">
        <v>24</v>
      </c>
      <c r="N794" t="s">
        <v>25</v>
      </c>
      <c r="O794">
        <v>0</v>
      </c>
    </row>
    <row r="795" spans="1:15" x14ac:dyDescent="0.35">
      <c r="A795">
        <v>53023</v>
      </c>
      <c r="B795" t="s">
        <v>464</v>
      </c>
      <c r="C795" s="217">
        <v>45950</v>
      </c>
      <c r="D795">
        <v>5411</v>
      </c>
      <c r="E795" t="s">
        <v>476</v>
      </c>
      <c r="F795" t="s">
        <v>196</v>
      </c>
      <c r="G795" t="s">
        <v>50</v>
      </c>
      <c r="H795">
        <v>1000000158</v>
      </c>
      <c r="I795">
        <v>16116</v>
      </c>
      <c r="J795">
        <v>0</v>
      </c>
      <c r="K795" t="s">
        <v>22</v>
      </c>
      <c r="L795" t="s">
        <v>23</v>
      </c>
      <c r="M795" t="s">
        <v>24</v>
      </c>
      <c r="N795" t="s">
        <v>25</v>
      </c>
      <c r="O795">
        <v>0</v>
      </c>
    </row>
    <row r="796" spans="1:15" x14ac:dyDescent="0.35">
      <c r="A796">
        <v>53023</v>
      </c>
      <c r="B796" t="s">
        <v>464</v>
      </c>
      <c r="C796" s="217">
        <v>45951</v>
      </c>
      <c r="D796">
        <v>5542</v>
      </c>
      <c r="E796" t="s">
        <v>476</v>
      </c>
      <c r="F796" t="s">
        <v>196</v>
      </c>
      <c r="G796" t="s">
        <v>50</v>
      </c>
      <c r="H796">
        <v>1000000160</v>
      </c>
      <c r="I796">
        <v>10250</v>
      </c>
      <c r="J796">
        <v>0</v>
      </c>
      <c r="K796" t="s">
        <v>22</v>
      </c>
      <c r="L796" t="s">
        <v>23</v>
      </c>
      <c r="M796" t="s">
        <v>24</v>
      </c>
      <c r="N796" t="s">
        <v>25</v>
      </c>
      <c r="O796">
        <v>0</v>
      </c>
    </row>
    <row r="797" spans="1:15" x14ac:dyDescent="0.35">
      <c r="A797">
        <v>53023</v>
      </c>
      <c r="B797" t="s">
        <v>464</v>
      </c>
      <c r="C797" s="217">
        <v>45951</v>
      </c>
      <c r="D797">
        <v>5543</v>
      </c>
      <c r="E797" t="s">
        <v>476</v>
      </c>
      <c r="F797" t="s">
        <v>196</v>
      </c>
      <c r="G797" t="s">
        <v>50</v>
      </c>
      <c r="H797">
        <v>1000000159</v>
      </c>
      <c r="I797">
        <v>33267.5</v>
      </c>
      <c r="J797">
        <v>0</v>
      </c>
      <c r="K797" t="s">
        <v>22</v>
      </c>
      <c r="L797" t="s">
        <v>23</v>
      </c>
      <c r="M797" t="s">
        <v>24</v>
      </c>
      <c r="N797" t="s">
        <v>25</v>
      </c>
      <c r="O797">
        <v>0</v>
      </c>
    </row>
    <row r="798" spans="1:15" x14ac:dyDescent="0.35">
      <c r="A798">
        <v>53023</v>
      </c>
      <c r="B798" t="s">
        <v>464</v>
      </c>
      <c r="C798" s="217">
        <v>45953</v>
      </c>
      <c r="D798">
        <v>2426</v>
      </c>
      <c r="E798" t="s">
        <v>465</v>
      </c>
      <c r="F798" t="s">
        <v>28</v>
      </c>
      <c r="G798" t="s">
        <v>41</v>
      </c>
      <c r="H798">
        <v>7764</v>
      </c>
      <c r="I798">
        <v>3900</v>
      </c>
      <c r="J798">
        <v>0</v>
      </c>
      <c r="K798" t="s">
        <v>22</v>
      </c>
      <c r="L798" t="s">
        <v>23</v>
      </c>
      <c r="M798" t="s">
        <v>24</v>
      </c>
      <c r="N798" t="s">
        <v>25</v>
      </c>
      <c r="O798">
        <v>0</v>
      </c>
    </row>
    <row r="799" spans="1:15" x14ac:dyDescent="0.35">
      <c r="A799">
        <v>53023</v>
      </c>
      <c r="B799" t="s">
        <v>464</v>
      </c>
      <c r="C799" s="217">
        <v>45958</v>
      </c>
      <c r="D799">
        <v>5552</v>
      </c>
      <c r="E799" t="s">
        <v>466</v>
      </c>
      <c r="F799" t="s">
        <v>49</v>
      </c>
      <c r="G799" t="s">
        <v>50</v>
      </c>
      <c r="H799">
        <v>1000212019</v>
      </c>
      <c r="I799">
        <v>303347.25</v>
      </c>
      <c r="J799">
        <v>0</v>
      </c>
      <c r="K799" t="s">
        <v>22</v>
      </c>
      <c r="L799" t="s">
        <v>23</v>
      </c>
      <c r="M799" t="s">
        <v>24</v>
      </c>
      <c r="N799" t="s">
        <v>25</v>
      </c>
      <c r="O799">
        <v>0</v>
      </c>
    </row>
    <row r="800" spans="1:15" x14ac:dyDescent="0.35">
      <c r="A800">
        <v>53023</v>
      </c>
      <c r="B800" t="s">
        <v>464</v>
      </c>
      <c r="C800" s="217">
        <v>45960</v>
      </c>
      <c r="D800">
        <v>5566</v>
      </c>
      <c r="E800" t="s">
        <v>466</v>
      </c>
      <c r="F800" t="s">
        <v>49</v>
      </c>
      <c r="G800" t="s">
        <v>50</v>
      </c>
      <c r="H800">
        <v>1000212188</v>
      </c>
      <c r="I800">
        <v>74920.05</v>
      </c>
      <c r="J800">
        <v>0</v>
      </c>
      <c r="K800" t="s">
        <v>22</v>
      </c>
      <c r="L800" t="s">
        <v>23</v>
      </c>
      <c r="M800" t="s">
        <v>24</v>
      </c>
      <c r="N800" t="s">
        <v>25</v>
      </c>
      <c r="O800">
        <v>0</v>
      </c>
    </row>
    <row r="801" spans="1:15" x14ac:dyDescent="0.35">
      <c r="A801">
        <v>53023</v>
      </c>
      <c r="B801" t="s">
        <v>464</v>
      </c>
      <c r="C801" s="217">
        <v>45960</v>
      </c>
      <c r="D801">
        <v>5567</v>
      </c>
      <c r="E801" t="s">
        <v>466</v>
      </c>
      <c r="F801" t="s">
        <v>49</v>
      </c>
      <c r="G801" t="s">
        <v>51</v>
      </c>
      <c r="H801">
        <v>1000013917</v>
      </c>
      <c r="I801">
        <v>0</v>
      </c>
      <c r="J801">
        <v>303347.25</v>
      </c>
      <c r="K801" t="s">
        <v>22</v>
      </c>
      <c r="L801" t="s">
        <v>23</v>
      </c>
      <c r="M801" t="s">
        <v>24</v>
      </c>
      <c r="N801" t="s">
        <v>25</v>
      </c>
      <c r="O801">
        <v>0</v>
      </c>
    </row>
    <row r="802" spans="1:15" x14ac:dyDescent="0.35">
      <c r="A802">
        <v>53023</v>
      </c>
      <c r="B802" t="s">
        <v>464</v>
      </c>
      <c r="C802" s="217">
        <v>45965</v>
      </c>
      <c r="D802">
        <v>30</v>
      </c>
      <c r="E802" t="s">
        <v>466</v>
      </c>
      <c r="F802" t="s">
        <v>49</v>
      </c>
      <c r="G802" t="s">
        <v>50</v>
      </c>
      <c r="H802">
        <v>1000212592</v>
      </c>
      <c r="I802">
        <v>74111.42</v>
      </c>
      <c r="J802">
        <v>0</v>
      </c>
      <c r="K802" t="s">
        <v>22</v>
      </c>
      <c r="L802" t="s">
        <v>23</v>
      </c>
      <c r="M802" t="s">
        <v>24</v>
      </c>
      <c r="N802" t="s">
        <v>25</v>
      </c>
      <c r="O802">
        <v>0</v>
      </c>
    </row>
    <row r="803" spans="1:15" x14ac:dyDescent="0.35">
      <c r="A803">
        <v>53023</v>
      </c>
      <c r="B803" t="s">
        <v>464</v>
      </c>
      <c r="C803" s="217">
        <v>45965</v>
      </c>
      <c r="D803">
        <v>30</v>
      </c>
      <c r="E803" t="s">
        <v>466</v>
      </c>
      <c r="F803" t="s">
        <v>49</v>
      </c>
      <c r="G803" t="s">
        <v>50</v>
      </c>
      <c r="H803">
        <v>1000212592</v>
      </c>
      <c r="I803">
        <v>14588.1</v>
      </c>
      <c r="J803">
        <v>0</v>
      </c>
      <c r="K803" t="s">
        <v>22</v>
      </c>
      <c r="L803" t="s">
        <v>23</v>
      </c>
      <c r="M803" t="s">
        <v>24</v>
      </c>
      <c r="N803" t="s">
        <v>25</v>
      </c>
      <c r="O803">
        <v>0</v>
      </c>
    </row>
    <row r="804" spans="1:15" x14ac:dyDescent="0.35">
      <c r="A804">
        <v>53023</v>
      </c>
      <c r="B804" t="s">
        <v>464</v>
      </c>
      <c r="C804" s="217">
        <v>45967</v>
      </c>
      <c r="D804">
        <v>198</v>
      </c>
      <c r="E804" t="s">
        <v>479</v>
      </c>
      <c r="F804" t="s">
        <v>208</v>
      </c>
      <c r="G804" t="s">
        <v>50</v>
      </c>
      <c r="H804">
        <v>1400069047</v>
      </c>
      <c r="I804">
        <v>5405.9</v>
      </c>
      <c r="J804">
        <v>0</v>
      </c>
      <c r="K804" t="s">
        <v>22</v>
      </c>
      <c r="L804" t="s">
        <v>23</v>
      </c>
      <c r="M804" t="s">
        <v>24</v>
      </c>
      <c r="N804" t="s">
        <v>25</v>
      </c>
      <c r="O804">
        <v>0</v>
      </c>
    </row>
    <row r="805" spans="1:15" x14ac:dyDescent="0.35">
      <c r="A805">
        <v>53023</v>
      </c>
      <c r="B805" t="s">
        <v>464</v>
      </c>
      <c r="C805" s="217">
        <v>45986</v>
      </c>
      <c r="D805">
        <v>228</v>
      </c>
      <c r="E805" t="s">
        <v>466</v>
      </c>
      <c r="F805" t="s">
        <v>49</v>
      </c>
      <c r="G805" t="s">
        <v>50</v>
      </c>
      <c r="H805">
        <v>1000214089</v>
      </c>
      <c r="I805">
        <v>36542.080000000002</v>
      </c>
      <c r="J805">
        <v>0</v>
      </c>
      <c r="K805" t="s">
        <v>22</v>
      </c>
      <c r="L805" t="s">
        <v>23</v>
      </c>
      <c r="M805" t="s">
        <v>24</v>
      </c>
      <c r="N805" t="s">
        <v>25</v>
      </c>
      <c r="O805">
        <v>0</v>
      </c>
    </row>
    <row r="806" spans="1:15" x14ac:dyDescent="0.35">
      <c r="A806">
        <v>53023</v>
      </c>
      <c r="B806" t="s">
        <v>464</v>
      </c>
      <c r="C806" s="217">
        <v>45987</v>
      </c>
      <c r="D806">
        <v>236</v>
      </c>
      <c r="E806" t="s">
        <v>476</v>
      </c>
      <c r="F806" t="s">
        <v>196</v>
      </c>
      <c r="G806" t="s">
        <v>50</v>
      </c>
      <c r="H806">
        <v>500000635</v>
      </c>
      <c r="I806">
        <v>5124</v>
      </c>
      <c r="J806">
        <v>0</v>
      </c>
      <c r="K806" t="s">
        <v>22</v>
      </c>
      <c r="L806" t="s">
        <v>23</v>
      </c>
      <c r="M806" t="s">
        <v>24</v>
      </c>
      <c r="N806" t="s">
        <v>25</v>
      </c>
      <c r="O806">
        <v>0</v>
      </c>
    </row>
    <row r="807" spans="1:15" x14ac:dyDescent="0.35">
      <c r="A807">
        <v>53023</v>
      </c>
      <c r="B807" t="s">
        <v>464</v>
      </c>
      <c r="C807" s="217">
        <v>46000</v>
      </c>
      <c r="D807">
        <v>391</v>
      </c>
      <c r="E807" t="s">
        <v>466</v>
      </c>
      <c r="F807" t="s">
        <v>49</v>
      </c>
      <c r="G807" t="s">
        <v>50</v>
      </c>
      <c r="H807">
        <v>1000215005</v>
      </c>
      <c r="I807">
        <v>326795.68</v>
      </c>
      <c r="J807">
        <v>0</v>
      </c>
      <c r="K807" t="s">
        <v>22</v>
      </c>
      <c r="L807" t="s">
        <v>23</v>
      </c>
      <c r="M807" t="s">
        <v>24</v>
      </c>
      <c r="N807" t="s">
        <v>25</v>
      </c>
      <c r="O807">
        <v>0</v>
      </c>
    </row>
    <row r="808" spans="1:15" x14ac:dyDescent="0.35">
      <c r="A808">
        <v>53023</v>
      </c>
      <c r="B808" t="s">
        <v>464</v>
      </c>
      <c r="C808" s="217">
        <v>46000</v>
      </c>
      <c r="D808">
        <v>425</v>
      </c>
      <c r="E808" t="s">
        <v>475</v>
      </c>
      <c r="F808" t="s">
        <v>218</v>
      </c>
      <c r="G808" t="s">
        <v>50</v>
      </c>
      <c r="H808">
        <v>600004662</v>
      </c>
      <c r="I808">
        <v>12396.69</v>
      </c>
      <c r="J808">
        <v>0</v>
      </c>
      <c r="K808" t="s">
        <v>22</v>
      </c>
      <c r="L808" t="s">
        <v>23</v>
      </c>
      <c r="M808" t="s">
        <v>24</v>
      </c>
      <c r="N808" t="s">
        <v>25</v>
      </c>
      <c r="O808">
        <v>0</v>
      </c>
    </row>
    <row r="809" spans="1:15" x14ac:dyDescent="0.35">
      <c r="A809">
        <v>53023</v>
      </c>
      <c r="B809" t="s">
        <v>464</v>
      </c>
      <c r="C809" s="217">
        <v>46004</v>
      </c>
      <c r="D809">
        <v>470</v>
      </c>
      <c r="E809" t="s">
        <v>466</v>
      </c>
      <c r="F809" t="s">
        <v>49</v>
      </c>
      <c r="G809" t="s">
        <v>50</v>
      </c>
      <c r="H809">
        <v>1000215379</v>
      </c>
      <c r="I809">
        <v>54110.7</v>
      </c>
      <c r="J809">
        <v>0</v>
      </c>
      <c r="K809" t="s">
        <v>22</v>
      </c>
      <c r="L809" t="s">
        <v>23</v>
      </c>
      <c r="M809" t="s">
        <v>24</v>
      </c>
      <c r="N809" t="s">
        <v>25</v>
      </c>
      <c r="O809">
        <v>0</v>
      </c>
    </row>
    <row r="810" spans="1:15" x14ac:dyDescent="0.35">
      <c r="A810">
        <v>53023</v>
      </c>
      <c r="B810" t="s">
        <v>464</v>
      </c>
      <c r="C810" s="217">
        <v>46006</v>
      </c>
      <c r="D810">
        <v>576</v>
      </c>
      <c r="E810" t="s">
        <v>476</v>
      </c>
      <c r="F810" t="s">
        <v>196</v>
      </c>
      <c r="G810" t="s">
        <v>50</v>
      </c>
      <c r="H810">
        <v>500000650</v>
      </c>
      <c r="I810">
        <v>4962</v>
      </c>
      <c r="J810">
        <v>0</v>
      </c>
      <c r="K810" t="s">
        <v>22</v>
      </c>
      <c r="L810" t="s">
        <v>23</v>
      </c>
      <c r="M810" t="s">
        <v>24</v>
      </c>
      <c r="N810" t="s">
        <v>25</v>
      </c>
      <c r="O810">
        <v>0</v>
      </c>
    </row>
    <row r="811" spans="1:15" x14ac:dyDescent="0.35">
      <c r="A811">
        <v>53023</v>
      </c>
      <c r="B811" t="s">
        <v>464</v>
      </c>
      <c r="C811" s="217">
        <v>46014</v>
      </c>
      <c r="D811">
        <v>587</v>
      </c>
      <c r="E811" t="s">
        <v>467</v>
      </c>
      <c r="F811" t="s">
        <v>194</v>
      </c>
      <c r="G811" t="s">
        <v>50</v>
      </c>
      <c r="H811">
        <v>600012980</v>
      </c>
      <c r="I811">
        <v>4132.24</v>
      </c>
      <c r="J811">
        <v>0</v>
      </c>
      <c r="K811" t="s">
        <v>22</v>
      </c>
      <c r="L811" t="s">
        <v>23</v>
      </c>
      <c r="M811" t="s">
        <v>24</v>
      </c>
      <c r="N811" t="s">
        <v>25</v>
      </c>
      <c r="O811">
        <v>0</v>
      </c>
    </row>
    <row r="812" spans="1:15" x14ac:dyDescent="0.35">
      <c r="A812">
        <v>53023</v>
      </c>
      <c r="B812" t="s">
        <v>464</v>
      </c>
      <c r="C812" s="217">
        <v>46024</v>
      </c>
      <c r="D812">
        <v>706</v>
      </c>
      <c r="E812" t="s">
        <v>466</v>
      </c>
      <c r="F812" t="s">
        <v>49</v>
      </c>
      <c r="G812" t="s">
        <v>50</v>
      </c>
      <c r="H812">
        <v>1000216483</v>
      </c>
      <c r="I812">
        <v>362616.65</v>
      </c>
      <c r="J812">
        <v>0</v>
      </c>
      <c r="K812" t="s">
        <v>22</v>
      </c>
      <c r="L812" t="s">
        <v>23</v>
      </c>
      <c r="M812" t="s">
        <v>24</v>
      </c>
      <c r="N812" t="s">
        <v>25</v>
      </c>
      <c r="O812">
        <v>0</v>
      </c>
    </row>
    <row r="813" spans="1:15" x14ac:dyDescent="0.35">
      <c r="A813">
        <v>53023</v>
      </c>
      <c r="B813" t="s">
        <v>464</v>
      </c>
      <c r="C813" s="217">
        <v>46031</v>
      </c>
      <c r="D813">
        <v>806</v>
      </c>
      <c r="E813" t="s">
        <v>466</v>
      </c>
      <c r="F813" t="s">
        <v>49</v>
      </c>
      <c r="G813" t="s">
        <v>50</v>
      </c>
      <c r="H813">
        <v>1000216991</v>
      </c>
      <c r="I813">
        <v>96438.64</v>
      </c>
      <c r="J813">
        <v>0</v>
      </c>
      <c r="K813" t="s">
        <v>22</v>
      </c>
      <c r="L813" t="s">
        <v>23</v>
      </c>
      <c r="M813" t="s">
        <v>24</v>
      </c>
      <c r="N813" t="s">
        <v>25</v>
      </c>
      <c r="O813">
        <v>0</v>
      </c>
    </row>
    <row r="814" spans="1:15" x14ac:dyDescent="0.35">
      <c r="A814">
        <v>53023</v>
      </c>
      <c r="B814" t="s">
        <v>464</v>
      </c>
      <c r="C814" s="217">
        <v>46037</v>
      </c>
      <c r="D814">
        <v>2579</v>
      </c>
      <c r="E814" t="s">
        <v>466</v>
      </c>
      <c r="F814" t="s">
        <v>49</v>
      </c>
      <c r="G814" t="s">
        <v>50</v>
      </c>
      <c r="H814">
        <v>1000217286</v>
      </c>
      <c r="I814">
        <v>244520.29</v>
      </c>
      <c r="J814">
        <v>0</v>
      </c>
      <c r="K814" t="s">
        <v>22</v>
      </c>
      <c r="L814" t="s">
        <v>23</v>
      </c>
      <c r="M814" t="s">
        <v>24</v>
      </c>
      <c r="N814" t="s">
        <v>25</v>
      </c>
      <c r="O814">
        <v>0</v>
      </c>
    </row>
    <row r="815" spans="1:15" x14ac:dyDescent="0.35">
      <c r="A815">
        <v>53023</v>
      </c>
      <c r="B815" t="s">
        <v>464</v>
      </c>
      <c r="C815" s="217">
        <v>46038</v>
      </c>
      <c r="D815">
        <v>917</v>
      </c>
      <c r="E815" t="s">
        <v>476</v>
      </c>
      <c r="F815" t="s">
        <v>196</v>
      </c>
      <c r="G815" t="s">
        <v>50</v>
      </c>
      <c r="H815">
        <v>1000000212</v>
      </c>
      <c r="I815">
        <v>6612</v>
      </c>
      <c r="J815">
        <v>0</v>
      </c>
      <c r="K815" t="s">
        <v>22</v>
      </c>
      <c r="L815" t="s">
        <v>23</v>
      </c>
      <c r="M815" t="s">
        <v>24</v>
      </c>
      <c r="N815" t="s">
        <v>25</v>
      </c>
      <c r="O815">
        <v>0</v>
      </c>
    </row>
    <row r="816" spans="1:15" x14ac:dyDescent="0.35">
      <c r="A816">
        <v>53023</v>
      </c>
      <c r="B816" t="s">
        <v>464</v>
      </c>
      <c r="C816" s="217">
        <v>46039</v>
      </c>
      <c r="D816">
        <v>1147</v>
      </c>
      <c r="E816" t="s">
        <v>466</v>
      </c>
      <c r="F816" t="s">
        <v>49</v>
      </c>
      <c r="G816" t="s">
        <v>50</v>
      </c>
      <c r="H816">
        <v>1000217463</v>
      </c>
      <c r="I816">
        <v>11080.8</v>
      </c>
      <c r="J816">
        <v>0</v>
      </c>
      <c r="K816" t="s">
        <v>22</v>
      </c>
      <c r="L816" t="s">
        <v>23</v>
      </c>
      <c r="M816" t="s">
        <v>24</v>
      </c>
      <c r="N816" t="s">
        <v>25</v>
      </c>
      <c r="O816">
        <v>0</v>
      </c>
    </row>
    <row r="817" spans="1:15" x14ac:dyDescent="0.35">
      <c r="A817">
        <v>53023</v>
      </c>
      <c r="B817" t="s">
        <v>464</v>
      </c>
      <c r="C817" s="217">
        <v>46041</v>
      </c>
      <c r="D817">
        <v>921</v>
      </c>
      <c r="E817" t="s">
        <v>466</v>
      </c>
      <c r="F817" t="s">
        <v>49</v>
      </c>
      <c r="G817" t="s">
        <v>51</v>
      </c>
      <c r="H817">
        <v>1000014282</v>
      </c>
      <c r="I817">
        <v>0</v>
      </c>
      <c r="J817">
        <v>104627.83</v>
      </c>
      <c r="K817" t="s">
        <v>22</v>
      </c>
      <c r="L817" t="s">
        <v>23</v>
      </c>
      <c r="M817" t="s">
        <v>24</v>
      </c>
      <c r="N817" t="s">
        <v>25</v>
      </c>
      <c r="O817">
        <v>0</v>
      </c>
    </row>
    <row r="818" spans="1:15" x14ac:dyDescent="0.35">
      <c r="A818">
        <v>53023</v>
      </c>
      <c r="B818" t="s">
        <v>464</v>
      </c>
      <c r="C818" s="217">
        <v>46041</v>
      </c>
      <c r="D818">
        <v>2494</v>
      </c>
      <c r="E818" t="s">
        <v>467</v>
      </c>
      <c r="F818" t="s">
        <v>194</v>
      </c>
      <c r="G818" t="s">
        <v>50</v>
      </c>
      <c r="H818">
        <v>600013147</v>
      </c>
      <c r="I818">
        <v>29752.080000000002</v>
      </c>
      <c r="J818">
        <v>0</v>
      </c>
      <c r="K818" t="s">
        <v>22</v>
      </c>
      <c r="L818" t="s">
        <v>23</v>
      </c>
      <c r="M818" t="s">
        <v>24</v>
      </c>
      <c r="N818" t="s">
        <v>25</v>
      </c>
      <c r="O818">
        <v>0</v>
      </c>
    </row>
    <row r="819" spans="1:15" x14ac:dyDescent="0.35">
      <c r="A819">
        <v>53023</v>
      </c>
      <c r="B819" t="s">
        <v>464</v>
      </c>
      <c r="C819" s="217">
        <v>46043</v>
      </c>
      <c r="D819">
        <v>1182</v>
      </c>
      <c r="E819" t="s">
        <v>467</v>
      </c>
      <c r="F819" t="s">
        <v>194</v>
      </c>
      <c r="G819" t="s">
        <v>50</v>
      </c>
      <c r="H819">
        <v>600013163</v>
      </c>
      <c r="I819">
        <v>36363.629999999997</v>
      </c>
      <c r="J819">
        <v>0</v>
      </c>
      <c r="K819" t="s">
        <v>22</v>
      </c>
      <c r="L819" t="s">
        <v>23</v>
      </c>
      <c r="M819" t="s">
        <v>24</v>
      </c>
      <c r="N819" t="s">
        <v>25</v>
      </c>
      <c r="O819">
        <v>0</v>
      </c>
    </row>
    <row r="820" spans="1:15" x14ac:dyDescent="0.35">
      <c r="A820">
        <v>53023</v>
      </c>
      <c r="B820" t="s">
        <v>464</v>
      </c>
      <c r="C820" s="217">
        <v>46043</v>
      </c>
      <c r="D820">
        <v>1183</v>
      </c>
      <c r="E820" t="s">
        <v>476</v>
      </c>
      <c r="F820" t="s">
        <v>196</v>
      </c>
      <c r="G820" t="s">
        <v>50</v>
      </c>
      <c r="H820">
        <v>1000000216</v>
      </c>
      <c r="I820">
        <v>17852</v>
      </c>
      <c r="J820">
        <v>0</v>
      </c>
      <c r="K820" t="s">
        <v>22</v>
      </c>
      <c r="L820" t="s">
        <v>23</v>
      </c>
      <c r="M820" t="s">
        <v>24</v>
      </c>
      <c r="N820" t="s">
        <v>25</v>
      </c>
      <c r="O820">
        <v>0</v>
      </c>
    </row>
    <row r="821" spans="1:15" x14ac:dyDescent="0.35">
      <c r="A821">
        <v>53023</v>
      </c>
      <c r="B821" t="s">
        <v>464</v>
      </c>
      <c r="C821" s="217">
        <v>46045</v>
      </c>
      <c r="D821">
        <v>524</v>
      </c>
      <c r="E821" t="s">
        <v>465</v>
      </c>
      <c r="F821" t="s">
        <v>28</v>
      </c>
      <c r="G821" t="s">
        <v>41</v>
      </c>
      <c r="H821">
        <v>8548</v>
      </c>
      <c r="I821">
        <v>4000</v>
      </c>
      <c r="J821">
        <v>0</v>
      </c>
      <c r="K821" t="s">
        <v>22</v>
      </c>
      <c r="L821" t="s">
        <v>23</v>
      </c>
      <c r="M821" t="s">
        <v>24</v>
      </c>
      <c r="N821" t="s">
        <v>25</v>
      </c>
      <c r="O821">
        <v>0</v>
      </c>
    </row>
    <row r="822" spans="1:15" x14ac:dyDescent="0.35">
      <c r="A822">
        <v>53023</v>
      </c>
      <c r="B822" t="s">
        <v>464</v>
      </c>
      <c r="C822" s="217">
        <v>46052</v>
      </c>
      <c r="D822">
        <v>1187</v>
      </c>
      <c r="E822" t="s">
        <v>466</v>
      </c>
      <c r="F822" t="s">
        <v>49</v>
      </c>
      <c r="G822" t="s">
        <v>50</v>
      </c>
      <c r="H822">
        <v>1000218398</v>
      </c>
      <c r="I822">
        <v>95773.119999999995</v>
      </c>
      <c r="J822">
        <v>0</v>
      </c>
      <c r="K822" t="s">
        <v>22</v>
      </c>
      <c r="L822" t="s">
        <v>23</v>
      </c>
      <c r="M822" t="s">
        <v>24</v>
      </c>
      <c r="N822" t="s">
        <v>25</v>
      </c>
      <c r="O822">
        <v>0</v>
      </c>
    </row>
    <row r="823" spans="1:15" x14ac:dyDescent="0.35">
      <c r="A823">
        <v>53023</v>
      </c>
      <c r="B823" t="s">
        <v>464</v>
      </c>
      <c r="C823" s="217">
        <v>46059</v>
      </c>
      <c r="D823">
        <v>1245</v>
      </c>
      <c r="E823" t="s">
        <v>466</v>
      </c>
      <c r="F823" t="s">
        <v>49</v>
      </c>
      <c r="G823" t="s">
        <v>50</v>
      </c>
      <c r="H823">
        <v>1000218852</v>
      </c>
      <c r="I823">
        <v>344186.83</v>
      </c>
      <c r="J823">
        <v>0</v>
      </c>
      <c r="K823" t="s">
        <v>22</v>
      </c>
      <c r="L823" t="s">
        <v>23</v>
      </c>
      <c r="M823" t="s">
        <v>24</v>
      </c>
      <c r="N823" t="s">
        <v>25</v>
      </c>
      <c r="O823">
        <v>0</v>
      </c>
    </row>
    <row r="824" spans="1:15" x14ac:dyDescent="0.35">
      <c r="A824">
        <v>53023</v>
      </c>
      <c r="B824" t="s">
        <v>464</v>
      </c>
      <c r="C824" s="217">
        <v>46077</v>
      </c>
      <c r="D824">
        <v>632</v>
      </c>
      <c r="E824" t="s">
        <v>465</v>
      </c>
      <c r="F824" t="s">
        <v>28</v>
      </c>
      <c r="G824" t="s">
        <v>41</v>
      </c>
      <c r="H824">
        <v>8650</v>
      </c>
      <c r="I824">
        <v>7564.7</v>
      </c>
      <c r="J824">
        <v>0</v>
      </c>
      <c r="K824" t="s">
        <v>22</v>
      </c>
      <c r="L824" t="s">
        <v>23</v>
      </c>
      <c r="M824" t="s">
        <v>24</v>
      </c>
      <c r="N824" t="s">
        <v>25</v>
      </c>
      <c r="O824">
        <v>0</v>
      </c>
    </row>
    <row r="825" spans="1:15" x14ac:dyDescent="0.35">
      <c r="A825">
        <v>53023</v>
      </c>
      <c r="B825" t="s">
        <v>464</v>
      </c>
      <c r="C825" s="217">
        <v>46090</v>
      </c>
      <c r="D825">
        <v>1667</v>
      </c>
      <c r="E825" t="s">
        <v>476</v>
      </c>
      <c r="F825" t="s">
        <v>196</v>
      </c>
      <c r="G825" t="s">
        <v>50</v>
      </c>
      <c r="H825">
        <v>1000000243</v>
      </c>
      <c r="I825">
        <v>13225</v>
      </c>
      <c r="J825">
        <v>0</v>
      </c>
      <c r="K825" t="s">
        <v>22</v>
      </c>
      <c r="L825" t="s">
        <v>23</v>
      </c>
      <c r="M825" t="s">
        <v>24</v>
      </c>
      <c r="N825" t="s">
        <v>25</v>
      </c>
      <c r="O825">
        <v>0</v>
      </c>
    </row>
    <row r="826" spans="1:15" x14ac:dyDescent="0.35">
      <c r="A826">
        <v>53023</v>
      </c>
      <c r="B826" t="s">
        <v>464</v>
      </c>
      <c r="C826" s="217">
        <v>46091</v>
      </c>
      <c r="D826">
        <v>1668</v>
      </c>
      <c r="E826" t="s">
        <v>475</v>
      </c>
      <c r="F826" t="s">
        <v>218</v>
      </c>
      <c r="G826" t="s">
        <v>50</v>
      </c>
      <c r="H826">
        <v>600004860</v>
      </c>
      <c r="I826">
        <v>14710.74</v>
      </c>
      <c r="J826">
        <v>0</v>
      </c>
      <c r="K826" t="s">
        <v>22</v>
      </c>
      <c r="L826" t="s">
        <v>23</v>
      </c>
      <c r="M826" t="s">
        <v>24</v>
      </c>
      <c r="N826" t="s">
        <v>25</v>
      </c>
      <c r="O826">
        <v>0</v>
      </c>
    </row>
    <row r="827" spans="1:15" x14ac:dyDescent="0.35">
      <c r="A827">
        <v>53023</v>
      </c>
      <c r="B827" t="s">
        <v>464</v>
      </c>
      <c r="C827" s="217">
        <v>46092</v>
      </c>
      <c r="D827">
        <v>691</v>
      </c>
      <c r="E827" t="s">
        <v>465</v>
      </c>
      <c r="F827" t="s">
        <v>28</v>
      </c>
      <c r="G827" t="s">
        <v>41</v>
      </c>
      <c r="H827">
        <v>8711</v>
      </c>
      <c r="I827">
        <v>6000</v>
      </c>
      <c r="J827">
        <v>0</v>
      </c>
      <c r="K827" t="s">
        <v>22</v>
      </c>
      <c r="L827" t="s">
        <v>23</v>
      </c>
      <c r="M827" t="s">
        <v>24</v>
      </c>
      <c r="N827" t="s">
        <v>25</v>
      </c>
      <c r="O827">
        <v>0</v>
      </c>
    </row>
    <row r="828" spans="1:15" x14ac:dyDescent="0.35">
      <c r="A828">
        <v>53023</v>
      </c>
      <c r="B828" t="s">
        <v>464</v>
      </c>
      <c r="C828" s="217">
        <v>46095</v>
      </c>
      <c r="D828">
        <v>2079</v>
      </c>
      <c r="E828" t="s">
        <v>475</v>
      </c>
      <c r="F828" t="s">
        <v>218</v>
      </c>
      <c r="G828" t="s">
        <v>50</v>
      </c>
      <c r="H828">
        <v>600004881</v>
      </c>
      <c r="I828">
        <v>13223.14</v>
      </c>
      <c r="J828">
        <v>0</v>
      </c>
      <c r="K828" t="s">
        <v>22</v>
      </c>
      <c r="L828" t="s">
        <v>23</v>
      </c>
      <c r="M828" t="s">
        <v>24</v>
      </c>
      <c r="N828" t="s">
        <v>25</v>
      </c>
      <c r="O828">
        <v>0</v>
      </c>
    </row>
    <row r="829" spans="1:15" x14ac:dyDescent="0.35">
      <c r="A829">
        <v>53023</v>
      </c>
      <c r="B829" t="s">
        <v>464</v>
      </c>
      <c r="C829" s="217">
        <v>46099</v>
      </c>
      <c r="D829">
        <v>2087</v>
      </c>
      <c r="E829" t="s">
        <v>476</v>
      </c>
      <c r="F829" t="s">
        <v>196</v>
      </c>
      <c r="G829" t="s">
        <v>50</v>
      </c>
      <c r="H829">
        <v>1000000252</v>
      </c>
      <c r="I829">
        <v>13888</v>
      </c>
      <c r="J829">
        <v>0</v>
      </c>
      <c r="K829" t="s">
        <v>22</v>
      </c>
      <c r="L829" t="s">
        <v>23</v>
      </c>
      <c r="M829" t="s">
        <v>24</v>
      </c>
      <c r="N829" t="s">
        <v>25</v>
      </c>
      <c r="O829">
        <v>0</v>
      </c>
    </row>
    <row r="830" spans="1:15" x14ac:dyDescent="0.35">
      <c r="A830">
        <v>53023</v>
      </c>
      <c r="B830" t="s">
        <v>464</v>
      </c>
      <c r="C830" s="217">
        <v>46100</v>
      </c>
      <c r="D830">
        <v>1804</v>
      </c>
      <c r="E830" t="s">
        <v>466</v>
      </c>
      <c r="F830" t="s">
        <v>49</v>
      </c>
      <c r="G830" t="s">
        <v>50</v>
      </c>
      <c r="H830">
        <v>1000221411</v>
      </c>
      <c r="I830">
        <v>200611.74</v>
      </c>
      <c r="J830">
        <v>0</v>
      </c>
      <c r="K830" t="s">
        <v>22</v>
      </c>
      <c r="L830" t="s">
        <v>23</v>
      </c>
      <c r="M830" t="s">
        <v>24</v>
      </c>
      <c r="N830" t="s">
        <v>25</v>
      </c>
      <c r="O830">
        <v>0</v>
      </c>
    </row>
    <row r="831" spans="1:15" x14ac:dyDescent="0.35">
      <c r="A831">
        <v>53023</v>
      </c>
      <c r="B831" t="s">
        <v>464</v>
      </c>
      <c r="C831" s="217">
        <v>46104</v>
      </c>
      <c r="D831">
        <v>1942</v>
      </c>
      <c r="E831" t="s">
        <v>466</v>
      </c>
      <c r="F831" t="s">
        <v>49</v>
      </c>
      <c r="G831" t="s">
        <v>50</v>
      </c>
      <c r="H831">
        <v>1000221688</v>
      </c>
      <c r="I831">
        <v>133254.39000000001</v>
      </c>
      <c r="J831">
        <v>0</v>
      </c>
      <c r="K831" t="s">
        <v>22</v>
      </c>
      <c r="L831" t="s">
        <v>23</v>
      </c>
      <c r="M831" t="s">
        <v>24</v>
      </c>
      <c r="N831" t="s">
        <v>25</v>
      </c>
      <c r="O831">
        <v>0</v>
      </c>
    </row>
    <row r="832" spans="1:15" x14ac:dyDescent="0.35">
      <c r="A832">
        <v>53023</v>
      </c>
      <c r="B832" t="s">
        <v>464</v>
      </c>
      <c r="C832" s="217">
        <v>46120</v>
      </c>
      <c r="D832">
        <v>2356</v>
      </c>
      <c r="E832" t="s">
        <v>467</v>
      </c>
      <c r="F832" t="s">
        <v>194</v>
      </c>
      <c r="G832" t="s">
        <v>50</v>
      </c>
      <c r="H832">
        <v>600013634</v>
      </c>
      <c r="I832">
        <v>24537.200000000001</v>
      </c>
      <c r="J832">
        <v>0</v>
      </c>
      <c r="K832" t="s">
        <v>22</v>
      </c>
      <c r="L832" t="s">
        <v>23</v>
      </c>
      <c r="M832" t="s">
        <v>24</v>
      </c>
      <c r="N832" t="s">
        <v>25</v>
      </c>
      <c r="O832">
        <v>0</v>
      </c>
    </row>
    <row r="833" spans="1:15" x14ac:dyDescent="0.35">
      <c r="A833">
        <v>53023</v>
      </c>
      <c r="B833" t="s">
        <v>464</v>
      </c>
      <c r="C833" s="217">
        <v>46125</v>
      </c>
      <c r="D833">
        <v>2361</v>
      </c>
      <c r="E833" t="s">
        <v>475</v>
      </c>
      <c r="F833" t="s">
        <v>218</v>
      </c>
      <c r="G833" t="s">
        <v>50</v>
      </c>
      <c r="H833">
        <v>600004969</v>
      </c>
      <c r="I833">
        <v>8264.4599999999991</v>
      </c>
      <c r="J833">
        <v>0</v>
      </c>
      <c r="K833" t="s">
        <v>22</v>
      </c>
      <c r="L833" t="s">
        <v>23</v>
      </c>
      <c r="M833" t="s">
        <v>24</v>
      </c>
      <c r="N833" t="s">
        <v>25</v>
      </c>
      <c r="O833">
        <v>0</v>
      </c>
    </row>
    <row r="834" spans="1:15" x14ac:dyDescent="0.35">
      <c r="A834">
        <v>53023</v>
      </c>
      <c r="B834" t="s">
        <v>464</v>
      </c>
      <c r="C834" s="217">
        <v>46127</v>
      </c>
      <c r="D834">
        <v>2504</v>
      </c>
      <c r="E834" t="s">
        <v>467</v>
      </c>
      <c r="F834" t="s">
        <v>194</v>
      </c>
      <c r="G834" t="s">
        <v>50</v>
      </c>
      <c r="H834">
        <v>600013695</v>
      </c>
      <c r="I834">
        <v>11735.54</v>
      </c>
      <c r="J834">
        <v>0</v>
      </c>
      <c r="K834" t="s">
        <v>22</v>
      </c>
      <c r="L834" t="s">
        <v>23</v>
      </c>
      <c r="M834" t="s">
        <v>24</v>
      </c>
      <c r="N834" t="s">
        <v>25</v>
      </c>
      <c r="O834">
        <v>0</v>
      </c>
    </row>
    <row r="835" spans="1:15" x14ac:dyDescent="0.35">
      <c r="A835">
        <v>53023</v>
      </c>
      <c r="B835" t="s">
        <v>464</v>
      </c>
      <c r="C835" s="217">
        <v>46128</v>
      </c>
      <c r="D835">
        <v>2506</v>
      </c>
      <c r="E835" t="s">
        <v>476</v>
      </c>
      <c r="F835" t="s">
        <v>196</v>
      </c>
      <c r="G835" t="s">
        <v>50</v>
      </c>
      <c r="H835">
        <v>1000000263</v>
      </c>
      <c r="I835">
        <v>11159</v>
      </c>
      <c r="J835">
        <v>0</v>
      </c>
      <c r="K835" t="s">
        <v>22</v>
      </c>
      <c r="L835" t="s">
        <v>23</v>
      </c>
      <c r="M835" t="s">
        <v>24</v>
      </c>
      <c r="N835" t="s">
        <v>25</v>
      </c>
      <c r="O835">
        <v>0</v>
      </c>
    </row>
    <row r="836" spans="1:15" x14ac:dyDescent="0.35">
      <c r="A836">
        <v>53023</v>
      </c>
      <c r="B836" t="s">
        <v>464</v>
      </c>
      <c r="C836" s="217">
        <v>46130</v>
      </c>
      <c r="D836">
        <v>2516</v>
      </c>
      <c r="E836" t="s">
        <v>475</v>
      </c>
      <c r="F836" t="s">
        <v>218</v>
      </c>
      <c r="G836" t="s">
        <v>50</v>
      </c>
      <c r="H836">
        <v>600004991</v>
      </c>
      <c r="I836">
        <v>14710.74</v>
      </c>
      <c r="J836">
        <v>0</v>
      </c>
      <c r="K836" t="s">
        <v>22</v>
      </c>
      <c r="L836" t="s">
        <v>23</v>
      </c>
      <c r="M836" t="s">
        <v>24</v>
      </c>
      <c r="N836" t="s">
        <v>25</v>
      </c>
      <c r="O836">
        <v>0</v>
      </c>
    </row>
    <row r="837" spans="1:15" x14ac:dyDescent="0.35">
      <c r="A837">
        <v>53023</v>
      </c>
      <c r="B837" t="s">
        <v>464</v>
      </c>
      <c r="C837" s="217">
        <v>46132</v>
      </c>
      <c r="D837">
        <v>2519</v>
      </c>
      <c r="E837" t="s">
        <v>467</v>
      </c>
      <c r="F837" t="s">
        <v>194</v>
      </c>
      <c r="G837" t="s">
        <v>50</v>
      </c>
      <c r="H837">
        <v>600013732</v>
      </c>
      <c r="I837">
        <v>10082.65</v>
      </c>
      <c r="J837">
        <v>0</v>
      </c>
      <c r="K837" t="s">
        <v>22</v>
      </c>
      <c r="L837" t="s">
        <v>23</v>
      </c>
      <c r="M837" t="s">
        <v>24</v>
      </c>
      <c r="N837" t="s">
        <v>25</v>
      </c>
      <c r="O837">
        <v>0</v>
      </c>
    </row>
    <row r="838" spans="1:15" x14ac:dyDescent="0.35">
      <c r="A838">
        <v>53023</v>
      </c>
      <c r="B838" t="s">
        <v>464</v>
      </c>
      <c r="C838" s="217">
        <v>46133</v>
      </c>
      <c r="D838">
        <v>1025</v>
      </c>
      <c r="E838" t="s">
        <v>465</v>
      </c>
      <c r="F838" t="s">
        <v>28</v>
      </c>
      <c r="G838" t="s">
        <v>41</v>
      </c>
      <c r="H838">
        <v>9053</v>
      </c>
      <c r="I838">
        <v>10000</v>
      </c>
      <c r="J838">
        <v>0</v>
      </c>
      <c r="K838" t="s">
        <v>22</v>
      </c>
      <c r="L838" t="s">
        <v>23</v>
      </c>
      <c r="M838" t="s">
        <v>24</v>
      </c>
      <c r="N838" t="s">
        <v>25</v>
      </c>
      <c r="O838">
        <v>0</v>
      </c>
    </row>
    <row r="839" spans="1:15" x14ac:dyDescent="0.35">
      <c r="A839">
        <v>53023</v>
      </c>
      <c r="B839" t="s">
        <v>464</v>
      </c>
      <c r="C839" s="217">
        <v>46134</v>
      </c>
      <c r="D839">
        <v>2535</v>
      </c>
      <c r="E839" t="s">
        <v>466</v>
      </c>
      <c r="F839" t="s">
        <v>49</v>
      </c>
      <c r="G839" t="s">
        <v>50</v>
      </c>
      <c r="H839">
        <v>1000223626</v>
      </c>
      <c r="I839">
        <v>31594.05</v>
      </c>
      <c r="J839">
        <v>0</v>
      </c>
      <c r="K839" t="s">
        <v>22</v>
      </c>
      <c r="L839" t="s">
        <v>23</v>
      </c>
      <c r="M839" t="s">
        <v>24</v>
      </c>
      <c r="N839" t="s">
        <v>25</v>
      </c>
      <c r="O839">
        <v>0</v>
      </c>
    </row>
    <row r="840" spans="1:15" x14ac:dyDescent="0.35">
      <c r="A840">
        <v>53023</v>
      </c>
      <c r="B840" t="s">
        <v>464</v>
      </c>
      <c r="C840" s="217">
        <v>46135</v>
      </c>
      <c r="D840">
        <v>2592</v>
      </c>
      <c r="E840" t="s">
        <v>480</v>
      </c>
      <c r="F840" t="s">
        <v>481</v>
      </c>
      <c r="G840" t="s">
        <v>50</v>
      </c>
      <c r="H840">
        <v>400006882</v>
      </c>
      <c r="I840">
        <v>74380.17</v>
      </c>
      <c r="J840">
        <v>0</v>
      </c>
      <c r="K840" t="s">
        <v>22</v>
      </c>
      <c r="L840" t="s">
        <v>23</v>
      </c>
      <c r="M840" t="s">
        <v>24</v>
      </c>
      <c r="N840" t="s">
        <v>25</v>
      </c>
      <c r="O840">
        <v>0</v>
      </c>
    </row>
    <row r="841" spans="1:15" x14ac:dyDescent="0.35">
      <c r="A841">
        <v>53026</v>
      </c>
      <c r="B841" t="s">
        <v>482</v>
      </c>
      <c r="C841" s="217">
        <v>45706</v>
      </c>
      <c r="D841">
        <v>1305</v>
      </c>
      <c r="E841" t="s">
        <v>483</v>
      </c>
      <c r="F841" t="s">
        <v>49</v>
      </c>
      <c r="G841" t="s">
        <v>50</v>
      </c>
      <c r="H841">
        <v>1000192524</v>
      </c>
      <c r="I841">
        <v>2835</v>
      </c>
      <c r="J841">
        <v>0</v>
      </c>
      <c r="K841" t="s">
        <v>22</v>
      </c>
      <c r="L841" t="s">
        <v>23</v>
      </c>
      <c r="M841" t="s">
        <v>24</v>
      </c>
      <c r="N841" t="s">
        <v>25</v>
      </c>
      <c r="O841">
        <v>0</v>
      </c>
    </row>
    <row r="842" spans="1:15" x14ac:dyDescent="0.35">
      <c r="A842">
        <v>53026</v>
      </c>
      <c r="B842" t="s">
        <v>482</v>
      </c>
      <c r="C842" s="217">
        <v>45721</v>
      </c>
      <c r="D842">
        <v>1440</v>
      </c>
      <c r="E842" t="s">
        <v>484</v>
      </c>
      <c r="F842" t="s">
        <v>485</v>
      </c>
      <c r="G842" t="s">
        <v>50</v>
      </c>
      <c r="H842">
        <v>300001240</v>
      </c>
      <c r="I842">
        <v>149000</v>
      </c>
      <c r="J842">
        <v>0</v>
      </c>
      <c r="K842" t="s">
        <v>22</v>
      </c>
      <c r="L842" t="s">
        <v>23</v>
      </c>
      <c r="M842" t="s">
        <v>24</v>
      </c>
      <c r="N842" t="s">
        <v>25</v>
      </c>
      <c r="O842">
        <v>0</v>
      </c>
    </row>
    <row r="843" spans="1:15" x14ac:dyDescent="0.35">
      <c r="A843">
        <v>53026</v>
      </c>
      <c r="B843" t="s">
        <v>482</v>
      </c>
      <c r="C843" s="217">
        <v>45727</v>
      </c>
      <c r="D843">
        <v>1582</v>
      </c>
      <c r="E843" t="s">
        <v>483</v>
      </c>
      <c r="F843" t="s">
        <v>49</v>
      </c>
      <c r="G843" t="s">
        <v>50</v>
      </c>
      <c r="H843">
        <v>1000193810</v>
      </c>
      <c r="I843">
        <v>188910.95</v>
      </c>
      <c r="J843">
        <v>0</v>
      </c>
      <c r="K843" t="s">
        <v>22</v>
      </c>
      <c r="L843" t="s">
        <v>23</v>
      </c>
      <c r="M843" t="s">
        <v>24</v>
      </c>
      <c r="N843" t="s">
        <v>25</v>
      </c>
      <c r="O843">
        <v>0</v>
      </c>
    </row>
    <row r="844" spans="1:15" x14ac:dyDescent="0.35">
      <c r="A844">
        <v>53026</v>
      </c>
      <c r="B844" t="s">
        <v>482</v>
      </c>
      <c r="C844" s="217">
        <v>45741</v>
      </c>
      <c r="D844">
        <v>1837</v>
      </c>
      <c r="E844" t="s">
        <v>483</v>
      </c>
      <c r="F844" t="s">
        <v>49</v>
      </c>
      <c r="G844" t="s">
        <v>50</v>
      </c>
      <c r="H844">
        <v>1000194670</v>
      </c>
      <c r="I844">
        <v>93085.53</v>
      </c>
      <c r="J844">
        <v>0</v>
      </c>
      <c r="K844" t="s">
        <v>22</v>
      </c>
      <c r="L844" t="s">
        <v>23</v>
      </c>
      <c r="M844" t="s">
        <v>24</v>
      </c>
      <c r="N844" t="s">
        <v>25</v>
      </c>
      <c r="O844">
        <v>0</v>
      </c>
    </row>
    <row r="845" spans="1:15" x14ac:dyDescent="0.35">
      <c r="A845">
        <v>53026</v>
      </c>
      <c r="B845" t="s">
        <v>482</v>
      </c>
      <c r="C845" s="217">
        <v>45743</v>
      </c>
      <c r="D845">
        <v>1916</v>
      </c>
      <c r="E845" t="s">
        <v>483</v>
      </c>
      <c r="F845" t="s">
        <v>49</v>
      </c>
      <c r="G845" t="s">
        <v>51</v>
      </c>
      <c r="H845">
        <v>1000012712</v>
      </c>
      <c r="I845">
        <v>0</v>
      </c>
      <c r="J845">
        <v>93085.53</v>
      </c>
      <c r="K845" t="s">
        <v>22</v>
      </c>
      <c r="L845" t="s">
        <v>23</v>
      </c>
      <c r="M845" t="s">
        <v>24</v>
      </c>
      <c r="N845" t="s">
        <v>25</v>
      </c>
      <c r="O845">
        <v>0</v>
      </c>
    </row>
    <row r="846" spans="1:15" x14ac:dyDescent="0.35">
      <c r="A846">
        <v>53026</v>
      </c>
      <c r="B846" t="s">
        <v>482</v>
      </c>
      <c r="C846" s="217">
        <v>45743</v>
      </c>
      <c r="D846">
        <v>1918</v>
      </c>
      <c r="E846" t="s">
        <v>483</v>
      </c>
      <c r="F846" t="s">
        <v>49</v>
      </c>
      <c r="G846" t="s">
        <v>50</v>
      </c>
      <c r="H846">
        <v>1000194801</v>
      </c>
      <c r="I846">
        <v>86216.2</v>
      </c>
      <c r="J846">
        <v>0</v>
      </c>
      <c r="K846" t="s">
        <v>22</v>
      </c>
      <c r="L846" t="s">
        <v>23</v>
      </c>
      <c r="M846" t="s">
        <v>24</v>
      </c>
      <c r="N846" t="s">
        <v>25</v>
      </c>
      <c r="O846">
        <v>0</v>
      </c>
    </row>
    <row r="847" spans="1:15" x14ac:dyDescent="0.35">
      <c r="A847">
        <v>53026</v>
      </c>
      <c r="B847" t="s">
        <v>482</v>
      </c>
      <c r="C847" s="217">
        <v>45799</v>
      </c>
      <c r="D847">
        <v>3119</v>
      </c>
      <c r="E847" t="s">
        <v>52</v>
      </c>
      <c r="F847" t="s">
        <v>49</v>
      </c>
      <c r="G847" t="s">
        <v>50</v>
      </c>
      <c r="H847">
        <v>1000198956</v>
      </c>
      <c r="I847">
        <v>28077.66</v>
      </c>
      <c r="J847">
        <v>0</v>
      </c>
      <c r="K847" t="s">
        <v>22</v>
      </c>
      <c r="L847" t="s">
        <v>23</v>
      </c>
      <c r="M847" t="s">
        <v>24</v>
      </c>
      <c r="N847" t="s">
        <v>25</v>
      </c>
      <c r="O847">
        <v>0</v>
      </c>
    </row>
    <row r="848" spans="1:15" x14ac:dyDescent="0.35">
      <c r="A848">
        <v>53026</v>
      </c>
      <c r="B848" t="s">
        <v>482</v>
      </c>
      <c r="C848" s="217">
        <v>45870</v>
      </c>
      <c r="D848">
        <v>1841</v>
      </c>
      <c r="E848" t="s">
        <v>486</v>
      </c>
      <c r="F848" t="s">
        <v>28</v>
      </c>
      <c r="G848" t="s">
        <v>41</v>
      </c>
      <c r="H848">
        <v>7236</v>
      </c>
      <c r="I848">
        <v>208000</v>
      </c>
      <c r="J848">
        <v>0</v>
      </c>
      <c r="K848" t="s">
        <v>22</v>
      </c>
      <c r="L848" t="s">
        <v>23</v>
      </c>
      <c r="M848" t="s">
        <v>24</v>
      </c>
      <c r="N848" t="s">
        <v>25</v>
      </c>
      <c r="O848">
        <v>0</v>
      </c>
    </row>
    <row r="849" spans="1:15" x14ac:dyDescent="0.35">
      <c r="A849">
        <v>53026</v>
      </c>
      <c r="B849" t="s">
        <v>482</v>
      </c>
      <c r="C849" s="217">
        <v>45878</v>
      </c>
      <c r="D849">
        <v>4105</v>
      </c>
      <c r="E849" t="s">
        <v>483</v>
      </c>
      <c r="F849" t="s">
        <v>49</v>
      </c>
      <c r="G849" t="s">
        <v>50</v>
      </c>
      <c r="H849">
        <v>1000205454</v>
      </c>
      <c r="I849">
        <v>2677.5</v>
      </c>
      <c r="J849">
        <v>0</v>
      </c>
      <c r="K849" t="s">
        <v>22</v>
      </c>
      <c r="L849" t="s">
        <v>23</v>
      </c>
      <c r="M849" t="s">
        <v>24</v>
      </c>
      <c r="N849" t="s">
        <v>25</v>
      </c>
      <c r="O849">
        <v>0</v>
      </c>
    </row>
    <row r="850" spans="1:15" x14ac:dyDescent="0.35">
      <c r="A850">
        <v>53026</v>
      </c>
      <c r="B850" t="s">
        <v>482</v>
      </c>
      <c r="C850" s="217">
        <v>45911</v>
      </c>
      <c r="D850">
        <v>2161</v>
      </c>
      <c r="E850" t="s">
        <v>103</v>
      </c>
      <c r="F850" t="s">
        <v>28</v>
      </c>
      <c r="G850" t="s">
        <v>41</v>
      </c>
      <c r="H850">
        <v>7540</v>
      </c>
      <c r="I850">
        <v>157950</v>
      </c>
      <c r="J850">
        <v>0</v>
      </c>
      <c r="K850" t="s">
        <v>22</v>
      </c>
      <c r="L850" t="s">
        <v>23</v>
      </c>
      <c r="M850" t="s">
        <v>24</v>
      </c>
      <c r="N850" t="s">
        <v>25</v>
      </c>
      <c r="O850">
        <v>0</v>
      </c>
    </row>
    <row r="851" spans="1:15" x14ac:dyDescent="0.35">
      <c r="A851">
        <v>53999</v>
      </c>
      <c r="B851" t="s">
        <v>487</v>
      </c>
      <c r="C851" s="217">
        <v>45951</v>
      </c>
      <c r="D851">
        <v>5463</v>
      </c>
      <c r="E851" t="s">
        <v>488</v>
      </c>
      <c r="F851" t="s">
        <v>28</v>
      </c>
      <c r="G851" t="s">
        <v>59</v>
      </c>
      <c r="H851">
        <v>4170</v>
      </c>
      <c r="I851">
        <v>74540</v>
      </c>
      <c r="J851">
        <v>0</v>
      </c>
      <c r="K851" t="s">
        <v>22</v>
      </c>
      <c r="L851" t="s">
        <v>23</v>
      </c>
      <c r="M851" t="s">
        <v>24</v>
      </c>
      <c r="N851" t="s">
        <v>25</v>
      </c>
      <c r="O851">
        <v>0</v>
      </c>
    </row>
  </sheetData>
  <autoFilter ref="A1:R85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95959"/>
  </sheetPr>
  <dimension ref="A1:S1879"/>
  <sheetViews>
    <sheetView zoomScaleNormal="100" workbookViewId="0"/>
  </sheetViews>
  <sheetFormatPr defaultColWidth="8.6328125" defaultRowHeight="12" zeroHeight="1" x14ac:dyDescent="0.3"/>
  <cols>
    <col min="1" max="1" width="10.36328125" style="181" bestFit="1" customWidth="1"/>
    <col min="2" max="2" width="8.26953125" style="181" bestFit="1" customWidth="1"/>
    <col min="3" max="3" width="10.7265625" style="181" bestFit="1" customWidth="1"/>
    <col min="4" max="4" width="13.90625" style="181" bestFit="1" customWidth="1"/>
    <col min="5" max="5" width="32.26953125" style="181" customWidth="1"/>
    <col min="6" max="6" width="12.26953125" style="181" bestFit="1" customWidth="1"/>
    <col min="7" max="7" width="8.7265625" style="181" bestFit="1" customWidth="1"/>
    <col min="8" max="8" width="10.1796875" style="181" bestFit="1" customWidth="1"/>
    <col min="9" max="9" width="9.81640625" style="181" bestFit="1" customWidth="1"/>
    <col min="10" max="10" width="9.54296875" style="181" bestFit="1" customWidth="1"/>
    <col min="11" max="11" width="10.90625" style="181" bestFit="1" customWidth="1"/>
    <col min="12" max="12" width="9.54296875" style="181" bestFit="1" customWidth="1"/>
    <col min="13" max="13" width="13.453125" style="181" bestFit="1" customWidth="1"/>
    <col min="14" max="14" width="12.81640625" style="181" bestFit="1" customWidth="1"/>
    <col min="15" max="15" width="14.54296875" style="191" bestFit="1" customWidth="1"/>
    <col min="16" max="16" width="11" style="191" bestFit="1" customWidth="1"/>
    <col min="17" max="17" width="14.54296875" style="191" bestFit="1" customWidth="1"/>
    <col min="18" max="18" width="11.81640625" style="192" bestFit="1" customWidth="1"/>
    <col min="19" max="19" width="11" style="192" bestFit="1" customWidth="1"/>
    <col min="20" max="25" width="8.6328125" style="181" customWidth="1"/>
    <col min="26" max="16384" width="8.6328125" style="181"/>
  </cols>
  <sheetData>
    <row r="1" spans="1:19" ht="30" customHeight="1" x14ac:dyDescent="0.3">
      <c r="A1" s="178" t="s">
        <v>887</v>
      </c>
      <c r="B1" s="178" t="s">
        <v>888</v>
      </c>
      <c r="C1" s="178" t="s">
        <v>889</v>
      </c>
      <c r="D1" s="178" t="s">
        <v>890</v>
      </c>
      <c r="E1" s="178" t="s">
        <v>557</v>
      </c>
      <c r="F1" s="178" t="s">
        <v>891</v>
      </c>
      <c r="G1" s="178" t="s">
        <v>559</v>
      </c>
      <c r="H1" s="178" t="s">
        <v>892</v>
      </c>
      <c r="I1" s="178" t="s">
        <v>893</v>
      </c>
      <c r="J1" s="178" t="s">
        <v>894</v>
      </c>
      <c r="K1" s="178" t="s">
        <v>895</v>
      </c>
      <c r="L1" s="178" t="s">
        <v>896</v>
      </c>
      <c r="M1" s="178" t="s">
        <v>897</v>
      </c>
      <c r="N1" s="178" t="s">
        <v>898</v>
      </c>
      <c r="O1" s="179" t="s">
        <v>899</v>
      </c>
      <c r="P1" s="179" t="s">
        <v>900</v>
      </c>
      <c r="Q1" s="179" t="s">
        <v>901</v>
      </c>
      <c r="R1" s="180" t="s">
        <v>902</v>
      </c>
      <c r="S1" s="180" t="s">
        <v>562</v>
      </c>
    </row>
    <row r="2" spans="1:19" ht="15" customHeight="1" x14ac:dyDescent="0.3">
      <c r="A2" s="182" t="s">
        <v>903</v>
      </c>
      <c r="B2" s="182" t="s">
        <v>563</v>
      </c>
      <c r="C2" s="182"/>
      <c r="D2" s="182" t="s">
        <v>904</v>
      </c>
      <c r="E2" s="183" t="s">
        <v>905</v>
      </c>
      <c r="F2" s="183"/>
      <c r="G2" s="184">
        <v>1</v>
      </c>
      <c r="H2" s="185">
        <v>0</v>
      </c>
      <c r="I2" s="186">
        <v>804.50568716119994</v>
      </c>
      <c r="J2" s="187">
        <v>804.50568716119994</v>
      </c>
      <c r="K2" s="182" t="s">
        <v>906</v>
      </c>
      <c r="L2" s="182">
        <v>1</v>
      </c>
      <c r="M2" s="182" t="s">
        <v>907</v>
      </c>
      <c r="N2" s="186">
        <v>60</v>
      </c>
      <c r="O2" s="188">
        <v>1</v>
      </c>
      <c r="P2" s="188" t="s">
        <v>573</v>
      </c>
      <c r="Q2" s="188">
        <v>0</v>
      </c>
      <c r="R2" s="189" t="s">
        <v>573</v>
      </c>
      <c r="S2" s="189" t="s">
        <v>573</v>
      </c>
    </row>
    <row r="3" spans="1:19" ht="15" customHeight="1" x14ac:dyDescent="0.3">
      <c r="A3" s="182" t="s">
        <v>903</v>
      </c>
      <c r="B3" s="182" t="s">
        <v>908</v>
      </c>
      <c r="C3" s="182" t="s">
        <v>909</v>
      </c>
      <c r="D3" s="182" t="s">
        <v>910</v>
      </c>
      <c r="E3" s="183" t="s">
        <v>911</v>
      </c>
      <c r="F3" s="183" t="s">
        <v>912</v>
      </c>
      <c r="G3" s="184">
        <v>5.0000000000000001E-3</v>
      </c>
      <c r="H3" s="185">
        <v>0.05</v>
      </c>
      <c r="I3" s="186">
        <v>26907.33</v>
      </c>
      <c r="J3" s="187">
        <v>141.26348250000001</v>
      </c>
      <c r="K3" s="182" t="s">
        <v>913</v>
      </c>
      <c r="L3" s="182">
        <v>1</v>
      </c>
      <c r="M3" s="182" t="s">
        <v>914</v>
      </c>
      <c r="N3" s="186">
        <v>60</v>
      </c>
      <c r="O3" s="188">
        <v>5.0000000000000001E-3</v>
      </c>
      <c r="P3" s="188" t="s">
        <v>573</v>
      </c>
      <c r="Q3" s="188">
        <v>0</v>
      </c>
      <c r="R3" s="189" t="s">
        <v>573</v>
      </c>
      <c r="S3" s="189" t="s">
        <v>573</v>
      </c>
    </row>
    <row r="4" spans="1:19" ht="15" customHeight="1" x14ac:dyDescent="0.3">
      <c r="A4" s="182" t="s">
        <v>903</v>
      </c>
      <c r="B4" s="182" t="s">
        <v>908</v>
      </c>
      <c r="C4" s="182" t="s">
        <v>909</v>
      </c>
      <c r="D4" s="182" t="s">
        <v>915</v>
      </c>
      <c r="E4" s="183" t="s">
        <v>916</v>
      </c>
      <c r="F4" s="183" t="s">
        <v>600</v>
      </c>
      <c r="G4" s="184">
        <v>0.01</v>
      </c>
      <c r="H4" s="185">
        <v>0.05</v>
      </c>
      <c r="I4" s="186">
        <v>735.06</v>
      </c>
      <c r="J4" s="187">
        <v>7.7181300000000004</v>
      </c>
      <c r="K4" s="182" t="s">
        <v>913</v>
      </c>
      <c r="L4" s="182">
        <v>2</v>
      </c>
      <c r="M4" s="182" t="s">
        <v>917</v>
      </c>
      <c r="N4" s="186">
        <v>60</v>
      </c>
      <c r="O4" s="188">
        <v>0.01</v>
      </c>
      <c r="P4" s="188" t="s">
        <v>573</v>
      </c>
      <c r="Q4" s="188">
        <v>0</v>
      </c>
      <c r="R4" s="189" t="s">
        <v>573</v>
      </c>
      <c r="S4" s="189" t="s">
        <v>573</v>
      </c>
    </row>
    <row r="5" spans="1:19" ht="15" customHeight="1" x14ac:dyDescent="0.3">
      <c r="A5" s="182" t="s">
        <v>903</v>
      </c>
      <c r="B5" s="182" t="s">
        <v>908</v>
      </c>
      <c r="C5" s="182" t="s">
        <v>909</v>
      </c>
      <c r="D5" s="182" t="s">
        <v>918</v>
      </c>
      <c r="E5" s="183" t="s">
        <v>919</v>
      </c>
      <c r="F5" s="183" t="s">
        <v>600</v>
      </c>
      <c r="G5" s="184">
        <v>5.0000000000000001E-3</v>
      </c>
      <c r="H5" s="185">
        <v>0.05</v>
      </c>
      <c r="I5" s="186">
        <v>6678.36</v>
      </c>
      <c r="J5" s="187">
        <v>35.061390000000003</v>
      </c>
      <c r="K5" s="182" t="s">
        <v>913</v>
      </c>
      <c r="L5" s="182">
        <v>3</v>
      </c>
      <c r="M5" s="182" t="s">
        <v>920</v>
      </c>
      <c r="N5" s="186">
        <v>60</v>
      </c>
      <c r="O5" s="188">
        <v>5.0000000000000001E-3</v>
      </c>
      <c r="P5" s="188" t="s">
        <v>573</v>
      </c>
      <c r="Q5" s="188">
        <v>0</v>
      </c>
      <c r="R5" s="189" t="s">
        <v>573</v>
      </c>
      <c r="S5" s="189" t="s">
        <v>573</v>
      </c>
    </row>
    <row r="6" spans="1:19" ht="15" customHeight="1" x14ac:dyDescent="0.3">
      <c r="A6" s="182" t="s">
        <v>903</v>
      </c>
      <c r="B6" s="182" t="s">
        <v>908</v>
      </c>
      <c r="C6" s="182" t="s">
        <v>909</v>
      </c>
      <c r="D6" s="182" t="s">
        <v>921</v>
      </c>
      <c r="E6" s="183" t="s">
        <v>922</v>
      </c>
      <c r="F6" s="183" t="s">
        <v>600</v>
      </c>
      <c r="G6" s="184">
        <v>0.01</v>
      </c>
      <c r="H6" s="185">
        <v>0.05</v>
      </c>
      <c r="I6" s="186">
        <v>5282.24</v>
      </c>
      <c r="J6" s="187">
        <v>55.463520000000003</v>
      </c>
      <c r="K6" s="182" t="s">
        <v>913</v>
      </c>
      <c r="L6" s="182">
        <v>4</v>
      </c>
      <c r="M6" s="182" t="s">
        <v>923</v>
      </c>
      <c r="N6" s="186">
        <v>60</v>
      </c>
      <c r="O6" s="188">
        <v>0.01</v>
      </c>
      <c r="P6" s="188" t="s">
        <v>573</v>
      </c>
      <c r="Q6" s="188">
        <v>0</v>
      </c>
      <c r="R6" s="189" t="s">
        <v>573</v>
      </c>
      <c r="S6" s="189" t="s">
        <v>573</v>
      </c>
    </row>
    <row r="7" spans="1:19" ht="15" customHeight="1" x14ac:dyDescent="0.3">
      <c r="A7" s="182" t="s">
        <v>903</v>
      </c>
      <c r="B7" s="182" t="s">
        <v>908</v>
      </c>
      <c r="C7" s="182" t="s">
        <v>909</v>
      </c>
      <c r="D7" s="182" t="s">
        <v>924</v>
      </c>
      <c r="E7" s="183" t="s">
        <v>925</v>
      </c>
      <c r="F7" s="183" t="s">
        <v>926</v>
      </c>
      <c r="G7" s="184">
        <v>0.03</v>
      </c>
      <c r="H7" s="185">
        <v>0.05</v>
      </c>
      <c r="I7" s="186">
        <v>4842</v>
      </c>
      <c r="J7" s="187">
        <v>152.523</v>
      </c>
      <c r="K7" s="182" t="s">
        <v>913</v>
      </c>
      <c r="L7" s="182">
        <v>5</v>
      </c>
      <c r="M7" s="182" t="s">
        <v>927</v>
      </c>
      <c r="N7" s="186">
        <v>60</v>
      </c>
      <c r="O7" s="188">
        <v>0.03</v>
      </c>
      <c r="P7" s="188" t="s">
        <v>573</v>
      </c>
      <c r="Q7" s="188">
        <v>0</v>
      </c>
      <c r="R7" s="189" t="s">
        <v>573</v>
      </c>
      <c r="S7" s="189" t="s">
        <v>573</v>
      </c>
    </row>
    <row r="8" spans="1:19" ht="15" customHeight="1" x14ac:dyDescent="0.3">
      <c r="A8" s="182" t="s">
        <v>903</v>
      </c>
      <c r="B8" s="182" t="s">
        <v>908</v>
      </c>
      <c r="C8" s="182" t="s">
        <v>909</v>
      </c>
      <c r="D8" s="182" t="s">
        <v>928</v>
      </c>
      <c r="E8" s="183" t="s">
        <v>929</v>
      </c>
      <c r="F8" s="183" t="s">
        <v>600</v>
      </c>
      <c r="G8" s="184">
        <v>0.01</v>
      </c>
      <c r="H8" s="185">
        <v>0.05</v>
      </c>
      <c r="I8" s="186">
        <v>12396.694214876001</v>
      </c>
      <c r="J8" s="187">
        <v>130.16528925619801</v>
      </c>
      <c r="K8" s="182" t="s">
        <v>913</v>
      </c>
      <c r="L8" s="182">
        <v>6</v>
      </c>
      <c r="M8" s="182" t="s">
        <v>930</v>
      </c>
      <c r="N8" s="186">
        <v>60</v>
      </c>
      <c r="O8" s="188">
        <v>0.01</v>
      </c>
      <c r="P8" s="188" t="s">
        <v>573</v>
      </c>
      <c r="Q8" s="188">
        <v>0</v>
      </c>
      <c r="R8" s="189" t="s">
        <v>573</v>
      </c>
      <c r="S8" s="189" t="s">
        <v>573</v>
      </c>
    </row>
    <row r="9" spans="1:19" ht="15" customHeight="1" x14ac:dyDescent="0.3">
      <c r="A9" s="182" t="s">
        <v>903</v>
      </c>
      <c r="B9" s="182" t="s">
        <v>908</v>
      </c>
      <c r="C9" s="182" t="s">
        <v>909</v>
      </c>
      <c r="D9" s="182" t="s">
        <v>931</v>
      </c>
      <c r="E9" s="183" t="s">
        <v>932</v>
      </c>
      <c r="F9" s="183" t="s">
        <v>912</v>
      </c>
      <c r="G9" s="184">
        <v>1.4999999999999999E-2</v>
      </c>
      <c r="H9" s="185">
        <v>0.1</v>
      </c>
      <c r="I9" s="186">
        <v>32845.78</v>
      </c>
      <c r="J9" s="187">
        <v>541.95537000000002</v>
      </c>
      <c r="K9" s="182" t="s">
        <v>913</v>
      </c>
      <c r="L9" s="182">
        <v>7</v>
      </c>
      <c r="M9" s="182" t="s">
        <v>933</v>
      </c>
      <c r="N9" s="186">
        <v>60</v>
      </c>
      <c r="O9" s="188">
        <v>1.4999999999999999E-2</v>
      </c>
      <c r="P9" s="188" t="s">
        <v>573</v>
      </c>
      <c r="Q9" s="188">
        <v>0</v>
      </c>
      <c r="R9" s="189" t="s">
        <v>573</v>
      </c>
      <c r="S9" s="189" t="s">
        <v>573</v>
      </c>
    </row>
    <row r="10" spans="1:19" ht="15" customHeight="1" x14ac:dyDescent="0.3">
      <c r="A10" s="182" t="s">
        <v>903</v>
      </c>
      <c r="B10" s="182" t="s">
        <v>908</v>
      </c>
      <c r="C10" s="182" t="s">
        <v>909</v>
      </c>
      <c r="D10" s="182" t="s">
        <v>934</v>
      </c>
      <c r="E10" s="183" t="s">
        <v>935</v>
      </c>
      <c r="F10" s="183" t="s">
        <v>600</v>
      </c>
      <c r="G10" s="184">
        <v>0.05</v>
      </c>
      <c r="H10" s="185">
        <v>0.1</v>
      </c>
      <c r="I10" s="186">
        <v>70192.210000000006</v>
      </c>
      <c r="J10" s="187">
        <v>3860.5715500000001</v>
      </c>
      <c r="K10" s="182" t="s">
        <v>913</v>
      </c>
      <c r="L10" s="182">
        <v>8</v>
      </c>
      <c r="M10" s="182" t="s">
        <v>936</v>
      </c>
      <c r="N10" s="186">
        <v>60</v>
      </c>
      <c r="O10" s="188">
        <v>0.05</v>
      </c>
      <c r="P10" s="188" t="s">
        <v>573</v>
      </c>
      <c r="Q10" s="188">
        <v>0</v>
      </c>
      <c r="R10" s="189" t="s">
        <v>573</v>
      </c>
      <c r="S10" s="189" t="s">
        <v>573</v>
      </c>
    </row>
    <row r="11" spans="1:19" ht="15" customHeight="1" x14ac:dyDescent="0.3">
      <c r="A11" s="182" t="s">
        <v>903</v>
      </c>
      <c r="B11" s="182" t="s">
        <v>937</v>
      </c>
      <c r="C11" s="182" t="s">
        <v>938</v>
      </c>
      <c r="D11" s="190" t="s">
        <v>939</v>
      </c>
      <c r="E11" s="183" t="s">
        <v>940</v>
      </c>
      <c r="F11" s="183" t="s">
        <v>941</v>
      </c>
      <c r="G11" s="184">
        <v>1</v>
      </c>
      <c r="H11" s="185">
        <v>0</v>
      </c>
      <c r="I11" s="186">
        <v>60860.580776572002</v>
      </c>
      <c r="J11" s="187">
        <v>60860.580776572002</v>
      </c>
      <c r="K11" s="182" t="s">
        <v>942</v>
      </c>
      <c r="L11" s="182">
        <v>1</v>
      </c>
      <c r="M11" s="182" t="s">
        <v>943</v>
      </c>
      <c r="N11" s="186">
        <v>60</v>
      </c>
      <c r="O11" s="188">
        <v>1.6666666666666701E-2</v>
      </c>
      <c r="P11" s="188" t="s">
        <v>573</v>
      </c>
      <c r="Q11" s="188">
        <v>0</v>
      </c>
      <c r="R11" s="189" t="s">
        <v>573</v>
      </c>
      <c r="S11" s="189" t="s">
        <v>573</v>
      </c>
    </row>
    <row r="12" spans="1:19" ht="15" customHeight="1" x14ac:dyDescent="0.3">
      <c r="A12" s="182" t="s">
        <v>903</v>
      </c>
      <c r="B12" s="182" t="s">
        <v>937</v>
      </c>
      <c r="C12" s="182" t="s">
        <v>938</v>
      </c>
      <c r="D12" s="190" t="s">
        <v>944</v>
      </c>
      <c r="E12" s="183" t="s">
        <v>945</v>
      </c>
      <c r="F12" s="183" t="s">
        <v>941</v>
      </c>
      <c r="G12" s="184">
        <v>1</v>
      </c>
      <c r="H12" s="185">
        <v>0</v>
      </c>
      <c r="I12" s="186">
        <v>85927.097156571996</v>
      </c>
      <c r="J12" s="187">
        <v>85927.097156571996</v>
      </c>
      <c r="K12" s="182" t="s">
        <v>942</v>
      </c>
      <c r="L12" s="182">
        <v>2</v>
      </c>
      <c r="M12" s="182" t="s">
        <v>946</v>
      </c>
      <c r="N12" s="186">
        <v>60</v>
      </c>
      <c r="O12" s="188">
        <v>1.6666666666666701E-2</v>
      </c>
      <c r="P12" s="188" t="s">
        <v>573</v>
      </c>
      <c r="Q12" s="188">
        <v>0</v>
      </c>
      <c r="R12" s="189" t="s">
        <v>573</v>
      </c>
      <c r="S12" s="189" t="s">
        <v>573</v>
      </c>
    </row>
    <row r="13" spans="1:19" ht="15" customHeight="1" x14ac:dyDescent="0.3">
      <c r="A13" s="182" t="s">
        <v>947</v>
      </c>
      <c r="B13" s="182" t="s">
        <v>563</v>
      </c>
      <c r="C13" s="182"/>
      <c r="D13" s="182" t="s">
        <v>948</v>
      </c>
      <c r="E13" s="183" t="s">
        <v>949</v>
      </c>
      <c r="F13" s="183"/>
      <c r="G13" s="184">
        <v>0.5</v>
      </c>
      <c r="H13" s="185">
        <v>0</v>
      </c>
      <c r="I13" s="186">
        <v>571.17949098076099</v>
      </c>
      <c r="J13" s="187">
        <v>285.58974549038101</v>
      </c>
      <c r="K13" s="182" t="s">
        <v>950</v>
      </c>
      <c r="L13" s="182">
        <v>1</v>
      </c>
      <c r="M13" s="182" t="s">
        <v>951</v>
      </c>
      <c r="N13" s="186">
        <v>7</v>
      </c>
      <c r="O13" s="188">
        <v>0.5</v>
      </c>
      <c r="P13" s="188" t="s">
        <v>573</v>
      </c>
      <c r="Q13" s="188">
        <v>0</v>
      </c>
      <c r="R13" s="189" t="s">
        <v>573</v>
      </c>
      <c r="S13" s="189" t="s">
        <v>573</v>
      </c>
    </row>
    <row r="14" spans="1:19" ht="15" customHeight="1" x14ac:dyDescent="0.3">
      <c r="A14" s="182" t="s">
        <v>947</v>
      </c>
      <c r="B14" s="182" t="s">
        <v>563</v>
      </c>
      <c r="C14" s="182"/>
      <c r="D14" s="182" t="s">
        <v>952</v>
      </c>
      <c r="E14" s="183" t="s">
        <v>953</v>
      </c>
      <c r="F14" s="183"/>
      <c r="G14" s="184">
        <v>1</v>
      </c>
      <c r="H14" s="185">
        <v>0</v>
      </c>
      <c r="I14" s="186">
        <v>2287.1357450968098</v>
      </c>
      <c r="J14" s="187">
        <v>2287.1357450968098</v>
      </c>
      <c r="K14" s="182" t="s">
        <v>950</v>
      </c>
      <c r="L14" s="182">
        <v>2</v>
      </c>
      <c r="M14" s="182" t="s">
        <v>954</v>
      </c>
      <c r="N14" s="186">
        <v>7</v>
      </c>
      <c r="O14" s="188">
        <v>1</v>
      </c>
      <c r="P14" s="188" t="s">
        <v>573</v>
      </c>
      <c r="Q14" s="188">
        <v>0</v>
      </c>
      <c r="R14" s="189" t="s">
        <v>573</v>
      </c>
      <c r="S14" s="189" t="s">
        <v>573</v>
      </c>
    </row>
    <row r="15" spans="1:19" ht="15" customHeight="1" x14ac:dyDescent="0.3">
      <c r="A15" s="182" t="s">
        <v>947</v>
      </c>
      <c r="B15" s="182" t="s">
        <v>563</v>
      </c>
      <c r="C15" s="182"/>
      <c r="D15" s="182" t="s">
        <v>955</v>
      </c>
      <c r="E15" s="183" t="s">
        <v>956</v>
      </c>
      <c r="F15" s="183"/>
      <c r="G15" s="184">
        <v>1</v>
      </c>
      <c r="H15" s="185">
        <v>0</v>
      </c>
      <c r="I15" s="186">
        <v>957.25319614994703</v>
      </c>
      <c r="J15" s="187">
        <v>957.25319614994703</v>
      </c>
      <c r="K15" s="182" t="s">
        <v>950</v>
      </c>
      <c r="L15" s="182">
        <v>3</v>
      </c>
      <c r="M15" s="182" t="s">
        <v>957</v>
      </c>
      <c r="N15" s="186">
        <v>7</v>
      </c>
      <c r="O15" s="188">
        <v>1</v>
      </c>
      <c r="P15" s="188" t="s">
        <v>573</v>
      </c>
      <c r="Q15" s="188">
        <v>0</v>
      </c>
      <c r="R15" s="189" t="s">
        <v>573</v>
      </c>
      <c r="S15" s="189" t="s">
        <v>573</v>
      </c>
    </row>
    <row r="16" spans="1:19" ht="15" customHeight="1" x14ac:dyDescent="0.3">
      <c r="A16" s="182" t="s">
        <v>947</v>
      </c>
      <c r="B16" s="182" t="s">
        <v>908</v>
      </c>
      <c r="C16" s="182" t="s">
        <v>909</v>
      </c>
      <c r="D16" s="182" t="s">
        <v>958</v>
      </c>
      <c r="E16" s="183" t="s">
        <v>959</v>
      </c>
      <c r="F16" s="183" t="s">
        <v>600</v>
      </c>
      <c r="G16" s="184">
        <v>0.17</v>
      </c>
      <c r="H16" s="185">
        <v>0.1</v>
      </c>
      <c r="I16" s="186">
        <v>3424.53</v>
      </c>
      <c r="J16" s="187">
        <v>640.38711000000001</v>
      </c>
      <c r="K16" s="182" t="s">
        <v>960</v>
      </c>
      <c r="L16" s="182">
        <v>1</v>
      </c>
      <c r="M16" s="182" t="s">
        <v>961</v>
      </c>
      <c r="N16" s="186">
        <v>7</v>
      </c>
      <c r="O16" s="188">
        <v>0.17</v>
      </c>
      <c r="P16" s="188" t="s">
        <v>573</v>
      </c>
      <c r="Q16" s="188">
        <v>0</v>
      </c>
      <c r="R16" s="189" t="s">
        <v>573</v>
      </c>
      <c r="S16" s="189" t="s">
        <v>573</v>
      </c>
    </row>
    <row r="17" spans="1:19" ht="15" customHeight="1" x14ac:dyDescent="0.3">
      <c r="A17" s="182" t="s">
        <v>947</v>
      </c>
      <c r="B17" s="182" t="s">
        <v>908</v>
      </c>
      <c r="C17" s="182" t="s">
        <v>909</v>
      </c>
      <c r="D17" s="182" t="s">
        <v>962</v>
      </c>
      <c r="E17" s="183" t="s">
        <v>963</v>
      </c>
      <c r="F17" s="183" t="s">
        <v>590</v>
      </c>
      <c r="G17" s="184">
        <v>3.5000000000000003E-2</v>
      </c>
      <c r="H17" s="185">
        <v>0.1</v>
      </c>
      <c r="I17" s="186">
        <v>32399.77</v>
      </c>
      <c r="J17" s="187">
        <v>1247.3911450000001</v>
      </c>
      <c r="K17" s="182" t="s">
        <v>960</v>
      </c>
      <c r="L17" s="182">
        <v>2</v>
      </c>
      <c r="M17" s="182" t="s">
        <v>964</v>
      </c>
      <c r="N17" s="186">
        <v>7</v>
      </c>
      <c r="O17" s="188">
        <v>3.5000000000000003E-2</v>
      </c>
      <c r="P17" s="188" t="s">
        <v>573</v>
      </c>
      <c r="Q17" s="188">
        <v>0</v>
      </c>
      <c r="R17" s="189" t="s">
        <v>573</v>
      </c>
      <c r="S17" s="189" t="s">
        <v>573</v>
      </c>
    </row>
    <row r="18" spans="1:19" ht="15" customHeight="1" x14ac:dyDescent="0.3">
      <c r="A18" s="182" t="s">
        <v>947</v>
      </c>
      <c r="B18" s="182" t="s">
        <v>908</v>
      </c>
      <c r="C18" s="182" t="s">
        <v>909</v>
      </c>
      <c r="D18" s="182" t="s">
        <v>965</v>
      </c>
      <c r="E18" s="183" t="s">
        <v>966</v>
      </c>
      <c r="F18" s="183" t="s">
        <v>967</v>
      </c>
      <c r="G18" s="184">
        <v>0.15</v>
      </c>
      <c r="H18" s="185">
        <v>0.1</v>
      </c>
      <c r="I18" s="186">
        <v>7809.48</v>
      </c>
      <c r="J18" s="187">
        <v>1288.5642</v>
      </c>
      <c r="K18" s="182" t="s">
        <v>960</v>
      </c>
      <c r="L18" s="182">
        <v>3</v>
      </c>
      <c r="M18" s="182" t="s">
        <v>968</v>
      </c>
      <c r="N18" s="186">
        <v>7</v>
      </c>
      <c r="O18" s="188">
        <v>0.15</v>
      </c>
      <c r="P18" s="188" t="s">
        <v>573</v>
      </c>
      <c r="Q18" s="188">
        <v>0</v>
      </c>
      <c r="R18" s="189" t="s">
        <v>573</v>
      </c>
      <c r="S18" s="189" t="s">
        <v>573</v>
      </c>
    </row>
    <row r="19" spans="1:19" ht="15" customHeight="1" x14ac:dyDescent="0.3">
      <c r="A19" s="182" t="s">
        <v>947</v>
      </c>
      <c r="B19" s="182" t="s">
        <v>908</v>
      </c>
      <c r="C19" s="182" t="s">
        <v>909</v>
      </c>
      <c r="D19" s="182" t="s">
        <v>969</v>
      </c>
      <c r="E19" s="183" t="s">
        <v>970</v>
      </c>
      <c r="F19" s="183" t="s">
        <v>971</v>
      </c>
      <c r="G19" s="184">
        <v>0.3</v>
      </c>
      <c r="H19" s="185">
        <v>0.1</v>
      </c>
      <c r="I19" s="186">
        <v>3837.96</v>
      </c>
      <c r="J19" s="187">
        <v>1266.5268000000001</v>
      </c>
      <c r="K19" s="182" t="s">
        <v>960</v>
      </c>
      <c r="L19" s="182">
        <v>4</v>
      </c>
      <c r="M19" s="182" t="s">
        <v>972</v>
      </c>
      <c r="N19" s="186">
        <v>7</v>
      </c>
      <c r="O19" s="188">
        <v>0.3</v>
      </c>
      <c r="P19" s="188" t="s">
        <v>573</v>
      </c>
      <c r="Q19" s="188">
        <v>0</v>
      </c>
      <c r="R19" s="189" t="s">
        <v>573</v>
      </c>
      <c r="S19" s="189" t="s">
        <v>573</v>
      </c>
    </row>
    <row r="20" spans="1:19" ht="15" customHeight="1" x14ac:dyDescent="0.3">
      <c r="A20" s="182" t="s">
        <v>947</v>
      </c>
      <c r="B20" s="182" t="s">
        <v>908</v>
      </c>
      <c r="C20" s="182" t="s">
        <v>909</v>
      </c>
      <c r="D20" s="182" t="s">
        <v>973</v>
      </c>
      <c r="E20" s="183" t="s">
        <v>974</v>
      </c>
      <c r="F20" s="183" t="s">
        <v>600</v>
      </c>
      <c r="G20" s="184">
        <v>60</v>
      </c>
      <c r="H20" s="185">
        <v>0.05</v>
      </c>
      <c r="I20" s="186">
        <v>132.30000000000001</v>
      </c>
      <c r="J20" s="187">
        <v>8334.9</v>
      </c>
      <c r="K20" s="182" t="s">
        <v>960</v>
      </c>
      <c r="L20" s="182">
        <v>5</v>
      </c>
      <c r="M20" s="182" t="s">
        <v>975</v>
      </c>
      <c r="N20" s="186">
        <v>7</v>
      </c>
      <c r="O20" s="188">
        <v>60</v>
      </c>
      <c r="P20" s="188" t="s">
        <v>573</v>
      </c>
      <c r="Q20" s="188">
        <v>0</v>
      </c>
      <c r="R20" s="189" t="s">
        <v>573</v>
      </c>
      <c r="S20" s="189" t="s">
        <v>573</v>
      </c>
    </row>
    <row r="21" spans="1:19" ht="15" customHeight="1" x14ac:dyDescent="0.3">
      <c r="A21" s="182" t="s">
        <v>947</v>
      </c>
      <c r="B21" s="182" t="s">
        <v>908</v>
      </c>
      <c r="C21" s="182" t="s">
        <v>909</v>
      </c>
      <c r="D21" s="182" t="s">
        <v>976</v>
      </c>
      <c r="E21" s="183" t="s">
        <v>977</v>
      </c>
      <c r="F21" s="183" t="s">
        <v>576</v>
      </c>
      <c r="G21" s="184">
        <v>1.31611023</v>
      </c>
      <c r="H21" s="185">
        <v>0</v>
      </c>
      <c r="I21" s="186">
        <v>1</v>
      </c>
      <c r="J21" s="187">
        <v>1.31611023</v>
      </c>
      <c r="K21" s="182" t="s">
        <v>960</v>
      </c>
      <c r="L21" s="182">
        <v>6</v>
      </c>
      <c r="M21" s="182" t="s">
        <v>978</v>
      </c>
      <c r="N21" s="186">
        <v>7</v>
      </c>
      <c r="O21" s="188">
        <v>1.31611023</v>
      </c>
      <c r="P21" s="188" t="s">
        <v>573</v>
      </c>
      <c r="Q21" s="188">
        <v>0</v>
      </c>
      <c r="R21" s="189" t="s">
        <v>573</v>
      </c>
      <c r="S21" s="189" t="s">
        <v>573</v>
      </c>
    </row>
    <row r="22" spans="1:19" ht="15" customHeight="1" x14ac:dyDescent="0.3">
      <c r="A22" s="182" t="s">
        <v>947</v>
      </c>
      <c r="B22" s="182" t="s">
        <v>937</v>
      </c>
      <c r="C22" s="182" t="s">
        <v>938</v>
      </c>
      <c r="D22" s="190" t="s">
        <v>939</v>
      </c>
      <c r="E22" s="183" t="s">
        <v>940</v>
      </c>
      <c r="F22" s="183" t="s">
        <v>941</v>
      </c>
      <c r="G22" s="184">
        <v>1</v>
      </c>
      <c r="H22" s="185">
        <v>0</v>
      </c>
      <c r="I22" s="186">
        <v>60860.580776572002</v>
      </c>
      <c r="J22" s="187">
        <v>60860.580776572002</v>
      </c>
      <c r="K22" s="182" t="s">
        <v>979</v>
      </c>
      <c r="L22" s="182">
        <v>1</v>
      </c>
      <c r="M22" s="182" t="s">
        <v>980</v>
      </c>
      <c r="N22" s="186">
        <v>7</v>
      </c>
      <c r="O22" s="188">
        <v>0.14285714285714299</v>
      </c>
      <c r="P22" s="188" t="s">
        <v>573</v>
      </c>
      <c r="Q22" s="188">
        <v>0</v>
      </c>
      <c r="R22" s="189" t="s">
        <v>573</v>
      </c>
      <c r="S22" s="189" t="s">
        <v>573</v>
      </c>
    </row>
    <row r="23" spans="1:19" ht="15" customHeight="1" x14ac:dyDescent="0.3">
      <c r="A23" s="182" t="s">
        <v>947</v>
      </c>
      <c r="B23" s="182" t="s">
        <v>937</v>
      </c>
      <c r="C23" s="182" t="s">
        <v>938</v>
      </c>
      <c r="D23" s="190" t="s">
        <v>944</v>
      </c>
      <c r="E23" s="183" t="s">
        <v>945</v>
      </c>
      <c r="F23" s="183" t="s">
        <v>941</v>
      </c>
      <c r="G23" s="184">
        <v>1</v>
      </c>
      <c r="H23" s="185">
        <v>0</v>
      </c>
      <c r="I23" s="186">
        <v>85927.097156571996</v>
      </c>
      <c r="J23" s="187">
        <v>85927.097156571996</v>
      </c>
      <c r="K23" s="182" t="s">
        <v>979</v>
      </c>
      <c r="L23" s="182">
        <v>2</v>
      </c>
      <c r="M23" s="182" t="s">
        <v>981</v>
      </c>
      <c r="N23" s="186">
        <v>7</v>
      </c>
      <c r="O23" s="188">
        <v>0.14285714285714299</v>
      </c>
      <c r="P23" s="188" t="s">
        <v>573</v>
      </c>
      <c r="Q23" s="188">
        <v>0</v>
      </c>
      <c r="R23" s="189" t="s">
        <v>573</v>
      </c>
      <c r="S23" s="189" t="s">
        <v>573</v>
      </c>
    </row>
    <row r="24" spans="1:19" ht="15" customHeight="1" x14ac:dyDescent="0.3">
      <c r="A24" s="182" t="s">
        <v>982</v>
      </c>
      <c r="B24" s="182" t="s">
        <v>563</v>
      </c>
      <c r="C24" s="182"/>
      <c r="D24" s="182" t="s">
        <v>948</v>
      </c>
      <c r="E24" s="183" t="s">
        <v>949</v>
      </c>
      <c r="F24" s="183"/>
      <c r="G24" s="184">
        <v>0.5</v>
      </c>
      <c r="H24" s="185">
        <v>0</v>
      </c>
      <c r="I24" s="186">
        <v>571.17949098076099</v>
      </c>
      <c r="J24" s="187">
        <v>285.58974549038101</v>
      </c>
      <c r="K24" s="182" t="s">
        <v>983</v>
      </c>
      <c r="L24" s="182">
        <v>1</v>
      </c>
      <c r="M24" s="182" t="s">
        <v>984</v>
      </c>
      <c r="N24" s="186">
        <v>15</v>
      </c>
      <c r="O24" s="188">
        <v>0.5</v>
      </c>
      <c r="P24" s="188">
        <v>621</v>
      </c>
      <c r="Q24" s="188">
        <v>310.5</v>
      </c>
      <c r="R24" s="189">
        <v>4.01</v>
      </c>
      <c r="S24" s="189" t="s">
        <v>985</v>
      </c>
    </row>
    <row r="25" spans="1:19" ht="15" customHeight="1" x14ac:dyDescent="0.3">
      <c r="A25" s="182" t="s">
        <v>982</v>
      </c>
      <c r="B25" s="182" t="s">
        <v>563</v>
      </c>
      <c r="C25" s="182"/>
      <c r="D25" s="182" t="s">
        <v>952</v>
      </c>
      <c r="E25" s="183" t="s">
        <v>953</v>
      </c>
      <c r="F25" s="183"/>
      <c r="G25" s="184">
        <v>1</v>
      </c>
      <c r="H25" s="185">
        <v>0</v>
      </c>
      <c r="I25" s="186">
        <v>2287.1357450968098</v>
      </c>
      <c r="J25" s="187">
        <v>2287.1357450968098</v>
      </c>
      <c r="K25" s="182" t="s">
        <v>983</v>
      </c>
      <c r="L25" s="182">
        <v>2</v>
      </c>
      <c r="M25" s="182" t="s">
        <v>986</v>
      </c>
      <c r="N25" s="186">
        <v>15</v>
      </c>
      <c r="O25" s="188">
        <v>1</v>
      </c>
      <c r="P25" s="188">
        <v>621</v>
      </c>
      <c r="Q25" s="188">
        <v>621</v>
      </c>
      <c r="R25" s="189">
        <v>4.01</v>
      </c>
      <c r="S25" s="189" t="s">
        <v>985</v>
      </c>
    </row>
    <row r="26" spans="1:19" ht="15" customHeight="1" x14ac:dyDescent="0.3">
      <c r="A26" s="182" t="s">
        <v>982</v>
      </c>
      <c r="B26" s="182" t="s">
        <v>563</v>
      </c>
      <c r="C26" s="182"/>
      <c r="D26" s="182" t="s">
        <v>955</v>
      </c>
      <c r="E26" s="183" t="s">
        <v>956</v>
      </c>
      <c r="F26" s="183"/>
      <c r="G26" s="184">
        <v>1</v>
      </c>
      <c r="H26" s="185">
        <v>0</v>
      </c>
      <c r="I26" s="186">
        <v>957.25319614994703</v>
      </c>
      <c r="J26" s="187">
        <v>957.25319614994703</v>
      </c>
      <c r="K26" s="182" t="s">
        <v>983</v>
      </c>
      <c r="L26" s="182">
        <v>3</v>
      </c>
      <c r="M26" s="182" t="s">
        <v>987</v>
      </c>
      <c r="N26" s="186">
        <v>15</v>
      </c>
      <c r="O26" s="188">
        <v>1</v>
      </c>
      <c r="P26" s="188">
        <v>621</v>
      </c>
      <c r="Q26" s="188">
        <v>621</v>
      </c>
      <c r="R26" s="189">
        <v>4.01</v>
      </c>
      <c r="S26" s="189" t="s">
        <v>985</v>
      </c>
    </row>
    <row r="27" spans="1:19" ht="15" customHeight="1" x14ac:dyDescent="0.3">
      <c r="A27" s="182" t="s">
        <v>982</v>
      </c>
      <c r="B27" s="182" t="s">
        <v>908</v>
      </c>
      <c r="C27" s="182" t="s">
        <v>909</v>
      </c>
      <c r="D27" s="182" t="s">
        <v>958</v>
      </c>
      <c r="E27" s="183" t="s">
        <v>959</v>
      </c>
      <c r="F27" s="183" t="s">
        <v>600</v>
      </c>
      <c r="G27" s="184">
        <v>0.17</v>
      </c>
      <c r="H27" s="185">
        <v>0.1</v>
      </c>
      <c r="I27" s="186">
        <v>3424.53</v>
      </c>
      <c r="J27" s="187">
        <v>640.38711000000001</v>
      </c>
      <c r="K27" s="182" t="s">
        <v>988</v>
      </c>
      <c r="L27" s="182">
        <v>1</v>
      </c>
      <c r="M27" s="182" t="s">
        <v>989</v>
      </c>
      <c r="N27" s="186">
        <v>15</v>
      </c>
      <c r="O27" s="188">
        <v>0.17</v>
      </c>
      <c r="P27" s="188">
        <v>621</v>
      </c>
      <c r="Q27" s="188">
        <v>105.57</v>
      </c>
      <c r="R27" s="189">
        <v>4.01</v>
      </c>
      <c r="S27" s="189" t="s">
        <v>985</v>
      </c>
    </row>
    <row r="28" spans="1:19" ht="15" customHeight="1" x14ac:dyDescent="0.3">
      <c r="A28" s="182" t="s">
        <v>982</v>
      </c>
      <c r="B28" s="182" t="s">
        <v>908</v>
      </c>
      <c r="C28" s="182" t="s">
        <v>909</v>
      </c>
      <c r="D28" s="182" t="s">
        <v>962</v>
      </c>
      <c r="E28" s="183" t="s">
        <v>963</v>
      </c>
      <c r="F28" s="183" t="s">
        <v>590</v>
      </c>
      <c r="G28" s="184">
        <v>1.2E-2</v>
      </c>
      <c r="H28" s="185">
        <v>0.1</v>
      </c>
      <c r="I28" s="186">
        <v>32399.77</v>
      </c>
      <c r="J28" s="187">
        <v>427.676964</v>
      </c>
      <c r="K28" s="182" t="s">
        <v>988</v>
      </c>
      <c r="L28" s="182">
        <v>2</v>
      </c>
      <c r="M28" s="182" t="s">
        <v>990</v>
      </c>
      <c r="N28" s="186">
        <v>15</v>
      </c>
      <c r="O28" s="188">
        <v>1.2E-2</v>
      </c>
      <c r="P28" s="188">
        <v>621</v>
      </c>
      <c r="Q28" s="188">
        <v>7.452</v>
      </c>
      <c r="R28" s="189">
        <v>4.01</v>
      </c>
      <c r="S28" s="189" t="s">
        <v>985</v>
      </c>
    </row>
    <row r="29" spans="1:19" ht="15" customHeight="1" x14ac:dyDescent="0.3">
      <c r="A29" s="182" t="s">
        <v>982</v>
      </c>
      <c r="B29" s="182" t="s">
        <v>908</v>
      </c>
      <c r="C29" s="182" t="s">
        <v>909</v>
      </c>
      <c r="D29" s="182" t="s">
        <v>965</v>
      </c>
      <c r="E29" s="183" t="s">
        <v>966</v>
      </c>
      <c r="F29" s="183" t="s">
        <v>967</v>
      </c>
      <c r="G29" s="184">
        <v>0.05</v>
      </c>
      <c r="H29" s="185">
        <v>0.1</v>
      </c>
      <c r="I29" s="186">
        <v>7809.48</v>
      </c>
      <c r="J29" s="187">
        <v>429.52140000000003</v>
      </c>
      <c r="K29" s="182" t="s">
        <v>988</v>
      </c>
      <c r="L29" s="182">
        <v>3</v>
      </c>
      <c r="M29" s="182" t="s">
        <v>991</v>
      </c>
      <c r="N29" s="186">
        <v>15</v>
      </c>
      <c r="O29" s="188">
        <v>0.05</v>
      </c>
      <c r="P29" s="188">
        <v>621</v>
      </c>
      <c r="Q29" s="188">
        <v>31.05</v>
      </c>
      <c r="R29" s="189">
        <v>4.01</v>
      </c>
      <c r="S29" s="189" t="s">
        <v>985</v>
      </c>
    </row>
    <row r="30" spans="1:19" ht="15" customHeight="1" x14ac:dyDescent="0.3">
      <c r="A30" s="182" t="s">
        <v>982</v>
      </c>
      <c r="B30" s="182" t="s">
        <v>908</v>
      </c>
      <c r="C30" s="182" t="s">
        <v>909</v>
      </c>
      <c r="D30" s="182" t="s">
        <v>969</v>
      </c>
      <c r="E30" s="183" t="s">
        <v>970</v>
      </c>
      <c r="F30" s="183" t="s">
        <v>971</v>
      </c>
      <c r="G30" s="184">
        <v>0.1</v>
      </c>
      <c r="H30" s="185">
        <v>0.1</v>
      </c>
      <c r="I30" s="186">
        <v>3837.96</v>
      </c>
      <c r="J30" s="187">
        <v>422.17559999999997</v>
      </c>
      <c r="K30" s="182" t="s">
        <v>988</v>
      </c>
      <c r="L30" s="182">
        <v>4</v>
      </c>
      <c r="M30" s="182" t="s">
        <v>992</v>
      </c>
      <c r="N30" s="186">
        <v>15</v>
      </c>
      <c r="O30" s="188">
        <v>0.1</v>
      </c>
      <c r="P30" s="188">
        <v>621</v>
      </c>
      <c r="Q30" s="188">
        <v>62.1</v>
      </c>
      <c r="R30" s="189">
        <v>4.01</v>
      </c>
      <c r="S30" s="189" t="s">
        <v>985</v>
      </c>
    </row>
    <row r="31" spans="1:19" ht="15" customHeight="1" x14ac:dyDescent="0.3">
      <c r="A31" s="182" t="s">
        <v>982</v>
      </c>
      <c r="B31" s="182" t="s">
        <v>908</v>
      </c>
      <c r="C31" s="182" t="s">
        <v>909</v>
      </c>
      <c r="D31" s="182" t="s">
        <v>993</v>
      </c>
      <c r="E31" s="183" t="s">
        <v>994</v>
      </c>
      <c r="F31" s="183" t="s">
        <v>600</v>
      </c>
      <c r="G31" s="184">
        <v>15</v>
      </c>
      <c r="H31" s="185">
        <v>0.05</v>
      </c>
      <c r="I31" s="186">
        <v>292.32</v>
      </c>
      <c r="J31" s="187">
        <v>4604.04</v>
      </c>
      <c r="K31" s="182" t="s">
        <v>988</v>
      </c>
      <c r="L31" s="182">
        <v>5</v>
      </c>
      <c r="M31" s="182" t="s">
        <v>995</v>
      </c>
      <c r="N31" s="186">
        <v>15</v>
      </c>
      <c r="O31" s="188">
        <v>15</v>
      </c>
      <c r="P31" s="188">
        <v>621</v>
      </c>
      <c r="Q31" s="188">
        <v>9315</v>
      </c>
      <c r="R31" s="189">
        <v>4.01</v>
      </c>
      <c r="S31" s="189" t="s">
        <v>985</v>
      </c>
    </row>
    <row r="32" spans="1:19" ht="15" customHeight="1" x14ac:dyDescent="0.3">
      <c r="A32" s="182" t="s">
        <v>982</v>
      </c>
      <c r="B32" s="182" t="s">
        <v>908</v>
      </c>
      <c r="C32" s="182" t="s">
        <v>909</v>
      </c>
      <c r="D32" s="182" t="s">
        <v>976</v>
      </c>
      <c r="E32" s="183" t="s">
        <v>977</v>
      </c>
      <c r="F32" s="183" t="s">
        <v>576</v>
      </c>
      <c r="G32" s="184">
        <v>67.195151062199997</v>
      </c>
      <c r="H32" s="185">
        <v>0</v>
      </c>
      <c r="I32" s="186">
        <v>1</v>
      </c>
      <c r="J32" s="187">
        <v>67.195151062199997</v>
      </c>
      <c r="K32" s="182" t="s">
        <v>988</v>
      </c>
      <c r="L32" s="182">
        <v>6</v>
      </c>
      <c r="M32" s="182" t="s">
        <v>996</v>
      </c>
      <c r="N32" s="186">
        <v>15</v>
      </c>
      <c r="O32" s="188">
        <v>67.195151062199997</v>
      </c>
      <c r="P32" s="188">
        <v>621</v>
      </c>
      <c r="Q32" s="188">
        <v>41728.188809626197</v>
      </c>
      <c r="R32" s="189">
        <v>4.01</v>
      </c>
      <c r="S32" s="189" t="s">
        <v>985</v>
      </c>
    </row>
    <row r="33" spans="1:19" ht="15" customHeight="1" x14ac:dyDescent="0.3">
      <c r="A33" s="182" t="s">
        <v>982</v>
      </c>
      <c r="B33" s="182" t="s">
        <v>937</v>
      </c>
      <c r="C33" s="182" t="s">
        <v>938</v>
      </c>
      <c r="D33" s="190" t="s">
        <v>939</v>
      </c>
      <c r="E33" s="183" t="s">
        <v>940</v>
      </c>
      <c r="F33" s="183" t="s">
        <v>941</v>
      </c>
      <c r="G33" s="184">
        <v>1</v>
      </c>
      <c r="H33" s="185">
        <v>0</v>
      </c>
      <c r="I33" s="186">
        <v>60860.580776572002</v>
      </c>
      <c r="J33" s="187">
        <v>60860.580776572002</v>
      </c>
      <c r="K33" s="182" t="s">
        <v>997</v>
      </c>
      <c r="L33" s="182">
        <v>1</v>
      </c>
      <c r="M33" s="182" t="s">
        <v>998</v>
      </c>
      <c r="N33" s="186">
        <v>15</v>
      </c>
      <c r="O33" s="188">
        <v>6.6666666666666693E-2</v>
      </c>
      <c r="P33" s="188">
        <v>621</v>
      </c>
      <c r="Q33" s="188">
        <v>41.4</v>
      </c>
      <c r="R33" s="189">
        <v>4.01</v>
      </c>
      <c r="S33" s="189" t="s">
        <v>985</v>
      </c>
    </row>
    <row r="34" spans="1:19" ht="15" customHeight="1" x14ac:dyDescent="0.3">
      <c r="A34" s="182" t="s">
        <v>982</v>
      </c>
      <c r="B34" s="182" t="s">
        <v>937</v>
      </c>
      <c r="C34" s="182" t="s">
        <v>938</v>
      </c>
      <c r="D34" s="190" t="s">
        <v>944</v>
      </c>
      <c r="E34" s="183" t="s">
        <v>945</v>
      </c>
      <c r="F34" s="183" t="s">
        <v>941</v>
      </c>
      <c r="G34" s="184">
        <v>1</v>
      </c>
      <c r="H34" s="185">
        <v>0</v>
      </c>
      <c r="I34" s="186">
        <v>85927.097156571996</v>
      </c>
      <c r="J34" s="187">
        <v>85927.097156571996</v>
      </c>
      <c r="K34" s="182" t="s">
        <v>997</v>
      </c>
      <c r="L34" s="182">
        <v>2</v>
      </c>
      <c r="M34" s="182" t="s">
        <v>999</v>
      </c>
      <c r="N34" s="186">
        <v>15</v>
      </c>
      <c r="O34" s="188">
        <v>6.6666666666666693E-2</v>
      </c>
      <c r="P34" s="188">
        <v>621</v>
      </c>
      <c r="Q34" s="188">
        <v>41.4</v>
      </c>
      <c r="R34" s="189">
        <v>4.01</v>
      </c>
      <c r="S34" s="189" t="s">
        <v>985</v>
      </c>
    </row>
    <row r="35" spans="1:19" ht="15" customHeight="1" x14ac:dyDescent="0.3">
      <c r="A35" s="182" t="s">
        <v>1000</v>
      </c>
      <c r="B35" s="182" t="s">
        <v>563</v>
      </c>
      <c r="C35" s="182"/>
      <c r="D35" s="182" t="s">
        <v>948</v>
      </c>
      <c r="E35" s="183" t="s">
        <v>949</v>
      </c>
      <c r="F35" s="183"/>
      <c r="G35" s="184">
        <v>0.5</v>
      </c>
      <c r="H35" s="185">
        <v>0</v>
      </c>
      <c r="I35" s="186">
        <v>571.17949098076099</v>
      </c>
      <c r="J35" s="187">
        <v>285.58974549038101</v>
      </c>
      <c r="K35" s="182" t="s">
        <v>1001</v>
      </c>
      <c r="L35" s="182">
        <v>1</v>
      </c>
      <c r="M35" s="182" t="s">
        <v>1002</v>
      </c>
      <c r="N35" s="186">
        <v>15</v>
      </c>
      <c r="O35" s="188">
        <v>0.5</v>
      </c>
      <c r="P35" s="188">
        <v>780</v>
      </c>
      <c r="Q35" s="188">
        <v>390</v>
      </c>
      <c r="R35" s="189">
        <v>4.0199999999999996</v>
      </c>
      <c r="S35" s="189" t="s">
        <v>985</v>
      </c>
    </row>
    <row r="36" spans="1:19" ht="15" customHeight="1" x14ac:dyDescent="0.3">
      <c r="A36" s="182" t="s">
        <v>1000</v>
      </c>
      <c r="B36" s="182" t="s">
        <v>563</v>
      </c>
      <c r="C36" s="182"/>
      <c r="D36" s="182" t="s">
        <v>952</v>
      </c>
      <c r="E36" s="183" t="s">
        <v>953</v>
      </c>
      <c r="F36" s="183"/>
      <c r="G36" s="184">
        <v>1</v>
      </c>
      <c r="H36" s="185">
        <v>0</v>
      </c>
      <c r="I36" s="186">
        <v>2287.1357450968098</v>
      </c>
      <c r="J36" s="187">
        <v>2287.1357450968098</v>
      </c>
      <c r="K36" s="182" t="s">
        <v>1001</v>
      </c>
      <c r="L36" s="182">
        <v>2</v>
      </c>
      <c r="M36" s="182" t="s">
        <v>1003</v>
      </c>
      <c r="N36" s="186">
        <v>15</v>
      </c>
      <c r="O36" s="188">
        <v>1</v>
      </c>
      <c r="P36" s="188">
        <v>780</v>
      </c>
      <c r="Q36" s="188">
        <v>780</v>
      </c>
      <c r="R36" s="189">
        <v>4.0199999999999996</v>
      </c>
      <c r="S36" s="189" t="s">
        <v>985</v>
      </c>
    </row>
    <row r="37" spans="1:19" ht="15" customHeight="1" x14ac:dyDescent="0.3">
      <c r="A37" s="182" t="s">
        <v>1000</v>
      </c>
      <c r="B37" s="182" t="s">
        <v>563</v>
      </c>
      <c r="C37" s="182"/>
      <c r="D37" s="182" t="s">
        <v>955</v>
      </c>
      <c r="E37" s="183" t="s">
        <v>956</v>
      </c>
      <c r="F37" s="183"/>
      <c r="G37" s="184">
        <v>1</v>
      </c>
      <c r="H37" s="185">
        <v>0</v>
      </c>
      <c r="I37" s="186">
        <v>957.25319614994703</v>
      </c>
      <c r="J37" s="187">
        <v>957.25319614994703</v>
      </c>
      <c r="K37" s="182" t="s">
        <v>1001</v>
      </c>
      <c r="L37" s="182">
        <v>3</v>
      </c>
      <c r="M37" s="182" t="s">
        <v>1004</v>
      </c>
      <c r="N37" s="186">
        <v>15</v>
      </c>
      <c r="O37" s="188">
        <v>1</v>
      </c>
      <c r="P37" s="188">
        <v>780</v>
      </c>
      <c r="Q37" s="188">
        <v>780</v>
      </c>
      <c r="R37" s="189">
        <v>4.0199999999999996</v>
      </c>
      <c r="S37" s="189" t="s">
        <v>985</v>
      </c>
    </row>
    <row r="38" spans="1:19" ht="15" customHeight="1" x14ac:dyDescent="0.3">
      <c r="A38" s="182" t="s">
        <v>1000</v>
      </c>
      <c r="B38" s="182" t="s">
        <v>908</v>
      </c>
      <c r="C38" s="182" t="s">
        <v>909</v>
      </c>
      <c r="D38" s="182" t="s">
        <v>958</v>
      </c>
      <c r="E38" s="183" t="s">
        <v>959</v>
      </c>
      <c r="F38" s="183" t="s">
        <v>600</v>
      </c>
      <c r="G38" s="184">
        <v>0.17</v>
      </c>
      <c r="H38" s="185">
        <v>0.1</v>
      </c>
      <c r="I38" s="186">
        <v>3424.53</v>
      </c>
      <c r="J38" s="187">
        <v>640.38711000000001</v>
      </c>
      <c r="K38" s="182" t="s">
        <v>1005</v>
      </c>
      <c r="L38" s="182">
        <v>1</v>
      </c>
      <c r="M38" s="182" t="s">
        <v>1006</v>
      </c>
      <c r="N38" s="186">
        <v>15</v>
      </c>
      <c r="O38" s="188">
        <v>0.17</v>
      </c>
      <c r="P38" s="188">
        <v>780</v>
      </c>
      <c r="Q38" s="188">
        <v>132.6</v>
      </c>
      <c r="R38" s="189">
        <v>4.0199999999999996</v>
      </c>
      <c r="S38" s="189" t="s">
        <v>985</v>
      </c>
    </row>
    <row r="39" spans="1:19" ht="15" customHeight="1" x14ac:dyDescent="0.3">
      <c r="A39" s="182" t="s">
        <v>1000</v>
      </c>
      <c r="B39" s="182" t="s">
        <v>908</v>
      </c>
      <c r="C39" s="182" t="s">
        <v>909</v>
      </c>
      <c r="D39" s="182" t="s">
        <v>962</v>
      </c>
      <c r="E39" s="183" t="s">
        <v>963</v>
      </c>
      <c r="F39" s="183" t="s">
        <v>590</v>
      </c>
      <c r="G39" s="184">
        <v>1.7999999999999999E-2</v>
      </c>
      <c r="H39" s="185">
        <v>0.1</v>
      </c>
      <c r="I39" s="186">
        <v>32399.77</v>
      </c>
      <c r="J39" s="187">
        <v>641.515446</v>
      </c>
      <c r="K39" s="182" t="s">
        <v>1005</v>
      </c>
      <c r="L39" s="182">
        <v>2</v>
      </c>
      <c r="M39" s="182" t="s">
        <v>1007</v>
      </c>
      <c r="N39" s="186">
        <v>15</v>
      </c>
      <c r="O39" s="188">
        <v>1.7999999999999999E-2</v>
      </c>
      <c r="P39" s="188">
        <v>780</v>
      </c>
      <c r="Q39" s="188">
        <v>14.04</v>
      </c>
      <c r="R39" s="189">
        <v>4.0199999999999996</v>
      </c>
      <c r="S39" s="189" t="s">
        <v>985</v>
      </c>
    </row>
    <row r="40" spans="1:19" ht="15" customHeight="1" x14ac:dyDescent="0.3">
      <c r="A40" s="182" t="s">
        <v>1000</v>
      </c>
      <c r="B40" s="182" t="s">
        <v>908</v>
      </c>
      <c r="C40" s="182" t="s">
        <v>909</v>
      </c>
      <c r="D40" s="182" t="s">
        <v>965</v>
      </c>
      <c r="E40" s="183" t="s">
        <v>966</v>
      </c>
      <c r="F40" s="183" t="s">
        <v>967</v>
      </c>
      <c r="G40" s="184">
        <v>7.4999999999999997E-2</v>
      </c>
      <c r="H40" s="185">
        <v>0.1</v>
      </c>
      <c r="I40" s="186">
        <v>7809.48</v>
      </c>
      <c r="J40" s="187">
        <v>644.28210000000001</v>
      </c>
      <c r="K40" s="182" t="s">
        <v>1005</v>
      </c>
      <c r="L40" s="182">
        <v>3</v>
      </c>
      <c r="M40" s="182" t="s">
        <v>1008</v>
      </c>
      <c r="N40" s="186">
        <v>15</v>
      </c>
      <c r="O40" s="188">
        <v>7.4999999999999997E-2</v>
      </c>
      <c r="P40" s="188">
        <v>780</v>
      </c>
      <c r="Q40" s="188">
        <v>58.5</v>
      </c>
      <c r="R40" s="189">
        <v>4.0199999999999996</v>
      </c>
      <c r="S40" s="189" t="s">
        <v>985</v>
      </c>
    </row>
    <row r="41" spans="1:19" ht="15" customHeight="1" x14ac:dyDescent="0.3">
      <c r="A41" s="182" t="s">
        <v>1000</v>
      </c>
      <c r="B41" s="182" t="s">
        <v>908</v>
      </c>
      <c r="C41" s="182" t="s">
        <v>909</v>
      </c>
      <c r="D41" s="182" t="s">
        <v>969</v>
      </c>
      <c r="E41" s="183" t="s">
        <v>970</v>
      </c>
      <c r="F41" s="183" t="s">
        <v>971</v>
      </c>
      <c r="G41" s="184">
        <v>0.15</v>
      </c>
      <c r="H41" s="185">
        <v>0.1</v>
      </c>
      <c r="I41" s="186">
        <v>3837.96</v>
      </c>
      <c r="J41" s="187">
        <v>633.26340000000005</v>
      </c>
      <c r="K41" s="182" t="s">
        <v>1005</v>
      </c>
      <c r="L41" s="182">
        <v>4</v>
      </c>
      <c r="M41" s="182" t="s">
        <v>1009</v>
      </c>
      <c r="N41" s="186">
        <v>15</v>
      </c>
      <c r="O41" s="188">
        <v>0.15</v>
      </c>
      <c r="P41" s="188">
        <v>780</v>
      </c>
      <c r="Q41" s="188">
        <v>117</v>
      </c>
      <c r="R41" s="189">
        <v>4.0199999999999996</v>
      </c>
      <c r="S41" s="189" t="s">
        <v>985</v>
      </c>
    </row>
    <row r="42" spans="1:19" ht="15" customHeight="1" x14ac:dyDescent="0.3">
      <c r="A42" s="182" t="s">
        <v>1000</v>
      </c>
      <c r="B42" s="182" t="s">
        <v>908</v>
      </c>
      <c r="C42" s="182" t="s">
        <v>909</v>
      </c>
      <c r="D42" s="182" t="s">
        <v>1010</v>
      </c>
      <c r="E42" s="183" t="s">
        <v>1011</v>
      </c>
      <c r="F42" s="183" t="s">
        <v>600</v>
      </c>
      <c r="G42" s="184">
        <v>15</v>
      </c>
      <c r="H42" s="185">
        <v>0.05</v>
      </c>
      <c r="I42" s="186">
        <v>365.4</v>
      </c>
      <c r="J42" s="187">
        <v>5755.05</v>
      </c>
      <c r="K42" s="182" t="s">
        <v>1005</v>
      </c>
      <c r="L42" s="182">
        <v>5</v>
      </c>
      <c r="M42" s="182" t="s">
        <v>1012</v>
      </c>
      <c r="N42" s="186">
        <v>15</v>
      </c>
      <c r="O42" s="188">
        <v>15</v>
      </c>
      <c r="P42" s="188">
        <v>780</v>
      </c>
      <c r="Q42" s="188">
        <v>11700</v>
      </c>
      <c r="R42" s="189">
        <v>4.0199999999999996</v>
      </c>
      <c r="S42" s="189" t="s">
        <v>985</v>
      </c>
    </row>
    <row r="43" spans="1:19" ht="15" customHeight="1" x14ac:dyDescent="0.3">
      <c r="A43" s="182" t="s">
        <v>1000</v>
      </c>
      <c r="B43" s="182" t="s">
        <v>908</v>
      </c>
      <c r="C43" s="182" t="s">
        <v>909</v>
      </c>
      <c r="D43" s="182" t="s">
        <v>976</v>
      </c>
      <c r="E43" s="183" t="s">
        <v>977</v>
      </c>
      <c r="F43" s="183" t="s">
        <v>576</v>
      </c>
      <c r="G43" s="184">
        <v>85.639329976799999</v>
      </c>
      <c r="H43" s="185">
        <v>0</v>
      </c>
      <c r="I43" s="186">
        <v>1</v>
      </c>
      <c r="J43" s="187">
        <v>85.639329976799999</v>
      </c>
      <c r="K43" s="182" t="s">
        <v>1005</v>
      </c>
      <c r="L43" s="182">
        <v>6</v>
      </c>
      <c r="M43" s="182" t="s">
        <v>1013</v>
      </c>
      <c r="N43" s="186">
        <v>15</v>
      </c>
      <c r="O43" s="188">
        <v>85.639329976799999</v>
      </c>
      <c r="P43" s="188">
        <v>780</v>
      </c>
      <c r="Q43" s="188">
        <v>66798.677381903995</v>
      </c>
      <c r="R43" s="189">
        <v>4.0199999999999996</v>
      </c>
      <c r="S43" s="189" t="s">
        <v>985</v>
      </c>
    </row>
    <row r="44" spans="1:19" ht="15" customHeight="1" x14ac:dyDescent="0.3">
      <c r="A44" s="182" t="s">
        <v>1000</v>
      </c>
      <c r="B44" s="182" t="s">
        <v>937</v>
      </c>
      <c r="C44" s="182" t="s">
        <v>938</v>
      </c>
      <c r="D44" s="190" t="s">
        <v>939</v>
      </c>
      <c r="E44" s="183" t="s">
        <v>940</v>
      </c>
      <c r="F44" s="183" t="s">
        <v>941</v>
      </c>
      <c r="G44" s="184">
        <v>1</v>
      </c>
      <c r="H44" s="185">
        <v>0</v>
      </c>
      <c r="I44" s="186">
        <v>60860.580776572002</v>
      </c>
      <c r="J44" s="187">
        <v>60860.580776572002</v>
      </c>
      <c r="K44" s="182" t="s">
        <v>1014</v>
      </c>
      <c r="L44" s="182">
        <v>1</v>
      </c>
      <c r="M44" s="182" t="s">
        <v>1015</v>
      </c>
      <c r="N44" s="186">
        <v>15</v>
      </c>
      <c r="O44" s="188">
        <v>6.6666666666666693E-2</v>
      </c>
      <c r="P44" s="188">
        <v>780</v>
      </c>
      <c r="Q44" s="188">
        <v>52</v>
      </c>
      <c r="R44" s="189">
        <v>4.0199999999999996</v>
      </c>
      <c r="S44" s="189" t="s">
        <v>985</v>
      </c>
    </row>
    <row r="45" spans="1:19" ht="15" customHeight="1" x14ac:dyDescent="0.3">
      <c r="A45" s="182" t="s">
        <v>1000</v>
      </c>
      <c r="B45" s="182" t="s">
        <v>937</v>
      </c>
      <c r="C45" s="182" t="s">
        <v>938</v>
      </c>
      <c r="D45" s="190" t="s">
        <v>944</v>
      </c>
      <c r="E45" s="183" t="s">
        <v>945</v>
      </c>
      <c r="F45" s="183" t="s">
        <v>941</v>
      </c>
      <c r="G45" s="184">
        <v>1</v>
      </c>
      <c r="H45" s="185">
        <v>0</v>
      </c>
      <c r="I45" s="186">
        <v>85927.097156571996</v>
      </c>
      <c r="J45" s="187">
        <v>85927.097156571996</v>
      </c>
      <c r="K45" s="182" t="s">
        <v>1014</v>
      </c>
      <c r="L45" s="182">
        <v>2</v>
      </c>
      <c r="M45" s="182" t="s">
        <v>1016</v>
      </c>
      <c r="N45" s="186">
        <v>15</v>
      </c>
      <c r="O45" s="188">
        <v>6.6666666666666693E-2</v>
      </c>
      <c r="P45" s="188">
        <v>780</v>
      </c>
      <c r="Q45" s="188">
        <v>52</v>
      </c>
      <c r="R45" s="189">
        <v>4.0199999999999996</v>
      </c>
      <c r="S45" s="189" t="s">
        <v>985</v>
      </c>
    </row>
    <row r="46" spans="1:19" ht="15" customHeight="1" x14ac:dyDescent="0.3">
      <c r="A46" s="182" t="s">
        <v>1017</v>
      </c>
      <c r="B46" s="182" t="s">
        <v>563</v>
      </c>
      <c r="C46" s="182"/>
      <c r="D46" s="182" t="s">
        <v>948</v>
      </c>
      <c r="E46" s="183" t="s">
        <v>949</v>
      </c>
      <c r="F46" s="183"/>
      <c r="G46" s="184">
        <v>0.5</v>
      </c>
      <c r="H46" s="185">
        <v>0</v>
      </c>
      <c r="I46" s="186">
        <v>571.17949098076099</v>
      </c>
      <c r="J46" s="187">
        <v>285.58974549038101</v>
      </c>
      <c r="K46" s="182" t="s">
        <v>1018</v>
      </c>
      <c r="L46" s="182">
        <v>1</v>
      </c>
      <c r="M46" s="182" t="s">
        <v>1019</v>
      </c>
      <c r="N46" s="186">
        <v>15</v>
      </c>
      <c r="O46" s="188">
        <v>0.5</v>
      </c>
      <c r="P46" s="188">
        <v>5</v>
      </c>
      <c r="Q46" s="188">
        <v>2.5</v>
      </c>
      <c r="R46" s="189">
        <v>4.0599999999999996</v>
      </c>
      <c r="S46" s="189" t="s">
        <v>985</v>
      </c>
    </row>
    <row r="47" spans="1:19" ht="15" customHeight="1" x14ac:dyDescent="0.3">
      <c r="A47" s="182" t="s">
        <v>1017</v>
      </c>
      <c r="B47" s="182" t="s">
        <v>563</v>
      </c>
      <c r="C47" s="182"/>
      <c r="D47" s="182" t="s">
        <v>952</v>
      </c>
      <c r="E47" s="183" t="s">
        <v>953</v>
      </c>
      <c r="F47" s="183"/>
      <c r="G47" s="184">
        <v>1</v>
      </c>
      <c r="H47" s="185">
        <v>0</v>
      </c>
      <c r="I47" s="186">
        <v>2287.1357450968098</v>
      </c>
      <c r="J47" s="187">
        <v>2287.1357450968098</v>
      </c>
      <c r="K47" s="182" t="s">
        <v>1018</v>
      </c>
      <c r="L47" s="182">
        <v>2</v>
      </c>
      <c r="M47" s="182" t="s">
        <v>1020</v>
      </c>
      <c r="N47" s="186">
        <v>15</v>
      </c>
      <c r="O47" s="188">
        <v>1</v>
      </c>
      <c r="P47" s="188">
        <v>5</v>
      </c>
      <c r="Q47" s="188">
        <v>5</v>
      </c>
      <c r="R47" s="189">
        <v>4.0599999999999996</v>
      </c>
      <c r="S47" s="189" t="s">
        <v>985</v>
      </c>
    </row>
    <row r="48" spans="1:19" ht="15" customHeight="1" x14ac:dyDescent="0.3">
      <c r="A48" s="182" t="s">
        <v>1017</v>
      </c>
      <c r="B48" s="182" t="s">
        <v>563</v>
      </c>
      <c r="C48" s="182"/>
      <c r="D48" s="182" t="s">
        <v>955</v>
      </c>
      <c r="E48" s="183" t="s">
        <v>956</v>
      </c>
      <c r="F48" s="183"/>
      <c r="G48" s="184">
        <v>1</v>
      </c>
      <c r="H48" s="185">
        <v>0</v>
      </c>
      <c r="I48" s="186">
        <v>957.25319614994703</v>
      </c>
      <c r="J48" s="187">
        <v>957.25319614994703</v>
      </c>
      <c r="K48" s="182" t="s">
        <v>1018</v>
      </c>
      <c r="L48" s="182">
        <v>3</v>
      </c>
      <c r="M48" s="182" t="s">
        <v>1021</v>
      </c>
      <c r="N48" s="186">
        <v>15</v>
      </c>
      <c r="O48" s="188">
        <v>1</v>
      </c>
      <c r="P48" s="188">
        <v>5</v>
      </c>
      <c r="Q48" s="188">
        <v>5</v>
      </c>
      <c r="R48" s="189">
        <v>4.0599999999999996</v>
      </c>
      <c r="S48" s="189" t="s">
        <v>985</v>
      </c>
    </row>
    <row r="49" spans="1:19" ht="15" customHeight="1" x14ac:dyDescent="0.3">
      <c r="A49" s="182" t="s">
        <v>1017</v>
      </c>
      <c r="B49" s="182" t="s">
        <v>908</v>
      </c>
      <c r="C49" s="182" t="s">
        <v>909</v>
      </c>
      <c r="D49" s="182" t="s">
        <v>958</v>
      </c>
      <c r="E49" s="183" t="s">
        <v>959</v>
      </c>
      <c r="F49" s="183" t="s">
        <v>600</v>
      </c>
      <c r="G49" s="184">
        <v>0.17</v>
      </c>
      <c r="H49" s="185">
        <v>0.1</v>
      </c>
      <c r="I49" s="186">
        <v>3424.53</v>
      </c>
      <c r="J49" s="187">
        <v>640.38711000000001</v>
      </c>
      <c r="K49" s="182" t="s">
        <v>1022</v>
      </c>
      <c r="L49" s="182">
        <v>1</v>
      </c>
      <c r="M49" s="182" t="s">
        <v>1023</v>
      </c>
      <c r="N49" s="186">
        <v>15</v>
      </c>
      <c r="O49" s="188">
        <v>0.17</v>
      </c>
      <c r="P49" s="188">
        <v>5</v>
      </c>
      <c r="Q49" s="188">
        <v>0.85</v>
      </c>
      <c r="R49" s="189">
        <v>4.0599999999999996</v>
      </c>
      <c r="S49" s="189" t="s">
        <v>985</v>
      </c>
    </row>
    <row r="50" spans="1:19" ht="15" customHeight="1" x14ac:dyDescent="0.3">
      <c r="A50" s="182" t="s">
        <v>1017</v>
      </c>
      <c r="B50" s="182" t="s">
        <v>908</v>
      </c>
      <c r="C50" s="182" t="s">
        <v>909</v>
      </c>
      <c r="D50" s="182" t="s">
        <v>962</v>
      </c>
      <c r="E50" s="183" t="s">
        <v>963</v>
      </c>
      <c r="F50" s="183" t="s">
        <v>590</v>
      </c>
      <c r="G50" s="184">
        <v>2.4E-2</v>
      </c>
      <c r="H50" s="185">
        <v>0.1</v>
      </c>
      <c r="I50" s="186">
        <v>32399.77</v>
      </c>
      <c r="J50" s="187">
        <v>855.353928</v>
      </c>
      <c r="K50" s="182" t="s">
        <v>1022</v>
      </c>
      <c r="L50" s="182">
        <v>2</v>
      </c>
      <c r="M50" s="182" t="s">
        <v>1024</v>
      </c>
      <c r="N50" s="186">
        <v>15</v>
      </c>
      <c r="O50" s="188">
        <v>2.4E-2</v>
      </c>
      <c r="P50" s="188">
        <v>5</v>
      </c>
      <c r="Q50" s="188">
        <v>0.12</v>
      </c>
      <c r="R50" s="189">
        <v>4.0599999999999996</v>
      </c>
      <c r="S50" s="189" t="s">
        <v>985</v>
      </c>
    </row>
    <row r="51" spans="1:19" ht="15" customHeight="1" x14ac:dyDescent="0.3">
      <c r="A51" s="182" t="s">
        <v>1017</v>
      </c>
      <c r="B51" s="182" t="s">
        <v>908</v>
      </c>
      <c r="C51" s="182" t="s">
        <v>909</v>
      </c>
      <c r="D51" s="182" t="s">
        <v>965</v>
      </c>
      <c r="E51" s="183" t="s">
        <v>966</v>
      </c>
      <c r="F51" s="183" t="s">
        <v>967</v>
      </c>
      <c r="G51" s="184">
        <v>0.1</v>
      </c>
      <c r="H51" s="185">
        <v>0.1</v>
      </c>
      <c r="I51" s="186">
        <v>7809.48</v>
      </c>
      <c r="J51" s="187">
        <v>859.04280000000006</v>
      </c>
      <c r="K51" s="182" t="s">
        <v>1022</v>
      </c>
      <c r="L51" s="182">
        <v>3</v>
      </c>
      <c r="M51" s="182" t="s">
        <v>1025</v>
      </c>
      <c r="N51" s="186">
        <v>15</v>
      </c>
      <c r="O51" s="188">
        <v>0.1</v>
      </c>
      <c r="P51" s="188">
        <v>5</v>
      </c>
      <c r="Q51" s="188">
        <v>0.5</v>
      </c>
      <c r="R51" s="189">
        <v>4.0599999999999996</v>
      </c>
      <c r="S51" s="189" t="s">
        <v>985</v>
      </c>
    </row>
    <row r="52" spans="1:19" ht="15" customHeight="1" x14ac:dyDescent="0.3">
      <c r="A52" s="182" t="s">
        <v>1017</v>
      </c>
      <c r="B52" s="182" t="s">
        <v>908</v>
      </c>
      <c r="C52" s="182" t="s">
        <v>909</v>
      </c>
      <c r="D52" s="182" t="s">
        <v>969</v>
      </c>
      <c r="E52" s="183" t="s">
        <v>970</v>
      </c>
      <c r="F52" s="183" t="s">
        <v>971</v>
      </c>
      <c r="G52" s="184">
        <v>0.2</v>
      </c>
      <c r="H52" s="185">
        <v>0.1</v>
      </c>
      <c r="I52" s="186">
        <v>3837.96</v>
      </c>
      <c r="J52" s="187">
        <v>844.35119999999995</v>
      </c>
      <c r="K52" s="182" t="s">
        <v>1022</v>
      </c>
      <c r="L52" s="182">
        <v>4</v>
      </c>
      <c r="M52" s="182" t="s">
        <v>1026</v>
      </c>
      <c r="N52" s="186">
        <v>15</v>
      </c>
      <c r="O52" s="188">
        <v>0.2</v>
      </c>
      <c r="P52" s="188">
        <v>5</v>
      </c>
      <c r="Q52" s="188">
        <v>1</v>
      </c>
      <c r="R52" s="189">
        <v>4.0599999999999996</v>
      </c>
      <c r="S52" s="189" t="s">
        <v>985</v>
      </c>
    </row>
    <row r="53" spans="1:19" ht="15" customHeight="1" x14ac:dyDescent="0.3">
      <c r="A53" s="182" t="s">
        <v>1017</v>
      </c>
      <c r="B53" s="182" t="s">
        <v>908</v>
      </c>
      <c r="C53" s="182" t="s">
        <v>909</v>
      </c>
      <c r="D53" s="182" t="s">
        <v>1027</v>
      </c>
      <c r="E53" s="183" t="s">
        <v>1028</v>
      </c>
      <c r="F53" s="183" t="s">
        <v>600</v>
      </c>
      <c r="G53" s="184">
        <v>15</v>
      </c>
      <c r="H53" s="185">
        <v>0.05</v>
      </c>
      <c r="I53" s="186">
        <v>519.12</v>
      </c>
      <c r="J53" s="187">
        <v>8176.14</v>
      </c>
      <c r="K53" s="182" t="s">
        <v>1022</v>
      </c>
      <c r="L53" s="182">
        <v>5</v>
      </c>
      <c r="M53" s="182" t="s">
        <v>1029</v>
      </c>
      <c r="N53" s="186">
        <v>15</v>
      </c>
      <c r="O53" s="188">
        <v>15</v>
      </c>
      <c r="P53" s="188">
        <v>5</v>
      </c>
      <c r="Q53" s="188">
        <v>75</v>
      </c>
      <c r="R53" s="189">
        <v>4.0599999999999996</v>
      </c>
      <c r="S53" s="189" t="s">
        <v>985</v>
      </c>
    </row>
    <row r="54" spans="1:19" ht="15" customHeight="1" x14ac:dyDescent="0.3">
      <c r="A54" s="182" t="s">
        <v>1017</v>
      </c>
      <c r="B54" s="182" t="s">
        <v>908</v>
      </c>
      <c r="C54" s="182" t="s">
        <v>909</v>
      </c>
      <c r="D54" s="182" t="s">
        <v>976</v>
      </c>
      <c r="E54" s="183" t="s">
        <v>977</v>
      </c>
      <c r="F54" s="183" t="s">
        <v>576</v>
      </c>
      <c r="G54" s="184">
        <v>117.1653328914</v>
      </c>
      <c r="H54" s="185">
        <v>0</v>
      </c>
      <c r="I54" s="186">
        <v>1</v>
      </c>
      <c r="J54" s="187">
        <v>117.1653328914</v>
      </c>
      <c r="K54" s="182" t="s">
        <v>1022</v>
      </c>
      <c r="L54" s="182">
        <v>6</v>
      </c>
      <c r="M54" s="182" t="s">
        <v>1030</v>
      </c>
      <c r="N54" s="186">
        <v>15</v>
      </c>
      <c r="O54" s="188">
        <v>117.1653328914</v>
      </c>
      <c r="P54" s="188">
        <v>5</v>
      </c>
      <c r="Q54" s="188">
        <v>585.82666445699999</v>
      </c>
      <c r="R54" s="189">
        <v>4.0599999999999996</v>
      </c>
      <c r="S54" s="189" t="s">
        <v>985</v>
      </c>
    </row>
    <row r="55" spans="1:19" ht="15" customHeight="1" x14ac:dyDescent="0.3">
      <c r="A55" s="182" t="s">
        <v>1017</v>
      </c>
      <c r="B55" s="182" t="s">
        <v>937</v>
      </c>
      <c r="C55" s="182" t="s">
        <v>938</v>
      </c>
      <c r="D55" s="190" t="s">
        <v>939</v>
      </c>
      <c r="E55" s="183" t="s">
        <v>940</v>
      </c>
      <c r="F55" s="183" t="s">
        <v>941</v>
      </c>
      <c r="G55" s="184">
        <v>1</v>
      </c>
      <c r="H55" s="185">
        <v>0</v>
      </c>
      <c r="I55" s="186">
        <v>60860.580776572002</v>
      </c>
      <c r="J55" s="187">
        <v>60860.580776572002</v>
      </c>
      <c r="K55" s="182" t="s">
        <v>1031</v>
      </c>
      <c r="L55" s="182">
        <v>1</v>
      </c>
      <c r="M55" s="182" t="s">
        <v>1032</v>
      </c>
      <c r="N55" s="186">
        <v>15</v>
      </c>
      <c r="O55" s="188">
        <v>6.6666666666666693E-2</v>
      </c>
      <c r="P55" s="188">
        <v>5</v>
      </c>
      <c r="Q55" s="188">
        <v>0.33333333333333298</v>
      </c>
      <c r="R55" s="189">
        <v>4.0599999999999996</v>
      </c>
      <c r="S55" s="189" t="s">
        <v>985</v>
      </c>
    </row>
    <row r="56" spans="1:19" ht="15" customHeight="1" x14ac:dyDescent="0.3">
      <c r="A56" s="182" t="s">
        <v>1017</v>
      </c>
      <c r="B56" s="182" t="s">
        <v>937</v>
      </c>
      <c r="C56" s="182" t="s">
        <v>938</v>
      </c>
      <c r="D56" s="190" t="s">
        <v>944</v>
      </c>
      <c r="E56" s="183" t="s">
        <v>945</v>
      </c>
      <c r="F56" s="183" t="s">
        <v>941</v>
      </c>
      <c r="G56" s="184">
        <v>1</v>
      </c>
      <c r="H56" s="185">
        <v>0</v>
      </c>
      <c r="I56" s="186">
        <v>85927.097156571996</v>
      </c>
      <c r="J56" s="187">
        <v>85927.097156571996</v>
      </c>
      <c r="K56" s="182" t="s">
        <v>1031</v>
      </c>
      <c r="L56" s="182">
        <v>2</v>
      </c>
      <c r="M56" s="182" t="s">
        <v>1033</v>
      </c>
      <c r="N56" s="186">
        <v>15</v>
      </c>
      <c r="O56" s="188">
        <v>6.6666666666666693E-2</v>
      </c>
      <c r="P56" s="188">
        <v>5</v>
      </c>
      <c r="Q56" s="188">
        <v>0.33333333333333298</v>
      </c>
      <c r="R56" s="189">
        <v>4.0599999999999996</v>
      </c>
      <c r="S56" s="189" t="s">
        <v>985</v>
      </c>
    </row>
    <row r="57" spans="1:19" ht="15" customHeight="1" x14ac:dyDescent="0.3">
      <c r="A57" s="182" t="s">
        <v>1034</v>
      </c>
      <c r="B57" s="182" t="s">
        <v>563</v>
      </c>
      <c r="C57" s="182"/>
      <c r="D57" s="182" t="s">
        <v>948</v>
      </c>
      <c r="E57" s="183" t="s">
        <v>949</v>
      </c>
      <c r="F57" s="183"/>
      <c r="G57" s="184">
        <v>0.5</v>
      </c>
      <c r="H57" s="185">
        <v>0</v>
      </c>
      <c r="I57" s="186">
        <v>571.17949098076099</v>
      </c>
      <c r="J57" s="187">
        <v>285.58974549038101</v>
      </c>
      <c r="K57" s="182" t="s">
        <v>1035</v>
      </c>
      <c r="L57" s="182">
        <v>1</v>
      </c>
      <c r="M57" s="182" t="s">
        <v>1036</v>
      </c>
      <c r="N57" s="186">
        <v>4</v>
      </c>
      <c r="O57" s="188">
        <v>0.5</v>
      </c>
      <c r="P57" s="188" t="s">
        <v>573</v>
      </c>
      <c r="Q57" s="188">
        <v>0</v>
      </c>
      <c r="R57" s="189" t="s">
        <v>573</v>
      </c>
      <c r="S57" s="189" t="s">
        <v>573</v>
      </c>
    </row>
    <row r="58" spans="1:19" ht="15" customHeight="1" x14ac:dyDescent="0.3">
      <c r="A58" s="182" t="s">
        <v>1034</v>
      </c>
      <c r="B58" s="182" t="s">
        <v>563</v>
      </c>
      <c r="C58" s="182"/>
      <c r="D58" s="182" t="s">
        <v>952</v>
      </c>
      <c r="E58" s="183" t="s">
        <v>953</v>
      </c>
      <c r="F58" s="183"/>
      <c r="G58" s="184">
        <v>1</v>
      </c>
      <c r="H58" s="185">
        <v>0</v>
      </c>
      <c r="I58" s="186">
        <v>2287.1357450968098</v>
      </c>
      <c r="J58" s="187">
        <v>2287.1357450968098</v>
      </c>
      <c r="K58" s="182" t="s">
        <v>1035</v>
      </c>
      <c r="L58" s="182">
        <v>2</v>
      </c>
      <c r="M58" s="182" t="s">
        <v>1037</v>
      </c>
      <c r="N58" s="186">
        <v>4</v>
      </c>
      <c r="O58" s="188">
        <v>1</v>
      </c>
      <c r="P58" s="188" t="s">
        <v>573</v>
      </c>
      <c r="Q58" s="188">
        <v>0</v>
      </c>
      <c r="R58" s="189" t="s">
        <v>573</v>
      </c>
      <c r="S58" s="189" t="s">
        <v>573</v>
      </c>
    </row>
    <row r="59" spans="1:19" ht="15" customHeight="1" x14ac:dyDescent="0.3">
      <c r="A59" s="182" t="s">
        <v>1034</v>
      </c>
      <c r="B59" s="182" t="s">
        <v>563</v>
      </c>
      <c r="C59" s="182"/>
      <c r="D59" s="182" t="s">
        <v>955</v>
      </c>
      <c r="E59" s="183" t="s">
        <v>956</v>
      </c>
      <c r="F59" s="183"/>
      <c r="G59" s="184">
        <v>1</v>
      </c>
      <c r="H59" s="185">
        <v>0</v>
      </c>
      <c r="I59" s="186">
        <v>957.25319614994703</v>
      </c>
      <c r="J59" s="187">
        <v>957.25319614994703</v>
      </c>
      <c r="K59" s="182" t="s">
        <v>1035</v>
      </c>
      <c r="L59" s="182">
        <v>3</v>
      </c>
      <c r="M59" s="182" t="s">
        <v>1038</v>
      </c>
      <c r="N59" s="186">
        <v>4</v>
      </c>
      <c r="O59" s="188">
        <v>1</v>
      </c>
      <c r="P59" s="188" t="s">
        <v>573</v>
      </c>
      <c r="Q59" s="188">
        <v>0</v>
      </c>
      <c r="R59" s="189" t="s">
        <v>573</v>
      </c>
      <c r="S59" s="189" t="s">
        <v>573</v>
      </c>
    </row>
    <row r="60" spans="1:19" ht="15" customHeight="1" x14ac:dyDescent="0.3">
      <c r="A60" s="182" t="s">
        <v>1034</v>
      </c>
      <c r="B60" s="182" t="s">
        <v>908</v>
      </c>
      <c r="C60" s="182" t="s">
        <v>909</v>
      </c>
      <c r="D60" s="182" t="s">
        <v>958</v>
      </c>
      <c r="E60" s="183" t="s">
        <v>959</v>
      </c>
      <c r="F60" s="183" t="s">
        <v>600</v>
      </c>
      <c r="G60" s="184">
        <v>0.34</v>
      </c>
      <c r="H60" s="185">
        <v>0.1</v>
      </c>
      <c r="I60" s="186">
        <v>3424.53</v>
      </c>
      <c r="J60" s="187">
        <v>1280.77422</v>
      </c>
      <c r="K60" s="182" t="s">
        <v>1039</v>
      </c>
      <c r="L60" s="182">
        <v>1</v>
      </c>
      <c r="M60" s="182" t="s">
        <v>1040</v>
      </c>
      <c r="N60" s="186">
        <v>4</v>
      </c>
      <c r="O60" s="188">
        <v>0.34</v>
      </c>
      <c r="P60" s="188" t="s">
        <v>573</v>
      </c>
      <c r="Q60" s="188">
        <v>0</v>
      </c>
      <c r="R60" s="189" t="s">
        <v>573</v>
      </c>
      <c r="S60" s="189" t="s">
        <v>573</v>
      </c>
    </row>
    <row r="61" spans="1:19" ht="15" customHeight="1" x14ac:dyDescent="0.3">
      <c r="A61" s="182" t="s">
        <v>1034</v>
      </c>
      <c r="B61" s="182" t="s">
        <v>908</v>
      </c>
      <c r="C61" s="182" t="s">
        <v>909</v>
      </c>
      <c r="D61" s="182" t="s">
        <v>962</v>
      </c>
      <c r="E61" s="183" t="s">
        <v>963</v>
      </c>
      <c r="F61" s="183" t="s">
        <v>590</v>
      </c>
      <c r="G61" s="184">
        <v>5.2999999999999999E-2</v>
      </c>
      <c r="H61" s="185">
        <v>0.1</v>
      </c>
      <c r="I61" s="186">
        <v>32399.77</v>
      </c>
      <c r="J61" s="187">
        <v>1888.9065909999999</v>
      </c>
      <c r="K61" s="182" t="s">
        <v>1039</v>
      </c>
      <c r="L61" s="182">
        <v>2</v>
      </c>
      <c r="M61" s="182" t="s">
        <v>1041</v>
      </c>
      <c r="N61" s="186">
        <v>4</v>
      </c>
      <c r="O61" s="188">
        <v>5.2999999999999999E-2</v>
      </c>
      <c r="P61" s="188" t="s">
        <v>573</v>
      </c>
      <c r="Q61" s="188">
        <v>0</v>
      </c>
      <c r="R61" s="189" t="s">
        <v>573</v>
      </c>
      <c r="S61" s="189" t="s">
        <v>573</v>
      </c>
    </row>
    <row r="62" spans="1:19" ht="15" customHeight="1" x14ac:dyDescent="0.3">
      <c r="A62" s="182" t="s">
        <v>1034</v>
      </c>
      <c r="B62" s="182" t="s">
        <v>908</v>
      </c>
      <c r="C62" s="182" t="s">
        <v>909</v>
      </c>
      <c r="D62" s="182" t="s">
        <v>965</v>
      </c>
      <c r="E62" s="183" t="s">
        <v>966</v>
      </c>
      <c r="F62" s="183" t="s">
        <v>967</v>
      </c>
      <c r="G62" s="184">
        <v>0.254</v>
      </c>
      <c r="H62" s="185">
        <v>0.1</v>
      </c>
      <c r="I62" s="186">
        <v>7809.48</v>
      </c>
      <c r="J62" s="187">
        <v>2181.9687119999999</v>
      </c>
      <c r="K62" s="182" t="s">
        <v>1039</v>
      </c>
      <c r="L62" s="182">
        <v>3</v>
      </c>
      <c r="M62" s="182" t="s">
        <v>1042</v>
      </c>
      <c r="N62" s="186">
        <v>4</v>
      </c>
      <c r="O62" s="188">
        <v>0.254</v>
      </c>
      <c r="P62" s="188" t="s">
        <v>573</v>
      </c>
      <c r="Q62" s="188">
        <v>0</v>
      </c>
      <c r="R62" s="189" t="s">
        <v>573</v>
      </c>
      <c r="S62" s="189" t="s">
        <v>573</v>
      </c>
    </row>
    <row r="63" spans="1:19" ht="15" customHeight="1" x14ac:dyDescent="0.3">
      <c r="A63" s="182" t="s">
        <v>1034</v>
      </c>
      <c r="B63" s="182" t="s">
        <v>908</v>
      </c>
      <c r="C63" s="182" t="s">
        <v>909</v>
      </c>
      <c r="D63" s="182" t="s">
        <v>969</v>
      </c>
      <c r="E63" s="183" t="s">
        <v>970</v>
      </c>
      <c r="F63" s="183" t="s">
        <v>971</v>
      </c>
      <c r="G63" s="184">
        <v>0.4</v>
      </c>
      <c r="H63" s="185">
        <v>0.1</v>
      </c>
      <c r="I63" s="186">
        <v>3837.96</v>
      </c>
      <c r="J63" s="187">
        <v>1688.7023999999999</v>
      </c>
      <c r="K63" s="182" t="s">
        <v>1039</v>
      </c>
      <c r="L63" s="182">
        <v>4</v>
      </c>
      <c r="M63" s="182" t="s">
        <v>1043</v>
      </c>
      <c r="N63" s="186">
        <v>4</v>
      </c>
      <c r="O63" s="188">
        <v>0.4</v>
      </c>
      <c r="P63" s="188" t="s">
        <v>573</v>
      </c>
      <c r="Q63" s="188">
        <v>0</v>
      </c>
      <c r="R63" s="189" t="s">
        <v>573</v>
      </c>
      <c r="S63" s="189" t="s">
        <v>573</v>
      </c>
    </row>
    <row r="64" spans="1:19" ht="15" customHeight="1" x14ac:dyDescent="0.3">
      <c r="A64" s="182" t="s">
        <v>1034</v>
      </c>
      <c r="B64" s="182" t="s">
        <v>908</v>
      </c>
      <c r="C64" s="182" t="s">
        <v>909</v>
      </c>
      <c r="D64" s="182" t="s">
        <v>1044</v>
      </c>
      <c r="E64" s="183" t="s">
        <v>1045</v>
      </c>
      <c r="F64" s="183" t="s">
        <v>1046</v>
      </c>
      <c r="G64" s="184">
        <v>0.1</v>
      </c>
      <c r="H64" s="185">
        <v>0.05</v>
      </c>
      <c r="I64" s="186">
        <v>1256.1279999999999</v>
      </c>
      <c r="J64" s="187">
        <v>131.89344</v>
      </c>
      <c r="K64" s="182" t="s">
        <v>1039</v>
      </c>
      <c r="L64" s="182">
        <v>5</v>
      </c>
      <c r="M64" s="182" t="s">
        <v>1047</v>
      </c>
      <c r="N64" s="186">
        <v>4</v>
      </c>
      <c r="O64" s="188">
        <v>0.1</v>
      </c>
      <c r="P64" s="188" t="s">
        <v>573</v>
      </c>
      <c r="Q64" s="188">
        <v>0</v>
      </c>
      <c r="R64" s="189" t="s">
        <v>573</v>
      </c>
      <c r="S64" s="189" t="s">
        <v>573</v>
      </c>
    </row>
    <row r="65" spans="1:19" ht="15" customHeight="1" x14ac:dyDescent="0.3">
      <c r="A65" s="182" t="s">
        <v>1034</v>
      </c>
      <c r="B65" s="182" t="s">
        <v>908</v>
      </c>
      <c r="C65" s="182" t="s">
        <v>909</v>
      </c>
      <c r="D65" s="182" t="s">
        <v>993</v>
      </c>
      <c r="E65" s="183" t="s">
        <v>994</v>
      </c>
      <c r="F65" s="183" t="s">
        <v>600</v>
      </c>
      <c r="G65" s="184">
        <v>15</v>
      </c>
      <c r="H65" s="185">
        <v>0.05</v>
      </c>
      <c r="I65" s="186">
        <v>292.32</v>
      </c>
      <c r="J65" s="187">
        <v>4604.04</v>
      </c>
      <c r="K65" s="182" t="s">
        <v>1039</v>
      </c>
      <c r="L65" s="182">
        <v>6</v>
      </c>
      <c r="M65" s="182" t="s">
        <v>1048</v>
      </c>
      <c r="N65" s="186">
        <v>4</v>
      </c>
      <c r="O65" s="188">
        <v>15</v>
      </c>
      <c r="P65" s="188" t="s">
        <v>573</v>
      </c>
      <c r="Q65" s="188">
        <v>0</v>
      </c>
      <c r="R65" s="189" t="s">
        <v>573</v>
      </c>
      <c r="S65" s="189" t="s">
        <v>573</v>
      </c>
    </row>
    <row r="66" spans="1:19" ht="15" customHeight="1" x14ac:dyDescent="0.3">
      <c r="A66" s="182" t="s">
        <v>1034</v>
      </c>
      <c r="B66" s="182" t="s">
        <v>908</v>
      </c>
      <c r="C66" s="182" t="s">
        <v>909</v>
      </c>
      <c r="D66" s="182" t="s">
        <v>1049</v>
      </c>
      <c r="E66" s="183" t="s">
        <v>1050</v>
      </c>
      <c r="F66" s="183" t="s">
        <v>600</v>
      </c>
      <c r="G66" s="184">
        <v>60</v>
      </c>
      <c r="H66" s="185">
        <v>0.05</v>
      </c>
      <c r="I66" s="186">
        <v>233.44</v>
      </c>
      <c r="J66" s="187">
        <v>14706.72</v>
      </c>
      <c r="K66" s="182" t="s">
        <v>1039</v>
      </c>
      <c r="L66" s="182">
        <v>7</v>
      </c>
      <c r="M66" s="182" t="s">
        <v>1051</v>
      </c>
      <c r="N66" s="186">
        <v>4</v>
      </c>
      <c r="O66" s="188">
        <v>60</v>
      </c>
      <c r="P66" s="188" t="s">
        <v>573</v>
      </c>
      <c r="Q66" s="188">
        <v>0</v>
      </c>
      <c r="R66" s="189" t="s">
        <v>573</v>
      </c>
      <c r="S66" s="189" t="s">
        <v>573</v>
      </c>
    </row>
    <row r="67" spans="1:19" ht="15" customHeight="1" x14ac:dyDescent="0.3">
      <c r="A67" s="182" t="s">
        <v>1034</v>
      </c>
      <c r="B67" s="182" t="s">
        <v>908</v>
      </c>
      <c r="C67" s="182" t="s">
        <v>909</v>
      </c>
      <c r="D67" s="182" t="s">
        <v>976</v>
      </c>
      <c r="E67" s="183" t="s">
        <v>977</v>
      </c>
      <c r="F67" s="183" t="s">
        <v>576</v>
      </c>
      <c r="G67" s="184">
        <v>285.29000000000002</v>
      </c>
      <c r="H67" s="185">
        <v>0</v>
      </c>
      <c r="I67" s="186">
        <v>1</v>
      </c>
      <c r="J67" s="187">
        <v>285.29000000000002</v>
      </c>
      <c r="K67" s="182" t="s">
        <v>1039</v>
      </c>
      <c r="L67" s="182">
        <v>8</v>
      </c>
      <c r="M67" s="182" t="s">
        <v>1052</v>
      </c>
      <c r="N67" s="186">
        <v>4</v>
      </c>
      <c r="O67" s="188">
        <v>285.29000000000002</v>
      </c>
      <c r="P67" s="188" t="s">
        <v>573</v>
      </c>
      <c r="Q67" s="188">
        <v>0</v>
      </c>
      <c r="R67" s="189" t="s">
        <v>573</v>
      </c>
      <c r="S67" s="189" t="s">
        <v>573</v>
      </c>
    </row>
    <row r="68" spans="1:19" ht="15" customHeight="1" x14ac:dyDescent="0.3">
      <c r="A68" s="182" t="s">
        <v>1034</v>
      </c>
      <c r="B68" s="182" t="s">
        <v>908</v>
      </c>
      <c r="C68" s="182" t="s">
        <v>909</v>
      </c>
      <c r="D68" s="182" t="s">
        <v>910</v>
      </c>
      <c r="E68" s="183" t="s">
        <v>911</v>
      </c>
      <c r="F68" s="183" t="s">
        <v>912</v>
      </c>
      <c r="G68" s="184">
        <v>5.0000000000000001E-3</v>
      </c>
      <c r="H68" s="185">
        <v>0.05</v>
      </c>
      <c r="I68" s="186">
        <v>26907.33</v>
      </c>
      <c r="J68" s="187">
        <v>141.26348250000001</v>
      </c>
      <c r="K68" s="182" t="s">
        <v>1039</v>
      </c>
      <c r="L68" s="182">
        <v>9</v>
      </c>
      <c r="M68" s="182" t="s">
        <v>1053</v>
      </c>
      <c r="N68" s="186">
        <v>4</v>
      </c>
      <c r="O68" s="188">
        <v>5.0000000000000001E-3</v>
      </c>
      <c r="P68" s="188" t="s">
        <v>573</v>
      </c>
      <c r="Q68" s="188">
        <v>0</v>
      </c>
      <c r="R68" s="189" t="s">
        <v>573</v>
      </c>
      <c r="S68" s="189" t="s">
        <v>573</v>
      </c>
    </row>
    <row r="69" spans="1:19" ht="15" customHeight="1" x14ac:dyDescent="0.3">
      <c r="A69" s="182" t="s">
        <v>1034</v>
      </c>
      <c r="B69" s="182" t="s">
        <v>908</v>
      </c>
      <c r="C69" s="182" t="s">
        <v>909</v>
      </c>
      <c r="D69" s="182" t="s">
        <v>918</v>
      </c>
      <c r="E69" s="183" t="s">
        <v>919</v>
      </c>
      <c r="F69" s="183" t="s">
        <v>600</v>
      </c>
      <c r="G69" s="184">
        <v>0.01</v>
      </c>
      <c r="H69" s="185">
        <v>0.05</v>
      </c>
      <c r="I69" s="186">
        <v>6678.36</v>
      </c>
      <c r="J69" s="187">
        <v>70.122780000000006</v>
      </c>
      <c r="K69" s="182" t="s">
        <v>1039</v>
      </c>
      <c r="L69" s="182">
        <v>10</v>
      </c>
      <c r="M69" s="182" t="s">
        <v>1054</v>
      </c>
      <c r="N69" s="186">
        <v>4</v>
      </c>
      <c r="O69" s="188">
        <v>0.01</v>
      </c>
      <c r="P69" s="188" t="s">
        <v>573</v>
      </c>
      <c r="Q69" s="188">
        <v>0</v>
      </c>
      <c r="R69" s="189" t="s">
        <v>573</v>
      </c>
      <c r="S69" s="189" t="s">
        <v>573</v>
      </c>
    </row>
    <row r="70" spans="1:19" ht="15" customHeight="1" x14ac:dyDescent="0.3">
      <c r="A70" s="182" t="s">
        <v>1034</v>
      </c>
      <c r="B70" s="182" t="s">
        <v>908</v>
      </c>
      <c r="C70" s="182" t="s">
        <v>909</v>
      </c>
      <c r="D70" s="182" t="s">
        <v>931</v>
      </c>
      <c r="E70" s="183" t="s">
        <v>932</v>
      </c>
      <c r="F70" s="183" t="s">
        <v>912</v>
      </c>
      <c r="G70" s="184">
        <v>2.7777777777777801E-2</v>
      </c>
      <c r="H70" s="185">
        <v>0.1</v>
      </c>
      <c r="I70" s="186">
        <v>32845.78</v>
      </c>
      <c r="J70" s="187">
        <v>1003.62105555556</v>
      </c>
      <c r="K70" s="182" t="s">
        <v>1039</v>
      </c>
      <c r="L70" s="182">
        <v>11</v>
      </c>
      <c r="M70" s="182" t="s">
        <v>1055</v>
      </c>
      <c r="N70" s="186">
        <v>4</v>
      </c>
      <c r="O70" s="188">
        <v>2.7777777777777801E-2</v>
      </c>
      <c r="P70" s="188" t="s">
        <v>573</v>
      </c>
      <c r="Q70" s="188">
        <v>0</v>
      </c>
      <c r="R70" s="189" t="s">
        <v>573</v>
      </c>
      <c r="S70" s="189" t="s">
        <v>573</v>
      </c>
    </row>
    <row r="71" spans="1:19" ht="15" customHeight="1" x14ac:dyDescent="0.3">
      <c r="A71" s="182" t="s">
        <v>1034</v>
      </c>
      <c r="B71" s="182" t="s">
        <v>937</v>
      </c>
      <c r="C71" s="182" t="s">
        <v>938</v>
      </c>
      <c r="D71" s="190" t="s">
        <v>939</v>
      </c>
      <c r="E71" s="183" t="s">
        <v>940</v>
      </c>
      <c r="F71" s="183" t="s">
        <v>941</v>
      </c>
      <c r="G71" s="184">
        <v>0.91</v>
      </c>
      <c r="H71" s="185">
        <v>0</v>
      </c>
      <c r="I71" s="186">
        <v>60860.580776572002</v>
      </c>
      <c r="J71" s="187">
        <v>55383.128506680499</v>
      </c>
      <c r="K71" s="182" t="s">
        <v>1056</v>
      </c>
      <c r="L71" s="182">
        <v>1</v>
      </c>
      <c r="M71" s="182" t="s">
        <v>1057</v>
      </c>
      <c r="N71" s="186">
        <v>4</v>
      </c>
      <c r="O71" s="188">
        <v>0.22750000000000001</v>
      </c>
      <c r="P71" s="188" t="s">
        <v>573</v>
      </c>
      <c r="Q71" s="188">
        <v>0</v>
      </c>
      <c r="R71" s="189" t="s">
        <v>573</v>
      </c>
      <c r="S71" s="189" t="s">
        <v>573</v>
      </c>
    </row>
    <row r="72" spans="1:19" ht="15" customHeight="1" x14ac:dyDescent="0.3">
      <c r="A72" s="182" t="s">
        <v>1034</v>
      </c>
      <c r="B72" s="182" t="s">
        <v>937</v>
      </c>
      <c r="C72" s="182" t="s">
        <v>938</v>
      </c>
      <c r="D72" s="190" t="s">
        <v>944</v>
      </c>
      <c r="E72" s="183" t="s">
        <v>945</v>
      </c>
      <c r="F72" s="183" t="s">
        <v>941</v>
      </c>
      <c r="G72" s="184">
        <v>1</v>
      </c>
      <c r="H72" s="185">
        <v>0</v>
      </c>
      <c r="I72" s="186">
        <v>85927.097156571996</v>
      </c>
      <c r="J72" s="187">
        <v>85927.097156571996</v>
      </c>
      <c r="K72" s="182" t="s">
        <v>1056</v>
      </c>
      <c r="L72" s="182">
        <v>2</v>
      </c>
      <c r="M72" s="182" t="s">
        <v>1058</v>
      </c>
      <c r="N72" s="186">
        <v>4</v>
      </c>
      <c r="O72" s="188">
        <v>0.25</v>
      </c>
      <c r="P72" s="188" t="s">
        <v>573</v>
      </c>
      <c r="Q72" s="188">
        <v>0</v>
      </c>
      <c r="R72" s="189" t="s">
        <v>573</v>
      </c>
      <c r="S72" s="189" t="s">
        <v>573</v>
      </c>
    </row>
    <row r="73" spans="1:19" ht="15" customHeight="1" x14ac:dyDescent="0.3">
      <c r="A73" s="182" t="s">
        <v>1059</v>
      </c>
      <c r="B73" s="182" t="s">
        <v>563</v>
      </c>
      <c r="C73" s="182"/>
      <c r="D73" s="182" t="s">
        <v>948</v>
      </c>
      <c r="E73" s="183" t="s">
        <v>949</v>
      </c>
      <c r="F73" s="183"/>
      <c r="G73" s="184">
        <v>0.5</v>
      </c>
      <c r="H73" s="185">
        <v>0</v>
      </c>
      <c r="I73" s="186">
        <v>571.17949098076099</v>
      </c>
      <c r="J73" s="187">
        <v>285.58974549038101</v>
      </c>
      <c r="K73" s="182" t="s">
        <v>1060</v>
      </c>
      <c r="L73" s="182">
        <v>1</v>
      </c>
      <c r="M73" s="182" t="s">
        <v>1061</v>
      </c>
      <c r="N73" s="186">
        <v>15</v>
      </c>
      <c r="O73" s="188">
        <v>0.5</v>
      </c>
      <c r="P73" s="188">
        <v>42</v>
      </c>
      <c r="Q73" s="188">
        <v>21</v>
      </c>
      <c r="R73" s="189">
        <v>4.04</v>
      </c>
      <c r="S73" s="189" t="s">
        <v>985</v>
      </c>
    </row>
    <row r="74" spans="1:19" ht="15" customHeight="1" x14ac:dyDescent="0.3">
      <c r="A74" s="182" t="s">
        <v>1059</v>
      </c>
      <c r="B74" s="182" t="s">
        <v>563</v>
      </c>
      <c r="C74" s="182"/>
      <c r="D74" s="182" t="s">
        <v>952</v>
      </c>
      <c r="E74" s="183" t="s">
        <v>953</v>
      </c>
      <c r="F74" s="183"/>
      <c r="G74" s="184">
        <v>1</v>
      </c>
      <c r="H74" s="185">
        <v>0</v>
      </c>
      <c r="I74" s="186">
        <v>2287.1357450968098</v>
      </c>
      <c r="J74" s="187">
        <v>2287.1357450968098</v>
      </c>
      <c r="K74" s="182" t="s">
        <v>1060</v>
      </c>
      <c r="L74" s="182">
        <v>2</v>
      </c>
      <c r="M74" s="182" t="s">
        <v>1062</v>
      </c>
      <c r="N74" s="186">
        <v>15</v>
      </c>
      <c r="O74" s="188">
        <v>1</v>
      </c>
      <c r="P74" s="188">
        <v>42</v>
      </c>
      <c r="Q74" s="188">
        <v>42</v>
      </c>
      <c r="R74" s="189">
        <v>4.04</v>
      </c>
      <c r="S74" s="189" t="s">
        <v>985</v>
      </c>
    </row>
    <row r="75" spans="1:19" ht="15" customHeight="1" x14ac:dyDescent="0.3">
      <c r="A75" s="182" t="s">
        <v>1059</v>
      </c>
      <c r="B75" s="182" t="s">
        <v>563</v>
      </c>
      <c r="C75" s="182"/>
      <c r="D75" s="182" t="s">
        <v>955</v>
      </c>
      <c r="E75" s="183" t="s">
        <v>956</v>
      </c>
      <c r="F75" s="183"/>
      <c r="G75" s="184">
        <v>1</v>
      </c>
      <c r="H75" s="185">
        <v>0</v>
      </c>
      <c r="I75" s="186">
        <v>957.25319614994703</v>
      </c>
      <c r="J75" s="187">
        <v>957.25319614994703</v>
      </c>
      <c r="K75" s="182" t="s">
        <v>1060</v>
      </c>
      <c r="L75" s="182">
        <v>3</v>
      </c>
      <c r="M75" s="182" t="s">
        <v>1063</v>
      </c>
      <c r="N75" s="186">
        <v>15</v>
      </c>
      <c r="O75" s="188">
        <v>1</v>
      </c>
      <c r="P75" s="188">
        <v>42</v>
      </c>
      <c r="Q75" s="188">
        <v>42</v>
      </c>
      <c r="R75" s="189">
        <v>4.04</v>
      </c>
      <c r="S75" s="189" t="s">
        <v>985</v>
      </c>
    </row>
    <row r="76" spans="1:19" ht="15" customHeight="1" x14ac:dyDescent="0.3">
      <c r="A76" s="182" t="s">
        <v>1059</v>
      </c>
      <c r="B76" s="182" t="s">
        <v>908</v>
      </c>
      <c r="C76" s="182" t="s">
        <v>909</v>
      </c>
      <c r="D76" s="182" t="s">
        <v>958</v>
      </c>
      <c r="E76" s="183" t="s">
        <v>959</v>
      </c>
      <c r="F76" s="183" t="s">
        <v>600</v>
      </c>
      <c r="G76" s="184">
        <v>0.17</v>
      </c>
      <c r="H76" s="185">
        <v>0.1</v>
      </c>
      <c r="I76" s="186">
        <v>3424.53</v>
      </c>
      <c r="J76" s="187">
        <v>640.38711000000001</v>
      </c>
      <c r="K76" s="182" t="s">
        <v>1064</v>
      </c>
      <c r="L76" s="182">
        <v>1</v>
      </c>
      <c r="M76" s="182" t="s">
        <v>1065</v>
      </c>
      <c r="N76" s="186">
        <v>15</v>
      </c>
      <c r="O76" s="188">
        <v>0.17</v>
      </c>
      <c r="P76" s="188">
        <v>42</v>
      </c>
      <c r="Q76" s="188">
        <v>7.14</v>
      </c>
      <c r="R76" s="189">
        <v>4.04</v>
      </c>
      <c r="S76" s="189" t="s">
        <v>985</v>
      </c>
    </row>
    <row r="77" spans="1:19" ht="15" customHeight="1" x14ac:dyDescent="0.3">
      <c r="A77" s="182" t="s">
        <v>1059</v>
      </c>
      <c r="B77" s="182" t="s">
        <v>908</v>
      </c>
      <c r="C77" s="182" t="s">
        <v>909</v>
      </c>
      <c r="D77" s="182" t="s">
        <v>962</v>
      </c>
      <c r="E77" s="183" t="s">
        <v>963</v>
      </c>
      <c r="F77" s="183" t="s">
        <v>590</v>
      </c>
      <c r="G77" s="184">
        <v>1.7999999999999999E-2</v>
      </c>
      <c r="H77" s="185">
        <v>0.1</v>
      </c>
      <c r="I77" s="186">
        <v>32399.77</v>
      </c>
      <c r="J77" s="187">
        <v>641.515446</v>
      </c>
      <c r="K77" s="182" t="s">
        <v>1064</v>
      </c>
      <c r="L77" s="182">
        <v>2</v>
      </c>
      <c r="M77" s="182" t="s">
        <v>1066</v>
      </c>
      <c r="N77" s="186">
        <v>15</v>
      </c>
      <c r="O77" s="188">
        <v>1.7999999999999999E-2</v>
      </c>
      <c r="P77" s="188">
        <v>42</v>
      </c>
      <c r="Q77" s="188">
        <v>0.75600000000000001</v>
      </c>
      <c r="R77" s="189">
        <v>4.04</v>
      </c>
      <c r="S77" s="189" t="s">
        <v>985</v>
      </c>
    </row>
    <row r="78" spans="1:19" ht="15" customHeight="1" x14ac:dyDescent="0.3">
      <c r="A78" s="182" t="s">
        <v>1059</v>
      </c>
      <c r="B78" s="182" t="s">
        <v>908</v>
      </c>
      <c r="C78" s="182" t="s">
        <v>909</v>
      </c>
      <c r="D78" s="182" t="s">
        <v>965</v>
      </c>
      <c r="E78" s="183" t="s">
        <v>966</v>
      </c>
      <c r="F78" s="183" t="s">
        <v>967</v>
      </c>
      <c r="G78" s="184">
        <v>7.4999999999999997E-2</v>
      </c>
      <c r="H78" s="185">
        <v>0.1</v>
      </c>
      <c r="I78" s="186">
        <v>7809.48</v>
      </c>
      <c r="J78" s="187">
        <v>644.28210000000001</v>
      </c>
      <c r="K78" s="182" t="s">
        <v>1064</v>
      </c>
      <c r="L78" s="182">
        <v>3</v>
      </c>
      <c r="M78" s="182" t="s">
        <v>1067</v>
      </c>
      <c r="N78" s="186">
        <v>15</v>
      </c>
      <c r="O78" s="188">
        <v>7.4999999999999997E-2</v>
      </c>
      <c r="P78" s="188">
        <v>42</v>
      </c>
      <c r="Q78" s="188">
        <v>3.15</v>
      </c>
      <c r="R78" s="189">
        <v>4.04</v>
      </c>
      <c r="S78" s="189" t="s">
        <v>985</v>
      </c>
    </row>
    <row r="79" spans="1:19" ht="15" customHeight="1" x14ac:dyDescent="0.3">
      <c r="A79" s="182" t="s">
        <v>1059</v>
      </c>
      <c r="B79" s="182" t="s">
        <v>908</v>
      </c>
      <c r="C79" s="182" t="s">
        <v>909</v>
      </c>
      <c r="D79" s="182" t="s">
        <v>969</v>
      </c>
      <c r="E79" s="183" t="s">
        <v>970</v>
      </c>
      <c r="F79" s="183" t="s">
        <v>971</v>
      </c>
      <c r="G79" s="184">
        <v>0.15</v>
      </c>
      <c r="H79" s="185">
        <v>0.1</v>
      </c>
      <c r="I79" s="186">
        <v>3837.96</v>
      </c>
      <c r="J79" s="187">
        <v>633.26340000000005</v>
      </c>
      <c r="K79" s="182" t="s">
        <v>1064</v>
      </c>
      <c r="L79" s="182">
        <v>4</v>
      </c>
      <c r="M79" s="182" t="s">
        <v>1068</v>
      </c>
      <c r="N79" s="186">
        <v>15</v>
      </c>
      <c r="O79" s="188">
        <v>0.15</v>
      </c>
      <c r="P79" s="188">
        <v>42</v>
      </c>
      <c r="Q79" s="188">
        <v>6.3</v>
      </c>
      <c r="R79" s="189">
        <v>4.04</v>
      </c>
      <c r="S79" s="189" t="s">
        <v>985</v>
      </c>
    </row>
    <row r="80" spans="1:19" ht="15" customHeight="1" x14ac:dyDescent="0.3">
      <c r="A80" s="182" t="s">
        <v>1059</v>
      </c>
      <c r="B80" s="182" t="s">
        <v>908</v>
      </c>
      <c r="C80" s="182" t="s">
        <v>909</v>
      </c>
      <c r="D80" s="182" t="s">
        <v>1069</v>
      </c>
      <c r="E80" s="183" t="s">
        <v>1070</v>
      </c>
      <c r="F80" s="183" t="s">
        <v>600</v>
      </c>
      <c r="G80" s="184">
        <v>15</v>
      </c>
      <c r="H80" s="185">
        <v>0.05</v>
      </c>
      <c r="I80" s="186">
        <v>563.22</v>
      </c>
      <c r="J80" s="187">
        <v>8870.7150000000001</v>
      </c>
      <c r="K80" s="182" t="s">
        <v>1064</v>
      </c>
      <c r="L80" s="182">
        <v>5</v>
      </c>
      <c r="M80" s="182" t="s">
        <v>1071</v>
      </c>
      <c r="N80" s="186">
        <v>15</v>
      </c>
      <c r="O80" s="188">
        <v>15</v>
      </c>
      <c r="P80" s="188">
        <v>42</v>
      </c>
      <c r="Q80" s="188">
        <v>630</v>
      </c>
      <c r="R80" s="189">
        <v>4.04</v>
      </c>
      <c r="S80" s="189" t="s">
        <v>985</v>
      </c>
    </row>
    <row r="81" spans="1:19" ht="15" customHeight="1" x14ac:dyDescent="0.3">
      <c r="A81" s="182" t="s">
        <v>1059</v>
      </c>
      <c r="B81" s="182" t="s">
        <v>908</v>
      </c>
      <c r="C81" s="182" t="s">
        <v>909</v>
      </c>
      <c r="D81" s="182" t="s">
        <v>976</v>
      </c>
      <c r="E81" s="183" t="s">
        <v>977</v>
      </c>
      <c r="F81" s="183" t="s">
        <v>576</v>
      </c>
      <c r="G81" s="184">
        <v>117.73067947680001</v>
      </c>
      <c r="H81" s="185">
        <v>0</v>
      </c>
      <c r="I81" s="186">
        <v>1</v>
      </c>
      <c r="J81" s="187">
        <v>117.73067947680001</v>
      </c>
      <c r="K81" s="182" t="s">
        <v>1064</v>
      </c>
      <c r="L81" s="182">
        <v>6</v>
      </c>
      <c r="M81" s="182" t="s">
        <v>1072</v>
      </c>
      <c r="N81" s="186">
        <v>15</v>
      </c>
      <c r="O81" s="188">
        <v>117.73067947680001</v>
      </c>
      <c r="P81" s="188">
        <v>42</v>
      </c>
      <c r="Q81" s="188">
        <v>4944.6885380255999</v>
      </c>
      <c r="R81" s="189">
        <v>4.04</v>
      </c>
      <c r="S81" s="189" t="s">
        <v>985</v>
      </c>
    </row>
    <row r="82" spans="1:19" ht="15" customHeight="1" x14ac:dyDescent="0.3">
      <c r="A82" s="182" t="s">
        <v>1059</v>
      </c>
      <c r="B82" s="182" t="s">
        <v>937</v>
      </c>
      <c r="C82" s="182" t="s">
        <v>938</v>
      </c>
      <c r="D82" s="190" t="s">
        <v>939</v>
      </c>
      <c r="E82" s="183" t="s">
        <v>940</v>
      </c>
      <c r="F82" s="183" t="s">
        <v>941</v>
      </c>
      <c r="G82" s="184">
        <v>1</v>
      </c>
      <c r="H82" s="185">
        <v>0</v>
      </c>
      <c r="I82" s="186">
        <v>60860.580776572002</v>
      </c>
      <c r="J82" s="187">
        <v>60860.580776572002</v>
      </c>
      <c r="K82" s="182" t="s">
        <v>1073</v>
      </c>
      <c r="L82" s="182">
        <v>1</v>
      </c>
      <c r="M82" s="182" t="s">
        <v>1074</v>
      </c>
      <c r="N82" s="186">
        <v>15</v>
      </c>
      <c r="O82" s="188">
        <v>6.6666666666666693E-2</v>
      </c>
      <c r="P82" s="188">
        <v>42</v>
      </c>
      <c r="Q82" s="188">
        <v>2.8</v>
      </c>
      <c r="R82" s="189">
        <v>4.04</v>
      </c>
      <c r="S82" s="189" t="s">
        <v>985</v>
      </c>
    </row>
    <row r="83" spans="1:19" ht="15" customHeight="1" x14ac:dyDescent="0.3">
      <c r="A83" s="182" t="s">
        <v>1059</v>
      </c>
      <c r="B83" s="182" t="s">
        <v>937</v>
      </c>
      <c r="C83" s="182" t="s">
        <v>938</v>
      </c>
      <c r="D83" s="190" t="s">
        <v>944</v>
      </c>
      <c r="E83" s="183" t="s">
        <v>945</v>
      </c>
      <c r="F83" s="183" t="s">
        <v>941</v>
      </c>
      <c r="G83" s="184">
        <v>1</v>
      </c>
      <c r="H83" s="185">
        <v>0</v>
      </c>
      <c r="I83" s="186">
        <v>85927.097156571996</v>
      </c>
      <c r="J83" s="187">
        <v>85927.097156571996</v>
      </c>
      <c r="K83" s="182" t="s">
        <v>1073</v>
      </c>
      <c r="L83" s="182">
        <v>2</v>
      </c>
      <c r="M83" s="182" t="s">
        <v>1075</v>
      </c>
      <c r="N83" s="186">
        <v>15</v>
      </c>
      <c r="O83" s="188">
        <v>6.6666666666666693E-2</v>
      </c>
      <c r="P83" s="188">
        <v>42</v>
      </c>
      <c r="Q83" s="188">
        <v>2.8</v>
      </c>
      <c r="R83" s="189">
        <v>4.04</v>
      </c>
      <c r="S83" s="189" t="s">
        <v>985</v>
      </c>
    </row>
    <row r="84" spans="1:19" ht="15" customHeight="1" x14ac:dyDescent="0.3">
      <c r="A84" s="182" t="s">
        <v>1076</v>
      </c>
      <c r="B84" s="182" t="s">
        <v>563</v>
      </c>
      <c r="C84" s="182"/>
      <c r="D84" s="182" t="s">
        <v>952</v>
      </c>
      <c r="E84" s="183" t="s">
        <v>953</v>
      </c>
      <c r="F84" s="183"/>
      <c r="G84" s="184">
        <v>0.25</v>
      </c>
      <c r="H84" s="185">
        <v>0</v>
      </c>
      <c r="I84" s="186">
        <v>2287.1357450968098</v>
      </c>
      <c r="J84" s="187">
        <v>571.78393627420098</v>
      </c>
      <c r="K84" s="182" t="s">
        <v>1077</v>
      </c>
      <c r="L84" s="182">
        <v>1</v>
      </c>
      <c r="M84" s="182" t="s">
        <v>1078</v>
      </c>
      <c r="N84" s="186">
        <v>2</v>
      </c>
      <c r="O84" s="188">
        <v>0.25</v>
      </c>
      <c r="P84" s="188" t="s">
        <v>573</v>
      </c>
      <c r="Q84" s="188">
        <v>0</v>
      </c>
      <c r="R84" s="189" t="s">
        <v>573</v>
      </c>
      <c r="S84" s="189" t="s">
        <v>573</v>
      </c>
    </row>
    <row r="85" spans="1:19" ht="15" customHeight="1" x14ac:dyDescent="0.3">
      <c r="A85" s="182" t="s">
        <v>1076</v>
      </c>
      <c r="B85" s="182" t="s">
        <v>563</v>
      </c>
      <c r="C85" s="182"/>
      <c r="D85" s="182" t="s">
        <v>955</v>
      </c>
      <c r="E85" s="183" t="s">
        <v>956</v>
      </c>
      <c r="F85" s="183"/>
      <c r="G85" s="184">
        <v>0.25</v>
      </c>
      <c r="H85" s="185">
        <v>0</v>
      </c>
      <c r="I85" s="186">
        <v>957.25319614994703</v>
      </c>
      <c r="J85" s="187">
        <v>239.31329903748701</v>
      </c>
      <c r="K85" s="182" t="s">
        <v>1077</v>
      </c>
      <c r="L85" s="182">
        <v>2</v>
      </c>
      <c r="M85" s="182" t="s">
        <v>1079</v>
      </c>
      <c r="N85" s="186">
        <v>2</v>
      </c>
      <c r="O85" s="188">
        <v>0.25</v>
      </c>
      <c r="P85" s="188" t="s">
        <v>573</v>
      </c>
      <c r="Q85" s="188">
        <v>0</v>
      </c>
      <c r="R85" s="189" t="s">
        <v>573</v>
      </c>
      <c r="S85" s="189" t="s">
        <v>573</v>
      </c>
    </row>
    <row r="86" spans="1:19" ht="15" customHeight="1" x14ac:dyDescent="0.3">
      <c r="A86" s="182" t="s">
        <v>1076</v>
      </c>
      <c r="B86" s="182" t="s">
        <v>908</v>
      </c>
      <c r="C86" s="182" t="s">
        <v>909</v>
      </c>
      <c r="D86" s="182" t="s">
        <v>962</v>
      </c>
      <c r="E86" s="183" t="s">
        <v>963</v>
      </c>
      <c r="F86" s="183" t="s">
        <v>590</v>
      </c>
      <c r="G86" s="184">
        <v>3.5999999999999997E-2</v>
      </c>
      <c r="H86" s="185">
        <v>0.1</v>
      </c>
      <c r="I86" s="186">
        <v>32399.77</v>
      </c>
      <c r="J86" s="187">
        <v>1283.030892</v>
      </c>
      <c r="K86" s="182" t="s">
        <v>1080</v>
      </c>
      <c r="L86" s="182">
        <v>1</v>
      </c>
      <c r="M86" s="182" t="s">
        <v>1081</v>
      </c>
      <c r="N86" s="186">
        <v>2</v>
      </c>
      <c r="O86" s="188">
        <v>3.5999999999999997E-2</v>
      </c>
      <c r="P86" s="188" t="s">
        <v>573</v>
      </c>
      <c r="Q86" s="188">
        <v>0</v>
      </c>
      <c r="R86" s="189" t="s">
        <v>573</v>
      </c>
      <c r="S86" s="189" t="s">
        <v>573</v>
      </c>
    </row>
    <row r="87" spans="1:19" ht="15" customHeight="1" x14ac:dyDescent="0.3">
      <c r="A87" s="182" t="s">
        <v>1076</v>
      </c>
      <c r="B87" s="182" t="s">
        <v>908</v>
      </c>
      <c r="C87" s="182" t="s">
        <v>909</v>
      </c>
      <c r="D87" s="182" t="s">
        <v>965</v>
      </c>
      <c r="E87" s="183" t="s">
        <v>966</v>
      </c>
      <c r="F87" s="183" t="s">
        <v>967</v>
      </c>
      <c r="G87" s="184">
        <v>0.32400000000000001</v>
      </c>
      <c r="H87" s="185">
        <v>0.1</v>
      </c>
      <c r="I87" s="186">
        <v>7809.48</v>
      </c>
      <c r="J87" s="187">
        <v>2783.2986719999999</v>
      </c>
      <c r="K87" s="182" t="s">
        <v>1080</v>
      </c>
      <c r="L87" s="182">
        <v>2</v>
      </c>
      <c r="M87" s="182" t="s">
        <v>1082</v>
      </c>
      <c r="N87" s="186">
        <v>2</v>
      </c>
      <c r="O87" s="188">
        <v>0.32400000000000001</v>
      </c>
      <c r="P87" s="188" t="s">
        <v>573</v>
      </c>
      <c r="Q87" s="188">
        <v>0</v>
      </c>
      <c r="R87" s="189" t="s">
        <v>573</v>
      </c>
      <c r="S87" s="189" t="s">
        <v>573</v>
      </c>
    </row>
    <row r="88" spans="1:19" ht="15" customHeight="1" x14ac:dyDescent="0.3">
      <c r="A88" s="182" t="s">
        <v>1076</v>
      </c>
      <c r="B88" s="182" t="s">
        <v>937</v>
      </c>
      <c r="C88" s="182" t="s">
        <v>938</v>
      </c>
      <c r="D88" s="190" t="s">
        <v>939</v>
      </c>
      <c r="E88" s="183" t="s">
        <v>940</v>
      </c>
      <c r="F88" s="183" t="s">
        <v>941</v>
      </c>
      <c r="G88" s="184">
        <v>0.75</v>
      </c>
      <c r="H88" s="185">
        <v>0</v>
      </c>
      <c r="I88" s="186">
        <v>60860.580776572002</v>
      </c>
      <c r="J88" s="187">
        <v>45645.435582429003</v>
      </c>
      <c r="K88" s="182" t="s">
        <v>1083</v>
      </c>
      <c r="L88" s="182">
        <v>1</v>
      </c>
      <c r="M88" s="182" t="s">
        <v>1084</v>
      </c>
      <c r="N88" s="186">
        <v>2</v>
      </c>
      <c r="O88" s="188">
        <v>0.375</v>
      </c>
      <c r="P88" s="188" t="s">
        <v>573</v>
      </c>
      <c r="Q88" s="188">
        <v>0</v>
      </c>
      <c r="R88" s="189" t="s">
        <v>573</v>
      </c>
      <c r="S88" s="189" t="s">
        <v>573</v>
      </c>
    </row>
    <row r="89" spans="1:19" ht="15" customHeight="1" x14ac:dyDescent="0.3">
      <c r="A89" s="182" t="s">
        <v>1076</v>
      </c>
      <c r="B89" s="182" t="s">
        <v>937</v>
      </c>
      <c r="C89" s="182" t="s">
        <v>938</v>
      </c>
      <c r="D89" s="190" t="s">
        <v>944</v>
      </c>
      <c r="E89" s="183" t="s">
        <v>945</v>
      </c>
      <c r="F89" s="183" t="s">
        <v>941</v>
      </c>
      <c r="G89" s="184">
        <v>0.75</v>
      </c>
      <c r="H89" s="185">
        <v>0</v>
      </c>
      <c r="I89" s="186">
        <v>85927.097156571996</v>
      </c>
      <c r="J89" s="187">
        <v>64445.322867429</v>
      </c>
      <c r="K89" s="182" t="s">
        <v>1083</v>
      </c>
      <c r="L89" s="182">
        <v>2</v>
      </c>
      <c r="M89" s="182" t="s">
        <v>1085</v>
      </c>
      <c r="N89" s="186">
        <v>2</v>
      </c>
      <c r="O89" s="188">
        <v>0.375</v>
      </c>
      <c r="P89" s="188" t="s">
        <v>573</v>
      </c>
      <c r="Q89" s="188">
        <v>0</v>
      </c>
      <c r="R89" s="189" t="s">
        <v>573</v>
      </c>
      <c r="S89" s="189" t="s">
        <v>573</v>
      </c>
    </row>
    <row r="90" spans="1:19" ht="15" customHeight="1" x14ac:dyDescent="0.3">
      <c r="A90" s="182" t="s">
        <v>1086</v>
      </c>
      <c r="B90" s="182" t="s">
        <v>563</v>
      </c>
      <c r="C90" s="182"/>
      <c r="D90" s="182" t="s">
        <v>952</v>
      </c>
      <c r="E90" s="183" t="s">
        <v>953</v>
      </c>
      <c r="F90" s="183"/>
      <c r="G90" s="184">
        <v>0.25</v>
      </c>
      <c r="H90" s="185">
        <v>0</v>
      </c>
      <c r="I90" s="186">
        <v>2287.1357450968098</v>
      </c>
      <c r="J90" s="187">
        <v>571.78393627420098</v>
      </c>
      <c r="K90" s="182" t="s">
        <v>1087</v>
      </c>
      <c r="L90" s="182">
        <v>1</v>
      </c>
      <c r="M90" s="182" t="s">
        <v>1088</v>
      </c>
      <c r="N90" s="186">
        <v>4</v>
      </c>
      <c r="O90" s="188">
        <v>0.25</v>
      </c>
      <c r="P90" s="188" t="s">
        <v>573</v>
      </c>
      <c r="Q90" s="188">
        <v>0</v>
      </c>
      <c r="R90" s="189" t="s">
        <v>573</v>
      </c>
      <c r="S90" s="189" t="s">
        <v>573</v>
      </c>
    </row>
    <row r="91" spans="1:19" ht="15" customHeight="1" x14ac:dyDescent="0.3">
      <c r="A91" s="182" t="s">
        <v>1086</v>
      </c>
      <c r="B91" s="182" t="s">
        <v>563</v>
      </c>
      <c r="C91" s="182"/>
      <c r="D91" s="182" t="s">
        <v>955</v>
      </c>
      <c r="E91" s="183" t="s">
        <v>956</v>
      </c>
      <c r="F91" s="183"/>
      <c r="G91" s="184">
        <v>0.25</v>
      </c>
      <c r="H91" s="185">
        <v>0</v>
      </c>
      <c r="I91" s="186">
        <v>957.25319614994703</v>
      </c>
      <c r="J91" s="187">
        <v>239.31329903748701</v>
      </c>
      <c r="K91" s="182" t="s">
        <v>1087</v>
      </c>
      <c r="L91" s="182">
        <v>2</v>
      </c>
      <c r="M91" s="182" t="s">
        <v>1089</v>
      </c>
      <c r="N91" s="186">
        <v>4</v>
      </c>
      <c r="O91" s="188">
        <v>0.25</v>
      </c>
      <c r="P91" s="188" t="s">
        <v>573</v>
      </c>
      <c r="Q91" s="188">
        <v>0</v>
      </c>
      <c r="R91" s="189" t="s">
        <v>573</v>
      </c>
      <c r="S91" s="189" t="s">
        <v>573</v>
      </c>
    </row>
    <row r="92" spans="1:19" ht="15" customHeight="1" x14ac:dyDescent="0.3">
      <c r="A92" s="182" t="s">
        <v>1086</v>
      </c>
      <c r="B92" s="182" t="s">
        <v>908</v>
      </c>
      <c r="C92" s="182" t="s">
        <v>909</v>
      </c>
      <c r="D92" s="182" t="s">
        <v>962</v>
      </c>
      <c r="E92" s="183" t="s">
        <v>963</v>
      </c>
      <c r="F92" s="183" t="s">
        <v>590</v>
      </c>
      <c r="G92" s="184">
        <v>1.38E-2</v>
      </c>
      <c r="H92" s="185">
        <v>0.05</v>
      </c>
      <c r="I92" s="186">
        <v>32399.77</v>
      </c>
      <c r="J92" s="187">
        <v>469.47266730000001</v>
      </c>
      <c r="K92" s="182" t="s">
        <v>1090</v>
      </c>
      <c r="L92" s="182">
        <v>1</v>
      </c>
      <c r="M92" s="182" t="s">
        <v>1091</v>
      </c>
      <c r="N92" s="186">
        <v>4</v>
      </c>
      <c r="O92" s="188">
        <v>1.38E-2</v>
      </c>
      <c r="P92" s="188" t="s">
        <v>573</v>
      </c>
      <c r="Q92" s="188">
        <v>0</v>
      </c>
      <c r="R92" s="189" t="s">
        <v>573</v>
      </c>
      <c r="S92" s="189" t="s">
        <v>573</v>
      </c>
    </row>
    <row r="93" spans="1:19" ht="15" customHeight="1" x14ac:dyDescent="0.3">
      <c r="A93" s="182" t="s">
        <v>1086</v>
      </c>
      <c r="B93" s="182" t="s">
        <v>908</v>
      </c>
      <c r="C93" s="182" t="s">
        <v>909</v>
      </c>
      <c r="D93" s="182" t="s">
        <v>965</v>
      </c>
      <c r="E93" s="183" t="s">
        <v>966</v>
      </c>
      <c r="F93" s="183" t="s">
        <v>967</v>
      </c>
      <c r="G93" s="184">
        <v>0.1242</v>
      </c>
      <c r="H93" s="185">
        <v>0.05</v>
      </c>
      <c r="I93" s="186">
        <v>7809.48</v>
      </c>
      <c r="J93" s="187">
        <v>1018.4342868</v>
      </c>
      <c r="K93" s="182" t="s">
        <v>1090</v>
      </c>
      <c r="L93" s="182">
        <v>2</v>
      </c>
      <c r="M93" s="182" t="s">
        <v>1092</v>
      </c>
      <c r="N93" s="186">
        <v>4</v>
      </c>
      <c r="O93" s="188">
        <v>0.1242</v>
      </c>
      <c r="P93" s="188" t="s">
        <v>573</v>
      </c>
      <c r="Q93" s="188">
        <v>0</v>
      </c>
      <c r="R93" s="189" t="s">
        <v>573</v>
      </c>
      <c r="S93" s="189" t="s">
        <v>573</v>
      </c>
    </row>
    <row r="94" spans="1:19" ht="15" customHeight="1" x14ac:dyDescent="0.3">
      <c r="A94" s="182" t="s">
        <v>1086</v>
      </c>
      <c r="B94" s="182" t="s">
        <v>937</v>
      </c>
      <c r="C94" s="182" t="s">
        <v>938</v>
      </c>
      <c r="D94" s="190" t="s">
        <v>939</v>
      </c>
      <c r="E94" s="183" t="s">
        <v>940</v>
      </c>
      <c r="F94" s="183" t="s">
        <v>941</v>
      </c>
      <c r="G94" s="184">
        <v>1</v>
      </c>
      <c r="H94" s="185">
        <v>0</v>
      </c>
      <c r="I94" s="186">
        <v>60860.580776572002</v>
      </c>
      <c r="J94" s="187">
        <v>60860.580776572002</v>
      </c>
      <c r="K94" s="182" t="s">
        <v>1093</v>
      </c>
      <c r="L94" s="182">
        <v>1</v>
      </c>
      <c r="M94" s="182" t="s">
        <v>1094</v>
      </c>
      <c r="N94" s="186">
        <v>4</v>
      </c>
      <c r="O94" s="188">
        <v>0.25</v>
      </c>
      <c r="P94" s="188" t="s">
        <v>573</v>
      </c>
      <c r="Q94" s="188">
        <v>0</v>
      </c>
      <c r="R94" s="189" t="s">
        <v>573</v>
      </c>
      <c r="S94" s="189" t="s">
        <v>573</v>
      </c>
    </row>
    <row r="95" spans="1:19" ht="15" customHeight="1" x14ac:dyDescent="0.3">
      <c r="A95" s="182" t="s">
        <v>1086</v>
      </c>
      <c r="B95" s="182" t="s">
        <v>937</v>
      </c>
      <c r="C95" s="182" t="s">
        <v>938</v>
      </c>
      <c r="D95" s="190" t="s">
        <v>944</v>
      </c>
      <c r="E95" s="183" t="s">
        <v>945</v>
      </c>
      <c r="F95" s="183" t="s">
        <v>941</v>
      </c>
      <c r="G95" s="184">
        <v>1</v>
      </c>
      <c r="H95" s="185">
        <v>0</v>
      </c>
      <c r="I95" s="186">
        <v>85927.097156571996</v>
      </c>
      <c r="J95" s="187">
        <v>85927.097156571996</v>
      </c>
      <c r="K95" s="182" t="s">
        <v>1093</v>
      </c>
      <c r="L95" s="182">
        <v>2</v>
      </c>
      <c r="M95" s="182" t="s">
        <v>1095</v>
      </c>
      <c r="N95" s="186">
        <v>4</v>
      </c>
      <c r="O95" s="188">
        <v>0.25</v>
      </c>
      <c r="P95" s="188" t="s">
        <v>573</v>
      </c>
      <c r="Q95" s="188">
        <v>0</v>
      </c>
      <c r="R95" s="189" t="s">
        <v>573</v>
      </c>
      <c r="S95" s="189" t="s">
        <v>573</v>
      </c>
    </row>
    <row r="96" spans="1:19" ht="15" customHeight="1" x14ac:dyDescent="0.3">
      <c r="A96" s="182" t="s">
        <v>1096</v>
      </c>
      <c r="B96" s="182" t="s">
        <v>563</v>
      </c>
      <c r="C96" s="182"/>
      <c r="D96" s="182" t="s">
        <v>952</v>
      </c>
      <c r="E96" s="183" t="s">
        <v>953</v>
      </c>
      <c r="F96" s="183"/>
      <c r="G96" s="184">
        <v>0.5</v>
      </c>
      <c r="H96" s="185">
        <v>0</v>
      </c>
      <c r="I96" s="186">
        <v>2287.1357450968098</v>
      </c>
      <c r="J96" s="187">
        <v>1143.5678725483999</v>
      </c>
      <c r="K96" s="182" t="s">
        <v>1097</v>
      </c>
      <c r="L96" s="182">
        <v>1</v>
      </c>
      <c r="M96" s="182" t="s">
        <v>1098</v>
      </c>
      <c r="N96" s="186">
        <v>5</v>
      </c>
      <c r="O96" s="188">
        <v>0.5</v>
      </c>
      <c r="P96" s="188" t="s">
        <v>573</v>
      </c>
      <c r="Q96" s="188">
        <v>0</v>
      </c>
      <c r="R96" s="189" t="s">
        <v>573</v>
      </c>
      <c r="S96" s="189" t="s">
        <v>573</v>
      </c>
    </row>
    <row r="97" spans="1:19" ht="15" customHeight="1" x14ac:dyDescent="0.3">
      <c r="A97" s="182" t="s">
        <v>1096</v>
      </c>
      <c r="B97" s="182" t="s">
        <v>563</v>
      </c>
      <c r="C97" s="182"/>
      <c r="D97" s="182" t="s">
        <v>955</v>
      </c>
      <c r="E97" s="183" t="s">
        <v>956</v>
      </c>
      <c r="F97" s="183"/>
      <c r="G97" s="184">
        <v>0.25</v>
      </c>
      <c r="H97" s="185">
        <v>0</v>
      </c>
      <c r="I97" s="186">
        <v>957.25319614994703</v>
      </c>
      <c r="J97" s="187">
        <v>239.31329903748701</v>
      </c>
      <c r="K97" s="182" t="s">
        <v>1097</v>
      </c>
      <c r="L97" s="182">
        <v>2</v>
      </c>
      <c r="M97" s="182" t="s">
        <v>1099</v>
      </c>
      <c r="N97" s="186">
        <v>5</v>
      </c>
      <c r="O97" s="188">
        <v>0.25</v>
      </c>
      <c r="P97" s="188" t="s">
        <v>573</v>
      </c>
      <c r="Q97" s="188">
        <v>0</v>
      </c>
      <c r="R97" s="189" t="s">
        <v>573</v>
      </c>
      <c r="S97" s="189" t="s">
        <v>573</v>
      </c>
    </row>
    <row r="98" spans="1:19" ht="15" customHeight="1" x14ac:dyDescent="0.3">
      <c r="A98" s="182" t="s">
        <v>1096</v>
      </c>
      <c r="B98" s="182" t="s">
        <v>908</v>
      </c>
      <c r="C98" s="182" t="s">
        <v>909</v>
      </c>
      <c r="D98" s="182" t="s">
        <v>962</v>
      </c>
      <c r="E98" s="183" t="s">
        <v>963</v>
      </c>
      <c r="F98" s="183" t="s">
        <v>590</v>
      </c>
      <c r="G98" s="184">
        <v>1.8E-3</v>
      </c>
      <c r="H98" s="185">
        <v>0.1</v>
      </c>
      <c r="I98" s="186">
        <v>32399.77</v>
      </c>
      <c r="J98" s="187">
        <v>64.151544599999994</v>
      </c>
      <c r="K98" s="182" t="s">
        <v>1100</v>
      </c>
      <c r="L98" s="182">
        <v>1</v>
      </c>
      <c r="M98" s="182" t="s">
        <v>1101</v>
      </c>
      <c r="N98" s="186">
        <v>5</v>
      </c>
      <c r="O98" s="188">
        <v>1.8E-3</v>
      </c>
      <c r="P98" s="188" t="s">
        <v>573</v>
      </c>
      <c r="Q98" s="188">
        <v>0</v>
      </c>
      <c r="R98" s="189" t="s">
        <v>573</v>
      </c>
      <c r="S98" s="189" t="s">
        <v>573</v>
      </c>
    </row>
    <row r="99" spans="1:19" ht="15" customHeight="1" x14ac:dyDescent="0.3">
      <c r="A99" s="182" t="s">
        <v>1096</v>
      </c>
      <c r="B99" s="182" t="s">
        <v>908</v>
      </c>
      <c r="C99" s="182" t="s">
        <v>909</v>
      </c>
      <c r="D99" s="182" t="s">
        <v>965</v>
      </c>
      <c r="E99" s="183" t="s">
        <v>966</v>
      </c>
      <c r="F99" s="183" t="s">
        <v>967</v>
      </c>
      <c r="G99" s="184">
        <v>1.6199999999999999E-2</v>
      </c>
      <c r="H99" s="185">
        <v>0.1</v>
      </c>
      <c r="I99" s="186">
        <v>7809.48</v>
      </c>
      <c r="J99" s="187">
        <v>139.16493360000001</v>
      </c>
      <c r="K99" s="182" t="s">
        <v>1100</v>
      </c>
      <c r="L99" s="182">
        <v>2</v>
      </c>
      <c r="M99" s="182" t="s">
        <v>1102</v>
      </c>
      <c r="N99" s="186">
        <v>5</v>
      </c>
      <c r="O99" s="188">
        <v>1.6199999999999999E-2</v>
      </c>
      <c r="P99" s="188" t="s">
        <v>573</v>
      </c>
      <c r="Q99" s="188">
        <v>0</v>
      </c>
      <c r="R99" s="189" t="s">
        <v>573</v>
      </c>
      <c r="S99" s="189" t="s">
        <v>573</v>
      </c>
    </row>
    <row r="100" spans="1:19" ht="15" customHeight="1" x14ac:dyDescent="0.3">
      <c r="A100" s="182" t="s">
        <v>1096</v>
      </c>
      <c r="B100" s="182" t="s">
        <v>908</v>
      </c>
      <c r="C100" s="182" t="s">
        <v>909</v>
      </c>
      <c r="D100" s="182" t="s">
        <v>976</v>
      </c>
      <c r="E100" s="183" t="s">
        <v>977</v>
      </c>
      <c r="F100" s="183" t="s">
        <v>576</v>
      </c>
      <c r="G100" s="184">
        <v>1.04707986</v>
      </c>
      <c r="H100" s="185">
        <v>0</v>
      </c>
      <c r="I100" s="186">
        <v>1</v>
      </c>
      <c r="J100" s="187">
        <v>1.04707986</v>
      </c>
      <c r="K100" s="182" t="s">
        <v>1100</v>
      </c>
      <c r="L100" s="182">
        <v>3</v>
      </c>
      <c r="M100" s="182" t="s">
        <v>1103</v>
      </c>
      <c r="N100" s="186">
        <v>5</v>
      </c>
      <c r="O100" s="188">
        <v>1.04707986</v>
      </c>
      <c r="P100" s="188" t="s">
        <v>573</v>
      </c>
      <c r="Q100" s="188">
        <v>0</v>
      </c>
      <c r="R100" s="189" t="s">
        <v>573</v>
      </c>
      <c r="S100" s="189" t="s">
        <v>573</v>
      </c>
    </row>
    <row r="101" spans="1:19" ht="15" customHeight="1" x14ac:dyDescent="0.3">
      <c r="A101" s="182" t="s">
        <v>1096</v>
      </c>
      <c r="B101" s="182" t="s">
        <v>937</v>
      </c>
      <c r="C101" s="182" t="s">
        <v>938</v>
      </c>
      <c r="D101" s="190" t="s">
        <v>939</v>
      </c>
      <c r="E101" s="183" t="s">
        <v>940</v>
      </c>
      <c r="F101" s="183" t="s">
        <v>941</v>
      </c>
      <c r="G101" s="184">
        <v>1</v>
      </c>
      <c r="H101" s="185">
        <v>0</v>
      </c>
      <c r="I101" s="186">
        <v>60860.580776572002</v>
      </c>
      <c r="J101" s="187">
        <v>60860.580776572002</v>
      </c>
      <c r="K101" s="182" t="s">
        <v>1104</v>
      </c>
      <c r="L101" s="182">
        <v>1</v>
      </c>
      <c r="M101" s="182" t="s">
        <v>1105</v>
      </c>
      <c r="N101" s="186">
        <v>5</v>
      </c>
      <c r="O101" s="188">
        <v>0.2</v>
      </c>
      <c r="P101" s="188" t="s">
        <v>573</v>
      </c>
      <c r="Q101" s="188">
        <v>0</v>
      </c>
      <c r="R101" s="189" t="s">
        <v>573</v>
      </c>
      <c r="S101" s="189" t="s">
        <v>573</v>
      </c>
    </row>
    <row r="102" spans="1:19" ht="15" customHeight="1" x14ac:dyDescent="0.3">
      <c r="A102" s="182" t="s">
        <v>1096</v>
      </c>
      <c r="B102" s="182" t="s">
        <v>937</v>
      </c>
      <c r="C102" s="182" t="s">
        <v>938</v>
      </c>
      <c r="D102" s="190" t="s">
        <v>944</v>
      </c>
      <c r="E102" s="183" t="s">
        <v>945</v>
      </c>
      <c r="F102" s="183" t="s">
        <v>941</v>
      </c>
      <c r="G102" s="184">
        <v>1</v>
      </c>
      <c r="H102" s="185">
        <v>0</v>
      </c>
      <c r="I102" s="186">
        <v>85927.097156571996</v>
      </c>
      <c r="J102" s="187">
        <v>85927.097156571996</v>
      </c>
      <c r="K102" s="182" t="s">
        <v>1104</v>
      </c>
      <c r="L102" s="182">
        <v>2</v>
      </c>
      <c r="M102" s="182" t="s">
        <v>1106</v>
      </c>
      <c r="N102" s="186">
        <v>5</v>
      </c>
      <c r="O102" s="188">
        <v>0.2</v>
      </c>
      <c r="P102" s="188" t="s">
        <v>573</v>
      </c>
      <c r="Q102" s="188">
        <v>0</v>
      </c>
      <c r="R102" s="189" t="s">
        <v>573</v>
      </c>
      <c r="S102" s="189" t="s">
        <v>573</v>
      </c>
    </row>
    <row r="103" spans="1:19" ht="15" customHeight="1" x14ac:dyDescent="0.3">
      <c r="A103" s="182" t="s">
        <v>1107</v>
      </c>
      <c r="B103" s="182" t="s">
        <v>563</v>
      </c>
      <c r="C103" s="182"/>
      <c r="D103" s="182" t="s">
        <v>948</v>
      </c>
      <c r="E103" s="183" t="s">
        <v>949</v>
      </c>
      <c r="F103" s="183"/>
      <c r="G103" s="184">
        <v>0.5</v>
      </c>
      <c r="H103" s="185">
        <v>0</v>
      </c>
      <c r="I103" s="186">
        <v>571.17949098076099</v>
      </c>
      <c r="J103" s="187">
        <v>285.58974549038101</v>
      </c>
      <c r="K103" s="182" t="s">
        <v>1108</v>
      </c>
      <c r="L103" s="182">
        <v>1</v>
      </c>
      <c r="M103" s="182" t="s">
        <v>1109</v>
      </c>
      <c r="N103" s="186">
        <v>28</v>
      </c>
      <c r="O103" s="188">
        <v>0.5</v>
      </c>
      <c r="P103" s="188" t="s">
        <v>573</v>
      </c>
      <c r="Q103" s="188">
        <v>0</v>
      </c>
      <c r="R103" s="189" t="s">
        <v>573</v>
      </c>
      <c r="S103" s="189" t="s">
        <v>573</v>
      </c>
    </row>
    <row r="104" spans="1:19" ht="15" customHeight="1" x14ac:dyDescent="0.3">
      <c r="A104" s="182" t="s">
        <v>1107</v>
      </c>
      <c r="B104" s="182" t="s">
        <v>563</v>
      </c>
      <c r="C104" s="182"/>
      <c r="D104" s="182" t="s">
        <v>952</v>
      </c>
      <c r="E104" s="183" t="s">
        <v>953</v>
      </c>
      <c r="F104" s="183"/>
      <c r="G104" s="184">
        <v>1</v>
      </c>
      <c r="H104" s="185">
        <v>0</v>
      </c>
      <c r="I104" s="186">
        <v>2287.1357450968098</v>
      </c>
      <c r="J104" s="187">
        <v>2287.1357450968098</v>
      </c>
      <c r="K104" s="182" t="s">
        <v>1108</v>
      </c>
      <c r="L104" s="182">
        <v>2</v>
      </c>
      <c r="M104" s="182" t="s">
        <v>1110</v>
      </c>
      <c r="N104" s="186">
        <v>28</v>
      </c>
      <c r="O104" s="188">
        <v>1</v>
      </c>
      <c r="P104" s="188" t="s">
        <v>573</v>
      </c>
      <c r="Q104" s="188">
        <v>0</v>
      </c>
      <c r="R104" s="189" t="s">
        <v>573</v>
      </c>
      <c r="S104" s="189" t="s">
        <v>573</v>
      </c>
    </row>
    <row r="105" spans="1:19" ht="15" customHeight="1" x14ac:dyDescent="0.3">
      <c r="A105" s="182" t="s">
        <v>1107</v>
      </c>
      <c r="B105" s="182" t="s">
        <v>563</v>
      </c>
      <c r="C105" s="182"/>
      <c r="D105" s="182" t="s">
        <v>955</v>
      </c>
      <c r="E105" s="183" t="s">
        <v>956</v>
      </c>
      <c r="F105" s="183"/>
      <c r="G105" s="184">
        <v>1</v>
      </c>
      <c r="H105" s="185">
        <v>0</v>
      </c>
      <c r="I105" s="186">
        <v>957.25319614994703</v>
      </c>
      <c r="J105" s="187">
        <v>957.25319614994703</v>
      </c>
      <c r="K105" s="182" t="s">
        <v>1108</v>
      </c>
      <c r="L105" s="182">
        <v>3</v>
      </c>
      <c r="M105" s="182" t="s">
        <v>1111</v>
      </c>
      <c r="N105" s="186">
        <v>28</v>
      </c>
      <c r="O105" s="188">
        <v>1</v>
      </c>
      <c r="P105" s="188" t="s">
        <v>573</v>
      </c>
      <c r="Q105" s="188">
        <v>0</v>
      </c>
      <c r="R105" s="189" t="s">
        <v>573</v>
      </c>
      <c r="S105" s="189" t="s">
        <v>573</v>
      </c>
    </row>
    <row r="106" spans="1:19" ht="15" customHeight="1" x14ac:dyDescent="0.3">
      <c r="A106" s="182" t="s">
        <v>1107</v>
      </c>
      <c r="B106" s="182" t="s">
        <v>908</v>
      </c>
      <c r="C106" s="182" t="s">
        <v>909</v>
      </c>
      <c r="D106" s="182" t="s">
        <v>962</v>
      </c>
      <c r="E106" s="183" t="s">
        <v>963</v>
      </c>
      <c r="F106" s="183" t="s">
        <v>590</v>
      </c>
      <c r="G106" s="184">
        <v>6.0000000000000001E-3</v>
      </c>
      <c r="H106" s="185">
        <v>0.1</v>
      </c>
      <c r="I106" s="186">
        <v>32399.77</v>
      </c>
      <c r="J106" s="187">
        <v>213.838482</v>
      </c>
      <c r="K106" s="182" t="s">
        <v>1112</v>
      </c>
      <c r="L106" s="182">
        <v>1</v>
      </c>
      <c r="M106" s="182" t="s">
        <v>1113</v>
      </c>
      <c r="N106" s="186">
        <v>28</v>
      </c>
      <c r="O106" s="188">
        <v>6.0000000000000001E-3</v>
      </c>
      <c r="P106" s="188" t="s">
        <v>573</v>
      </c>
      <c r="Q106" s="188">
        <v>0</v>
      </c>
      <c r="R106" s="189" t="s">
        <v>573</v>
      </c>
      <c r="S106" s="189" t="s">
        <v>573</v>
      </c>
    </row>
    <row r="107" spans="1:19" ht="15" customHeight="1" x14ac:dyDescent="0.3">
      <c r="A107" s="182" t="s">
        <v>1107</v>
      </c>
      <c r="B107" s="182" t="s">
        <v>908</v>
      </c>
      <c r="C107" s="182" t="s">
        <v>909</v>
      </c>
      <c r="D107" s="182" t="s">
        <v>965</v>
      </c>
      <c r="E107" s="183" t="s">
        <v>966</v>
      </c>
      <c r="F107" s="183" t="s">
        <v>967</v>
      </c>
      <c r="G107" s="184">
        <v>5.3999999999999999E-2</v>
      </c>
      <c r="H107" s="185">
        <v>0.1</v>
      </c>
      <c r="I107" s="186">
        <v>7809.48</v>
      </c>
      <c r="J107" s="187">
        <v>463.88311199999998</v>
      </c>
      <c r="K107" s="182" t="s">
        <v>1112</v>
      </c>
      <c r="L107" s="182">
        <v>2</v>
      </c>
      <c r="M107" s="182" t="s">
        <v>1114</v>
      </c>
      <c r="N107" s="186">
        <v>28</v>
      </c>
      <c r="O107" s="188">
        <v>5.3999999999999999E-2</v>
      </c>
      <c r="P107" s="188" t="s">
        <v>573</v>
      </c>
      <c r="Q107" s="188">
        <v>0</v>
      </c>
      <c r="R107" s="189" t="s">
        <v>573</v>
      </c>
      <c r="S107" s="189" t="s">
        <v>573</v>
      </c>
    </row>
    <row r="108" spans="1:19" ht="15" customHeight="1" x14ac:dyDescent="0.3">
      <c r="A108" s="182" t="s">
        <v>1107</v>
      </c>
      <c r="B108" s="182" t="s">
        <v>908</v>
      </c>
      <c r="C108" s="182" t="s">
        <v>909</v>
      </c>
      <c r="D108" s="182" t="s">
        <v>1044</v>
      </c>
      <c r="E108" s="183" t="s">
        <v>1045</v>
      </c>
      <c r="F108" s="183" t="s">
        <v>1046</v>
      </c>
      <c r="G108" s="184">
        <v>0.1</v>
      </c>
      <c r="H108" s="185">
        <v>0.05</v>
      </c>
      <c r="I108" s="186">
        <v>1256.1279999999999</v>
      </c>
      <c r="J108" s="187">
        <v>131.89344</v>
      </c>
      <c r="K108" s="182" t="s">
        <v>1112</v>
      </c>
      <c r="L108" s="182">
        <v>3</v>
      </c>
      <c r="M108" s="182" t="s">
        <v>1115</v>
      </c>
      <c r="N108" s="186">
        <v>28</v>
      </c>
      <c r="O108" s="188">
        <v>0.1</v>
      </c>
      <c r="P108" s="188" t="s">
        <v>573</v>
      </c>
      <c r="Q108" s="188">
        <v>0</v>
      </c>
      <c r="R108" s="189" t="s">
        <v>573</v>
      </c>
      <c r="S108" s="189" t="s">
        <v>573</v>
      </c>
    </row>
    <row r="109" spans="1:19" ht="15" customHeight="1" x14ac:dyDescent="0.3">
      <c r="A109" s="182" t="s">
        <v>1107</v>
      </c>
      <c r="B109" s="182" t="s">
        <v>937</v>
      </c>
      <c r="C109" s="182" t="s">
        <v>938</v>
      </c>
      <c r="D109" s="190" t="s">
        <v>939</v>
      </c>
      <c r="E109" s="183" t="s">
        <v>940</v>
      </c>
      <c r="F109" s="183" t="s">
        <v>941</v>
      </c>
      <c r="G109" s="184">
        <v>0.4</v>
      </c>
      <c r="H109" s="185">
        <v>0</v>
      </c>
      <c r="I109" s="186">
        <v>60860.580776572002</v>
      </c>
      <c r="J109" s="187">
        <v>24344.232310628799</v>
      </c>
      <c r="K109" s="182" t="s">
        <v>1116</v>
      </c>
      <c r="L109" s="182">
        <v>1</v>
      </c>
      <c r="M109" s="182" t="s">
        <v>1117</v>
      </c>
      <c r="N109" s="186">
        <v>28</v>
      </c>
      <c r="O109" s="188">
        <v>1.4285714285714299E-2</v>
      </c>
      <c r="P109" s="188" t="s">
        <v>573</v>
      </c>
      <c r="Q109" s="188">
        <v>0</v>
      </c>
      <c r="R109" s="189" t="s">
        <v>573</v>
      </c>
      <c r="S109" s="189" t="s">
        <v>573</v>
      </c>
    </row>
    <row r="110" spans="1:19" ht="15" customHeight="1" x14ac:dyDescent="0.3">
      <c r="A110" s="182" t="s">
        <v>1107</v>
      </c>
      <c r="B110" s="182" t="s">
        <v>937</v>
      </c>
      <c r="C110" s="182" t="s">
        <v>938</v>
      </c>
      <c r="D110" s="190" t="s">
        <v>944</v>
      </c>
      <c r="E110" s="183" t="s">
        <v>945</v>
      </c>
      <c r="F110" s="183" t="s">
        <v>941</v>
      </c>
      <c r="G110" s="184">
        <v>1</v>
      </c>
      <c r="H110" s="185">
        <v>0</v>
      </c>
      <c r="I110" s="186">
        <v>85927.097156571996</v>
      </c>
      <c r="J110" s="187">
        <v>85927.097156571996</v>
      </c>
      <c r="K110" s="182" t="s">
        <v>1116</v>
      </c>
      <c r="L110" s="182">
        <v>2</v>
      </c>
      <c r="M110" s="182" t="s">
        <v>1118</v>
      </c>
      <c r="N110" s="186">
        <v>28</v>
      </c>
      <c r="O110" s="188">
        <v>3.5714285714285698E-2</v>
      </c>
      <c r="P110" s="188" t="s">
        <v>573</v>
      </c>
      <c r="Q110" s="188">
        <v>0</v>
      </c>
      <c r="R110" s="189" t="s">
        <v>573</v>
      </c>
      <c r="S110" s="189" t="s">
        <v>573</v>
      </c>
    </row>
    <row r="111" spans="1:19" ht="15" customHeight="1" x14ac:dyDescent="0.3">
      <c r="A111" s="182" t="s">
        <v>1119</v>
      </c>
      <c r="B111" s="182" t="s">
        <v>563</v>
      </c>
      <c r="C111" s="182"/>
      <c r="D111" s="182" t="s">
        <v>948</v>
      </c>
      <c r="E111" s="183" t="s">
        <v>949</v>
      </c>
      <c r="F111" s="183"/>
      <c r="G111" s="184">
        <v>0.5</v>
      </c>
      <c r="H111" s="185">
        <v>0</v>
      </c>
      <c r="I111" s="186">
        <v>571.17949098076099</v>
      </c>
      <c r="J111" s="187">
        <v>285.58974549038101</v>
      </c>
      <c r="K111" s="182" t="s">
        <v>1120</v>
      </c>
      <c r="L111" s="182">
        <v>1</v>
      </c>
      <c r="M111" s="182" t="s">
        <v>1121</v>
      </c>
      <c r="N111" s="186">
        <v>6</v>
      </c>
      <c r="O111" s="188">
        <v>0.5</v>
      </c>
      <c r="P111" s="188" t="s">
        <v>573</v>
      </c>
      <c r="Q111" s="188">
        <v>0</v>
      </c>
      <c r="R111" s="189" t="s">
        <v>573</v>
      </c>
      <c r="S111" s="189" t="s">
        <v>573</v>
      </c>
    </row>
    <row r="112" spans="1:19" ht="15" customHeight="1" x14ac:dyDescent="0.3">
      <c r="A112" s="182" t="s">
        <v>1119</v>
      </c>
      <c r="B112" s="182" t="s">
        <v>563</v>
      </c>
      <c r="C112" s="182"/>
      <c r="D112" s="182" t="s">
        <v>952</v>
      </c>
      <c r="E112" s="183" t="s">
        <v>953</v>
      </c>
      <c r="F112" s="183"/>
      <c r="G112" s="184">
        <v>1</v>
      </c>
      <c r="H112" s="185">
        <v>0</v>
      </c>
      <c r="I112" s="186">
        <v>2287.1357450968098</v>
      </c>
      <c r="J112" s="187">
        <v>2287.1357450968098</v>
      </c>
      <c r="K112" s="182" t="s">
        <v>1120</v>
      </c>
      <c r="L112" s="182">
        <v>2</v>
      </c>
      <c r="M112" s="182" t="s">
        <v>1122</v>
      </c>
      <c r="N112" s="186">
        <v>6</v>
      </c>
      <c r="O112" s="188">
        <v>1</v>
      </c>
      <c r="P112" s="188" t="s">
        <v>573</v>
      </c>
      <c r="Q112" s="188">
        <v>0</v>
      </c>
      <c r="R112" s="189" t="s">
        <v>573</v>
      </c>
      <c r="S112" s="189" t="s">
        <v>573</v>
      </c>
    </row>
    <row r="113" spans="1:19" ht="15" customHeight="1" x14ac:dyDescent="0.3">
      <c r="A113" s="182" t="s">
        <v>1119</v>
      </c>
      <c r="B113" s="182" t="s">
        <v>563</v>
      </c>
      <c r="C113" s="182"/>
      <c r="D113" s="182" t="s">
        <v>955</v>
      </c>
      <c r="E113" s="183" t="s">
        <v>956</v>
      </c>
      <c r="F113" s="183"/>
      <c r="G113" s="184">
        <v>1</v>
      </c>
      <c r="H113" s="185">
        <v>0</v>
      </c>
      <c r="I113" s="186">
        <v>957.25319614994703</v>
      </c>
      <c r="J113" s="187">
        <v>957.25319614994703</v>
      </c>
      <c r="K113" s="182" t="s">
        <v>1120</v>
      </c>
      <c r="L113" s="182">
        <v>3</v>
      </c>
      <c r="M113" s="182" t="s">
        <v>1123</v>
      </c>
      <c r="N113" s="186">
        <v>6</v>
      </c>
      <c r="O113" s="188">
        <v>1</v>
      </c>
      <c r="P113" s="188" t="s">
        <v>573</v>
      </c>
      <c r="Q113" s="188">
        <v>0</v>
      </c>
      <c r="R113" s="189" t="s">
        <v>573</v>
      </c>
      <c r="S113" s="189" t="s">
        <v>573</v>
      </c>
    </row>
    <row r="114" spans="1:19" ht="15" customHeight="1" x14ac:dyDescent="0.3">
      <c r="A114" s="182" t="s">
        <v>1119</v>
      </c>
      <c r="B114" s="182" t="s">
        <v>908</v>
      </c>
      <c r="C114" s="182" t="s">
        <v>909</v>
      </c>
      <c r="D114" s="182" t="s">
        <v>962</v>
      </c>
      <c r="E114" s="183" t="s">
        <v>963</v>
      </c>
      <c r="F114" s="183" t="s">
        <v>590</v>
      </c>
      <c r="G114" s="184">
        <v>2.7E-2</v>
      </c>
      <c r="H114" s="185">
        <v>0.1</v>
      </c>
      <c r="I114" s="186">
        <v>32399.77</v>
      </c>
      <c r="J114" s="187">
        <v>962.27316900000005</v>
      </c>
      <c r="K114" s="182" t="s">
        <v>1124</v>
      </c>
      <c r="L114" s="182">
        <v>1</v>
      </c>
      <c r="M114" s="182" t="s">
        <v>1125</v>
      </c>
      <c r="N114" s="186">
        <v>6</v>
      </c>
      <c r="O114" s="188">
        <v>2.7E-2</v>
      </c>
      <c r="P114" s="188" t="s">
        <v>573</v>
      </c>
      <c r="Q114" s="188">
        <v>0</v>
      </c>
      <c r="R114" s="189" t="s">
        <v>573</v>
      </c>
      <c r="S114" s="189" t="s">
        <v>573</v>
      </c>
    </row>
    <row r="115" spans="1:19" ht="15" customHeight="1" x14ac:dyDescent="0.3">
      <c r="A115" s="182" t="s">
        <v>1119</v>
      </c>
      <c r="B115" s="182" t="s">
        <v>908</v>
      </c>
      <c r="C115" s="182" t="s">
        <v>909</v>
      </c>
      <c r="D115" s="182" t="s">
        <v>965</v>
      </c>
      <c r="E115" s="183" t="s">
        <v>966</v>
      </c>
      <c r="F115" s="183" t="s">
        <v>967</v>
      </c>
      <c r="G115" s="184">
        <v>4.5999999999999999E-2</v>
      </c>
      <c r="H115" s="185">
        <v>0.1</v>
      </c>
      <c r="I115" s="186">
        <v>7809.48</v>
      </c>
      <c r="J115" s="187">
        <v>395.15968800000002</v>
      </c>
      <c r="K115" s="182" t="s">
        <v>1124</v>
      </c>
      <c r="L115" s="182">
        <v>2</v>
      </c>
      <c r="M115" s="182" t="s">
        <v>1126</v>
      </c>
      <c r="N115" s="186">
        <v>6</v>
      </c>
      <c r="O115" s="188">
        <v>4.5999999999999999E-2</v>
      </c>
      <c r="P115" s="188" t="s">
        <v>573</v>
      </c>
      <c r="Q115" s="188">
        <v>0</v>
      </c>
      <c r="R115" s="189" t="s">
        <v>573</v>
      </c>
      <c r="S115" s="189" t="s">
        <v>573</v>
      </c>
    </row>
    <row r="116" spans="1:19" ht="15" customHeight="1" x14ac:dyDescent="0.3">
      <c r="A116" s="182" t="s">
        <v>1119</v>
      </c>
      <c r="B116" s="182" t="s">
        <v>908</v>
      </c>
      <c r="C116" s="182" t="s">
        <v>909</v>
      </c>
      <c r="D116" s="182" t="s">
        <v>969</v>
      </c>
      <c r="E116" s="183" t="s">
        <v>970</v>
      </c>
      <c r="F116" s="183" t="s">
        <v>971</v>
      </c>
      <c r="G116" s="184">
        <v>0.14399999999999999</v>
      </c>
      <c r="H116" s="185">
        <v>0.1</v>
      </c>
      <c r="I116" s="186">
        <v>3837.96</v>
      </c>
      <c r="J116" s="187">
        <v>607.932864</v>
      </c>
      <c r="K116" s="182" t="s">
        <v>1124</v>
      </c>
      <c r="L116" s="182">
        <v>3</v>
      </c>
      <c r="M116" s="182" t="s">
        <v>1127</v>
      </c>
      <c r="N116" s="186">
        <v>6</v>
      </c>
      <c r="O116" s="188">
        <v>0.14399999999999999</v>
      </c>
      <c r="P116" s="188" t="s">
        <v>573</v>
      </c>
      <c r="Q116" s="188">
        <v>0</v>
      </c>
      <c r="R116" s="189" t="s">
        <v>573</v>
      </c>
      <c r="S116" s="189" t="s">
        <v>573</v>
      </c>
    </row>
    <row r="117" spans="1:19" ht="15" customHeight="1" x14ac:dyDescent="0.3">
      <c r="A117" s="182" t="s">
        <v>1119</v>
      </c>
      <c r="B117" s="182" t="s">
        <v>908</v>
      </c>
      <c r="C117" s="182" t="s">
        <v>909</v>
      </c>
      <c r="D117" s="182" t="s">
        <v>1128</v>
      </c>
      <c r="E117" s="183" t="s">
        <v>1129</v>
      </c>
      <c r="F117" s="183" t="s">
        <v>971</v>
      </c>
      <c r="G117" s="184">
        <v>6.4000000000000001E-2</v>
      </c>
      <c r="H117" s="185">
        <v>0.1</v>
      </c>
      <c r="I117" s="186">
        <v>10936.8</v>
      </c>
      <c r="J117" s="187">
        <v>769.95072000000005</v>
      </c>
      <c r="K117" s="182" t="s">
        <v>1124</v>
      </c>
      <c r="L117" s="182">
        <v>4</v>
      </c>
      <c r="M117" s="182" t="s">
        <v>1130</v>
      </c>
      <c r="N117" s="186">
        <v>6</v>
      </c>
      <c r="O117" s="188">
        <v>6.4000000000000001E-2</v>
      </c>
      <c r="P117" s="188" t="s">
        <v>573</v>
      </c>
      <c r="Q117" s="188">
        <v>0</v>
      </c>
      <c r="R117" s="189" t="s">
        <v>573</v>
      </c>
      <c r="S117" s="189" t="s">
        <v>573</v>
      </c>
    </row>
    <row r="118" spans="1:19" ht="15" customHeight="1" x14ac:dyDescent="0.3">
      <c r="A118" s="182" t="s">
        <v>1119</v>
      </c>
      <c r="B118" s="182" t="s">
        <v>937</v>
      </c>
      <c r="C118" s="182" t="s">
        <v>938</v>
      </c>
      <c r="D118" s="190" t="s">
        <v>939</v>
      </c>
      <c r="E118" s="183" t="s">
        <v>940</v>
      </c>
      <c r="F118" s="183" t="s">
        <v>941</v>
      </c>
      <c r="G118" s="184">
        <v>0.65</v>
      </c>
      <c r="H118" s="185">
        <v>0</v>
      </c>
      <c r="I118" s="186">
        <v>60860.580776572002</v>
      </c>
      <c r="J118" s="187">
        <v>39559.377504771801</v>
      </c>
      <c r="K118" s="182" t="s">
        <v>1131</v>
      </c>
      <c r="L118" s="182">
        <v>1</v>
      </c>
      <c r="M118" s="182" t="s">
        <v>1132</v>
      </c>
      <c r="N118" s="186">
        <v>6</v>
      </c>
      <c r="O118" s="188">
        <v>0.108333333333333</v>
      </c>
      <c r="P118" s="188" t="s">
        <v>573</v>
      </c>
      <c r="Q118" s="188">
        <v>0</v>
      </c>
      <c r="R118" s="189" t="s">
        <v>573</v>
      </c>
      <c r="S118" s="189" t="s">
        <v>573</v>
      </c>
    </row>
    <row r="119" spans="1:19" ht="15" customHeight="1" x14ac:dyDescent="0.3">
      <c r="A119" s="182" t="s">
        <v>1119</v>
      </c>
      <c r="B119" s="182" t="s">
        <v>937</v>
      </c>
      <c r="C119" s="182" t="s">
        <v>938</v>
      </c>
      <c r="D119" s="190" t="s">
        <v>944</v>
      </c>
      <c r="E119" s="183" t="s">
        <v>945</v>
      </c>
      <c r="F119" s="183" t="s">
        <v>941</v>
      </c>
      <c r="G119" s="184">
        <v>1</v>
      </c>
      <c r="H119" s="185">
        <v>0</v>
      </c>
      <c r="I119" s="186">
        <v>85927.097156571996</v>
      </c>
      <c r="J119" s="187">
        <v>85927.097156571996</v>
      </c>
      <c r="K119" s="182" t="s">
        <v>1131</v>
      </c>
      <c r="L119" s="182">
        <v>2</v>
      </c>
      <c r="M119" s="182" t="s">
        <v>1133</v>
      </c>
      <c r="N119" s="186">
        <v>6</v>
      </c>
      <c r="O119" s="188">
        <v>0.16666666666666699</v>
      </c>
      <c r="P119" s="188" t="s">
        <v>573</v>
      </c>
      <c r="Q119" s="188">
        <v>0</v>
      </c>
      <c r="R119" s="189" t="s">
        <v>573</v>
      </c>
      <c r="S119" s="189" t="s">
        <v>573</v>
      </c>
    </row>
    <row r="120" spans="1:19" ht="15" customHeight="1" x14ac:dyDescent="0.3">
      <c r="A120" s="182" t="s">
        <v>1134</v>
      </c>
      <c r="B120" s="182" t="s">
        <v>563</v>
      </c>
      <c r="C120" s="182"/>
      <c r="D120" s="182" t="s">
        <v>948</v>
      </c>
      <c r="E120" s="183" t="s">
        <v>949</v>
      </c>
      <c r="F120" s="183"/>
      <c r="G120" s="184">
        <v>0.5</v>
      </c>
      <c r="H120" s="185">
        <v>0</v>
      </c>
      <c r="I120" s="186">
        <v>571.17949098076099</v>
      </c>
      <c r="J120" s="187">
        <v>285.58974549038101</v>
      </c>
      <c r="K120" s="182" t="s">
        <v>1135</v>
      </c>
      <c r="L120" s="182">
        <v>1</v>
      </c>
      <c r="M120" s="182" t="s">
        <v>1136</v>
      </c>
      <c r="N120" s="186">
        <v>11.5</v>
      </c>
      <c r="O120" s="188">
        <v>0.5</v>
      </c>
      <c r="P120" s="188">
        <v>879</v>
      </c>
      <c r="Q120" s="188">
        <v>439.5</v>
      </c>
      <c r="R120" s="189">
        <v>7.01</v>
      </c>
      <c r="S120" s="189" t="s">
        <v>985</v>
      </c>
    </row>
    <row r="121" spans="1:19" ht="15" customHeight="1" x14ac:dyDescent="0.3">
      <c r="A121" s="182" t="s">
        <v>1134</v>
      </c>
      <c r="B121" s="182" t="s">
        <v>563</v>
      </c>
      <c r="C121" s="182"/>
      <c r="D121" s="182" t="s">
        <v>952</v>
      </c>
      <c r="E121" s="183" t="s">
        <v>953</v>
      </c>
      <c r="F121" s="183"/>
      <c r="G121" s="184">
        <v>1</v>
      </c>
      <c r="H121" s="185">
        <v>0</v>
      </c>
      <c r="I121" s="186">
        <v>2287.1357450968098</v>
      </c>
      <c r="J121" s="187">
        <v>2287.1357450968098</v>
      </c>
      <c r="K121" s="182" t="s">
        <v>1135</v>
      </c>
      <c r="L121" s="182">
        <v>2</v>
      </c>
      <c r="M121" s="182" t="s">
        <v>1137</v>
      </c>
      <c r="N121" s="186">
        <v>11.5</v>
      </c>
      <c r="O121" s="188">
        <v>1</v>
      </c>
      <c r="P121" s="188">
        <v>879</v>
      </c>
      <c r="Q121" s="188">
        <v>879</v>
      </c>
      <c r="R121" s="189">
        <v>7.01</v>
      </c>
      <c r="S121" s="189" t="s">
        <v>985</v>
      </c>
    </row>
    <row r="122" spans="1:19" ht="15" customHeight="1" x14ac:dyDescent="0.3">
      <c r="A122" s="182" t="s">
        <v>1134</v>
      </c>
      <c r="B122" s="182" t="s">
        <v>563</v>
      </c>
      <c r="C122" s="182"/>
      <c r="D122" s="182" t="s">
        <v>955</v>
      </c>
      <c r="E122" s="183" t="s">
        <v>956</v>
      </c>
      <c r="F122" s="183"/>
      <c r="G122" s="184">
        <v>1</v>
      </c>
      <c r="H122" s="185">
        <v>0</v>
      </c>
      <c r="I122" s="186">
        <v>957.25319614994703</v>
      </c>
      <c r="J122" s="187">
        <v>957.25319614994703</v>
      </c>
      <c r="K122" s="182" t="s">
        <v>1135</v>
      </c>
      <c r="L122" s="182">
        <v>3</v>
      </c>
      <c r="M122" s="182" t="s">
        <v>1138</v>
      </c>
      <c r="N122" s="186">
        <v>11.5</v>
      </c>
      <c r="O122" s="188">
        <v>1</v>
      </c>
      <c r="P122" s="188">
        <v>879</v>
      </c>
      <c r="Q122" s="188">
        <v>879</v>
      </c>
      <c r="R122" s="189">
        <v>7.01</v>
      </c>
      <c r="S122" s="189" t="s">
        <v>985</v>
      </c>
    </row>
    <row r="123" spans="1:19" ht="15" customHeight="1" x14ac:dyDescent="0.3">
      <c r="A123" s="182" t="s">
        <v>1134</v>
      </c>
      <c r="B123" s="182" t="s">
        <v>908</v>
      </c>
      <c r="C123" s="182" t="s">
        <v>909</v>
      </c>
      <c r="D123" s="182" t="s">
        <v>962</v>
      </c>
      <c r="E123" s="183" t="s">
        <v>963</v>
      </c>
      <c r="F123" s="183" t="s">
        <v>590</v>
      </c>
      <c r="G123" s="184">
        <v>2.5999999999999999E-2</v>
      </c>
      <c r="H123" s="185">
        <v>0.1</v>
      </c>
      <c r="I123" s="186">
        <v>32399.77</v>
      </c>
      <c r="J123" s="187">
        <v>926.633422</v>
      </c>
      <c r="K123" s="182" t="s">
        <v>1139</v>
      </c>
      <c r="L123" s="182">
        <v>1</v>
      </c>
      <c r="M123" s="182" t="s">
        <v>1140</v>
      </c>
      <c r="N123" s="186">
        <v>11.5</v>
      </c>
      <c r="O123" s="188">
        <v>2.5999999999999999E-2</v>
      </c>
      <c r="P123" s="188">
        <v>879</v>
      </c>
      <c r="Q123" s="188">
        <v>22.853999999999999</v>
      </c>
      <c r="R123" s="189">
        <v>7.01</v>
      </c>
      <c r="S123" s="189" t="s">
        <v>985</v>
      </c>
    </row>
    <row r="124" spans="1:19" ht="15" customHeight="1" x14ac:dyDescent="0.3">
      <c r="A124" s="182" t="s">
        <v>1134</v>
      </c>
      <c r="B124" s="182" t="s">
        <v>908</v>
      </c>
      <c r="C124" s="182" t="s">
        <v>909</v>
      </c>
      <c r="D124" s="182" t="s">
        <v>965</v>
      </c>
      <c r="E124" s="183" t="s">
        <v>966</v>
      </c>
      <c r="F124" s="183" t="s">
        <v>967</v>
      </c>
      <c r="G124" s="184">
        <v>0.314</v>
      </c>
      <c r="H124" s="185">
        <v>0.1</v>
      </c>
      <c r="I124" s="186">
        <v>7809.48</v>
      </c>
      <c r="J124" s="187">
        <v>2697.3943920000002</v>
      </c>
      <c r="K124" s="182" t="s">
        <v>1139</v>
      </c>
      <c r="L124" s="182">
        <v>2</v>
      </c>
      <c r="M124" s="182" t="s">
        <v>1141</v>
      </c>
      <c r="N124" s="186">
        <v>11.5</v>
      </c>
      <c r="O124" s="188">
        <v>0.314</v>
      </c>
      <c r="P124" s="188">
        <v>879</v>
      </c>
      <c r="Q124" s="188">
        <v>276.00599999999997</v>
      </c>
      <c r="R124" s="189">
        <v>7.01</v>
      </c>
      <c r="S124" s="189" t="s">
        <v>985</v>
      </c>
    </row>
    <row r="125" spans="1:19" ht="15" customHeight="1" x14ac:dyDescent="0.3">
      <c r="A125" s="182" t="s">
        <v>1134</v>
      </c>
      <c r="B125" s="182" t="s">
        <v>908</v>
      </c>
      <c r="C125" s="182" t="s">
        <v>909</v>
      </c>
      <c r="D125" s="182" t="s">
        <v>969</v>
      </c>
      <c r="E125" s="183" t="s">
        <v>970</v>
      </c>
      <c r="F125" s="183" t="s">
        <v>971</v>
      </c>
      <c r="G125" s="184">
        <v>0.06</v>
      </c>
      <c r="H125" s="185">
        <v>0.1</v>
      </c>
      <c r="I125" s="186">
        <v>3837.96</v>
      </c>
      <c r="J125" s="187">
        <v>253.30536000000001</v>
      </c>
      <c r="K125" s="182" t="s">
        <v>1139</v>
      </c>
      <c r="L125" s="182">
        <v>3</v>
      </c>
      <c r="M125" s="182" t="s">
        <v>1142</v>
      </c>
      <c r="N125" s="186">
        <v>11.5</v>
      </c>
      <c r="O125" s="188">
        <v>0.06</v>
      </c>
      <c r="P125" s="188">
        <v>879</v>
      </c>
      <c r="Q125" s="188">
        <v>52.74</v>
      </c>
      <c r="R125" s="189">
        <v>7.01</v>
      </c>
      <c r="S125" s="189" t="s">
        <v>985</v>
      </c>
    </row>
    <row r="126" spans="1:19" ht="15" customHeight="1" x14ac:dyDescent="0.3">
      <c r="A126" s="182" t="s">
        <v>1134</v>
      </c>
      <c r="B126" s="182" t="s">
        <v>908</v>
      </c>
      <c r="C126" s="182" t="s">
        <v>909</v>
      </c>
      <c r="D126" s="182" t="s">
        <v>1044</v>
      </c>
      <c r="E126" s="183" t="s">
        <v>1045</v>
      </c>
      <c r="F126" s="183" t="s">
        <v>1046</v>
      </c>
      <c r="G126" s="184">
        <v>0.1</v>
      </c>
      <c r="H126" s="185">
        <v>0.05</v>
      </c>
      <c r="I126" s="186">
        <v>1256.1279999999999</v>
      </c>
      <c r="J126" s="187">
        <v>131.89344</v>
      </c>
      <c r="K126" s="182" t="s">
        <v>1139</v>
      </c>
      <c r="L126" s="182">
        <v>4</v>
      </c>
      <c r="M126" s="182" t="s">
        <v>1143</v>
      </c>
      <c r="N126" s="186">
        <v>11.5</v>
      </c>
      <c r="O126" s="188">
        <v>0.1</v>
      </c>
      <c r="P126" s="188">
        <v>879</v>
      </c>
      <c r="Q126" s="188">
        <v>87.9</v>
      </c>
      <c r="R126" s="189">
        <v>7.01</v>
      </c>
      <c r="S126" s="189" t="s">
        <v>985</v>
      </c>
    </row>
    <row r="127" spans="1:19" ht="15" customHeight="1" x14ac:dyDescent="0.3">
      <c r="A127" s="182" t="s">
        <v>1134</v>
      </c>
      <c r="B127" s="182" t="s">
        <v>937</v>
      </c>
      <c r="C127" s="182" t="s">
        <v>938</v>
      </c>
      <c r="D127" s="190" t="s">
        <v>939</v>
      </c>
      <c r="E127" s="183" t="s">
        <v>940</v>
      </c>
      <c r="F127" s="183" t="s">
        <v>941</v>
      </c>
      <c r="G127" s="184">
        <v>0.6</v>
      </c>
      <c r="H127" s="185">
        <v>0</v>
      </c>
      <c r="I127" s="186">
        <v>60860.580776572002</v>
      </c>
      <c r="J127" s="187">
        <v>36516.3484659432</v>
      </c>
      <c r="K127" s="182" t="s">
        <v>1144</v>
      </c>
      <c r="L127" s="182">
        <v>1</v>
      </c>
      <c r="M127" s="182" t="s">
        <v>1145</v>
      </c>
      <c r="N127" s="186">
        <v>11.5</v>
      </c>
      <c r="O127" s="188">
        <v>5.21739130434783E-2</v>
      </c>
      <c r="P127" s="188">
        <v>879</v>
      </c>
      <c r="Q127" s="188">
        <v>45.860869565217399</v>
      </c>
      <c r="R127" s="189">
        <v>7.01</v>
      </c>
      <c r="S127" s="189" t="s">
        <v>985</v>
      </c>
    </row>
    <row r="128" spans="1:19" ht="15" customHeight="1" x14ac:dyDescent="0.3">
      <c r="A128" s="182" t="s">
        <v>1134</v>
      </c>
      <c r="B128" s="182" t="s">
        <v>937</v>
      </c>
      <c r="C128" s="182" t="s">
        <v>938</v>
      </c>
      <c r="D128" s="190" t="s">
        <v>944</v>
      </c>
      <c r="E128" s="183" t="s">
        <v>945</v>
      </c>
      <c r="F128" s="183" t="s">
        <v>941</v>
      </c>
      <c r="G128" s="184">
        <v>1</v>
      </c>
      <c r="H128" s="185">
        <v>0</v>
      </c>
      <c r="I128" s="186">
        <v>85927.097156571996</v>
      </c>
      <c r="J128" s="187">
        <v>85927.097156571996</v>
      </c>
      <c r="K128" s="182" t="s">
        <v>1144</v>
      </c>
      <c r="L128" s="182">
        <v>2</v>
      </c>
      <c r="M128" s="182" t="s">
        <v>1146</v>
      </c>
      <c r="N128" s="186">
        <v>11.5</v>
      </c>
      <c r="O128" s="188">
        <v>8.6956521739130405E-2</v>
      </c>
      <c r="P128" s="188">
        <v>879</v>
      </c>
      <c r="Q128" s="188">
        <v>76.434782608695699</v>
      </c>
      <c r="R128" s="189">
        <v>7.01</v>
      </c>
      <c r="S128" s="189" t="s">
        <v>985</v>
      </c>
    </row>
    <row r="129" spans="1:19" ht="15" customHeight="1" x14ac:dyDescent="0.3">
      <c r="A129" s="182" t="s">
        <v>1147</v>
      </c>
      <c r="B129" s="182" t="s">
        <v>563</v>
      </c>
      <c r="C129" s="182"/>
      <c r="D129" s="182" t="s">
        <v>1148</v>
      </c>
      <c r="E129" s="183" t="s">
        <v>1149</v>
      </c>
      <c r="F129" s="183"/>
      <c r="G129" s="184">
        <v>1</v>
      </c>
      <c r="H129" s="185">
        <v>0</v>
      </c>
      <c r="I129" s="186">
        <v>2910.1331666666701</v>
      </c>
      <c r="J129" s="187">
        <v>2910.1331666666701</v>
      </c>
      <c r="K129" s="182" t="s">
        <v>1150</v>
      </c>
      <c r="L129" s="182">
        <v>1</v>
      </c>
      <c r="M129" s="182" t="s">
        <v>1151</v>
      </c>
      <c r="N129" s="186">
        <v>8</v>
      </c>
      <c r="O129" s="188">
        <v>1</v>
      </c>
      <c r="P129" s="188" t="s">
        <v>573</v>
      </c>
      <c r="Q129" s="188">
        <v>0</v>
      </c>
      <c r="R129" s="189" t="s">
        <v>573</v>
      </c>
      <c r="S129" s="189" t="s">
        <v>573</v>
      </c>
    </row>
    <row r="130" spans="1:19" ht="15" customHeight="1" x14ac:dyDescent="0.3">
      <c r="A130" s="182" t="s">
        <v>1147</v>
      </c>
      <c r="B130" s="182" t="s">
        <v>563</v>
      </c>
      <c r="C130" s="182"/>
      <c r="D130" s="182" t="s">
        <v>952</v>
      </c>
      <c r="E130" s="183" t="s">
        <v>953</v>
      </c>
      <c r="F130" s="183"/>
      <c r="G130" s="184">
        <v>1</v>
      </c>
      <c r="H130" s="185">
        <v>0</v>
      </c>
      <c r="I130" s="186">
        <v>2287.1357450968098</v>
      </c>
      <c r="J130" s="187">
        <v>2287.1357450968098</v>
      </c>
      <c r="K130" s="182" t="s">
        <v>1150</v>
      </c>
      <c r="L130" s="182">
        <v>2</v>
      </c>
      <c r="M130" s="182" t="s">
        <v>1152</v>
      </c>
      <c r="N130" s="186">
        <v>8</v>
      </c>
      <c r="O130" s="188">
        <v>1</v>
      </c>
      <c r="P130" s="188" t="s">
        <v>573</v>
      </c>
      <c r="Q130" s="188">
        <v>0</v>
      </c>
      <c r="R130" s="189" t="s">
        <v>573</v>
      </c>
      <c r="S130" s="189" t="s">
        <v>573</v>
      </c>
    </row>
    <row r="131" spans="1:19" ht="15" customHeight="1" x14ac:dyDescent="0.3">
      <c r="A131" s="182" t="s">
        <v>1147</v>
      </c>
      <c r="B131" s="182" t="s">
        <v>563</v>
      </c>
      <c r="C131" s="182"/>
      <c r="D131" s="182" t="s">
        <v>955</v>
      </c>
      <c r="E131" s="183" t="s">
        <v>956</v>
      </c>
      <c r="F131" s="183"/>
      <c r="G131" s="184">
        <v>1</v>
      </c>
      <c r="H131" s="185">
        <v>0</v>
      </c>
      <c r="I131" s="186">
        <v>957.25319614994703</v>
      </c>
      <c r="J131" s="187">
        <v>957.25319614994703</v>
      </c>
      <c r="K131" s="182" t="s">
        <v>1150</v>
      </c>
      <c r="L131" s="182">
        <v>3</v>
      </c>
      <c r="M131" s="182" t="s">
        <v>1153</v>
      </c>
      <c r="N131" s="186">
        <v>8</v>
      </c>
      <c r="O131" s="188">
        <v>1</v>
      </c>
      <c r="P131" s="188" t="s">
        <v>573</v>
      </c>
      <c r="Q131" s="188">
        <v>0</v>
      </c>
      <c r="R131" s="189" t="s">
        <v>573</v>
      </c>
      <c r="S131" s="189" t="s">
        <v>573</v>
      </c>
    </row>
    <row r="132" spans="1:19" ht="15" customHeight="1" x14ac:dyDescent="0.3">
      <c r="A132" s="182" t="s">
        <v>1147</v>
      </c>
      <c r="B132" s="182" t="s">
        <v>908</v>
      </c>
      <c r="C132" s="182" t="s">
        <v>909</v>
      </c>
      <c r="D132" s="182" t="s">
        <v>962</v>
      </c>
      <c r="E132" s="183" t="s">
        <v>963</v>
      </c>
      <c r="F132" s="183" t="s">
        <v>590</v>
      </c>
      <c r="G132" s="184">
        <v>2.5999999999999999E-2</v>
      </c>
      <c r="H132" s="185">
        <v>0.1</v>
      </c>
      <c r="I132" s="186">
        <v>32399.77</v>
      </c>
      <c r="J132" s="187">
        <v>926.633422</v>
      </c>
      <c r="K132" s="182" t="s">
        <v>1154</v>
      </c>
      <c r="L132" s="182">
        <v>1</v>
      </c>
      <c r="M132" s="182" t="s">
        <v>1155</v>
      </c>
      <c r="N132" s="186">
        <v>8</v>
      </c>
      <c r="O132" s="188">
        <v>2.5999999999999999E-2</v>
      </c>
      <c r="P132" s="188" t="s">
        <v>573</v>
      </c>
      <c r="Q132" s="188">
        <v>0</v>
      </c>
      <c r="R132" s="189" t="s">
        <v>573</v>
      </c>
      <c r="S132" s="189" t="s">
        <v>573</v>
      </c>
    </row>
    <row r="133" spans="1:19" ht="15" customHeight="1" x14ac:dyDescent="0.3">
      <c r="A133" s="182" t="s">
        <v>1147</v>
      </c>
      <c r="B133" s="182" t="s">
        <v>908</v>
      </c>
      <c r="C133" s="182" t="s">
        <v>909</v>
      </c>
      <c r="D133" s="182" t="s">
        <v>965</v>
      </c>
      <c r="E133" s="183" t="s">
        <v>966</v>
      </c>
      <c r="F133" s="183" t="s">
        <v>967</v>
      </c>
      <c r="G133" s="184">
        <v>0.314</v>
      </c>
      <c r="H133" s="185">
        <v>0.1</v>
      </c>
      <c r="I133" s="186">
        <v>7809.48</v>
      </c>
      <c r="J133" s="187">
        <v>2697.3943920000002</v>
      </c>
      <c r="K133" s="182" t="s">
        <v>1154</v>
      </c>
      <c r="L133" s="182">
        <v>2</v>
      </c>
      <c r="M133" s="182" t="s">
        <v>1156</v>
      </c>
      <c r="N133" s="186">
        <v>8</v>
      </c>
      <c r="O133" s="188">
        <v>0.314</v>
      </c>
      <c r="P133" s="188" t="s">
        <v>573</v>
      </c>
      <c r="Q133" s="188">
        <v>0</v>
      </c>
      <c r="R133" s="189" t="s">
        <v>573</v>
      </c>
      <c r="S133" s="189" t="s">
        <v>573</v>
      </c>
    </row>
    <row r="134" spans="1:19" ht="15" customHeight="1" x14ac:dyDescent="0.3">
      <c r="A134" s="182" t="s">
        <v>1147</v>
      </c>
      <c r="B134" s="182" t="s">
        <v>908</v>
      </c>
      <c r="C134" s="182" t="s">
        <v>909</v>
      </c>
      <c r="D134" s="182" t="s">
        <v>969</v>
      </c>
      <c r="E134" s="183" t="s">
        <v>970</v>
      </c>
      <c r="F134" s="183" t="s">
        <v>971</v>
      </c>
      <c r="G134" s="184">
        <v>0.06</v>
      </c>
      <c r="H134" s="185">
        <v>0.1</v>
      </c>
      <c r="I134" s="186">
        <v>3837.96</v>
      </c>
      <c r="J134" s="187">
        <v>253.30536000000001</v>
      </c>
      <c r="K134" s="182" t="s">
        <v>1154</v>
      </c>
      <c r="L134" s="182">
        <v>3</v>
      </c>
      <c r="M134" s="182" t="s">
        <v>1157</v>
      </c>
      <c r="N134" s="186">
        <v>8</v>
      </c>
      <c r="O134" s="188">
        <v>0.06</v>
      </c>
      <c r="P134" s="188" t="s">
        <v>573</v>
      </c>
      <c r="Q134" s="188">
        <v>0</v>
      </c>
      <c r="R134" s="189" t="s">
        <v>573</v>
      </c>
      <c r="S134" s="189" t="s">
        <v>573</v>
      </c>
    </row>
    <row r="135" spans="1:19" ht="15" customHeight="1" x14ac:dyDescent="0.3">
      <c r="A135" s="182" t="s">
        <v>1147</v>
      </c>
      <c r="B135" s="182" t="s">
        <v>908</v>
      </c>
      <c r="C135" s="182" t="s">
        <v>909</v>
      </c>
      <c r="D135" s="182" t="s">
        <v>1044</v>
      </c>
      <c r="E135" s="183" t="s">
        <v>1045</v>
      </c>
      <c r="F135" s="183" t="s">
        <v>1046</v>
      </c>
      <c r="G135" s="184">
        <v>0.1</v>
      </c>
      <c r="H135" s="185">
        <v>0.05</v>
      </c>
      <c r="I135" s="186">
        <v>1256.1279999999999</v>
      </c>
      <c r="J135" s="187">
        <v>131.89344</v>
      </c>
      <c r="K135" s="182" t="s">
        <v>1154</v>
      </c>
      <c r="L135" s="182">
        <v>4</v>
      </c>
      <c r="M135" s="182" t="s">
        <v>1158</v>
      </c>
      <c r="N135" s="186">
        <v>8</v>
      </c>
      <c r="O135" s="188">
        <v>0.1</v>
      </c>
      <c r="P135" s="188" t="s">
        <v>573</v>
      </c>
      <c r="Q135" s="188">
        <v>0</v>
      </c>
      <c r="R135" s="189" t="s">
        <v>573</v>
      </c>
      <c r="S135" s="189" t="s">
        <v>573</v>
      </c>
    </row>
    <row r="136" spans="1:19" ht="15" customHeight="1" x14ac:dyDescent="0.3">
      <c r="A136" s="182" t="s">
        <v>1147</v>
      </c>
      <c r="B136" s="182" t="s">
        <v>937</v>
      </c>
      <c r="C136" s="182" t="s">
        <v>938</v>
      </c>
      <c r="D136" s="190" t="s">
        <v>939</v>
      </c>
      <c r="E136" s="183" t="s">
        <v>940</v>
      </c>
      <c r="F136" s="183" t="s">
        <v>941</v>
      </c>
      <c r="G136" s="184">
        <v>0.6</v>
      </c>
      <c r="H136" s="185">
        <v>0</v>
      </c>
      <c r="I136" s="186">
        <v>60860.580776572002</v>
      </c>
      <c r="J136" s="187">
        <v>36516.3484659432</v>
      </c>
      <c r="K136" s="182" t="s">
        <v>1159</v>
      </c>
      <c r="L136" s="182">
        <v>1</v>
      </c>
      <c r="M136" s="182" t="s">
        <v>1160</v>
      </c>
      <c r="N136" s="186">
        <v>8</v>
      </c>
      <c r="O136" s="188">
        <v>7.4999999999999997E-2</v>
      </c>
      <c r="P136" s="188" t="s">
        <v>573</v>
      </c>
      <c r="Q136" s="188">
        <v>0</v>
      </c>
      <c r="R136" s="189" t="s">
        <v>573</v>
      </c>
      <c r="S136" s="189" t="s">
        <v>573</v>
      </c>
    </row>
    <row r="137" spans="1:19" ht="15" customHeight="1" x14ac:dyDescent="0.3">
      <c r="A137" s="182" t="s">
        <v>1147</v>
      </c>
      <c r="B137" s="182" t="s">
        <v>937</v>
      </c>
      <c r="C137" s="182" t="s">
        <v>938</v>
      </c>
      <c r="D137" s="190" t="s">
        <v>944</v>
      </c>
      <c r="E137" s="183" t="s">
        <v>945</v>
      </c>
      <c r="F137" s="183" t="s">
        <v>941</v>
      </c>
      <c r="G137" s="184">
        <v>1</v>
      </c>
      <c r="H137" s="185">
        <v>0</v>
      </c>
      <c r="I137" s="186">
        <v>85927.097156571996</v>
      </c>
      <c r="J137" s="187">
        <v>85927.097156571996</v>
      </c>
      <c r="K137" s="182" t="s">
        <v>1159</v>
      </c>
      <c r="L137" s="182">
        <v>2</v>
      </c>
      <c r="M137" s="182" t="s">
        <v>1161</v>
      </c>
      <c r="N137" s="186">
        <v>8</v>
      </c>
      <c r="O137" s="188">
        <v>0.125</v>
      </c>
      <c r="P137" s="188" t="s">
        <v>573</v>
      </c>
      <c r="Q137" s="188">
        <v>0</v>
      </c>
      <c r="R137" s="189" t="s">
        <v>573</v>
      </c>
      <c r="S137" s="189" t="s">
        <v>573</v>
      </c>
    </row>
    <row r="138" spans="1:19" ht="15" customHeight="1" x14ac:dyDescent="0.3">
      <c r="A138" s="182" t="s">
        <v>1162</v>
      </c>
      <c r="B138" s="182" t="s">
        <v>563</v>
      </c>
      <c r="C138" s="182"/>
      <c r="D138" s="182" t="s">
        <v>952</v>
      </c>
      <c r="E138" s="183" t="s">
        <v>953</v>
      </c>
      <c r="F138" s="183"/>
      <c r="G138" s="184">
        <v>1</v>
      </c>
      <c r="H138" s="185">
        <v>0</v>
      </c>
      <c r="I138" s="186">
        <v>2287.1357450968098</v>
      </c>
      <c r="J138" s="187">
        <v>2287.1357450968098</v>
      </c>
      <c r="K138" s="182" t="s">
        <v>1163</v>
      </c>
      <c r="L138" s="182">
        <v>1</v>
      </c>
      <c r="M138" s="182" t="s">
        <v>1164</v>
      </c>
      <c r="N138" s="186">
        <v>1.4</v>
      </c>
      <c r="O138" s="188">
        <v>1</v>
      </c>
      <c r="P138" s="188" t="s">
        <v>573</v>
      </c>
      <c r="Q138" s="188">
        <v>0</v>
      </c>
      <c r="R138" s="189" t="s">
        <v>573</v>
      </c>
      <c r="S138" s="189" t="s">
        <v>573</v>
      </c>
    </row>
    <row r="139" spans="1:19" ht="15" customHeight="1" x14ac:dyDescent="0.3">
      <c r="A139" s="182" t="s">
        <v>1162</v>
      </c>
      <c r="B139" s="182" t="s">
        <v>563</v>
      </c>
      <c r="C139" s="182"/>
      <c r="D139" s="182" t="s">
        <v>955</v>
      </c>
      <c r="E139" s="183" t="s">
        <v>956</v>
      </c>
      <c r="F139" s="183"/>
      <c r="G139" s="184">
        <v>1</v>
      </c>
      <c r="H139" s="185">
        <v>0</v>
      </c>
      <c r="I139" s="186">
        <v>957.25319614994703</v>
      </c>
      <c r="J139" s="187">
        <v>957.25319614994703</v>
      </c>
      <c r="K139" s="182" t="s">
        <v>1163</v>
      </c>
      <c r="L139" s="182">
        <v>2</v>
      </c>
      <c r="M139" s="182" t="s">
        <v>1165</v>
      </c>
      <c r="N139" s="186">
        <v>1.4</v>
      </c>
      <c r="O139" s="188">
        <v>1</v>
      </c>
      <c r="P139" s="188" t="s">
        <v>573</v>
      </c>
      <c r="Q139" s="188">
        <v>0</v>
      </c>
      <c r="R139" s="189" t="s">
        <v>573</v>
      </c>
      <c r="S139" s="189" t="s">
        <v>573</v>
      </c>
    </row>
    <row r="140" spans="1:19" ht="15" customHeight="1" x14ac:dyDescent="0.3">
      <c r="A140" s="182" t="s">
        <v>1162</v>
      </c>
      <c r="B140" s="182" t="s">
        <v>908</v>
      </c>
      <c r="C140" s="182" t="s">
        <v>909</v>
      </c>
      <c r="D140" s="182" t="s">
        <v>962</v>
      </c>
      <c r="E140" s="183" t="s">
        <v>963</v>
      </c>
      <c r="F140" s="183" t="s">
        <v>590</v>
      </c>
      <c r="G140" s="184">
        <v>0.51500000000000001</v>
      </c>
      <c r="H140" s="185">
        <v>0.1</v>
      </c>
      <c r="I140" s="186">
        <v>32399.77</v>
      </c>
      <c r="J140" s="187">
        <v>18354.469705</v>
      </c>
      <c r="K140" s="182" t="s">
        <v>1166</v>
      </c>
      <c r="L140" s="182">
        <v>1</v>
      </c>
      <c r="M140" s="182" t="s">
        <v>1167</v>
      </c>
      <c r="N140" s="186">
        <v>1.4</v>
      </c>
      <c r="O140" s="188">
        <v>0.51500000000000001</v>
      </c>
      <c r="P140" s="188" t="s">
        <v>573</v>
      </c>
      <c r="Q140" s="188">
        <v>0</v>
      </c>
      <c r="R140" s="189" t="s">
        <v>573</v>
      </c>
      <c r="S140" s="189" t="s">
        <v>573</v>
      </c>
    </row>
    <row r="141" spans="1:19" ht="15" customHeight="1" x14ac:dyDescent="0.3">
      <c r="A141" s="182" t="s">
        <v>1162</v>
      </c>
      <c r="B141" s="182" t="s">
        <v>908</v>
      </c>
      <c r="C141" s="182" t="s">
        <v>909</v>
      </c>
      <c r="D141" s="182" t="s">
        <v>1168</v>
      </c>
      <c r="E141" s="183" t="s">
        <v>1169</v>
      </c>
      <c r="F141" s="183" t="s">
        <v>590</v>
      </c>
      <c r="G141" s="184">
        <v>0.77</v>
      </c>
      <c r="H141" s="185">
        <v>0.1</v>
      </c>
      <c r="I141" s="186">
        <v>34246.800000000003</v>
      </c>
      <c r="J141" s="187">
        <v>29007.0396</v>
      </c>
      <c r="K141" s="182" t="s">
        <v>1166</v>
      </c>
      <c r="L141" s="182">
        <v>2</v>
      </c>
      <c r="M141" s="182" t="s">
        <v>1170</v>
      </c>
      <c r="N141" s="186">
        <v>1.4</v>
      </c>
      <c r="O141" s="188">
        <v>0.77</v>
      </c>
      <c r="P141" s="188" t="s">
        <v>573</v>
      </c>
      <c r="Q141" s="188">
        <v>0</v>
      </c>
      <c r="R141" s="189" t="s">
        <v>573</v>
      </c>
      <c r="S141" s="189" t="s">
        <v>573</v>
      </c>
    </row>
    <row r="142" spans="1:19" ht="15" customHeight="1" x14ac:dyDescent="0.3">
      <c r="A142" s="182" t="s">
        <v>1162</v>
      </c>
      <c r="B142" s="182" t="s">
        <v>908</v>
      </c>
      <c r="C142" s="182" t="s">
        <v>909</v>
      </c>
      <c r="D142" s="182" t="s">
        <v>965</v>
      </c>
      <c r="E142" s="183" t="s">
        <v>966</v>
      </c>
      <c r="F142" s="183" t="s">
        <v>967</v>
      </c>
      <c r="G142" s="184">
        <v>0.748</v>
      </c>
      <c r="H142" s="185">
        <v>0.1</v>
      </c>
      <c r="I142" s="186">
        <v>7809.48</v>
      </c>
      <c r="J142" s="187">
        <v>6425.640144</v>
      </c>
      <c r="K142" s="182" t="s">
        <v>1166</v>
      </c>
      <c r="L142" s="182">
        <v>3</v>
      </c>
      <c r="M142" s="182" t="s">
        <v>1171</v>
      </c>
      <c r="N142" s="186">
        <v>1.4</v>
      </c>
      <c r="O142" s="188">
        <v>0.748</v>
      </c>
      <c r="P142" s="188" t="s">
        <v>573</v>
      </c>
      <c r="Q142" s="188">
        <v>0</v>
      </c>
      <c r="R142" s="189" t="s">
        <v>573</v>
      </c>
      <c r="S142" s="189" t="s">
        <v>573</v>
      </c>
    </row>
    <row r="143" spans="1:19" ht="15" customHeight="1" x14ac:dyDescent="0.3">
      <c r="A143" s="182" t="s">
        <v>1162</v>
      </c>
      <c r="B143" s="182" t="s">
        <v>908</v>
      </c>
      <c r="C143" s="182" t="s">
        <v>909</v>
      </c>
      <c r="D143" s="182" t="s">
        <v>969</v>
      </c>
      <c r="E143" s="183" t="s">
        <v>970</v>
      </c>
      <c r="F143" s="183" t="s">
        <v>971</v>
      </c>
      <c r="G143" s="184">
        <v>3.24</v>
      </c>
      <c r="H143" s="185">
        <v>0.1</v>
      </c>
      <c r="I143" s="186">
        <v>3837.96</v>
      </c>
      <c r="J143" s="187">
        <v>13678.489439999999</v>
      </c>
      <c r="K143" s="182" t="s">
        <v>1166</v>
      </c>
      <c r="L143" s="182">
        <v>4</v>
      </c>
      <c r="M143" s="182" t="s">
        <v>1172</v>
      </c>
      <c r="N143" s="186">
        <v>1.4</v>
      </c>
      <c r="O143" s="188">
        <v>3.24</v>
      </c>
      <c r="P143" s="188" t="s">
        <v>573</v>
      </c>
      <c r="Q143" s="188">
        <v>0</v>
      </c>
      <c r="R143" s="189" t="s">
        <v>573</v>
      </c>
      <c r="S143" s="189" t="s">
        <v>573</v>
      </c>
    </row>
    <row r="144" spans="1:19" ht="15" customHeight="1" x14ac:dyDescent="0.3">
      <c r="A144" s="182" t="s">
        <v>1162</v>
      </c>
      <c r="B144" s="182" t="s">
        <v>937</v>
      </c>
      <c r="C144" s="182" t="s">
        <v>938</v>
      </c>
      <c r="D144" s="190" t="s">
        <v>939</v>
      </c>
      <c r="E144" s="183" t="s">
        <v>940</v>
      </c>
      <c r="F144" s="183" t="s">
        <v>941</v>
      </c>
      <c r="G144" s="184">
        <v>1</v>
      </c>
      <c r="H144" s="185">
        <v>0</v>
      </c>
      <c r="I144" s="186">
        <v>60860.580776572002</v>
      </c>
      <c r="J144" s="187">
        <v>60860.580776572002</v>
      </c>
      <c r="K144" s="182" t="s">
        <v>1173</v>
      </c>
      <c r="L144" s="182">
        <v>1</v>
      </c>
      <c r="M144" s="182" t="s">
        <v>1174</v>
      </c>
      <c r="N144" s="186">
        <v>1.4</v>
      </c>
      <c r="O144" s="188">
        <v>0.71428571428571397</v>
      </c>
      <c r="P144" s="188" t="s">
        <v>573</v>
      </c>
      <c r="Q144" s="188">
        <v>0</v>
      </c>
      <c r="R144" s="189" t="s">
        <v>573</v>
      </c>
      <c r="S144" s="189" t="s">
        <v>573</v>
      </c>
    </row>
    <row r="145" spans="1:19" ht="15" customHeight="1" x14ac:dyDescent="0.3">
      <c r="A145" s="182" t="s">
        <v>1162</v>
      </c>
      <c r="B145" s="182" t="s">
        <v>937</v>
      </c>
      <c r="C145" s="182" t="s">
        <v>938</v>
      </c>
      <c r="D145" s="190" t="s">
        <v>944</v>
      </c>
      <c r="E145" s="183" t="s">
        <v>945</v>
      </c>
      <c r="F145" s="183" t="s">
        <v>941</v>
      </c>
      <c r="G145" s="184">
        <v>0.75</v>
      </c>
      <c r="H145" s="185">
        <v>0</v>
      </c>
      <c r="I145" s="186">
        <v>85927.097156571996</v>
      </c>
      <c r="J145" s="187">
        <v>64445.322867429</v>
      </c>
      <c r="K145" s="182" t="s">
        <v>1173</v>
      </c>
      <c r="L145" s="182">
        <v>2</v>
      </c>
      <c r="M145" s="182" t="s">
        <v>1175</v>
      </c>
      <c r="N145" s="186">
        <v>1.4</v>
      </c>
      <c r="O145" s="188">
        <v>0.53571428571428603</v>
      </c>
      <c r="P145" s="188" t="s">
        <v>573</v>
      </c>
      <c r="Q145" s="188">
        <v>0</v>
      </c>
      <c r="R145" s="189" t="s">
        <v>573</v>
      </c>
      <c r="S145" s="189" t="s">
        <v>573</v>
      </c>
    </row>
    <row r="146" spans="1:19" ht="15" customHeight="1" x14ac:dyDescent="0.3">
      <c r="A146" s="182" t="s">
        <v>1176</v>
      </c>
      <c r="B146" s="182" t="s">
        <v>563</v>
      </c>
      <c r="C146" s="182"/>
      <c r="D146" s="182" t="s">
        <v>952</v>
      </c>
      <c r="E146" s="183" t="s">
        <v>953</v>
      </c>
      <c r="F146" s="183"/>
      <c r="G146" s="184">
        <v>1</v>
      </c>
      <c r="H146" s="185">
        <v>0</v>
      </c>
      <c r="I146" s="186">
        <v>2287.1357450968098</v>
      </c>
      <c r="J146" s="187">
        <v>2287.1357450968098</v>
      </c>
      <c r="K146" s="182" t="s">
        <v>1177</v>
      </c>
      <c r="L146" s="182">
        <v>1</v>
      </c>
      <c r="M146" s="182" t="s">
        <v>1178</v>
      </c>
      <c r="N146" s="186">
        <v>15</v>
      </c>
      <c r="O146" s="188">
        <v>1</v>
      </c>
      <c r="P146" s="188" t="s">
        <v>573</v>
      </c>
      <c r="Q146" s="188">
        <v>0</v>
      </c>
      <c r="R146" s="189" t="s">
        <v>573</v>
      </c>
      <c r="S146" s="189" t="s">
        <v>573</v>
      </c>
    </row>
    <row r="147" spans="1:19" ht="15" customHeight="1" x14ac:dyDescent="0.3">
      <c r="A147" s="182" t="s">
        <v>1176</v>
      </c>
      <c r="B147" s="182" t="s">
        <v>563</v>
      </c>
      <c r="C147" s="182"/>
      <c r="D147" s="182" t="s">
        <v>955</v>
      </c>
      <c r="E147" s="183" t="s">
        <v>956</v>
      </c>
      <c r="F147" s="183"/>
      <c r="G147" s="184">
        <v>1</v>
      </c>
      <c r="H147" s="185">
        <v>0</v>
      </c>
      <c r="I147" s="186">
        <v>957.25319614994703</v>
      </c>
      <c r="J147" s="187">
        <v>957.25319614994703</v>
      </c>
      <c r="K147" s="182" t="s">
        <v>1177</v>
      </c>
      <c r="L147" s="182">
        <v>2</v>
      </c>
      <c r="M147" s="182" t="s">
        <v>1179</v>
      </c>
      <c r="N147" s="186">
        <v>15</v>
      </c>
      <c r="O147" s="188">
        <v>1</v>
      </c>
      <c r="P147" s="188" t="s">
        <v>573</v>
      </c>
      <c r="Q147" s="188">
        <v>0</v>
      </c>
      <c r="R147" s="189" t="s">
        <v>573</v>
      </c>
      <c r="S147" s="189" t="s">
        <v>573</v>
      </c>
    </row>
    <row r="148" spans="1:19" ht="15" customHeight="1" x14ac:dyDescent="0.3">
      <c r="A148" s="182" t="s">
        <v>1176</v>
      </c>
      <c r="B148" s="182" t="s">
        <v>908</v>
      </c>
      <c r="C148" s="182" t="s">
        <v>909</v>
      </c>
      <c r="D148" s="182" t="s">
        <v>962</v>
      </c>
      <c r="E148" s="183" t="s">
        <v>963</v>
      </c>
      <c r="F148" s="183" t="s">
        <v>590</v>
      </c>
      <c r="G148" s="184">
        <v>0.03</v>
      </c>
      <c r="H148" s="185">
        <v>0.1</v>
      </c>
      <c r="I148" s="186">
        <v>32399.77</v>
      </c>
      <c r="J148" s="187">
        <v>1069.1924100000001</v>
      </c>
      <c r="K148" s="182" t="s">
        <v>1180</v>
      </c>
      <c r="L148" s="182">
        <v>1</v>
      </c>
      <c r="M148" s="182" t="s">
        <v>1181</v>
      </c>
      <c r="N148" s="186">
        <v>15</v>
      </c>
      <c r="O148" s="188">
        <v>0.03</v>
      </c>
      <c r="P148" s="188" t="s">
        <v>573</v>
      </c>
      <c r="Q148" s="188">
        <v>0</v>
      </c>
      <c r="R148" s="189" t="s">
        <v>573</v>
      </c>
      <c r="S148" s="189" t="s">
        <v>573</v>
      </c>
    </row>
    <row r="149" spans="1:19" ht="15" customHeight="1" x14ac:dyDescent="0.3">
      <c r="A149" s="182" t="s">
        <v>1176</v>
      </c>
      <c r="B149" s="182" t="s">
        <v>908</v>
      </c>
      <c r="C149" s="182" t="s">
        <v>909</v>
      </c>
      <c r="D149" s="182" t="s">
        <v>965</v>
      </c>
      <c r="E149" s="183" t="s">
        <v>966</v>
      </c>
      <c r="F149" s="183" t="s">
        <v>967</v>
      </c>
      <c r="G149" s="184">
        <v>0.27</v>
      </c>
      <c r="H149" s="185">
        <v>0.1</v>
      </c>
      <c r="I149" s="186">
        <v>7809.48</v>
      </c>
      <c r="J149" s="187">
        <v>2319.4155599999999</v>
      </c>
      <c r="K149" s="182" t="s">
        <v>1180</v>
      </c>
      <c r="L149" s="182">
        <v>2</v>
      </c>
      <c r="M149" s="182" t="s">
        <v>1182</v>
      </c>
      <c r="N149" s="186">
        <v>15</v>
      </c>
      <c r="O149" s="188">
        <v>0.27</v>
      </c>
      <c r="P149" s="188" t="s">
        <v>573</v>
      </c>
      <c r="Q149" s="188">
        <v>0</v>
      </c>
      <c r="R149" s="189" t="s">
        <v>573</v>
      </c>
      <c r="S149" s="189" t="s">
        <v>573</v>
      </c>
    </row>
    <row r="150" spans="1:19" ht="15" customHeight="1" x14ac:dyDescent="0.3">
      <c r="A150" s="182" t="s">
        <v>1176</v>
      </c>
      <c r="B150" s="182" t="s">
        <v>937</v>
      </c>
      <c r="C150" s="182" t="s">
        <v>938</v>
      </c>
      <c r="D150" s="190" t="s">
        <v>939</v>
      </c>
      <c r="E150" s="183" t="s">
        <v>940</v>
      </c>
      <c r="F150" s="183" t="s">
        <v>941</v>
      </c>
      <c r="G150" s="184">
        <v>0.45</v>
      </c>
      <c r="H150" s="185">
        <v>0</v>
      </c>
      <c r="I150" s="186">
        <v>60860.580776572002</v>
      </c>
      <c r="J150" s="187">
        <v>27387.2613494574</v>
      </c>
      <c r="K150" s="182" t="s">
        <v>1183</v>
      </c>
      <c r="L150" s="182">
        <v>1</v>
      </c>
      <c r="M150" s="182" t="s">
        <v>1184</v>
      </c>
      <c r="N150" s="186">
        <v>15</v>
      </c>
      <c r="O150" s="188">
        <v>0.03</v>
      </c>
      <c r="P150" s="188" t="s">
        <v>573</v>
      </c>
      <c r="Q150" s="188">
        <v>0</v>
      </c>
      <c r="R150" s="189" t="s">
        <v>573</v>
      </c>
      <c r="S150" s="189" t="s">
        <v>573</v>
      </c>
    </row>
    <row r="151" spans="1:19" ht="15" customHeight="1" x14ac:dyDescent="0.3">
      <c r="A151" s="182" t="s">
        <v>1176</v>
      </c>
      <c r="B151" s="182" t="s">
        <v>937</v>
      </c>
      <c r="C151" s="182" t="s">
        <v>938</v>
      </c>
      <c r="D151" s="190" t="s">
        <v>944</v>
      </c>
      <c r="E151" s="183" t="s">
        <v>945</v>
      </c>
      <c r="F151" s="183" t="s">
        <v>941</v>
      </c>
      <c r="G151" s="184">
        <v>1</v>
      </c>
      <c r="H151" s="185">
        <v>0</v>
      </c>
      <c r="I151" s="186">
        <v>85927.097156571996</v>
      </c>
      <c r="J151" s="187">
        <v>85927.097156571996</v>
      </c>
      <c r="K151" s="182" t="s">
        <v>1183</v>
      </c>
      <c r="L151" s="182">
        <v>2</v>
      </c>
      <c r="M151" s="182" t="s">
        <v>1185</v>
      </c>
      <c r="N151" s="186">
        <v>15</v>
      </c>
      <c r="O151" s="188">
        <v>6.6666666666666693E-2</v>
      </c>
      <c r="P151" s="188" t="s">
        <v>573</v>
      </c>
      <c r="Q151" s="188">
        <v>0</v>
      </c>
      <c r="R151" s="189" t="s">
        <v>573</v>
      </c>
      <c r="S151" s="189" t="s">
        <v>573</v>
      </c>
    </row>
    <row r="152" spans="1:19" ht="15" customHeight="1" x14ac:dyDescent="0.3">
      <c r="A152" s="182" t="s">
        <v>1186</v>
      </c>
      <c r="B152" s="182" t="s">
        <v>563</v>
      </c>
      <c r="C152" s="182"/>
      <c r="D152" s="182" t="s">
        <v>952</v>
      </c>
      <c r="E152" s="183" t="s">
        <v>953</v>
      </c>
      <c r="F152" s="183"/>
      <c r="G152" s="184">
        <v>1</v>
      </c>
      <c r="H152" s="185">
        <v>0</v>
      </c>
      <c r="I152" s="186">
        <v>2287.1357450968098</v>
      </c>
      <c r="J152" s="187">
        <v>2287.1357450968098</v>
      </c>
      <c r="K152" s="182" t="s">
        <v>1187</v>
      </c>
      <c r="L152" s="182">
        <v>1</v>
      </c>
      <c r="M152" s="182" t="s">
        <v>1188</v>
      </c>
      <c r="N152" s="186">
        <v>35</v>
      </c>
      <c r="O152" s="188">
        <v>1</v>
      </c>
      <c r="P152" s="188" t="s">
        <v>573</v>
      </c>
      <c r="Q152" s="188">
        <v>0</v>
      </c>
      <c r="R152" s="189" t="s">
        <v>573</v>
      </c>
      <c r="S152" s="189" t="s">
        <v>573</v>
      </c>
    </row>
    <row r="153" spans="1:19" ht="15" customHeight="1" x14ac:dyDescent="0.3">
      <c r="A153" s="182" t="s">
        <v>1186</v>
      </c>
      <c r="B153" s="182" t="s">
        <v>563</v>
      </c>
      <c r="C153" s="182"/>
      <c r="D153" s="182" t="s">
        <v>955</v>
      </c>
      <c r="E153" s="183" t="s">
        <v>956</v>
      </c>
      <c r="F153" s="183"/>
      <c r="G153" s="184">
        <v>2</v>
      </c>
      <c r="H153" s="185">
        <v>0</v>
      </c>
      <c r="I153" s="186">
        <v>957.25319614994703</v>
      </c>
      <c r="J153" s="187">
        <v>1914.5063922999</v>
      </c>
      <c r="K153" s="182" t="s">
        <v>1187</v>
      </c>
      <c r="L153" s="182">
        <v>2</v>
      </c>
      <c r="M153" s="182" t="s">
        <v>1189</v>
      </c>
      <c r="N153" s="186">
        <v>35</v>
      </c>
      <c r="O153" s="188">
        <v>2</v>
      </c>
      <c r="P153" s="188" t="s">
        <v>573</v>
      </c>
      <c r="Q153" s="188">
        <v>0</v>
      </c>
      <c r="R153" s="189" t="s">
        <v>573</v>
      </c>
      <c r="S153" s="189" t="s">
        <v>573</v>
      </c>
    </row>
    <row r="154" spans="1:19" ht="15" customHeight="1" x14ac:dyDescent="0.3">
      <c r="A154" s="182" t="s">
        <v>1186</v>
      </c>
      <c r="B154" s="182" t="s">
        <v>908</v>
      </c>
      <c r="C154" s="182" t="s">
        <v>909</v>
      </c>
      <c r="D154" s="182" t="s">
        <v>1190</v>
      </c>
      <c r="E154" s="183" t="s">
        <v>1191</v>
      </c>
      <c r="F154" s="183" t="s">
        <v>912</v>
      </c>
      <c r="G154" s="184">
        <v>2.4499999999999999E-3</v>
      </c>
      <c r="H154" s="185">
        <v>0.05</v>
      </c>
      <c r="I154" s="186">
        <v>252066.115702479</v>
      </c>
      <c r="J154" s="187">
        <v>648.44008264462695</v>
      </c>
      <c r="K154" s="182" t="s">
        <v>1192</v>
      </c>
      <c r="L154" s="182">
        <v>1</v>
      </c>
      <c r="M154" s="182" t="s">
        <v>1193</v>
      </c>
      <c r="N154" s="186">
        <v>35</v>
      </c>
      <c r="O154" s="188">
        <v>2.4499999999999999E-3</v>
      </c>
      <c r="P154" s="188" t="s">
        <v>573</v>
      </c>
      <c r="Q154" s="188">
        <v>0</v>
      </c>
      <c r="R154" s="189" t="s">
        <v>573</v>
      </c>
      <c r="S154" s="189" t="s">
        <v>573</v>
      </c>
    </row>
    <row r="155" spans="1:19" ht="15" customHeight="1" x14ac:dyDescent="0.3">
      <c r="A155" s="182" t="s">
        <v>1186</v>
      </c>
      <c r="B155" s="182" t="s">
        <v>908</v>
      </c>
      <c r="C155" s="182" t="s">
        <v>909</v>
      </c>
      <c r="D155" s="182" t="s">
        <v>962</v>
      </c>
      <c r="E155" s="183" t="s">
        <v>963</v>
      </c>
      <c r="F155" s="183" t="s">
        <v>590</v>
      </c>
      <c r="G155" s="184">
        <v>5.9499999999999997E-2</v>
      </c>
      <c r="H155" s="185">
        <v>0.1</v>
      </c>
      <c r="I155" s="186">
        <v>32399.77</v>
      </c>
      <c r="J155" s="187">
        <v>2120.5649465000001</v>
      </c>
      <c r="K155" s="182" t="s">
        <v>1192</v>
      </c>
      <c r="L155" s="182">
        <v>2</v>
      </c>
      <c r="M155" s="182" t="s">
        <v>1194</v>
      </c>
      <c r="N155" s="186">
        <v>35</v>
      </c>
      <c r="O155" s="188">
        <v>5.9499999999999997E-2</v>
      </c>
      <c r="P155" s="188" t="s">
        <v>573</v>
      </c>
      <c r="Q155" s="188">
        <v>0</v>
      </c>
      <c r="R155" s="189" t="s">
        <v>573</v>
      </c>
      <c r="S155" s="189" t="s">
        <v>573</v>
      </c>
    </row>
    <row r="156" spans="1:19" ht="15" customHeight="1" x14ac:dyDescent="0.3">
      <c r="A156" s="182" t="s">
        <v>1186</v>
      </c>
      <c r="B156" s="182" t="s">
        <v>908</v>
      </c>
      <c r="C156" s="182" t="s">
        <v>909</v>
      </c>
      <c r="D156" s="182" t="s">
        <v>965</v>
      </c>
      <c r="E156" s="183" t="s">
        <v>966</v>
      </c>
      <c r="F156" s="183" t="s">
        <v>967</v>
      </c>
      <c r="G156" s="184">
        <v>0.42</v>
      </c>
      <c r="H156" s="185">
        <v>0.1</v>
      </c>
      <c r="I156" s="186">
        <v>7809.48</v>
      </c>
      <c r="J156" s="187">
        <v>3607.9797600000002</v>
      </c>
      <c r="K156" s="182" t="s">
        <v>1192</v>
      </c>
      <c r="L156" s="182">
        <v>3</v>
      </c>
      <c r="M156" s="182" t="s">
        <v>1195</v>
      </c>
      <c r="N156" s="186">
        <v>35</v>
      </c>
      <c r="O156" s="188">
        <v>0.42</v>
      </c>
      <c r="P156" s="188" t="s">
        <v>573</v>
      </c>
      <c r="Q156" s="188">
        <v>0</v>
      </c>
      <c r="R156" s="189" t="s">
        <v>573</v>
      </c>
      <c r="S156" s="189" t="s">
        <v>573</v>
      </c>
    </row>
    <row r="157" spans="1:19" ht="15" customHeight="1" x14ac:dyDescent="0.3">
      <c r="A157" s="182" t="s">
        <v>1186</v>
      </c>
      <c r="B157" s="182" t="s">
        <v>908</v>
      </c>
      <c r="C157" s="182" t="s">
        <v>909</v>
      </c>
      <c r="D157" s="182" t="s">
        <v>969</v>
      </c>
      <c r="E157" s="183" t="s">
        <v>970</v>
      </c>
      <c r="F157" s="183" t="s">
        <v>971</v>
      </c>
      <c r="G157" s="184">
        <v>0.14000000000000001</v>
      </c>
      <c r="H157" s="185">
        <v>0.1</v>
      </c>
      <c r="I157" s="186">
        <v>3837.96</v>
      </c>
      <c r="J157" s="187">
        <v>591.04584</v>
      </c>
      <c r="K157" s="182" t="s">
        <v>1192</v>
      </c>
      <c r="L157" s="182">
        <v>4</v>
      </c>
      <c r="M157" s="182" t="s">
        <v>1196</v>
      </c>
      <c r="N157" s="186">
        <v>35</v>
      </c>
      <c r="O157" s="188">
        <v>0.14000000000000001</v>
      </c>
      <c r="P157" s="188" t="s">
        <v>573</v>
      </c>
      <c r="Q157" s="188">
        <v>0</v>
      </c>
      <c r="R157" s="189" t="s">
        <v>573</v>
      </c>
      <c r="S157" s="189" t="s">
        <v>573</v>
      </c>
    </row>
    <row r="158" spans="1:19" ht="15" customHeight="1" x14ac:dyDescent="0.3">
      <c r="A158" s="182" t="s">
        <v>1186</v>
      </c>
      <c r="B158" s="182" t="s">
        <v>937</v>
      </c>
      <c r="C158" s="182" t="s">
        <v>938</v>
      </c>
      <c r="D158" s="190" t="s">
        <v>939</v>
      </c>
      <c r="E158" s="183" t="s">
        <v>940</v>
      </c>
      <c r="F158" s="183" t="s">
        <v>941</v>
      </c>
      <c r="G158" s="184">
        <v>3</v>
      </c>
      <c r="H158" s="185">
        <v>0</v>
      </c>
      <c r="I158" s="186">
        <v>60860.580776572002</v>
      </c>
      <c r="J158" s="187">
        <v>182581.74232971601</v>
      </c>
      <c r="K158" s="182" t="s">
        <v>1197</v>
      </c>
      <c r="L158" s="182">
        <v>1</v>
      </c>
      <c r="M158" s="182" t="s">
        <v>1198</v>
      </c>
      <c r="N158" s="186">
        <v>35</v>
      </c>
      <c r="O158" s="188">
        <v>8.5714285714285701E-2</v>
      </c>
      <c r="P158" s="188" t="s">
        <v>573</v>
      </c>
      <c r="Q158" s="188">
        <v>0</v>
      </c>
      <c r="R158" s="189" t="s">
        <v>573</v>
      </c>
      <c r="S158" s="189" t="s">
        <v>573</v>
      </c>
    </row>
    <row r="159" spans="1:19" ht="15" customHeight="1" x14ac:dyDescent="0.3">
      <c r="A159" s="182" t="s">
        <v>1186</v>
      </c>
      <c r="B159" s="182" t="s">
        <v>937</v>
      </c>
      <c r="C159" s="182" t="s">
        <v>938</v>
      </c>
      <c r="D159" s="190" t="s">
        <v>944</v>
      </c>
      <c r="E159" s="183" t="s">
        <v>945</v>
      </c>
      <c r="F159" s="183" t="s">
        <v>941</v>
      </c>
      <c r="G159" s="184">
        <v>2</v>
      </c>
      <c r="H159" s="185">
        <v>0</v>
      </c>
      <c r="I159" s="186">
        <v>85927.097156571996</v>
      </c>
      <c r="J159" s="187">
        <v>171854.19431314399</v>
      </c>
      <c r="K159" s="182" t="s">
        <v>1197</v>
      </c>
      <c r="L159" s="182">
        <v>2</v>
      </c>
      <c r="M159" s="182" t="s">
        <v>1199</v>
      </c>
      <c r="N159" s="186">
        <v>35</v>
      </c>
      <c r="O159" s="188">
        <v>5.7142857142857099E-2</v>
      </c>
      <c r="P159" s="188" t="s">
        <v>573</v>
      </c>
      <c r="Q159" s="188">
        <v>0</v>
      </c>
      <c r="R159" s="189" t="s">
        <v>573</v>
      </c>
      <c r="S159" s="189" t="s">
        <v>573</v>
      </c>
    </row>
    <row r="160" spans="1:19" ht="15" customHeight="1" x14ac:dyDescent="0.3">
      <c r="A160" s="182" t="s">
        <v>1200</v>
      </c>
      <c r="B160" s="182" t="s">
        <v>563</v>
      </c>
      <c r="C160" s="182"/>
      <c r="D160" s="182" t="s">
        <v>952</v>
      </c>
      <c r="E160" s="183" t="s">
        <v>953</v>
      </c>
      <c r="F160" s="183"/>
      <c r="G160" s="184">
        <v>1</v>
      </c>
      <c r="H160" s="185">
        <v>0</v>
      </c>
      <c r="I160" s="186">
        <v>2287.1357450968098</v>
      </c>
      <c r="J160" s="187">
        <v>2287.1357450968098</v>
      </c>
      <c r="K160" s="182" t="s">
        <v>1201</v>
      </c>
      <c r="L160" s="182">
        <v>1</v>
      </c>
      <c r="M160" s="182" t="s">
        <v>1202</v>
      </c>
      <c r="N160" s="186">
        <v>15</v>
      </c>
      <c r="O160" s="188">
        <v>1</v>
      </c>
      <c r="P160" s="188" t="s">
        <v>573</v>
      </c>
      <c r="Q160" s="188">
        <v>0</v>
      </c>
      <c r="R160" s="189" t="s">
        <v>573</v>
      </c>
      <c r="S160" s="189" t="s">
        <v>573</v>
      </c>
    </row>
    <row r="161" spans="1:19" ht="15" customHeight="1" x14ac:dyDescent="0.3">
      <c r="A161" s="182" t="s">
        <v>1200</v>
      </c>
      <c r="B161" s="182" t="s">
        <v>563</v>
      </c>
      <c r="C161" s="182"/>
      <c r="D161" s="182" t="s">
        <v>955</v>
      </c>
      <c r="E161" s="183" t="s">
        <v>956</v>
      </c>
      <c r="F161" s="183"/>
      <c r="G161" s="184">
        <v>1</v>
      </c>
      <c r="H161" s="185">
        <v>0</v>
      </c>
      <c r="I161" s="186">
        <v>957.25319614994703</v>
      </c>
      <c r="J161" s="187">
        <v>957.25319614994703</v>
      </c>
      <c r="K161" s="182" t="s">
        <v>1201</v>
      </c>
      <c r="L161" s="182">
        <v>2</v>
      </c>
      <c r="M161" s="182" t="s">
        <v>1203</v>
      </c>
      <c r="N161" s="186">
        <v>15</v>
      </c>
      <c r="O161" s="188">
        <v>1</v>
      </c>
      <c r="P161" s="188" t="s">
        <v>573</v>
      </c>
      <c r="Q161" s="188">
        <v>0</v>
      </c>
      <c r="R161" s="189" t="s">
        <v>573</v>
      </c>
      <c r="S161" s="189" t="s">
        <v>573</v>
      </c>
    </row>
    <row r="162" spans="1:19" ht="15" customHeight="1" x14ac:dyDescent="0.3">
      <c r="A162" s="182" t="s">
        <v>1200</v>
      </c>
      <c r="B162" s="182" t="s">
        <v>908</v>
      </c>
      <c r="C162" s="182" t="s">
        <v>909</v>
      </c>
      <c r="D162" s="182" t="s">
        <v>962</v>
      </c>
      <c r="E162" s="183" t="s">
        <v>963</v>
      </c>
      <c r="F162" s="183" t="s">
        <v>590</v>
      </c>
      <c r="G162" s="184">
        <v>0.03</v>
      </c>
      <c r="H162" s="185">
        <v>0.1</v>
      </c>
      <c r="I162" s="186">
        <v>32399.77</v>
      </c>
      <c r="J162" s="187">
        <v>1069.1924100000001</v>
      </c>
      <c r="K162" s="182" t="s">
        <v>1204</v>
      </c>
      <c r="L162" s="182">
        <v>1</v>
      </c>
      <c r="M162" s="182" t="s">
        <v>1205</v>
      </c>
      <c r="N162" s="186">
        <v>15</v>
      </c>
      <c r="O162" s="188">
        <v>0.03</v>
      </c>
      <c r="P162" s="188" t="s">
        <v>573</v>
      </c>
      <c r="Q162" s="188">
        <v>0</v>
      </c>
      <c r="R162" s="189" t="s">
        <v>573</v>
      </c>
      <c r="S162" s="189" t="s">
        <v>573</v>
      </c>
    </row>
    <row r="163" spans="1:19" ht="15" customHeight="1" x14ac:dyDescent="0.3">
      <c r="A163" s="182" t="s">
        <v>1200</v>
      </c>
      <c r="B163" s="182" t="s">
        <v>908</v>
      </c>
      <c r="C163" s="182" t="s">
        <v>909</v>
      </c>
      <c r="D163" s="182" t="s">
        <v>965</v>
      </c>
      <c r="E163" s="183" t="s">
        <v>966</v>
      </c>
      <c r="F163" s="183" t="s">
        <v>967</v>
      </c>
      <c r="G163" s="184">
        <v>0.27</v>
      </c>
      <c r="H163" s="185">
        <v>0.1</v>
      </c>
      <c r="I163" s="186">
        <v>7809.48</v>
      </c>
      <c r="J163" s="187">
        <v>2319.4155599999999</v>
      </c>
      <c r="K163" s="182" t="s">
        <v>1204</v>
      </c>
      <c r="L163" s="182">
        <v>2</v>
      </c>
      <c r="M163" s="182" t="s">
        <v>1206</v>
      </c>
      <c r="N163" s="186">
        <v>15</v>
      </c>
      <c r="O163" s="188">
        <v>0.27</v>
      </c>
      <c r="P163" s="188" t="s">
        <v>573</v>
      </c>
      <c r="Q163" s="188">
        <v>0</v>
      </c>
      <c r="R163" s="189" t="s">
        <v>573</v>
      </c>
      <c r="S163" s="189" t="s">
        <v>573</v>
      </c>
    </row>
    <row r="164" spans="1:19" ht="15" customHeight="1" x14ac:dyDescent="0.3">
      <c r="A164" s="182" t="s">
        <v>1200</v>
      </c>
      <c r="B164" s="182" t="s">
        <v>908</v>
      </c>
      <c r="C164" s="182" t="s">
        <v>909</v>
      </c>
      <c r="D164" s="182" t="s">
        <v>1044</v>
      </c>
      <c r="E164" s="183" t="s">
        <v>1045</v>
      </c>
      <c r="F164" s="183" t="s">
        <v>1046</v>
      </c>
      <c r="G164" s="184">
        <v>0.5</v>
      </c>
      <c r="H164" s="185">
        <v>0.05</v>
      </c>
      <c r="I164" s="186">
        <v>1256.1279999999999</v>
      </c>
      <c r="J164" s="187">
        <v>659.46720000000005</v>
      </c>
      <c r="K164" s="182" t="s">
        <v>1204</v>
      </c>
      <c r="L164" s="182">
        <v>3</v>
      </c>
      <c r="M164" s="182" t="s">
        <v>1207</v>
      </c>
      <c r="N164" s="186">
        <v>15</v>
      </c>
      <c r="O164" s="188">
        <v>0.5</v>
      </c>
      <c r="P164" s="188" t="s">
        <v>573</v>
      </c>
      <c r="Q164" s="188">
        <v>0</v>
      </c>
      <c r="R164" s="189" t="s">
        <v>573</v>
      </c>
      <c r="S164" s="189" t="s">
        <v>573</v>
      </c>
    </row>
    <row r="165" spans="1:19" ht="15" customHeight="1" x14ac:dyDescent="0.3">
      <c r="A165" s="182" t="s">
        <v>1200</v>
      </c>
      <c r="B165" s="182" t="s">
        <v>937</v>
      </c>
      <c r="C165" s="182" t="s">
        <v>938</v>
      </c>
      <c r="D165" s="190" t="s">
        <v>939</v>
      </c>
      <c r="E165" s="183" t="s">
        <v>940</v>
      </c>
      <c r="F165" s="183" t="s">
        <v>941</v>
      </c>
      <c r="G165" s="184">
        <v>0.45</v>
      </c>
      <c r="H165" s="185">
        <v>0</v>
      </c>
      <c r="I165" s="186">
        <v>60860.580776572002</v>
      </c>
      <c r="J165" s="187">
        <v>27387.2613494574</v>
      </c>
      <c r="K165" s="182" t="s">
        <v>1208</v>
      </c>
      <c r="L165" s="182">
        <v>1</v>
      </c>
      <c r="M165" s="182" t="s">
        <v>1209</v>
      </c>
      <c r="N165" s="186">
        <v>15</v>
      </c>
      <c r="O165" s="188">
        <v>0.03</v>
      </c>
      <c r="P165" s="188" t="s">
        <v>573</v>
      </c>
      <c r="Q165" s="188">
        <v>0</v>
      </c>
      <c r="R165" s="189" t="s">
        <v>573</v>
      </c>
      <c r="S165" s="189" t="s">
        <v>573</v>
      </c>
    </row>
    <row r="166" spans="1:19" ht="15" customHeight="1" x14ac:dyDescent="0.3">
      <c r="A166" s="182" t="s">
        <v>1200</v>
      </c>
      <c r="B166" s="182" t="s">
        <v>937</v>
      </c>
      <c r="C166" s="182" t="s">
        <v>938</v>
      </c>
      <c r="D166" s="190" t="s">
        <v>944</v>
      </c>
      <c r="E166" s="183" t="s">
        <v>945</v>
      </c>
      <c r="F166" s="183" t="s">
        <v>941</v>
      </c>
      <c r="G166" s="184">
        <v>1</v>
      </c>
      <c r="H166" s="185">
        <v>0</v>
      </c>
      <c r="I166" s="186">
        <v>85927.097156571996</v>
      </c>
      <c r="J166" s="187">
        <v>85927.097156571996</v>
      </c>
      <c r="K166" s="182" t="s">
        <v>1208</v>
      </c>
      <c r="L166" s="182">
        <v>2</v>
      </c>
      <c r="M166" s="182" t="s">
        <v>1210</v>
      </c>
      <c r="N166" s="186">
        <v>15</v>
      </c>
      <c r="O166" s="188">
        <v>6.6666666666666693E-2</v>
      </c>
      <c r="P166" s="188" t="s">
        <v>573</v>
      </c>
      <c r="Q166" s="188">
        <v>0</v>
      </c>
      <c r="R166" s="189" t="s">
        <v>573</v>
      </c>
      <c r="S166" s="189" t="s">
        <v>573</v>
      </c>
    </row>
    <row r="167" spans="1:19" ht="15" customHeight="1" x14ac:dyDescent="0.3">
      <c r="A167" s="182" t="s">
        <v>1211</v>
      </c>
      <c r="B167" s="182" t="s">
        <v>563</v>
      </c>
      <c r="C167" s="182"/>
      <c r="D167" s="182" t="s">
        <v>952</v>
      </c>
      <c r="E167" s="183" t="s">
        <v>953</v>
      </c>
      <c r="F167" s="183"/>
      <c r="G167" s="184">
        <v>1</v>
      </c>
      <c r="H167" s="185">
        <v>0</v>
      </c>
      <c r="I167" s="186">
        <v>2287.1357450968098</v>
      </c>
      <c r="J167" s="187">
        <v>2287.1357450968098</v>
      </c>
      <c r="K167" s="182" t="s">
        <v>1212</v>
      </c>
      <c r="L167" s="182">
        <v>1</v>
      </c>
      <c r="M167" s="182" t="s">
        <v>1213</v>
      </c>
      <c r="N167" s="186">
        <v>11.5</v>
      </c>
      <c r="O167" s="188">
        <v>1</v>
      </c>
      <c r="P167" s="188" t="s">
        <v>573</v>
      </c>
      <c r="Q167" s="188">
        <v>0</v>
      </c>
      <c r="R167" s="189" t="s">
        <v>573</v>
      </c>
      <c r="S167" s="189" t="s">
        <v>573</v>
      </c>
    </row>
    <row r="168" spans="1:19" ht="15" customHeight="1" x14ac:dyDescent="0.3">
      <c r="A168" s="182" t="s">
        <v>1211</v>
      </c>
      <c r="B168" s="182" t="s">
        <v>563</v>
      </c>
      <c r="C168" s="182"/>
      <c r="D168" s="182" t="s">
        <v>955</v>
      </c>
      <c r="E168" s="183" t="s">
        <v>956</v>
      </c>
      <c r="F168" s="183"/>
      <c r="G168" s="184">
        <v>1</v>
      </c>
      <c r="H168" s="185">
        <v>0</v>
      </c>
      <c r="I168" s="186">
        <v>957.25319614994703</v>
      </c>
      <c r="J168" s="187">
        <v>957.25319614994703</v>
      </c>
      <c r="K168" s="182" t="s">
        <v>1212</v>
      </c>
      <c r="L168" s="182">
        <v>2</v>
      </c>
      <c r="M168" s="182" t="s">
        <v>1214</v>
      </c>
      <c r="N168" s="186">
        <v>11.5</v>
      </c>
      <c r="O168" s="188">
        <v>1</v>
      </c>
      <c r="P168" s="188" t="s">
        <v>573</v>
      </c>
      <c r="Q168" s="188">
        <v>0</v>
      </c>
      <c r="R168" s="189" t="s">
        <v>573</v>
      </c>
      <c r="S168" s="189" t="s">
        <v>573</v>
      </c>
    </row>
    <row r="169" spans="1:19" ht="15" customHeight="1" x14ac:dyDescent="0.3">
      <c r="A169" s="182" t="s">
        <v>1211</v>
      </c>
      <c r="B169" s="182" t="s">
        <v>908</v>
      </c>
      <c r="C169" s="182" t="s">
        <v>909</v>
      </c>
      <c r="D169" s="182" t="s">
        <v>962</v>
      </c>
      <c r="E169" s="183" t="s">
        <v>963</v>
      </c>
      <c r="F169" s="183" t="s">
        <v>590</v>
      </c>
      <c r="G169" s="184">
        <v>3.5999999999999997E-2</v>
      </c>
      <c r="H169" s="185">
        <v>0.1</v>
      </c>
      <c r="I169" s="186">
        <v>32399.77</v>
      </c>
      <c r="J169" s="187">
        <v>1283.030892</v>
      </c>
      <c r="K169" s="182" t="s">
        <v>1215</v>
      </c>
      <c r="L169" s="182">
        <v>1</v>
      </c>
      <c r="M169" s="182" t="s">
        <v>1216</v>
      </c>
      <c r="N169" s="186">
        <v>11.5</v>
      </c>
      <c r="O169" s="188">
        <v>3.5999999999999997E-2</v>
      </c>
      <c r="P169" s="188" t="s">
        <v>573</v>
      </c>
      <c r="Q169" s="188">
        <v>0</v>
      </c>
      <c r="R169" s="189" t="s">
        <v>573</v>
      </c>
      <c r="S169" s="189" t="s">
        <v>573</v>
      </c>
    </row>
    <row r="170" spans="1:19" ht="15" customHeight="1" x14ac:dyDescent="0.3">
      <c r="A170" s="182" t="s">
        <v>1211</v>
      </c>
      <c r="B170" s="182" t="s">
        <v>908</v>
      </c>
      <c r="C170" s="182" t="s">
        <v>909</v>
      </c>
      <c r="D170" s="182" t="s">
        <v>965</v>
      </c>
      <c r="E170" s="183" t="s">
        <v>966</v>
      </c>
      <c r="F170" s="183" t="s">
        <v>967</v>
      </c>
      <c r="G170" s="184">
        <v>0.32400000000000001</v>
      </c>
      <c r="H170" s="185">
        <v>0.1</v>
      </c>
      <c r="I170" s="186">
        <v>7809.48</v>
      </c>
      <c r="J170" s="187">
        <v>2783.2986719999999</v>
      </c>
      <c r="K170" s="182" t="s">
        <v>1215</v>
      </c>
      <c r="L170" s="182">
        <v>2</v>
      </c>
      <c r="M170" s="182" t="s">
        <v>1217</v>
      </c>
      <c r="N170" s="186">
        <v>11.5</v>
      </c>
      <c r="O170" s="188">
        <v>0.32400000000000001</v>
      </c>
      <c r="P170" s="188" t="s">
        <v>573</v>
      </c>
      <c r="Q170" s="188">
        <v>0</v>
      </c>
      <c r="R170" s="189" t="s">
        <v>573</v>
      </c>
      <c r="S170" s="189" t="s">
        <v>573</v>
      </c>
    </row>
    <row r="171" spans="1:19" ht="15" customHeight="1" x14ac:dyDescent="0.3">
      <c r="A171" s="182" t="s">
        <v>1211</v>
      </c>
      <c r="B171" s="182" t="s">
        <v>937</v>
      </c>
      <c r="C171" s="182" t="s">
        <v>938</v>
      </c>
      <c r="D171" s="190" t="s">
        <v>939</v>
      </c>
      <c r="E171" s="183" t="s">
        <v>940</v>
      </c>
      <c r="F171" s="183" t="s">
        <v>941</v>
      </c>
      <c r="G171" s="184">
        <v>0.5</v>
      </c>
      <c r="H171" s="185">
        <v>0</v>
      </c>
      <c r="I171" s="186">
        <v>60860.580776572002</v>
      </c>
      <c r="J171" s="187">
        <v>30430.290388286001</v>
      </c>
      <c r="K171" s="182" t="s">
        <v>1218</v>
      </c>
      <c r="L171" s="182">
        <v>1</v>
      </c>
      <c r="M171" s="182" t="s">
        <v>1219</v>
      </c>
      <c r="N171" s="186">
        <v>11.5</v>
      </c>
      <c r="O171" s="188">
        <v>4.3478260869565202E-2</v>
      </c>
      <c r="P171" s="188" t="s">
        <v>573</v>
      </c>
      <c r="Q171" s="188">
        <v>0</v>
      </c>
      <c r="R171" s="189" t="s">
        <v>573</v>
      </c>
      <c r="S171" s="189" t="s">
        <v>573</v>
      </c>
    </row>
    <row r="172" spans="1:19" ht="15" customHeight="1" x14ac:dyDescent="0.3">
      <c r="A172" s="182" t="s">
        <v>1211</v>
      </c>
      <c r="B172" s="182" t="s">
        <v>937</v>
      </c>
      <c r="C172" s="182" t="s">
        <v>938</v>
      </c>
      <c r="D172" s="190" t="s">
        <v>944</v>
      </c>
      <c r="E172" s="183" t="s">
        <v>945</v>
      </c>
      <c r="F172" s="183" t="s">
        <v>941</v>
      </c>
      <c r="G172" s="184">
        <v>1</v>
      </c>
      <c r="H172" s="185">
        <v>0</v>
      </c>
      <c r="I172" s="186">
        <v>85927.097156571996</v>
      </c>
      <c r="J172" s="187">
        <v>85927.097156571996</v>
      </c>
      <c r="K172" s="182" t="s">
        <v>1218</v>
      </c>
      <c r="L172" s="182">
        <v>2</v>
      </c>
      <c r="M172" s="182" t="s">
        <v>1220</v>
      </c>
      <c r="N172" s="186">
        <v>11.5</v>
      </c>
      <c r="O172" s="188">
        <v>8.6956521739130405E-2</v>
      </c>
      <c r="P172" s="188" t="s">
        <v>573</v>
      </c>
      <c r="Q172" s="188">
        <v>0</v>
      </c>
      <c r="R172" s="189" t="s">
        <v>573</v>
      </c>
      <c r="S172" s="189" t="s">
        <v>573</v>
      </c>
    </row>
    <row r="173" spans="1:19" ht="15" customHeight="1" x14ac:dyDescent="0.3">
      <c r="A173" s="182" t="s">
        <v>1221</v>
      </c>
      <c r="B173" s="182" t="s">
        <v>563</v>
      </c>
      <c r="C173" s="182"/>
      <c r="D173" s="182" t="s">
        <v>948</v>
      </c>
      <c r="E173" s="183" t="s">
        <v>949</v>
      </c>
      <c r="F173" s="183"/>
      <c r="G173" s="184">
        <v>0.5</v>
      </c>
      <c r="H173" s="185">
        <v>0</v>
      </c>
      <c r="I173" s="186">
        <v>571.17949098076099</v>
      </c>
      <c r="J173" s="187">
        <v>285.58974549038101</v>
      </c>
      <c r="K173" s="182" t="s">
        <v>1222</v>
      </c>
      <c r="L173" s="182">
        <v>1</v>
      </c>
      <c r="M173" s="182" t="s">
        <v>1223</v>
      </c>
      <c r="N173" s="186">
        <v>15</v>
      </c>
      <c r="O173" s="188">
        <v>0.5</v>
      </c>
      <c r="P173" s="188" t="s">
        <v>573</v>
      </c>
      <c r="Q173" s="188">
        <v>0</v>
      </c>
      <c r="R173" s="189" t="s">
        <v>573</v>
      </c>
      <c r="S173" s="189" t="s">
        <v>573</v>
      </c>
    </row>
    <row r="174" spans="1:19" ht="15" customHeight="1" x14ac:dyDescent="0.3">
      <c r="A174" s="182" t="s">
        <v>1221</v>
      </c>
      <c r="B174" s="182" t="s">
        <v>563</v>
      </c>
      <c r="C174" s="182"/>
      <c r="D174" s="182" t="s">
        <v>952</v>
      </c>
      <c r="E174" s="183" t="s">
        <v>953</v>
      </c>
      <c r="F174" s="183"/>
      <c r="G174" s="184">
        <v>1</v>
      </c>
      <c r="H174" s="185">
        <v>0</v>
      </c>
      <c r="I174" s="186">
        <v>2287.1357450968098</v>
      </c>
      <c r="J174" s="187">
        <v>2287.1357450968098</v>
      </c>
      <c r="K174" s="182" t="s">
        <v>1222</v>
      </c>
      <c r="L174" s="182">
        <v>2</v>
      </c>
      <c r="M174" s="182" t="s">
        <v>1224</v>
      </c>
      <c r="N174" s="186">
        <v>15</v>
      </c>
      <c r="O174" s="188">
        <v>1</v>
      </c>
      <c r="P174" s="188" t="s">
        <v>573</v>
      </c>
      <c r="Q174" s="188">
        <v>0</v>
      </c>
      <c r="R174" s="189" t="s">
        <v>573</v>
      </c>
      <c r="S174" s="189" t="s">
        <v>573</v>
      </c>
    </row>
    <row r="175" spans="1:19" ht="15" customHeight="1" x14ac:dyDescent="0.3">
      <c r="A175" s="182" t="s">
        <v>1221</v>
      </c>
      <c r="B175" s="182" t="s">
        <v>563</v>
      </c>
      <c r="C175" s="182"/>
      <c r="D175" s="182" t="s">
        <v>955</v>
      </c>
      <c r="E175" s="183" t="s">
        <v>956</v>
      </c>
      <c r="F175" s="183"/>
      <c r="G175" s="184">
        <v>1</v>
      </c>
      <c r="H175" s="185">
        <v>0</v>
      </c>
      <c r="I175" s="186">
        <v>957.25319614994703</v>
      </c>
      <c r="J175" s="187">
        <v>957.25319614994703</v>
      </c>
      <c r="K175" s="182" t="s">
        <v>1222</v>
      </c>
      <c r="L175" s="182">
        <v>3</v>
      </c>
      <c r="M175" s="182" t="s">
        <v>1225</v>
      </c>
      <c r="N175" s="186">
        <v>15</v>
      </c>
      <c r="O175" s="188">
        <v>1</v>
      </c>
      <c r="P175" s="188" t="s">
        <v>573</v>
      </c>
      <c r="Q175" s="188">
        <v>0</v>
      </c>
      <c r="R175" s="189" t="s">
        <v>573</v>
      </c>
      <c r="S175" s="189" t="s">
        <v>573</v>
      </c>
    </row>
    <row r="176" spans="1:19" ht="15" customHeight="1" x14ac:dyDescent="0.3">
      <c r="A176" s="182" t="s">
        <v>1221</v>
      </c>
      <c r="B176" s="182" t="s">
        <v>908</v>
      </c>
      <c r="C176" s="182" t="s">
        <v>909</v>
      </c>
      <c r="D176" s="182" t="s">
        <v>958</v>
      </c>
      <c r="E176" s="183" t="s">
        <v>959</v>
      </c>
      <c r="F176" s="183" t="s">
        <v>600</v>
      </c>
      <c r="G176" s="184">
        <v>0.17</v>
      </c>
      <c r="H176" s="185">
        <v>0.1</v>
      </c>
      <c r="I176" s="186">
        <v>3424.53</v>
      </c>
      <c r="J176" s="187">
        <v>640.38711000000001</v>
      </c>
      <c r="K176" s="182" t="s">
        <v>1226</v>
      </c>
      <c r="L176" s="182">
        <v>1</v>
      </c>
      <c r="M176" s="182" t="s">
        <v>1227</v>
      </c>
      <c r="N176" s="186">
        <v>15</v>
      </c>
      <c r="O176" s="188">
        <v>0.17</v>
      </c>
      <c r="P176" s="188" t="s">
        <v>573</v>
      </c>
      <c r="Q176" s="188">
        <v>0</v>
      </c>
      <c r="R176" s="189" t="s">
        <v>573</v>
      </c>
      <c r="S176" s="189" t="s">
        <v>573</v>
      </c>
    </row>
    <row r="177" spans="1:19" ht="15" customHeight="1" x14ac:dyDescent="0.3">
      <c r="A177" s="182" t="s">
        <v>1221</v>
      </c>
      <c r="B177" s="182" t="s">
        <v>908</v>
      </c>
      <c r="C177" s="182" t="s">
        <v>909</v>
      </c>
      <c r="D177" s="182" t="s">
        <v>962</v>
      </c>
      <c r="E177" s="183" t="s">
        <v>963</v>
      </c>
      <c r="F177" s="183" t="s">
        <v>590</v>
      </c>
      <c r="G177" s="184">
        <v>0.03</v>
      </c>
      <c r="H177" s="185">
        <v>0.05</v>
      </c>
      <c r="I177" s="186">
        <v>32399.77</v>
      </c>
      <c r="J177" s="187">
        <v>1020.592755</v>
      </c>
      <c r="K177" s="182" t="s">
        <v>1226</v>
      </c>
      <c r="L177" s="182">
        <v>2</v>
      </c>
      <c r="M177" s="182" t="s">
        <v>1228</v>
      </c>
      <c r="N177" s="186">
        <v>15</v>
      </c>
      <c r="O177" s="188">
        <v>0.03</v>
      </c>
      <c r="P177" s="188" t="s">
        <v>573</v>
      </c>
      <c r="Q177" s="188">
        <v>0</v>
      </c>
      <c r="R177" s="189" t="s">
        <v>573</v>
      </c>
      <c r="S177" s="189" t="s">
        <v>573</v>
      </c>
    </row>
    <row r="178" spans="1:19" ht="15" customHeight="1" x14ac:dyDescent="0.3">
      <c r="A178" s="182" t="s">
        <v>1221</v>
      </c>
      <c r="B178" s="182" t="s">
        <v>908</v>
      </c>
      <c r="C178" s="182" t="s">
        <v>909</v>
      </c>
      <c r="D178" s="182" t="s">
        <v>965</v>
      </c>
      <c r="E178" s="183" t="s">
        <v>966</v>
      </c>
      <c r="F178" s="183" t="s">
        <v>967</v>
      </c>
      <c r="G178" s="184">
        <v>0.125</v>
      </c>
      <c r="H178" s="185">
        <v>0.03</v>
      </c>
      <c r="I178" s="186">
        <v>7809.48</v>
      </c>
      <c r="J178" s="187">
        <v>1005.47055</v>
      </c>
      <c r="K178" s="182" t="s">
        <v>1226</v>
      </c>
      <c r="L178" s="182">
        <v>3</v>
      </c>
      <c r="M178" s="182" t="s">
        <v>1229</v>
      </c>
      <c r="N178" s="186">
        <v>15</v>
      </c>
      <c r="O178" s="188">
        <v>0.125</v>
      </c>
      <c r="P178" s="188" t="s">
        <v>573</v>
      </c>
      <c r="Q178" s="188">
        <v>0</v>
      </c>
      <c r="R178" s="189" t="s">
        <v>573</v>
      </c>
      <c r="S178" s="189" t="s">
        <v>573</v>
      </c>
    </row>
    <row r="179" spans="1:19" ht="15" customHeight="1" x14ac:dyDescent="0.3">
      <c r="A179" s="182" t="s">
        <v>1221</v>
      </c>
      <c r="B179" s="182" t="s">
        <v>908</v>
      </c>
      <c r="C179" s="182" t="s">
        <v>909</v>
      </c>
      <c r="D179" s="182" t="s">
        <v>969</v>
      </c>
      <c r="E179" s="183" t="s">
        <v>970</v>
      </c>
      <c r="F179" s="183" t="s">
        <v>971</v>
      </c>
      <c r="G179" s="184">
        <v>0.25</v>
      </c>
      <c r="H179" s="185">
        <v>0.05</v>
      </c>
      <c r="I179" s="186">
        <v>3837.96</v>
      </c>
      <c r="J179" s="187">
        <v>1007.4645</v>
      </c>
      <c r="K179" s="182" t="s">
        <v>1226</v>
      </c>
      <c r="L179" s="182">
        <v>4</v>
      </c>
      <c r="M179" s="182" t="s">
        <v>1230</v>
      </c>
      <c r="N179" s="186">
        <v>15</v>
      </c>
      <c r="O179" s="188">
        <v>0.25</v>
      </c>
      <c r="P179" s="188" t="s">
        <v>573</v>
      </c>
      <c r="Q179" s="188">
        <v>0</v>
      </c>
      <c r="R179" s="189" t="s">
        <v>573</v>
      </c>
      <c r="S179" s="189" t="s">
        <v>573</v>
      </c>
    </row>
    <row r="180" spans="1:19" ht="15" customHeight="1" x14ac:dyDescent="0.3">
      <c r="A180" s="182" t="s">
        <v>1221</v>
      </c>
      <c r="B180" s="182" t="s">
        <v>908</v>
      </c>
      <c r="C180" s="182" t="s">
        <v>909</v>
      </c>
      <c r="D180" s="182" t="s">
        <v>1027</v>
      </c>
      <c r="E180" s="183" t="s">
        <v>1028</v>
      </c>
      <c r="F180" s="183" t="s">
        <v>600</v>
      </c>
      <c r="G180" s="184">
        <v>15</v>
      </c>
      <c r="H180" s="185">
        <v>0.05</v>
      </c>
      <c r="I180" s="186">
        <v>519.12</v>
      </c>
      <c r="J180" s="187">
        <v>8176.14</v>
      </c>
      <c r="K180" s="182" t="s">
        <v>1226</v>
      </c>
      <c r="L180" s="182">
        <v>5</v>
      </c>
      <c r="M180" s="182" t="s">
        <v>1231</v>
      </c>
      <c r="N180" s="186">
        <v>15</v>
      </c>
      <c r="O180" s="188">
        <v>15</v>
      </c>
      <c r="P180" s="188" t="s">
        <v>573</v>
      </c>
      <c r="Q180" s="188">
        <v>0</v>
      </c>
      <c r="R180" s="189" t="s">
        <v>573</v>
      </c>
      <c r="S180" s="189" t="s">
        <v>573</v>
      </c>
    </row>
    <row r="181" spans="1:19" ht="15" customHeight="1" x14ac:dyDescent="0.3">
      <c r="A181" s="182" t="s">
        <v>1221</v>
      </c>
      <c r="B181" s="182" t="s">
        <v>937</v>
      </c>
      <c r="C181" s="182" t="s">
        <v>938</v>
      </c>
      <c r="D181" s="190" t="s">
        <v>939</v>
      </c>
      <c r="E181" s="183" t="s">
        <v>940</v>
      </c>
      <c r="F181" s="183" t="s">
        <v>941</v>
      </c>
      <c r="G181" s="184">
        <v>1</v>
      </c>
      <c r="H181" s="185">
        <v>0</v>
      </c>
      <c r="I181" s="186">
        <v>60860.580776572002</v>
      </c>
      <c r="J181" s="187">
        <v>60860.580776572002</v>
      </c>
      <c r="K181" s="182" t="s">
        <v>1232</v>
      </c>
      <c r="L181" s="182">
        <v>1</v>
      </c>
      <c r="M181" s="182" t="s">
        <v>1233</v>
      </c>
      <c r="N181" s="186">
        <v>15</v>
      </c>
      <c r="O181" s="188">
        <v>6.6666666666666693E-2</v>
      </c>
      <c r="P181" s="188" t="s">
        <v>573</v>
      </c>
      <c r="Q181" s="188">
        <v>0</v>
      </c>
      <c r="R181" s="189" t="s">
        <v>573</v>
      </c>
      <c r="S181" s="189" t="s">
        <v>573</v>
      </c>
    </row>
    <row r="182" spans="1:19" ht="15" customHeight="1" x14ac:dyDescent="0.3">
      <c r="A182" s="182" t="s">
        <v>1221</v>
      </c>
      <c r="B182" s="182" t="s">
        <v>937</v>
      </c>
      <c r="C182" s="182" t="s">
        <v>938</v>
      </c>
      <c r="D182" s="190" t="s">
        <v>944</v>
      </c>
      <c r="E182" s="183" t="s">
        <v>945</v>
      </c>
      <c r="F182" s="183" t="s">
        <v>941</v>
      </c>
      <c r="G182" s="184">
        <v>1</v>
      </c>
      <c r="H182" s="185">
        <v>0</v>
      </c>
      <c r="I182" s="186">
        <v>85927.097156571996</v>
      </c>
      <c r="J182" s="187">
        <v>85927.097156571996</v>
      </c>
      <c r="K182" s="182" t="s">
        <v>1232</v>
      </c>
      <c r="L182" s="182">
        <v>2</v>
      </c>
      <c r="M182" s="182" t="s">
        <v>1234</v>
      </c>
      <c r="N182" s="186">
        <v>15</v>
      </c>
      <c r="O182" s="188">
        <v>6.6666666666666693E-2</v>
      </c>
      <c r="P182" s="188" t="s">
        <v>573</v>
      </c>
      <c r="Q182" s="188">
        <v>0</v>
      </c>
      <c r="R182" s="189" t="s">
        <v>573</v>
      </c>
      <c r="S182" s="189" t="s">
        <v>573</v>
      </c>
    </row>
    <row r="183" spans="1:19" ht="15" customHeight="1" x14ac:dyDescent="0.3">
      <c r="A183" s="182" t="s">
        <v>1235</v>
      </c>
      <c r="B183" s="182" t="s">
        <v>563</v>
      </c>
      <c r="C183" s="182"/>
      <c r="D183" s="182" t="s">
        <v>904</v>
      </c>
      <c r="E183" s="183" t="s">
        <v>905</v>
      </c>
      <c r="F183" s="183"/>
      <c r="G183" s="184">
        <v>1</v>
      </c>
      <c r="H183" s="185">
        <v>0</v>
      </c>
      <c r="I183" s="186">
        <v>804.50568716119994</v>
      </c>
      <c r="J183" s="187">
        <v>804.50568716119994</v>
      </c>
      <c r="K183" s="182" t="s">
        <v>1236</v>
      </c>
      <c r="L183" s="182">
        <v>1</v>
      </c>
      <c r="M183" s="182" t="s">
        <v>1237</v>
      </c>
      <c r="N183" s="186">
        <v>25</v>
      </c>
      <c r="O183" s="188">
        <v>1</v>
      </c>
      <c r="P183" s="188" t="s">
        <v>573</v>
      </c>
      <c r="Q183" s="188">
        <v>0</v>
      </c>
      <c r="R183" s="189" t="s">
        <v>573</v>
      </c>
      <c r="S183" s="189" t="s">
        <v>573</v>
      </c>
    </row>
    <row r="184" spans="1:19" ht="15" customHeight="1" x14ac:dyDescent="0.3">
      <c r="A184" s="182" t="s">
        <v>1235</v>
      </c>
      <c r="B184" s="182" t="s">
        <v>908</v>
      </c>
      <c r="C184" s="182" t="s">
        <v>909</v>
      </c>
      <c r="D184" s="182" t="s">
        <v>910</v>
      </c>
      <c r="E184" s="183" t="s">
        <v>911</v>
      </c>
      <c r="F184" s="183" t="s">
        <v>912</v>
      </c>
      <c r="G184" s="184">
        <v>0.01</v>
      </c>
      <c r="H184" s="185">
        <v>0.05</v>
      </c>
      <c r="I184" s="186">
        <v>26907.33</v>
      </c>
      <c r="J184" s="187">
        <v>282.52696500000002</v>
      </c>
      <c r="K184" s="182" t="s">
        <v>1238</v>
      </c>
      <c r="L184" s="182">
        <v>1</v>
      </c>
      <c r="M184" s="182" t="s">
        <v>1239</v>
      </c>
      <c r="N184" s="186">
        <v>25</v>
      </c>
      <c r="O184" s="188">
        <v>0.01</v>
      </c>
      <c r="P184" s="188" t="s">
        <v>573</v>
      </c>
      <c r="Q184" s="188">
        <v>0</v>
      </c>
      <c r="R184" s="189" t="s">
        <v>573</v>
      </c>
      <c r="S184" s="189" t="s">
        <v>573</v>
      </c>
    </row>
    <row r="185" spans="1:19" ht="15" customHeight="1" x14ac:dyDescent="0.3">
      <c r="A185" s="182" t="s">
        <v>1235</v>
      </c>
      <c r="B185" s="182" t="s">
        <v>908</v>
      </c>
      <c r="C185" s="182" t="s">
        <v>909</v>
      </c>
      <c r="D185" s="182" t="s">
        <v>915</v>
      </c>
      <c r="E185" s="183" t="s">
        <v>916</v>
      </c>
      <c r="F185" s="183" t="s">
        <v>600</v>
      </c>
      <c r="G185" s="184">
        <v>0.02</v>
      </c>
      <c r="H185" s="185">
        <v>0.05</v>
      </c>
      <c r="I185" s="186">
        <v>735.06</v>
      </c>
      <c r="J185" s="187">
        <v>15.436260000000001</v>
      </c>
      <c r="K185" s="182" t="s">
        <v>1238</v>
      </c>
      <c r="L185" s="182">
        <v>2</v>
      </c>
      <c r="M185" s="182" t="s">
        <v>1240</v>
      </c>
      <c r="N185" s="186">
        <v>25</v>
      </c>
      <c r="O185" s="188">
        <v>0.02</v>
      </c>
      <c r="P185" s="188" t="s">
        <v>573</v>
      </c>
      <c r="Q185" s="188">
        <v>0</v>
      </c>
      <c r="R185" s="189" t="s">
        <v>573</v>
      </c>
      <c r="S185" s="189" t="s">
        <v>573</v>
      </c>
    </row>
    <row r="186" spans="1:19" ht="15" customHeight="1" x14ac:dyDescent="0.3">
      <c r="A186" s="182" t="s">
        <v>1235</v>
      </c>
      <c r="B186" s="182" t="s">
        <v>908</v>
      </c>
      <c r="C186" s="182" t="s">
        <v>909</v>
      </c>
      <c r="D186" s="182" t="s">
        <v>918</v>
      </c>
      <c r="E186" s="183" t="s">
        <v>919</v>
      </c>
      <c r="F186" s="183" t="s">
        <v>600</v>
      </c>
      <c r="G186" s="184">
        <v>0.01</v>
      </c>
      <c r="H186" s="185">
        <v>0.05</v>
      </c>
      <c r="I186" s="186">
        <v>6678.36</v>
      </c>
      <c r="J186" s="187">
        <v>70.122780000000006</v>
      </c>
      <c r="K186" s="182" t="s">
        <v>1238</v>
      </c>
      <c r="L186" s="182">
        <v>3</v>
      </c>
      <c r="M186" s="182" t="s">
        <v>1241</v>
      </c>
      <c r="N186" s="186">
        <v>25</v>
      </c>
      <c r="O186" s="188">
        <v>0.01</v>
      </c>
      <c r="P186" s="188" t="s">
        <v>573</v>
      </c>
      <c r="Q186" s="188">
        <v>0</v>
      </c>
      <c r="R186" s="189" t="s">
        <v>573</v>
      </c>
      <c r="S186" s="189" t="s">
        <v>573</v>
      </c>
    </row>
    <row r="187" spans="1:19" ht="15" customHeight="1" x14ac:dyDescent="0.3">
      <c r="A187" s="182" t="s">
        <v>1235</v>
      </c>
      <c r="B187" s="182" t="s">
        <v>908</v>
      </c>
      <c r="C187" s="182" t="s">
        <v>909</v>
      </c>
      <c r="D187" s="182" t="s">
        <v>921</v>
      </c>
      <c r="E187" s="183" t="s">
        <v>922</v>
      </c>
      <c r="F187" s="183" t="s">
        <v>600</v>
      </c>
      <c r="G187" s="184">
        <v>0.02</v>
      </c>
      <c r="H187" s="185">
        <v>0.05</v>
      </c>
      <c r="I187" s="186">
        <v>5282.24</v>
      </c>
      <c r="J187" s="187">
        <v>110.92704000000001</v>
      </c>
      <c r="K187" s="182" t="s">
        <v>1238</v>
      </c>
      <c r="L187" s="182">
        <v>4</v>
      </c>
      <c r="M187" s="182" t="s">
        <v>1242</v>
      </c>
      <c r="N187" s="186">
        <v>25</v>
      </c>
      <c r="O187" s="188">
        <v>0.02</v>
      </c>
      <c r="P187" s="188" t="s">
        <v>573</v>
      </c>
      <c r="Q187" s="188">
        <v>0</v>
      </c>
      <c r="R187" s="189" t="s">
        <v>573</v>
      </c>
      <c r="S187" s="189" t="s">
        <v>573</v>
      </c>
    </row>
    <row r="188" spans="1:19" ht="15" customHeight="1" x14ac:dyDescent="0.3">
      <c r="A188" s="182" t="s">
        <v>1235</v>
      </c>
      <c r="B188" s="182" t="s">
        <v>908</v>
      </c>
      <c r="C188" s="182" t="s">
        <v>909</v>
      </c>
      <c r="D188" s="182" t="s">
        <v>924</v>
      </c>
      <c r="E188" s="183" t="s">
        <v>925</v>
      </c>
      <c r="F188" s="183" t="s">
        <v>926</v>
      </c>
      <c r="G188" s="184">
        <v>0.06</v>
      </c>
      <c r="H188" s="185">
        <v>0.05</v>
      </c>
      <c r="I188" s="186">
        <v>4842</v>
      </c>
      <c r="J188" s="187">
        <v>305.04599999999999</v>
      </c>
      <c r="K188" s="182" t="s">
        <v>1238</v>
      </c>
      <c r="L188" s="182">
        <v>5</v>
      </c>
      <c r="M188" s="182" t="s">
        <v>1243</v>
      </c>
      <c r="N188" s="186">
        <v>25</v>
      </c>
      <c r="O188" s="188">
        <v>0.06</v>
      </c>
      <c r="P188" s="188" t="s">
        <v>573</v>
      </c>
      <c r="Q188" s="188">
        <v>0</v>
      </c>
      <c r="R188" s="189" t="s">
        <v>573</v>
      </c>
      <c r="S188" s="189" t="s">
        <v>573</v>
      </c>
    </row>
    <row r="189" spans="1:19" ht="15" customHeight="1" x14ac:dyDescent="0.3">
      <c r="A189" s="182" t="s">
        <v>1235</v>
      </c>
      <c r="B189" s="182" t="s">
        <v>908</v>
      </c>
      <c r="C189" s="182" t="s">
        <v>909</v>
      </c>
      <c r="D189" s="182" t="s">
        <v>928</v>
      </c>
      <c r="E189" s="183" t="s">
        <v>929</v>
      </c>
      <c r="F189" s="183" t="s">
        <v>600</v>
      </c>
      <c r="G189" s="184">
        <v>0.02</v>
      </c>
      <c r="H189" s="185">
        <v>0.05</v>
      </c>
      <c r="I189" s="186">
        <v>12396.694214876001</v>
      </c>
      <c r="J189" s="187">
        <v>260.33057851239602</v>
      </c>
      <c r="K189" s="182" t="s">
        <v>1238</v>
      </c>
      <c r="L189" s="182">
        <v>6</v>
      </c>
      <c r="M189" s="182" t="s">
        <v>1244</v>
      </c>
      <c r="N189" s="186">
        <v>25</v>
      </c>
      <c r="O189" s="188">
        <v>0.02</v>
      </c>
      <c r="P189" s="188" t="s">
        <v>573</v>
      </c>
      <c r="Q189" s="188">
        <v>0</v>
      </c>
      <c r="R189" s="189" t="s">
        <v>573</v>
      </c>
      <c r="S189" s="189" t="s">
        <v>573</v>
      </c>
    </row>
    <row r="190" spans="1:19" ht="15" customHeight="1" x14ac:dyDescent="0.3">
      <c r="A190" s="182" t="s">
        <v>1235</v>
      </c>
      <c r="B190" s="182" t="s">
        <v>908</v>
      </c>
      <c r="C190" s="182" t="s">
        <v>909</v>
      </c>
      <c r="D190" s="182" t="s">
        <v>931</v>
      </c>
      <c r="E190" s="183" t="s">
        <v>932</v>
      </c>
      <c r="F190" s="183" t="s">
        <v>912</v>
      </c>
      <c r="G190" s="184">
        <v>2.7777777777777801E-2</v>
      </c>
      <c r="H190" s="185">
        <v>0.1</v>
      </c>
      <c r="I190" s="186">
        <v>32845.78</v>
      </c>
      <c r="J190" s="187">
        <v>1003.62105555556</v>
      </c>
      <c r="K190" s="182" t="s">
        <v>1238</v>
      </c>
      <c r="L190" s="182">
        <v>7</v>
      </c>
      <c r="M190" s="182" t="s">
        <v>1245</v>
      </c>
      <c r="N190" s="186">
        <v>25</v>
      </c>
      <c r="O190" s="188">
        <v>2.7777777777777801E-2</v>
      </c>
      <c r="P190" s="188" t="s">
        <v>573</v>
      </c>
      <c r="Q190" s="188">
        <v>0</v>
      </c>
      <c r="R190" s="189" t="s">
        <v>573</v>
      </c>
      <c r="S190" s="189" t="s">
        <v>573</v>
      </c>
    </row>
    <row r="191" spans="1:19" ht="15" customHeight="1" x14ac:dyDescent="0.3">
      <c r="A191" s="182" t="s">
        <v>1235</v>
      </c>
      <c r="B191" s="182" t="s">
        <v>908</v>
      </c>
      <c r="C191" s="182" t="s">
        <v>909</v>
      </c>
      <c r="D191" s="182" t="s">
        <v>934</v>
      </c>
      <c r="E191" s="183" t="s">
        <v>935</v>
      </c>
      <c r="F191" s="183" t="s">
        <v>600</v>
      </c>
      <c r="G191" s="184">
        <v>0.1</v>
      </c>
      <c r="H191" s="185">
        <v>0.1</v>
      </c>
      <c r="I191" s="186">
        <v>70192.210000000006</v>
      </c>
      <c r="J191" s="187">
        <v>7721.1431000000002</v>
      </c>
      <c r="K191" s="182" t="s">
        <v>1238</v>
      </c>
      <c r="L191" s="182">
        <v>8</v>
      </c>
      <c r="M191" s="182" t="s">
        <v>1246</v>
      </c>
      <c r="N191" s="186">
        <v>25</v>
      </c>
      <c r="O191" s="188">
        <v>0.1</v>
      </c>
      <c r="P191" s="188" t="s">
        <v>573</v>
      </c>
      <c r="Q191" s="188">
        <v>0</v>
      </c>
      <c r="R191" s="189" t="s">
        <v>573</v>
      </c>
      <c r="S191" s="189" t="s">
        <v>573</v>
      </c>
    </row>
    <row r="192" spans="1:19" ht="15" customHeight="1" x14ac:dyDescent="0.3">
      <c r="A192" s="182" t="s">
        <v>1235</v>
      </c>
      <c r="B192" s="182" t="s">
        <v>937</v>
      </c>
      <c r="C192" s="182" t="s">
        <v>938</v>
      </c>
      <c r="D192" s="190" t="s">
        <v>939</v>
      </c>
      <c r="E192" s="183" t="s">
        <v>940</v>
      </c>
      <c r="F192" s="183" t="s">
        <v>941</v>
      </c>
      <c r="G192" s="184">
        <v>1</v>
      </c>
      <c r="H192" s="185">
        <v>0</v>
      </c>
      <c r="I192" s="186">
        <v>60860.580776572002</v>
      </c>
      <c r="J192" s="187">
        <v>60860.580776572002</v>
      </c>
      <c r="K192" s="182" t="s">
        <v>1247</v>
      </c>
      <c r="L192" s="182">
        <v>1</v>
      </c>
      <c r="M192" s="182" t="s">
        <v>1248</v>
      </c>
      <c r="N192" s="186">
        <v>25</v>
      </c>
      <c r="O192" s="188">
        <v>0.04</v>
      </c>
      <c r="P192" s="188" t="s">
        <v>573</v>
      </c>
      <c r="Q192" s="188">
        <v>0</v>
      </c>
      <c r="R192" s="189" t="s">
        <v>573</v>
      </c>
      <c r="S192" s="189" t="s">
        <v>573</v>
      </c>
    </row>
    <row r="193" spans="1:19" ht="15" customHeight="1" x14ac:dyDescent="0.3">
      <c r="A193" s="182" t="s">
        <v>1235</v>
      </c>
      <c r="B193" s="182" t="s">
        <v>937</v>
      </c>
      <c r="C193" s="182" t="s">
        <v>938</v>
      </c>
      <c r="D193" s="190" t="s">
        <v>944</v>
      </c>
      <c r="E193" s="183" t="s">
        <v>945</v>
      </c>
      <c r="F193" s="183" t="s">
        <v>941</v>
      </c>
      <c r="G193" s="184">
        <v>1</v>
      </c>
      <c r="H193" s="185">
        <v>0</v>
      </c>
      <c r="I193" s="186">
        <v>85927.097156571996</v>
      </c>
      <c r="J193" s="187">
        <v>85927.097156571996</v>
      </c>
      <c r="K193" s="182" t="s">
        <v>1247</v>
      </c>
      <c r="L193" s="182">
        <v>2</v>
      </c>
      <c r="M193" s="182" t="s">
        <v>1249</v>
      </c>
      <c r="N193" s="186">
        <v>25</v>
      </c>
      <c r="O193" s="188">
        <v>0.04</v>
      </c>
      <c r="P193" s="188" t="s">
        <v>573</v>
      </c>
      <c r="Q193" s="188">
        <v>0</v>
      </c>
      <c r="R193" s="189" t="s">
        <v>573</v>
      </c>
      <c r="S193" s="189" t="s">
        <v>573</v>
      </c>
    </row>
    <row r="194" spans="1:19" ht="15" customHeight="1" x14ac:dyDescent="0.3">
      <c r="A194" s="182" t="s">
        <v>1250</v>
      </c>
      <c r="B194" s="182" t="s">
        <v>563</v>
      </c>
      <c r="C194" s="182"/>
      <c r="D194" s="182" t="s">
        <v>1251</v>
      </c>
      <c r="E194" s="183" t="s">
        <v>1252</v>
      </c>
      <c r="F194" s="183"/>
      <c r="G194" s="184">
        <v>1</v>
      </c>
      <c r="H194" s="185">
        <v>0</v>
      </c>
      <c r="I194" s="186">
        <v>1723.6259595547101</v>
      </c>
      <c r="J194" s="187">
        <v>1723.6259595547101</v>
      </c>
      <c r="K194" s="182" t="s">
        <v>1253</v>
      </c>
      <c r="L194" s="182">
        <v>1</v>
      </c>
      <c r="M194" s="182" t="s">
        <v>1254</v>
      </c>
      <c r="N194" s="186">
        <v>15.5</v>
      </c>
      <c r="O194" s="188">
        <v>1</v>
      </c>
      <c r="P194" s="188" t="s">
        <v>573</v>
      </c>
      <c r="Q194" s="188">
        <v>0</v>
      </c>
      <c r="R194" s="189" t="s">
        <v>573</v>
      </c>
      <c r="S194" s="189" t="s">
        <v>573</v>
      </c>
    </row>
    <row r="195" spans="1:19" ht="15" customHeight="1" x14ac:dyDescent="0.3">
      <c r="A195" s="182" t="s">
        <v>1250</v>
      </c>
      <c r="B195" s="182" t="s">
        <v>563</v>
      </c>
      <c r="C195" s="182"/>
      <c r="D195" s="182" t="s">
        <v>1255</v>
      </c>
      <c r="E195" s="183" t="s">
        <v>1256</v>
      </c>
      <c r="F195" s="183"/>
      <c r="G195" s="184">
        <v>1</v>
      </c>
      <c r="H195" s="185">
        <v>0</v>
      </c>
      <c r="I195" s="186">
        <v>200.25307946474501</v>
      </c>
      <c r="J195" s="187">
        <v>200.25307946474501</v>
      </c>
      <c r="K195" s="182" t="s">
        <v>1253</v>
      </c>
      <c r="L195" s="182">
        <v>2</v>
      </c>
      <c r="M195" s="182" t="s">
        <v>1257</v>
      </c>
      <c r="N195" s="186">
        <v>15.5</v>
      </c>
      <c r="O195" s="188">
        <v>1</v>
      </c>
      <c r="P195" s="188" t="s">
        <v>573</v>
      </c>
      <c r="Q195" s="188">
        <v>0</v>
      </c>
      <c r="R195" s="189" t="s">
        <v>573</v>
      </c>
      <c r="S195" s="189" t="s">
        <v>573</v>
      </c>
    </row>
    <row r="196" spans="1:19" ht="15" customHeight="1" x14ac:dyDescent="0.3">
      <c r="A196" s="182" t="s">
        <v>1250</v>
      </c>
      <c r="B196" s="182" t="s">
        <v>908</v>
      </c>
      <c r="C196" s="182" t="s">
        <v>909</v>
      </c>
      <c r="D196" s="182" t="s">
        <v>1258</v>
      </c>
      <c r="E196" s="183" t="s">
        <v>1259</v>
      </c>
      <c r="F196" s="183" t="s">
        <v>912</v>
      </c>
      <c r="G196" s="184">
        <v>4.0000000000000001E-3</v>
      </c>
      <c r="H196" s="185">
        <v>0.05</v>
      </c>
      <c r="I196" s="186">
        <v>30467.49</v>
      </c>
      <c r="J196" s="187">
        <v>127.963458</v>
      </c>
      <c r="K196" s="182" t="s">
        <v>1260</v>
      </c>
      <c r="L196" s="182">
        <v>1</v>
      </c>
      <c r="M196" s="182" t="s">
        <v>1261</v>
      </c>
      <c r="N196" s="186">
        <v>15.5</v>
      </c>
      <c r="O196" s="188">
        <v>4.0000000000000001E-3</v>
      </c>
      <c r="P196" s="188" t="s">
        <v>573</v>
      </c>
      <c r="Q196" s="188">
        <v>0</v>
      </c>
      <c r="R196" s="189" t="s">
        <v>573</v>
      </c>
      <c r="S196" s="189" t="s">
        <v>573</v>
      </c>
    </row>
    <row r="197" spans="1:19" ht="15" customHeight="1" x14ac:dyDescent="0.3">
      <c r="A197" s="182" t="s">
        <v>1250</v>
      </c>
      <c r="B197" s="182" t="s">
        <v>908</v>
      </c>
      <c r="C197" s="182" t="s">
        <v>909</v>
      </c>
      <c r="D197" s="182" t="s">
        <v>1262</v>
      </c>
      <c r="E197" s="183" t="s">
        <v>1263</v>
      </c>
      <c r="F197" s="183" t="s">
        <v>600</v>
      </c>
      <c r="G197" s="184">
        <v>0.01</v>
      </c>
      <c r="H197" s="185">
        <v>0.05</v>
      </c>
      <c r="I197" s="186">
        <v>5661.4</v>
      </c>
      <c r="J197" s="187">
        <v>59.444699999999997</v>
      </c>
      <c r="K197" s="182" t="s">
        <v>1260</v>
      </c>
      <c r="L197" s="182">
        <v>2</v>
      </c>
      <c r="M197" s="182" t="s">
        <v>1264</v>
      </c>
      <c r="N197" s="186">
        <v>15.5</v>
      </c>
      <c r="O197" s="188">
        <v>0.01</v>
      </c>
      <c r="P197" s="188" t="s">
        <v>573</v>
      </c>
      <c r="Q197" s="188">
        <v>0</v>
      </c>
      <c r="R197" s="189" t="s">
        <v>573</v>
      </c>
      <c r="S197" s="189" t="s">
        <v>573</v>
      </c>
    </row>
    <row r="198" spans="1:19" ht="15" customHeight="1" x14ac:dyDescent="0.3">
      <c r="A198" s="182" t="s">
        <v>1250</v>
      </c>
      <c r="B198" s="182" t="s">
        <v>908</v>
      </c>
      <c r="C198" s="182" t="s">
        <v>909</v>
      </c>
      <c r="D198" s="182" t="s">
        <v>1265</v>
      </c>
      <c r="E198" s="183" t="s">
        <v>1266</v>
      </c>
      <c r="F198" s="183" t="s">
        <v>600</v>
      </c>
      <c r="G198" s="184">
        <v>0.01</v>
      </c>
      <c r="H198" s="185">
        <v>0.1</v>
      </c>
      <c r="I198" s="186">
        <v>3293.01</v>
      </c>
      <c r="J198" s="187">
        <v>36.223109999999998</v>
      </c>
      <c r="K198" s="182" t="s">
        <v>1260</v>
      </c>
      <c r="L198" s="182">
        <v>3</v>
      </c>
      <c r="M198" s="182" t="s">
        <v>1267</v>
      </c>
      <c r="N198" s="186">
        <v>15.5</v>
      </c>
      <c r="O198" s="188">
        <v>0.01</v>
      </c>
      <c r="P198" s="188" t="s">
        <v>573</v>
      </c>
      <c r="Q198" s="188">
        <v>0</v>
      </c>
      <c r="R198" s="189" t="s">
        <v>573</v>
      </c>
      <c r="S198" s="189" t="s">
        <v>573</v>
      </c>
    </row>
    <row r="199" spans="1:19" ht="15" customHeight="1" x14ac:dyDescent="0.3">
      <c r="A199" s="182" t="s">
        <v>1250</v>
      </c>
      <c r="B199" s="182" t="s">
        <v>908</v>
      </c>
      <c r="C199" s="182" t="s">
        <v>909</v>
      </c>
      <c r="D199" s="182" t="s">
        <v>915</v>
      </c>
      <c r="E199" s="183" t="s">
        <v>916</v>
      </c>
      <c r="F199" s="183" t="s">
        <v>600</v>
      </c>
      <c r="G199" s="184">
        <v>0.01</v>
      </c>
      <c r="H199" s="185">
        <v>0.05</v>
      </c>
      <c r="I199" s="186">
        <v>735.06</v>
      </c>
      <c r="J199" s="187">
        <v>7.7181300000000004</v>
      </c>
      <c r="K199" s="182" t="s">
        <v>1260</v>
      </c>
      <c r="L199" s="182">
        <v>4</v>
      </c>
      <c r="M199" s="182" t="s">
        <v>1268</v>
      </c>
      <c r="N199" s="186">
        <v>15.5</v>
      </c>
      <c r="O199" s="188">
        <v>0.01</v>
      </c>
      <c r="P199" s="188" t="s">
        <v>573</v>
      </c>
      <c r="Q199" s="188">
        <v>0</v>
      </c>
      <c r="R199" s="189" t="s">
        <v>573</v>
      </c>
      <c r="S199" s="189" t="s">
        <v>573</v>
      </c>
    </row>
    <row r="200" spans="1:19" ht="15" customHeight="1" x14ac:dyDescent="0.3">
      <c r="A200" s="182" t="s">
        <v>1250</v>
      </c>
      <c r="B200" s="182" t="s">
        <v>908</v>
      </c>
      <c r="C200" s="182" t="s">
        <v>909</v>
      </c>
      <c r="D200" s="182" t="s">
        <v>918</v>
      </c>
      <c r="E200" s="183" t="s">
        <v>919</v>
      </c>
      <c r="F200" s="183" t="s">
        <v>600</v>
      </c>
      <c r="G200" s="184">
        <v>5.0000000000000001E-3</v>
      </c>
      <c r="H200" s="185">
        <v>0.05</v>
      </c>
      <c r="I200" s="186">
        <v>6678.36</v>
      </c>
      <c r="J200" s="187">
        <v>35.061390000000003</v>
      </c>
      <c r="K200" s="182" t="s">
        <v>1260</v>
      </c>
      <c r="L200" s="182">
        <v>5</v>
      </c>
      <c r="M200" s="182" t="s">
        <v>1269</v>
      </c>
      <c r="N200" s="186">
        <v>15.5</v>
      </c>
      <c r="O200" s="188">
        <v>5.0000000000000001E-3</v>
      </c>
      <c r="P200" s="188" t="s">
        <v>573</v>
      </c>
      <c r="Q200" s="188">
        <v>0</v>
      </c>
      <c r="R200" s="189" t="s">
        <v>573</v>
      </c>
      <c r="S200" s="189" t="s">
        <v>573</v>
      </c>
    </row>
    <row r="201" spans="1:19" ht="15" customHeight="1" x14ac:dyDescent="0.3">
      <c r="A201" s="182" t="s">
        <v>1250</v>
      </c>
      <c r="B201" s="182" t="s">
        <v>908</v>
      </c>
      <c r="C201" s="182" t="s">
        <v>909</v>
      </c>
      <c r="D201" s="182" t="s">
        <v>921</v>
      </c>
      <c r="E201" s="183" t="s">
        <v>922</v>
      </c>
      <c r="F201" s="183" t="s">
        <v>600</v>
      </c>
      <c r="G201" s="184">
        <v>5.0000000000000001E-3</v>
      </c>
      <c r="H201" s="185">
        <v>0.05</v>
      </c>
      <c r="I201" s="186">
        <v>5282.24</v>
      </c>
      <c r="J201" s="187">
        <v>27.731760000000001</v>
      </c>
      <c r="K201" s="182" t="s">
        <v>1260</v>
      </c>
      <c r="L201" s="182">
        <v>6</v>
      </c>
      <c r="M201" s="182" t="s">
        <v>1270</v>
      </c>
      <c r="N201" s="186">
        <v>15.5</v>
      </c>
      <c r="O201" s="188">
        <v>5.0000000000000001E-3</v>
      </c>
      <c r="P201" s="188" t="s">
        <v>573</v>
      </c>
      <c r="Q201" s="188">
        <v>0</v>
      </c>
      <c r="R201" s="189" t="s">
        <v>573</v>
      </c>
      <c r="S201" s="189" t="s">
        <v>573</v>
      </c>
    </row>
    <row r="202" spans="1:19" ht="15" customHeight="1" x14ac:dyDescent="0.3">
      <c r="A202" s="182" t="s">
        <v>1250</v>
      </c>
      <c r="B202" s="182" t="s">
        <v>908</v>
      </c>
      <c r="C202" s="182" t="s">
        <v>909</v>
      </c>
      <c r="D202" s="182" t="s">
        <v>1271</v>
      </c>
      <c r="E202" s="183" t="s">
        <v>1272</v>
      </c>
      <c r="F202" s="183" t="s">
        <v>600</v>
      </c>
      <c r="G202" s="184">
        <v>0.01</v>
      </c>
      <c r="H202" s="185">
        <v>0.05</v>
      </c>
      <c r="I202" s="186">
        <v>7427.6</v>
      </c>
      <c r="J202" s="187">
        <v>77.989800000000002</v>
      </c>
      <c r="K202" s="182" t="s">
        <v>1260</v>
      </c>
      <c r="L202" s="182">
        <v>7</v>
      </c>
      <c r="M202" s="182" t="s">
        <v>1273</v>
      </c>
      <c r="N202" s="186">
        <v>15.5</v>
      </c>
      <c r="O202" s="188">
        <v>0.01</v>
      </c>
      <c r="P202" s="188" t="s">
        <v>573</v>
      </c>
      <c r="Q202" s="188">
        <v>0</v>
      </c>
      <c r="R202" s="189" t="s">
        <v>573</v>
      </c>
      <c r="S202" s="189" t="s">
        <v>573</v>
      </c>
    </row>
    <row r="203" spans="1:19" ht="15" customHeight="1" x14ac:dyDescent="0.3">
      <c r="A203" s="182" t="s">
        <v>1250</v>
      </c>
      <c r="B203" s="182" t="s">
        <v>908</v>
      </c>
      <c r="C203" s="182" t="s">
        <v>909</v>
      </c>
      <c r="D203" s="182" t="s">
        <v>1274</v>
      </c>
      <c r="E203" s="183" t="s">
        <v>1275</v>
      </c>
      <c r="F203" s="183" t="s">
        <v>884</v>
      </c>
      <c r="G203" s="184">
        <v>1.2500000000000001E-2</v>
      </c>
      <c r="H203" s="185">
        <v>0.1</v>
      </c>
      <c r="I203" s="186">
        <v>120622.23</v>
      </c>
      <c r="J203" s="187">
        <v>1658.5556624999999</v>
      </c>
      <c r="K203" s="182" t="s">
        <v>1260</v>
      </c>
      <c r="L203" s="182">
        <v>8</v>
      </c>
      <c r="M203" s="182" t="s">
        <v>1276</v>
      </c>
      <c r="N203" s="186">
        <v>15.5</v>
      </c>
      <c r="O203" s="188">
        <v>1.2500000000000001E-2</v>
      </c>
      <c r="P203" s="188" t="s">
        <v>573</v>
      </c>
      <c r="Q203" s="188">
        <v>0</v>
      </c>
      <c r="R203" s="189" t="s">
        <v>573</v>
      </c>
      <c r="S203" s="189" t="s">
        <v>573</v>
      </c>
    </row>
    <row r="204" spans="1:19" ht="15" customHeight="1" x14ac:dyDescent="0.3">
      <c r="A204" s="182" t="s">
        <v>1250</v>
      </c>
      <c r="B204" s="182" t="s">
        <v>937</v>
      </c>
      <c r="C204" s="182" t="s">
        <v>938</v>
      </c>
      <c r="D204" s="190" t="s">
        <v>944</v>
      </c>
      <c r="E204" s="183" t="s">
        <v>945</v>
      </c>
      <c r="F204" s="183" t="s">
        <v>941</v>
      </c>
      <c r="G204" s="184">
        <v>1</v>
      </c>
      <c r="H204" s="185">
        <v>0</v>
      </c>
      <c r="I204" s="186">
        <v>85927.097156571996</v>
      </c>
      <c r="J204" s="187">
        <v>85927.097156571996</v>
      </c>
      <c r="K204" s="182" t="s">
        <v>1277</v>
      </c>
      <c r="L204" s="182">
        <v>1</v>
      </c>
      <c r="M204" s="182" t="s">
        <v>1278</v>
      </c>
      <c r="N204" s="186">
        <v>15.5</v>
      </c>
      <c r="O204" s="188">
        <v>6.4516129032258104E-2</v>
      </c>
      <c r="P204" s="188" t="s">
        <v>573</v>
      </c>
      <c r="Q204" s="188">
        <v>0</v>
      </c>
      <c r="R204" s="189" t="s">
        <v>573</v>
      </c>
      <c r="S204" s="189" t="s">
        <v>573</v>
      </c>
    </row>
    <row r="205" spans="1:19" ht="15" customHeight="1" x14ac:dyDescent="0.3">
      <c r="A205" s="182" t="s">
        <v>1279</v>
      </c>
      <c r="B205" s="182" t="s">
        <v>563</v>
      </c>
      <c r="C205" s="182"/>
      <c r="D205" s="182" t="s">
        <v>948</v>
      </c>
      <c r="E205" s="183" t="s">
        <v>949</v>
      </c>
      <c r="F205" s="183"/>
      <c r="G205" s="184">
        <v>0.5</v>
      </c>
      <c r="H205" s="185">
        <v>0</v>
      </c>
      <c r="I205" s="186">
        <v>571.17949098076099</v>
      </c>
      <c r="J205" s="187">
        <v>285.58974549038101</v>
      </c>
      <c r="K205" s="182" t="s">
        <v>1280</v>
      </c>
      <c r="L205" s="182">
        <v>1</v>
      </c>
      <c r="M205" s="182" t="s">
        <v>1281</v>
      </c>
      <c r="N205" s="186">
        <v>15</v>
      </c>
      <c r="O205" s="188">
        <v>0.5</v>
      </c>
      <c r="P205" s="188" t="s">
        <v>573</v>
      </c>
      <c r="Q205" s="188">
        <v>0</v>
      </c>
      <c r="R205" s="189" t="s">
        <v>573</v>
      </c>
      <c r="S205" s="189" t="s">
        <v>573</v>
      </c>
    </row>
    <row r="206" spans="1:19" ht="15" customHeight="1" x14ac:dyDescent="0.3">
      <c r="A206" s="182" t="s">
        <v>1279</v>
      </c>
      <c r="B206" s="182" t="s">
        <v>563</v>
      </c>
      <c r="C206" s="182"/>
      <c r="D206" s="182" t="s">
        <v>952</v>
      </c>
      <c r="E206" s="183" t="s">
        <v>953</v>
      </c>
      <c r="F206" s="183"/>
      <c r="G206" s="184">
        <v>1</v>
      </c>
      <c r="H206" s="185">
        <v>0</v>
      </c>
      <c r="I206" s="186">
        <v>2287.1357450968098</v>
      </c>
      <c r="J206" s="187">
        <v>2287.1357450968098</v>
      </c>
      <c r="K206" s="182" t="s">
        <v>1280</v>
      </c>
      <c r="L206" s="182">
        <v>2</v>
      </c>
      <c r="M206" s="182" t="s">
        <v>1282</v>
      </c>
      <c r="N206" s="186">
        <v>15</v>
      </c>
      <c r="O206" s="188">
        <v>1</v>
      </c>
      <c r="P206" s="188" t="s">
        <v>573</v>
      </c>
      <c r="Q206" s="188">
        <v>0</v>
      </c>
      <c r="R206" s="189" t="s">
        <v>573</v>
      </c>
      <c r="S206" s="189" t="s">
        <v>573</v>
      </c>
    </row>
    <row r="207" spans="1:19" ht="15" customHeight="1" x14ac:dyDescent="0.3">
      <c r="A207" s="182" t="s">
        <v>1279</v>
      </c>
      <c r="B207" s="182" t="s">
        <v>563</v>
      </c>
      <c r="C207" s="182"/>
      <c r="D207" s="182" t="s">
        <v>955</v>
      </c>
      <c r="E207" s="183" t="s">
        <v>956</v>
      </c>
      <c r="F207" s="183"/>
      <c r="G207" s="184">
        <v>1</v>
      </c>
      <c r="H207" s="185">
        <v>0</v>
      </c>
      <c r="I207" s="186">
        <v>957.25319614994703</v>
      </c>
      <c r="J207" s="187">
        <v>957.25319614994703</v>
      </c>
      <c r="K207" s="182" t="s">
        <v>1280</v>
      </c>
      <c r="L207" s="182">
        <v>3</v>
      </c>
      <c r="M207" s="182" t="s">
        <v>1283</v>
      </c>
      <c r="N207" s="186">
        <v>15</v>
      </c>
      <c r="O207" s="188">
        <v>1</v>
      </c>
      <c r="P207" s="188" t="s">
        <v>573</v>
      </c>
      <c r="Q207" s="188">
        <v>0</v>
      </c>
      <c r="R207" s="189" t="s">
        <v>573</v>
      </c>
      <c r="S207" s="189" t="s">
        <v>573</v>
      </c>
    </row>
    <row r="208" spans="1:19" ht="15" customHeight="1" x14ac:dyDescent="0.3">
      <c r="A208" s="182" t="s">
        <v>1279</v>
      </c>
      <c r="B208" s="182" t="s">
        <v>908</v>
      </c>
      <c r="C208" s="182" t="s">
        <v>909</v>
      </c>
      <c r="D208" s="182" t="s">
        <v>958</v>
      </c>
      <c r="E208" s="183" t="s">
        <v>959</v>
      </c>
      <c r="F208" s="183" t="s">
        <v>600</v>
      </c>
      <c r="G208" s="184">
        <v>0.17</v>
      </c>
      <c r="H208" s="185">
        <v>0.1</v>
      </c>
      <c r="I208" s="186">
        <v>3424.53</v>
      </c>
      <c r="J208" s="187">
        <v>640.38711000000001</v>
      </c>
      <c r="K208" s="182" t="s">
        <v>1284</v>
      </c>
      <c r="L208" s="182">
        <v>1</v>
      </c>
      <c r="M208" s="182" t="s">
        <v>1285</v>
      </c>
      <c r="N208" s="186">
        <v>15</v>
      </c>
      <c r="O208" s="188">
        <v>0.17</v>
      </c>
      <c r="P208" s="188" t="s">
        <v>573</v>
      </c>
      <c r="Q208" s="188">
        <v>0</v>
      </c>
      <c r="R208" s="189" t="s">
        <v>573</v>
      </c>
      <c r="S208" s="189" t="s">
        <v>573</v>
      </c>
    </row>
    <row r="209" spans="1:19" ht="15" customHeight="1" x14ac:dyDescent="0.3">
      <c r="A209" s="182" t="s">
        <v>1279</v>
      </c>
      <c r="B209" s="182" t="s">
        <v>908</v>
      </c>
      <c r="C209" s="182" t="s">
        <v>909</v>
      </c>
      <c r="D209" s="182" t="s">
        <v>962</v>
      </c>
      <c r="E209" s="183" t="s">
        <v>963</v>
      </c>
      <c r="F209" s="183" t="s">
        <v>590</v>
      </c>
      <c r="G209" s="184">
        <v>2.4E-2</v>
      </c>
      <c r="H209" s="185">
        <v>0.1</v>
      </c>
      <c r="I209" s="186">
        <v>32399.77</v>
      </c>
      <c r="J209" s="187">
        <v>855.353928</v>
      </c>
      <c r="K209" s="182" t="s">
        <v>1284</v>
      </c>
      <c r="L209" s="182">
        <v>2</v>
      </c>
      <c r="M209" s="182" t="s">
        <v>1286</v>
      </c>
      <c r="N209" s="186">
        <v>15</v>
      </c>
      <c r="O209" s="188">
        <v>2.4E-2</v>
      </c>
      <c r="P209" s="188" t="s">
        <v>573</v>
      </c>
      <c r="Q209" s="188">
        <v>0</v>
      </c>
      <c r="R209" s="189" t="s">
        <v>573</v>
      </c>
      <c r="S209" s="189" t="s">
        <v>573</v>
      </c>
    </row>
    <row r="210" spans="1:19" ht="15" customHeight="1" x14ac:dyDescent="0.3">
      <c r="A210" s="182" t="s">
        <v>1279</v>
      </c>
      <c r="B210" s="182" t="s">
        <v>908</v>
      </c>
      <c r="C210" s="182" t="s">
        <v>909</v>
      </c>
      <c r="D210" s="182" t="s">
        <v>965</v>
      </c>
      <c r="E210" s="183" t="s">
        <v>966</v>
      </c>
      <c r="F210" s="183" t="s">
        <v>967</v>
      </c>
      <c r="G210" s="184">
        <v>0.1</v>
      </c>
      <c r="H210" s="185">
        <v>0.1</v>
      </c>
      <c r="I210" s="186">
        <v>7809.48</v>
      </c>
      <c r="J210" s="187">
        <v>859.04280000000006</v>
      </c>
      <c r="K210" s="182" t="s">
        <v>1284</v>
      </c>
      <c r="L210" s="182">
        <v>3</v>
      </c>
      <c r="M210" s="182" t="s">
        <v>1287</v>
      </c>
      <c r="N210" s="186">
        <v>15</v>
      </c>
      <c r="O210" s="188">
        <v>0.1</v>
      </c>
      <c r="P210" s="188" t="s">
        <v>573</v>
      </c>
      <c r="Q210" s="188">
        <v>0</v>
      </c>
      <c r="R210" s="189" t="s">
        <v>573</v>
      </c>
      <c r="S210" s="189" t="s">
        <v>573</v>
      </c>
    </row>
    <row r="211" spans="1:19" ht="15" customHeight="1" x14ac:dyDescent="0.3">
      <c r="A211" s="182" t="s">
        <v>1279</v>
      </c>
      <c r="B211" s="182" t="s">
        <v>908</v>
      </c>
      <c r="C211" s="182" t="s">
        <v>909</v>
      </c>
      <c r="D211" s="182" t="s">
        <v>969</v>
      </c>
      <c r="E211" s="183" t="s">
        <v>970</v>
      </c>
      <c r="F211" s="183" t="s">
        <v>971</v>
      </c>
      <c r="G211" s="184">
        <v>0.2</v>
      </c>
      <c r="H211" s="185">
        <v>0.1</v>
      </c>
      <c r="I211" s="186">
        <v>3837.96</v>
      </c>
      <c r="J211" s="187">
        <v>844.35119999999995</v>
      </c>
      <c r="K211" s="182" t="s">
        <v>1284</v>
      </c>
      <c r="L211" s="182">
        <v>4</v>
      </c>
      <c r="M211" s="182" t="s">
        <v>1288</v>
      </c>
      <c r="N211" s="186">
        <v>15</v>
      </c>
      <c r="O211" s="188">
        <v>0.2</v>
      </c>
      <c r="P211" s="188" t="s">
        <v>573</v>
      </c>
      <c r="Q211" s="188">
        <v>0</v>
      </c>
      <c r="R211" s="189" t="s">
        <v>573</v>
      </c>
      <c r="S211" s="189" t="s">
        <v>573</v>
      </c>
    </row>
    <row r="212" spans="1:19" ht="15" customHeight="1" x14ac:dyDescent="0.3">
      <c r="A212" s="182" t="s">
        <v>1279</v>
      </c>
      <c r="B212" s="182" t="s">
        <v>908</v>
      </c>
      <c r="C212" s="182" t="s">
        <v>909</v>
      </c>
      <c r="D212" s="182" t="s">
        <v>1010</v>
      </c>
      <c r="E212" s="183" t="s">
        <v>1011</v>
      </c>
      <c r="F212" s="183" t="s">
        <v>600</v>
      </c>
      <c r="G212" s="184">
        <v>15</v>
      </c>
      <c r="H212" s="185">
        <v>0.05</v>
      </c>
      <c r="I212" s="186">
        <v>365.4</v>
      </c>
      <c r="J212" s="187">
        <v>5755.05</v>
      </c>
      <c r="K212" s="182" t="s">
        <v>1284</v>
      </c>
      <c r="L212" s="182">
        <v>5</v>
      </c>
      <c r="M212" s="182" t="s">
        <v>1289</v>
      </c>
      <c r="N212" s="186">
        <v>15</v>
      </c>
      <c r="O212" s="188">
        <v>15</v>
      </c>
      <c r="P212" s="188" t="s">
        <v>573</v>
      </c>
      <c r="Q212" s="188">
        <v>0</v>
      </c>
      <c r="R212" s="189" t="s">
        <v>573</v>
      </c>
      <c r="S212" s="189" t="s">
        <v>573</v>
      </c>
    </row>
    <row r="213" spans="1:19" ht="15" customHeight="1" x14ac:dyDescent="0.3">
      <c r="A213" s="182" t="s">
        <v>1279</v>
      </c>
      <c r="B213" s="182" t="s">
        <v>908</v>
      </c>
      <c r="C213" s="182" t="s">
        <v>909</v>
      </c>
      <c r="D213" s="182" t="s">
        <v>976</v>
      </c>
      <c r="E213" s="183" t="s">
        <v>977</v>
      </c>
      <c r="F213" s="183" t="s">
        <v>576</v>
      </c>
      <c r="G213" s="184">
        <v>1.4557741900000001</v>
      </c>
      <c r="H213" s="185">
        <v>0</v>
      </c>
      <c r="I213" s="186">
        <v>1</v>
      </c>
      <c r="J213" s="187">
        <v>1.4557741900000001</v>
      </c>
      <c r="K213" s="182" t="s">
        <v>1284</v>
      </c>
      <c r="L213" s="182">
        <v>6</v>
      </c>
      <c r="M213" s="182" t="s">
        <v>1290</v>
      </c>
      <c r="N213" s="186">
        <v>15</v>
      </c>
      <c r="O213" s="188">
        <v>1.4557741900000001</v>
      </c>
      <c r="P213" s="188" t="s">
        <v>573</v>
      </c>
      <c r="Q213" s="188">
        <v>0</v>
      </c>
      <c r="R213" s="189" t="s">
        <v>573</v>
      </c>
      <c r="S213" s="189" t="s">
        <v>573</v>
      </c>
    </row>
    <row r="214" spans="1:19" ht="15" customHeight="1" x14ac:dyDescent="0.3">
      <c r="A214" s="182" t="s">
        <v>1279</v>
      </c>
      <c r="B214" s="182" t="s">
        <v>937</v>
      </c>
      <c r="C214" s="182" t="s">
        <v>938</v>
      </c>
      <c r="D214" s="190" t="s">
        <v>1291</v>
      </c>
      <c r="E214" s="183" t="s">
        <v>1292</v>
      </c>
      <c r="F214" s="183" t="s">
        <v>941</v>
      </c>
      <c r="G214" s="184">
        <v>1</v>
      </c>
      <c r="H214" s="185">
        <v>0</v>
      </c>
      <c r="I214" s="186">
        <v>65493.071636572</v>
      </c>
      <c r="J214" s="187">
        <v>65493.071636572</v>
      </c>
      <c r="K214" s="182" t="s">
        <v>1293</v>
      </c>
      <c r="L214" s="182">
        <v>1</v>
      </c>
      <c r="M214" s="182" t="s">
        <v>1294</v>
      </c>
      <c r="N214" s="186">
        <v>15</v>
      </c>
      <c r="O214" s="188">
        <v>6.6666666666666693E-2</v>
      </c>
      <c r="P214" s="188" t="s">
        <v>573</v>
      </c>
      <c r="Q214" s="188">
        <v>0</v>
      </c>
      <c r="R214" s="189" t="s">
        <v>573</v>
      </c>
      <c r="S214" s="189" t="s">
        <v>573</v>
      </c>
    </row>
    <row r="215" spans="1:19" ht="15" customHeight="1" x14ac:dyDescent="0.3">
      <c r="A215" s="182" t="s">
        <v>1279</v>
      </c>
      <c r="B215" s="182" t="s">
        <v>937</v>
      </c>
      <c r="C215" s="182" t="s">
        <v>938</v>
      </c>
      <c r="D215" s="190" t="s">
        <v>944</v>
      </c>
      <c r="E215" s="183" t="s">
        <v>945</v>
      </c>
      <c r="F215" s="183" t="s">
        <v>941</v>
      </c>
      <c r="G215" s="184">
        <v>1</v>
      </c>
      <c r="H215" s="185">
        <v>0</v>
      </c>
      <c r="I215" s="186">
        <v>85927.097156571996</v>
      </c>
      <c r="J215" s="187">
        <v>85927.097156571996</v>
      </c>
      <c r="K215" s="182" t="s">
        <v>1293</v>
      </c>
      <c r="L215" s="182">
        <v>2</v>
      </c>
      <c r="M215" s="182" t="s">
        <v>1295</v>
      </c>
      <c r="N215" s="186">
        <v>15</v>
      </c>
      <c r="O215" s="188">
        <v>6.6666666666666693E-2</v>
      </c>
      <c r="P215" s="188" t="s">
        <v>573</v>
      </c>
      <c r="Q215" s="188">
        <v>0</v>
      </c>
      <c r="R215" s="189" t="s">
        <v>573</v>
      </c>
      <c r="S215" s="189" t="s">
        <v>573</v>
      </c>
    </row>
    <row r="216" spans="1:19" ht="15" customHeight="1" x14ac:dyDescent="0.3">
      <c r="A216" s="182" t="s">
        <v>1296</v>
      </c>
      <c r="B216" s="182" t="s">
        <v>908</v>
      </c>
      <c r="C216" s="182" t="s">
        <v>909</v>
      </c>
      <c r="D216" s="182" t="s">
        <v>962</v>
      </c>
      <c r="E216" s="183" t="s">
        <v>963</v>
      </c>
      <c r="F216" s="183" t="s">
        <v>590</v>
      </c>
      <c r="G216" s="184">
        <v>0.02</v>
      </c>
      <c r="H216" s="185">
        <v>0.03</v>
      </c>
      <c r="I216" s="186">
        <v>32399.77</v>
      </c>
      <c r="J216" s="187">
        <v>667.43526199999997</v>
      </c>
      <c r="K216" s="182" t="s">
        <v>1297</v>
      </c>
      <c r="L216" s="182">
        <v>1</v>
      </c>
      <c r="M216" s="182" t="s">
        <v>1298</v>
      </c>
      <c r="N216" s="186">
        <v>15</v>
      </c>
      <c r="O216" s="188">
        <v>0.02</v>
      </c>
      <c r="P216" s="188" t="s">
        <v>573</v>
      </c>
      <c r="Q216" s="188">
        <v>0</v>
      </c>
      <c r="R216" s="189" t="s">
        <v>573</v>
      </c>
      <c r="S216" s="189" t="s">
        <v>573</v>
      </c>
    </row>
    <row r="217" spans="1:19" ht="15" customHeight="1" x14ac:dyDescent="0.3">
      <c r="A217" s="182" t="s">
        <v>1296</v>
      </c>
      <c r="B217" s="182" t="s">
        <v>908</v>
      </c>
      <c r="C217" s="182" t="s">
        <v>909</v>
      </c>
      <c r="D217" s="182" t="s">
        <v>965</v>
      </c>
      <c r="E217" s="183" t="s">
        <v>966</v>
      </c>
      <c r="F217" s="183" t="s">
        <v>967</v>
      </c>
      <c r="G217" s="184">
        <v>0.26</v>
      </c>
      <c r="H217" s="185">
        <v>0.03</v>
      </c>
      <c r="I217" s="186">
        <v>7809.48</v>
      </c>
      <c r="J217" s="187">
        <v>2091.3787440000001</v>
      </c>
      <c r="K217" s="182" t="s">
        <v>1297</v>
      </c>
      <c r="L217" s="182">
        <v>2</v>
      </c>
      <c r="M217" s="182" t="s">
        <v>1299</v>
      </c>
      <c r="N217" s="186">
        <v>15</v>
      </c>
      <c r="O217" s="188">
        <v>0.26</v>
      </c>
      <c r="P217" s="188" t="s">
        <v>573</v>
      </c>
      <c r="Q217" s="188">
        <v>0</v>
      </c>
      <c r="R217" s="189" t="s">
        <v>573</v>
      </c>
      <c r="S217" s="189" t="s">
        <v>573</v>
      </c>
    </row>
    <row r="218" spans="1:19" ht="15" customHeight="1" x14ac:dyDescent="0.3">
      <c r="A218" s="182" t="s">
        <v>1296</v>
      </c>
      <c r="B218" s="182" t="s">
        <v>908</v>
      </c>
      <c r="C218" s="182" t="s">
        <v>909</v>
      </c>
      <c r="D218" s="182" t="s">
        <v>969</v>
      </c>
      <c r="E218" s="183" t="s">
        <v>970</v>
      </c>
      <c r="F218" s="183" t="s">
        <v>971</v>
      </c>
      <c r="G218" s="184">
        <v>0.06</v>
      </c>
      <c r="H218" s="185">
        <v>0.05</v>
      </c>
      <c r="I218" s="186">
        <v>3837.96</v>
      </c>
      <c r="J218" s="187">
        <v>241.79148000000001</v>
      </c>
      <c r="K218" s="182" t="s">
        <v>1297</v>
      </c>
      <c r="L218" s="182">
        <v>3</v>
      </c>
      <c r="M218" s="182" t="s">
        <v>1300</v>
      </c>
      <c r="N218" s="186">
        <v>15</v>
      </c>
      <c r="O218" s="188">
        <v>0.06</v>
      </c>
      <c r="P218" s="188" t="s">
        <v>573</v>
      </c>
      <c r="Q218" s="188">
        <v>0</v>
      </c>
      <c r="R218" s="189" t="s">
        <v>573</v>
      </c>
      <c r="S218" s="189" t="s">
        <v>573</v>
      </c>
    </row>
    <row r="219" spans="1:19" ht="15" customHeight="1" x14ac:dyDescent="0.3">
      <c r="A219" s="182" t="s">
        <v>1296</v>
      </c>
      <c r="B219" s="182" t="s">
        <v>937</v>
      </c>
      <c r="C219" s="182" t="s">
        <v>938</v>
      </c>
      <c r="D219" s="190" t="s">
        <v>939</v>
      </c>
      <c r="E219" s="183" t="s">
        <v>940</v>
      </c>
      <c r="F219" s="183" t="s">
        <v>941</v>
      </c>
      <c r="G219" s="184">
        <v>1</v>
      </c>
      <c r="H219" s="185">
        <v>0</v>
      </c>
      <c r="I219" s="186">
        <v>60860.580776572002</v>
      </c>
      <c r="J219" s="187">
        <v>60860.580776572002</v>
      </c>
      <c r="K219" s="182" t="s">
        <v>1301</v>
      </c>
      <c r="L219" s="182">
        <v>1</v>
      </c>
      <c r="M219" s="182" t="s">
        <v>1302</v>
      </c>
      <c r="N219" s="186">
        <v>15</v>
      </c>
      <c r="O219" s="188">
        <v>6.6666666666666693E-2</v>
      </c>
      <c r="P219" s="188" t="s">
        <v>573</v>
      </c>
      <c r="Q219" s="188">
        <v>0</v>
      </c>
      <c r="R219" s="189" t="s">
        <v>573</v>
      </c>
      <c r="S219" s="189" t="s">
        <v>573</v>
      </c>
    </row>
    <row r="220" spans="1:19" ht="15" customHeight="1" x14ac:dyDescent="0.3">
      <c r="A220" s="182" t="s">
        <v>1296</v>
      </c>
      <c r="B220" s="182" t="s">
        <v>937</v>
      </c>
      <c r="C220" s="182" t="s">
        <v>938</v>
      </c>
      <c r="D220" s="190" t="s">
        <v>944</v>
      </c>
      <c r="E220" s="183" t="s">
        <v>945</v>
      </c>
      <c r="F220" s="183" t="s">
        <v>941</v>
      </c>
      <c r="G220" s="184">
        <v>1</v>
      </c>
      <c r="H220" s="185">
        <v>0</v>
      </c>
      <c r="I220" s="186">
        <v>85927.097156571996</v>
      </c>
      <c r="J220" s="187">
        <v>85927.097156571996</v>
      </c>
      <c r="K220" s="182" t="s">
        <v>1301</v>
      </c>
      <c r="L220" s="182">
        <v>2</v>
      </c>
      <c r="M220" s="182" t="s">
        <v>1303</v>
      </c>
      <c r="N220" s="186">
        <v>15</v>
      </c>
      <c r="O220" s="188">
        <v>6.6666666666666693E-2</v>
      </c>
      <c r="P220" s="188" t="s">
        <v>573</v>
      </c>
      <c r="Q220" s="188">
        <v>0</v>
      </c>
      <c r="R220" s="189" t="s">
        <v>573</v>
      </c>
      <c r="S220" s="189" t="s">
        <v>573</v>
      </c>
    </row>
    <row r="221" spans="1:19" ht="15" customHeight="1" x14ac:dyDescent="0.3">
      <c r="A221" s="182" t="s">
        <v>1304</v>
      </c>
      <c r="B221" s="182" t="s">
        <v>563</v>
      </c>
      <c r="C221" s="182"/>
      <c r="D221" s="182" t="s">
        <v>948</v>
      </c>
      <c r="E221" s="183" t="s">
        <v>949</v>
      </c>
      <c r="F221" s="183"/>
      <c r="G221" s="184">
        <v>0.5</v>
      </c>
      <c r="H221" s="185">
        <v>0</v>
      </c>
      <c r="I221" s="186">
        <v>571.17949098076099</v>
      </c>
      <c r="J221" s="187">
        <v>285.58974549038101</v>
      </c>
      <c r="K221" s="182" t="s">
        <v>1305</v>
      </c>
      <c r="L221" s="182">
        <v>1</v>
      </c>
      <c r="M221" s="182" t="s">
        <v>1306</v>
      </c>
      <c r="N221" s="186">
        <v>11.5</v>
      </c>
      <c r="O221" s="188">
        <v>0.5</v>
      </c>
      <c r="P221" s="188" t="s">
        <v>573</v>
      </c>
      <c r="Q221" s="188">
        <v>0</v>
      </c>
      <c r="R221" s="189" t="s">
        <v>573</v>
      </c>
      <c r="S221" s="189" t="s">
        <v>573</v>
      </c>
    </row>
    <row r="222" spans="1:19" ht="15" customHeight="1" x14ac:dyDescent="0.3">
      <c r="A222" s="182" t="s">
        <v>1304</v>
      </c>
      <c r="B222" s="182" t="s">
        <v>563</v>
      </c>
      <c r="C222" s="182"/>
      <c r="D222" s="182" t="s">
        <v>952</v>
      </c>
      <c r="E222" s="183" t="s">
        <v>953</v>
      </c>
      <c r="F222" s="183"/>
      <c r="G222" s="184">
        <v>1</v>
      </c>
      <c r="H222" s="185">
        <v>0</v>
      </c>
      <c r="I222" s="186">
        <v>2287.1357450968098</v>
      </c>
      <c r="J222" s="187">
        <v>2287.1357450968098</v>
      </c>
      <c r="K222" s="182" t="s">
        <v>1305</v>
      </c>
      <c r="L222" s="182">
        <v>2</v>
      </c>
      <c r="M222" s="182" t="s">
        <v>1307</v>
      </c>
      <c r="N222" s="186">
        <v>11.5</v>
      </c>
      <c r="O222" s="188">
        <v>1</v>
      </c>
      <c r="P222" s="188" t="s">
        <v>573</v>
      </c>
      <c r="Q222" s="188">
        <v>0</v>
      </c>
      <c r="R222" s="189" t="s">
        <v>573</v>
      </c>
      <c r="S222" s="189" t="s">
        <v>573</v>
      </c>
    </row>
    <row r="223" spans="1:19" ht="15" customHeight="1" x14ac:dyDescent="0.3">
      <c r="A223" s="182" t="s">
        <v>1304</v>
      </c>
      <c r="B223" s="182" t="s">
        <v>563</v>
      </c>
      <c r="C223" s="182"/>
      <c r="D223" s="182" t="s">
        <v>955</v>
      </c>
      <c r="E223" s="183" t="s">
        <v>956</v>
      </c>
      <c r="F223" s="183"/>
      <c r="G223" s="184">
        <v>1</v>
      </c>
      <c r="H223" s="185">
        <v>0</v>
      </c>
      <c r="I223" s="186">
        <v>957.25319614994703</v>
      </c>
      <c r="J223" s="187">
        <v>957.25319614994703</v>
      </c>
      <c r="K223" s="182" t="s">
        <v>1305</v>
      </c>
      <c r="L223" s="182">
        <v>3</v>
      </c>
      <c r="M223" s="182" t="s">
        <v>1308</v>
      </c>
      <c r="N223" s="186">
        <v>11.5</v>
      </c>
      <c r="O223" s="188">
        <v>1</v>
      </c>
      <c r="P223" s="188" t="s">
        <v>573</v>
      </c>
      <c r="Q223" s="188">
        <v>0</v>
      </c>
      <c r="R223" s="189" t="s">
        <v>573</v>
      </c>
      <c r="S223" s="189" t="s">
        <v>573</v>
      </c>
    </row>
    <row r="224" spans="1:19" ht="15" customHeight="1" x14ac:dyDescent="0.3">
      <c r="A224" s="182" t="s">
        <v>1304</v>
      </c>
      <c r="B224" s="182" t="s">
        <v>908</v>
      </c>
      <c r="C224" s="182" t="s">
        <v>909</v>
      </c>
      <c r="D224" s="182" t="s">
        <v>958</v>
      </c>
      <c r="E224" s="183" t="s">
        <v>959</v>
      </c>
      <c r="F224" s="183" t="s">
        <v>600</v>
      </c>
      <c r="G224" s="184">
        <v>0.17</v>
      </c>
      <c r="H224" s="185">
        <v>0.1</v>
      </c>
      <c r="I224" s="186">
        <v>3424.53</v>
      </c>
      <c r="J224" s="187">
        <v>640.38711000000001</v>
      </c>
      <c r="K224" s="182" t="s">
        <v>1309</v>
      </c>
      <c r="L224" s="182">
        <v>1</v>
      </c>
      <c r="M224" s="182" t="s">
        <v>1310</v>
      </c>
      <c r="N224" s="186">
        <v>11.5</v>
      </c>
      <c r="O224" s="188">
        <v>0.17</v>
      </c>
      <c r="P224" s="188" t="s">
        <v>573</v>
      </c>
      <c r="Q224" s="188">
        <v>0</v>
      </c>
      <c r="R224" s="189" t="s">
        <v>573</v>
      </c>
      <c r="S224" s="189" t="s">
        <v>573</v>
      </c>
    </row>
    <row r="225" spans="1:19" ht="15" customHeight="1" x14ac:dyDescent="0.3">
      <c r="A225" s="182" t="s">
        <v>1304</v>
      </c>
      <c r="B225" s="182" t="s">
        <v>908</v>
      </c>
      <c r="C225" s="182" t="s">
        <v>909</v>
      </c>
      <c r="D225" s="182" t="s">
        <v>962</v>
      </c>
      <c r="E225" s="183" t="s">
        <v>963</v>
      </c>
      <c r="F225" s="183" t="s">
        <v>590</v>
      </c>
      <c r="G225" s="184">
        <v>1.2E-2</v>
      </c>
      <c r="H225" s="185">
        <v>0.1</v>
      </c>
      <c r="I225" s="186">
        <v>32399.77</v>
      </c>
      <c r="J225" s="187">
        <v>427.676964</v>
      </c>
      <c r="K225" s="182" t="s">
        <v>1309</v>
      </c>
      <c r="L225" s="182">
        <v>2</v>
      </c>
      <c r="M225" s="182" t="s">
        <v>1311</v>
      </c>
      <c r="N225" s="186">
        <v>11.5</v>
      </c>
      <c r="O225" s="188">
        <v>1.2E-2</v>
      </c>
      <c r="P225" s="188" t="s">
        <v>573</v>
      </c>
      <c r="Q225" s="188">
        <v>0</v>
      </c>
      <c r="R225" s="189" t="s">
        <v>573</v>
      </c>
      <c r="S225" s="189" t="s">
        <v>573</v>
      </c>
    </row>
    <row r="226" spans="1:19" ht="15" customHeight="1" x14ac:dyDescent="0.3">
      <c r="A226" s="182" t="s">
        <v>1304</v>
      </c>
      <c r="B226" s="182" t="s">
        <v>908</v>
      </c>
      <c r="C226" s="182" t="s">
        <v>909</v>
      </c>
      <c r="D226" s="182" t="s">
        <v>965</v>
      </c>
      <c r="E226" s="183" t="s">
        <v>966</v>
      </c>
      <c r="F226" s="183" t="s">
        <v>967</v>
      </c>
      <c r="G226" s="184">
        <v>5.1999999999999998E-2</v>
      </c>
      <c r="H226" s="185">
        <v>0.1</v>
      </c>
      <c r="I226" s="186">
        <v>7809.48</v>
      </c>
      <c r="J226" s="187">
        <v>446.70225599999998</v>
      </c>
      <c r="K226" s="182" t="s">
        <v>1309</v>
      </c>
      <c r="L226" s="182">
        <v>3</v>
      </c>
      <c r="M226" s="182" t="s">
        <v>1312</v>
      </c>
      <c r="N226" s="186">
        <v>11.5</v>
      </c>
      <c r="O226" s="188">
        <v>5.1999999999999998E-2</v>
      </c>
      <c r="P226" s="188" t="s">
        <v>573</v>
      </c>
      <c r="Q226" s="188">
        <v>0</v>
      </c>
      <c r="R226" s="189" t="s">
        <v>573</v>
      </c>
      <c r="S226" s="189" t="s">
        <v>573</v>
      </c>
    </row>
    <row r="227" spans="1:19" ht="15" customHeight="1" x14ac:dyDescent="0.3">
      <c r="A227" s="182" t="s">
        <v>1304</v>
      </c>
      <c r="B227" s="182" t="s">
        <v>908</v>
      </c>
      <c r="C227" s="182" t="s">
        <v>909</v>
      </c>
      <c r="D227" s="182" t="s">
        <v>969</v>
      </c>
      <c r="E227" s="183" t="s">
        <v>970</v>
      </c>
      <c r="F227" s="183" t="s">
        <v>971</v>
      </c>
      <c r="G227" s="184">
        <v>0.1</v>
      </c>
      <c r="H227" s="185">
        <v>0.1</v>
      </c>
      <c r="I227" s="186">
        <v>3837.96</v>
      </c>
      <c r="J227" s="187">
        <v>422.17559999999997</v>
      </c>
      <c r="K227" s="182" t="s">
        <v>1309</v>
      </c>
      <c r="L227" s="182">
        <v>4</v>
      </c>
      <c r="M227" s="182" t="s">
        <v>1313</v>
      </c>
      <c r="N227" s="186">
        <v>11.5</v>
      </c>
      <c r="O227" s="188">
        <v>0.1</v>
      </c>
      <c r="P227" s="188" t="s">
        <v>573</v>
      </c>
      <c r="Q227" s="188">
        <v>0</v>
      </c>
      <c r="R227" s="189" t="s">
        <v>573</v>
      </c>
      <c r="S227" s="189" t="s">
        <v>573</v>
      </c>
    </row>
    <row r="228" spans="1:19" ht="15" customHeight="1" x14ac:dyDescent="0.3">
      <c r="A228" s="182" t="s">
        <v>1304</v>
      </c>
      <c r="B228" s="182" t="s">
        <v>908</v>
      </c>
      <c r="C228" s="182" t="s">
        <v>909</v>
      </c>
      <c r="D228" s="182" t="s">
        <v>1314</v>
      </c>
      <c r="E228" s="183" t="s">
        <v>1315</v>
      </c>
      <c r="F228" s="183" t="s">
        <v>600</v>
      </c>
      <c r="G228" s="184">
        <v>12.5</v>
      </c>
      <c r="H228" s="185">
        <v>0.05</v>
      </c>
      <c r="I228" s="186">
        <v>682.52</v>
      </c>
      <c r="J228" s="187">
        <v>8958.0750000000007</v>
      </c>
      <c r="K228" s="182" t="s">
        <v>1309</v>
      </c>
      <c r="L228" s="182">
        <v>5</v>
      </c>
      <c r="M228" s="182" t="s">
        <v>1316</v>
      </c>
      <c r="N228" s="186">
        <v>11.5</v>
      </c>
      <c r="O228" s="188">
        <v>12.5</v>
      </c>
      <c r="P228" s="188" t="s">
        <v>573</v>
      </c>
      <c r="Q228" s="188">
        <v>0</v>
      </c>
      <c r="R228" s="189" t="s">
        <v>573</v>
      </c>
      <c r="S228" s="189" t="s">
        <v>573</v>
      </c>
    </row>
    <row r="229" spans="1:19" ht="15" customHeight="1" x14ac:dyDescent="0.3">
      <c r="A229" s="182" t="s">
        <v>1304</v>
      </c>
      <c r="B229" s="182" t="s">
        <v>908</v>
      </c>
      <c r="C229" s="182" t="s">
        <v>909</v>
      </c>
      <c r="D229" s="182" t="s">
        <v>976</v>
      </c>
      <c r="E229" s="183" t="s">
        <v>977</v>
      </c>
      <c r="F229" s="183" t="s">
        <v>576</v>
      </c>
      <c r="G229" s="184">
        <v>1.1221867400000001</v>
      </c>
      <c r="H229" s="185">
        <v>0</v>
      </c>
      <c r="I229" s="186">
        <v>1</v>
      </c>
      <c r="J229" s="187">
        <v>1.1221867400000001</v>
      </c>
      <c r="K229" s="182" t="s">
        <v>1309</v>
      </c>
      <c r="L229" s="182">
        <v>6</v>
      </c>
      <c r="M229" s="182" t="s">
        <v>1317</v>
      </c>
      <c r="N229" s="186">
        <v>11.5</v>
      </c>
      <c r="O229" s="188">
        <v>1.1221867400000001</v>
      </c>
      <c r="P229" s="188" t="s">
        <v>573</v>
      </c>
      <c r="Q229" s="188">
        <v>0</v>
      </c>
      <c r="R229" s="189" t="s">
        <v>573</v>
      </c>
      <c r="S229" s="189" t="s">
        <v>573</v>
      </c>
    </row>
    <row r="230" spans="1:19" ht="15" customHeight="1" x14ac:dyDescent="0.3">
      <c r="A230" s="182" t="s">
        <v>1304</v>
      </c>
      <c r="B230" s="182" t="s">
        <v>937</v>
      </c>
      <c r="C230" s="182" t="s">
        <v>938</v>
      </c>
      <c r="D230" s="190" t="s">
        <v>939</v>
      </c>
      <c r="E230" s="183" t="s">
        <v>940</v>
      </c>
      <c r="F230" s="183" t="s">
        <v>941</v>
      </c>
      <c r="G230" s="184">
        <v>0.75</v>
      </c>
      <c r="H230" s="185">
        <v>0</v>
      </c>
      <c r="I230" s="186">
        <v>60860.580776572002</v>
      </c>
      <c r="J230" s="187">
        <v>45645.435582429003</v>
      </c>
      <c r="K230" s="182" t="s">
        <v>1318</v>
      </c>
      <c r="L230" s="182">
        <v>1</v>
      </c>
      <c r="M230" s="182" t="s">
        <v>1319</v>
      </c>
      <c r="N230" s="186">
        <v>11.5</v>
      </c>
      <c r="O230" s="188">
        <v>6.5217391304347797E-2</v>
      </c>
      <c r="P230" s="188" t="s">
        <v>573</v>
      </c>
      <c r="Q230" s="188">
        <v>0</v>
      </c>
      <c r="R230" s="189" t="s">
        <v>573</v>
      </c>
      <c r="S230" s="189" t="s">
        <v>573</v>
      </c>
    </row>
    <row r="231" spans="1:19" ht="15" customHeight="1" x14ac:dyDescent="0.3">
      <c r="A231" s="182" t="s">
        <v>1304</v>
      </c>
      <c r="B231" s="182" t="s">
        <v>937</v>
      </c>
      <c r="C231" s="182" t="s">
        <v>938</v>
      </c>
      <c r="D231" s="190" t="s">
        <v>944</v>
      </c>
      <c r="E231" s="183" t="s">
        <v>945</v>
      </c>
      <c r="F231" s="183" t="s">
        <v>941</v>
      </c>
      <c r="G231" s="184">
        <v>1</v>
      </c>
      <c r="H231" s="185">
        <v>0</v>
      </c>
      <c r="I231" s="186">
        <v>85927.097156571996</v>
      </c>
      <c r="J231" s="187">
        <v>85927.097156571996</v>
      </c>
      <c r="K231" s="182" t="s">
        <v>1318</v>
      </c>
      <c r="L231" s="182">
        <v>2</v>
      </c>
      <c r="M231" s="182" t="s">
        <v>1320</v>
      </c>
      <c r="N231" s="186">
        <v>11.5</v>
      </c>
      <c r="O231" s="188">
        <v>8.6956521739130405E-2</v>
      </c>
      <c r="P231" s="188" t="s">
        <v>573</v>
      </c>
      <c r="Q231" s="188">
        <v>0</v>
      </c>
      <c r="R231" s="189" t="s">
        <v>573</v>
      </c>
      <c r="S231" s="189" t="s">
        <v>573</v>
      </c>
    </row>
    <row r="232" spans="1:19" ht="15" customHeight="1" x14ac:dyDescent="0.3">
      <c r="A232" s="182" t="s">
        <v>1321</v>
      </c>
      <c r="B232" s="182" t="s">
        <v>563</v>
      </c>
      <c r="C232" s="182"/>
      <c r="D232" s="182" t="s">
        <v>948</v>
      </c>
      <c r="E232" s="183" t="s">
        <v>949</v>
      </c>
      <c r="F232" s="183"/>
      <c r="G232" s="184">
        <v>0.5</v>
      </c>
      <c r="H232" s="185">
        <v>0</v>
      </c>
      <c r="I232" s="186">
        <v>571.17949098076099</v>
      </c>
      <c r="J232" s="187">
        <v>285.58974549038101</v>
      </c>
      <c r="K232" s="182" t="s">
        <v>1322</v>
      </c>
      <c r="L232" s="182">
        <v>1</v>
      </c>
      <c r="M232" s="182" t="s">
        <v>1323</v>
      </c>
      <c r="N232" s="186">
        <v>11.5</v>
      </c>
      <c r="O232" s="188">
        <v>0.5</v>
      </c>
      <c r="P232" s="188" t="s">
        <v>573</v>
      </c>
      <c r="Q232" s="188">
        <v>0</v>
      </c>
      <c r="R232" s="189" t="s">
        <v>573</v>
      </c>
      <c r="S232" s="189" t="s">
        <v>573</v>
      </c>
    </row>
    <row r="233" spans="1:19" ht="15" customHeight="1" x14ac:dyDescent="0.3">
      <c r="A233" s="182" t="s">
        <v>1321</v>
      </c>
      <c r="B233" s="182" t="s">
        <v>563</v>
      </c>
      <c r="C233" s="182"/>
      <c r="D233" s="182" t="s">
        <v>952</v>
      </c>
      <c r="E233" s="183" t="s">
        <v>953</v>
      </c>
      <c r="F233" s="183"/>
      <c r="G233" s="184">
        <v>1</v>
      </c>
      <c r="H233" s="185">
        <v>0</v>
      </c>
      <c r="I233" s="186">
        <v>2287.1357450968098</v>
      </c>
      <c r="J233" s="187">
        <v>2287.1357450968098</v>
      </c>
      <c r="K233" s="182" t="s">
        <v>1322</v>
      </c>
      <c r="L233" s="182">
        <v>2</v>
      </c>
      <c r="M233" s="182" t="s">
        <v>1324</v>
      </c>
      <c r="N233" s="186">
        <v>11.5</v>
      </c>
      <c r="O233" s="188">
        <v>1</v>
      </c>
      <c r="P233" s="188" t="s">
        <v>573</v>
      </c>
      <c r="Q233" s="188">
        <v>0</v>
      </c>
      <c r="R233" s="189" t="s">
        <v>573</v>
      </c>
      <c r="S233" s="189" t="s">
        <v>573</v>
      </c>
    </row>
    <row r="234" spans="1:19" ht="15" customHeight="1" x14ac:dyDescent="0.3">
      <c r="A234" s="182" t="s">
        <v>1321</v>
      </c>
      <c r="B234" s="182" t="s">
        <v>563</v>
      </c>
      <c r="C234" s="182"/>
      <c r="D234" s="182" t="s">
        <v>955</v>
      </c>
      <c r="E234" s="183" t="s">
        <v>956</v>
      </c>
      <c r="F234" s="183"/>
      <c r="G234" s="184">
        <v>1</v>
      </c>
      <c r="H234" s="185">
        <v>0</v>
      </c>
      <c r="I234" s="186">
        <v>957.25319614994703</v>
      </c>
      <c r="J234" s="187">
        <v>957.25319614994703</v>
      </c>
      <c r="K234" s="182" t="s">
        <v>1322</v>
      </c>
      <c r="L234" s="182">
        <v>3</v>
      </c>
      <c r="M234" s="182" t="s">
        <v>1325</v>
      </c>
      <c r="N234" s="186">
        <v>11.5</v>
      </c>
      <c r="O234" s="188">
        <v>1</v>
      </c>
      <c r="P234" s="188" t="s">
        <v>573</v>
      </c>
      <c r="Q234" s="188">
        <v>0</v>
      </c>
      <c r="R234" s="189" t="s">
        <v>573</v>
      </c>
      <c r="S234" s="189" t="s">
        <v>573</v>
      </c>
    </row>
    <row r="235" spans="1:19" ht="15" customHeight="1" x14ac:dyDescent="0.3">
      <c r="A235" s="182" t="s">
        <v>1321</v>
      </c>
      <c r="B235" s="182" t="s">
        <v>908</v>
      </c>
      <c r="C235" s="182" t="s">
        <v>909</v>
      </c>
      <c r="D235" s="182" t="s">
        <v>958</v>
      </c>
      <c r="E235" s="183" t="s">
        <v>959</v>
      </c>
      <c r="F235" s="183" t="s">
        <v>600</v>
      </c>
      <c r="G235" s="184">
        <v>0.17</v>
      </c>
      <c r="H235" s="185">
        <v>0.1</v>
      </c>
      <c r="I235" s="186">
        <v>3424.53</v>
      </c>
      <c r="J235" s="187">
        <v>640.38711000000001</v>
      </c>
      <c r="K235" s="182" t="s">
        <v>1326</v>
      </c>
      <c r="L235" s="182">
        <v>1</v>
      </c>
      <c r="M235" s="182" t="s">
        <v>1327</v>
      </c>
      <c r="N235" s="186">
        <v>11.5</v>
      </c>
      <c r="O235" s="188">
        <v>0.17</v>
      </c>
      <c r="P235" s="188" t="s">
        <v>573</v>
      </c>
      <c r="Q235" s="188">
        <v>0</v>
      </c>
      <c r="R235" s="189" t="s">
        <v>573</v>
      </c>
      <c r="S235" s="189" t="s">
        <v>573</v>
      </c>
    </row>
    <row r="236" spans="1:19" ht="15" customHeight="1" x14ac:dyDescent="0.3">
      <c r="A236" s="182" t="s">
        <v>1321</v>
      </c>
      <c r="B236" s="182" t="s">
        <v>908</v>
      </c>
      <c r="C236" s="182" t="s">
        <v>909</v>
      </c>
      <c r="D236" s="182" t="s">
        <v>962</v>
      </c>
      <c r="E236" s="183" t="s">
        <v>963</v>
      </c>
      <c r="F236" s="183" t="s">
        <v>590</v>
      </c>
      <c r="G236" s="184">
        <v>1.44E-2</v>
      </c>
      <c r="H236" s="185">
        <v>0.1</v>
      </c>
      <c r="I236" s="186">
        <v>32399.77</v>
      </c>
      <c r="J236" s="187">
        <v>513.21235679999995</v>
      </c>
      <c r="K236" s="182" t="s">
        <v>1326</v>
      </c>
      <c r="L236" s="182">
        <v>2</v>
      </c>
      <c r="M236" s="182" t="s">
        <v>1328</v>
      </c>
      <c r="N236" s="186">
        <v>11.5</v>
      </c>
      <c r="O236" s="188">
        <v>1.44E-2</v>
      </c>
      <c r="P236" s="188" t="s">
        <v>573</v>
      </c>
      <c r="Q236" s="188">
        <v>0</v>
      </c>
      <c r="R236" s="189" t="s">
        <v>573</v>
      </c>
      <c r="S236" s="189" t="s">
        <v>573</v>
      </c>
    </row>
    <row r="237" spans="1:19" ht="15" customHeight="1" x14ac:dyDescent="0.3">
      <c r="A237" s="182" t="s">
        <v>1321</v>
      </c>
      <c r="B237" s="182" t="s">
        <v>908</v>
      </c>
      <c r="C237" s="182" t="s">
        <v>909</v>
      </c>
      <c r="D237" s="182" t="s">
        <v>965</v>
      </c>
      <c r="E237" s="183" t="s">
        <v>966</v>
      </c>
      <c r="F237" s="183" t="s">
        <v>967</v>
      </c>
      <c r="G237" s="184">
        <v>6.2399999999999997E-2</v>
      </c>
      <c r="H237" s="185">
        <v>0.1</v>
      </c>
      <c r="I237" s="186">
        <v>7809.48</v>
      </c>
      <c r="J237" s="187">
        <v>536.0427072</v>
      </c>
      <c r="K237" s="182" t="s">
        <v>1326</v>
      </c>
      <c r="L237" s="182">
        <v>3</v>
      </c>
      <c r="M237" s="182" t="s">
        <v>1329</v>
      </c>
      <c r="N237" s="186">
        <v>11.5</v>
      </c>
      <c r="O237" s="188">
        <v>6.2399999999999997E-2</v>
      </c>
      <c r="P237" s="188" t="s">
        <v>573</v>
      </c>
      <c r="Q237" s="188">
        <v>0</v>
      </c>
      <c r="R237" s="189" t="s">
        <v>573</v>
      </c>
      <c r="S237" s="189" t="s">
        <v>573</v>
      </c>
    </row>
    <row r="238" spans="1:19" ht="15" customHeight="1" x14ac:dyDescent="0.3">
      <c r="A238" s="182" t="s">
        <v>1321</v>
      </c>
      <c r="B238" s="182" t="s">
        <v>908</v>
      </c>
      <c r="C238" s="182" t="s">
        <v>909</v>
      </c>
      <c r="D238" s="182" t="s">
        <v>969</v>
      </c>
      <c r="E238" s="183" t="s">
        <v>970</v>
      </c>
      <c r="F238" s="183" t="s">
        <v>971</v>
      </c>
      <c r="G238" s="184">
        <v>0.12</v>
      </c>
      <c r="H238" s="185">
        <v>0.1</v>
      </c>
      <c r="I238" s="186">
        <v>3837.96</v>
      </c>
      <c r="J238" s="187">
        <v>506.61072000000001</v>
      </c>
      <c r="K238" s="182" t="s">
        <v>1326</v>
      </c>
      <c r="L238" s="182">
        <v>4</v>
      </c>
      <c r="M238" s="182" t="s">
        <v>1330</v>
      </c>
      <c r="N238" s="186">
        <v>11.5</v>
      </c>
      <c r="O238" s="188">
        <v>0.12</v>
      </c>
      <c r="P238" s="188" t="s">
        <v>573</v>
      </c>
      <c r="Q238" s="188">
        <v>0</v>
      </c>
      <c r="R238" s="189" t="s">
        <v>573</v>
      </c>
      <c r="S238" s="189" t="s">
        <v>573</v>
      </c>
    </row>
    <row r="239" spans="1:19" ht="15" customHeight="1" x14ac:dyDescent="0.3">
      <c r="A239" s="182" t="s">
        <v>1321</v>
      </c>
      <c r="B239" s="182" t="s">
        <v>908</v>
      </c>
      <c r="C239" s="182" t="s">
        <v>909</v>
      </c>
      <c r="D239" s="182" t="s">
        <v>1331</v>
      </c>
      <c r="E239" s="183" t="s">
        <v>1332</v>
      </c>
      <c r="F239" s="183" t="s">
        <v>600</v>
      </c>
      <c r="G239" s="184">
        <v>12.5</v>
      </c>
      <c r="H239" s="185">
        <v>0.05</v>
      </c>
      <c r="I239" s="186">
        <v>1016.6</v>
      </c>
      <c r="J239" s="187">
        <v>13342.875</v>
      </c>
      <c r="K239" s="182" t="s">
        <v>1326</v>
      </c>
      <c r="L239" s="182">
        <v>5</v>
      </c>
      <c r="M239" s="182" t="s">
        <v>1333</v>
      </c>
      <c r="N239" s="186">
        <v>11.5</v>
      </c>
      <c r="O239" s="188">
        <v>12.5</v>
      </c>
      <c r="P239" s="188" t="s">
        <v>573</v>
      </c>
      <c r="Q239" s="188">
        <v>0</v>
      </c>
      <c r="R239" s="189" t="s">
        <v>573</v>
      </c>
      <c r="S239" s="189" t="s">
        <v>573</v>
      </c>
    </row>
    <row r="240" spans="1:19" ht="15" customHeight="1" x14ac:dyDescent="0.3">
      <c r="A240" s="182" t="s">
        <v>1321</v>
      </c>
      <c r="B240" s="182" t="s">
        <v>908</v>
      </c>
      <c r="C240" s="182" t="s">
        <v>909</v>
      </c>
      <c r="D240" s="182" t="s">
        <v>976</v>
      </c>
      <c r="E240" s="183" t="s">
        <v>977</v>
      </c>
      <c r="F240" s="183" t="s">
        <v>576</v>
      </c>
      <c r="G240" s="184">
        <v>1.6005301700000001</v>
      </c>
      <c r="H240" s="185">
        <v>0</v>
      </c>
      <c r="I240" s="186">
        <v>1</v>
      </c>
      <c r="J240" s="187">
        <v>1.6005301700000001</v>
      </c>
      <c r="K240" s="182" t="s">
        <v>1326</v>
      </c>
      <c r="L240" s="182">
        <v>6</v>
      </c>
      <c r="M240" s="182" t="s">
        <v>1334</v>
      </c>
      <c r="N240" s="186">
        <v>11.5</v>
      </c>
      <c r="O240" s="188">
        <v>1.6005301700000001</v>
      </c>
      <c r="P240" s="188" t="s">
        <v>573</v>
      </c>
      <c r="Q240" s="188">
        <v>0</v>
      </c>
      <c r="R240" s="189" t="s">
        <v>573</v>
      </c>
      <c r="S240" s="189" t="s">
        <v>573</v>
      </c>
    </row>
    <row r="241" spans="1:19" ht="15" customHeight="1" x14ac:dyDescent="0.3">
      <c r="A241" s="182" t="s">
        <v>1321</v>
      </c>
      <c r="B241" s="182" t="s">
        <v>937</v>
      </c>
      <c r="C241" s="182" t="s">
        <v>938</v>
      </c>
      <c r="D241" s="190" t="s">
        <v>939</v>
      </c>
      <c r="E241" s="183" t="s">
        <v>940</v>
      </c>
      <c r="F241" s="183" t="s">
        <v>941</v>
      </c>
      <c r="G241" s="184">
        <v>0.75</v>
      </c>
      <c r="H241" s="185">
        <v>0</v>
      </c>
      <c r="I241" s="186">
        <v>60860.580776572002</v>
      </c>
      <c r="J241" s="187">
        <v>45645.435582429003</v>
      </c>
      <c r="K241" s="182" t="s">
        <v>1335</v>
      </c>
      <c r="L241" s="182">
        <v>1</v>
      </c>
      <c r="M241" s="182" t="s">
        <v>1336</v>
      </c>
      <c r="N241" s="186">
        <v>11.5</v>
      </c>
      <c r="O241" s="188">
        <v>6.5217391304347797E-2</v>
      </c>
      <c r="P241" s="188" t="s">
        <v>573</v>
      </c>
      <c r="Q241" s="188">
        <v>0</v>
      </c>
      <c r="R241" s="189" t="s">
        <v>573</v>
      </c>
      <c r="S241" s="189" t="s">
        <v>573</v>
      </c>
    </row>
    <row r="242" spans="1:19" ht="15" customHeight="1" x14ac:dyDescent="0.3">
      <c r="A242" s="182" t="s">
        <v>1321</v>
      </c>
      <c r="B242" s="182" t="s">
        <v>937</v>
      </c>
      <c r="C242" s="182" t="s">
        <v>938</v>
      </c>
      <c r="D242" s="190" t="s">
        <v>944</v>
      </c>
      <c r="E242" s="183" t="s">
        <v>945</v>
      </c>
      <c r="F242" s="183" t="s">
        <v>941</v>
      </c>
      <c r="G242" s="184">
        <v>1</v>
      </c>
      <c r="H242" s="185">
        <v>0</v>
      </c>
      <c r="I242" s="186">
        <v>85927.097156571996</v>
      </c>
      <c r="J242" s="187">
        <v>85927.097156571996</v>
      </c>
      <c r="K242" s="182" t="s">
        <v>1335</v>
      </c>
      <c r="L242" s="182">
        <v>2</v>
      </c>
      <c r="M242" s="182" t="s">
        <v>1337</v>
      </c>
      <c r="N242" s="186">
        <v>11.5</v>
      </c>
      <c r="O242" s="188">
        <v>8.6956521739130405E-2</v>
      </c>
      <c r="P242" s="188" t="s">
        <v>573</v>
      </c>
      <c r="Q242" s="188">
        <v>0</v>
      </c>
      <c r="R242" s="189" t="s">
        <v>573</v>
      </c>
      <c r="S242" s="189" t="s">
        <v>573</v>
      </c>
    </row>
    <row r="243" spans="1:19" ht="15" customHeight="1" x14ac:dyDescent="0.3">
      <c r="A243" s="182" t="s">
        <v>1338</v>
      </c>
      <c r="B243" s="182" t="s">
        <v>563</v>
      </c>
      <c r="C243" s="182"/>
      <c r="D243" s="182" t="s">
        <v>952</v>
      </c>
      <c r="E243" s="183" t="s">
        <v>953</v>
      </c>
      <c r="F243" s="183"/>
      <c r="G243" s="184">
        <v>1</v>
      </c>
      <c r="H243" s="185">
        <v>0</v>
      </c>
      <c r="I243" s="186">
        <v>2287.1357450968098</v>
      </c>
      <c r="J243" s="187">
        <v>2287.1357450968098</v>
      </c>
      <c r="K243" s="182" t="s">
        <v>1339</v>
      </c>
      <c r="L243" s="182">
        <v>1</v>
      </c>
      <c r="M243" s="182" t="s">
        <v>1340</v>
      </c>
      <c r="N243" s="186">
        <v>14.5</v>
      </c>
      <c r="O243" s="188">
        <v>1</v>
      </c>
      <c r="P243" s="188">
        <v>442</v>
      </c>
      <c r="Q243" s="188">
        <v>442</v>
      </c>
      <c r="R243" s="189">
        <v>8.07</v>
      </c>
      <c r="S243" s="189" t="s">
        <v>985</v>
      </c>
    </row>
    <row r="244" spans="1:19" ht="15" customHeight="1" x14ac:dyDescent="0.3">
      <c r="A244" s="182" t="s">
        <v>1338</v>
      </c>
      <c r="B244" s="182" t="s">
        <v>563</v>
      </c>
      <c r="C244" s="182"/>
      <c r="D244" s="182" t="s">
        <v>955</v>
      </c>
      <c r="E244" s="183" t="s">
        <v>956</v>
      </c>
      <c r="F244" s="183"/>
      <c r="G244" s="184">
        <v>1</v>
      </c>
      <c r="H244" s="185">
        <v>0</v>
      </c>
      <c r="I244" s="186">
        <v>957.25319614994703</v>
      </c>
      <c r="J244" s="187">
        <v>957.25319614994703</v>
      </c>
      <c r="K244" s="182" t="s">
        <v>1339</v>
      </c>
      <c r="L244" s="182">
        <v>2</v>
      </c>
      <c r="M244" s="182" t="s">
        <v>1341</v>
      </c>
      <c r="N244" s="186">
        <v>14.5</v>
      </c>
      <c r="O244" s="188">
        <v>1</v>
      </c>
      <c r="P244" s="188">
        <v>442</v>
      </c>
      <c r="Q244" s="188">
        <v>442</v>
      </c>
      <c r="R244" s="189">
        <v>8.07</v>
      </c>
      <c r="S244" s="189" t="s">
        <v>985</v>
      </c>
    </row>
    <row r="245" spans="1:19" ht="15" customHeight="1" x14ac:dyDescent="0.3">
      <c r="A245" s="182" t="s">
        <v>1338</v>
      </c>
      <c r="B245" s="182" t="s">
        <v>908</v>
      </c>
      <c r="C245" s="182" t="s">
        <v>909</v>
      </c>
      <c r="D245" s="182" t="s">
        <v>962</v>
      </c>
      <c r="E245" s="183" t="s">
        <v>963</v>
      </c>
      <c r="F245" s="183" t="s">
        <v>590</v>
      </c>
      <c r="G245" s="184">
        <v>0.03</v>
      </c>
      <c r="H245" s="185">
        <v>0.1</v>
      </c>
      <c r="I245" s="186">
        <v>32399.77</v>
      </c>
      <c r="J245" s="187">
        <v>1069.1924100000001</v>
      </c>
      <c r="K245" s="182" t="s">
        <v>1342</v>
      </c>
      <c r="L245" s="182">
        <v>1</v>
      </c>
      <c r="M245" s="182" t="s">
        <v>1343</v>
      </c>
      <c r="N245" s="186">
        <v>14.5</v>
      </c>
      <c r="O245" s="188">
        <v>0.03</v>
      </c>
      <c r="P245" s="188">
        <v>442</v>
      </c>
      <c r="Q245" s="188">
        <v>13.26</v>
      </c>
      <c r="R245" s="189">
        <v>8.07</v>
      </c>
      <c r="S245" s="189" t="s">
        <v>985</v>
      </c>
    </row>
    <row r="246" spans="1:19" ht="15" customHeight="1" x14ac:dyDescent="0.3">
      <c r="A246" s="182" t="s">
        <v>1338</v>
      </c>
      <c r="B246" s="182" t="s">
        <v>908</v>
      </c>
      <c r="C246" s="182" t="s">
        <v>909</v>
      </c>
      <c r="D246" s="182" t="s">
        <v>965</v>
      </c>
      <c r="E246" s="183" t="s">
        <v>966</v>
      </c>
      <c r="F246" s="183" t="s">
        <v>967</v>
      </c>
      <c r="G246" s="184">
        <v>7.0000000000000007E-2</v>
      </c>
      <c r="H246" s="185">
        <v>0.1</v>
      </c>
      <c r="I246" s="186">
        <v>7809.48</v>
      </c>
      <c r="J246" s="187">
        <v>601.32996000000003</v>
      </c>
      <c r="K246" s="182" t="s">
        <v>1342</v>
      </c>
      <c r="L246" s="182">
        <v>2</v>
      </c>
      <c r="M246" s="182" t="s">
        <v>1344</v>
      </c>
      <c r="N246" s="186">
        <v>14.5</v>
      </c>
      <c r="O246" s="188">
        <v>7.0000000000000007E-2</v>
      </c>
      <c r="P246" s="188">
        <v>442</v>
      </c>
      <c r="Q246" s="188">
        <v>30.94</v>
      </c>
      <c r="R246" s="189">
        <v>8.07</v>
      </c>
      <c r="S246" s="189" t="s">
        <v>985</v>
      </c>
    </row>
    <row r="247" spans="1:19" ht="15" customHeight="1" x14ac:dyDescent="0.3">
      <c r="A247" s="182" t="s">
        <v>1338</v>
      </c>
      <c r="B247" s="182" t="s">
        <v>908</v>
      </c>
      <c r="C247" s="182" t="s">
        <v>909</v>
      </c>
      <c r="D247" s="182" t="s">
        <v>969</v>
      </c>
      <c r="E247" s="183" t="s">
        <v>970</v>
      </c>
      <c r="F247" s="183" t="s">
        <v>971</v>
      </c>
      <c r="G247" s="184">
        <v>0.248</v>
      </c>
      <c r="H247" s="185">
        <v>0.1</v>
      </c>
      <c r="I247" s="186">
        <v>3837.96</v>
      </c>
      <c r="J247" s="187">
        <v>1046.995488</v>
      </c>
      <c r="K247" s="182" t="s">
        <v>1342</v>
      </c>
      <c r="L247" s="182">
        <v>3</v>
      </c>
      <c r="M247" s="182" t="s">
        <v>1345</v>
      </c>
      <c r="N247" s="186">
        <v>14.5</v>
      </c>
      <c r="O247" s="188">
        <v>0.248</v>
      </c>
      <c r="P247" s="188">
        <v>442</v>
      </c>
      <c r="Q247" s="188">
        <v>109.616</v>
      </c>
      <c r="R247" s="189">
        <v>8.07</v>
      </c>
      <c r="S247" s="189" t="s">
        <v>985</v>
      </c>
    </row>
    <row r="248" spans="1:19" ht="15" customHeight="1" x14ac:dyDescent="0.3">
      <c r="A248" s="182" t="s">
        <v>1338</v>
      </c>
      <c r="B248" s="182" t="s">
        <v>937</v>
      </c>
      <c r="C248" s="182" t="s">
        <v>938</v>
      </c>
      <c r="D248" s="190" t="s">
        <v>939</v>
      </c>
      <c r="E248" s="183" t="s">
        <v>940</v>
      </c>
      <c r="F248" s="183" t="s">
        <v>941</v>
      </c>
      <c r="G248" s="184">
        <v>0.45</v>
      </c>
      <c r="H248" s="185">
        <v>0</v>
      </c>
      <c r="I248" s="186">
        <v>60860.580776572002</v>
      </c>
      <c r="J248" s="187">
        <v>27387.2613494574</v>
      </c>
      <c r="K248" s="182" t="s">
        <v>1346</v>
      </c>
      <c r="L248" s="182">
        <v>1</v>
      </c>
      <c r="M248" s="182" t="s">
        <v>1347</v>
      </c>
      <c r="N248" s="186">
        <v>14.5</v>
      </c>
      <c r="O248" s="188">
        <v>3.10344827586207E-2</v>
      </c>
      <c r="P248" s="188">
        <v>442</v>
      </c>
      <c r="Q248" s="188">
        <v>13.7172413793103</v>
      </c>
      <c r="R248" s="189">
        <v>8.07</v>
      </c>
      <c r="S248" s="189" t="s">
        <v>985</v>
      </c>
    </row>
    <row r="249" spans="1:19" ht="15" customHeight="1" x14ac:dyDescent="0.3">
      <c r="A249" s="182" t="s">
        <v>1338</v>
      </c>
      <c r="B249" s="182" t="s">
        <v>937</v>
      </c>
      <c r="C249" s="182" t="s">
        <v>938</v>
      </c>
      <c r="D249" s="190" t="s">
        <v>944</v>
      </c>
      <c r="E249" s="183" t="s">
        <v>945</v>
      </c>
      <c r="F249" s="183" t="s">
        <v>941</v>
      </c>
      <c r="G249" s="184">
        <v>1</v>
      </c>
      <c r="H249" s="185">
        <v>0</v>
      </c>
      <c r="I249" s="186">
        <v>85927.097156571996</v>
      </c>
      <c r="J249" s="187">
        <v>85927.097156571996</v>
      </c>
      <c r="K249" s="182" t="s">
        <v>1346</v>
      </c>
      <c r="L249" s="182">
        <v>2</v>
      </c>
      <c r="M249" s="182" t="s">
        <v>1348</v>
      </c>
      <c r="N249" s="186">
        <v>14.5</v>
      </c>
      <c r="O249" s="188">
        <v>6.8965517241379296E-2</v>
      </c>
      <c r="P249" s="188">
        <v>442</v>
      </c>
      <c r="Q249" s="188">
        <v>30.482758620689701</v>
      </c>
      <c r="R249" s="189">
        <v>8.07</v>
      </c>
      <c r="S249" s="189" t="s">
        <v>985</v>
      </c>
    </row>
    <row r="250" spans="1:19" ht="15" customHeight="1" x14ac:dyDescent="0.3">
      <c r="A250" s="182" t="s">
        <v>1349</v>
      </c>
      <c r="B250" s="182" t="s">
        <v>563</v>
      </c>
      <c r="C250" s="182"/>
      <c r="D250" s="182" t="s">
        <v>1350</v>
      </c>
      <c r="E250" s="183" t="s">
        <v>1351</v>
      </c>
      <c r="F250" s="183"/>
      <c r="G250" s="184">
        <v>1</v>
      </c>
      <c r="H250" s="185">
        <v>0</v>
      </c>
      <c r="I250" s="186">
        <v>298.42384358082802</v>
      </c>
      <c r="J250" s="187">
        <v>298.42384358082802</v>
      </c>
      <c r="K250" s="182" t="s">
        <v>1352</v>
      </c>
      <c r="L250" s="182">
        <v>1</v>
      </c>
      <c r="M250" s="182" t="s">
        <v>1353</v>
      </c>
      <c r="N250" s="186">
        <v>13</v>
      </c>
      <c r="O250" s="188">
        <v>1</v>
      </c>
      <c r="P250" s="188">
        <v>48</v>
      </c>
      <c r="Q250" s="188">
        <v>48</v>
      </c>
      <c r="R250" s="189">
        <v>11.03</v>
      </c>
      <c r="S250" s="189" t="s">
        <v>1354</v>
      </c>
    </row>
    <row r="251" spans="1:19" ht="15" customHeight="1" x14ac:dyDescent="0.3">
      <c r="A251" s="182" t="s">
        <v>1349</v>
      </c>
      <c r="B251" s="182" t="s">
        <v>563</v>
      </c>
      <c r="C251" s="182"/>
      <c r="D251" s="182" t="s">
        <v>1355</v>
      </c>
      <c r="E251" s="183" t="s">
        <v>1356</v>
      </c>
      <c r="F251" s="183"/>
      <c r="G251" s="184">
        <v>1</v>
      </c>
      <c r="H251" s="185">
        <v>0</v>
      </c>
      <c r="I251" s="186">
        <v>2637.14184448991</v>
      </c>
      <c r="J251" s="187">
        <v>2637.14184448991</v>
      </c>
      <c r="K251" s="182" t="s">
        <v>1352</v>
      </c>
      <c r="L251" s="182">
        <v>2</v>
      </c>
      <c r="M251" s="182" t="s">
        <v>1357</v>
      </c>
      <c r="N251" s="186">
        <v>13</v>
      </c>
      <c r="O251" s="188">
        <v>1</v>
      </c>
      <c r="P251" s="188">
        <v>48</v>
      </c>
      <c r="Q251" s="188">
        <v>48</v>
      </c>
      <c r="R251" s="189">
        <v>11.03</v>
      </c>
      <c r="S251" s="189" t="s">
        <v>1354</v>
      </c>
    </row>
    <row r="252" spans="1:19" ht="15" customHeight="1" x14ac:dyDescent="0.3">
      <c r="A252" s="182" t="s">
        <v>1349</v>
      </c>
      <c r="B252" s="182" t="s">
        <v>908</v>
      </c>
      <c r="C252" s="182" t="s">
        <v>1358</v>
      </c>
      <c r="D252" s="182" t="s">
        <v>1359</v>
      </c>
      <c r="E252" s="183" t="s">
        <v>1360</v>
      </c>
      <c r="F252" s="183" t="s">
        <v>971</v>
      </c>
      <c r="G252" s="184">
        <v>0.2</v>
      </c>
      <c r="H252" s="185">
        <v>0.2</v>
      </c>
      <c r="I252" s="186">
        <v>18802.511999999999</v>
      </c>
      <c r="J252" s="187">
        <v>4512.6028800000004</v>
      </c>
      <c r="K252" s="182" t="s">
        <v>1361</v>
      </c>
      <c r="L252" s="182">
        <v>1</v>
      </c>
      <c r="M252" s="182" t="s">
        <v>1362</v>
      </c>
      <c r="N252" s="186">
        <v>13</v>
      </c>
      <c r="O252" s="188">
        <v>0.2</v>
      </c>
      <c r="P252" s="188">
        <v>48</v>
      </c>
      <c r="Q252" s="188">
        <v>9.6</v>
      </c>
      <c r="R252" s="189">
        <v>11.03</v>
      </c>
      <c r="S252" s="189" t="s">
        <v>1354</v>
      </c>
    </row>
    <row r="253" spans="1:19" ht="15" customHeight="1" x14ac:dyDescent="0.3">
      <c r="A253" s="182" t="s">
        <v>1349</v>
      </c>
      <c r="B253" s="182" t="s">
        <v>908</v>
      </c>
      <c r="C253" s="182" t="s">
        <v>1358</v>
      </c>
      <c r="D253" s="182" t="s">
        <v>1363</v>
      </c>
      <c r="E253" s="183" t="s">
        <v>1364</v>
      </c>
      <c r="F253" s="183" t="s">
        <v>600</v>
      </c>
      <c r="G253" s="184">
        <v>0.2</v>
      </c>
      <c r="H253" s="185">
        <v>0.05</v>
      </c>
      <c r="I253" s="186">
        <v>3214.35</v>
      </c>
      <c r="J253" s="187">
        <v>675.01350000000002</v>
      </c>
      <c r="K253" s="182" t="s">
        <v>1361</v>
      </c>
      <c r="L253" s="182">
        <v>2</v>
      </c>
      <c r="M253" s="182" t="s">
        <v>1365</v>
      </c>
      <c r="N253" s="186">
        <v>13</v>
      </c>
      <c r="O253" s="188">
        <v>0.2</v>
      </c>
      <c r="P253" s="188">
        <v>48</v>
      </c>
      <c r="Q253" s="188">
        <v>9.6</v>
      </c>
      <c r="R253" s="189">
        <v>11.03</v>
      </c>
      <c r="S253" s="189" t="s">
        <v>1354</v>
      </c>
    </row>
    <row r="254" spans="1:19" ht="15" customHeight="1" x14ac:dyDescent="0.3">
      <c r="A254" s="182" t="s">
        <v>1349</v>
      </c>
      <c r="B254" s="182" t="s">
        <v>908</v>
      </c>
      <c r="C254" s="182" t="s">
        <v>1358</v>
      </c>
      <c r="D254" s="182" t="s">
        <v>915</v>
      </c>
      <c r="E254" s="183" t="s">
        <v>916</v>
      </c>
      <c r="F254" s="183" t="s">
        <v>600</v>
      </c>
      <c r="G254" s="184">
        <v>0.01</v>
      </c>
      <c r="H254" s="185">
        <v>0.03</v>
      </c>
      <c r="I254" s="186">
        <v>735.06</v>
      </c>
      <c r="J254" s="187">
        <v>7.5711180000000002</v>
      </c>
      <c r="K254" s="182" t="s">
        <v>1361</v>
      </c>
      <c r="L254" s="182">
        <v>3</v>
      </c>
      <c r="M254" s="182" t="s">
        <v>1366</v>
      </c>
      <c r="N254" s="186">
        <v>13</v>
      </c>
      <c r="O254" s="188">
        <v>0.01</v>
      </c>
      <c r="P254" s="188">
        <v>48</v>
      </c>
      <c r="Q254" s="188">
        <v>0.48</v>
      </c>
      <c r="R254" s="189">
        <v>11.03</v>
      </c>
      <c r="S254" s="189" t="s">
        <v>1354</v>
      </c>
    </row>
    <row r="255" spans="1:19" ht="15" customHeight="1" x14ac:dyDescent="0.3">
      <c r="A255" s="182" t="s">
        <v>1349</v>
      </c>
      <c r="B255" s="182" t="s">
        <v>908</v>
      </c>
      <c r="C255" s="182" t="s">
        <v>1358</v>
      </c>
      <c r="D255" s="182" t="s">
        <v>1367</v>
      </c>
      <c r="E255" s="183" t="s">
        <v>1368</v>
      </c>
      <c r="F255" s="183" t="s">
        <v>600</v>
      </c>
      <c r="G255" s="184">
        <v>4.0000000000000001E-3</v>
      </c>
      <c r="H255" s="185">
        <v>0.05</v>
      </c>
      <c r="I255" s="186">
        <v>20237</v>
      </c>
      <c r="J255" s="187">
        <v>84.995400000000004</v>
      </c>
      <c r="K255" s="182" t="s">
        <v>1361</v>
      </c>
      <c r="L255" s="182">
        <v>4</v>
      </c>
      <c r="M255" s="182" t="s">
        <v>1369</v>
      </c>
      <c r="N255" s="186">
        <v>13</v>
      </c>
      <c r="O255" s="188">
        <v>4.0000000000000001E-3</v>
      </c>
      <c r="P255" s="188">
        <v>48</v>
      </c>
      <c r="Q255" s="188">
        <v>0.192</v>
      </c>
      <c r="R255" s="189">
        <v>11.03</v>
      </c>
      <c r="S255" s="189" t="s">
        <v>1354</v>
      </c>
    </row>
    <row r="256" spans="1:19" ht="15" customHeight="1" x14ac:dyDescent="0.3">
      <c r="A256" s="182" t="s">
        <v>1349</v>
      </c>
      <c r="B256" s="182" t="s">
        <v>908</v>
      </c>
      <c r="C256" s="182" t="s">
        <v>1358</v>
      </c>
      <c r="D256" s="182" t="s">
        <v>1370</v>
      </c>
      <c r="E256" s="183" t="s">
        <v>1371</v>
      </c>
      <c r="F256" s="183" t="s">
        <v>912</v>
      </c>
      <c r="G256" s="184">
        <v>0.04</v>
      </c>
      <c r="H256" s="185">
        <v>0.05</v>
      </c>
      <c r="I256" s="186">
        <v>44669.4214876033</v>
      </c>
      <c r="J256" s="187">
        <v>1876.1157024793399</v>
      </c>
      <c r="K256" s="182" t="s">
        <v>1361</v>
      </c>
      <c r="L256" s="182">
        <v>5</v>
      </c>
      <c r="M256" s="182" t="s">
        <v>1372</v>
      </c>
      <c r="N256" s="186">
        <v>13</v>
      </c>
      <c r="O256" s="188">
        <v>0.04</v>
      </c>
      <c r="P256" s="188">
        <v>48</v>
      </c>
      <c r="Q256" s="188">
        <v>1.92</v>
      </c>
      <c r="R256" s="189">
        <v>11.03</v>
      </c>
      <c r="S256" s="189" t="s">
        <v>1354</v>
      </c>
    </row>
    <row r="257" spans="1:19" ht="15" customHeight="1" x14ac:dyDescent="0.3">
      <c r="A257" s="182" t="s">
        <v>1349</v>
      </c>
      <c r="B257" s="182" t="s">
        <v>937</v>
      </c>
      <c r="C257" s="182" t="s">
        <v>938</v>
      </c>
      <c r="D257" s="190" t="s">
        <v>1291</v>
      </c>
      <c r="E257" s="183" t="s">
        <v>1292</v>
      </c>
      <c r="F257" s="183" t="s">
        <v>941</v>
      </c>
      <c r="G257" s="184">
        <v>1</v>
      </c>
      <c r="H257" s="185">
        <v>0</v>
      </c>
      <c r="I257" s="186">
        <v>65493.071636572</v>
      </c>
      <c r="J257" s="187">
        <v>65493.071636572</v>
      </c>
      <c r="K257" s="182" t="s">
        <v>1373</v>
      </c>
      <c r="L257" s="182">
        <v>1</v>
      </c>
      <c r="M257" s="182" t="s">
        <v>1374</v>
      </c>
      <c r="N257" s="186">
        <v>13</v>
      </c>
      <c r="O257" s="188">
        <v>7.69230769230769E-2</v>
      </c>
      <c r="P257" s="188">
        <v>48</v>
      </c>
      <c r="Q257" s="188">
        <v>3.6923076923076898</v>
      </c>
      <c r="R257" s="189">
        <v>11.03</v>
      </c>
      <c r="S257" s="189" t="s">
        <v>1354</v>
      </c>
    </row>
    <row r="258" spans="1:19" ht="15" customHeight="1" x14ac:dyDescent="0.3">
      <c r="A258" s="182" t="s">
        <v>1349</v>
      </c>
      <c r="B258" s="182" t="s">
        <v>937</v>
      </c>
      <c r="C258" s="182" t="s">
        <v>938</v>
      </c>
      <c r="D258" s="190" t="s">
        <v>1375</v>
      </c>
      <c r="E258" s="183" t="s">
        <v>1376</v>
      </c>
      <c r="F258" s="183" t="s">
        <v>941</v>
      </c>
      <c r="G258" s="184">
        <v>1</v>
      </c>
      <c r="H258" s="185">
        <v>0</v>
      </c>
      <c r="I258" s="186">
        <v>76955.079706571996</v>
      </c>
      <c r="J258" s="187">
        <v>76955.079706571996</v>
      </c>
      <c r="K258" s="182" t="s">
        <v>1373</v>
      </c>
      <c r="L258" s="182">
        <v>2</v>
      </c>
      <c r="M258" s="182" t="s">
        <v>1377</v>
      </c>
      <c r="N258" s="186">
        <v>13</v>
      </c>
      <c r="O258" s="188">
        <v>7.69230769230769E-2</v>
      </c>
      <c r="P258" s="188">
        <v>48</v>
      </c>
      <c r="Q258" s="188">
        <v>3.6923076923076898</v>
      </c>
      <c r="R258" s="189">
        <v>11.03</v>
      </c>
      <c r="S258" s="189" t="s">
        <v>1354</v>
      </c>
    </row>
    <row r="259" spans="1:19" ht="15" customHeight="1" x14ac:dyDescent="0.3">
      <c r="A259" s="182" t="s">
        <v>1378</v>
      </c>
      <c r="B259" s="182" t="s">
        <v>563</v>
      </c>
      <c r="C259" s="182"/>
      <c r="D259" s="182" t="s">
        <v>1350</v>
      </c>
      <c r="E259" s="183" t="s">
        <v>1351</v>
      </c>
      <c r="F259" s="183"/>
      <c r="G259" s="184">
        <v>1</v>
      </c>
      <c r="H259" s="185">
        <v>0</v>
      </c>
      <c r="I259" s="186">
        <v>298.42384358082802</v>
      </c>
      <c r="J259" s="187">
        <v>298.42384358082802</v>
      </c>
      <c r="K259" s="182" t="s">
        <v>1379</v>
      </c>
      <c r="L259" s="182">
        <v>1</v>
      </c>
      <c r="M259" s="182" t="s">
        <v>1380</v>
      </c>
      <c r="N259" s="186">
        <v>10</v>
      </c>
      <c r="O259" s="188">
        <v>1</v>
      </c>
      <c r="P259" s="188">
        <v>73</v>
      </c>
      <c r="Q259" s="188">
        <v>73</v>
      </c>
      <c r="R259" s="189">
        <v>11.09</v>
      </c>
      <c r="S259" s="189" t="s">
        <v>1354</v>
      </c>
    </row>
    <row r="260" spans="1:19" ht="15" customHeight="1" x14ac:dyDescent="0.3">
      <c r="A260" s="182" t="s">
        <v>1378</v>
      </c>
      <c r="B260" s="182" t="s">
        <v>563</v>
      </c>
      <c r="C260" s="182"/>
      <c r="D260" s="182" t="s">
        <v>1355</v>
      </c>
      <c r="E260" s="183" t="s">
        <v>1356</v>
      </c>
      <c r="F260" s="183"/>
      <c r="G260" s="184">
        <v>1</v>
      </c>
      <c r="H260" s="185">
        <v>0</v>
      </c>
      <c r="I260" s="186">
        <v>2637.14184448991</v>
      </c>
      <c r="J260" s="187">
        <v>2637.14184448991</v>
      </c>
      <c r="K260" s="182" t="s">
        <v>1379</v>
      </c>
      <c r="L260" s="182">
        <v>2</v>
      </c>
      <c r="M260" s="182" t="s">
        <v>1381</v>
      </c>
      <c r="N260" s="186">
        <v>10</v>
      </c>
      <c r="O260" s="188">
        <v>1</v>
      </c>
      <c r="P260" s="188">
        <v>73</v>
      </c>
      <c r="Q260" s="188">
        <v>73</v>
      </c>
      <c r="R260" s="189">
        <v>11.09</v>
      </c>
      <c r="S260" s="189" t="s">
        <v>1354</v>
      </c>
    </row>
    <row r="261" spans="1:19" ht="15" customHeight="1" x14ac:dyDescent="0.3">
      <c r="A261" s="182" t="s">
        <v>1378</v>
      </c>
      <c r="B261" s="182" t="s">
        <v>908</v>
      </c>
      <c r="C261" s="182" t="s">
        <v>1358</v>
      </c>
      <c r="D261" s="182" t="s">
        <v>1359</v>
      </c>
      <c r="E261" s="183" t="s">
        <v>1360</v>
      </c>
      <c r="F261" s="183" t="s">
        <v>971</v>
      </c>
      <c r="G261" s="184">
        <v>0.2</v>
      </c>
      <c r="H261" s="185">
        <v>0.2</v>
      </c>
      <c r="I261" s="186">
        <v>18802.511999999999</v>
      </c>
      <c r="J261" s="187">
        <v>4512.6028800000004</v>
      </c>
      <c r="K261" s="182" t="s">
        <v>1382</v>
      </c>
      <c r="L261" s="182">
        <v>1</v>
      </c>
      <c r="M261" s="182" t="s">
        <v>1383</v>
      </c>
      <c r="N261" s="186">
        <v>10</v>
      </c>
      <c r="O261" s="188">
        <v>0.2</v>
      </c>
      <c r="P261" s="188">
        <v>73</v>
      </c>
      <c r="Q261" s="188">
        <v>14.6</v>
      </c>
      <c r="R261" s="189">
        <v>11.09</v>
      </c>
      <c r="S261" s="189" t="s">
        <v>1354</v>
      </c>
    </row>
    <row r="262" spans="1:19" ht="15" customHeight="1" x14ac:dyDescent="0.3">
      <c r="A262" s="182" t="s">
        <v>1378</v>
      </c>
      <c r="B262" s="182" t="s">
        <v>908</v>
      </c>
      <c r="C262" s="182" t="s">
        <v>1358</v>
      </c>
      <c r="D262" s="182" t="s">
        <v>1363</v>
      </c>
      <c r="E262" s="183" t="s">
        <v>1364</v>
      </c>
      <c r="F262" s="183" t="s">
        <v>600</v>
      </c>
      <c r="G262" s="184">
        <v>0.2</v>
      </c>
      <c r="H262" s="185">
        <v>0.05</v>
      </c>
      <c r="I262" s="186">
        <v>3214.35</v>
      </c>
      <c r="J262" s="187">
        <v>675.01350000000002</v>
      </c>
      <c r="K262" s="182" t="s">
        <v>1382</v>
      </c>
      <c r="L262" s="182">
        <v>2</v>
      </c>
      <c r="M262" s="182" t="s">
        <v>1384</v>
      </c>
      <c r="N262" s="186">
        <v>10</v>
      </c>
      <c r="O262" s="188">
        <v>0.2</v>
      </c>
      <c r="P262" s="188">
        <v>73</v>
      </c>
      <c r="Q262" s="188">
        <v>14.6</v>
      </c>
      <c r="R262" s="189">
        <v>11.09</v>
      </c>
      <c r="S262" s="189" t="s">
        <v>1354</v>
      </c>
    </row>
    <row r="263" spans="1:19" ht="15" customHeight="1" x14ac:dyDescent="0.3">
      <c r="A263" s="182" t="s">
        <v>1378</v>
      </c>
      <c r="B263" s="182" t="s">
        <v>908</v>
      </c>
      <c r="C263" s="182" t="s">
        <v>1358</v>
      </c>
      <c r="D263" s="182" t="s">
        <v>915</v>
      </c>
      <c r="E263" s="183" t="s">
        <v>916</v>
      </c>
      <c r="F263" s="183" t="s">
        <v>600</v>
      </c>
      <c r="G263" s="184">
        <v>0.01</v>
      </c>
      <c r="H263" s="185">
        <v>0.03</v>
      </c>
      <c r="I263" s="186">
        <v>735.06</v>
      </c>
      <c r="J263" s="187">
        <v>7.5711180000000002</v>
      </c>
      <c r="K263" s="182" t="s">
        <v>1382</v>
      </c>
      <c r="L263" s="182">
        <v>3</v>
      </c>
      <c r="M263" s="182" t="s">
        <v>1385</v>
      </c>
      <c r="N263" s="186">
        <v>10</v>
      </c>
      <c r="O263" s="188">
        <v>0.01</v>
      </c>
      <c r="P263" s="188">
        <v>73</v>
      </c>
      <c r="Q263" s="188">
        <v>0.73</v>
      </c>
      <c r="R263" s="189">
        <v>11.09</v>
      </c>
      <c r="S263" s="189" t="s">
        <v>1354</v>
      </c>
    </row>
    <row r="264" spans="1:19" ht="15" customHeight="1" x14ac:dyDescent="0.3">
      <c r="A264" s="182" t="s">
        <v>1378</v>
      </c>
      <c r="B264" s="182" t="s">
        <v>908</v>
      </c>
      <c r="C264" s="182" t="s">
        <v>1358</v>
      </c>
      <c r="D264" s="182" t="s">
        <v>1367</v>
      </c>
      <c r="E264" s="183" t="s">
        <v>1368</v>
      </c>
      <c r="F264" s="183" t="s">
        <v>600</v>
      </c>
      <c r="G264" s="184">
        <v>4.0000000000000001E-3</v>
      </c>
      <c r="H264" s="185">
        <v>0.05</v>
      </c>
      <c r="I264" s="186">
        <v>20237</v>
      </c>
      <c r="J264" s="187">
        <v>84.995400000000004</v>
      </c>
      <c r="K264" s="182" t="s">
        <v>1382</v>
      </c>
      <c r="L264" s="182">
        <v>4</v>
      </c>
      <c r="M264" s="182" t="s">
        <v>1386</v>
      </c>
      <c r="N264" s="186">
        <v>10</v>
      </c>
      <c r="O264" s="188">
        <v>4.0000000000000001E-3</v>
      </c>
      <c r="P264" s="188">
        <v>73</v>
      </c>
      <c r="Q264" s="188">
        <v>0.29199999999999998</v>
      </c>
      <c r="R264" s="189">
        <v>11.09</v>
      </c>
      <c r="S264" s="189" t="s">
        <v>1354</v>
      </c>
    </row>
    <row r="265" spans="1:19" ht="15" customHeight="1" x14ac:dyDescent="0.3">
      <c r="A265" s="182" t="s">
        <v>1378</v>
      </c>
      <c r="B265" s="182" t="s">
        <v>908</v>
      </c>
      <c r="C265" s="182" t="s">
        <v>1358</v>
      </c>
      <c r="D265" s="182" t="s">
        <v>1370</v>
      </c>
      <c r="E265" s="183" t="s">
        <v>1371</v>
      </c>
      <c r="F265" s="183" t="s">
        <v>912</v>
      </c>
      <c r="G265" s="184">
        <v>0.04</v>
      </c>
      <c r="H265" s="185">
        <v>0.05</v>
      </c>
      <c r="I265" s="186">
        <v>44669.4214876033</v>
      </c>
      <c r="J265" s="187">
        <v>1876.1157024793399</v>
      </c>
      <c r="K265" s="182" t="s">
        <v>1382</v>
      </c>
      <c r="L265" s="182">
        <v>5</v>
      </c>
      <c r="M265" s="182" t="s">
        <v>1387</v>
      </c>
      <c r="N265" s="186">
        <v>10</v>
      </c>
      <c r="O265" s="188">
        <v>0.04</v>
      </c>
      <c r="P265" s="188">
        <v>73</v>
      </c>
      <c r="Q265" s="188">
        <v>2.92</v>
      </c>
      <c r="R265" s="189">
        <v>11.09</v>
      </c>
      <c r="S265" s="189" t="s">
        <v>1354</v>
      </c>
    </row>
    <row r="266" spans="1:19" ht="15" customHeight="1" x14ac:dyDescent="0.3">
      <c r="A266" s="182" t="s">
        <v>1378</v>
      </c>
      <c r="B266" s="182" t="s">
        <v>937</v>
      </c>
      <c r="C266" s="182" t="s">
        <v>938</v>
      </c>
      <c r="D266" s="190" t="s">
        <v>1291</v>
      </c>
      <c r="E266" s="183" t="s">
        <v>1292</v>
      </c>
      <c r="F266" s="183" t="s">
        <v>941</v>
      </c>
      <c r="G266" s="184">
        <v>1</v>
      </c>
      <c r="H266" s="185">
        <v>0</v>
      </c>
      <c r="I266" s="186">
        <v>65493.071636572</v>
      </c>
      <c r="J266" s="187">
        <v>65493.071636572</v>
      </c>
      <c r="K266" s="182" t="s">
        <v>1388</v>
      </c>
      <c r="L266" s="182">
        <v>1</v>
      </c>
      <c r="M266" s="182" t="s">
        <v>1389</v>
      </c>
      <c r="N266" s="186">
        <v>10</v>
      </c>
      <c r="O266" s="188">
        <v>0.1</v>
      </c>
      <c r="P266" s="188">
        <v>73</v>
      </c>
      <c r="Q266" s="188">
        <v>7.3</v>
      </c>
      <c r="R266" s="189">
        <v>11.09</v>
      </c>
      <c r="S266" s="189" t="s">
        <v>1354</v>
      </c>
    </row>
    <row r="267" spans="1:19" ht="15" customHeight="1" x14ac:dyDescent="0.3">
      <c r="A267" s="182" t="s">
        <v>1378</v>
      </c>
      <c r="B267" s="182" t="s">
        <v>937</v>
      </c>
      <c r="C267" s="182" t="s">
        <v>938</v>
      </c>
      <c r="D267" s="190" t="s">
        <v>1375</v>
      </c>
      <c r="E267" s="183" t="s">
        <v>1376</v>
      </c>
      <c r="F267" s="183" t="s">
        <v>941</v>
      </c>
      <c r="G267" s="184">
        <v>1</v>
      </c>
      <c r="H267" s="185">
        <v>0</v>
      </c>
      <c r="I267" s="186">
        <v>76955.079706571996</v>
      </c>
      <c r="J267" s="187">
        <v>76955.079706571996</v>
      </c>
      <c r="K267" s="182" t="s">
        <v>1388</v>
      </c>
      <c r="L267" s="182">
        <v>2</v>
      </c>
      <c r="M267" s="182" t="s">
        <v>1390</v>
      </c>
      <c r="N267" s="186">
        <v>10</v>
      </c>
      <c r="O267" s="188">
        <v>0.1</v>
      </c>
      <c r="P267" s="188">
        <v>73</v>
      </c>
      <c r="Q267" s="188">
        <v>7.3</v>
      </c>
      <c r="R267" s="189">
        <v>11.09</v>
      </c>
      <c r="S267" s="189" t="s">
        <v>1354</v>
      </c>
    </row>
    <row r="268" spans="1:19" ht="15" customHeight="1" x14ac:dyDescent="0.3">
      <c r="A268" s="182" t="s">
        <v>1391</v>
      </c>
      <c r="B268" s="182" t="s">
        <v>563</v>
      </c>
      <c r="C268" s="182"/>
      <c r="D268" s="182" t="s">
        <v>1350</v>
      </c>
      <c r="E268" s="183" t="s">
        <v>1351</v>
      </c>
      <c r="F268" s="183"/>
      <c r="G268" s="184">
        <v>1</v>
      </c>
      <c r="H268" s="185">
        <v>0</v>
      </c>
      <c r="I268" s="186">
        <v>298.42384358082802</v>
      </c>
      <c r="J268" s="187">
        <v>298.42384358082802</v>
      </c>
      <c r="K268" s="182" t="s">
        <v>1392</v>
      </c>
      <c r="L268" s="182">
        <v>1</v>
      </c>
      <c r="M268" s="182" t="s">
        <v>1393</v>
      </c>
      <c r="N268" s="186">
        <v>30</v>
      </c>
      <c r="O268" s="188">
        <v>1</v>
      </c>
      <c r="P268" s="188">
        <v>386</v>
      </c>
      <c r="Q268" s="188">
        <v>386</v>
      </c>
      <c r="R268" s="189">
        <v>12.03</v>
      </c>
      <c r="S268" s="189" t="s">
        <v>1354</v>
      </c>
    </row>
    <row r="269" spans="1:19" ht="15" customHeight="1" x14ac:dyDescent="0.3">
      <c r="A269" s="182" t="s">
        <v>1391</v>
      </c>
      <c r="B269" s="182" t="s">
        <v>563</v>
      </c>
      <c r="C269" s="182"/>
      <c r="D269" s="182" t="s">
        <v>1355</v>
      </c>
      <c r="E269" s="183" t="s">
        <v>1356</v>
      </c>
      <c r="F269" s="183"/>
      <c r="G269" s="184">
        <v>1</v>
      </c>
      <c r="H269" s="185">
        <v>0</v>
      </c>
      <c r="I269" s="186">
        <v>2637.14184448991</v>
      </c>
      <c r="J269" s="187">
        <v>2637.14184448991</v>
      </c>
      <c r="K269" s="182" t="s">
        <v>1392</v>
      </c>
      <c r="L269" s="182">
        <v>2</v>
      </c>
      <c r="M269" s="182" t="s">
        <v>1394</v>
      </c>
      <c r="N269" s="186">
        <v>30</v>
      </c>
      <c r="O269" s="188">
        <v>1</v>
      </c>
      <c r="P269" s="188">
        <v>386</v>
      </c>
      <c r="Q269" s="188">
        <v>386</v>
      </c>
      <c r="R269" s="189">
        <v>12.03</v>
      </c>
      <c r="S269" s="189" t="s">
        <v>1354</v>
      </c>
    </row>
    <row r="270" spans="1:19" ht="15" customHeight="1" x14ac:dyDescent="0.3">
      <c r="A270" s="182" t="s">
        <v>1391</v>
      </c>
      <c r="B270" s="182" t="s">
        <v>908</v>
      </c>
      <c r="C270" s="182" t="s">
        <v>1358</v>
      </c>
      <c r="D270" s="182" t="s">
        <v>1359</v>
      </c>
      <c r="E270" s="183" t="s">
        <v>1360</v>
      </c>
      <c r="F270" s="183" t="s">
        <v>971</v>
      </c>
      <c r="G270" s="184">
        <v>0.04</v>
      </c>
      <c r="H270" s="185">
        <v>0.2</v>
      </c>
      <c r="I270" s="186">
        <v>18802.511999999999</v>
      </c>
      <c r="J270" s="187">
        <v>902.52057600000001</v>
      </c>
      <c r="K270" s="182" t="s">
        <v>1395</v>
      </c>
      <c r="L270" s="182">
        <v>1</v>
      </c>
      <c r="M270" s="182" t="s">
        <v>1396</v>
      </c>
      <c r="N270" s="186">
        <v>30</v>
      </c>
      <c r="O270" s="188">
        <v>0.04</v>
      </c>
      <c r="P270" s="188">
        <v>386</v>
      </c>
      <c r="Q270" s="188">
        <v>15.44</v>
      </c>
      <c r="R270" s="189">
        <v>12.03</v>
      </c>
      <c r="S270" s="189" t="s">
        <v>1354</v>
      </c>
    </row>
    <row r="271" spans="1:19" ht="15" customHeight="1" x14ac:dyDescent="0.3">
      <c r="A271" s="182" t="s">
        <v>1391</v>
      </c>
      <c r="B271" s="182" t="s">
        <v>908</v>
      </c>
      <c r="C271" s="182" t="s">
        <v>1358</v>
      </c>
      <c r="D271" s="182" t="s">
        <v>1363</v>
      </c>
      <c r="E271" s="183" t="s">
        <v>1364</v>
      </c>
      <c r="F271" s="183" t="s">
        <v>600</v>
      </c>
      <c r="G271" s="184">
        <v>0.04</v>
      </c>
      <c r="H271" s="185">
        <v>0.05</v>
      </c>
      <c r="I271" s="186">
        <v>3214.35</v>
      </c>
      <c r="J271" s="187">
        <v>135.0027</v>
      </c>
      <c r="K271" s="182" t="s">
        <v>1395</v>
      </c>
      <c r="L271" s="182">
        <v>2</v>
      </c>
      <c r="M271" s="182" t="s">
        <v>1397</v>
      </c>
      <c r="N271" s="186">
        <v>30</v>
      </c>
      <c r="O271" s="188">
        <v>0.04</v>
      </c>
      <c r="P271" s="188">
        <v>386</v>
      </c>
      <c r="Q271" s="188">
        <v>15.44</v>
      </c>
      <c r="R271" s="189">
        <v>12.03</v>
      </c>
      <c r="S271" s="189" t="s">
        <v>1354</v>
      </c>
    </row>
    <row r="272" spans="1:19" ht="15" customHeight="1" x14ac:dyDescent="0.3">
      <c r="A272" s="182" t="s">
        <v>1391</v>
      </c>
      <c r="B272" s="182" t="s">
        <v>908</v>
      </c>
      <c r="C272" s="182" t="s">
        <v>1358</v>
      </c>
      <c r="D272" s="182" t="s">
        <v>915</v>
      </c>
      <c r="E272" s="183" t="s">
        <v>916</v>
      </c>
      <c r="F272" s="183" t="s">
        <v>600</v>
      </c>
      <c r="G272" s="184">
        <v>0.01</v>
      </c>
      <c r="H272" s="185">
        <v>0.03</v>
      </c>
      <c r="I272" s="186">
        <v>735.06</v>
      </c>
      <c r="J272" s="187">
        <v>7.5711180000000002</v>
      </c>
      <c r="K272" s="182" t="s">
        <v>1395</v>
      </c>
      <c r="L272" s="182">
        <v>3</v>
      </c>
      <c r="M272" s="182" t="s">
        <v>1398</v>
      </c>
      <c r="N272" s="186">
        <v>30</v>
      </c>
      <c r="O272" s="188">
        <v>0.01</v>
      </c>
      <c r="P272" s="188">
        <v>386</v>
      </c>
      <c r="Q272" s="188">
        <v>3.86</v>
      </c>
      <c r="R272" s="189">
        <v>12.03</v>
      </c>
      <c r="S272" s="189" t="s">
        <v>1354</v>
      </c>
    </row>
    <row r="273" spans="1:19" ht="15" customHeight="1" x14ac:dyDescent="0.3">
      <c r="A273" s="182" t="s">
        <v>1391</v>
      </c>
      <c r="B273" s="182" t="s">
        <v>908</v>
      </c>
      <c r="C273" s="182" t="s">
        <v>1358</v>
      </c>
      <c r="D273" s="182" t="s">
        <v>1367</v>
      </c>
      <c r="E273" s="183" t="s">
        <v>1368</v>
      </c>
      <c r="F273" s="183" t="s">
        <v>600</v>
      </c>
      <c r="G273" s="184">
        <v>1E-3</v>
      </c>
      <c r="H273" s="185">
        <v>0.05</v>
      </c>
      <c r="I273" s="186">
        <v>20237</v>
      </c>
      <c r="J273" s="187">
        <v>21.248850000000001</v>
      </c>
      <c r="K273" s="182" t="s">
        <v>1395</v>
      </c>
      <c r="L273" s="182">
        <v>4</v>
      </c>
      <c r="M273" s="182" t="s">
        <v>1399</v>
      </c>
      <c r="N273" s="186">
        <v>30</v>
      </c>
      <c r="O273" s="188">
        <v>1E-3</v>
      </c>
      <c r="P273" s="188">
        <v>386</v>
      </c>
      <c r="Q273" s="188">
        <v>0.38600000000000001</v>
      </c>
      <c r="R273" s="189">
        <v>12.03</v>
      </c>
      <c r="S273" s="189" t="s">
        <v>1354</v>
      </c>
    </row>
    <row r="274" spans="1:19" ht="15" customHeight="1" x14ac:dyDescent="0.3">
      <c r="A274" s="182" t="s">
        <v>1391</v>
      </c>
      <c r="B274" s="182" t="s">
        <v>937</v>
      </c>
      <c r="C274" s="182" t="s">
        <v>938</v>
      </c>
      <c r="D274" s="190" t="s">
        <v>1291</v>
      </c>
      <c r="E274" s="183" t="s">
        <v>1292</v>
      </c>
      <c r="F274" s="183" t="s">
        <v>941</v>
      </c>
      <c r="G274" s="184">
        <v>1</v>
      </c>
      <c r="H274" s="185">
        <v>0</v>
      </c>
      <c r="I274" s="186">
        <v>65493.071636572</v>
      </c>
      <c r="J274" s="187">
        <v>65493.071636572</v>
      </c>
      <c r="K274" s="182" t="s">
        <v>1400</v>
      </c>
      <c r="L274" s="182">
        <v>1</v>
      </c>
      <c r="M274" s="182" t="s">
        <v>1401</v>
      </c>
      <c r="N274" s="186">
        <v>30</v>
      </c>
      <c r="O274" s="188">
        <v>3.3333333333333298E-2</v>
      </c>
      <c r="P274" s="188">
        <v>386</v>
      </c>
      <c r="Q274" s="188">
        <v>12.866666666666699</v>
      </c>
      <c r="R274" s="189">
        <v>12.03</v>
      </c>
      <c r="S274" s="189" t="s">
        <v>1354</v>
      </c>
    </row>
    <row r="275" spans="1:19" ht="15" customHeight="1" x14ac:dyDescent="0.3">
      <c r="A275" s="182" t="s">
        <v>1391</v>
      </c>
      <c r="B275" s="182" t="s">
        <v>937</v>
      </c>
      <c r="C275" s="182" t="s">
        <v>938</v>
      </c>
      <c r="D275" s="190" t="s">
        <v>1375</v>
      </c>
      <c r="E275" s="183" t="s">
        <v>1376</v>
      </c>
      <c r="F275" s="183" t="s">
        <v>941</v>
      </c>
      <c r="G275" s="184">
        <v>1</v>
      </c>
      <c r="H275" s="185">
        <v>0</v>
      </c>
      <c r="I275" s="186">
        <v>76955.079706571996</v>
      </c>
      <c r="J275" s="187">
        <v>76955.079706571996</v>
      </c>
      <c r="K275" s="182" t="s">
        <v>1400</v>
      </c>
      <c r="L275" s="182">
        <v>2</v>
      </c>
      <c r="M275" s="182" t="s">
        <v>1402</v>
      </c>
      <c r="N275" s="186">
        <v>30</v>
      </c>
      <c r="O275" s="188">
        <v>3.3333333333333298E-2</v>
      </c>
      <c r="P275" s="188">
        <v>386</v>
      </c>
      <c r="Q275" s="188">
        <v>12.866666666666699</v>
      </c>
      <c r="R275" s="189">
        <v>12.03</v>
      </c>
      <c r="S275" s="189" t="s">
        <v>1354</v>
      </c>
    </row>
    <row r="276" spans="1:19" ht="15" customHeight="1" x14ac:dyDescent="0.3">
      <c r="A276" s="182" t="s">
        <v>1403</v>
      </c>
      <c r="B276" s="182" t="s">
        <v>908</v>
      </c>
      <c r="C276" s="182" t="s">
        <v>909</v>
      </c>
      <c r="D276" s="182" t="s">
        <v>1404</v>
      </c>
      <c r="E276" s="183" t="s">
        <v>1405</v>
      </c>
      <c r="F276" s="183" t="s">
        <v>1046</v>
      </c>
      <c r="G276" s="184">
        <v>6.7000000000000004E-2</v>
      </c>
      <c r="H276" s="185">
        <v>0.15</v>
      </c>
      <c r="I276" s="186">
        <v>2302.02</v>
      </c>
      <c r="J276" s="187">
        <v>177.37064100000001</v>
      </c>
      <c r="K276" s="182" t="s">
        <v>1406</v>
      </c>
      <c r="L276" s="182">
        <v>1</v>
      </c>
      <c r="M276" s="182" t="s">
        <v>1407</v>
      </c>
      <c r="N276" s="186">
        <v>450</v>
      </c>
      <c r="O276" s="188">
        <v>6.7000000000000004E-2</v>
      </c>
      <c r="P276" s="188" t="s">
        <v>573</v>
      </c>
      <c r="Q276" s="188">
        <v>0</v>
      </c>
      <c r="R276" s="189" t="s">
        <v>573</v>
      </c>
      <c r="S276" s="189" t="s">
        <v>573</v>
      </c>
    </row>
    <row r="277" spans="1:19" ht="15" customHeight="1" x14ac:dyDescent="0.3">
      <c r="A277" s="182" t="s">
        <v>1403</v>
      </c>
      <c r="B277" s="182" t="s">
        <v>908</v>
      </c>
      <c r="C277" s="182" t="s">
        <v>909</v>
      </c>
      <c r="D277" s="182" t="s">
        <v>1408</v>
      </c>
      <c r="E277" s="183" t="s">
        <v>1409</v>
      </c>
      <c r="F277" s="183" t="s">
        <v>1410</v>
      </c>
      <c r="G277" s="184">
        <v>1</v>
      </c>
      <c r="H277" s="185">
        <v>7.0000000000000007E-2</v>
      </c>
      <c r="I277" s="186">
        <v>1269.26</v>
      </c>
      <c r="J277" s="187">
        <v>1358.1081999999999</v>
      </c>
      <c r="K277" s="182" t="s">
        <v>1406</v>
      </c>
      <c r="L277" s="182">
        <v>2</v>
      </c>
      <c r="M277" s="182" t="s">
        <v>1411</v>
      </c>
      <c r="N277" s="186">
        <v>450</v>
      </c>
      <c r="O277" s="188">
        <v>1</v>
      </c>
      <c r="P277" s="188" t="s">
        <v>573</v>
      </c>
      <c r="Q277" s="188">
        <v>0</v>
      </c>
      <c r="R277" s="189" t="s">
        <v>573</v>
      </c>
      <c r="S277" s="189" t="s">
        <v>573</v>
      </c>
    </row>
    <row r="278" spans="1:19" ht="15" customHeight="1" x14ac:dyDescent="0.3">
      <c r="A278" s="182" t="s">
        <v>1403</v>
      </c>
      <c r="B278" s="182" t="s">
        <v>937</v>
      </c>
      <c r="C278" s="182" t="s">
        <v>938</v>
      </c>
      <c r="D278" s="190" t="s">
        <v>939</v>
      </c>
      <c r="E278" s="183" t="s">
        <v>940</v>
      </c>
      <c r="F278" s="183" t="s">
        <v>941</v>
      </c>
      <c r="G278" s="184">
        <v>1</v>
      </c>
      <c r="H278" s="185">
        <v>0</v>
      </c>
      <c r="I278" s="186">
        <v>60860.580776572002</v>
      </c>
      <c r="J278" s="187">
        <v>60860.580776572002</v>
      </c>
      <c r="K278" s="182" t="s">
        <v>1412</v>
      </c>
      <c r="L278" s="182">
        <v>1</v>
      </c>
      <c r="M278" s="182" t="s">
        <v>1413</v>
      </c>
      <c r="N278" s="186">
        <v>450</v>
      </c>
      <c r="O278" s="188">
        <v>2.2222222222222201E-3</v>
      </c>
      <c r="P278" s="188" t="s">
        <v>573</v>
      </c>
      <c r="Q278" s="188">
        <v>0</v>
      </c>
      <c r="R278" s="189" t="s">
        <v>573</v>
      </c>
      <c r="S278" s="189" t="s">
        <v>573</v>
      </c>
    </row>
    <row r="279" spans="1:19" ht="15" customHeight="1" x14ac:dyDescent="0.3">
      <c r="A279" s="182" t="s">
        <v>1403</v>
      </c>
      <c r="B279" s="182" t="s">
        <v>937</v>
      </c>
      <c r="C279" s="182" t="s">
        <v>938</v>
      </c>
      <c r="D279" s="190" t="s">
        <v>944</v>
      </c>
      <c r="E279" s="183" t="s">
        <v>945</v>
      </c>
      <c r="F279" s="183" t="s">
        <v>941</v>
      </c>
      <c r="G279" s="184">
        <v>2</v>
      </c>
      <c r="H279" s="185">
        <v>0</v>
      </c>
      <c r="I279" s="186">
        <v>85927.097156571996</v>
      </c>
      <c r="J279" s="187">
        <v>171854.19431314399</v>
      </c>
      <c r="K279" s="182" t="s">
        <v>1412</v>
      </c>
      <c r="L279" s="182">
        <v>2</v>
      </c>
      <c r="M279" s="182" t="s">
        <v>1414</v>
      </c>
      <c r="N279" s="186">
        <v>450</v>
      </c>
      <c r="O279" s="188">
        <v>4.4444444444444401E-3</v>
      </c>
      <c r="P279" s="188" t="s">
        <v>573</v>
      </c>
      <c r="Q279" s="188">
        <v>0</v>
      </c>
      <c r="R279" s="189" t="s">
        <v>573</v>
      </c>
      <c r="S279" s="189" t="s">
        <v>573</v>
      </c>
    </row>
    <row r="280" spans="1:19" ht="15" customHeight="1" x14ac:dyDescent="0.3">
      <c r="A280" s="182" t="s">
        <v>1403</v>
      </c>
      <c r="B280" s="182" t="s">
        <v>937</v>
      </c>
      <c r="C280" s="182" t="s">
        <v>938</v>
      </c>
      <c r="D280" s="190" t="s">
        <v>944</v>
      </c>
      <c r="E280" s="183" t="s">
        <v>945</v>
      </c>
      <c r="F280" s="183" t="s">
        <v>941</v>
      </c>
      <c r="G280" s="184">
        <v>2</v>
      </c>
      <c r="H280" s="185">
        <v>0</v>
      </c>
      <c r="I280" s="186">
        <v>85927.097156571996</v>
      </c>
      <c r="J280" s="187">
        <v>171854.19431314399</v>
      </c>
      <c r="K280" s="182" t="s">
        <v>1412</v>
      </c>
      <c r="L280" s="182">
        <v>3</v>
      </c>
      <c r="M280" s="182" t="s">
        <v>1415</v>
      </c>
      <c r="N280" s="186">
        <v>450</v>
      </c>
      <c r="O280" s="188">
        <v>4.4444444444444401E-3</v>
      </c>
      <c r="P280" s="188" t="s">
        <v>573</v>
      </c>
      <c r="Q280" s="188">
        <v>0</v>
      </c>
      <c r="R280" s="189" t="s">
        <v>573</v>
      </c>
      <c r="S280" s="189" t="s">
        <v>573</v>
      </c>
    </row>
    <row r="281" spans="1:19" ht="15" customHeight="1" x14ac:dyDescent="0.3">
      <c r="A281" s="182" t="s">
        <v>1416</v>
      </c>
      <c r="B281" s="182" t="s">
        <v>908</v>
      </c>
      <c r="C281" s="182" t="s">
        <v>909</v>
      </c>
      <c r="D281" s="182" t="s">
        <v>1404</v>
      </c>
      <c r="E281" s="183" t="s">
        <v>1405</v>
      </c>
      <c r="F281" s="183" t="s">
        <v>1046</v>
      </c>
      <c r="G281" s="184">
        <v>6.7000000000000004E-2</v>
      </c>
      <c r="H281" s="185">
        <v>0.15</v>
      </c>
      <c r="I281" s="186">
        <v>2302.02</v>
      </c>
      <c r="J281" s="187">
        <v>177.37064100000001</v>
      </c>
      <c r="K281" s="182" t="s">
        <v>1417</v>
      </c>
      <c r="L281" s="182">
        <v>1</v>
      </c>
      <c r="M281" s="182" t="s">
        <v>1418</v>
      </c>
      <c r="N281" s="186">
        <v>380</v>
      </c>
      <c r="O281" s="188">
        <v>6.7000000000000004E-2</v>
      </c>
      <c r="P281" s="188" t="s">
        <v>573</v>
      </c>
      <c r="Q281" s="188">
        <v>0</v>
      </c>
      <c r="R281" s="189" t="s">
        <v>573</v>
      </c>
      <c r="S281" s="189" t="s">
        <v>573</v>
      </c>
    </row>
    <row r="282" spans="1:19" ht="15" customHeight="1" x14ac:dyDescent="0.3">
      <c r="A282" s="182" t="s">
        <v>1416</v>
      </c>
      <c r="B282" s="182" t="s">
        <v>908</v>
      </c>
      <c r="C282" s="182" t="s">
        <v>909</v>
      </c>
      <c r="D282" s="182" t="s">
        <v>1408</v>
      </c>
      <c r="E282" s="183" t="s">
        <v>1409</v>
      </c>
      <c r="F282" s="183" t="s">
        <v>1410</v>
      </c>
      <c r="G282" s="184">
        <v>1</v>
      </c>
      <c r="H282" s="185">
        <v>7.0000000000000007E-2</v>
      </c>
      <c r="I282" s="186">
        <v>1269.26</v>
      </c>
      <c r="J282" s="187">
        <v>1358.1081999999999</v>
      </c>
      <c r="K282" s="182" t="s">
        <v>1417</v>
      </c>
      <c r="L282" s="182">
        <v>2</v>
      </c>
      <c r="M282" s="182" t="s">
        <v>1419</v>
      </c>
      <c r="N282" s="186">
        <v>380</v>
      </c>
      <c r="O282" s="188">
        <v>1</v>
      </c>
      <c r="P282" s="188" t="s">
        <v>573</v>
      </c>
      <c r="Q282" s="188">
        <v>0</v>
      </c>
      <c r="R282" s="189" t="s">
        <v>573</v>
      </c>
      <c r="S282" s="189" t="s">
        <v>573</v>
      </c>
    </row>
    <row r="283" spans="1:19" ht="15" customHeight="1" x14ac:dyDescent="0.3">
      <c r="A283" s="182" t="s">
        <v>1416</v>
      </c>
      <c r="B283" s="182" t="s">
        <v>937</v>
      </c>
      <c r="C283" s="182" t="s">
        <v>938</v>
      </c>
      <c r="D283" s="190" t="s">
        <v>939</v>
      </c>
      <c r="E283" s="183" t="s">
        <v>940</v>
      </c>
      <c r="F283" s="183" t="s">
        <v>941</v>
      </c>
      <c r="G283" s="184">
        <v>1</v>
      </c>
      <c r="H283" s="185">
        <v>0</v>
      </c>
      <c r="I283" s="186">
        <v>60860.580776572002</v>
      </c>
      <c r="J283" s="187">
        <v>60860.580776572002</v>
      </c>
      <c r="K283" s="182" t="s">
        <v>1420</v>
      </c>
      <c r="L283" s="182">
        <v>1</v>
      </c>
      <c r="M283" s="182" t="s">
        <v>1421</v>
      </c>
      <c r="N283" s="186">
        <v>380</v>
      </c>
      <c r="O283" s="188">
        <v>2.6315789473684201E-3</v>
      </c>
      <c r="P283" s="188" t="s">
        <v>573</v>
      </c>
      <c r="Q283" s="188">
        <v>0</v>
      </c>
      <c r="R283" s="189" t="s">
        <v>573</v>
      </c>
      <c r="S283" s="189" t="s">
        <v>573</v>
      </c>
    </row>
    <row r="284" spans="1:19" ht="15" customHeight="1" x14ac:dyDescent="0.3">
      <c r="A284" s="182" t="s">
        <v>1416</v>
      </c>
      <c r="B284" s="182" t="s">
        <v>937</v>
      </c>
      <c r="C284" s="182" t="s">
        <v>938</v>
      </c>
      <c r="D284" s="190" t="s">
        <v>944</v>
      </c>
      <c r="E284" s="183" t="s">
        <v>945</v>
      </c>
      <c r="F284" s="183" t="s">
        <v>941</v>
      </c>
      <c r="G284" s="184">
        <v>2</v>
      </c>
      <c r="H284" s="185">
        <v>0</v>
      </c>
      <c r="I284" s="186">
        <v>85927.097156571996</v>
      </c>
      <c r="J284" s="187">
        <v>171854.19431314399</v>
      </c>
      <c r="K284" s="182" t="s">
        <v>1420</v>
      </c>
      <c r="L284" s="182">
        <v>2</v>
      </c>
      <c r="M284" s="182" t="s">
        <v>1422</v>
      </c>
      <c r="N284" s="186">
        <v>380</v>
      </c>
      <c r="O284" s="188">
        <v>5.2631578947368403E-3</v>
      </c>
      <c r="P284" s="188" t="s">
        <v>573</v>
      </c>
      <c r="Q284" s="188">
        <v>0</v>
      </c>
      <c r="R284" s="189" t="s">
        <v>573</v>
      </c>
      <c r="S284" s="189" t="s">
        <v>573</v>
      </c>
    </row>
    <row r="285" spans="1:19" ht="15" customHeight="1" x14ac:dyDescent="0.3">
      <c r="A285" s="182" t="s">
        <v>1416</v>
      </c>
      <c r="B285" s="182" t="s">
        <v>937</v>
      </c>
      <c r="C285" s="182" t="s">
        <v>938</v>
      </c>
      <c r="D285" s="190" t="s">
        <v>944</v>
      </c>
      <c r="E285" s="183" t="s">
        <v>945</v>
      </c>
      <c r="F285" s="183" t="s">
        <v>941</v>
      </c>
      <c r="G285" s="184">
        <v>2</v>
      </c>
      <c r="H285" s="185">
        <v>0</v>
      </c>
      <c r="I285" s="186">
        <v>85927.097156571996</v>
      </c>
      <c r="J285" s="187">
        <v>171854.19431314399</v>
      </c>
      <c r="K285" s="182" t="s">
        <v>1420</v>
      </c>
      <c r="L285" s="182">
        <v>3</v>
      </c>
      <c r="M285" s="182" t="s">
        <v>1423</v>
      </c>
      <c r="N285" s="186">
        <v>380</v>
      </c>
      <c r="O285" s="188">
        <v>5.2631578947368403E-3</v>
      </c>
      <c r="P285" s="188" t="s">
        <v>573</v>
      </c>
      <c r="Q285" s="188">
        <v>0</v>
      </c>
      <c r="R285" s="189" t="s">
        <v>573</v>
      </c>
      <c r="S285" s="189" t="s">
        <v>573</v>
      </c>
    </row>
    <row r="286" spans="1:19" ht="15" customHeight="1" x14ac:dyDescent="0.3">
      <c r="A286" s="182" t="s">
        <v>1424</v>
      </c>
      <c r="B286" s="182" t="s">
        <v>908</v>
      </c>
      <c r="C286" s="182" t="s">
        <v>909</v>
      </c>
      <c r="D286" s="182" t="s">
        <v>1404</v>
      </c>
      <c r="E286" s="183" t="s">
        <v>1405</v>
      </c>
      <c r="F286" s="183" t="s">
        <v>1046</v>
      </c>
      <c r="G286" s="184">
        <v>6.7000000000000004E-2</v>
      </c>
      <c r="H286" s="185">
        <v>0.15</v>
      </c>
      <c r="I286" s="186">
        <v>2302.02</v>
      </c>
      <c r="J286" s="187">
        <v>177.37064100000001</v>
      </c>
      <c r="K286" s="182" t="s">
        <v>1425</v>
      </c>
      <c r="L286" s="182">
        <v>1</v>
      </c>
      <c r="M286" s="182" t="s">
        <v>1426</v>
      </c>
      <c r="N286" s="186">
        <v>420</v>
      </c>
      <c r="O286" s="188">
        <v>6.7000000000000004E-2</v>
      </c>
      <c r="P286" s="188" t="s">
        <v>573</v>
      </c>
      <c r="Q286" s="188">
        <v>0</v>
      </c>
      <c r="R286" s="189" t="s">
        <v>573</v>
      </c>
      <c r="S286" s="189" t="s">
        <v>573</v>
      </c>
    </row>
    <row r="287" spans="1:19" ht="15" customHeight="1" x14ac:dyDescent="0.3">
      <c r="A287" s="182" t="s">
        <v>1424</v>
      </c>
      <c r="B287" s="182" t="s">
        <v>908</v>
      </c>
      <c r="C287" s="182" t="s">
        <v>909</v>
      </c>
      <c r="D287" s="182" t="s">
        <v>1408</v>
      </c>
      <c r="E287" s="183" t="s">
        <v>1409</v>
      </c>
      <c r="F287" s="183" t="s">
        <v>1410</v>
      </c>
      <c r="G287" s="184">
        <v>1</v>
      </c>
      <c r="H287" s="185">
        <v>7.0000000000000007E-2</v>
      </c>
      <c r="I287" s="186">
        <v>1269.26</v>
      </c>
      <c r="J287" s="187">
        <v>1358.1081999999999</v>
      </c>
      <c r="K287" s="182" t="s">
        <v>1425</v>
      </c>
      <c r="L287" s="182">
        <v>2</v>
      </c>
      <c r="M287" s="182" t="s">
        <v>1427</v>
      </c>
      <c r="N287" s="186">
        <v>420</v>
      </c>
      <c r="O287" s="188">
        <v>1</v>
      </c>
      <c r="P287" s="188" t="s">
        <v>573</v>
      </c>
      <c r="Q287" s="188">
        <v>0</v>
      </c>
      <c r="R287" s="189" t="s">
        <v>573</v>
      </c>
      <c r="S287" s="189" t="s">
        <v>573</v>
      </c>
    </row>
    <row r="288" spans="1:19" ht="15" customHeight="1" x14ac:dyDescent="0.3">
      <c r="A288" s="182" t="s">
        <v>1424</v>
      </c>
      <c r="B288" s="182" t="s">
        <v>937</v>
      </c>
      <c r="C288" s="182" t="s">
        <v>938</v>
      </c>
      <c r="D288" s="190" t="s">
        <v>939</v>
      </c>
      <c r="E288" s="183" t="s">
        <v>940</v>
      </c>
      <c r="F288" s="183" t="s">
        <v>941</v>
      </c>
      <c r="G288" s="184">
        <v>1</v>
      </c>
      <c r="H288" s="185">
        <v>0</v>
      </c>
      <c r="I288" s="186">
        <v>60860.580776572002</v>
      </c>
      <c r="J288" s="187">
        <v>60860.580776572002</v>
      </c>
      <c r="K288" s="182" t="s">
        <v>1428</v>
      </c>
      <c r="L288" s="182">
        <v>1</v>
      </c>
      <c r="M288" s="182" t="s">
        <v>1429</v>
      </c>
      <c r="N288" s="186">
        <v>420</v>
      </c>
      <c r="O288" s="188">
        <v>2.3809523809523799E-3</v>
      </c>
      <c r="P288" s="188" t="s">
        <v>573</v>
      </c>
      <c r="Q288" s="188">
        <v>0</v>
      </c>
      <c r="R288" s="189" t="s">
        <v>573</v>
      </c>
      <c r="S288" s="189" t="s">
        <v>573</v>
      </c>
    </row>
    <row r="289" spans="1:19" ht="15" customHeight="1" x14ac:dyDescent="0.3">
      <c r="A289" s="182" t="s">
        <v>1424</v>
      </c>
      <c r="B289" s="182" t="s">
        <v>937</v>
      </c>
      <c r="C289" s="182" t="s">
        <v>938</v>
      </c>
      <c r="D289" s="190" t="s">
        <v>944</v>
      </c>
      <c r="E289" s="183" t="s">
        <v>945</v>
      </c>
      <c r="F289" s="183" t="s">
        <v>941</v>
      </c>
      <c r="G289" s="184">
        <v>2</v>
      </c>
      <c r="H289" s="185">
        <v>0</v>
      </c>
      <c r="I289" s="186">
        <v>85927.097156571996</v>
      </c>
      <c r="J289" s="187">
        <v>171854.19431314399</v>
      </c>
      <c r="K289" s="182" t="s">
        <v>1428</v>
      </c>
      <c r="L289" s="182">
        <v>2</v>
      </c>
      <c r="M289" s="182" t="s">
        <v>1430</v>
      </c>
      <c r="N289" s="186">
        <v>420</v>
      </c>
      <c r="O289" s="188">
        <v>4.7619047619047597E-3</v>
      </c>
      <c r="P289" s="188" t="s">
        <v>573</v>
      </c>
      <c r="Q289" s="188">
        <v>0</v>
      </c>
      <c r="R289" s="189" t="s">
        <v>573</v>
      </c>
      <c r="S289" s="189" t="s">
        <v>573</v>
      </c>
    </row>
    <row r="290" spans="1:19" ht="15" customHeight="1" x14ac:dyDescent="0.3">
      <c r="A290" s="182" t="s">
        <v>1424</v>
      </c>
      <c r="B290" s="182" t="s">
        <v>937</v>
      </c>
      <c r="C290" s="182" t="s">
        <v>938</v>
      </c>
      <c r="D290" s="190" t="s">
        <v>944</v>
      </c>
      <c r="E290" s="183" t="s">
        <v>945</v>
      </c>
      <c r="F290" s="183" t="s">
        <v>941</v>
      </c>
      <c r="G290" s="184">
        <v>2</v>
      </c>
      <c r="H290" s="185">
        <v>0</v>
      </c>
      <c r="I290" s="186">
        <v>85927.097156571996</v>
      </c>
      <c r="J290" s="187">
        <v>171854.19431314399</v>
      </c>
      <c r="K290" s="182" t="s">
        <v>1428</v>
      </c>
      <c r="L290" s="182">
        <v>3</v>
      </c>
      <c r="M290" s="182" t="s">
        <v>1431</v>
      </c>
      <c r="N290" s="186">
        <v>420</v>
      </c>
      <c r="O290" s="188">
        <v>4.7619047619047597E-3</v>
      </c>
      <c r="P290" s="188" t="s">
        <v>573</v>
      </c>
      <c r="Q290" s="188">
        <v>0</v>
      </c>
      <c r="R290" s="189" t="s">
        <v>573</v>
      </c>
      <c r="S290" s="189" t="s">
        <v>573</v>
      </c>
    </row>
    <row r="291" spans="1:19" ht="15" customHeight="1" x14ac:dyDescent="0.3">
      <c r="A291" s="182" t="s">
        <v>1432</v>
      </c>
      <c r="B291" s="182" t="s">
        <v>908</v>
      </c>
      <c r="C291" s="182" t="s">
        <v>909</v>
      </c>
      <c r="D291" s="182" t="s">
        <v>1404</v>
      </c>
      <c r="E291" s="183" t="s">
        <v>1405</v>
      </c>
      <c r="F291" s="183" t="s">
        <v>1046</v>
      </c>
      <c r="G291" s="184">
        <v>6.7000000000000004E-2</v>
      </c>
      <c r="H291" s="185">
        <v>0.15</v>
      </c>
      <c r="I291" s="186">
        <v>2302.02</v>
      </c>
      <c r="J291" s="187">
        <v>177.37064100000001</v>
      </c>
      <c r="K291" s="182" t="s">
        <v>1433</v>
      </c>
      <c r="L291" s="182">
        <v>1</v>
      </c>
      <c r="M291" s="182" t="s">
        <v>1434</v>
      </c>
      <c r="N291" s="186">
        <v>400</v>
      </c>
      <c r="O291" s="188">
        <v>6.7000000000000004E-2</v>
      </c>
      <c r="P291" s="188" t="s">
        <v>573</v>
      </c>
      <c r="Q291" s="188">
        <v>0</v>
      </c>
      <c r="R291" s="189" t="s">
        <v>573</v>
      </c>
      <c r="S291" s="189" t="s">
        <v>573</v>
      </c>
    </row>
    <row r="292" spans="1:19" ht="15" customHeight="1" x14ac:dyDescent="0.3">
      <c r="A292" s="182" t="s">
        <v>1432</v>
      </c>
      <c r="B292" s="182" t="s">
        <v>908</v>
      </c>
      <c r="C292" s="182" t="s">
        <v>909</v>
      </c>
      <c r="D292" s="182" t="s">
        <v>1408</v>
      </c>
      <c r="E292" s="183" t="s">
        <v>1409</v>
      </c>
      <c r="F292" s="183" t="s">
        <v>1410</v>
      </c>
      <c r="G292" s="184">
        <v>1</v>
      </c>
      <c r="H292" s="185">
        <v>7.0000000000000007E-2</v>
      </c>
      <c r="I292" s="186">
        <v>1269.26</v>
      </c>
      <c r="J292" s="187">
        <v>1358.1081999999999</v>
      </c>
      <c r="K292" s="182" t="s">
        <v>1433</v>
      </c>
      <c r="L292" s="182">
        <v>2</v>
      </c>
      <c r="M292" s="182" t="s">
        <v>1435</v>
      </c>
      <c r="N292" s="186">
        <v>400</v>
      </c>
      <c r="O292" s="188">
        <v>1</v>
      </c>
      <c r="P292" s="188" t="s">
        <v>573</v>
      </c>
      <c r="Q292" s="188">
        <v>0</v>
      </c>
      <c r="R292" s="189" t="s">
        <v>573</v>
      </c>
      <c r="S292" s="189" t="s">
        <v>573</v>
      </c>
    </row>
    <row r="293" spans="1:19" ht="15" customHeight="1" x14ac:dyDescent="0.3">
      <c r="A293" s="182" t="s">
        <v>1432</v>
      </c>
      <c r="B293" s="182" t="s">
        <v>937</v>
      </c>
      <c r="C293" s="182" t="s">
        <v>938</v>
      </c>
      <c r="D293" s="190" t="s">
        <v>939</v>
      </c>
      <c r="E293" s="183" t="s">
        <v>940</v>
      </c>
      <c r="F293" s="183" t="s">
        <v>941</v>
      </c>
      <c r="G293" s="184">
        <v>1</v>
      </c>
      <c r="H293" s="185">
        <v>0</v>
      </c>
      <c r="I293" s="186">
        <v>60860.580776572002</v>
      </c>
      <c r="J293" s="187">
        <v>60860.580776572002</v>
      </c>
      <c r="K293" s="182" t="s">
        <v>1436</v>
      </c>
      <c r="L293" s="182">
        <v>1</v>
      </c>
      <c r="M293" s="182" t="s">
        <v>1437</v>
      </c>
      <c r="N293" s="186">
        <v>400</v>
      </c>
      <c r="O293" s="188">
        <v>2.5000000000000001E-3</v>
      </c>
      <c r="P293" s="188" t="s">
        <v>573</v>
      </c>
      <c r="Q293" s="188">
        <v>0</v>
      </c>
      <c r="R293" s="189" t="s">
        <v>573</v>
      </c>
      <c r="S293" s="189" t="s">
        <v>573</v>
      </c>
    </row>
    <row r="294" spans="1:19" ht="15" customHeight="1" x14ac:dyDescent="0.3">
      <c r="A294" s="182" t="s">
        <v>1432</v>
      </c>
      <c r="B294" s="182" t="s">
        <v>937</v>
      </c>
      <c r="C294" s="182" t="s">
        <v>938</v>
      </c>
      <c r="D294" s="190" t="s">
        <v>944</v>
      </c>
      <c r="E294" s="183" t="s">
        <v>945</v>
      </c>
      <c r="F294" s="183" t="s">
        <v>941</v>
      </c>
      <c r="G294" s="184">
        <v>2</v>
      </c>
      <c r="H294" s="185">
        <v>0</v>
      </c>
      <c r="I294" s="186">
        <v>85927.097156571996</v>
      </c>
      <c r="J294" s="187">
        <v>171854.19431314399</v>
      </c>
      <c r="K294" s="182" t="s">
        <v>1436</v>
      </c>
      <c r="L294" s="182">
        <v>2</v>
      </c>
      <c r="M294" s="182" t="s">
        <v>1438</v>
      </c>
      <c r="N294" s="186">
        <v>400</v>
      </c>
      <c r="O294" s="188">
        <v>5.0000000000000001E-3</v>
      </c>
      <c r="P294" s="188" t="s">
        <v>573</v>
      </c>
      <c r="Q294" s="188">
        <v>0</v>
      </c>
      <c r="R294" s="189" t="s">
        <v>573</v>
      </c>
      <c r="S294" s="189" t="s">
        <v>573</v>
      </c>
    </row>
    <row r="295" spans="1:19" ht="15" customHeight="1" x14ac:dyDescent="0.3">
      <c r="A295" s="182" t="s">
        <v>1432</v>
      </c>
      <c r="B295" s="182" t="s">
        <v>937</v>
      </c>
      <c r="C295" s="182" t="s">
        <v>938</v>
      </c>
      <c r="D295" s="190" t="s">
        <v>944</v>
      </c>
      <c r="E295" s="183" t="s">
        <v>945</v>
      </c>
      <c r="F295" s="183" t="s">
        <v>941</v>
      </c>
      <c r="G295" s="184">
        <v>2</v>
      </c>
      <c r="H295" s="185">
        <v>0</v>
      </c>
      <c r="I295" s="186">
        <v>85927.097156571996</v>
      </c>
      <c r="J295" s="187">
        <v>171854.19431314399</v>
      </c>
      <c r="K295" s="182" t="s">
        <v>1436</v>
      </c>
      <c r="L295" s="182">
        <v>3</v>
      </c>
      <c r="M295" s="182" t="s">
        <v>1439</v>
      </c>
      <c r="N295" s="186">
        <v>400</v>
      </c>
      <c r="O295" s="188">
        <v>5.0000000000000001E-3</v>
      </c>
      <c r="P295" s="188" t="s">
        <v>573</v>
      </c>
      <c r="Q295" s="188">
        <v>0</v>
      </c>
      <c r="R295" s="189" t="s">
        <v>573</v>
      </c>
      <c r="S295" s="189" t="s">
        <v>573</v>
      </c>
    </row>
    <row r="296" spans="1:19" ht="15" customHeight="1" x14ac:dyDescent="0.3">
      <c r="A296" s="182" t="s">
        <v>1440</v>
      </c>
      <c r="B296" s="182" t="s">
        <v>908</v>
      </c>
      <c r="C296" s="182" t="s">
        <v>909</v>
      </c>
      <c r="D296" s="182" t="s">
        <v>1404</v>
      </c>
      <c r="E296" s="183" t="s">
        <v>1405</v>
      </c>
      <c r="F296" s="183" t="s">
        <v>1046</v>
      </c>
      <c r="G296" s="184">
        <v>6.5000000000000002E-2</v>
      </c>
      <c r="H296" s="185">
        <v>0.15</v>
      </c>
      <c r="I296" s="186">
        <v>2302.02</v>
      </c>
      <c r="J296" s="187">
        <v>172.07599500000001</v>
      </c>
      <c r="K296" s="182" t="s">
        <v>1441</v>
      </c>
      <c r="L296" s="182">
        <v>1</v>
      </c>
      <c r="M296" s="182" t="s">
        <v>1442</v>
      </c>
      <c r="N296" s="186">
        <v>150</v>
      </c>
      <c r="O296" s="188">
        <v>6.5000000000000002E-2</v>
      </c>
      <c r="P296" s="188" t="s">
        <v>573</v>
      </c>
      <c r="Q296" s="188">
        <v>0</v>
      </c>
      <c r="R296" s="189" t="s">
        <v>573</v>
      </c>
      <c r="S296" s="189" t="s">
        <v>573</v>
      </c>
    </row>
    <row r="297" spans="1:19" ht="15" customHeight="1" x14ac:dyDescent="0.3">
      <c r="A297" s="182" t="s">
        <v>1440</v>
      </c>
      <c r="B297" s="182" t="s">
        <v>908</v>
      </c>
      <c r="C297" s="182" t="s">
        <v>909</v>
      </c>
      <c r="D297" s="182" t="s">
        <v>1408</v>
      </c>
      <c r="E297" s="183" t="s">
        <v>1409</v>
      </c>
      <c r="F297" s="183" t="s">
        <v>1410</v>
      </c>
      <c r="G297" s="184">
        <v>8.3333333333333301E-2</v>
      </c>
      <c r="H297" s="185">
        <v>7.0000000000000007E-2</v>
      </c>
      <c r="I297" s="186">
        <v>1269.26</v>
      </c>
      <c r="J297" s="187">
        <v>113.175683333333</v>
      </c>
      <c r="K297" s="182" t="s">
        <v>1441</v>
      </c>
      <c r="L297" s="182">
        <v>2</v>
      </c>
      <c r="M297" s="182" t="s">
        <v>1443</v>
      </c>
      <c r="N297" s="186">
        <v>150</v>
      </c>
      <c r="O297" s="188">
        <v>8.3333333333333301E-2</v>
      </c>
      <c r="P297" s="188" t="s">
        <v>573</v>
      </c>
      <c r="Q297" s="188">
        <v>0</v>
      </c>
      <c r="R297" s="189" t="s">
        <v>573</v>
      </c>
      <c r="S297" s="189" t="s">
        <v>573</v>
      </c>
    </row>
    <row r="298" spans="1:19" ht="15" customHeight="1" x14ac:dyDescent="0.3">
      <c r="A298" s="182" t="s">
        <v>1440</v>
      </c>
      <c r="B298" s="182" t="s">
        <v>937</v>
      </c>
      <c r="C298" s="182" t="s">
        <v>938</v>
      </c>
      <c r="D298" s="190" t="s">
        <v>944</v>
      </c>
      <c r="E298" s="183" t="s">
        <v>945</v>
      </c>
      <c r="F298" s="183" t="s">
        <v>941</v>
      </c>
      <c r="G298" s="184">
        <v>3</v>
      </c>
      <c r="H298" s="185">
        <v>0</v>
      </c>
      <c r="I298" s="186">
        <v>85927.097156571996</v>
      </c>
      <c r="J298" s="187">
        <v>257781.291469716</v>
      </c>
      <c r="K298" s="182" t="s">
        <v>1444</v>
      </c>
      <c r="L298" s="182">
        <v>1</v>
      </c>
      <c r="M298" s="182" t="s">
        <v>1445</v>
      </c>
      <c r="N298" s="186">
        <v>150</v>
      </c>
      <c r="O298" s="188">
        <v>0.02</v>
      </c>
      <c r="P298" s="188" t="s">
        <v>573</v>
      </c>
      <c r="Q298" s="188">
        <v>0</v>
      </c>
      <c r="R298" s="189" t="s">
        <v>573</v>
      </c>
      <c r="S298" s="189" t="s">
        <v>573</v>
      </c>
    </row>
    <row r="299" spans="1:19" ht="15" customHeight="1" x14ac:dyDescent="0.3">
      <c r="A299" s="182" t="s">
        <v>1440</v>
      </c>
      <c r="B299" s="182" t="s">
        <v>937</v>
      </c>
      <c r="C299" s="182" t="s">
        <v>938</v>
      </c>
      <c r="D299" s="190" t="s">
        <v>944</v>
      </c>
      <c r="E299" s="183" t="s">
        <v>945</v>
      </c>
      <c r="F299" s="183" t="s">
        <v>941</v>
      </c>
      <c r="G299" s="184">
        <v>2</v>
      </c>
      <c r="H299" s="185">
        <v>0</v>
      </c>
      <c r="I299" s="186">
        <v>85927.097156571996</v>
      </c>
      <c r="J299" s="187">
        <v>171854.19431314399</v>
      </c>
      <c r="K299" s="182" t="s">
        <v>1444</v>
      </c>
      <c r="L299" s="182">
        <v>2</v>
      </c>
      <c r="M299" s="182" t="s">
        <v>1446</v>
      </c>
      <c r="N299" s="186">
        <v>150</v>
      </c>
      <c r="O299" s="188">
        <v>1.3333333333333299E-2</v>
      </c>
      <c r="P299" s="188" t="s">
        <v>573</v>
      </c>
      <c r="Q299" s="188">
        <v>0</v>
      </c>
      <c r="R299" s="189" t="s">
        <v>573</v>
      </c>
      <c r="S299" s="189" t="s">
        <v>573</v>
      </c>
    </row>
    <row r="300" spans="1:19" ht="15" customHeight="1" x14ac:dyDescent="0.3">
      <c r="A300" s="182" t="s">
        <v>1447</v>
      </c>
      <c r="B300" s="182" t="s">
        <v>908</v>
      </c>
      <c r="C300" s="182" t="s">
        <v>909</v>
      </c>
      <c r="D300" s="182" t="s">
        <v>1404</v>
      </c>
      <c r="E300" s="183" t="s">
        <v>1405</v>
      </c>
      <c r="F300" s="183" t="s">
        <v>1046</v>
      </c>
      <c r="G300" s="184">
        <v>6.7000000000000004E-2</v>
      </c>
      <c r="H300" s="185">
        <v>0.15</v>
      </c>
      <c r="I300" s="186">
        <v>2302.02</v>
      </c>
      <c r="J300" s="187">
        <v>177.37064100000001</v>
      </c>
      <c r="K300" s="182" t="s">
        <v>1448</v>
      </c>
      <c r="L300" s="182">
        <v>1</v>
      </c>
      <c r="M300" s="182" t="s">
        <v>1449</v>
      </c>
      <c r="N300" s="186">
        <v>400</v>
      </c>
      <c r="O300" s="188">
        <v>6.7000000000000004E-2</v>
      </c>
      <c r="P300" s="188" t="s">
        <v>573</v>
      </c>
      <c r="Q300" s="188">
        <v>0</v>
      </c>
      <c r="R300" s="189" t="s">
        <v>573</v>
      </c>
      <c r="S300" s="189" t="s">
        <v>573</v>
      </c>
    </row>
    <row r="301" spans="1:19" ht="15" customHeight="1" x14ac:dyDescent="0.3">
      <c r="A301" s="182" t="s">
        <v>1447</v>
      </c>
      <c r="B301" s="182" t="s">
        <v>908</v>
      </c>
      <c r="C301" s="182" t="s">
        <v>909</v>
      </c>
      <c r="D301" s="182" t="s">
        <v>1408</v>
      </c>
      <c r="E301" s="183" t="s">
        <v>1409</v>
      </c>
      <c r="F301" s="183" t="s">
        <v>1410</v>
      </c>
      <c r="G301" s="184">
        <v>1</v>
      </c>
      <c r="H301" s="185">
        <v>7.0000000000000007E-2</v>
      </c>
      <c r="I301" s="186">
        <v>1269.26</v>
      </c>
      <c r="J301" s="187">
        <v>1358.1081999999999</v>
      </c>
      <c r="K301" s="182" t="s">
        <v>1448</v>
      </c>
      <c r="L301" s="182">
        <v>2</v>
      </c>
      <c r="M301" s="182" t="s">
        <v>1450</v>
      </c>
      <c r="N301" s="186">
        <v>400</v>
      </c>
      <c r="O301" s="188">
        <v>1</v>
      </c>
      <c r="P301" s="188" t="s">
        <v>573</v>
      </c>
      <c r="Q301" s="188">
        <v>0</v>
      </c>
      <c r="R301" s="189" t="s">
        <v>573</v>
      </c>
      <c r="S301" s="189" t="s">
        <v>573</v>
      </c>
    </row>
    <row r="302" spans="1:19" ht="15" customHeight="1" x14ac:dyDescent="0.3">
      <c r="A302" s="182" t="s">
        <v>1447</v>
      </c>
      <c r="B302" s="182" t="s">
        <v>937</v>
      </c>
      <c r="C302" s="182" t="s">
        <v>938</v>
      </c>
      <c r="D302" s="190" t="s">
        <v>939</v>
      </c>
      <c r="E302" s="183" t="s">
        <v>940</v>
      </c>
      <c r="F302" s="183" t="s">
        <v>941</v>
      </c>
      <c r="G302" s="184">
        <v>1</v>
      </c>
      <c r="H302" s="185">
        <v>0</v>
      </c>
      <c r="I302" s="186">
        <v>60860.580776572002</v>
      </c>
      <c r="J302" s="187">
        <v>60860.580776572002</v>
      </c>
      <c r="K302" s="182" t="s">
        <v>1451</v>
      </c>
      <c r="L302" s="182">
        <v>1</v>
      </c>
      <c r="M302" s="182" t="s">
        <v>1452</v>
      </c>
      <c r="N302" s="186">
        <v>400</v>
      </c>
      <c r="O302" s="188">
        <v>2.5000000000000001E-3</v>
      </c>
      <c r="P302" s="188" t="s">
        <v>573</v>
      </c>
      <c r="Q302" s="188">
        <v>0</v>
      </c>
      <c r="R302" s="189" t="s">
        <v>573</v>
      </c>
      <c r="S302" s="189" t="s">
        <v>573</v>
      </c>
    </row>
    <row r="303" spans="1:19" ht="15" customHeight="1" x14ac:dyDescent="0.3">
      <c r="A303" s="182" t="s">
        <v>1447</v>
      </c>
      <c r="B303" s="182" t="s">
        <v>937</v>
      </c>
      <c r="C303" s="182" t="s">
        <v>938</v>
      </c>
      <c r="D303" s="190" t="s">
        <v>944</v>
      </c>
      <c r="E303" s="183" t="s">
        <v>945</v>
      </c>
      <c r="F303" s="183" t="s">
        <v>941</v>
      </c>
      <c r="G303" s="184">
        <v>2</v>
      </c>
      <c r="H303" s="185">
        <v>0</v>
      </c>
      <c r="I303" s="186">
        <v>85927.097156571996</v>
      </c>
      <c r="J303" s="187">
        <v>171854.19431314399</v>
      </c>
      <c r="K303" s="182" t="s">
        <v>1451</v>
      </c>
      <c r="L303" s="182">
        <v>2</v>
      </c>
      <c r="M303" s="182" t="s">
        <v>1453</v>
      </c>
      <c r="N303" s="186">
        <v>400</v>
      </c>
      <c r="O303" s="188">
        <v>5.0000000000000001E-3</v>
      </c>
      <c r="P303" s="188" t="s">
        <v>573</v>
      </c>
      <c r="Q303" s="188">
        <v>0</v>
      </c>
      <c r="R303" s="189" t="s">
        <v>573</v>
      </c>
      <c r="S303" s="189" t="s">
        <v>573</v>
      </c>
    </row>
    <row r="304" spans="1:19" ht="15" customHeight="1" x14ac:dyDescent="0.3">
      <c r="A304" s="182" t="s">
        <v>1447</v>
      </c>
      <c r="B304" s="182" t="s">
        <v>937</v>
      </c>
      <c r="C304" s="182" t="s">
        <v>938</v>
      </c>
      <c r="D304" s="190" t="s">
        <v>944</v>
      </c>
      <c r="E304" s="183" t="s">
        <v>945</v>
      </c>
      <c r="F304" s="183" t="s">
        <v>941</v>
      </c>
      <c r="G304" s="184">
        <v>2</v>
      </c>
      <c r="H304" s="185">
        <v>0</v>
      </c>
      <c r="I304" s="186">
        <v>85927.097156571996</v>
      </c>
      <c r="J304" s="187">
        <v>171854.19431314399</v>
      </c>
      <c r="K304" s="182" t="s">
        <v>1451</v>
      </c>
      <c r="L304" s="182">
        <v>3</v>
      </c>
      <c r="M304" s="182" t="s">
        <v>1454</v>
      </c>
      <c r="N304" s="186">
        <v>400</v>
      </c>
      <c r="O304" s="188">
        <v>5.0000000000000001E-3</v>
      </c>
      <c r="P304" s="188" t="s">
        <v>573</v>
      </c>
      <c r="Q304" s="188">
        <v>0</v>
      </c>
      <c r="R304" s="189" t="s">
        <v>573</v>
      </c>
      <c r="S304" s="189" t="s">
        <v>573</v>
      </c>
    </row>
    <row r="305" spans="1:19" ht="15" customHeight="1" x14ac:dyDescent="0.3">
      <c r="A305" s="182" t="s">
        <v>1455</v>
      </c>
      <c r="B305" s="182" t="s">
        <v>563</v>
      </c>
      <c r="C305" s="182"/>
      <c r="D305" s="182" t="s">
        <v>1456</v>
      </c>
      <c r="E305" s="183" t="s">
        <v>1457</v>
      </c>
      <c r="F305" s="183"/>
      <c r="G305" s="184">
        <v>1</v>
      </c>
      <c r="H305" s="185">
        <v>0</v>
      </c>
      <c r="I305" s="186">
        <v>140.198092594309</v>
      </c>
      <c r="J305" s="187">
        <v>140.198092594309</v>
      </c>
      <c r="K305" s="182" t="s">
        <v>1458</v>
      </c>
      <c r="L305" s="182">
        <v>1</v>
      </c>
      <c r="M305" s="182" t="s">
        <v>1459</v>
      </c>
      <c r="N305" s="186">
        <v>9.5</v>
      </c>
      <c r="O305" s="188">
        <v>1</v>
      </c>
      <c r="P305" s="188" t="s">
        <v>573</v>
      </c>
      <c r="Q305" s="188">
        <v>0</v>
      </c>
      <c r="R305" s="189" t="s">
        <v>573</v>
      </c>
      <c r="S305" s="189" t="s">
        <v>573</v>
      </c>
    </row>
    <row r="306" spans="1:19" ht="15" customHeight="1" x14ac:dyDescent="0.3">
      <c r="A306" s="182" t="s">
        <v>1455</v>
      </c>
      <c r="B306" s="182" t="s">
        <v>563</v>
      </c>
      <c r="C306" s="182"/>
      <c r="D306" s="182" t="s">
        <v>1460</v>
      </c>
      <c r="E306" s="183" t="s">
        <v>1461</v>
      </c>
      <c r="F306" s="183"/>
      <c r="G306" s="184">
        <v>1</v>
      </c>
      <c r="H306" s="185">
        <v>0</v>
      </c>
      <c r="I306" s="186">
        <v>2365.2381485799501</v>
      </c>
      <c r="J306" s="187">
        <v>2365.2381485799501</v>
      </c>
      <c r="K306" s="182" t="s">
        <v>1458</v>
      </c>
      <c r="L306" s="182">
        <v>2</v>
      </c>
      <c r="M306" s="182" t="s">
        <v>1462</v>
      </c>
      <c r="N306" s="186">
        <v>9.5</v>
      </c>
      <c r="O306" s="188">
        <v>1</v>
      </c>
      <c r="P306" s="188" t="s">
        <v>573</v>
      </c>
      <c r="Q306" s="188">
        <v>0</v>
      </c>
      <c r="R306" s="189" t="s">
        <v>573</v>
      </c>
      <c r="S306" s="189" t="s">
        <v>573</v>
      </c>
    </row>
    <row r="307" spans="1:19" ht="15" customHeight="1" x14ac:dyDescent="0.3">
      <c r="A307" s="182" t="s">
        <v>1455</v>
      </c>
      <c r="B307" s="182" t="s">
        <v>908</v>
      </c>
      <c r="C307" s="182" t="s">
        <v>909</v>
      </c>
      <c r="D307" s="182" t="s">
        <v>1463</v>
      </c>
      <c r="E307" s="183" t="s">
        <v>1464</v>
      </c>
      <c r="F307" s="183" t="s">
        <v>600</v>
      </c>
      <c r="G307" s="184">
        <v>0.507692307692308</v>
      </c>
      <c r="H307" s="185">
        <v>0.1</v>
      </c>
      <c r="I307" s="186">
        <v>2147.85</v>
      </c>
      <c r="J307" s="187">
        <v>1199.49161538462</v>
      </c>
      <c r="K307" s="182" t="s">
        <v>1465</v>
      </c>
      <c r="L307" s="182">
        <v>1</v>
      </c>
      <c r="M307" s="182" t="s">
        <v>1466</v>
      </c>
      <c r="N307" s="186">
        <v>9.5</v>
      </c>
      <c r="O307" s="188">
        <v>0.507692307692308</v>
      </c>
      <c r="P307" s="188" t="s">
        <v>573</v>
      </c>
      <c r="Q307" s="188">
        <v>0</v>
      </c>
      <c r="R307" s="189" t="s">
        <v>573</v>
      </c>
      <c r="S307" s="189" t="s">
        <v>573</v>
      </c>
    </row>
    <row r="308" spans="1:19" ht="15" customHeight="1" x14ac:dyDescent="0.3">
      <c r="A308" s="182" t="s">
        <v>1455</v>
      </c>
      <c r="B308" s="182" t="s">
        <v>908</v>
      </c>
      <c r="C308" s="182" t="s">
        <v>909</v>
      </c>
      <c r="D308" s="182" t="s">
        <v>1467</v>
      </c>
      <c r="E308" s="183" t="s">
        <v>1468</v>
      </c>
      <c r="F308" s="183" t="s">
        <v>600</v>
      </c>
      <c r="G308" s="184">
        <v>1.2307692307692299</v>
      </c>
      <c r="H308" s="185">
        <v>0.1</v>
      </c>
      <c r="I308" s="186">
        <v>2468.66</v>
      </c>
      <c r="J308" s="187">
        <v>3342.18584615384</v>
      </c>
      <c r="K308" s="182" t="s">
        <v>1465</v>
      </c>
      <c r="L308" s="182">
        <v>2</v>
      </c>
      <c r="M308" s="182" t="s">
        <v>1469</v>
      </c>
      <c r="N308" s="186">
        <v>9.5</v>
      </c>
      <c r="O308" s="188">
        <v>1.2307692307692299</v>
      </c>
      <c r="P308" s="188" t="s">
        <v>573</v>
      </c>
      <c r="Q308" s="188">
        <v>0</v>
      </c>
      <c r="R308" s="189" t="s">
        <v>573</v>
      </c>
      <c r="S308" s="189" t="s">
        <v>573</v>
      </c>
    </row>
    <row r="309" spans="1:19" ht="15" customHeight="1" x14ac:dyDescent="0.3">
      <c r="A309" s="182" t="s">
        <v>1455</v>
      </c>
      <c r="B309" s="182" t="s">
        <v>908</v>
      </c>
      <c r="C309" s="182" t="s">
        <v>909</v>
      </c>
      <c r="D309" s="182" t="s">
        <v>1470</v>
      </c>
      <c r="E309" s="183" t="s">
        <v>1471</v>
      </c>
      <c r="F309" s="183" t="s">
        <v>600</v>
      </c>
      <c r="G309" s="184">
        <v>2.8125000000000001E-2</v>
      </c>
      <c r="H309" s="185">
        <v>0.05</v>
      </c>
      <c r="I309" s="186">
        <v>26872.02</v>
      </c>
      <c r="J309" s="187">
        <v>793.564340625</v>
      </c>
      <c r="K309" s="182" t="s">
        <v>1465</v>
      </c>
      <c r="L309" s="182">
        <v>3</v>
      </c>
      <c r="M309" s="182" t="s">
        <v>1472</v>
      </c>
      <c r="N309" s="186">
        <v>9.5</v>
      </c>
      <c r="O309" s="188">
        <v>2.8125000000000001E-2</v>
      </c>
      <c r="P309" s="188" t="s">
        <v>573</v>
      </c>
      <c r="Q309" s="188">
        <v>0</v>
      </c>
      <c r="R309" s="189" t="s">
        <v>573</v>
      </c>
      <c r="S309" s="189" t="s">
        <v>573</v>
      </c>
    </row>
    <row r="310" spans="1:19" ht="15" customHeight="1" x14ac:dyDescent="0.3">
      <c r="A310" s="182" t="s">
        <v>1455</v>
      </c>
      <c r="B310" s="182" t="s">
        <v>908</v>
      </c>
      <c r="C310" s="182" t="s">
        <v>909</v>
      </c>
      <c r="D310" s="182" t="s">
        <v>1473</v>
      </c>
      <c r="E310" s="183" t="s">
        <v>1474</v>
      </c>
      <c r="F310" s="183" t="s">
        <v>600</v>
      </c>
      <c r="G310" s="184">
        <v>16</v>
      </c>
      <c r="H310" s="185">
        <v>0.05</v>
      </c>
      <c r="I310" s="186">
        <v>32.707173553719002</v>
      </c>
      <c r="J310" s="187">
        <v>549.48051570247901</v>
      </c>
      <c r="K310" s="182" t="s">
        <v>1465</v>
      </c>
      <c r="L310" s="182">
        <v>4</v>
      </c>
      <c r="M310" s="182" t="s">
        <v>1475</v>
      </c>
      <c r="N310" s="186">
        <v>9.5</v>
      </c>
      <c r="O310" s="188">
        <v>16</v>
      </c>
      <c r="P310" s="188" t="s">
        <v>573</v>
      </c>
      <c r="Q310" s="188">
        <v>0</v>
      </c>
      <c r="R310" s="189" t="s">
        <v>573</v>
      </c>
      <c r="S310" s="189" t="s">
        <v>573</v>
      </c>
    </row>
    <row r="311" spans="1:19" ht="15" customHeight="1" x14ac:dyDescent="0.3">
      <c r="A311" s="182" t="s">
        <v>1455</v>
      </c>
      <c r="B311" s="182" t="s">
        <v>908</v>
      </c>
      <c r="C311" s="182" t="s">
        <v>909</v>
      </c>
      <c r="D311" s="182" t="s">
        <v>1476</v>
      </c>
      <c r="E311" s="183" t="s">
        <v>1477</v>
      </c>
      <c r="F311" s="183" t="s">
        <v>600</v>
      </c>
      <c r="G311" s="184">
        <v>18</v>
      </c>
      <c r="H311" s="185">
        <v>0.05</v>
      </c>
      <c r="I311" s="186">
        <v>17.1963177226814</v>
      </c>
      <c r="J311" s="187">
        <v>325.01040495867898</v>
      </c>
      <c r="K311" s="182" t="s">
        <v>1465</v>
      </c>
      <c r="L311" s="182">
        <v>5</v>
      </c>
      <c r="M311" s="182" t="s">
        <v>1478</v>
      </c>
      <c r="N311" s="186">
        <v>9.5</v>
      </c>
      <c r="O311" s="188">
        <v>18</v>
      </c>
      <c r="P311" s="188" t="s">
        <v>573</v>
      </c>
      <c r="Q311" s="188">
        <v>0</v>
      </c>
      <c r="R311" s="189" t="s">
        <v>573</v>
      </c>
      <c r="S311" s="189" t="s">
        <v>573</v>
      </c>
    </row>
    <row r="312" spans="1:19" ht="15" customHeight="1" x14ac:dyDescent="0.3">
      <c r="A312" s="182" t="s">
        <v>1455</v>
      </c>
      <c r="B312" s="182" t="s">
        <v>908</v>
      </c>
      <c r="C312" s="182" t="s">
        <v>909</v>
      </c>
      <c r="D312" s="182" t="s">
        <v>1479</v>
      </c>
      <c r="E312" s="183" t="s">
        <v>1480</v>
      </c>
      <c r="F312" s="183" t="s">
        <v>600</v>
      </c>
      <c r="G312" s="184">
        <v>6</v>
      </c>
      <c r="H312" s="185">
        <v>0.05</v>
      </c>
      <c r="I312" s="186">
        <v>65.919008264462803</v>
      </c>
      <c r="J312" s="187">
        <v>415.28975206611602</v>
      </c>
      <c r="K312" s="182" t="s">
        <v>1465</v>
      </c>
      <c r="L312" s="182">
        <v>6</v>
      </c>
      <c r="M312" s="182" t="s">
        <v>1481</v>
      </c>
      <c r="N312" s="186">
        <v>9.5</v>
      </c>
      <c r="O312" s="188">
        <v>6</v>
      </c>
      <c r="P312" s="188" t="s">
        <v>573</v>
      </c>
      <c r="Q312" s="188">
        <v>0</v>
      </c>
      <c r="R312" s="189" t="s">
        <v>573</v>
      </c>
      <c r="S312" s="189" t="s">
        <v>573</v>
      </c>
    </row>
    <row r="313" spans="1:19" ht="15" customHeight="1" x14ac:dyDescent="0.3">
      <c r="A313" s="182" t="s">
        <v>1455</v>
      </c>
      <c r="B313" s="182" t="s">
        <v>908</v>
      </c>
      <c r="C313" s="182" t="s">
        <v>909</v>
      </c>
      <c r="D313" s="182" t="s">
        <v>1482</v>
      </c>
      <c r="E313" s="183" t="s">
        <v>1483</v>
      </c>
      <c r="F313" s="183" t="s">
        <v>600</v>
      </c>
      <c r="G313" s="184">
        <v>1.8333333333333299E-2</v>
      </c>
      <c r="H313" s="185">
        <v>0.05</v>
      </c>
      <c r="I313" s="186">
        <v>4042.71</v>
      </c>
      <c r="J313" s="187">
        <v>77.822167499999907</v>
      </c>
      <c r="K313" s="182" t="s">
        <v>1465</v>
      </c>
      <c r="L313" s="182">
        <v>7</v>
      </c>
      <c r="M313" s="182" t="s">
        <v>1484</v>
      </c>
      <c r="N313" s="186">
        <v>9.5</v>
      </c>
      <c r="O313" s="188">
        <v>1.8333333333333299E-2</v>
      </c>
      <c r="P313" s="188" t="s">
        <v>573</v>
      </c>
      <c r="Q313" s="188">
        <v>0</v>
      </c>
      <c r="R313" s="189" t="s">
        <v>573</v>
      </c>
      <c r="S313" s="189" t="s">
        <v>573</v>
      </c>
    </row>
    <row r="314" spans="1:19" ht="15" customHeight="1" x14ac:dyDescent="0.3">
      <c r="A314" s="182" t="s">
        <v>1455</v>
      </c>
      <c r="B314" s="182" t="s">
        <v>908</v>
      </c>
      <c r="C314" s="182" t="s">
        <v>909</v>
      </c>
      <c r="D314" s="182" t="s">
        <v>1485</v>
      </c>
      <c r="E314" s="183" t="s">
        <v>1486</v>
      </c>
      <c r="F314" s="183" t="s">
        <v>600</v>
      </c>
      <c r="G314" s="184">
        <v>0.36</v>
      </c>
      <c r="H314" s="185">
        <v>0.1</v>
      </c>
      <c r="I314" s="186">
        <v>10022.959999999999</v>
      </c>
      <c r="J314" s="187">
        <v>3969.0921600000001</v>
      </c>
      <c r="K314" s="182" t="s">
        <v>1465</v>
      </c>
      <c r="L314" s="182">
        <v>8</v>
      </c>
      <c r="M314" s="182" t="s">
        <v>1487</v>
      </c>
      <c r="N314" s="186">
        <v>9.5</v>
      </c>
      <c r="O314" s="188">
        <v>0.36</v>
      </c>
      <c r="P314" s="188" t="s">
        <v>573</v>
      </c>
      <c r="Q314" s="188">
        <v>0</v>
      </c>
      <c r="R314" s="189" t="s">
        <v>573</v>
      </c>
      <c r="S314" s="189" t="s">
        <v>573</v>
      </c>
    </row>
    <row r="315" spans="1:19" ht="15" customHeight="1" x14ac:dyDescent="0.3">
      <c r="A315" s="182" t="s">
        <v>1455</v>
      </c>
      <c r="B315" s="182" t="s">
        <v>937</v>
      </c>
      <c r="C315" s="182" t="s">
        <v>938</v>
      </c>
      <c r="D315" s="190" t="s">
        <v>1291</v>
      </c>
      <c r="E315" s="183" t="s">
        <v>1292</v>
      </c>
      <c r="F315" s="183" t="s">
        <v>941</v>
      </c>
      <c r="G315" s="184">
        <v>1</v>
      </c>
      <c r="H315" s="185">
        <v>0</v>
      </c>
      <c r="I315" s="186">
        <v>65493.071636572</v>
      </c>
      <c r="J315" s="187">
        <v>65493.071636572</v>
      </c>
      <c r="K315" s="182" t="s">
        <v>1488</v>
      </c>
      <c r="L315" s="182">
        <v>1</v>
      </c>
      <c r="M315" s="182" t="s">
        <v>1489</v>
      </c>
      <c r="N315" s="186">
        <v>9.5</v>
      </c>
      <c r="O315" s="188">
        <v>0.105263157894737</v>
      </c>
      <c r="P315" s="188" t="s">
        <v>573</v>
      </c>
      <c r="Q315" s="188">
        <v>0</v>
      </c>
      <c r="R315" s="189" t="s">
        <v>573</v>
      </c>
      <c r="S315" s="189" t="s">
        <v>573</v>
      </c>
    </row>
    <row r="316" spans="1:19" ht="15" customHeight="1" x14ac:dyDescent="0.3">
      <c r="A316" s="182" t="s">
        <v>1455</v>
      </c>
      <c r="B316" s="182" t="s">
        <v>937</v>
      </c>
      <c r="C316" s="182" t="s">
        <v>938</v>
      </c>
      <c r="D316" s="190" t="s">
        <v>944</v>
      </c>
      <c r="E316" s="183" t="s">
        <v>945</v>
      </c>
      <c r="F316" s="183" t="s">
        <v>941</v>
      </c>
      <c r="G316" s="184">
        <v>1</v>
      </c>
      <c r="H316" s="185">
        <v>0</v>
      </c>
      <c r="I316" s="186">
        <v>85927.097156571996</v>
      </c>
      <c r="J316" s="187">
        <v>85927.097156571996</v>
      </c>
      <c r="K316" s="182" t="s">
        <v>1488</v>
      </c>
      <c r="L316" s="182">
        <v>2</v>
      </c>
      <c r="M316" s="182" t="s">
        <v>1490</v>
      </c>
      <c r="N316" s="186">
        <v>9.5</v>
      </c>
      <c r="O316" s="188">
        <v>0.105263157894737</v>
      </c>
      <c r="P316" s="188" t="s">
        <v>573</v>
      </c>
      <c r="Q316" s="188">
        <v>0</v>
      </c>
      <c r="R316" s="189" t="s">
        <v>573</v>
      </c>
      <c r="S316" s="189" t="s">
        <v>573</v>
      </c>
    </row>
    <row r="317" spans="1:19" ht="15" customHeight="1" x14ac:dyDescent="0.3">
      <c r="A317" s="182" t="s">
        <v>1491</v>
      </c>
      <c r="B317" s="182" t="s">
        <v>563</v>
      </c>
      <c r="C317" s="182"/>
      <c r="D317" s="182" t="s">
        <v>1456</v>
      </c>
      <c r="E317" s="183" t="s">
        <v>1457</v>
      </c>
      <c r="F317" s="183"/>
      <c r="G317" s="184">
        <v>1</v>
      </c>
      <c r="H317" s="185">
        <v>0</v>
      </c>
      <c r="I317" s="186">
        <v>140.198092594309</v>
      </c>
      <c r="J317" s="187">
        <v>140.198092594309</v>
      </c>
      <c r="K317" s="182" t="s">
        <v>1492</v>
      </c>
      <c r="L317" s="182">
        <v>1</v>
      </c>
      <c r="M317" s="182" t="s">
        <v>1493</v>
      </c>
      <c r="N317" s="186">
        <v>9.5</v>
      </c>
      <c r="O317" s="188">
        <v>1</v>
      </c>
      <c r="P317" s="188" t="s">
        <v>573</v>
      </c>
      <c r="Q317" s="188">
        <v>0</v>
      </c>
      <c r="R317" s="189" t="s">
        <v>573</v>
      </c>
      <c r="S317" s="189" t="s">
        <v>573</v>
      </c>
    </row>
    <row r="318" spans="1:19" ht="15" customHeight="1" x14ac:dyDescent="0.3">
      <c r="A318" s="182" t="s">
        <v>1491</v>
      </c>
      <c r="B318" s="182" t="s">
        <v>563</v>
      </c>
      <c r="C318" s="182"/>
      <c r="D318" s="182" t="s">
        <v>1460</v>
      </c>
      <c r="E318" s="183" t="s">
        <v>1461</v>
      </c>
      <c r="F318" s="183"/>
      <c r="G318" s="184">
        <v>1</v>
      </c>
      <c r="H318" s="185">
        <v>0</v>
      </c>
      <c r="I318" s="186">
        <v>2365.2381485799501</v>
      </c>
      <c r="J318" s="187">
        <v>2365.2381485799501</v>
      </c>
      <c r="K318" s="182" t="s">
        <v>1492</v>
      </c>
      <c r="L318" s="182">
        <v>2</v>
      </c>
      <c r="M318" s="182" t="s">
        <v>1494</v>
      </c>
      <c r="N318" s="186">
        <v>9.5</v>
      </c>
      <c r="O318" s="188">
        <v>1</v>
      </c>
      <c r="P318" s="188" t="s">
        <v>573</v>
      </c>
      <c r="Q318" s="188">
        <v>0</v>
      </c>
      <c r="R318" s="189" t="s">
        <v>573</v>
      </c>
      <c r="S318" s="189" t="s">
        <v>573</v>
      </c>
    </row>
    <row r="319" spans="1:19" ht="15" customHeight="1" x14ac:dyDescent="0.3">
      <c r="A319" s="182" t="s">
        <v>1491</v>
      </c>
      <c r="B319" s="182" t="s">
        <v>908</v>
      </c>
      <c r="C319" s="182" t="s">
        <v>909</v>
      </c>
      <c r="D319" s="182" t="s">
        <v>1495</v>
      </c>
      <c r="E319" s="183" t="s">
        <v>1496</v>
      </c>
      <c r="F319" s="183" t="s">
        <v>600</v>
      </c>
      <c r="G319" s="184">
        <v>0.507692307692308</v>
      </c>
      <c r="H319" s="185">
        <v>0.1</v>
      </c>
      <c r="I319" s="186">
        <v>2932.93</v>
      </c>
      <c r="J319" s="187">
        <v>1637.9286</v>
      </c>
      <c r="K319" s="182" t="s">
        <v>1497</v>
      </c>
      <c r="L319" s="182">
        <v>1</v>
      </c>
      <c r="M319" s="182" t="s">
        <v>1498</v>
      </c>
      <c r="N319" s="186">
        <v>9.5</v>
      </c>
      <c r="O319" s="188">
        <v>0.507692307692308</v>
      </c>
      <c r="P319" s="188" t="s">
        <v>573</v>
      </c>
      <c r="Q319" s="188">
        <v>0</v>
      </c>
      <c r="R319" s="189" t="s">
        <v>573</v>
      </c>
      <c r="S319" s="189" t="s">
        <v>573</v>
      </c>
    </row>
    <row r="320" spans="1:19" ht="15" customHeight="1" x14ac:dyDescent="0.3">
      <c r="A320" s="182" t="s">
        <v>1491</v>
      </c>
      <c r="B320" s="182" t="s">
        <v>908</v>
      </c>
      <c r="C320" s="182" t="s">
        <v>909</v>
      </c>
      <c r="D320" s="182" t="s">
        <v>1499</v>
      </c>
      <c r="E320" s="183" t="s">
        <v>1500</v>
      </c>
      <c r="F320" s="183" t="s">
        <v>600</v>
      </c>
      <c r="G320" s="184">
        <v>1.2307692307692299</v>
      </c>
      <c r="H320" s="185">
        <v>0.1</v>
      </c>
      <c r="I320" s="186">
        <v>3295.47</v>
      </c>
      <c r="J320" s="187">
        <v>4461.5593846153797</v>
      </c>
      <c r="K320" s="182" t="s">
        <v>1497</v>
      </c>
      <c r="L320" s="182">
        <v>2</v>
      </c>
      <c r="M320" s="182" t="s">
        <v>1501</v>
      </c>
      <c r="N320" s="186">
        <v>9.5</v>
      </c>
      <c r="O320" s="188">
        <v>1.2307692307692299</v>
      </c>
      <c r="P320" s="188" t="s">
        <v>573</v>
      </c>
      <c r="Q320" s="188">
        <v>0</v>
      </c>
      <c r="R320" s="189" t="s">
        <v>573</v>
      </c>
      <c r="S320" s="189" t="s">
        <v>573</v>
      </c>
    </row>
    <row r="321" spans="1:19" ht="15" customHeight="1" x14ac:dyDescent="0.3">
      <c r="A321" s="182" t="s">
        <v>1491</v>
      </c>
      <c r="B321" s="182" t="s">
        <v>908</v>
      </c>
      <c r="C321" s="182" t="s">
        <v>909</v>
      </c>
      <c r="D321" s="182" t="s">
        <v>1470</v>
      </c>
      <c r="E321" s="183" t="s">
        <v>1471</v>
      </c>
      <c r="F321" s="183" t="s">
        <v>600</v>
      </c>
      <c r="G321" s="184">
        <v>2.8125000000000001E-2</v>
      </c>
      <c r="H321" s="185">
        <v>0.05</v>
      </c>
      <c r="I321" s="186">
        <v>26872.02</v>
      </c>
      <c r="J321" s="187">
        <v>793.564340625</v>
      </c>
      <c r="K321" s="182" t="s">
        <v>1497</v>
      </c>
      <c r="L321" s="182">
        <v>3</v>
      </c>
      <c r="M321" s="182" t="s">
        <v>1502</v>
      </c>
      <c r="N321" s="186">
        <v>9.5</v>
      </c>
      <c r="O321" s="188">
        <v>2.8125000000000001E-2</v>
      </c>
      <c r="P321" s="188" t="s">
        <v>573</v>
      </c>
      <c r="Q321" s="188">
        <v>0</v>
      </c>
      <c r="R321" s="189" t="s">
        <v>573</v>
      </c>
      <c r="S321" s="189" t="s">
        <v>573</v>
      </c>
    </row>
    <row r="322" spans="1:19" ht="15" customHeight="1" x14ac:dyDescent="0.3">
      <c r="A322" s="182" t="s">
        <v>1491</v>
      </c>
      <c r="B322" s="182" t="s">
        <v>908</v>
      </c>
      <c r="C322" s="182" t="s">
        <v>909</v>
      </c>
      <c r="D322" s="182" t="s">
        <v>1473</v>
      </c>
      <c r="E322" s="183" t="s">
        <v>1474</v>
      </c>
      <c r="F322" s="183" t="s">
        <v>600</v>
      </c>
      <c r="G322" s="184">
        <v>16</v>
      </c>
      <c r="H322" s="185">
        <v>0.05</v>
      </c>
      <c r="I322" s="186">
        <v>32.707173553719002</v>
      </c>
      <c r="J322" s="187">
        <v>549.48051570247901</v>
      </c>
      <c r="K322" s="182" t="s">
        <v>1497</v>
      </c>
      <c r="L322" s="182">
        <v>4</v>
      </c>
      <c r="M322" s="182" t="s">
        <v>1503</v>
      </c>
      <c r="N322" s="186">
        <v>9.5</v>
      </c>
      <c r="O322" s="188">
        <v>16</v>
      </c>
      <c r="P322" s="188" t="s">
        <v>573</v>
      </c>
      <c r="Q322" s="188">
        <v>0</v>
      </c>
      <c r="R322" s="189" t="s">
        <v>573</v>
      </c>
      <c r="S322" s="189" t="s">
        <v>573</v>
      </c>
    </row>
    <row r="323" spans="1:19" ht="15" customHeight="1" x14ac:dyDescent="0.3">
      <c r="A323" s="182" t="s">
        <v>1491</v>
      </c>
      <c r="B323" s="182" t="s">
        <v>908</v>
      </c>
      <c r="C323" s="182" t="s">
        <v>909</v>
      </c>
      <c r="D323" s="182" t="s">
        <v>1476</v>
      </c>
      <c r="E323" s="183" t="s">
        <v>1477</v>
      </c>
      <c r="F323" s="183" t="s">
        <v>600</v>
      </c>
      <c r="G323" s="184">
        <v>18</v>
      </c>
      <c r="H323" s="185">
        <v>0.05</v>
      </c>
      <c r="I323" s="186">
        <v>17.1963177226814</v>
      </c>
      <c r="J323" s="187">
        <v>325.01040495867898</v>
      </c>
      <c r="K323" s="182" t="s">
        <v>1497</v>
      </c>
      <c r="L323" s="182">
        <v>5</v>
      </c>
      <c r="M323" s="182" t="s">
        <v>1504</v>
      </c>
      <c r="N323" s="186">
        <v>9.5</v>
      </c>
      <c r="O323" s="188">
        <v>18</v>
      </c>
      <c r="P323" s="188" t="s">
        <v>573</v>
      </c>
      <c r="Q323" s="188">
        <v>0</v>
      </c>
      <c r="R323" s="189" t="s">
        <v>573</v>
      </c>
      <c r="S323" s="189" t="s">
        <v>573</v>
      </c>
    </row>
    <row r="324" spans="1:19" ht="15" customHeight="1" x14ac:dyDescent="0.3">
      <c r="A324" s="182" t="s">
        <v>1491</v>
      </c>
      <c r="B324" s="182" t="s">
        <v>908</v>
      </c>
      <c r="C324" s="182" t="s">
        <v>909</v>
      </c>
      <c r="D324" s="182" t="s">
        <v>1479</v>
      </c>
      <c r="E324" s="183" t="s">
        <v>1480</v>
      </c>
      <c r="F324" s="183" t="s">
        <v>600</v>
      </c>
      <c r="G324" s="184">
        <v>6</v>
      </c>
      <c r="H324" s="185">
        <v>0.05</v>
      </c>
      <c r="I324" s="186">
        <v>65.919008264462803</v>
      </c>
      <c r="J324" s="187">
        <v>415.28975206611602</v>
      </c>
      <c r="K324" s="182" t="s">
        <v>1497</v>
      </c>
      <c r="L324" s="182">
        <v>6</v>
      </c>
      <c r="M324" s="182" t="s">
        <v>1505</v>
      </c>
      <c r="N324" s="186">
        <v>9.5</v>
      </c>
      <c r="O324" s="188">
        <v>6</v>
      </c>
      <c r="P324" s="188" t="s">
        <v>573</v>
      </c>
      <c r="Q324" s="188">
        <v>0</v>
      </c>
      <c r="R324" s="189" t="s">
        <v>573</v>
      </c>
      <c r="S324" s="189" t="s">
        <v>573</v>
      </c>
    </row>
    <row r="325" spans="1:19" ht="15" customHeight="1" x14ac:dyDescent="0.3">
      <c r="A325" s="182" t="s">
        <v>1491</v>
      </c>
      <c r="B325" s="182" t="s">
        <v>908</v>
      </c>
      <c r="C325" s="182" t="s">
        <v>909</v>
      </c>
      <c r="D325" s="182" t="s">
        <v>1482</v>
      </c>
      <c r="E325" s="183" t="s">
        <v>1483</v>
      </c>
      <c r="F325" s="183" t="s">
        <v>600</v>
      </c>
      <c r="G325" s="184">
        <v>1.8333333333333299E-2</v>
      </c>
      <c r="H325" s="185">
        <v>0.05</v>
      </c>
      <c r="I325" s="186">
        <v>4042.71</v>
      </c>
      <c r="J325" s="187">
        <v>77.822167499999907</v>
      </c>
      <c r="K325" s="182" t="s">
        <v>1497</v>
      </c>
      <c r="L325" s="182">
        <v>7</v>
      </c>
      <c r="M325" s="182" t="s">
        <v>1506</v>
      </c>
      <c r="N325" s="186">
        <v>9.5</v>
      </c>
      <c r="O325" s="188">
        <v>1.8333333333333299E-2</v>
      </c>
      <c r="P325" s="188" t="s">
        <v>573</v>
      </c>
      <c r="Q325" s="188">
        <v>0</v>
      </c>
      <c r="R325" s="189" t="s">
        <v>573</v>
      </c>
      <c r="S325" s="189" t="s">
        <v>573</v>
      </c>
    </row>
    <row r="326" spans="1:19" ht="15" customHeight="1" x14ac:dyDescent="0.3">
      <c r="A326" s="182" t="s">
        <v>1491</v>
      </c>
      <c r="B326" s="182" t="s">
        <v>908</v>
      </c>
      <c r="C326" s="182" t="s">
        <v>909</v>
      </c>
      <c r="D326" s="182" t="s">
        <v>1507</v>
      </c>
      <c r="E326" s="183" t="s">
        <v>1508</v>
      </c>
      <c r="F326" s="183" t="s">
        <v>600</v>
      </c>
      <c r="G326" s="184">
        <v>0.36</v>
      </c>
      <c r="H326" s="185">
        <v>0.1</v>
      </c>
      <c r="I326" s="186">
        <v>16160.1</v>
      </c>
      <c r="J326" s="187">
        <v>6399.3995999999997</v>
      </c>
      <c r="K326" s="182" t="s">
        <v>1497</v>
      </c>
      <c r="L326" s="182">
        <v>8</v>
      </c>
      <c r="M326" s="182" t="s">
        <v>1509</v>
      </c>
      <c r="N326" s="186">
        <v>9.5</v>
      </c>
      <c r="O326" s="188">
        <v>0.36</v>
      </c>
      <c r="P326" s="188" t="s">
        <v>573</v>
      </c>
      <c r="Q326" s="188">
        <v>0</v>
      </c>
      <c r="R326" s="189" t="s">
        <v>573</v>
      </c>
      <c r="S326" s="189" t="s">
        <v>573</v>
      </c>
    </row>
    <row r="327" spans="1:19" ht="15" customHeight="1" x14ac:dyDescent="0.3">
      <c r="A327" s="182" t="s">
        <v>1491</v>
      </c>
      <c r="B327" s="182" t="s">
        <v>937</v>
      </c>
      <c r="C327" s="182" t="s">
        <v>938</v>
      </c>
      <c r="D327" s="190" t="s">
        <v>1291</v>
      </c>
      <c r="E327" s="183" t="s">
        <v>1292</v>
      </c>
      <c r="F327" s="183" t="s">
        <v>941</v>
      </c>
      <c r="G327" s="184">
        <v>1</v>
      </c>
      <c r="H327" s="185">
        <v>0</v>
      </c>
      <c r="I327" s="186">
        <v>65493.071636572</v>
      </c>
      <c r="J327" s="187">
        <v>65493.071636572</v>
      </c>
      <c r="K327" s="182" t="s">
        <v>1510</v>
      </c>
      <c r="L327" s="182">
        <v>1</v>
      </c>
      <c r="M327" s="182" t="s">
        <v>1511</v>
      </c>
      <c r="N327" s="186">
        <v>9.5</v>
      </c>
      <c r="O327" s="188">
        <v>0.105263157894737</v>
      </c>
      <c r="P327" s="188" t="s">
        <v>573</v>
      </c>
      <c r="Q327" s="188">
        <v>0</v>
      </c>
      <c r="R327" s="189" t="s">
        <v>573</v>
      </c>
      <c r="S327" s="189" t="s">
        <v>573</v>
      </c>
    </row>
    <row r="328" spans="1:19" ht="15" customHeight="1" x14ac:dyDescent="0.3">
      <c r="A328" s="182" t="s">
        <v>1491</v>
      </c>
      <c r="B328" s="182" t="s">
        <v>937</v>
      </c>
      <c r="C328" s="182" t="s">
        <v>938</v>
      </c>
      <c r="D328" s="190" t="s">
        <v>944</v>
      </c>
      <c r="E328" s="183" t="s">
        <v>945</v>
      </c>
      <c r="F328" s="183" t="s">
        <v>941</v>
      </c>
      <c r="G328" s="184">
        <v>1</v>
      </c>
      <c r="H328" s="185">
        <v>0</v>
      </c>
      <c r="I328" s="186">
        <v>85927.097156571996</v>
      </c>
      <c r="J328" s="187">
        <v>85927.097156571996</v>
      </c>
      <c r="K328" s="182" t="s">
        <v>1510</v>
      </c>
      <c r="L328" s="182">
        <v>2</v>
      </c>
      <c r="M328" s="182" t="s">
        <v>1512</v>
      </c>
      <c r="N328" s="186">
        <v>9.5</v>
      </c>
      <c r="O328" s="188">
        <v>0.105263157894737</v>
      </c>
      <c r="P328" s="188" t="s">
        <v>573</v>
      </c>
      <c r="Q328" s="188">
        <v>0</v>
      </c>
      <c r="R328" s="189" t="s">
        <v>573</v>
      </c>
      <c r="S328" s="189" t="s">
        <v>573</v>
      </c>
    </row>
    <row r="329" spans="1:19" ht="15" customHeight="1" x14ac:dyDescent="0.3">
      <c r="A329" s="182" t="s">
        <v>1513</v>
      </c>
      <c r="B329" s="182" t="s">
        <v>563</v>
      </c>
      <c r="C329" s="182"/>
      <c r="D329" s="182" t="s">
        <v>1460</v>
      </c>
      <c r="E329" s="183" t="s">
        <v>1461</v>
      </c>
      <c r="F329" s="183"/>
      <c r="G329" s="184">
        <v>1</v>
      </c>
      <c r="H329" s="185">
        <v>0</v>
      </c>
      <c r="I329" s="186">
        <v>2365.2381485799501</v>
      </c>
      <c r="J329" s="187">
        <v>2365.2381485799501</v>
      </c>
      <c r="K329" s="182" t="s">
        <v>1514</v>
      </c>
      <c r="L329" s="182">
        <v>1</v>
      </c>
      <c r="M329" s="182" t="s">
        <v>1515</v>
      </c>
      <c r="N329" s="186">
        <v>9.5</v>
      </c>
      <c r="O329" s="188">
        <v>1</v>
      </c>
      <c r="P329" s="188" t="s">
        <v>573</v>
      </c>
      <c r="Q329" s="188">
        <v>0</v>
      </c>
      <c r="R329" s="189" t="s">
        <v>573</v>
      </c>
      <c r="S329" s="189" t="s">
        <v>573</v>
      </c>
    </row>
    <row r="330" spans="1:19" ht="15" customHeight="1" x14ac:dyDescent="0.3">
      <c r="A330" s="182" t="s">
        <v>1513</v>
      </c>
      <c r="B330" s="182" t="s">
        <v>563</v>
      </c>
      <c r="C330" s="182"/>
      <c r="D330" s="182" t="s">
        <v>1456</v>
      </c>
      <c r="E330" s="183" t="s">
        <v>1457</v>
      </c>
      <c r="F330" s="183"/>
      <c r="G330" s="184">
        <v>1</v>
      </c>
      <c r="H330" s="185">
        <v>0</v>
      </c>
      <c r="I330" s="186">
        <v>140.198092594309</v>
      </c>
      <c r="J330" s="187">
        <v>140.198092594309</v>
      </c>
      <c r="K330" s="182" t="s">
        <v>1514</v>
      </c>
      <c r="L330" s="182">
        <v>2</v>
      </c>
      <c r="M330" s="182" t="s">
        <v>1516</v>
      </c>
      <c r="N330" s="186">
        <v>9.5</v>
      </c>
      <c r="O330" s="188">
        <v>1</v>
      </c>
      <c r="P330" s="188" t="s">
        <v>573</v>
      </c>
      <c r="Q330" s="188">
        <v>0</v>
      </c>
      <c r="R330" s="189" t="s">
        <v>573</v>
      </c>
      <c r="S330" s="189" t="s">
        <v>573</v>
      </c>
    </row>
    <row r="331" spans="1:19" ht="15" customHeight="1" x14ac:dyDescent="0.3">
      <c r="A331" s="182" t="s">
        <v>1513</v>
      </c>
      <c r="B331" s="182" t="s">
        <v>908</v>
      </c>
      <c r="C331" s="182" t="s">
        <v>909</v>
      </c>
      <c r="D331" s="182" t="s">
        <v>1495</v>
      </c>
      <c r="E331" s="183" t="s">
        <v>1496</v>
      </c>
      <c r="F331" s="183" t="s">
        <v>600</v>
      </c>
      <c r="G331" s="184">
        <v>0.50770000000000004</v>
      </c>
      <c r="H331" s="185">
        <v>0.1</v>
      </c>
      <c r="I331" s="186">
        <v>2932.93</v>
      </c>
      <c r="J331" s="187">
        <v>1637.9534171</v>
      </c>
      <c r="K331" s="182" t="s">
        <v>1517</v>
      </c>
      <c r="L331" s="182">
        <v>1</v>
      </c>
      <c r="M331" s="182" t="s">
        <v>1518</v>
      </c>
      <c r="N331" s="186">
        <v>9.5</v>
      </c>
      <c r="O331" s="188">
        <v>0.50770000000000004</v>
      </c>
      <c r="P331" s="188" t="s">
        <v>573</v>
      </c>
      <c r="Q331" s="188">
        <v>0</v>
      </c>
      <c r="R331" s="189" t="s">
        <v>573</v>
      </c>
      <c r="S331" s="189" t="s">
        <v>573</v>
      </c>
    </row>
    <row r="332" spans="1:19" ht="15" customHeight="1" x14ac:dyDescent="0.3">
      <c r="A332" s="182" t="s">
        <v>1513</v>
      </c>
      <c r="B332" s="182" t="s">
        <v>908</v>
      </c>
      <c r="C332" s="182" t="s">
        <v>909</v>
      </c>
      <c r="D332" s="182" t="s">
        <v>1499</v>
      </c>
      <c r="E332" s="183" t="s">
        <v>1500</v>
      </c>
      <c r="F332" s="183" t="s">
        <v>600</v>
      </c>
      <c r="G332" s="184">
        <v>1.2307692307692299</v>
      </c>
      <c r="H332" s="185">
        <v>0.1</v>
      </c>
      <c r="I332" s="186">
        <v>3295.47</v>
      </c>
      <c r="J332" s="187">
        <v>4461.5593846153797</v>
      </c>
      <c r="K332" s="182" t="s">
        <v>1517</v>
      </c>
      <c r="L332" s="182">
        <v>2</v>
      </c>
      <c r="M332" s="182" t="s">
        <v>1519</v>
      </c>
      <c r="N332" s="186">
        <v>9.5</v>
      </c>
      <c r="O332" s="188">
        <v>1.2307692307692299</v>
      </c>
      <c r="P332" s="188" t="s">
        <v>573</v>
      </c>
      <c r="Q332" s="188">
        <v>0</v>
      </c>
      <c r="R332" s="189" t="s">
        <v>573</v>
      </c>
      <c r="S332" s="189" t="s">
        <v>573</v>
      </c>
    </row>
    <row r="333" spans="1:19" ht="15" customHeight="1" x14ac:dyDescent="0.3">
      <c r="A333" s="182" t="s">
        <v>1513</v>
      </c>
      <c r="B333" s="182" t="s">
        <v>908</v>
      </c>
      <c r="C333" s="182" t="s">
        <v>909</v>
      </c>
      <c r="D333" s="182" t="s">
        <v>1470</v>
      </c>
      <c r="E333" s="183" t="s">
        <v>1471</v>
      </c>
      <c r="F333" s="183" t="s">
        <v>600</v>
      </c>
      <c r="G333" s="184">
        <v>2.8125000000000001E-2</v>
      </c>
      <c r="H333" s="185">
        <v>0.05</v>
      </c>
      <c r="I333" s="186">
        <v>26872.02</v>
      </c>
      <c r="J333" s="187">
        <v>793.564340625</v>
      </c>
      <c r="K333" s="182" t="s">
        <v>1517</v>
      </c>
      <c r="L333" s="182">
        <v>3</v>
      </c>
      <c r="M333" s="182" t="s">
        <v>1520</v>
      </c>
      <c r="N333" s="186">
        <v>9.5</v>
      </c>
      <c r="O333" s="188">
        <v>2.8125000000000001E-2</v>
      </c>
      <c r="P333" s="188" t="s">
        <v>573</v>
      </c>
      <c r="Q333" s="188">
        <v>0</v>
      </c>
      <c r="R333" s="189" t="s">
        <v>573</v>
      </c>
      <c r="S333" s="189" t="s">
        <v>573</v>
      </c>
    </row>
    <row r="334" spans="1:19" ht="15" customHeight="1" x14ac:dyDescent="0.3">
      <c r="A334" s="182" t="s">
        <v>1513</v>
      </c>
      <c r="B334" s="182" t="s">
        <v>908</v>
      </c>
      <c r="C334" s="182" t="s">
        <v>909</v>
      </c>
      <c r="D334" s="182" t="s">
        <v>1473</v>
      </c>
      <c r="E334" s="183" t="s">
        <v>1474</v>
      </c>
      <c r="F334" s="183" t="s">
        <v>600</v>
      </c>
      <c r="G334" s="184">
        <v>16</v>
      </c>
      <c r="H334" s="185">
        <v>0.05</v>
      </c>
      <c r="I334" s="186">
        <v>32.707173553719002</v>
      </c>
      <c r="J334" s="187">
        <v>549.48051570247901</v>
      </c>
      <c r="K334" s="182" t="s">
        <v>1517</v>
      </c>
      <c r="L334" s="182">
        <v>4</v>
      </c>
      <c r="M334" s="182" t="s">
        <v>1521</v>
      </c>
      <c r="N334" s="186">
        <v>9.5</v>
      </c>
      <c r="O334" s="188">
        <v>16</v>
      </c>
      <c r="P334" s="188" t="s">
        <v>573</v>
      </c>
      <c r="Q334" s="188">
        <v>0</v>
      </c>
      <c r="R334" s="189" t="s">
        <v>573</v>
      </c>
      <c r="S334" s="189" t="s">
        <v>573</v>
      </c>
    </row>
    <row r="335" spans="1:19" ht="15" customHeight="1" x14ac:dyDescent="0.3">
      <c r="A335" s="182" t="s">
        <v>1513</v>
      </c>
      <c r="B335" s="182" t="s">
        <v>908</v>
      </c>
      <c r="C335" s="182" t="s">
        <v>909</v>
      </c>
      <c r="D335" s="182" t="s">
        <v>1476</v>
      </c>
      <c r="E335" s="183" t="s">
        <v>1477</v>
      </c>
      <c r="F335" s="183" t="s">
        <v>600</v>
      </c>
      <c r="G335" s="184">
        <v>18</v>
      </c>
      <c r="H335" s="185">
        <v>0.05</v>
      </c>
      <c r="I335" s="186">
        <v>17.1963177226814</v>
      </c>
      <c r="J335" s="187">
        <v>325.01040495867898</v>
      </c>
      <c r="K335" s="182" t="s">
        <v>1517</v>
      </c>
      <c r="L335" s="182">
        <v>5</v>
      </c>
      <c r="M335" s="182" t="s">
        <v>1522</v>
      </c>
      <c r="N335" s="186">
        <v>9.5</v>
      </c>
      <c r="O335" s="188">
        <v>18</v>
      </c>
      <c r="P335" s="188" t="s">
        <v>573</v>
      </c>
      <c r="Q335" s="188">
        <v>0</v>
      </c>
      <c r="R335" s="189" t="s">
        <v>573</v>
      </c>
      <c r="S335" s="189" t="s">
        <v>573</v>
      </c>
    </row>
    <row r="336" spans="1:19" ht="15" customHeight="1" x14ac:dyDescent="0.3">
      <c r="A336" s="182" t="s">
        <v>1513</v>
      </c>
      <c r="B336" s="182" t="s">
        <v>908</v>
      </c>
      <c r="C336" s="182" t="s">
        <v>909</v>
      </c>
      <c r="D336" s="182" t="s">
        <v>1479</v>
      </c>
      <c r="E336" s="183" t="s">
        <v>1480</v>
      </c>
      <c r="F336" s="183" t="s">
        <v>600</v>
      </c>
      <c r="G336" s="184">
        <v>6</v>
      </c>
      <c r="H336" s="185">
        <v>0.05</v>
      </c>
      <c r="I336" s="186">
        <v>65.919008264462803</v>
      </c>
      <c r="J336" s="187">
        <v>415.28975206611602</v>
      </c>
      <c r="K336" s="182" t="s">
        <v>1517</v>
      </c>
      <c r="L336" s="182">
        <v>6</v>
      </c>
      <c r="M336" s="182" t="s">
        <v>1523</v>
      </c>
      <c r="N336" s="186">
        <v>9.5</v>
      </c>
      <c r="O336" s="188">
        <v>6</v>
      </c>
      <c r="P336" s="188" t="s">
        <v>573</v>
      </c>
      <c r="Q336" s="188">
        <v>0</v>
      </c>
      <c r="R336" s="189" t="s">
        <v>573</v>
      </c>
      <c r="S336" s="189" t="s">
        <v>573</v>
      </c>
    </row>
    <row r="337" spans="1:19" ht="15" customHeight="1" x14ac:dyDescent="0.3">
      <c r="A337" s="182" t="s">
        <v>1513</v>
      </c>
      <c r="B337" s="182" t="s">
        <v>908</v>
      </c>
      <c r="C337" s="182" t="s">
        <v>909</v>
      </c>
      <c r="D337" s="182" t="s">
        <v>1482</v>
      </c>
      <c r="E337" s="183" t="s">
        <v>1483</v>
      </c>
      <c r="F337" s="183" t="s">
        <v>600</v>
      </c>
      <c r="G337" s="184">
        <v>1.8333333333333299E-2</v>
      </c>
      <c r="H337" s="185">
        <v>0.05</v>
      </c>
      <c r="I337" s="186">
        <v>4042.71</v>
      </c>
      <c r="J337" s="187">
        <v>77.822167499999907</v>
      </c>
      <c r="K337" s="182" t="s">
        <v>1517</v>
      </c>
      <c r="L337" s="182">
        <v>7</v>
      </c>
      <c r="M337" s="182" t="s">
        <v>1524</v>
      </c>
      <c r="N337" s="186">
        <v>9.5</v>
      </c>
      <c r="O337" s="188">
        <v>1.8333333333333299E-2</v>
      </c>
      <c r="P337" s="188" t="s">
        <v>573</v>
      </c>
      <c r="Q337" s="188">
        <v>0</v>
      </c>
      <c r="R337" s="189" t="s">
        <v>573</v>
      </c>
      <c r="S337" s="189" t="s">
        <v>573</v>
      </c>
    </row>
    <row r="338" spans="1:19" ht="15" customHeight="1" x14ac:dyDescent="0.3">
      <c r="A338" s="182" t="s">
        <v>1513</v>
      </c>
      <c r="B338" s="182" t="s">
        <v>908</v>
      </c>
      <c r="C338" s="182" t="s">
        <v>909</v>
      </c>
      <c r="D338" s="182" t="s">
        <v>1525</v>
      </c>
      <c r="E338" s="183" t="s">
        <v>1526</v>
      </c>
      <c r="F338" s="183" t="s">
        <v>600</v>
      </c>
      <c r="G338" s="184">
        <v>0.36</v>
      </c>
      <c r="H338" s="185">
        <v>0.1</v>
      </c>
      <c r="I338" s="186">
        <v>14217.87</v>
      </c>
      <c r="J338" s="187">
        <v>5630.2765200000003</v>
      </c>
      <c r="K338" s="182" t="s">
        <v>1517</v>
      </c>
      <c r="L338" s="182">
        <v>8</v>
      </c>
      <c r="M338" s="182" t="s">
        <v>1527</v>
      </c>
      <c r="N338" s="186">
        <v>9.5</v>
      </c>
      <c r="O338" s="188">
        <v>0.36</v>
      </c>
      <c r="P338" s="188" t="s">
        <v>573</v>
      </c>
      <c r="Q338" s="188">
        <v>0</v>
      </c>
      <c r="R338" s="189" t="s">
        <v>573</v>
      </c>
      <c r="S338" s="189" t="s">
        <v>573</v>
      </c>
    </row>
    <row r="339" spans="1:19" ht="15" customHeight="1" x14ac:dyDescent="0.3">
      <c r="A339" s="182" t="s">
        <v>1513</v>
      </c>
      <c r="B339" s="182" t="s">
        <v>937</v>
      </c>
      <c r="C339" s="182" t="s">
        <v>938</v>
      </c>
      <c r="D339" s="190" t="s">
        <v>1291</v>
      </c>
      <c r="E339" s="183" t="s">
        <v>1292</v>
      </c>
      <c r="F339" s="183" t="s">
        <v>941</v>
      </c>
      <c r="G339" s="184">
        <v>1</v>
      </c>
      <c r="H339" s="185">
        <v>0</v>
      </c>
      <c r="I339" s="186">
        <v>65493.071636572</v>
      </c>
      <c r="J339" s="187">
        <v>65493.071636572</v>
      </c>
      <c r="K339" s="182" t="s">
        <v>1528</v>
      </c>
      <c r="L339" s="182">
        <v>1</v>
      </c>
      <c r="M339" s="182" t="s">
        <v>1529</v>
      </c>
      <c r="N339" s="186">
        <v>9.5</v>
      </c>
      <c r="O339" s="188">
        <v>0.105263157894737</v>
      </c>
      <c r="P339" s="188" t="s">
        <v>573</v>
      </c>
      <c r="Q339" s="188">
        <v>0</v>
      </c>
      <c r="R339" s="189" t="s">
        <v>573</v>
      </c>
      <c r="S339" s="189" t="s">
        <v>573</v>
      </c>
    </row>
    <row r="340" spans="1:19" ht="15" customHeight="1" x14ac:dyDescent="0.3">
      <c r="A340" s="182" t="s">
        <v>1513</v>
      </c>
      <c r="B340" s="182" t="s">
        <v>937</v>
      </c>
      <c r="C340" s="182" t="s">
        <v>938</v>
      </c>
      <c r="D340" s="190" t="s">
        <v>944</v>
      </c>
      <c r="E340" s="183" t="s">
        <v>945</v>
      </c>
      <c r="F340" s="183" t="s">
        <v>941</v>
      </c>
      <c r="G340" s="184">
        <v>1</v>
      </c>
      <c r="H340" s="185">
        <v>0</v>
      </c>
      <c r="I340" s="186">
        <v>85927.097156571996</v>
      </c>
      <c r="J340" s="187">
        <v>85927.097156571996</v>
      </c>
      <c r="K340" s="182" t="s">
        <v>1528</v>
      </c>
      <c r="L340" s="182">
        <v>2</v>
      </c>
      <c r="M340" s="182" t="s">
        <v>1530</v>
      </c>
      <c r="N340" s="186">
        <v>9.5</v>
      </c>
      <c r="O340" s="188">
        <v>0.105263157894737</v>
      </c>
      <c r="P340" s="188" t="s">
        <v>573</v>
      </c>
      <c r="Q340" s="188">
        <v>0</v>
      </c>
      <c r="R340" s="189" t="s">
        <v>573</v>
      </c>
      <c r="S340" s="189" t="s">
        <v>573</v>
      </c>
    </row>
    <row r="341" spans="1:19" ht="15" customHeight="1" x14ac:dyDescent="0.3">
      <c r="A341" s="182" t="s">
        <v>1531</v>
      </c>
      <c r="B341" s="182" t="s">
        <v>563</v>
      </c>
      <c r="C341" s="182"/>
      <c r="D341" s="182" t="s">
        <v>1456</v>
      </c>
      <c r="E341" s="183" t="s">
        <v>1457</v>
      </c>
      <c r="F341" s="183"/>
      <c r="G341" s="184">
        <v>1</v>
      </c>
      <c r="H341" s="185">
        <v>0</v>
      </c>
      <c r="I341" s="186">
        <v>140.198092594309</v>
      </c>
      <c r="J341" s="187">
        <v>140.198092594309</v>
      </c>
      <c r="K341" s="182" t="s">
        <v>1532</v>
      </c>
      <c r="L341" s="182">
        <v>1</v>
      </c>
      <c r="M341" s="182" t="s">
        <v>1533</v>
      </c>
      <c r="N341" s="186">
        <v>10</v>
      </c>
      <c r="O341" s="188">
        <v>1</v>
      </c>
      <c r="P341" s="188" t="s">
        <v>573</v>
      </c>
      <c r="Q341" s="188">
        <v>0</v>
      </c>
      <c r="R341" s="189" t="s">
        <v>573</v>
      </c>
      <c r="S341" s="189" t="s">
        <v>573</v>
      </c>
    </row>
    <row r="342" spans="1:19" ht="15" customHeight="1" x14ac:dyDescent="0.3">
      <c r="A342" s="182" t="s">
        <v>1531</v>
      </c>
      <c r="B342" s="182" t="s">
        <v>563</v>
      </c>
      <c r="C342" s="182"/>
      <c r="D342" s="182" t="s">
        <v>1460</v>
      </c>
      <c r="E342" s="183" t="s">
        <v>1461</v>
      </c>
      <c r="F342" s="183"/>
      <c r="G342" s="184">
        <v>1</v>
      </c>
      <c r="H342" s="185">
        <v>0</v>
      </c>
      <c r="I342" s="186">
        <v>2365.2381485799501</v>
      </c>
      <c r="J342" s="187">
        <v>2365.2381485799501</v>
      </c>
      <c r="K342" s="182" t="s">
        <v>1532</v>
      </c>
      <c r="L342" s="182">
        <v>2</v>
      </c>
      <c r="M342" s="182" t="s">
        <v>1534</v>
      </c>
      <c r="N342" s="186">
        <v>10</v>
      </c>
      <c r="O342" s="188">
        <v>1</v>
      </c>
      <c r="P342" s="188" t="s">
        <v>573</v>
      </c>
      <c r="Q342" s="188">
        <v>0</v>
      </c>
      <c r="R342" s="189" t="s">
        <v>573</v>
      </c>
      <c r="S342" s="189" t="s">
        <v>573</v>
      </c>
    </row>
    <row r="343" spans="1:19" ht="15" customHeight="1" x14ac:dyDescent="0.3">
      <c r="A343" s="182" t="s">
        <v>1531</v>
      </c>
      <c r="B343" s="182" t="s">
        <v>908</v>
      </c>
      <c r="C343" s="182" t="s">
        <v>909</v>
      </c>
      <c r="D343" s="182" t="s">
        <v>1535</v>
      </c>
      <c r="E343" s="183" t="s">
        <v>1536</v>
      </c>
      <c r="F343" s="183" t="s">
        <v>600</v>
      </c>
      <c r="G343" s="184">
        <v>0.06</v>
      </c>
      <c r="H343" s="185">
        <v>0.05</v>
      </c>
      <c r="I343" s="186">
        <v>2474.34710743802</v>
      </c>
      <c r="J343" s="187">
        <v>155.883867768595</v>
      </c>
      <c r="K343" s="182" t="s">
        <v>1537</v>
      </c>
      <c r="L343" s="182">
        <v>1</v>
      </c>
      <c r="M343" s="182" t="s">
        <v>1538</v>
      </c>
      <c r="N343" s="186">
        <v>10</v>
      </c>
      <c r="O343" s="188">
        <v>0.06</v>
      </c>
      <c r="P343" s="188" t="s">
        <v>573</v>
      </c>
      <c r="Q343" s="188">
        <v>0</v>
      </c>
      <c r="R343" s="189" t="s">
        <v>573</v>
      </c>
      <c r="S343" s="189" t="s">
        <v>573</v>
      </c>
    </row>
    <row r="344" spans="1:19" ht="15" customHeight="1" x14ac:dyDescent="0.3">
      <c r="A344" s="182" t="s">
        <v>1531</v>
      </c>
      <c r="B344" s="182" t="s">
        <v>908</v>
      </c>
      <c r="C344" s="182" t="s">
        <v>909</v>
      </c>
      <c r="D344" s="182" t="s">
        <v>1539</v>
      </c>
      <c r="E344" s="183" t="s">
        <v>1540</v>
      </c>
      <c r="F344" s="183" t="s">
        <v>600</v>
      </c>
      <c r="G344" s="184">
        <v>0.49</v>
      </c>
      <c r="H344" s="185">
        <v>0.1</v>
      </c>
      <c r="I344" s="186">
        <v>2470.5619834710801</v>
      </c>
      <c r="J344" s="187">
        <v>1331.6329090909101</v>
      </c>
      <c r="K344" s="182" t="s">
        <v>1537</v>
      </c>
      <c r="L344" s="182">
        <v>2</v>
      </c>
      <c r="M344" s="182" t="s">
        <v>1541</v>
      </c>
      <c r="N344" s="186">
        <v>10</v>
      </c>
      <c r="O344" s="188">
        <v>0.49</v>
      </c>
      <c r="P344" s="188" t="s">
        <v>573</v>
      </c>
      <c r="Q344" s="188">
        <v>0</v>
      </c>
      <c r="R344" s="189" t="s">
        <v>573</v>
      </c>
      <c r="S344" s="189" t="s">
        <v>573</v>
      </c>
    </row>
    <row r="345" spans="1:19" ht="15" customHeight="1" x14ac:dyDescent="0.3">
      <c r="A345" s="182" t="s">
        <v>1531</v>
      </c>
      <c r="B345" s="182" t="s">
        <v>908</v>
      </c>
      <c r="C345" s="182" t="s">
        <v>909</v>
      </c>
      <c r="D345" s="182" t="s">
        <v>1479</v>
      </c>
      <c r="E345" s="183" t="s">
        <v>1480</v>
      </c>
      <c r="F345" s="183" t="s">
        <v>600</v>
      </c>
      <c r="G345" s="184">
        <v>6</v>
      </c>
      <c r="H345" s="185">
        <v>0.05</v>
      </c>
      <c r="I345" s="186">
        <v>65.919008264462803</v>
      </c>
      <c r="J345" s="187">
        <v>415.28975206611602</v>
      </c>
      <c r="K345" s="182" t="s">
        <v>1537</v>
      </c>
      <c r="L345" s="182">
        <v>3</v>
      </c>
      <c r="M345" s="182" t="s">
        <v>1542</v>
      </c>
      <c r="N345" s="186">
        <v>10</v>
      </c>
      <c r="O345" s="188">
        <v>6</v>
      </c>
      <c r="P345" s="188" t="s">
        <v>573</v>
      </c>
      <c r="Q345" s="188">
        <v>0</v>
      </c>
      <c r="R345" s="189" t="s">
        <v>573</v>
      </c>
      <c r="S345" s="189" t="s">
        <v>573</v>
      </c>
    </row>
    <row r="346" spans="1:19" ht="15" customHeight="1" x14ac:dyDescent="0.3">
      <c r="A346" s="182" t="s">
        <v>1531</v>
      </c>
      <c r="B346" s="182" t="s">
        <v>908</v>
      </c>
      <c r="C346" s="182" t="s">
        <v>909</v>
      </c>
      <c r="D346" s="182" t="s">
        <v>1543</v>
      </c>
      <c r="E346" s="183" t="s">
        <v>1544</v>
      </c>
      <c r="F346" s="183" t="s">
        <v>600</v>
      </c>
      <c r="G346" s="184">
        <v>0.44</v>
      </c>
      <c r="H346" s="185">
        <v>0.05</v>
      </c>
      <c r="I346" s="186">
        <v>3894.6611570247901</v>
      </c>
      <c r="J346" s="187">
        <v>1799.33345454545</v>
      </c>
      <c r="K346" s="182" t="s">
        <v>1537</v>
      </c>
      <c r="L346" s="182">
        <v>4</v>
      </c>
      <c r="M346" s="182" t="s">
        <v>1545</v>
      </c>
      <c r="N346" s="186">
        <v>10</v>
      </c>
      <c r="O346" s="188">
        <v>0.44</v>
      </c>
      <c r="P346" s="188" t="s">
        <v>573</v>
      </c>
      <c r="Q346" s="188">
        <v>0</v>
      </c>
      <c r="R346" s="189" t="s">
        <v>573</v>
      </c>
      <c r="S346" s="189" t="s">
        <v>573</v>
      </c>
    </row>
    <row r="347" spans="1:19" ht="15" customHeight="1" x14ac:dyDescent="0.3">
      <c r="A347" s="182" t="s">
        <v>1531</v>
      </c>
      <c r="B347" s="182" t="s">
        <v>908</v>
      </c>
      <c r="C347" s="182" t="s">
        <v>909</v>
      </c>
      <c r="D347" s="182" t="s">
        <v>1546</v>
      </c>
      <c r="E347" s="183" t="s">
        <v>1547</v>
      </c>
      <c r="F347" s="183" t="s">
        <v>600</v>
      </c>
      <c r="G347" s="184">
        <v>2.67</v>
      </c>
      <c r="H347" s="185">
        <v>0.05</v>
      </c>
      <c r="I347" s="186">
        <v>647.24793388429805</v>
      </c>
      <c r="J347" s="187">
        <v>1814.5595826446299</v>
      </c>
      <c r="K347" s="182" t="s">
        <v>1537</v>
      </c>
      <c r="L347" s="182">
        <v>5</v>
      </c>
      <c r="M347" s="182" t="s">
        <v>1548</v>
      </c>
      <c r="N347" s="186">
        <v>10</v>
      </c>
      <c r="O347" s="188">
        <v>2.67</v>
      </c>
      <c r="P347" s="188" t="s">
        <v>573</v>
      </c>
      <c r="Q347" s="188">
        <v>0</v>
      </c>
      <c r="R347" s="189" t="s">
        <v>573</v>
      </c>
      <c r="S347" s="189" t="s">
        <v>573</v>
      </c>
    </row>
    <row r="348" spans="1:19" ht="15" customHeight="1" x14ac:dyDescent="0.3">
      <c r="A348" s="182" t="s">
        <v>1531</v>
      </c>
      <c r="B348" s="182" t="s">
        <v>937</v>
      </c>
      <c r="C348" s="182" t="s">
        <v>938</v>
      </c>
      <c r="D348" s="190" t="s">
        <v>1291</v>
      </c>
      <c r="E348" s="183" t="s">
        <v>1292</v>
      </c>
      <c r="F348" s="183" t="s">
        <v>941</v>
      </c>
      <c r="G348" s="184">
        <v>1</v>
      </c>
      <c r="H348" s="185">
        <v>0</v>
      </c>
      <c r="I348" s="186">
        <v>65493.071636572</v>
      </c>
      <c r="J348" s="187">
        <v>65493.071636572</v>
      </c>
      <c r="K348" s="182" t="s">
        <v>1549</v>
      </c>
      <c r="L348" s="182">
        <v>1</v>
      </c>
      <c r="M348" s="182" t="s">
        <v>1550</v>
      </c>
      <c r="N348" s="186">
        <v>10</v>
      </c>
      <c r="O348" s="188">
        <v>0.1</v>
      </c>
      <c r="P348" s="188" t="s">
        <v>573</v>
      </c>
      <c r="Q348" s="188">
        <v>0</v>
      </c>
      <c r="R348" s="189" t="s">
        <v>573</v>
      </c>
      <c r="S348" s="189" t="s">
        <v>573</v>
      </c>
    </row>
    <row r="349" spans="1:19" ht="15" customHeight="1" x14ac:dyDescent="0.3">
      <c r="A349" s="182" t="s">
        <v>1531</v>
      </c>
      <c r="B349" s="182" t="s">
        <v>937</v>
      </c>
      <c r="C349" s="182" t="s">
        <v>938</v>
      </c>
      <c r="D349" s="190" t="s">
        <v>944</v>
      </c>
      <c r="E349" s="183" t="s">
        <v>945</v>
      </c>
      <c r="F349" s="183" t="s">
        <v>941</v>
      </c>
      <c r="G349" s="184">
        <v>1</v>
      </c>
      <c r="H349" s="185">
        <v>0</v>
      </c>
      <c r="I349" s="186">
        <v>85927.097156571996</v>
      </c>
      <c r="J349" s="187">
        <v>85927.097156571996</v>
      </c>
      <c r="K349" s="182" t="s">
        <v>1549</v>
      </c>
      <c r="L349" s="182">
        <v>2</v>
      </c>
      <c r="M349" s="182" t="s">
        <v>1551</v>
      </c>
      <c r="N349" s="186">
        <v>10</v>
      </c>
      <c r="O349" s="188">
        <v>0.1</v>
      </c>
      <c r="P349" s="188" t="s">
        <v>573</v>
      </c>
      <c r="Q349" s="188">
        <v>0</v>
      </c>
      <c r="R349" s="189" t="s">
        <v>573</v>
      </c>
      <c r="S349" s="189" t="s">
        <v>573</v>
      </c>
    </row>
    <row r="350" spans="1:19" ht="15" customHeight="1" x14ac:dyDescent="0.3">
      <c r="A350" s="182" t="s">
        <v>1552</v>
      </c>
      <c r="B350" s="182" t="s">
        <v>563</v>
      </c>
      <c r="C350" s="182"/>
      <c r="D350" s="182" t="s">
        <v>1460</v>
      </c>
      <c r="E350" s="183" t="s">
        <v>1461</v>
      </c>
      <c r="F350" s="183"/>
      <c r="G350" s="184">
        <v>1</v>
      </c>
      <c r="H350" s="185">
        <v>0</v>
      </c>
      <c r="I350" s="186">
        <v>2365.2381485799501</v>
      </c>
      <c r="J350" s="187">
        <v>2365.2381485799501</v>
      </c>
      <c r="K350" s="182" t="s">
        <v>1553</v>
      </c>
      <c r="L350" s="182">
        <v>1</v>
      </c>
      <c r="M350" s="182" t="s">
        <v>1554</v>
      </c>
      <c r="N350" s="186">
        <v>7</v>
      </c>
      <c r="O350" s="188">
        <v>1</v>
      </c>
      <c r="P350" s="188" t="s">
        <v>573</v>
      </c>
      <c r="Q350" s="188">
        <v>0</v>
      </c>
      <c r="R350" s="189" t="s">
        <v>573</v>
      </c>
      <c r="S350" s="189" t="s">
        <v>573</v>
      </c>
    </row>
    <row r="351" spans="1:19" ht="15" customHeight="1" x14ac:dyDescent="0.3">
      <c r="A351" s="182" t="s">
        <v>1552</v>
      </c>
      <c r="B351" s="182" t="s">
        <v>563</v>
      </c>
      <c r="C351" s="182"/>
      <c r="D351" s="182" t="s">
        <v>1456</v>
      </c>
      <c r="E351" s="183" t="s">
        <v>1457</v>
      </c>
      <c r="F351" s="183"/>
      <c r="G351" s="184">
        <v>0.5</v>
      </c>
      <c r="H351" s="185">
        <v>0</v>
      </c>
      <c r="I351" s="186">
        <v>140.198092594309</v>
      </c>
      <c r="J351" s="187">
        <v>70.099046297154501</v>
      </c>
      <c r="K351" s="182" t="s">
        <v>1553</v>
      </c>
      <c r="L351" s="182">
        <v>2</v>
      </c>
      <c r="M351" s="182" t="s">
        <v>1555</v>
      </c>
      <c r="N351" s="186">
        <v>7</v>
      </c>
      <c r="O351" s="188">
        <v>0.5</v>
      </c>
      <c r="P351" s="188" t="s">
        <v>573</v>
      </c>
      <c r="Q351" s="188">
        <v>0</v>
      </c>
      <c r="R351" s="189" t="s">
        <v>573</v>
      </c>
      <c r="S351" s="189" t="s">
        <v>573</v>
      </c>
    </row>
    <row r="352" spans="1:19" ht="15" customHeight="1" x14ac:dyDescent="0.3">
      <c r="A352" s="182" t="s">
        <v>1552</v>
      </c>
      <c r="B352" s="182" t="s">
        <v>908</v>
      </c>
      <c r="C352" s="182" t="s">
        <v>909</v>
      </c>
      <c r="D352" s="182" t="s">
        <v>1495</v>
      </c>
      <c r="E352" s="183" t="s">
        <v>1496</v>
      </c>
      <c r="F352" s="183" t="s">
        <v>600</v>
      </c>
      <c r="G352" s="184">
        <v>0.46153846153846201</v>
      </c>
      <c r="H352" s="185">
        <v>0.1</v>
      </c>
      <c r="I352" s="186">
        <v>2932.93</v>
      </c>
      <c r="J352" s="187">
        <v>1489.0260000000001</v>
      </c>
      <c r="K352" s="182" t="s">
        <v>1556</v>
      </c>
      <c r="L352" s="182">
        <v>1</v>
      </c>
      <c r="M352" s="182" t="s">
        <v>1557</v>
      </c>
      <c r="N352" s="186">
        <v>7</v>
      </c>
      <c r="O352" s="188">
        <v>0.46153846153846201</v>
      </c>
      <c r="P352" s="188" t="s">
        <v>573</v>
      </c>
      <c r="Q352" s="188">
        <v>0</v>
      </c>
      <c r="R352" s="189" t="s">
        <v>573</v>
      </c>
      <c r="S352" s="189" t="s">
        <v>573</v>
      </c>
    </row>
    <row r="353" spans="1:19" ht="15" customHeight="1" x14ac:dyDescent="0.3">
      <c r="A353" s="182" t="s">
        <v>1552</v>
      </c>
      <c r="B353" s="182" t="s">
        <v>908</v>
      </c>
      <c r="C353" s="182" t="s">
        <v>909</v>
      </c>
      <c r="D353" s="182" t="s">
        <v>1499</v>
      </c>
      <c r="E353" s="183" t="s">
        <v>1500</v>
      </c>
      <c r="F353" s="183" t="s">
        <v>600</v>
      </c>
      <c r="G353" s="184">
        <v>1.15384615384615</v>
      </c>
      <c r="H353" s="185">
        <v>0.1</v>
      </c>
      <c r="I353" s="186">
        <v>3295.47</v>
      </c>
      <c r="J353" s="187">
        <v>4182.7119230769104</v>
      </c>
      <c r="K353" s="182" t="s">
        <v>1556</v>
      </c>
      <c r="L353" s="182">
        <v>2</v>
      </c>
      <c r="M353" s="182" t="s">
        <v>1558</v>
      </c>
      <c r="N353" s="186">
        <v>7</v>
      </c>
      <c r="O353" s="188">
        <v>1.15384615384615</v>
      </c>
      <c r="P353" s="188" t="s">
        <v>573</v>
      </c>
      <c r="Q353" s="188">
        <v>0</v>
      </c>
      <c r="R353" s="189" t="s">
        <v>573</v>
      </c>
      <c r="S353" s="189" t="s">
        <v>573</v>
      </c>
    </row>
    <row r="354" spans="1:19" ht="15" customHeight="1" x14ac:dyDescent="0.3">
      <c r="A354" s="182" t="s">
        <v>1552</v>
      </c>
      <c r="B354" s="182" t="s">
        <v>908</v>
      </c>
      <c r="C354" s="182" t="s">
        <v>909</v>
      </c>
      <c r="D354" s="182" t="s">
        <v>1470</v>
      </c>
      <c r="E354" s="183" t="s">
        <v>1471</v>
      </c>
      <c r="F354" s="183" t="s">
        <v>600</v>
      </c>
      <c r="G354" s="184">
        <v>5.6300000000000003E-2</v>
      </c>
      <c r="H354" s="185">
        <v>0.05</v>
      </c>
      <c r="I354" s="186">
        <v>26872.02</v>
      </c>
      <c r="J354" s="187">
        <v>1588.5394623</v>
      </c>
      <c r="K354" s="182" t="s">
        <v>1556</v>
      </c>
      <c r="L354" s="182">
        <v>3</v>
      </c>
      <c r="M354" s="182" t="s">
        <v>1559</v>
      </c>
      <c r="N354" s="186">
        <v>7</v>
      </c>
      <c r="O354" s="188">
        <v>5.6300000000000003E-2</v>
      </c>
      <c r="P354" s="188" t="s">
        <v>573</v>
      </c>
      <c r="Q354" s="188">
        <v>0</v>
      </c>
      <c r="R354" s="189" t="s">
        <v>573</v>
      </c>
      <c r="S354" s="189" t="s">
        <v>573</v>
      </c>
    </row>
    <row r="355" spans="1:19" ht="15" customHeight="1" x14ac:dyDescent="0.3">
      <c r="A355" s="182" t="s">
        <v>1552</v>
      </c>
      <c r="B355" s="182" t="s">
        <v>908</v>
      </c>
      <c r="C355" s="182" t="s">
        <v>909</v>
      </c>
      <c r="D355" s="182" t="s">
        <v>1473</v>
      </c>
      <c r="E355" s="183" t="s">
        <v>1474</v>
      </c>
      <c r="F355" s="183" t="s">
        <v>600</v>
      </c>
      <c r="G355" s="184">
        <v>10</v>
      </c>
      <c r="H355" s="185">
        <v>0.05</v>
      </c>
      <c r="I355" s="186">
        <v>32.707173553719002</v>
      </c>
      <c r="J355" s="187">
        <v>343.42532231404999</v>
      </c>
      <c r="K355" s="182" t="s">
        <v>1556</v>
      </c>
      <c r="L355" s="182">
        <v>4</v>
      </c>
      <c r="M355" s="182" t="s">
        <v>1560</v>
      </c>
      <c r="N355" s="186">
        <v>7</v>
      </c>
      <c r="O355" s="188">
        <v>10</v>
      </c>
      <c r="P355" s="188" t="s">
        <v>573</v>
      </c>
      <c r="Q355" s="188">
        <v>0</v>
      </c>
      <c r="R355" s="189" t="s">
        <v>573</v>
      </c>
      <c r="S355" s="189" t="s">
        <v>573</v>
      </c>
    </row>
    <row r="356" spans="1:19" ht="15" customHeight="1" x14ac:dyDescent="0.3">
      <c r="A356" s="182" t="s">
        <v>1552</v>
      </c>
      <c r="B356" s="182" t="s">
        <v>908</v>
      </c>
      <c r="C356" s="182" t="s">
        <v>909</v>
      </c>
      <c r="D356" s="182" t="s">
        <v>1476</v>
      </c>
      <c r="E356" s="183" t="s">
        <v>1477</v>
      </c>
      <c r="F356" s="183" t="s">
        <v>600</v>
      </c>
      <c r="G356" s="184">
        <v>30</v>
      </c>
      <c r="H356" s="185">
        <v>0.05</v>
      </c>
      <c r="I356" s="186">
        <v>17.1963177226814</v>
      </c>
      <c r="J356" s="187">
        <v>541.68400826446396</v>
      </c>
      <c r="K356" s="182" t="s">
        <v>1556</v>
      </c>
      <c r="L356" s="182">
        <v>5</v>
      </c>
      <c r="M356" s="182" t="s">
        <v>1561</v>
      </c>
      <c r="N356" s="186">
        <v>7</v>
      </c>
      <c r="O356" s="188">
        <v>30</v>
      </c>
      <c r="P356" s="188" t="s">
        <v>573</v>
      </c>
      <c r="Q356" s="188">
        <v>0</v>
      </c>
      <c r="R356" s="189" t="s">
        <v>573</v>
      </c>
      <c r="S356" s="189" t="s">
        <v>573</v>
      </c>
    </row>
    <row r="357" spans="1:19" ht="15" customHeight="1" x14ac:dyDescent="0.3">
      <c r="A357" s="182" t="s">
        <v>1552</v>
      </c>
      <c r="B357" s="182" t="s">
        <v>908</v>
      </c>
      <c r="C357" s="182" t="s">
        <v>909</v>
      </c>
      <c r="D357" s="182" t="s">
        <v>1479</v>
      </c>
      <c r="E357" s="183" t="s">
        <v>1480</v>
      </c>
      <c r="F357" s="183" t="s">
        <v>600</v>
      </c>
      <c r="G357" s="184">
        <v>3.5</v>
      </c>
      <c r="H357" s="185">
        <v>0.05</v>
      </c>
      <c r="I357" s="186">
        <v>65.919008264462803</v>
      </c>
      <c r="J357" s="187">
        <v>242.25235537190099</v>
      </c>
      <c r="K357" s="182" t="s">
        <v>1556</v>
      </c>
      <c r="L357" s="182">
        <v>6</v>
      </c>
      <c r="M357" s="182" t="s">
        <v>1562</v>
      </c>
      <c r="N357" s="186">
        <v>7</v>
      </c>
      <c r="O357" s="188">
        <v>3.5</v>
      </c>
      <c r="P357" s="188" t="s">
        <v>573</v>
      </c>
      <c r="Q357" s="188">
        <v>0</v>
      </c>
      <c r="R357" s="189" t="s">
        <v>573</v>
      </c>
      <c r="S357" s="189" t="s">
        <v>573</v>
      </c>
    </row>
    <row r="358" spans="1:19" ht="15" customHeight="1" x14ac:dyDescent="0.3">
      <c r="A358" s="182" t="s">
        <v>1552</v>
      </c>
      <c r="B358" s="182" t="s">
        <v>908</v>
      </c>
      <c r="C358" s="182" t="s">
        <v>909</v>
      </c>
      <c r="D358" s="182" t="s">
        <v>1482</v>
      </c>
      <c r="E358" s="183" t="s">
        <v>1483</v>
      </c>
      <c r="F358" s="183" t="s">
        <v>600</v>
      </c>
      <c r="G358" s="184">
        <v>0.04</v>
      </c>
      <c r="H358" s="185">
        <v>0.05</v>
      </c>
      <c r="I358" s="186">
        <v>4042.71</v>
      </c>
      <c r="J358" s="187">
        <v>169.79382000000001</v>
      </c>
      <c r="K358" s="182" t="s">
        <v>1556</v>
      </c>
      <c r="L358" s="182">
        <v>7</v>
      </c>
      <c r="M358" s="182" t="s">
        <v>1563</v>
      </c>
      <c r="N358" s="186">
        <v>7</v>
      </c>
      <c r="O358" s="188">
        <v>0.04</v>
      </c>
      <c r="P358" s="188" t="s">
        <v>573</v>
      </c>
      <c r="Q358" s="188">
        <v>0</v>
      </c>
      <c r="R358" s="189" t="s">
        <v>573</v>
      </c>
      <c r="S358" s="189" t="s">
        <v>573</v>
      </c>
    </row>
    <row r="359" spans="1:19" ht="15" customHeight="1" x14ac:dyDescent="0.3">
      <c r="A359" s="182" t="s">
        <v>1552</v>
      </c>
      <c r="B359" s="182" t="s">
        <v>908</v>
      </c>
      <c r="C359" s="182" t="s">
        <v>909</v>
      </c>
      <c r="D359" s="182" t="s">
        <v>1485</v>
      </c>
      <c r="E359" s="183" t="s">
        <v>1486</v>
      </c>
      <c r="F359" s="183" t="s">
        <v>600</v>
      </c>
      <c r="G359" s="184">
        <v>0.71</v>
      </c>
      <c r="H359" s="185">
        <v>0.1</v>
      </c>
      <c r="I359" s="186">
        <v>10022.959999999999</v>
      </c>
      <c r="J359" s="187">
        <v>7827.9317600000004</v>
      </c>
      <c r="K359" s="182" t="s">
        <v>1556</v>
      </c>
      <c r="L359" s="182">
        <v>8</v>
      </c>
      <c r="M359" s="182" t="s">
        <v>1564</v>
      </c>
      <c r="N359" s="186">
        <v>7</v>
      </c>
      <c r="O359" s="188">
        <v>0.71</v>
      </c>
      <c r="P359" s="188" t="s">
        <v>573</v>
      </c>
      <c r="Q359" s="188">
        <v>0</v>
      </c>
      <c r="R359" s="189" t="s">
        <v>573</v>
      </c>
      <c r="S359" s="189" t="s">
        <v>573</v>
      </c>
    </row>
    <row r="360" spans="1:19" ht="15" customHeight="1" x14ac:dyDescent="0.3">
      <c r="A360" s="182" t="s">
        <v>1552</v>
      </c>
      <c r="B360" s="182" t="s">
        <v>937</v>
      </c>
      <c r="C360" s="182" t="s">
        <v>938</v>
      </c>
      <c r="D360" s="190" t="s">
        <v>1291</v>
      </c>
      <c r="E360" s="183" t="s">
        <v>1292</v>
      </c>
      <c r="F360" s="183" t="s">
        <v>941</v>
      </c>
      <c r="G360" s="184">
        <v>1</v>
      </c>
      <c r="H360" s="185">
        <v>0</v>
      </c>
      <c r="I360" s="186">
        <v>65493.071636572</v>
      </c>
      <c r="J360" s="187">
        <v>65493.071636572</v>
      </c>
      <c r="K360" s="182" t="s">
        <v>1565</v>
      </c>
      <c r="L360" s="182">
        <v>1</v>
      </c>
      <c r="M360" s="182" t="s">
        <v>1566</v>
      </c>
      <c r="N360" s="186">
        <v>7</v>
      </c>
      <c r="O360" s="188">
        <v>0.14285714285714299</v>
      </c>
      <c r="P360" s="188" t="s">
        <v>573</v>
      </c>
      <c r="Q360" s="188">
        <v>0</v>
      </c>
      <c r="R360" s="189" t="s">
        <v>573</v>
      </c>
      <c r="S360" s="189" t="s">
        <v>573</v>
      </c>
    </row>
    <row r="361" spans="1:19" ht="15" customHeight="1" x14ac:dyDescent="0.3">
      <c r="A361" s="182" t="s">
        <v>1552</v>
      </c>
      <c r="B361" s="182" t="s">
        <v>937</v>
      </c>
      <c r="C361" s="182" t="s">
        <v>938</v>
      </c>
      <c r="D361" s="190" t="s">
        <v>944</v>
      </c>
      <c r="E361" s="183" t="s">
        <v>945</v>
      </c>
      <c r="F361" s="183" t="s">
        <v>941</v>
      </c>
      <c r="G361" s="184">
        <v>1</v>
      </c>
      <c r="H361" s="185">
        <v>0</v>
      </c>
      <c r="I361" s="186">
        <v>85927.097156571996</v>
      </c>
      <c r="J361" s="187">
        <v>85927.097156571996</v>
      </c>
      <c r="K361" s="182" t="s">
        <v>1565</v>
      </c>
      <c r="L361" s="182">
        <v>2</v>
      </c>
      <c r="M361" s="182" t="s">
        <v>1567</v>
      </c>
      <c r="N361" s="186">
        <v>7</v>
      </c>
      <c r="O361" s="188">
        <v>0.14285714285714299</v>
      </c>
      <c r="P361" s="188" t="s">
        <v>573</v>
      </c>
      <c r="Q361" s="188">
        <v>0</v>
      </c>
      <c r="R361" s="189" t="s">
        <v>573</v>
      </c>
      <c r="S361" s="189" t="s">
        <v>573</v>
      </c>
    </row>
    <row r="362" spans="1:19" ht="15" customHeight="1" x14ac:dyDescent="0.3">
      <c r="A362" s="182" t="s">
        <v>1568</v>
      </c>
      <c r="B362" s="182" t="s">
        <v>563</v>
      </c>
      <c r="C362" s="182"/>
      <c r="D362" s="182" t="s">
        <v>1460</v>
      </c>
      <c r="E362" s="183" t="s">
        <v>1461</v>
      </c>
      <c r="F362" s="183"/>
      <c r="G362" s="184">
        <v>1</v>
      </c>
      <c r="H362" s="185">
        <v>0</v>
      </c>
      <c r="I362" s="186">
        <v>2365.2381485799501</v>
      </c>
      <c r="J362" s="187">
        <v>2365.2381485799501</v>
      </c>
      <c r="K362" s="182" t="s">
        <v>1569</v>
      </c>
      <c r="L362" s="182">
        <v>1</v>
      </c>
      <c r="M362" s="182" t="s">
        <v>1570</v>
      </c>
      <c r="N362" s="186">
        <v>6</v>
      </c>
      <c r="O362" s="188">
        <v>1</v>
      </c>
      <c r="P362" s="188" t="s">
        <v>573</v>
      </c>
      <c r="Q362" s="188">
        <v>0</v>
      </c>
      <c r="R362" s="189" t="s">
        <v>573</v>
      </c>
      <c r="S362" s="189" t="s">
        <v>573</v>
      </c>
    </row>
    <row r="363" spans="1:19" ht="15" customHeight="1" x14ac:dyDescent="0.3">
      <c r="A363" s="182" t="s">
        <v>1568</v>
      </c>
      <c r="B363" s="182" t="s">
        <v>563</v>
      </c>
      <c r="C363" s="182"/>
      <c r="D363" s="182" t="s">
        <v>1456</v>
      </c>
      <c r="E363" s="183" t="s">
        <v>1457</v>
      </c>
      <c r="F363" s="183"/>
      <c r="G363" s="184">
        <v>0.5</v>
      </c>
      <c r="H363" s="185">
        <v>0</v>
      </c>
      <c r="I363" s="186">
        <v>140.198092594309</v>
      </c>
      <c r="J363" s="187">
        <v>70.099046297154501</v>
      </c>
      <c r="K363" s="182" t="s">
        <v>1569</v>
      </c>
      <c r="L363" s="182">
        <v>2</v>
      </c>
      <c r="M363" s="182" t="s">
        <v>1571</v>
      </c>
      <c r="N363" s="186">
        <v>6</v>
      </c>
      <c r="O363" s="188">
        <v>0.5</v>
      </c>
      <c r="P363" s="188" t="s">
        <v>573</v>
      </c>
      <c r="Q363" s="188">
        <v>0</v>
      </c>
      <c r="R363" s="189" t="s">
        <v>573</v>
      </c>
      <c r="S363" s="189" t="s">
        <v>573</v>
      </c>
    </row>
    <row r="364" spans="1:19" ht="15" customHeight="1" x14ac:dyDescent="0.3">
      <c r="A364" s="182" t="s">
        <v>1568</v>
      </c>
      <c r="B364" s="182" t="s">
        <v>908</v>
      </c>
      <c r="C364" s="182" t="s">
        <v>909</v>
      </c>
      <c r="D364" s="182" t="s">
        <v>1495</v>
      </c>
      <c r="E364" s="183" t="s">
        <v>1496</v>
      </c>
      <c r="F364" s="183" t="s">
        <v>600</v>
      </c>
      <c r="G364" s="184">
        <v>0.46153846153846201</v>
      </c>
      <c r="H364" s="185">
        <v>0.1</v>
      </c>
      <c r="I364" s="186">
        <v>2932.93</v>
      </c>
      <c r="J364" s="187">
        <v>1489.0260000000001</v>
      </c>
      <c r="K364" s="182" t="s">
        <v>1572</v>
      </c>
      <c r="L364" s="182">
        <v>1</v>
      </c>
      <c r="M364" s="182" t="s">
        <v>1573</v>
      </c>
      <c r="N364" s="186">
        <v>6</v>
      </c>
      <c r="O364" s="188">
        <v>0.46153846153846201</v>
      </c>
      <c r="P364" s="188" t="s">
        <v>573</v>
      </c>
      <c r="Q364" s="188">
        <v>0</v>
      </c>
      <c r="R364" s="189" t="s">
        <v>573</v>
      </c>
      <c r="S364" s="189" t="s">
        <v>573</v>
      </c>
    </row>
    <row r="365" spans="1:19" ht="15" customHeight="1" x14ac:dyDescent="0.3">
      <c r="A365" s="182" t="s">
        <v>1568</v>
      </c>
      <c r="B365" s="182" t="s">
        <v>908</v>
      </c>
      <c r="C365" s="182" t="s">
        <v>909</v>
      </c>
      <c r="D365" s="182" t="s">
        <v>1499</v>
      </c>
      <c r="E365" s="183" t="s">
        <v>1500</v>
      </c>
      <c r="F365" s="183" t="s">
        <v>600</v>
      </c>
      <c r="G365" s="184">
        <v>1.15384615384615</v>
      </c>
      <c r="H365" s="185">
        <v>0.1</v>
      </c>
      <c r="I365" s="186">
        <v>3295.47</v>
      </c>
      <c r="J365" s="187">
        <v>4182.7119230769104</v>
      </c>
      <c r="K365" s="182" t="s">
        <v>1572</v>
      </c>
      <c r="L365" s="182">
        <v>2</v>
      </c>
      <c r="M365" s="182" t="s">
        <v>1574</v>
      </c>
      <c r="N365" s="186">
        <v>6</v>
      </c>
      <c r="O365" s="188">
        <v>1.15384615384615</v>
      </c>
      <c r="P365" s="188" t="s">
        <v>573</v>
      </c>
      <c r="Q365" s="188">
        <v>0</v>
      </c>
      <c r="R365" s="189" t="s">
        <v>573</v>
      </c>
      <c r="S365" s="189" t="s">
        <v>573</v>
      </c>
    </row>
    <row r="366" spans="1:19" ht="15" customHeight="1" x14ac:dyDescent="0.3">
      <c r="A366" s="182" t="s">
        <v>1568</v>
      </c>
      <c r="B366" s="182" t="s">
        <v>908</v>
      </c>
      <c r="C366" s="182" t="s">
        <v>909</v>
      </c>
      <c r="D366" s="182" t="s">
        <v>1470</v>
      </c>
      <c r="E366" s="183" t="s">
        <v>1471</v>
      </c>
      <c r="F366" s="183" t="s">
        <v>600</v>
      </c>
      <c r="G366" s="184">
        <v>5.6300000000000003E-2</v>
      </c>
      <c r="H366" s="185">
        <v>0.05</v>
      </c>
      <c r="I366" s="186">
        <v>26872.02</v>
      </c>
      <c r="J366" s="187">
        <v>1588.5394623</v>
      </c>
      <c r="K366" s="182" t="s">
        <v>1572</v>
      </c>
      <c r="L366" s="182">
        <v>3</v>
      </c>
      <c r="M366" s="182" t="s">
        <v>1575</v>
      </c>
      <c r="N366" s="186">
        <v>6</v>
      </c>
      <c r="O366" s="188">
        <v>5.6300000000000003E-2</v>
      </c>
      <c r="P366" s="188" t="s">
        <v>573</v>
      </c>
      <c r="Q366" s="188">
        <v>0</v>
      </c>
      <c r="R366" s="189" t="s">
        <v>573</v>
      </c>
      <c r="S366" s="189" t="s">
        <v>573</v>
      </c>
    </row>
    <row r="367" spans="1:19" ht="15" customHeight="1" x14ac:dyDescent="0.3">
      <c r="A367" s="182" t="s">
        <v>1568</v>
      </c>
      <c r="B367" s="182" t="s">
        <v>908</v>
      </c>
      <c r="C367" s="182" t="s">
        <v>909</v>
      </c>
      <c r="D367" s="182" t="s">
        <v>1576</v>
      </c>
      <c r="E367" s="183" t="s">
        <v>1577</v>
      </c>
      <c r="F367" s="183" t="s">
        <v>600</v>
      </c>
      <c r="G367" s="184">
        <v>4.6296296296296301E-2</v>
      </c>
      <c r="H367" s="185">
        <v>0.1</v>
      </c>
      <c r="I367" s="186">
        <v>97970.9</v>
      </c>
      <c r="J367" s="187">
        <v>4989.2587962962998</v>
      </c>
      <c r="K367" s="182" t="s">
        <v>1572</v>
      </c>
      <c r="L367" s="182">
        <v>4</v>
      </c>
      <c r="M367" s="182" t="s">
        <v>1578</v>
      </c>
      <c r="N367" s="186">
        <v>6</v>
      </c>
      <c r="O367" s="188">
        <v>4.6296296296296301E-2</v>
      </c>
      <c r="P367" s="188" t="s">
        <v>573</v>
      </c>
      <c r="Q367" s="188">
        <v>0</v>
      </c>
      <c r="R367" s="189" t="s">
        <v>573</v>
      </c>
      <c r="S367" s="189" t="s">
        <v>573</v>
      </c>
    </row>
    <row r="368" spans="1:19" ht="15" customHeight="1" x14ac:dyDescent="0.3">
      <c r="A368" s="182" t="s">
        <v>1568</v>
      </c>
      <c r="B368" s="182" t="s">
        <v>908</v>
      </c>
      <c r="C368" s="182" t="s">
        <v>909</v>
      </c>
      <c r="D368" s="182" t="s">
        <v>1473</v>
      </c>
      <c r="E368" s="183" t="s">
        <v>1474</v>
      </c>
      <c r="F368" s="183" t="s">
        <v>600</v>
      </c>
      <c r="G368" s="184">
        <v>10</v>
      </c>
      <c r="H368" s="185">
        <v>0.05</v>
      </c>
      <c r="I368" s="186">
        <v>32.707173553719002</v>
      </c>
      <c r="J368" s="187">
        <v>343.42532231404999</v>
      </c>
      <c r="K368" s="182" t="s">
        <v>1572</v>
      </c>
      <c r="L368" s="182">
        <v>5</v>
      </c>
      <c r="M368" s="182" t="s">
        <v>1579</v>
      </c>
      <c r="N368" s="186">
        <v>6</v>
      </c>
      <c r="O368" s="188">
        <v>10</v>
      </c>
      <c r="P368" s="188" t="s">
        <v>573</v>
      </c>
      <c r="Q368" s="188">
        <v>0</v>
      </c>
      <c r="R368" s="189" t="s">
        <v>573</v>
      </c>
      <c r="S368" s="189" t="s">
        <v>573</v>
      </c>
    </row>
    <row r="369" spans="1:19" ht="15" customHeight="1" x14ac:dyDescent="0.3">
      <c r="A369" s="182" t="s">
        <v>1568</v>
      </c>
      <c r="B369" s="182" t="s">
        <v>908</v>
      </c>
      <c r="C369" s="182" t="s">
        <v>909</v>
      </c>
      <c r="D369" s="182" t="s">
        <v>1476</v>
      </c>
      <c r="E369" s="183" t="s">
        <v>1477</v>
      </c>
      <c r="F369" s="183" t="s">
        <v>600</v>
      </c>
      <c r="G369" s="184">
        <v>15</v>
      </c>
      <c r="H369" s="185">
        <v>0.05</v>
      </c>
      <c r="I369" s="186">
        <v>17.1963177226814</v>
      </c>
      <c r="J369" s="187">
        <v>270.84200413223198</v>
      </c>
      <c r="K369" s="182" t="s">
        <v>1572</v>
      </c>
      <c r="L369" s="182">
        <v>6</v>
      </c>
      <c r="M369" s="182" t="s">
        <v>1580</v>
      </c>
      <c r="N369" s="186">
        <v>6</v>
      </c>
      <c r="O369" s="188">
        <v>15</v>
      </c>
      <c r="P369" s="188" t="s">
        <v>573</v>
      </c>
      <c r="Q369" s="188">
        <v>0</v>
      </c>
      <c r="R369" s="189" t="s">
        <v>573</v>
      </c>
      <c r="S369" s="189" t="s">
        <v>573</v>
      </c>
    </row>
    <row r="370" spans="1:19" ht="15" customHeight="1" x14ac:dyDescent="0.3">
      <c r="A370" s="182" t="s">
        <v>1568</v>
      </c>
      <c r="B370" s="182" t="s">
        <v>908</v>
      </c>
      <c r="C370" s="182" t="s">
        <v>909</v>
      </c>
      <c r="D370" s="182" t="s">
        <v>1581</v>
      </c>
      <c r="E370" s="183" t="s">
        <v>1582</v>
      </c>
      <c r="F370" s="183" t="s">
        <v>600</v>
      </c>
      <c r="G370" s="184">
        <v>30</v>
      </c>
      <c r="H370" s="185">
        <v>0.05</v>
      </c>
      <c r="I370" s="186">
        <v>41.375227272727301</v>
      </c>
      <c r="J370" s="187">
        <v>1303.3196590909099</v>
      </c>
      <c r="K370" s="182" t="s">
        <v>1572</v>
      </c>
      <c r="L370" s="182">
        <v>7</v>
      </c>
      <c r="M370" s="182" t="s">
        <v>1583</v>
      </c>
      <c r="N370" s="186">
        <v>6</v>
      </c>
      <c r="O370" s="188">
        <v>30</v>
      </c>
      <c r="P370" s="188" t="s">
        <v>573</v>
      </c>
      <c r="Q370" s="188">
        <v>0</v>
      </c>
      <c r="R370" s="189" t="s">
        <v>573</v>
      </c>
      <c r="S370" s="189" t="s">
        <v>573</v>
      </c>
    </row>
    <row r="371" spans="1:19" ht="15" customHeight="1" x14ac:dyDescent="0.3">
      <c r="A371" s="182" t="s">
        <v>1568</v>
      </c>
      <c r="B371" s="182" t="s">
        <v>908</v>
      </c>
      <c r="C371" s="182" t="s">
        <v>909</v>
      </c>
      <c r="D371" s="182" t="s">
        <v>1479</v>
      </c>
      <c r="E371" s="183" t="s">
        <v>1480</v>
      </c>
      <c r="F371" s="183" t="s">
        <v>600</v>
      </c>
      <c r="G371" s="184">
        <v>3.5</v>
      </c>
      <c r="H371" s="185">
        <v>0.05</v>
      </c>
      <c r="I371" s="186">
        <v>65.919008264462803</v>
      </c>
      <c r="J371" s="187">
        <v>242.25235537190099</v>
      </c>
      <c r="K371" s="182" t="s">
        <v>1572</v>
      </c>
      <c r="L371" s="182">
        <v>8</v>
      </c>
      <c r="M371" s="182" t="s">
        <v>1584</v>
      </c>
      <c r="N371" s="186">
        <v>6</v>
      </c>
      <c r="O371" s="188">
        <v>3.5</v>
      </c>
      <c r="P371" s="188" t="s">
        <v>573</v>
      </c>
      <c r="Q371" s="188">
        <v>0</v>
      </c>
      <c r="R371" s="189" t="s">
        <v>573</v>
      </c>
      <c r="S371" s="189" t="s">
        <v>573</v>
      </c>
    </row>
    <row r="372" spans="1:19" ht="15" customHeight="1" x14ac:dyDescent="0.3">
      <c r="A372" s="182" t="s">
        <v>1568</v>
      </c>
      <c r="B372" s="182" t="s">
        <v>908</v>
      </c>
      <c r="C372" s="182" t="s">
        <v>909</v>
      </c>
      <c r="D372" s="182" t="s">
        <v>1482</v>
      </c>
      <c r="E372" s="183" t="s">
        <v>1483</v>
      </c>
      <c r="F372" s="183" t="s">
        <v>600</v>
      </c>
      <c r="G372" s="184">
        <v>0.04</v>
      </c>
      <c r="H372" s="185">
        <v>0.05</v>
      </c>
      <c r="I372" s="186">
        <v>4042.71</v>
      </c>
      <c r="J372" s="187">
        <v>169.79382000000001</v>
      </c>
      <c r="K372" s="182" t="s">
        <v>1572</v>
      </c>
      <c r="L372" s="182">
        <v>9</v>
      </c>
      <c r="M372" s="182" t="s">
        <v>1585</v>
      </c>
      <c r="N372" s="186">
        <v>6</v>
      </c>
      <c r="O372" s="188">
        <v>0.04</v>
      </c>
      <c r="P372" s="188" t="s">
        <v>573</v>
      </c>
      <c r="Q372" s="188">
        <v>0</v>
      </c>
      <c r="R372" s="189" t="s">
        <v>573</v>
      </c>
      <c r="S372" s="189" t="s">
        <v>573</v>
      </c>
    </row>
    <row r="373" spans="1:19" ht="15" customHeight="1" x14ac:dyDescent="0.3">
      <c r="A373" s="182" t="s">
        <v>1568</v>
      </c>
      <c r="B373" s="182" t="s">
        <v>908</v>
      </c>
      <c r="C373" s="182" t="s">
        <v>909</v>
      </c>
      <c r="D373" s="182" t="s">
        <v>1485</v>
      </c>
      <c r="E373" s="183" t="s">
        <v>1486</v>
      </c>
      <c r="F373" s="183" t="s">
        <v>600</v>
      </c>
      <c r="G373" s="184">
        <v>1.42</v>
      </c>
      <c r="H373" s="185">
        <v>0.1</v>
      </c>
      <c r="I373" s="186">
        <v>10022.959999999999</v>
      </c>
      <c r="J373" s="187">
        <v>15655.863520000001</v>
      </c>
      <c r="K373" s="182" t="s">
        <v>1572</v>
      </c>
      <c r="L373" s="182">
        <v>10</v>
      </c>
      <c r="M373" s="182" t="s">
        <v>1586</v>
      </c>
      <c r="N373" s="186">
        <v>6</v>
      </c>
      <c r="O373" s="188">
        <v>1.42</v>
      </c>
      <c r="P373" s="188" t="s">
        <v>573</v>
      </c>
      <c r="Q373" s="188">
        <v>0</v>
      </c>
      <c r="R373" s="189" t="s">
        <v>573</v>
      </c>
      <c r="S373" s="189" t="s">
        <v>573</v>
      </c>
    </row>
    <row r="374" spans="1:19" ht="15" customHeight="1" x14ac:dyDescent="0.3">
      <c r="A374" s="182" t="s">
        <v>1568</v>
      </c>
      <c r="B374" s="182" t="s">
        <v>937</v>
      </c>
      <c r="C374" s="182" t="s">
        <v>938</v>
      </c>
      <c r="D374" s="190" t="s">
        <v>1291</v>
      </c>
      <c r="E374" s="183" t="s">
        <v>1292</v>
      </c>
      <c r="F374" s="183" t="s">
        <v>941</v>
      </c>
      <c r="G374" s="184">
        <v>1</v>
      </c>
      <c r="H374" s="185">
        <v>0</v>
      </c>
      <c r="I374" s="186">
        <v>65493.071636572</v>
      </c>
      <c r="J374" s="187">
        <v>65493.071636572</v>
      </c>
      <c r="K374" s="182" t="s">
        <v>1587</v>
      </c>
      <c r="L374" s="182">
        <v>1</v>
      </c>
      <c r="M374" s="182" t="s">
        <v>1588</v>
      </c>
      <c r="N374" s="186">
        <v>6</v>
      </c>
      <c r="O374" s="188">
        <v>0.16666666666666699</v>
      </c>
      <c r="P374" s="188" t="s">
        <v>573</v>
      </c>
      <c r="Q374" s="188">
        <v>0</v>
      </c>
      <c r="R374" s="189" t="s">
        <v>573</v>
      </c>
      <c r="S374" s="189" t="s">
        <v>573</v>
      </c>
    </row>
    <row r="375" spans="1:19" ht="15" customHeight="1" x14ac:dyDescent="0.3">
      <c r="A375" s="182" t="s">
        <v>1568</v>
      </c>
      <c r="B375" s="182" t="s">
        <v>937</v>
      </c>
      <c r="C375" s="182" t="s">
        <v>938</v>
      </c>
      <c r="D375" s="190" t="s">
        <v>944</v>
      </c>
      <c r="E375" s="183" t="s">
        <v>945</v>
      </c>
      <c r="F375" s="183" t="s">
        <v>941</v>
      </c>
      <c r="G375" s="184">
        <v>1</v>
      </c>
      <c r="H375" s="185">
        <v>0</v>
      </c>
      <c r="I375" s="186">
        <v>85927.097156571996</v>
      </c>
      <c r="J375" s="187">
        <v>85927.097156571996</v>
      </c>
      <c r="K375" s="182" t="s">
        <v>1587</v>
      </c>
      <c r="L375" s="182">
        <v>2</v>
      </c>
      <c r="M375" s="182" t="s">
        <v>1589</v>
      </c>
      <c r="N375" s="186">
        <v>6</v>
      </c>
      <c r="O375" s="188">
        <v>0.16666666666666699</v>
      </c>
      <c r="P375" s="188" t="s">
        <v>573</v>
      </c>
      <c r="Q375" s="188">
        <v>0</v>
      </c>
      <c r="R375" s="189" t="s">
        <v>573</v>
      </c>
      <c r="S375" s="189" t="s">
        <v>573</v>
      </c>
    </row>
    <row r="376" spans="1:19" ht="15" customHeight="1" x14ac:dyDescent="0.3">
      <c r="A376" s="182" t="s">
        <v>1590</v>
      </c>
      <c r="B376" s="182" t="s">
        <v>563</v>
      </c>
      <c r="C376" s="182"/>
      <c r="D376" s="182" t="s">
        <v>1460</v>
      </c>
      <c r="E376" s="183" t="s">
        <v>1461</v>
      </c>
      <c r="F376" s="183"/>
      <c r="G376" s="184">
        <v>1</v>
      </c>
      <c r="H376" s="185">
        <v>0</v>
      </c>
      <c r="I376" s="186">
        <v>2365.2381485799501</v>
      </c>
      <c r="J376" s="187">
        <v>2365.2381485799501</v>
      </c>
      <c r="K376" s="182" t="s">
        <v>1591</v>
      </c>
      <c r="L376" s="182">
        <v>1</v>
      </c>
      <c r="M376" s="182" t="s">
        <v>1592</v>
      </c>
      <c r="N376" s="186">
        <v>11</v>
      </c>
      <c r="O376" s="188">
        <v>1</v>
      </c>
      <c r="P376" s="188" t="s">
        <v>573</v>
      </c>
      <c r="Q376" s="188">
        <v>0</v>
      </c>
      <c r="R376" s="189" t="s">
        <v>573</v>
      </c>
      <c r="S376" s="189" t="s">
        <v>573</v>
      </c>
    </row>
    <row r="377" spans="1:19" ht="15" customHeight="1" x14ac:dyDescent="0.3">
      <c r="A377" s="182" t="s">
        <v>1590</v>
      </c>
      <c r="B377" s="182" t="s">
        <v>563</v>
      </c>
      <c r="C377" s="182"/>
      <c r="D377" s="182" t="s">
        <v>1456</v>
      </c>
      <c r="E377" s="183" t="s">
        <v>1457</v>
      </c>
      <c r="F377" s="183"/>
      <c r="G377" s="184">
        <v>0.5</v>
      </c>
      <c r="H377" s="185">
        <v>0</v>
      </c>
      <c r="I377" s="186">
        <v>140.198092594309</v>
      </c>
      <c r="J377" s="187">
        <v>70.099046297154501</v>
      </c>
      <c r="K377" s="182" t="s">
        <v>1591</v>
      </c>
      <c r="L377" s="182">
        <v>2</v>
      </c>
      <c r="M377" s="182" t="s">
        <v>1593</v>
      </c>
      <c r="N377" s="186">
        <v>11</v>
      </c>
      <c r="O377" s="188">
        <v>0.5</v>
      </c>
      <c r="P377" s="188" t="s">
        <v>573</v>
      </c>
      <c r="Q377" s="188">
        <v>0</v>
      </c>
      <c r="R377" s="189" t="s">
        <v>573</v>
      </c>
      <c r="S377" s="189" t="s">
        <v>573</v>
      </c>
    </row>
    <row r="378" spans="1:19" ht="15" customHeight="1" x14ac:dyDescent="0.3">
      <c r="A378" s="182" t="s">
        <v>1590</v>
      </c>
      <c r="B378" s="182" t="s">
        <v>908</v>
      </c>
      <c r="C378" s="182" t="s">
        <v>909</v>
      </c>
      <c r="D378" s="182" t="s">
        <v>1495</v>
      </c>
      <c r="E378" s="183" t="s">
        <v>1496</v>
      </c>
      <c r="F378" s="183" t="s">
        <v>600</v>
      </c>
      <c r="G378" s="184">
        <v>0.46153846153846201</v>
      </c>
      <c r="H378" s="185">
        <v>0.1</v>
      </c>
      <c r="I378" s="186">
        <v>2932.93</v>
      </c>
      <c r="J378" s="187">
        <v>1489.0260000000001</v>
      </c>
      <c r="K378" s="182" t="s">
        <v>1594</v>
      </c>
      <c r="L378" s="182">
        <v>1</v>
      </c>
      <c r="M378" s="182" t="s">
        <v>1595</v>
      </c>
      <c r="N378" s="186">
        <v>11</v>
      </c>
      <c r="O378" s="188">
        <v>0.46153846153846201</v>
      </c>
      <c r="P378" s="188" t="s">
        <v>573</v>
      </c>
      <c r="Q378" s="188">
        <v>0</v>
      </c>
      <c r="R378" s="189" t="s">
        <v>573</v>
      </c>
      <c r="S378" s="189" t="s">
        <v>573</v>
      </c>
    </row>
    <row r="379" spans="1:19" ht="15" customHeight="1" x14ac:dyDescent="0.3">
      <c r="A379" s="182" t="s">
        <v>1590</v>
      </c>
      <c r="B379" s="182" t="s">
        <v>908</v>
      </c>
      <c r="C379" s="182" t="s">
        <v>909</v>
      </c>
      <c r="D379" s="182" t="s">
        <v>1499</v>
      </c>
      <c r="E379" s="183" t="s">
        <v>1500</v>
      </c>
      <c r="F379" s="183" t="s">
        <v>600</v>
      </c>
      <c r="G379" s="184">
        <v>1.15384615384615</v>
      </c>
      <c r="H379" s="185">
        <v>0.1</v>
      </c>
      <c r="I379" s="186">
        <v>3295.47</v>
      </c>
      <c r="J379" s="187">
        <v>4182.7119230769104</v>
      </c>
      <c r="K379" s="182" t="s">
        <v>1594</v>
      </c>
      <c r="L379" s="182">
        <v>2</v>
      </c>
      <c r="M379" s="182" t="s">
        <v>1596</v>
      </c>
      <c r="N379" s="186">
        <v>11</v>
      </c>
      <c r="O379" s="188">
        <v>1.15384615384615</v>
      </c>
      <c r="P379" s="188" t="s">
        <v>573</v>
      </c>
      <c r="Q379" s="188">
        <v>0</v>
      </c>
      <c r="R379" s="189" t="s">
        <v>573</v>
      </c>
      <c r="S379" s="189" t="s">
        <v>573</v>
      </c>
    </row>
    <row r="380" spans="1:19" ht="15" customHeight="1" x14ac:dyDescent="0.3">
      <c r="A380" s="182" t="s">
        <v>1590</v>
      </c>
      <c r="B380" s="182" t="s">
        <v>908</v>
      </c>
      <c r="C380" s="182" t="s">
        <v>909</v>
      </c>
      <c r="D380" s="182" t="s">
        <v>1470</v>
      </c>
      <c r="E380" s="183" t="s">
        <v>1471</v>
      </c>
      <c r="F380" s="183" t="s">
        <v>600</v>
      </c>
      <c r="G380" s="184">
        <v>2.8125000000000001E-2</v>
      </c>
      <c r="H380" s="185">
        <v>0.1</v>
      </c>
      <c r="I380" s="186">
        <v>26872.02</v>
      </c>
      <c r="J380" s="187">
        <v>831.35311875000002</v>
      </c>
      <c r="K380" s="182" t="s">
        <v>1594</v>
      </c>
      <c r="L380" s="182">
        <v>3</v>
      </c>
      <c r="M380" s="182" t="s">
        <v>1597</v>
      </c>
      <c r="N380" s="186">
        <v>11</v>
      </c>
      <c r="O380" s="188">
        <v>2.8125000000000001E-2</v>
      </c>
      <c r="P380" s="188" t="s">
        <v>573</v>
      </c>
      <c r="Q380" s="188">
        <v>0</v>
      </c>
      <c r="R380" s="189" t="s">
        <v>573</v>
      </c>
      <c r="S380" s="189" t="s">
        <v>573</v>
      </c>
    </row>
    <row r="381" spans="1:19" ht="15" customHeight="1" x14ac:dyDescent="0.3">
      <c r="A381" s="182" t="s">
        <v>1590</v>
      </c>
      <c r="B381" s="182" t="s">
        <v>908</v>
      </c>
      <c r="C381" s="182" t="s">
        <v>909</v>
      </c>
      <c r="D381" s="182" t="s">
        <v>1473</v>
      </c>
      <c r="E381" s="183" t="s">
        <v>1474</v>
      </c>
      <c r="F381" s="183" t="s">
        <v>600</v>
      </c>
      <c r="G381" s="184">
        <v>10</v>
      </c>
      <c r="H381" s="185">
        <v>0.1</v>
      </c>
      <c r="I381" s="186">
        <v>32.707173553719002</v>
      </c>
      <c r="J381" s="187">
        <v>359.778909090909</v>
      </c>
      <c r="K381" s="182" t="s">
        <v>1594</v>
      </c>
      <c r="L381" s="182">
        <v>4</v>
      </c>
      <c r="M381" s="182" t="s">
        <v>1598</v>
      </c>
      <c r="N381" s="186">
        <v>11</v>
      </c>
      <c r="O381" s="188">
        <v>10</v>
      </c>
      <c r="P381" s="188" t="s">
        <v>573</v>
      </c>
      <c r="Q381" s="188">
        <v>0</v>
      </c>
      <c r="R381" s="189" t="s">
        <v>573</v>
      </c>
      <c r="S381" s="189" t="s">
        <v>573</v>
      </c>
    </row>
    <row r="382" spans="1:19" ht="15" customHeight="1" x14ac:dyDescent="0.3">
      <c r="A382" s="182" t="s">
        <v>1590</v>
      </c>
      <c r="B382" s="182" t="s">
        <v>908</v>
      </c>
      <c r="C382" s="182" t="s">
        <v>909</v>
      </c>
      <c r="D382" s="182" t="s">
        <v>1476</v>
      </c>
      <c r="E382" s="183" t="s">
        <v>1477</v>
      </c>
      <c r="F382" s="183" t="s">
        <v>600</v>
      </c>
      <c r="G382" s="184">
        <v>15</v>
      </c>
      <c r="H382" s="185">
        <v>0.1</v>
      </c>
      <c r="I382" s="186">
        <v>17.1963177226814</v>
      </c>
      <c r="J382" s="187">
        <v>283.739242424243</v>
      </c>
      <c r="K382" s="182" t="s">
        <v>1594</v>
      </c>
      <c r="L382" s="182">
        <v>5</v>
      </c>
      <c r="M382" s="182" t="s">
        <v>1599</v>
      </c>
      <c r="N382" s="186">
        <v>11</v>
      </c>
      <c r="O382" s="188">
        <v>15</v>
      </c>
      <c r="P382" s="188" t="s">
        <v>573</v>
      </c>
      <c r="Q382" s="188">
        <v>0</v>
      </c>
      <c r="R382" s="189" t="s">
        <v>573</v>
      </c>
      <c r="S382" s="189" t="s">
        <v>573</v>
      </c>
    </row>
    <row r="383" spans="1:19" ht="15" customHeight="1" x14ac:dyDescent="0.3">
      <c r="A383" s="182" t="s">
        <v>1590</v>
      </c>
      <c r="B383" s="182" t="s">
        <v>908</v>
      </c>
      <c r="C383" s="182" t="s">
        <v>909</v>
      </c>
      <c r="D383" s="182" t="s">
        <v>1479</v>
      </c>
      <c r="E383" s="183" t="s">
        <v>1480</v>
      </c>
      <c r="F383" s="183" t="s">
        <v>600</v>
      </c>
      <c r="G383" s="184">
        <v>3.5</v>
      </c>
      <c r="H383" s="185">
        <v>0.1</v>
      </c>
      <c r="I383" s="186">
        <v>65.919008264462803</v>
      </c>
      <c r="J383" s="187">
        <v>253.78818181818201</v>
      </c>
      <c r="K383" s="182" t="s">
        <v>1594</v>
      </c>
      <c r="L383" s="182">
        <v>6</v>
      </c>
      <c r="M383" s="182" t="s">
        <v>1600</v>
      </c>
      <c r="N383" s="186">
        <v>11</v>
      </c>
      <c r="O383" s="188">
        <v>3.5</v>
      </c>
      <c r="P383" s="188" t="s">
        <v>573</v>
      </c>
      <c r="Q383" s="188">
        <v>0</v>
      </c>
      <c r="R383" s="189" t="s">
        <v>573</v>
      </c>
      <c r="S383" s="189" t="s">
        <v>573</v>
      </c>
    </row>
    <row r="384" spans="1:19" ht="15" customHeight="1" x14ac:dyDescent="0.3">
      <c r="A384" s="182" t="s">
        <v>1590</v>
      </c>
      <c r="B384" s="182" t="s">
        <v>908</v>
      </c>
      <c r="C384" s="182" t="s">
        <v>909</v>
      </c>
      <c r="D384" s="182" t="s">
        <v>1482</v>
      </c>
      <c r="E384" s="183" t="s">
        <v>1483</v>
      </c>
      <c r="F384" s="183" t="s">
        <v>600</v>
      </c>
      <c r="G384" s="184">
        <v>0.02</v>
      </c>
      <c r="H384" s="185">
        <v>0.1</v>
      </c>
      <c r="I384" s="186">
        <v>4042.71</v>
      </c>
      <c r="J384" s="187">
        <v>88.939620000000005</v>
      </c>
      <c r="K384" s="182" t="s">
        <v>1594</v>
      </c>
      <c r="L384" s="182">
        <v>7</v>
      </c>
      <c r="M384" s="182" t="s">
        <v>1601</v>
      </c>
      <c r="N384" s="186">
        <v>11</v>
      </c>
      <c r="O384" s="188">
        <v>0.02</v>
      </c>
      <c r="P384" s="188" t="s">
        <v>573</v>
      </c>
      <c r="Q384" s="188">
        <v>0</v>
      </c>
      <c r="R384" s="189" t="s">
        <v>573</v>
      </c>
      <c r="S384" s="189" t="s">
        <v>573</v>
      </c>
    </row>
    <row r="385" spans="1:19" ht="15" customHeight="1" x14ac:dyDescent="0.3">
      <c r="A385" s="182" t="s">
        <v>1590</v>
      </c>
      <c r="B385" s="182" t="s">
        <v>908</v>
      </c>
      <c r="C385" s="182" t="s">
        <v>909</v>
      </c>
      <c r="D385" s="182" t="s">
        <v>1485</v>
      </c>
      <c r="E385" s="183" t="s">
        <v>1486</v>
      </c>
      <c r="F385" s="183" t="s">
        <v>600</v>
      </c>
      <c r="G385" s="184">
        <v>0.36</v>
      </c>
      <c r="H385" s="185">
        <v>0.1</v>
      </c>
      <c r="I385" s="186">
        <v>10022.959999999999</v>
      </c>
      <c r="J385" s="187">
        <v>3969.0921600000001</v>
      </c>
      <c r="K385" s="182" t="s">
        <v>1594</v>
      </c>
      <c r="L385" s="182">
        <v>8</v>
      </c>
      <c r="M385" s="182" t="s">
        <v>1602</v>
      </c>
      <c r="N385" s="186">
        <v>11</v>
      </c>
      <c r="O385" s="188">
        <v>0.36</v>
      </c>
      <c r="P385" s="188" t="s">
        <v>573</v>
      </c>
      <c r="Q385" s="188">
        <v>0</v>
      </c>
      <c r="R385" s="189" t="s">
        <v>573</v>
      </c>
      <c r="S385" s="189" t="s">
        <v>573</v>
      </c>
    </row>
    <row r="386" spans="1:19" ht="15" customHeight="1" x14ac:dyDescent="0.3">
      <c r="A386" s="182" t="s">
        <v>1590</v>
      </c>
      <c r="B386" s="182" t="s">
        <v>937</v>
      </c>
      <c r="C386" s="182" t="s">
        <v>938</v>
      </c>
      <c r="D386" s="190" t="s">
        <v>1291</v>
      </c>
      <c r="E386" s="183" t="s">
        <v>1292</v>
      </c>
      <c r="F386" s="183" t="s">
        <v>941</v>
      </c>
      <c r="G386" s="184">
        <v>1</v>
      </c>
      <c r="H386" s="185">
        <v>0</v>
      </c>
      <c r="I386" s="186">
        <v>65493.071636572</v>
      </c>
      <c r="J386" s="187">
        <v>65493.071636572</v>
      </c>
      <c r="K386" s="182" t="s">
        <v>1603</v>
      </c>
      <c r="L386" s="182">
        <v>1</v>
      </c>
      <c r="M386" s="182" t="s">
        <v>1604</v>
      </c>
      <c r="N386" s="186">
        <v>11</v>
      </c>
      <c r="O386" s="188">
        <v>9.0909090909090898E-2</v>
      </c>
      <c r="P386" s="188" t="s">
        <v>573</v>
      </c>
      <c r="Q386" s="188">
        <v>0</v>
      </c>
      <c r="R386" s="189" t="s">
        <v>573</v>
      </c>
      <c r="S386" s="189" t="s">
        <v>573</v>
      </c>
    </row>
    <row r="387" spans="1:19" ht="15" customHeight="1" x14ac:dyDescent="0.3">
      <c r="A387" s="182" t="s">
        <v>1590</v>
      </c>
      <c r="B387" s="182" t="s">
        <v>937</v>
      </c>
      <c r="C387" s="182" t="s">
        <v>938</v>
      </c>
      <c r="D387" s="190" t="s">
        <v>944</v>
      </c>
      <c r="E387" s="183" t="s">
        <v>945</v>
      </c>
      <c r="F387" s="183" t="s">
        <v>941</v>
      </c>
      <c r="G387" s="184">
        <v>1</v>
      </c>
      <c r="H387" s="185">
        <v>0</v>
      </c>
      <c r="I387" s="186">
        <v>85927.097156571996</v>
      </c>
      <c r="J387" s="187">
        <v>85927.097156571996</v>
      </c>
      <c r="K387" s="182" t="s">
        <v>1603</v>
      </c>
      <c r="L387" s="182">
        <v>2</v>
      </c>
      <c r="M387" s="182" t="s">
        <v>1605</v>
      </c>
      <c r="N387" s="186">
        <v>11</v>
      </c>
      <c r="O387" s="188">
        <v>9.0909090909090898E-2</v>
      </c>
      <c r="P387" s="188" t="s">
        <v>573</v>
      </c>
      <c r="Q387" s="188">
        <v>0</v>
      </c>
      <c r="R387" s="189" t="s">
        <v>573</v>
      </c>
      <c r="S387" s="189" t="s">
        <v>573</v>
      </c>
    </row>
    <row r="388" spans="1:19" ht="15" customHeight="1" x14ac:dyDescent="0.3">
      <c r="A388" s="182" t="s">
        <v>1606</v>
      </c>
      <c r="B388" s="182" t="s">
        <v>908</v>
      </c>
      <c r="C388" s="182" t="s">
        <v>909</v>
      </c>
      <c r="D388" s="182" t="s">
        <v>1404</v>
      </c>
      <c r="E388" s="183" t="s">
        <v>1405</v>
      </c>
      <c r="F388" s="183" t="s">
        <v>1046</v>
      </c>
      <c r="G388" s="184">
        <v>1.2500000000000001E-2</v>
      </c>
      <c r="H388" s="185">
        <v>0.15</v>
      </c>
      <c r="I388" s="186">
        <v>2302.02</v>
      </c>
      <c r="J388" s="187">
        <v>33.091537500000001</v>
      </c>
      <c r="K388" s="182" t="s">
        <v>1607</v>
      </c>
      <c r="L388" s="182">
        <v>1</v>
      </c>
      <c r="M388" s="182" t="s">
        <v>1608</v>
      </c>
      <c r="N388" s="186">
        <v>26</v>
      </c>
      <c r="O388" s="188">
        <v>1.2500000000000001E-2</v>
      </c>
      <c r="P388" s="188" t="s">
        <v>573</v>
      </c>
      <c r="Q388" s="188">
        <v>0</v>
      </c>
      <c r="R388" s="189" t="s">
        <v>573</v>
      </c>
      <c r="S388" s="189" t="s">
        <v>573</v>
      </c>
    </row>
    <row r="389" spans="1:19" ht="15" customHeight="1" x14ac:dyDescent="0.3">
      <c r="A389" s="182" t="s">
        <v>1606</v>
      </c>
      <c r="B389" s="182" t="s">
        <v>908</v>
      </c>
      <c r="C389" s="182" t="s">
        <v>909</v>
      </c>
      <c r="D389" s="182" t="s">
        <v>1609</v>
      </c>
      <c r="E389" s="183" t="s">
        <v>1610</v>
      </c>
      <c r="F389" s="183" t="s">
        <v>1611</v>
      </c>
      <c r="G389" s="184">
        <v>0.125</v>
      </c>
      <c r="H389" s="185">
        <v>0.05</v>
      </c>
      <c r="I389" s="186">
        <v>2130.1681250000001</v>
      </c>
      <c r="J389" s="187">
        <v>279.58456640625002</v>
      </c>
      <c r="K389" s="182" t="s">
        <v>1607</v>
      </c>
      <c r="L389" s="182">
        <v>2</v>
      </c>
      <c r="M389" s="182" t="s">
        <v>1612</v>
      </c>
      <c r="N389" s="186">
        <v>26</v>
      </c>
      <c r="O389" s="188">
        <v>0.125</v>
      </c>
      <c r="P389" s="188" t="s">
        <v>573</v>
      </c>
      <c r="Q389" s="188">
        <v>0</v>
      </c>
      <c r="R389" s="189" t="s">
        <v>573</v>
      </c>
      <c r="S389" s="189" t="s">
        <v>573</v>
      </c>
    </row>
    <row r="390" spans="1:19" ht="15" customHeight="1" x14ac:dyDescent="0.3">
      <c r="A390" s="182" t="s">
        <v>1606</v>
      </c>
      <c r="B390" s="182" t="s">
        <v>908</v>
      </c>
      <c r="C390" s="182" t="s">
        <v>909</v>
      </c>
      <c r="D390" s="182" t="s">
        <v>1613</v>
      </c>
      <c r="E390" s="183" t="s">
        <v>1614</v>
      </c>
      <c r="F390" s="183" t="s">
        <v>600</v>
      </c>
      <c r="G390" s="184">
        <v>1.25E-3</v>
      </c>
      <c r="H390" s="185">
        <v>0</v>
      </c>
      <c r="I390" s="186">
        <v>1180.82</v>
      </c>
      <c r="J390" s="187">
        <v>1.4760249999999999</v>
      </c>
      <c r="K390" s="182" t="s">
        <v>1607</v>
      </c>
      <c r="L390" s="182">
        <v>3</v>
      </c>
      <c r="M390" s="182" t="s">
        <v>1615</v>
      </c>
      <c r="N390" s="186">
        <v>26</v>
      </c>
      <c r="O390" s="188">
        <v>1.25E-3</v>
      </c>
      <c r="P390" s="188" t="s">
        <v>573</v>
      </c>
      <c r="Q390" s="188">
        <v>0</v>
      </c>
      <c r="R390" s="189" t="s">
        <v>573</v>
      </c>
      <c r="S390" s="189" t="s">
        <v>573</v>
      </c>
    </row>
    <row r="391" spans="1:19" ht="15" customHeight="1" x14ac:dyDescent="0.3">
      <c r="A391" s="182" t="s">
        <v>1606</v>
      </c>
      <c r="B391" s="182" t="s">
        <v>908</v>
      </c>
      <c r="C391" s="182" t="s">
        <v>909</v>
      </c>
      <c r="D391" s="182" t="s">
        <v>1616</v>
      </c>
      <c r="E391" s="183" t="s">
        <v>1617</v>
      </c>
      <c r="F391" s="183" t="s">
        <v>1618</v>
      </c>
      <c r="G391" s="184">
        <v>0.5</v>
      </c>
      <c r="H391" s="185">
        <v>0.05</v>
      </c>
      <c r="I391" s="186">
        <v>26322.68</v>
      </c>
      <c r="J391" s="187">
        <v>13819.406999999999</v>
      </c>
      <c r="K391" s="182" t="s">
        <v>1607</v>
      </c>
      <c r="L391" s="182">
        <v>4</v>
      </c>
      <c r="M391" s="182" t="s">
        <v>1619</v>
      </c>
      <c r="N391" s="186">
        <v>26</v>
      </c>
      <c r="O391" s="188">
        <v>0.5</v>
      </c>
      <c r="P391" s="188" t="s">
        <v>573</v>
      </c>
      <c r="Q391" s="188">
        <v>0</v>
      </c>
      <c r="R391" s="189" t="s">
        <v>573</v>
      </c>
      <c r="S391" s="189" t="s">
        <v>573</v>
      </c>
    </row>
    <row r="392" spans="1:19" ht="15" customHeight="1" x14ac:dyDescent="0.3">
      <c r="A392" s="182" t="s">
        <v>1606</v>
      </c>
      <c r="B392" s="182" t="s">
        <v>908</v>
      </c>
      <c r="C392" s="182" t="s">
        <v>909</v>
      </c>
      <c r="D392" s="182" t="s">
        <v>1620</v>
      </c>
      <c r="E392" s="183" t="s">
        <v>1621</v>
      </c>
      <c r="F392" s="183" t="s">
        <v>581</v>
      </c>
      <c r="G392" s="184">
        <v>0.01</v>
      </c>
      <c r="H392" s="185">
        <v>0.02</v>
      </c>
      <c r="I392" s="186">
        <v>1213.73</v>
      </c>
      <c r="J392" s="187">
        <v>12.380046</v>
      </c>
      <c r="K392" s="182" t="s">
        <v>1607</v>
      </c>
      <c r="L392" s="182">
        <v>5</v>
      </c>
      <c r="M392" s="182" t="s">
        <v>1622</v>
      </c>
      <c r="N392" s="186">
        <v>26</v>
      </c>
      <c r="O392" s="188">
        <v>0.01</v>
      </c>
      <c r="P392" s="188" t="s">
        <v>573</v>
      </c>
      <c r="Q392" s="188">
        <v>0</v>
      </c>
      <c r="R392" s="189" t="s">
        <v>573</v>
      </c>
      <c r="S392" s="189" t="s">
        <v>573</v>
      </c>
    </row>
    <row r="393" spans="1:19" ht="15" customHeight="1" x14ac:dyDescent="0.3">
      <c r="A393" s="182" t="s">
        <v>1606</v>
      </c>
      <c r="B393" s="182" t="s">
        <v>908</v>
      </c>
      <c r="C393" s="182" t="s">
        <v>909</v>
      </c>
      <c r="D393" s="182" t="s">
        <v>1623</v>
      </c>
      <c r="E393" s="183" t="s">
        <v>1624</v>
      </c>
      <c r="F393" s="183" t="s">
        <v>652</v>
      </c>
      <c r="G393" s="184">
        <v>2.4E-2</v>
      </c>
      <c r="H393" s="185">
        <v>0.02</v>
      </c>
      <c r="I393" s="186">
        <v>4442.2518</v>
      </c>
      <c r="J393" s="187">
        <v>108.74632406400001</v>
      </c>
      <c r="K393" s="182" t="s">
        <v>1607</v>
      </c>
      <c r="L393" s="182">
        <v>6</v>
      </c>
      <c r="M393" s="182" t="s">
        <v>1625</v>
      </c>
      <c r="N393" s="186">
        <v>26</v>
      </c>
      <c r="O393" s="188">
        <v>2.4E-2</v>
      </c>
      <c r="P393" s="188" t="s">
        <v>573</v>
      </c>
      <c r="Q393" s="188">
        <v>0</v>
      </c>
      <c r="R393" s="189" t="s">
        <v>573</v>
      </c>
      <c r="S393" s="189" t="s">
        <v>573</v>
      </c>
    </row>
    <row r="394" spans="1:19" ht="15" customHeight="1" x14ac:dyDescent="0.3">
      <c r="A394" s="182" t="s">
        <v>1606</v>
      </c>
      <c r="B394" s="182" t="s">
        <v>937</v>
      </c>
      <c r="C394" s="182" t="s">
        <v>938</v>
      </c>
      <c r="D394" s="190" t="s">
        <v>939</v>
      </c>
      <c r="E394" s="183" t="s">
        <v>940</v>
      </c>
      <c r="F394" s="183" t="s">
        <v>941</v>
      </c>
      <c r="G394" s="184">
        <v>1</v>
      </c>
      <c r="H394" s="185">
        <v>0</v>
      </c>
      <c r="I394" s="186">
        <v>60860.580776572002</v>
      </c>
      <c r="J394" s="187">
        <v>60860.580776572002</v>
      </c>
      <c r="K394" s="182" t="s">
        <v>1626</v>
      </c>
      <c r="L394" s="182">
        <v>1</v>
      </c>
      <c r="M394" s="182" t="s">
        <v>1627</v>
      </c>
      <c r="N394" s="186">
        <v>26</v>
      </c>
      <c r="O394" s="188">
        <v>3.8461538461538498E-2</v>
      </c>
      <c r="P394" s="188" t="s">
        <v>573</v>
      </c>
      <c r="Q394" s="188">
        <v>0</v>
      </c>
      <c r="R394" s="189" t="s">
        <v>573</v>
      </c>
      <c r="S394" s="189" t="s">
        <v>573</v>
      </c>
    </row>
    <row r="395" spans="1:19" ht="15" customHeight="1" x14ac:dyDescent="0.3">
      <c r="A395" s="182" t="s">
        <v>1606</v>
      </c>
      <c r="B395" s="182" t="s">
        <v>937</v>
      </c>
      <c r="C395" s="182" t="s">
        <v>938</v>
      </c>
      <c r="D395" s="190" t="s">
        <v>1291</v>
      </c>
      <c r="E395" s="183" t="s">
        <v>1292</v>
      </c>
      <c r="F395" s="183" t="s">
        <v>941</v>
      </c>
      <c r="G395" s="184">
        <v>1</v>
      </c>
      <c r="H395" s="185">
        <v>0</v>
      </c>
      <c r="I395" s="186">
        <v>65493.071636572</v>
      </c>
      <c r="J395" s="187">
        <v>65493.071636572</v>
      </c>
      <c r="K395" s="182" t="s">
        <v>1626</v>
      </c>
      <c r="L395" s="182">
        <v>2</v>
      </c>
      <c r="M395" s="182" t="s">
        <v>1628</v>
      </c>
      <c r="N395" s="186">
        <v>26</v>
      </c>
      <c r="O395" s="188">
        <v>3.8461538461538498E-2</v>
      </c>
      <c r="P395" s="188" t="s">
        <v>573</v>
      </c>
      <c r="Q395" s="188">
        <v>0</v>
      </c>
      <c r="R395" s="189" t="s">
        <v>573</v>
      </c>
      <c r="S395" s="189" t="s">
        <v>573</v>
      </c>
    </row>
    <row r="396" spans="1:19" ht="15" customHeight="1" x14ac:dyDescent="0.3">
      <c r="A396" s="182" t="s">
        <v>1606</v>
      </c>
      <c r="B396" s="182" t="s">
        <v>937</v>
      </c>
      <c r="C396" s="182" t="s">
        <v>938</v>
      </c>
      <c r="D396" s="190" t="s">
        <v>944</v>
      </c>
      <c r="E396" s="183" t="s">
        <v>945</v>
      </c>
      <c r="F396" s="183" t="s">
        <v>941</v>
      </c>
      <c r="G396" s="184">
        <v>1</v>
      </c>
      <c r="H396" s="185">
        <v>0</v>
      </c>
      <c r="I396" s="186">
        <v>85927.097156571996</v>
      </c>
      <c r="J396" s="187">
        <v>85927.097156571996</v>
      </c>
      <c r="K396" s="182" t="s">
        <v>1626</v>
      </c>
      <c r="L396" s="182">
        <v>3</v>
      </c>
      <c r="M396" s="182" t="s">
        <v>1629</v>
      </c>
      <c r="N396" s="186">
        <v>26</v>
      </c>
      <c r="O396" s="188">
        <v>3.8461538461538498E-2</v>
      </c>
      <c r="P396" s="188" t="s">
        <v>573</v>
      </c>
      <c r="Q396" s="188">
        <v>0</v>
      </c>
      <c r="R396" s="189" t="s">
        <v>573</v>
      </c>
      <c r="S396" s="189" t="s">
        <v>573</v>
      </c>
    </row>
    <row r="397" spans="1:19" ht="15" customHeight="1" x14ac:dyDescent="0.3">
      <c r="A397" s="182" t="s">
        <v>1630</v>
      </c>
      <c r="B397" s="182" t="s">
        <v>563</v>
      </c>
      <c r="C397" s="182"/>
      <c r="D397" s="182" t="s">
        <v>1460</v>
      </c>
      <c r="E397" s="183" t="s">
        <v>1461</v>
      </c>
      <c r="F397" s="183"/>
      <c r="G397" s="184">
        <v>1</v>
      </c>
      <c r="H397" s="185">
        <v>0</v>
      </c>
      <c r="I397" s="186">
        <v>2365.2381485799501</v>
      </c>
      <c r="J397" s="187">
        <v>2365.2381485799501</v>
      </c>
      <c r="K397" s="182" t="s">
        <v>1631</v>
      </c>
      <c r="L397" s="182">
        <v>1</v>
      </c>
      <c r="M397" s="182" t="s">
        <v>1632</v>
      </c>
      <c r="N397" s="186">
        <v>12</v>
      </c>
      <c r="O397" s="188">
        <v>1</v>
      </c>
      <c r="P397" s="188" t="s">
        <v>573</v>
      </c>
      <c r="Q397" s="188">
        <v>0</v>
      </c>
      <c r="R397" s="189" t="s">
        <v>573</v>
      </c>
      <c r="S397" s="189" t="s">
        <v>573</v>
      </c>
    </row>
    <row r="398" spans="1:19" ht="15" customHeight="1" x14ac:dyDescent="0.3">
      <c r="A398" s="182" t="s">
        <v>1630</v>
      </c>
      <c r="B398" s="182" t="s">
        <v>563</v>
      </c>
      <c r="C398" s="182"/>
      <c r="D398" s="182" t="s">
        <v>1456</v>
      </c>
      <c r="E398" s="183" t="s">
        <v>1457</v>
      </c>
      <c r="F398" s="183"/>
      <c r="G398" s="184">
        <v>1</v>
      </c>
      <c r="H398" s="185">
        <v>0</v>
      </c>
      <c r="I398" s="186">
        <v>140.198092594309</v>
      </c>
      <c r="J398" s="187">
        <v>140.198092594309</v>
      </c>
      <c r="K398" s="182" t="s">
        <v>1631</v>
      </c>
      <c r="L398" s="182">
        <v>2</v>
      </c>
      <c r="M398" s="182" t="s">
        <v>1633</v>
      </c>
      <c r="N398" s="186">
        <v>12</v>
      </c>
      <c r="O398" s="188">
        <v>1</v>
      </c>
      <c r="P398" s="188" t="s">
        <v>573</v>
      </c>
      <c r="Q398" s="188">
        <v>0</v>
      </c>
      <c r="R398" s="189" t="s">
        <v>573</v>
      </c>
      <c r="S398" s="189" t="s">
        <v>573</v>
      </c>
    </row>
    <row r="399" spans="1:19" ht="15" customHeight="1" x14ac:dyDescent="0.3">
      <c r="A399" s="182" t="s">
        <v>1630</v>
      </c>
      <c r="B399" s="182" t="s">
        <v>908</v>
      </c>
      <c r="C399" s="182" t="s">
        <v>909</v>
      </c>
      <c r="D399" s="182" t="s">
        <v>1535</v>
      </c>
      <c r="E399" s="183" t="s">
        <v>1536</v>
      </c>
      <c r="F399" s="183" t="s">
        <v>600</v>
      </c>
      <c r="G399" s="184">
        <v>0.06</v>
      </c>
      <c r="H399" s="185">
        <v>0.1</v>
      </c>
      <c r="I399" s="186">
        <v>2474.34710743802</v>
      </c>
      <c r="J399" s="187">
        <v>163.30690909090899</v>
      </c>
      <c r="K399" s="182" t="s">
        <v>1634</v>
      </c>
      <c r="L399" s="182">
        <v>1</v>
      </c>
      <c r="M399" s="182" t="s">
        <v>1635</v>
      </c>
      <c r="N399" s="186">
        <v>12</v>
      </c>
      <c r="O399" s="188">
        <v>0.06</v>
      </c>
      <c r="P399" s="188" t="s">
        <v>573</v>
      </c>
      <c r="Q399" s="188">
        <v>0</v>
      </c>
      <c r="R399" s="189" t="s">
        <v>573</v>
      </c>
      <c r="S399" s="189" t="s">
        <v>573</v>
      </c>
    </row>
    <row r="400" spans="1:19" ht="15" customHeight="1" x14ac:dyDescent="0.3">
      <c r="A400" s="182" t="s">
        <v>1630</v>
      </c>
      <c r="B400" s="182" t="s">
        <v>908</v>
      </c>
      <c r="C400" s="182" t="s">
        <v>909</v>
      </c>
      <c r="D400" s="182" t="s">
        <v>1539</v>
      </c>
      <c r="E400" s="183" t="s">
        <v>1540</v>
      </c>
      <c r="F400" s="183" t="s">
        <v>600</v>
      </c>
      <c r="G400" s="184">
        <v>0.495</v>
      </c>
      <c r="H400" s="185">
        <v>0.1</v>
      </c>
      <c r="I400" s="186">
        <v>2470.5619834710801</v>
      </c>
      <c r="J400" s="187">
        <v>1345.221</v>
      </c>
      <c r="K400" s="182" t="s">
        <v>1634</v>
      </c>
      <c r="L400" s="182">
        <v>2</v>
      </c>
      <c r="M400" s="182" t="s">
        <v>1636</v>
      </c>
      <c r="N400" s="186">
        <v>12</v>
      </c>
      <c r="O400" s="188">
        <v>0.495</v>
      </c>
      <c r="P400" s="188" t="s">
        <v>573</v>
      </c>
      <c r="Q400" s="188">
        <v>0</v>
      </c>
      <c r="R400" s="189" t="s">
        <v>573</v>
      </c>
      <c r="S400" s="189" t="s">
        <v>573</v>
      </c>
    </row>
    <row r="401" spans="1:19" ht="15" customHeight="1" x14ac:dyDescent="0.3">
      <c r="A401" s="182" t="s">
        <v>1630</v>
      </c>
      <c r="B401" s="182" t="s">
        <v>908</v>
      </c>
      <c r="C401" s="182" t="s">
        <v>909</v>
      </c>
      <c r="D401" s="182" t="s">
        <v>1479</v>
      </c>
      <c r="E401" s="183" t="s">
        <v>1480</v>
      </c>
      <c r="F401" s="183" t="s">
        <v>600</v>
      </c>
      <c r="G401" s="184">
        <v>6</v>
      </c>
      <c r="H401" s="185">
        <v>0.1</v>
      </c>
      <c r="I401" s="186">
        <v>65.919008264462803</v>
      </c>
      <c r="J401" s="187">
        <v>435.065454545455</v>
      </c>
      <c r="K401" s="182" t="s">
        <v>1634</v>
      </c>
      <c r="L401" s="182">
        <v>3</v>
      </c>
      <c r="M401" s="182" t="s">
        <v>1637</v>
      </c>
      <c r="N401" s="186">
        <v>12</v>
      </c>
      <c r="O401" s="188">
        <v>6</v>
      </c>
      <c r="P401" s="188" t="s">
        <v>573</v>
      </c>
      <c r="Q401" s="188">
        <v>0</v>
      </c>
      <c r="R401" s="189" t="s">
        <v>573</v>
      </c>
      <c r="S401" s="189" t="s">
        <v>573</v>
      </c>
    </row>
    <row r="402" spans="1:19" ht="15" customHeight="1" x14ac:dyDescent="0.3">
      <c r="A402" s="182" t="s">
        <v>1630</v>
      </c>
      <c r="B402" s="182" t="s">
        <v>908</v>
      </c>
      <c r="C402" s="182" t="s">
        <v>909</v>
      </c>
      <c r="D402" s="182" t="s">
        <v>1543</v>
      </c>
      <c r="E402" s="183" t="s">
        <v>1544</v>
      </c>
      <c r="F402" s="183" t="s">
        <v>600</v>
      </c>
      <c r="G402" s="184">
        <v>0.45</v>
      </c>
      <c r="H402" s="185">
        <v>0.1</v>
      </c>
      <c r="I402" s="186">
        <v>3894.6611570247901</v>
      </c>
      <c r="J402" s="187">
        <v>1927.8572727272699</v>
      </c>
      <c r="K402" s="182" t="s">
        <v>1634</v>
      </c>
      <c r="L402" s="182">
        <v>4</v>
      </c>
      <c r="M402" s="182" t="s">
        <v>1638</v>
      </c>
      <c r="N402" s="186">
        <v>12</v>
      </c>
      <c r="O402" s="188">
        <v>0.45</v>
      </c>
      <c r="P402" s="188" t="s">
        <v>573</v>
      </c>
      <c r="Q402" s="188">
        <v>0</v>
      </c>
      <c r="R402" s="189" t="s">
        <v>573</v>
      </c>
      <c r="S402" s="189" t="s">
        <v>573</v>
      </c>
    </row>
    <row r="403" spans="1:19" ht="15" customHeight="1" x14ac:dyDescent="0.3">
      <c r="A403" s="182" t="s">
        <v>1630</v>
      </c>
      <c r="B403" s="182" t="s">
        <v>908</v>
      </c>
      <c r="C403" s="182" t="s">
        <v>909</v>
      </c>
      <c r="D403" s="182" t="s">
        <v>1639</v>
      </c>
      <c r="E403" s="183" t="s">
        <v>1640</v>
      </c>
      <c r="F403" s="183" t="s">
        <v>600</v>
      </c>
      <c r="G403" s="184">
        <v>2.62</v>
      </c>
      <c r="H403" s="185">
        <v>0.1</v>
      </c>
      <c r="I403" s="186">
        <v>1262.17355371901</v>
      </c>
      <c r="J403" s="187">
        <v>3637.5841818181898</v>
      </c>
      <c r="K403" s="182" t="s">
        <v>1634</v>
      </c>
      <c r="L403" s="182">
        <v>5</v>
      </c>
      <c r="M403" s="182" t="s">
        <v>1641</v>
      </c>
      <c r="N403" s="186">
        <v>12</v>
      </c>
      <c r="O403" s="188">
        <v>2.62</v>
      </c>
      <c r="P403" s="188" t="s">
        <v>573</v>
      </c>
      <c r="Q403" s="188">
        <v>0</v>
      </c>
      <c r="R403" s="189" t="s">
        <v>573</v>
      </c>
      <c r="S403" s="189" t="s">
        <v>573</v>
      </c>
    </row>
    <row r="404" spans="1:19" ht="15" customHeight="1" x14ac:dyDescent="0.3">
      <c r="A404" s="182" t="s">
        <v>1630</v>
      </c>
      <c r="B404" s="182" t="s">
        <v>908</v>
      </c>
      <c r="C404" s="182" t="s">
        <v>909</v>
      </c>
      <c r="D404" s="182" t="s">
        <v>1642</v>
      </c>
      <c r="E404" s="183" t="s">
        <v>1643</v>
      </c>
      <c r="F404" s="183" t="s">
        <v>600</v>
      </c>
      <c r="G404" s="184">
        <v>1.3888888888888899</v>
      </c>
      <c r="H404" s="185">
        <v>0.1</v>
      </c>
      <c r="I404" s="186">
        <v>4751.7078772422501</v>
      </c>
      <c r="J404" s="187">
        <v>7259.55370134233</v>
      </c>
      <c r="K404" s="182" t="s">
        <v>1634</v>
      </c>
      <c r="L404" s="182">
        <v>6</v>
      </c>
      <c r="M404" s="182" t="s">
        <v>1644</v>
      </c>
      <c r="N404" s="186">
        <v>12</v>
      </c>
      <c r="O404" s="188">
        <v>1.3888888888888899</v>
      </c>
      <c r="P404" s="188" t="s">
        <v>573</v>
      </c>
      <c r="Q404" s="188">
        <v>0</v>
      </c>
      <c r="R404" s="189" t="s">
        <v>573</v>
      </c>
      <c r="S404" s="189" t="s">
        <v>573</v>
      </c>
    </row>
    <row r="405" spans="1:19" ht="15" customHeight="1" x14ac:dyDescent="0.3">
      <c r="A405" s="182" t="s">
        <v>1630</v>
      </c>
      <c r="B405" s="182" t="s">
        <v>937</v>
      </c>
      <c r="C405" s="182" t="s">
        <v>938</v>
      </c>
      <c r="D405" s="190" t="s">
        <v>1291</v>
      </c>
      <c r="E405" s="183" t="s">
        <v>1292</v>
      </c>
      <c r="F405" s="183" t="s">
        <v>941</v>
      </c>
      <c r="G405" s="184">
        <v>1</v>
      </c>
      <c r="H405" s="185">
        <v>0</v>
      </c>
      <c r="I405" s="186">
        <v>65493.071636572</v>
      </c>
      <c r="J405" s="187">
        <v>65493.071636572</v>
      </c>
      <c r="K405" s="182" t="s">
        <v>1645</v>
      </c>
      <c r="L405" s="182">
        <v>1</v>
      </c>
      <c r="M405" s="182" t="s">
        <v>1646</v>
      </c>
      <c r="N405" s="186">
        <v>12</v>
      </c>
      <c r="O405" s="188">
        <v>8.3333333333333301E-2</v>
      </c>
      <c r="P405" s="188" t="s">
        <v>573</v>
      </c>
      <c r="Q405" s="188">
        <v>0</v>
      </c>
      <c r="R405" s="189" t="s">
        <v>573</v>
      </c>
      <c r="S405" s="189" t="s">
        <v>573</v>
      </c>
    </row>
    <row r="406" spans="1:19" ht="15" customHeight="1" x14ac:dyDescent="0.3">
      <c r="A406" s="182" t="s">
        <v>1630</v>
      </c>
      <c r="B406" s="182" t="s">
        <v>937</v>
      </c>
      <c r="C406" s="182" t="s">
        <v>938</v>
      </c>
      <c r="D406" s="190" t="s">
        <v>944</v>
      </c>
      <c r="E406" s="183" t="s">
        <v>945</v>
      </c>
      <c r="F406" s="183" t="s">
        <v>941</v>
      </c>
      <c r="G406" s="184">
        <v>1</v>
      </c>
      <c r="H406" s="185">
        <v>0</v>
      </c>
      <c r="I406" s="186">
        <v>85927.097156571996</v>
      </c>
      <c r="J406" s="187">
        <v>85927.097156571996</v>
      </c>
      <c r="K406" s="182" t="s">
        <v>1645</v>
      </c>
      <c r="L406" s="182">
        <v>2</v>
      </c>
      <c r="M406" s="182" t="s">
        <v>1647</v>
      </c>
      <c r="N406" s="186">
        <v>12</v>
      </c>
      <c r="O406" s="188">
        <v>8.3333333333333301E-2</v>
      </c>
      <c r="P406" s="188" t="s">
        <v>573</v>
      </c>
      <c r="Q406" s="188">
        <v>0</v>
      </c>
      <c r="R406" s="189" t="s">
        <v>573</v>
      </c>
      <c r="S406" s="189" t="s">
        <v>573</v>
      </c>
    </row>
    <row r="407" spans="1:19" ht="15" customHeight="1" x14ac:dyDescent="0.3">
      <c r="A407" s="182" t="s">
        <v>1648</v>
      </c>
      <c r="B407" s="182" t="s">
        <v>563</v>
      </c>
      <c r="C407" s="182"/>
      <c r="D407" s="182" t="s">
        <v>948</v>
      </c>
      <c r="E407" s="183" t="s">
        <v>949</v>
      </c>
      <c r="F407" s="183"/>
      <c r="G407" s="184">
        <v>0.5</v>
      </c>
      <c r="H407" s="185">
        <v>0</v>
      </c>
      <c r="I407" s="186">
        <v>571.17949098076099</v>
      </c>
      <c r="J407" s="187">
        <v>285.58974549038101</v>
      </c>
      <c r="K407" s="182" t="s">
        <v>1649</v>
      </c>
      <c r="L407" s="182">
        <v>1</v>
      </c>
      <c r="M407" s="182" t="s">
        <v>1650</v>
      </c>
      <c r="N407" s="186">
        <v>3.25</v>
      </c>
      <c r="O407" s="188">
        <v>0.5</v>
      </c>
      <c r="P407" s="188" t="s">
        <v>573</v>
      </c>
      <c r="Q407" s="188">
        <v>0</v>
      </c>
      <c r="R407" s="189" t="s">
        <v>573</v>
      </c>
      <c r="S407" s="189" t="s">
        <v>573</v>
      </c>
    </row>
    <row r="408" spans="1:19" ht="15" customHeight="1" x14ac:dyDescent="0.3">
      <c r="A408" s="182" t="s">
        <v>1648</v>
      </c>
      <c r="B408" s="182" t="s">
        <v>563</v>
      </c>
      <c r="C408" s="182"/>
      <c r="D408" s="182" t="s">
        <v>1651</v>
      </c>
      <c r="E408" s="183" t="s">
        <v>1652</v>
      </c>
      <c r="F408" s="183"/>
      <c r="G408" s="184">
        <v>1</v>
      </c>
      <c r="H408" s="185">
        <v>0</v>
      </c>
      <c r="I408" s="186">
        <v>5063.0947914732396</v>
      </c>
      <c r="J408" s="187">
        <v>5063.0947914732396</v>
      </c>
      <c r="K408" s="182" t="s">
        <v>1649</v>
      </c>
      <c r="L408" s="182">
        <v>2</v>
      </c>
      <c r="M408" s="182" t="s">
        <v>1653</v>
      </c>
      <c r="N408" s="186">
        <v>3.25</v>
      </c>
      <c r="O408" s="188">
        <v>1</v>
      </c>
      <c r="P408" s="188" t="s">
        <v>573</v>
      </c>
      <c r="Q408" s="188">
        <v>0</v>
      </c>
      <c r="R408" s="189" t="s">
        <v>573</v>
      </c>
      <c r="S408" s="189" t="s">
        <v>573</v>
      </c>
    </row>
    <row r="409" spans="1:19" ht="15" customHeight="1" x14ac:dyDescent="0.3">
      <c r="A409" s="182" t="s">
        <v>1648</v>
      </c>
      <c r="B409" s="182" t="s">
        <v>563</v>
      </c>
      <c r="C409" s="182"/>
      <c r="D409" s="182" t="s">
        <v>1456</v>
      </c>
      <c r="E409" s="183" t="s">
        <v>1457</v>
      </c>
      <c r="F409" s="183"/>
      <c r="G409" s="184">
        <v>0.5</v>
      </c>
      <c r="H409" s="185">
        <v>0</v>
      </c>
      <c r="I409" s="186">
        <v>140.198092594309</v>
      </c>
      <c r="J409" s="187">
        <v>70.099046297154501</v>
      </c>
      <c r="K409" s="182" t="s">
        <v>1649</v>
      </c>
      <c r="L409" s="182">
        <v>3</v>
      </c>
      <c r="M409" s="182" t="s">
        <v>1654</v>
      </c>
      <c r="N409" s="186">
        <v>3.25</v>
      </c>
      <c r="O409" s="188">
        <v>0.5</v>
      </c>
      <c r="P409" s="188" t="s">
        <v>573</v>
      </c>
      <c r="Q409" s="188">
        <v>0</v>
      </c>
      <c r="R409" s="189" t="s">
        <v>573</v>
      </c>
      <c r="S409" s="189" t="s">
        <v>573</v>
      </c>
    </row>
    <row r="410" spans="1:19" ht="15" customHeight="1" x14ac:dyDescent="0.3">
      <c r="A410" s="182" t="s">
        <v>1648</v>
      </c>
      <c r="B410" s="182" t="s">
        <v>908</v>
      </c>
      <c r="C410" s="182" t="s">
        <v>909</v>
      </c>
      <c r="D410" s="182" t="s">
        <v>1655</v>
      </c>
      <c r="E410" s="183" t="s">
        <v>1656</v>
      </c>
      <c r="F410" s="183" t="s">
        <v>600</v>
      </c>
      <c r="G410" s="184">
        <v>3</v>
      </c>
      <c r="H410" s="185">
        <v>0.1</v>
      </c>
      <c r="I410" s="186">
        <v>282.29000000000002</v>
      </c>
      <c r="J410" s="187">
        <v>931.55700000000002</v>
      </c>
      <c r="K410" s="182" t="s">
        <v>1657</v>
      </c>
      <c r="L410" s="182">
        <v>1</v>
      </c>
      <c r="M410" s="182" t="s">
        <v>1658</v>
      </c>
      <c r="N410" s="186">
        <v>3.25</v>
      </c>
      <c r="O410" s="188">
        <v>3</v>
      </c>
      <c r="P410" s="188" t="s">
        <v>573</v>
      </c>
      <c r="Q410" s="188">
        <v>0</v>
      </c>
      <c r="R410" s="189" t="s">
        <v>573</v>
      </c>
      <c r="S410" s="189" t="s">
        <v>573</v>
      </c>
    </row>
    <row r="411" spans="1:19" ht="15" customHeight="1" x14ac:dyDescent="0.3">
      <c r="A411" s="182" t="s">
        <v>1648</v>
      </c>
      <c r="B411" s="182" t="s">
        <v>908</v>
      </c>
      <c r="C411" s="182" t="s">
        <v>909</v>
      </c>
      <c r="D411" s="182" t="s">
        <v>1659</v>
      </c>
      <c r="E411" s="183" t="s">
        <v>1660</v>
      </c>
      <c r="F411" s="183" t="s">
        <v>581</v>
      </c>
      <c r="G411" s="184">
        <v>5</v>
      </c>
      <c r="H411" s="185">
        <v>0.1</v>
      </c>
      <c r="I411" s="186">
        <v>635.55999999999995</v>
      </c>
      <c r="J411" s="187">
        <v>3495.58</v>
      </c>
      <c r="K411" s="182" t="s">
        <v>1657</v>
      </c>
      <c r="L411" s="182">
        <v>2</v>
      </c>
      <c r="M411" s="182" t="s">
        <v>1661</v>
      </c>
      <c r="N411" s="186">
        <v>3.25</v>
      </c>
      <c r="O411" s="188">
        <v>5</v>
      </c>
      <c r="P411" s="188" t="s">
        <v>573</v>
      </c>
      <c r="Q411" s="188">
        <v>0</v>
      </c>
      <c r="R411" s="189" t="s">
        <v>573</v>
      </c>
      <c r="S411" s="189" t="s">
        <v>573</v>
      </c>
    </row>
    <row r="412" spans="1:19" ht="15" customHeight="1" x14ac:dyDescent="0.3">
      <c r="A412" s="182" t="s">
        <v>1648</v>
      </c>
      <c r="B412" s="182" t="s">
        <v>908</v>
      </c>
      <c r="C412" s="182" t="s">
        <v>909</v>
      </c>
      <c r="D412" s="182" t="s">
        <v>1662</v>
      </c>
      <c r="E412" s="183" t="s">
        <v>1663</v>
      </c>
      <c r="F412" s="183" t="s">
        <v>600</v>
      </c>
      <c r="G412" s="184">
        <v>2</v>
      </c>
      <c r="H412" s="185">
        <v>0.1</v>
      </c>
      <c r="I412" s="186">
        <v>184.87</v>
      </c>
      <c r="J412" s="187">
        <v>406.714</v>
      </c>
      <c r="K412" s="182" t="s">
        <v>1657</v>
      </c>
      <c r="L412" s="182">
        <v>3</v>
      </c>
      <c r="M412" s="182" t="s">
        <v>1664</v>
      </c>
      <c r="N412" s="186">
        <v>3.25</v>
      </c>
      <c r="O412" s="188">
        <v>2</v>
      </c>
      <c r="P412" s="188" t="s">
        <v>573</v>
      </c>
      <c r="Q412" s="188">
        <v>0</v>
      </c>
      <c r="R412" s="189" t="s">
        <v>573</v>
      </c>
      <c r="S412" s="189" t="s">
        <v>573</v>
      </c>
    </row>
    <row r="413" spans="1:19" ht="15" customHeight="1" x14ac:dyDescent="0.3">
      <c r="A413" s="182" t="s">
        <v>1648</v>
      </c>
      <c r="B413" s="182" t="s">
        <v>908</v>
      </c>
      <c r="C413" s="182" t="s">
        <v>909</v>
      </c>
      <c r="D413" s="182" t="s">
        <v>1665</v>
      </c>
      <c r="E413" s="183" t="s">
        <v>1666</v>
      </c>
      <c r="F413" s="183" t="s">
        <v>581</v>
      </c>
      <c r="G413" s="184">
        <v>7.5</v>
      </c>
      <c r="H413" s="185">
        <v>0.1</v>
      </c>
      <c r="I413" s="186">
        <v>316.44450000000001</v>
      </c>
      <c r="J413" s="187">
        <v>2610.6671249999999</v>
      </c>
      <c r="K413" s="182" t="s">
        <v>1657</v>
      </c>
      <c r="L413" s="182">
        <v>4</v>
      </c>
      <c r="M413" s="182" t="s">
        <v>1667</v>
      </c>
      <c r="N413" s="186">
        <v>3.25</v>
      </c>
      <c r="O413" s="188">
        <v>7.5</v>
      </c>
      <c r="P413" s="188" t="s">
        <v>573</v>
      </c>
      <c r="Q413" s="188">
        <v>0</v>
      </c>
      <c r="R413" s="189" t="s">
        <v>573</v>
      </c>
      <c r="S413" s="189" t="s">
        <v>573</v>
      </c>
    </row>
    <row r="414" spans="1:19" ht="15" customHeight="1" x14ac:dyDescent="0.3">
      <c r="A414" s="182" t="s">
        <v>1648</v>
      </c>
      <c r="B414" s="182" t="s">
        <v>908</v>
      </c>
      <c r="C414" s="182" t="s">
        <v>909</v>
      </c>
      <c r="D414" s="182" t="s">
        <v>1668</v>
      </c>
      <c r="E414" s="183" t="s">
        <v>1669</v>
      </c>
      <c r="F414" s="183" t="s">
        <v>581</v>
      </c>
      <c r="G414" s="184">
        <v>5</v>
      </c>
      <c r="H414" s="185">
        <v>0.1</v>
      </c>
      <c r="I414" s="186">
        <v>509.31490000000002</v>
      </c>
      <c r="J414" s="187">
        <v>2801.2319499999999</v>
      </c>
      <c r="K414" s="182" t="s">
        <v>1657</v>
      </c>
      <c r="L414" s="182">
        <v>5</v>
      </c>
      <c r="M414" s="182" t="s">
        <v>1670</v>
      </c>
      <c r="N414" s="186">
        <v>3.25</v>
      </c>
      <c r="O414" s="188">
        <v>5</v>
      </c>
      <c r="P414" s="188" t="s">
        <v>573</v>
      </c>
      <c r="Q414" s="188">
        <v>0</v>
      </c>
      <c r="R414" s="189" t="s">
        <v>573</v>
      </c>
      <c r="S414" s="189" t="s">
        <v>573</v>
      </c>
    </row>
    <row r="415" spans="1:19" ht="15" customHeight="1" x14ac:dyDescent="0.3">
      <c r="A415" s="182" t="s">
        <v>1648</v>
      </c>
      <c r="B415" s="182" t="s">
        <v>908</v>
      </c>
      <c r="C415" s="182" t="s">
        <v>909</v>
      </c>
      <c r="D415" s="182" t="s">
        <v>1671</v>
      </c>
      <c r="E415" s="183" t="s">
        <v>1672</v>
      </c>
      <c r="F415" s="183" t="s">
        <v>581</v>
      </c>
      <c r="G415" s="184">
        <v>7.5</v>
      </c>
      <c r="H415" s="185">
        <v>0.1</v>
      </c>
      <c r="I415" s="186">
        <v>509.31490000000002</v>
      </c>
      <c r="J415" s="187">
        <v>4201.847925</v>
      </c>
      <c r="K415" s="182" t="s">
        <v>1657</v>
      </c>
      <c r="L415" s="182">
        <v>6</v>
      </c>
      <c r="M415" s="182" t="s">
        <v>1673</v>
      </c>
      <c r="N415" s="186">
        <v>3.25</v>
      </c>
      <c r="O415" s="188">
        <v>7.5</v>
      </c>
      <c r="P415" s="188" t="s">
        <v>573</v>
      </c>
      <c r="Q415" s="188">
        <v>0</v>
      </c>
      <c r="R415" s="189" t="s">
        <v>573</v>
      </c>
      <c r="S415" s="189" t="s">
        <v>573</v>
      </c>
    </row>
    <row r="416" spans="1:19" ht="15" customHeight="1" x14ac:dyDescent="0.3">
      <c r="A416" s="182" t="s">
        <v>1648</v>
      </c>
      <c r="B416" s="182" t="s">
        <v>908</v>
      </c>
      <c r="C416" s="182" t="s">
        <v>909</v>
      </c>
      <c r="D416" s="182" t="s">
        <v>1674</v>
      </c>
      <c r="E416" s="183" t="s">
        <v>1675</v>
      </c>
      <c r="F416" s="183" t="s">
        <v>600</v>
      </c>
      <c r="G416" s="184">
        <v>1</v>
      </c>
      <c r="H416" s="185">
        <v>0.05</v>
      </c>
      <c r="I416" s="186">
        <v>202.42</v>
      </c>
      <c r="J416" s="187">
        <v>212.541</v>
      </c>
      <c r="K416" s="182" t="s">
        <v>1657</v>
      </c>
      <c r="L416" s="182">
        <v>7</v>
      </c>
      <c r="M416" s="182" t="s">
        <v>1676</v>
      </c>
      <c r="N416" s="186">
        <v>3.25</v>
      </c>
      <c r="O416" s="188">
        <v>1</v>
      </c>
      <c r="P416" s="188" t="s">
        <v>573</v>
      </c>
      <c r="Q416" s="188">
        <v>0</v>
      </c>
      <c r="R416" s="189" t="s">
        <v>573</v>
      </c>
      <c r="S416" s="189" t="s">
        <v>573</v>
      </c>
    </row>
    <row r="417" spans="1:19" ht="15" customHeight="1" x14ac:dyDescent="0.3">
      <c r="A417" s="182" t="s">
        <v>1648</v>
      </c>
      <c r="B417" s="182" t="s">
        <v>908</v>
      </c>
      <c r="C417" s="182" t="s">
        <v>909</v>
      </c>
      <c r="D417" s="182" t="s">
        <v>1677</v>
      </c>
      <c r="E417" s="183" t="s">
        <v>1678</v>
      </c>
      <c r="F417" s="183" t="s">
        <v>600</v>
      </c>
      <c r="G417" s="184">
        <v>0.5</v>
      </c>
      <c r="H417" s="185">
        <v>0.05</v>
      </c>
      <c r="I417" s="186">
        <v>202.42</v>
      </c>
      <c r="J417" s="187">
        <v>106.2705</v>
      </c>
      <c r="K417" s="182" t="s">
        <v>1657</v>
      </c>
      <c r="L417" s="182">
        <v>8</v>
      </c>
      <c r="M417" s="182" t="s">
        <v>1679</v>
      </c>
      <c r="N417" s="186">
        <v>3.25</v>
      </c>
      <c r="O417" s="188">
        <v>0.5</v>
      </c>
      <c r="P417" s="188" t="s">
        <v>573</v>
      </c>
      <c r="Q417" s="188">
        <v>0</v>
      </c>
      <c r="R417" s="189" t="s">
        <v>573</v>
      </c>
      <c r="S417" s="189" t="s">
        <v>573</v>
      </c>
    </row>
    <row r="418" spans="1:19" ht="15" customHeight="1" x14ac:dyDescent="0.3">
      <c r="A418" s="182" t="s">
        <v>1648</v>
      </c>
      <c r="B418" s="182" t="s">
        <v>908</v>
      </c>
      <c r="C418" s="182" t="s">
        <v>909</v>
      </c>
      <c r="D418" s="182" t="s">
        <v>976</v>
      </c>
      <c r="E418" s="183" t="s">
        <v>977</v>
      </c>
      <c r="F418" s="183" t="s">
        <v>576</v>
      </c>
      <c r="G418" s="184">
        <v>3100.945995</v>
      </c>
      <c r="H418" s="185">
        <v>0</v>
      </c>
      <c r="I418" s="186">
        <v>1</v>
      </c>
      <c r="J418" s="187">
        <v>3100.945995</v>
      </c>
      <c r="K418" s="182" t="s">
        <v>1657</v>
      </c>
      <c r="L418" s="182">
        <v>9</v>
      </c>
      <c r="M418" s="182" t="s">
        <v>1680</v>
      </c>
      <c r="N418" s="186">
        <v>3.25</v>
      </c>
      <c r="O418" s="188">
        <v>3100.945995</v>
      </c>
      <c r="P418" s="188" t="s">
        <v>573</v>
      </c>
      <c r="Q418" s="188">
        <v>0</v>
      </c>
      <c r="R418" s="189" t="s">
        <v>573</v>
      </c>
      <c r="S418" s="189" t="s">
        <v>573</v>
      </c>
    </row>
    <row r="419" spans="1:19" ht="15" customHeight="1" x14ac:dyDescent="0.3">
      <c r="A419" s="182" t="s">
        <v>1648</v>
      </c>
      <c r="B419" s="182" t="s">
        <v>937</v>
      </c>
      <c r="C419" s="182" t="s">
        <v>938</v>
      </c>
      <c r="D419" s="190" t="s">
        <v>939</v>
      </c>
      <c r="E419" s="183" t="s">
        <v>940</v>
      </c>
      <c r="F419" s="183" t="s">
        <v>941</v>
      </c>
      <c r="G419" s="184">
        <v>1</v>
      </c>
      <c r="H419" s="185">
        <v>0</v>
      </c>
      <c r="I419" s="186">
        <v>60860.580776572002</v>
      </c>
      <c r="J419" s="187">
        <v>60860.580776572002</v>
      </c>
      <c r="K419" s="182" t="s">
        <v>1681</v>
      </c>
      <c r="L419" s="182">
        <v>1</v>
      </c>
      <c r="M419" s="182" t="s">
        <v>1682</v>
      </c>
      <c r="N419" s="186">
        <v>3.25</v>
      </c>
      <c r="O419" s="188">
        <v>0.30769230769230799</v>
      </c>
      <c r="P419" s="188" t="s">
        <v>573</v>
      </c>
      <c r="Q419" s="188">
        <v>0</v>
      </c>
      <c r="R419" s="189" t="s">
        <v>573</v>
      </c>
      <c r="S419" s="189" t="s">
        <v>573</v>
      </c>
    </row>
    <row r="420" spans="1:19" ht="15" customHeight="1" x14ac:dyDescent="0.3">
      <c r="A420" s="182" t="s">
        <v>1648</v>
      </c>
      <c r="B420" s="182" t="s">
        <v>937</v>
      </c>
      <c r="C420" s="182" t="s">
        <v>938</v>
      </c>
      <c r="D420" s="190" t="s">
        <v>944</v>
      </c>
      <c r="E420" s="183" t="s">
        <v>945</v>
      </c>
      <c r="F420" s="183" t="s">
        <v>941</v>
      </c>
      <c r="G420" s="184">
        <v>1</v>
      </c>
      <c r="H420" s="185">
        <v>0</v>
      </c>
      <c r="I420" s="186">
        <v>85927.097156571996</v>
      </c>
      <c r="J420" s="187">
        <v>85927.097156571996</v>
      </c>
      <c r="K420" s="182" t="s">
        <v>1681</v>
      </c>
      <c r="L420" s="182">
        <v>2</v>
      </c>
      <c r="M420" s="182" t="s">
        <v>1683</v>
      </c>
      <c r="N420" s="186">
        <v>3.25</v>
      </c>
      <c r="O420" s="188">
        <v>0.30769230769230799</v>
      </c>
      <c r="P420" s="188" t="s">
        <v>573</v>
      </c>
      <c r="Q420" s="188">
        <v>0</v>
      </c>
      <c r="R420" s="189" t="s">
        <v>573</v>
      </c>
      <c r="S420" s="189" t="s">
        <v>573</v>
      </c>
    </row>
    <row r="421" spans="1:19" ht="15" customHeight="1" x14ac:dyDescent="0.3">
      <c r="A421" s="182" t="s">
        <v>1684</v>
      </c>
      <c r="B421" s="182" t="s">
        <v>563</v>
      </c>
      <c r="C421" s="182"/>
      <c r="D421" s="182" t="s">
        <v>948</v>
      </c>
      <c r="E421" s="183" t="s">
        <v>949</v>
      </c>
      <c r="F421" s="183"/>
      <c r="G421" s="184">
        <v>0.5</v>
      </c>
      <c r="H421" s="185">
        <v>0</v>
      </c>
      <c r="I421" s="186">
        <v>571.17949098076099</v>
      </c>
      <c r="J421" s="187">
        <v>285.58974549038101</v>
      </c>
      <c r="K421" s="182" t="s">
        <v>1685</v>
      </c>
      <c r="L421" s="182">
        <v>1</v>
      </c>
      <c r="M421" s="182" t="s">
        <v>1686</v>
      </c>
      <c r="N421" s="186">
        <v>3.25</v>
      </c>
      <c r="O421" s="188">
        <v>0.5</v>
      </c>
      <c r="P421" s="188" t="s">
        <v>573</v>
      </c>
      <c r="Q421" s="188">
        <v>0</v>
      </c>
      <c r="R421" s="189" t="s">
        <v>573</v>
      </c>
      <c r="S421" s="189" t="s">
        <v>573</v>
      </c>
    </row>
    <row r="422" spans="1:19" ht="15" customHeight="1" x14ac:dyDescent="0.3">
      <c r="A422" s="182" t="s">
        <v>1684</v>
      </c>
      <c r="B422" s="182" t="s">
        <v>563</v>
      </c>
      <c r="C422" s="182"/>
      <c r="D422" s="182" t="s">
        <v>1651</v>
      </c>
      <c r="E422" s="183" t="s">
        <v>1652</v>
      </c>
      <c r="F422" s="183"/>
      <c r="G422" s="184">
        <v>1</v>
      </c>
      <c r="H422" s="185">
        <v>0</v>
      </c>
      <c r="I422" s="186">
        <v>5063.0947914732396</v>
      </c>
      <c r="J422" s="187">
        <v>5063.0947914732396</v>
      </c>
      <c r="K422" s="182" t="s">
        <v>1685</v>
      </c>
      <c r="L422" s="182">
        <v>2</v>
      </c>
      <c r="M422" s="182" t="s">
        <v>1687</v>
      </c>
      <c r="N422" s="186">
        <v>3.25</v>
      </c>
      <c r="O422" s="188">
        <v>1</v>
      </c>
      <c r="P422" s="188" t="s">
        <v>573</v>
      </c>
      <c r="Q422" s="188">
        <v>0</v>
      </c>
      <c r="R422" s="189" t="s">
        <v>573</v>
      </c>
      <c r="S422" s="189" t="s">
        <v>573</v>
      </c>
    </row>
    <row r="423" spans="1:19" ht="15" customHeight="1" x14ac:dyDescent="0.3">
      <c r="A423" s="182" t="s">
        <v>1684</v>
      </c>
      <c r="B423" s="182" t="s">
        <v>563</v>
      </c>
      <c r="C423" s="182"/>
      <c r="D423" s="182" t="s">
        <v>1456</v>
      </c>
      <c r="E423" s="183" t="s">
        <v>1457</v>
      </c>
      <c r="F423" s="183"/>
      <c r="G423" s="184">
        <v>0.5</v>
      </c>
      <c r="H423" s="185">
        <v>0</v>
      </c>
      <c r="I423" s="186">
        <v>140.198092594309</v>
      </c>
      <c r="J423" s="187">
        <v>70.099046297154501</v>
      </c>
      <c r="K423" s="182" t="s">
        <v>1685</v>
      </c>
      <c r="L423" s="182">
        <v>3</v>
      </c>
      <c r="M423" s="182" t="s">
        <v>1688</v>
      </c>
      <c r="N423" s="186">
        <v>3.25</v>
      </c>
      <c r="O423" s="188">
        <v>0.5</v>
      </c>
      <c r="P423" s="188" t="s">
        <v>573</v>
      </c>
      <c r="Q423" s="188">
        <v>0</v>
      </c>
      <c r="R423" s="189" t="s">
        <v>573</v>
      </c>
      <c r="S423" s="189" t="s">
        <v>573</v>
      </c>
    </row>
    <row r="424" spans="1:19" ht="15" customHeight="1" x14ac:dyDescent="0.3">
      <c r="A424" s="182" t="s">
        <v>1684</v>
      </c>
      <c r="B424" s="182" t="s">
        <v>908</v>
      </c>
      <c r="C424" s="182" t="s">
        <v>909</v>
      </c>
      <c r="D424" s="182" t="s">
        <v>1689</v>
      </c>
      <c r="E424" s="183" t="s">
        <v>1690</v>
      </c>
      <c r="F424" s="183" t="s">
        <v>600</v>
      </c>
      <c r="G424" s="184">
        <v>4</v>
      </c>
      <c r="H424" s="185">
        <v>0.1</v>
      </c>
      <c r="I424" s="186">
        <v>225.83199999999999</v>
      </c>
      <c r="J424" s="187">
        <v>993.66079999999999</v>
      </c>
      <c r="K424" s="182" t="s">
        <v>1691</v>
      </c>
      <c r="L424" s="182">
        <v>1</v>
      </c>
      <c r="M424" s="182" t="s">
        <v>1692</v>
      </c>
      <c r="N424" s="186">
        <v>3.25</v>
      </c>
      <c r="O424" s="188">
        <v>4</v>
      </c>
      <c r="P424" s="188" t="s">
        <v>573</v>
      </c>
      <c r="Q424" s="188">
        <v>0</v>
      </c>
      <c r="R424" s="189" t="s">
        <v>573</v>
      </c>
      <c r="S424" s="189" t="s">
        <v>573</v>
      </c>
    </row>
    <row r="425" spans="1:19" ht="15" customHeight="1" x14ac:dyDescent="0.3">
      <c r="A425" s="182" t="s">
        <v>1684</v>
      </c>
      <c r="B425" s="182" t="s">
        <v>908</v>
      </c>
      <c r="C425" s="182" t="s">
        <v>909</v>
      </c>
      <c r="D425" s="182" t="s">
        <v>1693</v>
      </c>
      <c r="E425" s="183" t="s">
        <v>1694</v>
      </c>
      <c r="F425" s="183" t="s">
        <v>581</v>
      </c>
      <c r="G425" s="184">
        <v>5</v>
      </c>
      <c r="H425" s="185">
        <v>0.05</v>
      </c>
      <c r="I425" s="186">
        <v>472.18</v>
      </c>
      <c r="J425" s="187">
        <v>2478.9450000000002</v>
      </c>
      <c r="K425" s="182" t="s">
        <v>1691</v>
      </c>
      <c r="L425" s="182">
        <v>2</v>
      </c>
      <c r="M425" s="182" t="s">
        <v>1695</v>
      </c>
      <c r="N425" s="186">
        <v>3.25</v>
      </c>
      <c r="O425" s="188">
        <v>5</v>
      </c>
      <c r="P425" s="188" t="s">
        <v>573</v>
      </c>
      <c r="Q425" s="188">
        <v>0</v>
      </c>
      <c r="R425" s="189" t="s">
        <v>573</v>
      </c>
      <c r="S425" s="189" t="s">
        <v>573</v>
      </c>
    </row>
    <row r="426" spans="1:19" ht="15" customHeight="1" x14ac:dyDescent="0.3">
      <c r="A426" s="182" t="s">
        <v>1684</v>
      </c>
      <c r="B426" s="182" t="s">
        <v>908</v>
      </c>
      <c r="C426" s="182" t="s">
        <v>909</v>
      </c>
      <c r="D426" s="182" t="s">
        <v>1696</v>
      </c>
      <c r="E426" s="183" t="s">
        <v>1697</v>
      </c>
      <c r="F426" s="183" t="s">
        <v>600</v>
      </c>
      <c r="G426" s="184">
        <v>1.2</v>
      </c>
      <c r="H426" s="185">
        <v>0.1</v>
      </c>
      <c r="I426" s="186">
        <v>110.922</v>
      </c>
      <c r="J426" s="187">
        <v>146.41703999999999</v>
      </c>
      <c r="K426" s="182" t="s">
        <v>1691</v>
      </c>
      <c r="L426" s="182">
        <v>3</v>
      </c>
      <c r="M426" s="182" t="s">
        <v>1698</v>
      </c>
      <c r="N426" s="186">
        <v>3.25</v>
      </c>
      <c r="O426" s="188">
        <v>1.2</v>
      </c>
      <c r="P426" s="188" t="s">
        <v>573</v>
      </c>
      <c r="Q426" s="188">
        <v>0</v>
      </c>
      <c r="R426" s="189" t="s">
        <v>573</v>
      </c>
      <c r="S426" s="189" t="s">
        <v>573</v>
      </c>
    </row>
    <row r="427" spans="1:19" ht="15" customHeight="1" x14ac:dyDescent="0.3">
      <c r="A427" s="182" t="s">
        <v>1684</v>
      </c>
      <c r="B427" s="182" t="s">
        <v>908</v>
      </c>
      <c r="C427" s="182" t="s">
        <v>909</v>
      </c>
      <c r="D427" s="182" t="s">
        <v>1668</v>
      </c>
      <c r="E427" s="183" t="s">
        <v>1669</v>
      </c>
      <c r="F427" s="183" t="s">
        <v>581</v>
      </c>
      <c r="G427" s="184">
        <v>5</v>
      </c>
      <c r="H427" s="185">
        <v>0.1</v>
      </c>
      <c r="I427" s="186">
        <v>509.31490000000002</v>
      </c>
      <c r="J427" s="187">
        <v>2801.2319499999999</v>
      </c>
      <c r="K427" s="182" t="s">
        <v>1691</v>
      </c>
      <c r="L427" s="182">
        <v>4</v>
      </c>
      <c r="M427" s="182" t="s">
        <v>1699</v>
      </c>
      <c r="N427" s="186">
        <v>3.25</v>
      </c>
      <c r="O427" s="188">
        <v>5</v>
      </c>
      <c r="P427" s="188" t="s">
        <v>573</v>
      </c>
      <c r="Q427" s="188">
        <v>0</v>
      </c>
      <c r="R427" s="189" t="s">
        <v>573</v>
      </c>
      <c r="S427" s="189" t="s">
        <v>573</v>
      </c>
    </row>
    <row r="428" spans="1:19" ht="15" customHeight="1" x14ac:dyDescent="0.3">
      <c r="A428" s="182" t="s">
        <v>1684</v>
      </c>
      <c r="B428" s="182" t="s">
        <v>908</v>
      </c>
      <c r="C428" s="182" t="s">
        <v>909</v>
      </c>
      <c r="D428" s="182" t="s">
        <v>1671</v>
      </c>
      <c r="E428" s="183" t="s">
        <v>1672</v>
      </c>
      <c r="F428" s="183" t="s">
        <v>581</v>
      </c>
      <c r="G428" s="184">
        <v>10</v>
      </c>
      <c r="H428" s="185">
        <v>0.1</v>
      </c>
      <c r="I428" s="186">
        <v>509.31490000000002</v>
      </c>
      <c r="J428" s="187">
        <v>5602.4638999999997</v>
      </c>
      <c r="K428" s="182" t="s">
        <v>1691</v>
      </c>
      <c r="L428" s="182">
        <v>5</v>
      </c>
      <c r="M428" s="182" t="s">
        <v>1700</v>
      </c>
      <c r="N428" s="186">
        <v>3.25</v>
      </c>
      <c r="O428" s="188">
        <v>10</v>
      </c>
      <c r="P428" s="188" t="s">
        <v>573</v>
      </c>
      <c r="Q428" s="188">
        <v>0</v>
      </c>
      <c r="R428" s="189" t="s">
        <v>573</v>
      </c>
      <c r="S428" s="189" t="s">
        <v>573</v>
      </c>
    </row>
    <row r="429" spans="1:19" ht="15" customHeight="1" x14ac:dyDescent="0.3">
      <c r="A429" s="182" t="s">
        <v>1684</v>
      </c>
      <c r="B429" s="182" t="s">
        <v>908</v>
      </c>
      <c r="C429" s="182" t="s">
        <v>909</v>
      </c>
      <c r="D429" s="182" t="s">
        <v>1677</v>
      </c>
      <c r="E429" s="183" t="s">
        <v>1678</v>
      </c>
      <c r="F429" s="183" t="s">
        <v>600</v>
      </c>
      <c r="G429" s="184">
        <v>1</v>
      </c>
      <c r="H429" s="185">
        <v>0.05</v>
      </c>
      <c r="I429" s="186">
        <v>202.42</v>
      </c>
      <c r="J429" s="187">
        <v>212.541</v>
      </c>
      <c r="K429" s="182" t="s">
        <v>1691</v>
      </c>
      <c r="L429" s="182">
        <v>6</v>
      </c>
      <c r="M429" s="182" t="s">
        <v>1701</v>
      </c>
      <c r="N429" s="186">
        <v>3.25</v>
      </c>
      <c r="O429" s="188">
        <v>1</v>
      </c>
      <c r="P429" s="188" t="s">
        <v>573</v>
      </c>
      <c r="Q429" s="188">
        <v>0</v>
      </c>
      <c r="R429" s="189" t="s">
        <v>573</v>
      </c>
      <c r="S429" s="189" t="s">
        <v>573</v>
      </c>
    </row>
    <row r="430" spans="1:19" ht="15" customHeight="1" x14ac:dyDescent="0.3">
      <c r="A430" s="182" t="s">
        <v>1684</v>
      </c>
      <c r="B430" s="182" t="s">
        <v>908</v>
      </c>
      <c r="C430" s="182" t="s">
        <v>909</v>
      </c>
      <c r="D430" s="182" t="s">
        <v>976</v>
      </c>
      <c r="E430" s="183" t="s">
        <v>977</v>
      </c>
      <c r="F430" s="183" t="s">
        <v>576</v>
      </c>
      <c r="G430" s="184">
        <v>2569.4045348999998</v>
      </c>
      <c r="H430" s="185">
        <v>0</v>
      </c>
      <c r="I430" s="186">
        <v>1</v>
      </c>
      <c r="J430" s="187">
        <v>2569.4045348999998</v>
      </c>
      <c r="K430" s="182" t="s">
        <v>1691</v>
      </c>
      <c r="L430" s="182">
        <v>7</v>
      </c>
      <c r="M430" s="182" t="s">
        <v>1702</v>
      </c>
      <c r="N430" s="186">
        <v>3.25</v>
      </c>
      <c r="O430" s="188">
        <v>2569.4045348999998</v>
      </c>
      <c r="P430" s="188" t="s">
        <v>573</v>
      </c>
      <c r="Q430" s="188">
        <v>0</v>
      </c>
      <c r="R430" s="189" t="s">
        <v>573</v>
      </c>
      <c r="S430" s="189" t="s">
        <v>573</v>
      </c>
    </row>
    <row r="431" spans="1:19" ht="15" customHeight="1" x14ac:dyDescent="0.3">
      <c r="A431" s="182" t="s">
        <v>1684</v>
      </c>
      <c r="B431" s="182" t="s">
        <v>937</v>
      </c>
      <c r="C431" s="182" t="s">
        <v>938</v>
      </c>
      <c r="D431" s="190" t="s">
        <v>939</v>
      </c>
      <c r="E431" s="183" t="s">
        <v>940</v>
      </c>
      <c r="F431" s="183" t="s">
        <v>941</v>
      </c>
      <c r="G431" s="184">
        <v>1</v>
      </c>
      <c r="H431" s="185">
        <v>0</v>
      </c>
      <c r="I431" s="186">
        <v>60860.580776572002</v>
      </c>
      <c r="J431" s="187">
        <v>60860.580776572002</v>
      </c>
      <c r="K431" s="182" t="s">
        <v>1703</v>
      </c>
      <c r="L431" s="182">
        <v>1</v>
      </c>
      <c r="M431" s="182" t="s">
        <v>1704</v>
      </c>
      <c r="N431" s="186">
        <v>3.25</v>
      </c>
      <c r="O431" s="188">
        <v>0.30769230769230799</v>
      </c>
      <c r="P431" s="188" t="s">
        <v>573</v>
      </c>
      <c r="Q431" s="188">
        <v>0</v>
      </c>
      <c r="R431" s="189" t="s">
        <v>573</v>
      </c>
      <c r="S431" s="189" t="s">
        <v>573</v>
      </c>
    </row>
    <row r="432" spans="1:19" ht="15" customHeight="1" x14ac:dyDescent="0.3">
      <c r="A432" s="182" t="s">
        <v>1684</v>
      </c>
      <c r="B432" s="182" t="s">
        <v>937</v>
      </c>
      <c r="C432" s="182" t="s">
        <v>938</v>
      </c>
      <c r="D432" s="190" t="s">
        <v>944</v>
      </c>
      <c r="E432" s="183" t="s">
        <v>945</v>
      </c>
      <c r="F432" s="183" t="s">
        <v>941</v>
      </c>
      <c r="G432" s="184">
        <v>1</v>
      </c>
      <c r="H432" s="185">
        <v>0</v>
      </c>
      <c r="I432" s="186">
        <v>85927.097156571996</v>
      </c>
      <c r="J432" s="187">
        <v>85927.097156571996</v>
      </c>
      <c r="K432" s="182" t="s">
        <v>1703</v>
      </c>
      <c r="L432" s="182">
        <v>2</v>
      </c>
      <c r="M432" s="182" t="s">
        <v>1705</v>
      </c>
      <c r="N432" s="186">
        <v>3.25</v>
      </c>
      <c r="O432" s="188">
        <v>0.30769230769230799</v>
      </c>
      <c r="P432" s="188" t="s">
        <v>573</v>
      </c>
      <c r="Q432" s="188">
        <v>0</v>
      </c>
      <c r="R432" s="189" t="s">
        <v>573</v>
      </c>
      <c r="S432" s="189" t="s">
        <v>573</v>
      </c>
    </row>
    <row r="433" spans="1:19" ht="15" customHeight="1" x14ac:dyDescent="0.3">
      <c r="A433" s="182" t="s">
        <v>1706</v>
      </c>
      <c r="B433" s="182" t="s">
        <v>908</v>
      </c>
      <c r="C433" s="182" t="s">
        <v>909</v>
      </c>
      <c r="D433" s="182" t="s">
        <v>1707</v>
      </c>
      <c r="E433" s="183" t="s">
        <v>1708</v>
      </c>
      <c r="F433" s="183" t="s">
        <v>600</v>
      </c>
      <c r="G433" s="184">
        <v>1.4999999999999999E-2</v>
      </c>
      <c r="H433" s="185">
        <v>1E-3</v>
      </c>
      <c r="I433" s="186">
        <v>13078.33</v>
      </c>
      <c r="J433" s="187">
        <v>196.37112495</v>
      </c>
      <c r="K433" s="182" t="s">
        <v>1709</v>
      </c>
      <c r="L433" s="182">
        <v>1</v>
      </c>
      <c r="M433" s="182" t="s">
        <v>1710</v>
      </c>
      <c r="N433" s="186">
        <v>12</v>
      </c>
      <c r="O433" s="188">
        <v>1.4999999999999999E-2</v>
      </c>
      <c r="P433" s="188" t="s">
        <v>573</v>
      </c>
      <c r="Q433" s="188">
        <v>0</v>
      </c>
      <c r="R433" s="189" t="s">
        <v>573</v>
      </c>
      <c r="S433" s="189" t="s">
        <v>573</v>
      </c>
    </row>
    <row r="434" spans="1:19" ht="15" customHeight="1" x14ac:dyDescent="0.3">
      <c r="A434" s="182" t="s">
        <v>1706</v>
      </c>
      <c r="B434" s="182" t="s">
        <v>908</v>
      </c>
      <c r="C434" s="182" t="s">
        <v>909</v>
      </c>
      <c r="D434" s="182" t="s">
        <v>1711</v>
      </c>
      <c r="E434" s="183" t="s">
        <v>1712</v>
      </c>
      <c r="F434" s="183" t="s">
        <v>600</v>
      </c>
      <c r="G434" s="184">
        <v>0.35</v>
      </c>
      <c r="H434" s="185">
        <v>1E-3</v>
      </c>
      <c r="I434" s="186">
        <v>1980.42</v>
      </c>
      <c r="J434" s="187">
        <v>693.840147</v>
      </c>
      <c r="K434" s="182" t="s">
        <v>1709</v>
      </c>
      <c r="L434" s="182">
        <v>2</v>
      </c>
      <c r="M434" s="182" t="s">
        <v>1713</v>
      </c>
      <c r="N434" s="186">
        <v>12</v>
      </c>
      <c r="O434" s="188">
        <v>0.35</v>
      </c>
      <c r="P434" s="188" t="s">
        <v>573</v>
      </c>
      <c r="Q434" s="188">
        <v>0</v>
      </c>
      <c r="R434" s="189" t="s">
        <v>573</v>
      </c>
      <c r="S434" s="189" t="s">
        <v>573</v>
      </c>
    </row>
    <row r="435" spans="1:19" ht="15" customHeight="1" x14ac:dyDescent="0.3">
      <c r="A435" s="182" t="s">
        <v>1706</v>
      </c>
      <c r="B435" s="182" t="s">
        <v>908</v>
      </c>
      <c r="C435" s="182" t="s">
        <v>909</v>
      </c>
      <c r="D435" s="182" t="s">
        <v>1714</v>
      </c>
      <c r="E435" s="183" t="s">
        <v>1715</v>
      </c>
      <c r="F435" s="183" t="s">
        <v>600</v>
      </c>
      <c r="G435" s="184">
        <v>0.35</v>
      </c>
      <c r="H435" s="185">
        <v>5.0000000000000001E-4</v>
      </c>
      <c r="I435" s="186">
        <v>23404.92</v>
      </c>
      <c r="J435" s="187">
        <v>8195.8178609999995</v>
      </c>
      <c r="K435" s="182" t="s">
        <v>1709</v>
      </c>
      <c r="L435" s="182">
        <v>3</v>
      </c>
      <c r="M435" s="182" t="s">
        <v>1716</v>
      </c>
      <c r="N435" s="186">
        <v>12</v>
      </c>
      <c r="O435" s="188">
        <v>0.35</v>
      </c>
      <c r="P435" s="188" t="s">
        <v>573</v>
      </c>
      <c r="Q435" s="188">
        <v>0</v>
      </c>
      <c r="R435" s="189" t="s">
        <v>573</v>
      </c>
      <c r="S435" s="189" t="s">
        <v>573</v>
      </c>
    </row>
    <row r="436" spans="1:19" ht="15" customHeight="1" x14ac:dyDescent="0.3">
      <c r="A436" s="182" t="s">
        <v>1706</v>
      </c>
      <c r="B436" s="182" t="s">
        <v>908</v>
      </c>
      <c r="C436" s="182" t="s">
        <v>909</v>
      </c>
      <c r="D436" s="182" t="s">
        <v>1717</v>
      </c>
      <c r="E436" s="183" t="s">
        <v>1718</v>
      </c>
      <c r="F436" s="183" t="s">
        <v>600</v>
      </c>
      <c r="G436" s="184">
        <v>0.35</v>
      </c>
      <c r="H436" s="185">
        <v>1E-3</v>
      </c>
      <c r="I436" s="186">
        <v>15710.58</v>
      </c>
      <c r="J436" s="187">
        <v>5504.2017029999997</v>
      </c>
      <c r="K436" s="182" t="s">
        <v>1709</v>
      </c>
      <c r="L436" s="182">
        <v>4</v>
      </c>
      <c r="M436" s="182" t="s">
        <v>1719</v>
      </c>
      <c r="N436" s="186">
        <v>12</v>
      </c>
      <c r="O436" s="188">
        <v>0.35</v>
      </c>
      <c r="P436" s="188" t="s">
        <v>573</v>
      </c>
      <c r="Q436" s="188">
        <v>0</v>
      </c>
      <c r="R436" s="189" t="s">
        <v>573</v>
      </c>
      <c r="S436" s="189" t="s">
        <v>573</v>
      </c>
    </row>
    <row r="437" spans="1:19" ht="15" customHeight="1" x14ac:dyDescent="0.3">
      <c r="A437" s="182" t="s">
        <v>1706</v>
      </c>
      <c r="B437" s="182" t="s">
        <v>908</v>
      </c>
      <c r="C437" s="182" t="s">
        <v>909</v>
      </c>
      <c r="D437" s="182" t="s">
        <v>1720</v>
      </c>
      <c r="E437" s="183" t="s">
        <v>1721</v>
      </c>
      <c r="F437" s="183" t="s">
        <v>600</v>
      </c>
      <c r="G437" s="184">
        <v>0.03</v>
      </c>
      <c r="H437" s="185">
        <v>1E-3</v>
      </c>
      <c r="I437" s="186">
        <v>6314.13</v>
      </c>
      <c r="J437" s="187">
        <v>189.61332390000001</v>
      </c>
      <c r="K437" s="182" t="s">
        <v>1709</v>
      </c>
      <c r="L437" s="182">
        <v>5</v>
      </c>
      <c r="M437" s="182" t="s">
        <v>1722</v>
      </c>
      <c r="N437" s="186">
        <v>12</v>
      </c>
      <c r="O437" s="188">
        <v>0.03</v>
      </c>
      <c r="P437" s="188" t="s">
        <v>573</v>
      </c>
      <c r="Q437" s="188">
        <v>0</v>
      </c>
      <c r="R437" s="189" t="s">
        <v>573</v>
      </c>
      <c r="S437" s="189" t="s">
        <v>573</v>
      </c>
    </row>
    <row r="438" spans="1:19" ht="15" customHeight="1" x14ac:dyDescent="0.3">
      <c r="A438" s="182" t="s">
        <v>1706</v>
      </c>
      <c r="B438" s="182" t="s">
        <v>908</v>
      </c>
      <c r="C438" s="182" t="s">
        <v>909</v>
      </c>
      <c r="D438" s="182" t="s">
        <v>1723</v>
      </c>
      <c r="E438" s="183" t="s">
        <v>1724</v>
      </c>
      <c r="F438" s="183" t="s">
        <v>600</v>
      </c>
      <c r="G438" s="184">
        <v>0.03</v>
      </c>
      <c r="H438" s="185">
        <v>1E-3</v>
      </c>
      <c r="I438" s="186">
        <v>6314.13</v>
      </c>
      <c r="J438" s="187">
        <v>189.61332390000001</v>
      </c>
      <c r="K438" s="182" t="s">
        <v>1709</v>
      </c>
      <c r="L438" s="182">
        <v>6</v>
      </c>
      <c r="M438" s="182" t="s">
        <v>1725</v>
      </c>
      <c r="N438" s="186">
        <v>12</v>
      </c>
      <c r="O438" s="188">
        <v>0.03</v>
      </c>
      <c r="P438" s="188" t="s">
        <v>573</v>
      </c>
      <c r="Q438" s="188">
        <v>0</v>
      </c>
      <c r="R438" s="189" t="s">
        <v>573</v>
      </c>
      <c r="S438" s="189" t="s">
        <v>573</v>
      </c>
    </row>
    <row r="439" spans="1:19" ht="15" customHeight="1" x14ac:dyDescent="0.3">
      <c r="A439" s="182" t="s">
        <v>1706</v>
      </c>
      <c r="B439" s="182" t="s">
        <v>908</v>
      </c>
      <c r="C439" s="182" t="s">
        <v>909</v>
      </c>
      <c r="D439" s="182" t="s">
        <v>1726</v>
      </c>
      <c r="E439" s="183" t="s">
        <v>1727</v>
      </c>
      <c r="F439" s="183" t="s">
        <v>600</v>
      </c>
      <c r="G439" s="184">
        <v>0.56999999999999995</v>
      </c>
      <c r="H439" s="185">
        <v>1E-3</v>
      </c>
      <c r="I439" s="186">
        <v>1844.8</v>
      </c>
      <c r="J439" s="187">
        <v>1052.587536</v>
      </c>
      <c r="K439" s="182" t="s">
        <v>1709</v>
      </c>
      <c r="L439" s="182">
        <v>7</v>
      </c>
      <c r="M439" s="182" t="s">
        <v>1728</v>
      </c>
      <c r="N439" s="186">
        <v>12</v>
      </c>
      <c r="O439" s="188">
        <v>0.56999999999999995</v>
      </c>
      <c r="P439" s="188" t="s">
        <v>573</v>
      </c>
      <c r="Q439" s="188">
        <v>0</v>
      </c>
      <c r="R439" s="189" t="s">
        <v>573</v>
      </c>
      <c r="S439" s="189" t="s">
        <v>573</v>
      </c>
    </row>
    <row r="440" spans="1:19" ht="15" customHeight="1" x14ac:dyDescent="0.3">
      <c r="A440" s="182" t="s">
        <v>1706</v>
      </c>
      <c r="B440" s="182" t="s">
        <v>908</v>
      </c>
      <c r="C440" s="182" t="s">
        <v>909</v>
      </c>
      <c r="D440" s="182" t="s">
        <v>1729</v>
      </c>
      <c r="E440" s="183" t="s">
        <v>1730</v>
      </c>
      <c r="F440" s="183" t="s">
        <v>600</v>
      </c>
      <c r="G440" s="184">
        <v>0.3</v>
      </c>
      <c r="H440" s="185">
        <v>1E-3</v>
      </c>
      <c r="I440" s="186">
        <v>1747.6</v>
      </c>
      <c r="J440" s="187">
        <v>524.80427999999995</v>
      </c>
      <c r="K440" s="182" t="s">
        <v>1709</v>
      </c>
      <c r="L440" s="182">
        <v>8</v>
      </c>
      <c r="M440" s="182" t="s">
        <v>1731</v>
      </c>
      <c r="N440" s="186">
        <v>12</v>
      </c>
      <c r="O440" s="188">
        <v>0.3</v>
      </c>
      <c r="P440" s="188" t="s">
        <v>573</v>
      </c>
      <c r="Q440" s="188">
        <v>0</v>
      </c>
      <c r="R440" s="189" t="s">
        <v>573</v>
      </c>
      <c r="S440" s="189" t="s">
        <v>573</v>
      </c>
    </row>
    <row r="441" spans="1:19" ht="15" customHeight="1" x14ac:dyDescent="0.3">
      <c r="A441" s="182" t="s">
        <v>1706</v>
      </c>
      <c r="B441" s="182" t="s">
        <v>908</v>
      </c>
      <c r="C441" s="182" t="s">
        <v>909</v>
      </c>
      <c r="D441" s="182" t="s">
        <v>1732</v>
      </c>
      <c r="E441" s="183" t="s">
        <v>1733</v>
      </c>
      <c r="F441" s="183" t="s">
        <v>600</v>
      </c>
      <c r="G441" s="184">
        <v>1.2</v>
      </c>
      <c r="H441" s="185">
        <v>5.0000000000000001E-4</v>
      </c>
      <c r="I441" s="186">
        <v>90.02</v>
      </c>
      <c r="J441" s="187">
        <v>108.078012</v>
      </c>
      <c r="K441" s="182" t="s">
        <v>1709</v>
      </c>
      <c r="L441" s="182">
        <v>9</v>
      </c>
      <c r="M441" s="182" t="s">
        <v>1734</v>
      </c>
      <c r="N441" s="186">
        <v>12</v>
      </c>
      <c r="O441" s="188">
        <v>1.2</v>
      </c>
      <c r="P441" s="188" t="s">
        <v>573</v>
      </c>
      <c r="Q441" s="188">
        <v>0</v>
      </c>
      <c r="R441" s="189" t="s">
        <v>573</v>
      </c>
      <c r="S441" s="189" t="s">
        <v>573</v>
      </c>
    </row>
    <row r="442" spans="1:19" ht="15" customHeight="1" x14ac:dyDescent="0.3">
      <c r="A442" s="182" t="s">
        <v>1706</v>
      </c>
      <c r="B442" s="182" t="s">
        <v>937</v>
      </c>
      <c r="C442" s="182" t="s">
        <v>938</v>
      </c>
      <c r="D442" s="190" t="s">
        <v>939</v>
      </c>
      <c r="E442" s="183" t="s">
        <v>940</v>
      </c>
      <c r="F442" s="183" t="s">
        <v>941</v>
      </c>
      <c r="G442" s="184">
        <v>0.75</v>
      </c>
      <c r="H442" s="185">
        <v>0</v>
      </c>
      <c r="I442" s="186">
        <v>60860.580776572002</v>
      </c>
      <c r="J442" s="187">
        <v>45645.435582429003</v>
      </c>
      <c r="K442" s="182" t="s">
        <v>1735</v>
      </c>
      <c r="L442" s="182">
        <v>1</v>
      </c>
      <c r="M442" s="182" t="s">
        <v>1736</v>
      </c>
      <c r="N442" s="186">
        <v>12</v>
      </c>
      <c r="O442" s="188">
        <v>6.25E-2</v>
      </c>
      <c r="P442" s="188" t="s">
        <v>573</v>
      </c>
      <c r="Q442" s="188">
        <v>0</v>
      </c>
      <c r="R442" s="189" t="s">
        <v>573</v>
      </c>
      <c r="S442" s="189" t="s">
        <v>573</v>
      </c>
    </row>
    <row r="443" spans="1:19" ht="15" customHeight="1" x14ac:dyDescent="0.3">
      <c r="A443" s="182" t="s">
        <v>1706</v>
      </c>
      <c r="B443" s="182" t="s">
        <v>937</v>
      </c>
      <c r="C443" s="182" t="s">
        <v>938</v>
      </c>
      <c r="D443" s="190" t="s">
        <v>944</v>
      </c>
      <c r="E443" s="183" t="s">
        <v>945</v>
      </c>
      <c r="F443" s="183" t="s">
        <v>941</v>
      </c>
      <c r="G443" s="184">
        <v>1</v>
      </c>
      <c r="H443" s="185">
        <v>0</v>
      </c>
      <c r="I443" s="186">
        <v>85927.097156571996</v>
      </c>
      <c r="J443" s="187">
        <v>85927.097156571996</v>
      </c>
      <c r="K443" s="182" t="s">
        <v>1735</v>
      </c>
      <c r="L443" s="182">
        <v>2</v>
      </c>
      <c r="M443" s="182" t="s">
        <v>1737</v>
      </c>
      <c r="N443" s="186">
        <v>12</v>
      </c>
      <c r="O443" s="188">
        <v>8.3333333333333301E-2</v>
      </c>
      <c r="P443" s="188" t="s">
        <v>573</v>
      </c>
      <c r="Q443" s="188">
        <v>0</v>
      </c>
      <c r="R443" s="189" t="s">
        <v>573</v>
      </c>
      <c r="S443" s="189" t="s">
        <v>573</v>
      </c>
    </row>
    <row r="444" spans="1:19" ht="15" customHeight="1" x14ac:dyDescent="0.3">
      <c r="A444" s="182" t="s">
        <v>1738</v>
      </c>
      <c r="B444" s="182" t="s">
        <v>563</v>
      </c>
      <c r="C444" s="182"/>
      <c r="D444" s="182" t="s">
        <v>948</v>
      </c>
      <c r="E444" s="183" t="s">
        <v>949</v>
      </c>
      <c r="F444" s="183"/>
      <c r="G444" s="184">
        <v>0.5</v>
      </c>
      <c r="H444" s="185">
        <v>0</v>
      </c>
      <c r="I444" s="186">
        <v>571.17949098076099</v>
      </c>
      <c r="J444" s="187">
        <v>285.58974549038101</v>
      </c>
      <c r="K444" s="182" t="s">
        <v>1739</v>
      </c>
      <c r="L444" s="182">
        <v>1</v>
      </c>
      <c r="M444" s="182" t="s">
        <v>1740</v>
      </c>
      <c r="N444" s="186">
        <v>3.25</v>
      </c>
      <c r="O444" s="188">
        <v>0.5</v>
      </c>
      <c r="P444" s="188" t="s">
        <v>573</v>
      </c>
      <c r="Q444" s="188">
        <v>0</v>
      </c>
      <c r="R444" s="189" t="s">
        <v>573</v>
      </c>
      <c r="S444" s="189" t="s">
        <v>573</v>
      </c>
    </row>
    <row r="445" spans="1:19" ht="15" customHeight="1" x14ac:dyDescent="0.3">
      <c r="A445" s="182" t="s">
        <v>1738</v>
      </c>
      <c r="B445" s="182" t="s">
        <v>563</v>
      </c>
      <c r="C445" s="182"/>
      <c r="D445" s="182" t="s">
        <v>1651</v>
      </c>
      <c r="E445" s="183" t="s">
        <v>1652</v>
      </c>
      <c r="F445" s="183"/>
      <c r="G445" s="184">
        <v>1</v>
      </c>
      <c r="H445" s="185">
        <v>0</v>
      </c>
      <c r="I445" s="186">
        <v>5063.0947914732396</v>
      </c>
      <c r="J445" s="187">
        <v>5063.0947914732396</v>
      </c>
      <c r="K445" s="182" t="s">
        <v>1739</v>
      </c>
      <c r="L445" s="182">
        <v>2</v>
      </c>
      <c r="M445" s="182" t="s">
        <v>1741</v>
      </c>
      <c r="N445" s="186">
        <v>3.25</v>
      </c>
      <c r="O445" s="188">
        <v>1</v>
      </c>
      <c r="P445" s="188" t="s">
        <v>573</v>
      </c>
      <c r="Q445" s="188">
        <v>0</v>
      </c>
      <c r="R445" s="189" t="s">
        <v>573</v>
      </c>
      <c r="S445" s="189" t="s">
        <v>573</v>
      </c>
    </row>
    <row r="446" spans="1:19" ht="15" customHeight="1" x14ac:dyDescent="0.3">
      <c r="A446" s="182" t="s">
        <v>1738</v>
      </c>
      <c r="B446" s="182" t="s">
        <v>563</v>
      </c>
      <c r="C446" s="182"/>
      <c r="D446" s="182" t="s">
        <v>1456</v>
      </c>
      <c r="E446" s="183" t="s">
        <v>1457</v>
      </c>
      <c r="F446" s="183"/>
      <c r="G446" s="184">
        <v>0.5</v>
      </c>
      <c r="H446" s="185">
        <v>0</v>
      </c>
      <c r="I446" s="186">
        <v>140.198092594309</v>
      </c>
      <c r="J446" s="187">
        <v>70.099046297154501</v>
      </c>
      <c r="K446" s="182" t="s">
        <v>1739</v>
      </c>
      <c r="L446" s="182">
        <v>3</v>
      </c>
      <c r="M446" s="182" t="s">
        <v>1742</v>
      </c>
      <c r="N446" s="186">
        <v>3.25</v>
      </c>
      <c r="O446" s="188">
        <v>0.5</v>
      </c>
      <c r="P446" s="188" t="s">
        <v>573</v>
      </c>
      <c r="Q446" s="188">
        <v>0</v>
      </c>
      <c r="R446" s="189" t="s">
        <v>573</v>
      </c>
      <c r="S446" s="189" t="s">
        <v>573</v>
      </c>
    </row>
    <row r="447" spans="1:19" ht="15" customHeight="1" x14ac:dyDescent="0.3">
      <c r="A447" s="182" t="s">
        <v>1738</v>
      </c>
      <c r="B447" s="182" t="s">
        <v>908</v>
      </c>
      <c r="C447" s="182" t="s">
        <v>909</v>
      </c>
      <c r="D447" s="182" t="s">
        <v>1655</v>
      </c>
      <c r="E447" s="183" t="s">
        <v>1656</v>
      </c>
      <c r="F447" s="183" t="s">
        <v>600</v>
      </c>
      <c r="G447" s="184">
        <v>3</v>
      </c>
      <c r="H447" s="185">
        <v>0.1</v>
      </c>
      <c r="I447" s="186">
        <v>282.29000000000002</v>
      </c>
      <c r="J447" s="187">
        <v>931.55700000000002</v>
      </c>
      <c r="K447" s="182" t="s">
        <v>1743</v>
      </c>
      <c r="L447" s="182">
        <v>1</v>
      </c>
      <c r="M447" s="182" t="s">
        <v>1744</v>
      </c>
      <c r="N447" s="186">
        <v>3.25</v>
      </c>
      <c r="O447" s="188">
        <v>3</v>
      </c>
      <c r="P447" s="188" t="s">
        <v>573</v>
      </c>
      <c r="Q447" s="188">
        <v>0</v>
      </c>
      <c r="R447" s="189" t="s">
        <v>573</v>
      </c>
      <c r="S447" s="189" t="s">
        <v>573</v>
      </c>
    </row>
    <row r="448" spans="1:19" ht="15" customHeight="1" x14ac:dyDescent="0.3">
      <c r="A448" s="182" t="s">
        <v>1738</v>
      </c>
      <c r="B448" s="182" t="s">
        <v>908</v>
      </c>
      <c r="C448" s="182" t="s">
        <v>909</v>
      </c>
      <c r="D448" s="182" t="s">
        <v>1659</v>
      </c>
      <c r="E448" s="183" t="s">
        <v>1660</v>
      </c>
      <c r="F448" s="183" t="s">
        <v>581</v>
      </c>
      <c r="G448" s="184">
        <v>5</v>
      </c>
      <c r="H448" s="185">
        <v>0.1</v>
      </c>
      <c r="I448" s="186">
        <v>635.55999999999995</v>
      </c>
      <c r="J448" s="187">
        <v>3495.58</v>
      </c>
      <c r="K448" s="182" t="s">
        <v>1743</v>
      </c>
      <c r="L448" s="182">
        <v>2</v>
      </c>
      <c r="M448" s="182" t="s">
        <v>1745</v>
      </c>
      <c r="N448" s="186">
        <v>3.25</v>
      </c>
      <c r="O448" s="188">
        <v>5</v>
      </c>
      <c r="P448" s="188" t="s">
        <v>573</v>
      </c>
      <c r="Q448" s="188">
        <v>0</v>
      </c>
      <c r="R448" s="189" t="s">
        <v>573</v>
      </c>
      <c r="S448" s="189" t="s">
        <v>573</v>
      </c>
    </row>
    <row r="449" spans="1:19" ht="15" customHeight="1" x14ac:dyDescent="0.3">
      <c r="A449" s="182" t="s">
        <v>1738</v>
      </c>
      <c r="B449" s="182" t="s">
        <v>908</v>
      </c>
      <c r="C449" s="182" t="s">
        <v>909</v>
      </c>
      <c r="D449" s="182" t="s">
        <v>1662</v>
      </c>
      <c r="E449" s="183" t="s">
        <v>1663</v>
      </c>
      <c r="F449" s="183" t="s">
        <v>600</v>
      </c>
      <c r="G449" s="184">
        <v>2</v>
      </c>
      <c r="H449" s="185">
        <v>0.1</v>
      </c>
      <c r="I449" s="186">
        <v>184.87</v>
      </c>
      <c r="J449" s="187">
        <v>406.714</v>
      </c>
      <c r="K449" s="182" t="s">
        <v>1743</v>
      </c>
      <c r="L449" s="182">
        <v>3</v>
      </c>
      <c r="M449" s="182" t="s">
        <v>1746</v>
      </c>
      <c r="N449" s="186">
        <v>3.25</v>
      </c>
      <c r="O449" s="188">
        <v>2</v>
      </c>
      <c r="P449" s="188" t="s">
        <v>573</v>
      </c>
      <c r="Q449" s="188">
        <v>0</v>
      </c>
      <c r="R449" s="189" t="s">
        <v>573</v>
      </c>
      <c r="S449" s="189" t="s">
        <v>573</v>
      </c>
    </row>
    <row r="450" spans="1:19" ht="15" customHeight="1" x14ac:dyDescent="0.3">
      <c r="A450" s="182" t="s">
        <v>1738</v>
      </c>
      <c r="B450" s="182" t="s">
        <v>908</v>
      </c>
      <c r="C450" s="182" t="s">
        <v>909</v>
      </c>
      <c r="D450" s="182" t="s">
        <v>1665</v>
      </c>
      <c r="E450" s="183" t="s">
        <v>1666</v>
      </c>
      <c r="F450" s="183" t="s">
        <v>581</v>
      </c>
      <c r="G450" s="184">
        <v>7.5</v>
      </c>
      <c r="H450" s="185">
        <v>0.1</v>
      </c>
      <c r="I450" s="186">
        <v>316.44450000000001</v>
      </c>
      <c r="J450" s="187">
        <v>2610.6671249999999</v>
      </c>
      <c r="K450" s="182" t="s">
        <v>1743</v>
      </c>
      <c r="L450" s="182">
        <v>4</v>
      </c>
      <c r="M450" s="182" t="s">
        <v>1747</v>
      </c>
      <c r="N450" s="186">
        <v>3.25</v>
      </c>
      <c r="O450" s="188">
        <v>7.5</v>
      </c>
      <c r="P450" s="188" t="s">
        <v>573</v>
      </c>
      <c r="Q450" s="188">
        <v>0</v>
      </c>
      <c r="R450" s="189" t="s">
        <v>573</v>
      </c>
      <c r="S450" s="189" t="s">
        <v>573</v>
      </c>
    </row>
    <row r="451" spans="1:19" ht="15" customHeight="1" x14ac:dyDescent="0.3">
      <c r="A451" s="182" t="s">
        <v>1738</v>
      </c>
      <c r="B451" s="182" t="s">
        <v>908</v>
      </c>
      <c r="C451" s="182" t="s">
        <v>909</v>
      </c>
      <c r="D451" s="182" t="s">
        <v>1668</v>
      </c>
      <c r="E451" s="183" t="s">
        <v>1669</v>
      </c>
      <c r="F451" s="183" t="s">
        <v>581</v>
      </c>
      <c r="G451" s="184">
        <v>5</v>
      </c>
      <c r="H451" s="185">
        <v>0.1</v>
      </c>
      <c r="I451" s="186">
        <v>509.31490000000002</v>
      </c>
      <c r="J451" s="187">
        <v>2801.2319499999999</v>
      </c>
      <c r="K451" s="182" t="s">
        <v>1743</v>
      </c>
      <c r="L451" s="182">
        <v>5</v>
      </c>
      <c r="M451" s="182" t="s">
        <v>1748</v>
      </c>
      <c r="N451" s="186">
        <v>3.25</v>
      </c>
      <c r="O451" s="188">
        <v>5</v>
      </c>
      <c r="P451" s="188" t="s">
        <v>573</v>
      </c>
      <c r="Q451" s="188">
        <v>0</v>
      </c>
      <c r="R451" s="189" t="s">
        <v>573</v>
      </c>
      <c r="S451" s="189" t="s">
        <v>573</v>
      </c>
    </row>
    <row r="452" spans="1:19" ht="15" customHeight="1" x14ac:dyDescent="0.3">
      <c r="A452" s="182" t="s">
        <v>1738</v>
      </c>
      <c r="B452" s="182" t="s">
        <v>908</v>
      </c>
      <c r="C452" s="182" t="s">
        <v>909</v>
      </c>
      <c r="D452" s="182" t="s">
        <v>1671</v>
      </c>
      <c r="E452" s="183" t="s">
        <v>1672</v>
      </c>
      <c r="F452" s="183" t="s">
        <v>581</v>
      </c>
      <c r="G452" s="184">
        <v>7.5</v>
      </c>
      <c r="H452" s="185">
        <v>0.1</v>
      </c>
      <c r="I452" s="186">
        <v>509.31490000000002</v>
      </c>
      <c r="J452" s="187">
        <v>4201.847925</v>
      </c>
      <c r="K452" s="182" t="s">
        <v>1743</v>
      </c>
      <c r="L452" s="182">
        <v>6</v>
      </c>
      <c r="M452" s="182" t="s">
        <v>1749</v>
      </c>
      <c r="N452" s="186">
        <v>3.25</v>
      </c>
      <c r="O452" s="188">
        <v>7.5</v>
      </c>
      <c r="P452" s="188" t="s">
        <v>573</v>
      </c>
      <c r="Q452" s="188">
        <v>0</v>
      </c>
      <c r="R452" s="189" t="s">
        <v>573</v>
      </c>
      <c r="S452" s="189" t="s">
        <v>573</v>
      </c>
    </row>
    <row r="453" spans="1:19" ht="15" customHeight="1" x14ac:dyDescent="0.3">
      <c r="A453" s="182" t="s">
        <v>1738</v>
      </c>
      <c r="B453" s="182" t="s">
        <v>908</v>
      </c>
      <c r="C453" s="182" t="s">
        <v>909</v>
      </c>
      <c r="D453" s="182" t="s">
        <v>1750</v>
      </c>
      <c r="E453" s="183" t="s">
        <v>1751</v>
      </c>
      <c r="F453" s="183" t="s">
        <v>600</v>
      </c>
      <c r="G453" s="184">
        <v>1</v>
      </c>
      <c r="H453" s="185">
        <v>0.05</v>
      </c>
      <c r="I453" s="186">
        <v>2148.7603305785101</v>
      </c>
      <c r="J453" s="187">
        <v>2256.19834710744</v>
      </c>
      <c r="K453" s="182" t="s">
        <v>1743</v>
      </c>
      <c r="L453" s="182">
        <v>7</v>
      </c>
      <c r="M453" s="182" t="s">
        <v>1752</v>
      </c>
      <c r="N453" s="186">
        <v>3.25</v>
      </c>
      <c r="O453" s="188">
        <v>1</v>
      </c>
      <c r="P453" s="188" t="s">
        <v>573</v>
      </c>
      <c r="Q453" s="188">
        <v>0</v>
      </c>
      <c r="R453" s="189" t="s">
        <v>573</v>
      </c>
      <c r="S453" s="189" t="s">
        <v>573</v>
      </c>
    </row>
    <row r="454" spans="1:19" ht="15" customHeight="1" x14ac:dyDescent="0.3">
      <c r="A454" s="182" t="s">
        <v>1738</v>
      </c>
      <c r="B454" s="182" t="s">
        <v>908</v>
      </c>
      <c r="C454" s="182" t="s">
        <v>909</v>
      </c>
      <c r="D454" s="182" t="s">
        <v>1677</v>
      </c>
      <c r="E454" s="183" t="s">
        <v>1678</v>
      </c>
      <c r="F454" s="183" t="s">
        <v>600</v>
      </c>
      <c r="G454" s="184">
        <v>0.5</v>
      </c>
      <c r="H454" s="185">
        <v>0.05</v>
      </c>
      <c r="I454" s="186">
        <v>202.42</v>
      </c>
      <c r="J454" s="187">
        <v>106.2705</v>
      </c>
      <c r="K454" s="182" t="s">
        <v>1743</v>
      </c>
      <c r="L454" s="182">
        <v>8</v>
      </c>
      <c r="M454" s="182" t="s">
        <v>1753</v>
      </c>
      <c r="N454" s="186">
        <v>3.25</v>
      </c>
      <c r="O454" s="188">
        <v>0.5</v>
      </c>
      <c r="P454" s="188" t="s">
        <v>573</v>
      </c>
      <c r="Q454" s="188">
        <v>0</v>
      </c>
      <c r="R454" s="189" t="s">
        <v>573</v>
      </c>
      <c r="S454" s="189" t="s">
        <v>573</v>
      </c>
    </row>
    <row r="455" spans="1:19" ht="15" customHeight="1" x14ac:dyDescent="0.3">
      <c r="A455" s="182" t="s">
        <v>1738</v>
      </c>
      <c r="B455" s="182" t="s">
        <v>908</v>
      </c>
      <c r="C455" s="182" t="s">
        <v>909</v>
      </c>
      <c r="D455" s="182" t="s">
        <v>976</v>
      </c>
      <c r="E455" s="183" t="s">
        <v>977</v>
      </c>
      <c r="F455" s="183" t="s">
        <v>576</v>
      </c>
      <c r="G455" s="184">
        <v>3530.1140378925602</v>
      </c>
      <c r="H455" s="185">
        <v>0</v>
      </c>
      <c r="I455" s="186">
        <v>1</v>
      </c>
      <c r="J455" s="187">
        <v>3530.1140378925602</v>
      </c>
      <c r="K455" s="182" t="s">
        <v>1743</v>
      </c>
      <c r="L455" s="182">
        <v>9</v>
      </c>
      <c r="M455" s="182" t="s">
        <v>1754</v>
      </c>
      <c r="N455" s="186">
        <v>3.25</v>
      </c>
      <c r="O455" s="188">
        <v>3530.1140378925602</v>
      </c>
      <c r="P455" s="188" t="s">
        <v>573</v>
      </c>
      <c r="Q455" s="188">
        <v>0</v>
      </c>
      <c r="R455" s="189" t="s">
        <v>573</v>
      </c>
      <c r="S455" s="189" t="s">
        <v>573</v>
      </c>
    </row>
    <row r="456" spans="1:19" ht="15" customHeight="1" x14ac:dyDescent="0.3">
      <c r="A456" s="182" t="s">
        <v>1738</v>
      </c>
      <c r="B456" s="182" t="s">
        <v>937</v>
      </c>
      <c r="C456" s="182" t="s">
        <v>938</v>
      </c>
      <c r="D456" s="190" t="s">
        <v>939</v>
      </c>
      <c r="E456" s="183" t="s">
        <v>940</v>
      </c>
      <c r="F456" s="183" t="s">
        <v>941</v>
      </c>
      <c r="G456" s="184">
        <v>1</v>
      </c>
      <c r="H456" s="185">
        <v>0</v>
      </c>
      <c r="I456" s="186">
        <v>60860.580776572002</v>
      </c>
      <c r="J456" s="187">
        <v>60860.580776572002</v>
      </c>
      <c r="K456" s="182" t="s">
        <v>1755</v>
      </c>
      <c r="L456" s="182">
        <v>1</v>
      </c>
      <c r="M456" s="182" t="s">
        <v>1756</v>
      </c>
      <c r="N456" s="186">
        <v>3.25</v>
      </c>
      <c r="O456" s="188">
        <v>0.30769230769230799</v>
      </c>
      <c r="P456" s="188" t="s">
        <v>573</v>
      </c>
      <c r="Q456" s="188">
        <v>0</v>
      </c>
      <c r="R456" s="189" t="s">
        <v>573</v>
      </c>
      <c r="S456" s="189" t="s">
        <v>573</v>
      </c>
    </row>
    <row r="457" spans="1:19" ht="15" customHeight="1" x14ac:dyDescent="0.3">
      <c r="A457" s="182" t="s">
        <v>1738</v>
      </c>
      <c r="B457" s="182" t="s">
        <v>937</v>
      </c>
      <c r="C457" s="182" t="s">
        <v>938</v>
      </c>
      <c r="D457" s="190" t="s">
        <v>944</v>
      </c>
      <c r="E457" s="183" t="s">
        <v>945</v>
      </c>
      <c r="F457" s="183" t="s">
        <v>941</v>
      </c>
      <c r="G457" s="184">
        <v>1</v>
      </c>
      <c r="H457" s="185">
        <v>0</v>
      </c>
      <c r="I457" s="186">
        <v>85927.097156571996</v>
      </c>
      <c r="J457" s="187">
        <v>85927.097156571996</v>
      </c>
      <c r="K457" s="182" t="s">
        <v>1755</v>
      </c>
      <c r="L457" s="182">
        <v>2</v>
      </c>
      <c r="M457" s="182" t="s">
        <v>1757</v>
      </c>
      <c r="N457" s="186">
        <v>3.25</v>
      </c>
      <c r="O457" s="188">
        <v>0.30769230769230799</v>
      </c>
      <c r="P457" s="188" t="s">
        <v>573</v>
      </c>
      <c r="Q457" s="188">
        <v>0</v>
      </c>
      <c r="R457" s="189" t="s">
        <v>573</v>
      </c>
      <c r="S457" s="189" t="s">
        <v>573</v>
      </c>
    </row>
    <row r="458" spans="1:19" ht="15" customHeight="1" x14ac:dyDescent="0.3">
      <c r="A458" s="182" t="s">
        <v>1758</v>
      </c>
      <c r="B458" s="182" t="s">
        <v>563</v>
      </c>
      <c r="C458" s="182"/>
      <c r="D458" s="182" t="s">
        <v>948</v>
      </c>
      <c r="E458" s="183" t="s">
        <v>949</v>
      </c>
      <c r="F458" s="183"/>
      <c r="G458" s="184">
        <v>0.5</v>
      </c>
      <c r="H458" s="185">
        <v>0</v>
      </c>
      <c r="I458" s="186">
        <v>571.17949098076099</v>
      </c>
      <c r="J458" s="187">
        <v>285.58974549038101</v>
      </c>
      <c r="K458" s="182" t="s">
        <v>1759</v>
      </c>
      <c r="L458" s="182">
        <v>1</v>
      </c>
      <c r="M458" s="182" t="s">
        <v>1760</v>
      </c>
      <c r="N458" s="186">
        <v>3.25</v>
      </c>
      <c r="O458" s="188">
        <v>0.5</v>
      </c>
      <c r="P458" s="188" t="s">
        <v>573</v>
      </c>
      <c r="Q458" s="188">
        <v>0</v>
      </c>
      <c r="R458" s="189" t="s">
        <v>573</v>
      </c>
      <c r="S458" s="189" t="s">
        <v>573</v>
      </c>
    </row>
    <row r="459" spans="1:19" ht="15" customHeight="1" x14ac:dyDescent="0.3">
      <c r="A459" s="182" t="s">
        <v>1758</v>
      </c>
      <c r="B459" s="182" t="s">
        <v>563</v>
      </c>
      <c r="C459" s="182"/>
      <c r="D459" s="182" t="s">
        <v>1651</v>
      </c>
      <c r="E459" s="183" t="s">
        <v>1652</v>
      </c>
      <c r="F459" s="183"/>
      <c r="G459" s="184">
        <v>1</v>
      </c>
      <c r="H459" s="185">
        <v>0</v>
      </c>
      <c r="I459" s="186">
        <v>5063.0947914732396</v>
      </c>
      <c r="J459" s="187">
        <v>5063.0947914732396</v>
      </c>
      <c r="K459" s="182" t="s">
        <v>1759</v>
      </c>
      <c r="L459" s="182">
        <v>2</v>
      </c>
      <c r="M459" s="182" t="s">
        <v>1761</v>
      </c>
      <c r="N459" s="186">
        <v>3.25</v>
      </c>
      <c r="O459" s="188">
        <v>1</v>
      </c>
      <c r="P459" s="188" t="s">
        <v>573</v>
      </c>
      <c r="Q459" s="188">
        <v>0</v>
      </c>
      <c r="R459" s="189" t="s">
        <v>573</v>
      </c>
      <c r="S459" s="189" t="s">
        <v>573</v>
      </c>
    </row>
    <row r="460" spans="1:19" ht="15" customHeight="1" x14ac:dyDescent="0.3">
      <c r="A460" s="182" t="s">
        <v>1758</v>
      </c>
      <c r="B460" s="182" t="s">
        <v>563</v>
      </c>
      <c r="C460" s="182"/>
      <c r="D460" s="182" t="s">
        <v>1456</v>
      </c>
      <c r="E460" s="183" t="s">
        <v>1457</v>
      </c>
      <c r="F460" s="183"/>
      <c r="G460" s="184">
        <v>0.5</v>
      </c>
      <c r="H460" s="185">
        <v>0</v>
      </c>
      <c r="I460" s="186">
        <v>140.198092594309</v>
      </c>
      <c r="J460" s="187">
        <v>70.099046297154501</v>
      </c>
      <c r="K460" s="182" t="s">
        <v>1759</v>
      </c>
      <c r="L460" s="182">
        <v>3</v>
      </c>
      <c r="M460" s="182" t="s">
        <v>1762</v>
      </c>
      <c r="N460" s="186">
        <v>3.25</v>
      </c>
      <c r="O460" s="188">
        <v>0.5</v>
      </c>
      <c r="P460" s="188" t="s">
        <v>573</v>
      </c>
      <c r="Q460" s="188">
        <v>0</v>
      </c>
      <c r="R460" s="189" t="s">
        <v>573</v>
      </c>
      <c r="S460" s="189" t="s">
        <v>573</v>
      </c>
    </row>
    <row r="461" spans="1:19" ht="15" customHeight="1" x14ac:dyDescent="0.3">
      <c r="A461" s="182" t="s">
        <v>1758</v>
      </c>
      <c r="B461" s="182" t="s">
        <v>908</v>
      </c>
      <c r="C461" s="182" t="s">
        <v>909</v>
      </c>
      <c r="D461" s="182" t="s">
        <v>1763</v>
      </c>
      <c r="E461" s="183" t="s">
        <v>1764</v>
      </c>
      <c r="F461" s="183" t="s">
        <v>600</v>
      </c>
      <c r="G461" s="184">
        <v>3</v>
      </c>
      <c r="H461" s="185">
        <v>0.1</v>
      </c>
      <c r="I461" s="186">
        <v>351.14</v>
      </c>
      <c r="J461" s="187">
        <v>1158.7619999999999</v>
      </c>
      <c r="K461" s="182" t="s">
        <v>1765</v>
      </c>
      <c r="L461" s="182">
        <v>1</v>
      </c>
      <c r="M461" s="182" t="s">
        <v>1766</v>
      </c>
      <c r="N461" s="186">
        <v>3.25</v>
      </c>
      <c r="O461" s="188">
        <v>3</v>
      </c>
      <c r="P461" s="188" t="s">
        <v>573</v>
      </c>
      <c r="Q461" s="188">
        <v>0</v>
      </c>
      <c r="R461" s="189" t="s">
        <v>573</v>
      </c>
      <c r="S461" s="189" t="s">
        <v>573</v>
      </c>
    </row>
    <row r="462" spans="1:19" ht="15" customHeight="1" x14ac:dyDescent="0.3">
      <c r="A462" s="182" t="s">
        <v>1758</v>
      </c>
      <c r="B462" s="182" t="s">
        <v>908</v>
      </c>
      <c r="C462" s="182" t="s">
        <v>909</v>
      </c>
      <c r="D462" s="182" t="s">
        <v>1767</v>
      </c>
      <c r="E462" s="183" t="s">
        <v>1768</v>
      </c>
      <c r="F462" s="183" t="s">
        <v>581</v>
      </c>
      <c r="G462" s="184">
        <v>7.5</v>
      </c>
      <c r="H462" s="185">
        <v>0.1</v>
      </c>
      <c r="I462" s="186">
        <v>666.92666666666696</v>
      </c>
      <c r="J462" s="187">
        <v>5502.1450000000004</v>
      </c>
      <c r="K462" s="182" t="s">
        <v>1765</v>
      </c>
      <c r="L462" s="182">
        <v>2</v>
      </c>
      <c r="M462" s="182" t="s">
        <v>1769</v>
      </c>
      <c r="N462" s="186">
        <v>3.25</v>
      </c>
      <c r="O462" s="188">
        <v>7.5</v>
      </c>
      <c r="P462" s="188" t="s">
        <v>573</v>
      </c>
      <c r="Q462" s="188">
        <v>0</v>
      </c>
      <c r="R462" s="189" t="s">
        <v>573</v>
      </c>
      <c r="S462" s="189" t="s">
        <v>573</v>
      </c>
    </row>
    <row r="463" spans="1:19" ht="15" customHeight="1" x14ac:dyDescent="0.3">
      <c r="A463" s="182" t="s">
        <v>1758</v>
      </c>
      <c r="B463" s="182" t="s">
        <v>908</v>
      </c>
      <c r="C463" s="182" t="s">
        <v>909</v>
      </c>
      <c r="D463" s="182" t="s">
        <v>1770</v>
      </c>
      <c r="E463" s="183" t="s">
        <v>1771</v>
      </c>
      <c r="F463" s="183" t="s">
        <v>600</v>
      </c>
      <c r="G463" s="184">
        <v>3</v>
      </c>
      <c r="H463" s="185">
        <v>0.1</v>
      </c>
      <c r="I463" s="186">
        <v>280.10000000000002</v>
      </c>
      <c r="J463" s="187">
        <v>924.33</v>
      </c>
      <c r="K463" s="182" t="s">
        <v>1765</v>
      </c>
      <c r="L463" s="182">
        <v>3</v>
      </c>
      <c r="M463" s="182" t="s">
        <v>1772</v>
      </c>
      <c r="N463" s="186">
        <v>3.25</v>
      </c>
      <c r="O463" s="188">
        <v>3</v>
      </c>
      <c r="P463" s="188" t="s">
        <v>573</v>
      </c>
      <c r="Q463" s="188">
        <v>0</v>
      </c>
      <c r="R463" s="189" t="s">
        <v>573</v>
      </c>
      <c r="S463" s="189" t="s">
        <v>573</v>
      </c>
    </row>
    <row r="464" spans="1:19" ht="15" customHeight="1" x14ac:dyDescent="0.3">
      <c r="A464" s="182" t="s">
        <v>1758</v>
      </c>
      <c r="B464" s="182" t="s">
        <v>908</v>
      </c>
      <c r="C464" s="182" t="s">
        <v>909</v>
      </c>
      <c r="D464" s="182" t="s">
        <v>1773</v>
      </c>
      <c r="E464" s="183" t="s">
        <v>1774</v>
      </c>
      <c r="F464" s="183" t="s">
        <v>581</v>
      </c>
      <c r="G464" s="184">
        <v>22.5</v>
      </c>
      <c r="H464" s="185">
        <v>0.1</v>
      </c>
      <c r="I464" s="186">
        <v>834.6</v>
      </c>
      <c r="J464" s="187">
        <v>20656.349999999999</v>
      </c>
      <c r="K464" s="182" t="s">
        <v>1765</v>
      </c>
      <c r="L464" s="182">
        <v>4</v>
      </c>
      <c r="M464" s="182" t="s">
        <v>1775</v>
      </c>
      <c r="N464" s="186">
        <v>3.25</v>
      </c>
      <c r="O464" s="188">
        <v>22.5</v>
      </c>
      <c r="P464" s="188" t="s">
        <v>573</v>
      </c>
      <c r="Q464" s="188">
        <v>0</v>
      </c>
      <c r="R464" s="189" t="s">
        <v>573</v>
      </c>
      <c r="S464" s="189" t="s">
        <v>573</v>
      </c>
    </row>
    <row r="465" spans="1:19" ht="15" customHeight="1" x14ac:dyDescent="0.3">
      <c r="A465" s="182" t="s">
        <v>1758</v>
      </c>
      <c r="B465" s="182" t="s">
        <v>908</v>
      </c>
      <c r="C465" s="182" t="s">
        <v>909</v>
      </c>
      <c r="D465" s="182" t="s">
        <v>1677</v>
      </c>
      <c r="E465" s="183" t="s">
        <v>1678</v>
      </c>
      <c r="F465" s="183" t="s">
        <v>600</v>
      </c>
      <c r="G465" s="184">
        <v>1</v>
      </c>
      <c r="H465" s="185">
        <v>0.05</v>
      </c>
      <c r="I465" s="186">
        <v>202.42</v>
      </c>
      <c r="J465" s="187">
        <v>212.541</v>
      </c>
      <c r="K465" s="182" t="s">
        <v>1765</v>
      </c>
      <c r="L465" s="182">
        <v>5</v>
      </c>
      <c r="M465" s="182" t="s">
        <v>1776</v>
      </c>
      <c r="N465" s="186">
        <v>3.25</v>
      </c>
      <c r="O465" s="188">
        <v>1</v>
      </c>
      <c r="P465" s="188" t="s">
        <v>573</v>
      </c>
      <c r="Q465" s="188">
        <v>0</v>
      </c>
      <c r="R465" s="189" t="s">
        <v>573</v>
      </c>
      <c r="S465" s="189" t="s">
        <v>573</v>
      </c>
    </row>
    <row r="466" spans="1:19" ht="15" customHeight="1" x14ac:dyDescent="0.3">
      <c r="A466" s="182" t="s">
        <v>1758</v>
      </c>
      <c r="B466" s="182" t="s">
        <v>908</v>
      </c>
      <c r="C466" s="182" t="s">
        <v>909</v>
      </c>
      <c r="D466" s="182" t="s">
        <v>976</v>
      </c>
      <c r="E466" s="183" t="s">
        <v>977</v>
      </c>
      <c r="F466" s="183" t="s">
        <v>576</v>
      </c>
      <c r="G466" s="184">
        <v>5975.3668799999996</v>
      </c>
      <c r="H466" s="185">
        <v>0</v>
      </c>
      <c r="I466" s="186">
        <v>1</v>
      </c>
      <c r="J466" s="187">
        <v>5975.3668799999996</v>
      </c>
      <c r="K466" s="182" t="s">
        <v>1765</v>
      </c>
      <c r="L466" s="182">
        <v>6</v>
      </c>
      <c r="M466" s="182" t="s">
        <v>1777</v>
      </c>
      <c r="N466" s="186">
        <v>3.25</v>
      </c>
      <c r="O466" s="188">
        <v>5975.3668799999996</v>
      </c>
      <c r="P466" s="188" t="s">
        <v>573</v>
      </c>
      <c r="Q466" s="188">
        <v>0</v>
      </c>
      <c r="R466" s="189" t="s">
        <v>573</v>
      </c>
      <c r="S466" s="189" t="s">
        <v>573</v>
      </c>
    </row>
    <row r="467" spans="1:19" ht="15" customHeight="1" x14ac:dyDescent="0.3">
      <c r="A467" s="182" t="s">
        <v>1758</v>
      </c>
      <c r="B467" s="182" t="s">
        <v>937</v>
      </c>
      <c r="C467" s="182" t="s">
        <v>938</v>
      </c>
      <c r="D467" s="190" t="s">
        <v>939</v>
      </c>
      <c r="E467" s="183" t="s">
        <v>940</v>
      </c>
      <c r="F467" s="183" t="s">
        <v>941</v>
      </c>
      <c r="G467" s="184">
        <v>1</v>
      </c>
      <c r="H467" s="185">
        <v>0</v>
      </c>
      <c r="I467" s="186">
        <v>60860.580776572002</v>
      </c>
      <c r="J467" s="187">
        <v>60860.580776572002</v>
      </c>
      <c r="K467" s="182" t="s">
        <v>1778</v>
      </c>
      <c r="L467" s="182">
        <v>1</v>
      </c>
      <c r="M467" s="182" t="s">
        <v>1779</v>
      </c>
      <c r="N467" s="186">
        <v>3.25</v>
      </c>
      <c r="O467" s="188">
        <v>0.30769230769230799</v>
      </c>
      <c r="P467" s="188" t="s">
        <v>573</v>
      </c>
      <c r="Q467" s="188">
        <v>0</v>
      </c>
      <c r="R467" s="189" t="s">
        <v>573</v>
      </c>
      <c r="S467" s="189" t="s">
        <v>573</v>
      </c>
    </row>
    <row r="468" spans="1:19" ht="15" customHeight="1" x14ac:dyDescent="0.3">
      <c r="A468" s="182" t="s">
        <v>1758</v>
      </c>
      <c r="B468" s="182" t="s">
        <v>937</v>
      </c>
      <c r="C468" s="182" t="s">
        <v>938</v>
      </c>
      <c r="D468" s="190" t="s">
        <v>944</v>
      </c>
      <c r="E468" s="183" t="s">
        <v>945</v>
      </c>
      <c r="F468" s="183" t="s">
        <v>941</v>
      </c>
      <c r="G468" s="184">
        <v>1</v>
      </c>
      <c r="H468" s="185">
        <v>0</v>
      </c>
      <c r="I468" s="186">
        <v>85927.097156571996</v>
      </c>
      <c r="J468" s="187">
        <v>85927.097156571996</v>
      </c>
      <c r="K468" s="182" t="s">
        <v>1778</v>
      </c>
      <c r="L468" s="182">
        <v>2</v>
      </c>
      <c r="M468" s="182" t="s">
        <v>1780</v>
      </c>
      <c r="N468" s="186">
        <v>3.25</v>
      </c>
      <c r="O468" s="188">
        <v>0.30769230769230799</v>
      </c>
      <c r="P468" s="188" t="s">
        <v>573</v>
      </c>
      <c r="Q468" s="188">
        <v>0</v>
      </c>
      <c r="R468" s="189" t="s">
        <v>573</v>
      </c>
      <c r="S468" s="189" t="s">
        <v>573</v>
      </c>
    </row>
    <row r="469" spans="1:19" ht="15" customHeight="1" x14ac:dyDescent="0.3">
      <c r="A469" s="182" t="s">
        <v>1781</v>
      </c>
      <c r="B469" s="182" t="s">
        <v>563</v>
      </c>
      <c r="C469" s="182"/>
      <c r="D469" s="182" t="s">
        <v>948</v>
      </c>
      <c r="E469" s="183" t="s">
        <v>949</v>
      </c>
      <c r="F469" s="183"/>
      <c r="G469" s="184">
        <v>0.5</v>
      </c>
      <c r="H469" s="185">
        <v>0</v>
      </c>
      <c r="I469" s="186">
        <v>571.17949098076099</v>
      </c>
      <c r="J469" s="187">
        <v>285.58974549038101</v>
      </c>
      <c r="K469" s="182" t="s">
        <v>1782</v>
      </c>
      <c r="L469" s="182">
        <v>1</v>
      </c>
      <c r="M469" s="182" t="s">
        <v>1783</v>
      </c>
      <c r="N469" s="186">
        <v>3.25</v>
      </c>
      <c r="O469" s="188">
        <v>0.5</v>
      </c>
      <c r="P469" s="188" t="s">
        <v>573</v>
      </c>
      <c r="Q469" s="188">
        <v>0</v>
      </c>
      <c r="R469" s="189" t="s">
        <v>573</v>
      </c>
      <c r="S469" s="189" t="s">
        <v>573</v>
      </c>
    </row>
    <row r="470" spans="1:19" ht="15" customHeight="1" x14ac:dyDescent="0.3">
      <c r="A470" s="182" t="s">
        <v>1781</v>
      </c>
      <c r="B470" s="182" t="s">
        <v>563</v>
      </c>
      <c r="C470" s="182"/>
      <c r="D470" s="182" t="s">
        <v>1651</v>
      </c>
      <c r="E470" s="183" t="s">
        <v>1652</v>
      </c>
      <c r="F470" s="183"/>
      <c r="G470" s="184">
        <v>1</v>
      </c>
      <c r="H470" s="185">
        <v>0</v>
      </c>
      <c r="I470" s="186">
        <v>5063.0947914732396</v>
      </c>
      <c r="J470" s="187">
        <v>5063.0947914732396</v>
      </c>
      <c r="K470" s="182" t="s">
        <v>1782</v>
      </c>
      <c r="L470" s="182">
        <v>2</v>
      </c>
      <c r="M470" s="182" t="s">
        <v>1784</v>
      </c>
      <c r="N470" s="186">
        <v>3.25</v>
      </c>
      <c r="O470" s="188">
        <v>1</v>
      </c>
      <c r="P470" s="188" t="s">
        <v>573</v>
      </c>
      <c r="Q470" s="188">
        <v>0</v>
      </c>
      <c r="R470" s="189" t="s">
        <v>573</v>
      </c>
      <c r="S470" s="189" t="s">
        <v>573</v>
      </c>
    </row>
    <row r="471" spans="1:19" ht="15" customHeight="1" x14ac:dyDescent="0.3">
      <c r="A471" s="182" t="s">
        <v>1781</v>
      </c>
      <c r="B471" s="182" t="s">
        <v>563</v>
      </c>
      <c r="C471" s="182"/>
      <c r="D471" s="182" t="s">
        <v>1456</v>
      </c>
      <c r="E471" s="183" t="s">
        <v>1457</v>
      </c>
      <c r="F471" s="183"/>
      <c r="G471" s="184">
        <v>0.5</v>
      </c>
      <c r="H471" s="185">
        <v>0</v>
      </c>
      <c r="I471" s="186">
        <v>140.198092594309</v>
      </c>
      <c r="J471" s="187">
        <v>70.099046297154501</v>
      </c>
      <c r="K471" s="182" t="s">
        <v>1782</v>
      </c>
      <c r="L471" s="182">
        <v>3</v>
      </c>
      <c r="M471" s="182" t="s">
        <v>1785</v>
      </c>
      <c r="N471" s="186">
        <v>3.25</v>
      </c>
      <c r="O471" s="188">
        <v>0.5</v>
      </c>
      <c r="P471" s="188" t="s">
        <v>573</v>
      </c>
      <c r="Q471" s="188">
        <v>0</v>
      </c>
      <c r="R471" s="189" t="s">
        <v>573</v>
      </c>
      <c r="S471" s="189" t="s">
        <v>573</v>
      </c>
    </row>
    <row r="472" spans="1:19" ht="15" customHeight="1" x14ac:dyDescent="0.3">
      <c r="A472" s="182" t="s">
        <v>1781</v>
      </c>
      <c r="B472" s="182" t="s">
        <v>908</v>
      </c>
      <c r="C472" s="182" t="s">
        <v>909</v>
      </c>
      <c r="D472" s="182" t="s">
        <v>1763</v>
      </c>
      <c r="E472" s="183" t="s">
        <v>1764</v>
      </c>
      <c r="F472" s="183" t="s">
        <v>600</v>
      </c>
      <c r="G472" s="184">
        <v>4</v>
      </c>
      <c r="H472" s="185">
        <v>0.1</v>
      </c>
      <c r="I472" s="186">
        <v>351.14</v>
      </c>
      <c r="J472" s="187">
        <v>1545.0160000000001</v>
      </c>
      <c r="K472" s="182" t="s">
        <v>1786</v>
      </c>
      <c r="L472" s="182">
        <v>1</v>
      </c>
      <c r="M472" s="182" t="s">
        <v>1787</v>
      </c>
      <c r="N472" s="186">
        <v>3.25</v>
      </c>
      <c r="O472" s="188">
        <v>4</v>
      </c>
      <c r="P472" s="188" t="s">
        <v>573</v>
      </c>
      <c r="Q472" s="188">
        <v>0</v>
      </c>
      <c r="R472" s="189" t="s">
        <v>573</v>
      </c>
      <c r="S472" s="189" t="s">
        <v>573</v>
      </c>
    </row>
    <row r="473" spans="1:19" ht="15" customHeight="1" x14ac:dyDescent="0.3">
      <c r="A473" s="182" t="s">
        <v>1781</v>
      </c>
      <c r="B473" s="182" t="s">
        <v>908</v>
      </c>
      <c r="C473" s="182" t="s">
        <v>909</v>
      </c>
      <c r="D473" s="182" t="s">
        <v>1767</v>
      </c>
      <c r="E473" s="183" t="s">
        <v>1768</v>
      </c>
      <c r="F473" s="183" t="s">
        <v>581</v>
      </c>
      <c r="G473" s="184">
        <v>7.5</v>
      </c>
      <c r="H473" s="185">
        <v>0.05</v>
      </c>
      <c r="I473" s="186">
        <v>666.92666666666696</v>
      </c>
      <c r="J473" s="187">
        <v>5252.0474999999997</v>
      </c>
      <c r="K473" s="182" t="s">
        <v>1786</v>
      </c>
      <c r="L473" s="182">
        <v>2</v>
      </c>
      <c r="M473" s="182" t="s">
        <v>1788</v>
      </c>
      <c r="N473" s="186">
        <v>3.25</v>
      </c>
      <c r="O473" s="188">
        <v>7.5</v>
      </c>
      <c r="P473" s="188" t="s">
        <v>573</v>
      </c>
      <c r="Q473" s="188">
        <v>0</v>
      </c>
      <c r="R473" s="189" t="s">
        <v>573</v>
      </c>
      <c r="S473" s="189" t="s">
        <v>573</v>
      </c>
    </row>
    <row r="474" spans="1:19" ht="15" customHeight="1" x14ac:dyDescent="0.3">
      <c r="A474" s="182" t="s">
        <v>1781</v>
      </c>
      <c r="B474" s="182" t="s">
        <v>908</v>
      </c>
      <c r="C474" s="182" t="s">
        <v>909</v>
      </c>
      <c r="D474" s="182" t="s">
        <v>1770</v>
      </c>
      <c r="E474" s="183" t="s">
        <v>1771</v>
      </c>
      <c r="F474" s="183" t="s">
        <v>600</v>
      </c>
      <c r="G474" s="184">
        <v>1.2</v>
      </c>
      <c r="H474" s="185">
        <v>0.1</v>
      </c>
      <c r="I474" s="186">
        <v>280.10000000000002</v>
      </c>
      <c r="J474" s="187">
        <v>369.73200000000003</v>
      </c>
      <c r="K474" s="182" t="s">
        <v>1786</v>
      </c>
      <c r="L474" s="182">
        <v>3</v>
      </c>
      <c r="M474" s="182" t="s">
        <v>1789</v>
      </c>
      <c r="N474" s="186">
        <v>3.25</v>
      </c>
      <c r="O474" s="188">
        <v>1.2</v>
      </c>
      <c r="P474" s="188" t="s">
        <v>573</v>
      </c>
      <c r="Q474" s="188">
        <v>0</v>
      </c>
      <c r="R474" s="189" t="s">
        <v>573</v>
      </c>
      <c r="S474" s="189" t="s">
        <v>573</v>
      </c>
    </row>
    <row r="475" spans="1:19" ht="15" customHeight="1" x14ac:dyDescent="0.3">
      <c r="A475" s="182" t="s">
        <v>1781</v>
      </c>
      <c r="B475" s="182" t="s">
        <v>908</v>
      </c>
      <c r="C475" s="182" t="s">
        <v>909</v>
      </c>
      <c r="D475" s="182" t="s">
        <v>1665</v>
      </c>
      <c r="E475" s="183" t="s">
        <v>1666</v>
      </c>
      <c r="F475" s="183" t="s">
        <v>581</v>
      </c>
      <c r="G475" s="184">
        <v>7.5</v>
      </c>
      <c r="H475" s="185">
        <v>0.1</v>
      </c>
      <c r="I475" s="186">
        <v>316.44450000000001</v>
      </c>
      <c r="J475" s="187">
        <v>2610.6671249999999</v>
      </c>
      <c r="K475" s="182" t="s">
        <v>1786</v>
      </c>
      <c r="L475" s="182">
        <v>4</v>
      </c>
      <c r="M475" s="182" t="s">
        <v>1790</v>
      </c>
      <c r="N475" s="186">
        <v>3.25</v>
      </c>
      <c r="O475" s="188">
        <v>7.5</v>
      </c>
      <c r="P475" s="188" t="s">
        <v>573</v>
      </c>
      <c r="Q475" s="188">
        <v>0</v>
      </c>
      <c r="R475" s="189" t="s">
        <v>573</v>
      </c>
      <c r="S475" s="189" t="s">
        <v>573</v>
      </c>
    </row>
    <row r="476" spans="1:19" ht="15" customHeight="1" x14ac:dyDescent="0.3">
      <c r="A476" s="182" t="s">
        <v>1781</v>
      </c>
      <c r="B476" s="182" t="s">
        <v>908</v>
      </c>
      <c r="C476" s="182" t="s">
        <v>909</v>
      </c>
      <c r="D476" s="182" t="s">
        <v>1677</v>
      </c>
      <c r="E476" s="183" t="s">
        <v>1678</v>
      </c>
      <c r="F476" s="183" t="s">
        <v>600</v>
      </c>
      <c r="G476" s="184">
        <v>1</v>
      </c>
      <c r="H476" s="185">
        <v>0.05</v>
      </c>
      <c r="I476" s="186">
        <v>202.42</v>
      </c>
      <c r="J476" s="187">
        <v>212.541</v>
      </c>
      <c r="K476" s="182" t="s">
        <v>1786</v>
      </c>
      <c r="L476" s="182">
        <v>5</v>
      </c>
      <c r="M476" s="182" t="s">
        <v>1791</v>
      </c>
      <c r="N476" s="186">
        <v>3.25</v>
      </c>
      <c r="O476" s="188">
        <v>1</v>
      </c>
      <c r="P476" s="188" t="s">
        <v>573</v>
      </c>
      <c r="Q476" s="188">
        <v>0</v>
      </c>
      <c r="R476" s="189" t="s">
        <v>573</v>
      </c>
      <c r="S476" s="189" t="s">
        <v>573</v>
      </c>
    </row>
    <row r="477" spans="1:19" ht="15" customHeight="1" x14ac:dyDescent="0.3">
      <c r="A477" s="182" t="s">
        <v>1781</v>
      </c>
      <c r="B477" s="182" t="s">
        <v>908</v>
      </c>
      <c r="C477" s="182" t="s">
        <v>909</v>
      </c>
      <c r="D477" s="182" t="s">
        <v>976</v>
      </c>
      <c r="E477" s="183" t="s">
        <v>977</v>
      </c>
      <c r="F477" s="183" t="s">
        <v>576</v>
      </c>
      <c r="G477" s="184">
        <v>2097.90076125</v>
      </c>
      <c r="H477" s="185">
        <v>0</v>
      </c>
      <c r="I477" s="186">
        <v>1</v>
      </c>
      <c r="J477" s="187">
        <v>2097.90076125</v>
      </c>
      <c r="K477" s="182" t="s">
        <v>1786</v>
      </c>
      <c r="L477" s="182">
        <v>6</v>
      </c>
      <c r="M477" s="182" t="s">
        <v>1792</v>
      </c>
      <c r="N477" s="186">
        <v>3.25</v>
      </c>
      <c r="O477" s="188">
        <v>2097.90076125</v>
      </c>
      <c r="P477" s="188" t="s">
        <v>573</v>
      </c>
      <c r="Q477" s="188">
        <v>0</v>
      </c>
      <c r="R477" s="189" t="s">
        <v>573</v>
      </c>
      <c r="S477" s="189" t="s">
        <v>573</v>
      </c>
    </row>
    <row r="478" spans="1:19" ht="15" customHeight="1" x14ac:dyDescent="0.3">
      <c r="A478" s="182" t="s">
        <v>1781</v>
      </c>
      <c r="B478" s="182" t="s">
        <v>937</v>
      </c>
      <c r="C478" s="182" t="s">
        <v>938</v>
      </c>
      <c r="D478" s="190" t="s">
        <v>939</v>
      </c>
      <c r="E478" s="183" t="s">
        <v>940</v>
      </c>
      <c r="F478" s="183" t="s">
        <v>941</v>
      </c>
      <c r="G478" s="184">
        <v>1</v>
      </c>
      <c r="H478" s="185">
        <v>0</v>
      </c>
      <c r="I478" s="186">
        <v>60860.580776572002</v>
      </c>
      <c r="J478" s="187">
        <v>60860.580776572002</v>
      </c>
      <c r="K478" s="182" t="s">
        <v>1793</v>
      </c>
      <c r="L478" s="182">
        <v>1</v>
      </c>
      <c r="M478" s="182" t="s">
        <v>1794</v>
      </c>
      <c r="N478" s="186">
        <v>3.25</v>
      </c>
      <c r="O478" s="188">
        <v>0.30769230769230799</v>
      </c>
      <c r="P478" s="188" t="s">
        <v>573</v>
      </c>
      <c r="Q478" s="188">
        <v>0</v>
      </c>
      <c r="R478" s="189" t="s">
        <v>573</v>
      </c>
      <c r="S478" s="189" t="s">
        <v>573</v>
      </c>
    </row>
    <row r="479" spans="1:19" ht="15" customHeight="1" x14ac:dyDescent="0.3">
      <c r="A479" s="182" t="s">
        <v>1781</v>
      </c>
      <c r="B479" s="182" t="s">
        <v>937</v>
      </c>
      <c r="C479" s="182" t="s">
        <v>938</v>
      </c>
      <c r="D479" s="190" t="s">
        <v>944</v>
      </c>
      <c r="E479" s="183" t="s">
        <v>945</v>
      </c>
      <c r="F479" s="183" t="s">
        <v>941</v>
      </c>
      <c r="G479" s="184">
        <v>1</v>
      </c>
      <c r="H479" s="185">
        <v>0</v>
      </c>
      <c r="I479" s="186">
        <v>85927.097156571996</v>
      </c>
      <c r="J479" s="187">
        <v>85927.097156571996</v>
      </c>
      <c r="K479" s="182" t="s">
        <v>1793</v>
      </c>
      <c r="L479" s="182">
        <v>2</v>
      </c>
      <c r="M479" s="182" t="s">
        <v>1795</v>
      </c>
      <c r="N479" s="186">
        <v>3.25</v>
      </c>
      <c r="O479" s="188">
        <v>0.30769230769230799</v>
      </c>
      <c r="P479" s="188" t="s">
        <v>573</v>
      </c>
      <c r="Q479" s="188">
        <v>0</v>
      </c>
      <c r="R479" s="189" t="s">
        <v>573</v>
      </c>
      <c r="S479" s="189" t="s">
        <v>573</v>
      </c>
    </row>
    <row r="480" spans="1:19" ht="15" customHeight="1" x14ac:dyDescent="0.3">
      <c r="A480" s="182" t="s">
        <v>1796</v>
      </c>
      <c r="B480" s="182" t="s">
        <v>908</v>
      </c>
      <c r="C480" s="182" t="s">
        <v>909</v>
      </c>
      <c r="D480" s="182" t="s">
        <v>1404</v>
      </c>
      <c r="E480" s="183" t="s">
        <v>1405</v>
      </c>
      <c r="F480" s="183" t="s">
        <v>1046</v>
      </c>
      <c r="G480" s="184">
        <v>1.2500000000000001E-2</v>
      </c>
      <c r="H480" s="185">
        <v>0.15</v>
      </c>
      <c r="I480" s="186">
        <v>2302.02</v>
      </c>
      <c r="J480" s="187">
        <v>33.091537500000001</v>
      </c>
      <c r="K480" s="182" t="s">
        <v>1797</v>
      </c>
      <c r="L480" s="182">
        <v>1</v>
      </c>
      <c r="M480" s="182" t="s">
        <v>1798</v>
      </c>
      <c r="N480" s="186">
        <v>24</v>
      </c>
      <c r="O480" s="188">
        <v>1.2500000000000001E-2</v>
      </c>
      <c r="P480" s="188" t="s">
        <v>573</v>
      </c>
      <c r="Q480" s="188">
        <v>0</v>
      </c>
      <c r="R480" s="189" t="s">
        <v>573</v>
      </c>
      <c r="S480" s="189" t="s">
        <v>573</v>
      </c>
    </row>
    <row r="481" spans="1:19" ht="15" customHeight="1" x14ac:dyDescent="0.3">
      <c r="A481" s="182" t="s">
        <v>1796</v>
      </c>
      <c r="B481" s="182" t="s">
        <v>908</v>
      </c>
      <c r="C481" s="182" t="s">
        <v>909</v>
      </c>
      <c r="D481" s="182" t="s">
        <v>1609</v>
      </c>
      <c r="E481" s="183" t="s">
        <v>1610</v>
      </c>
      <c r="F481" s="183" t="s">
        <v>1611</v>
      </c>
      <c r="G481" s="184">
        <v>0.125</v>
      </c>
      <c r="H481" s="185">
        <v>0.05</v>
      </c>
      <c r="I481" s="186">
        <v>2130.1681250000001</v>
      </c>
      <c r="J481" s="187">
        <v>279.58456640625002</v>
      </c>
      <c r="K481" s="182" t="s">
        <v>1797</v>
      </c>
      <c r="L481" s="182">
        <v>2</v>
      </c>
      <c r="M481" s="182" t="s">
        <v>1799</v>
      </c>
      <c r="N481" s="186">
        <v>24</v>
      </c>
      <c r="O481" s="188">
        <v>0.125</v>
      </c>
      <c r="P481" s="188" t="s">
        <v>573</v>
      </c>
      <c r="Q481" s="188">
        <v>0</v>
      </c>
      <c r="R481" s="189" t="s">
        <v>573</v>
      </c>
      <c r="S481" s="189" t="s">
        <v>573</v>
      </c>
    </row>
    <row r="482" spans="1:19" ht="15" customHeight="1" x14ac:dyDescent="0.3">
      <c r="A482" s="182" t="s">
        <v>1796</v>
      </c>
      <c r="B482" s="182" t="s">
        <v>908</v>
      </c>
      <c r="C482" s="182" t="s">
        <v>909</v>
      </c>
      <c r="D482" s="182" t="s">
        <v>1800</v>
      </c>
      <c r="E482" s="183" t="s">
        <v>1801</v>
      </c>
      <c r="F482" s="183" t="s">
        <v>581</v>
      </c>
      <c r="G482" s="184">
        <v>0.02</v>
      </c>
      <c r="H482" s="185">
        <v>0.02</v>
      </c>
      <c r="I482" s="186">
        <v>2755.25</v>
      </c>
      <c r="J482" s="187">
        <v>56.207099999999997</v>
      </c>
      <c r="K482" s="182" t="s">
        <v>1797</v>
      </c>
      <c r="L482" s="182">
        <v>3</v>
      </c>
      <c r="M482" s="182" t="s">
        <v>1802</v>
      </c>
      <c r="N482" s="186">
        <v>24</v>
      </c>
      <c r="O482" s="188">
        <v>0.02</v>
      </c>
      <c r="P482" s="188" t="s">
        <v>573</v>
      </c>
      <c r="Q482" s="188">
        <v>0</v>
      </c>
      <c r="R482" s="189" t="s">
        <v>573</v>
      </c>
      <c r="S482" s="189" t="s">
        <v>573</v>
      </c>
    </row>
    <row r="483" spans="1:19" ht="15" customHeight="1" x14ac:dyDescent="0.3">
      <c r="A483" s="182" t="s">
        <v>1796</v>
      </c>
      <c r="B483" s="182" t="s">
        <v>908</v>
      </c>
      <c r="C483" s="182" t="s">
        <v>909</v>
      </c>
      <c r="D483" s="182" t="s">
        <v>1803</v>
      </c>
      <c r="E483" s="183" t="s">
        <v>1804</v>
      </c>
      <c r="F483" s="183" t="s">
        <v>581</v>
      </c>
      <c r="G483" s="184">
        <v>2.3E-3</v>
      </c>
      <c r="H483" s="185">
        <v>0.02</v>
      </c>
      <c r="I483" s="186">
        <v>1968.04</v>
      </c>
      <c r="J483" s="187">
        <v>4.6170218399999996</v>
      </c>
      <c r="K483" s="182" t="s">
        <v>1797</v>
      </c>
      <c r="L483" s="182">
        <v>4</v>
      </c>
      <c r="M483" s="182" t="s">
        <v>1805</v>
      </c>
      <c r="N483" s="186">
        <v>24</v>
      </c>
      <c r="O483" s="188">
        <v>2.3E-3</v>
      </c>
      <c r="P483" s="188" t="s">
        <v>573</v>
      </c>
      <c r="Q483" s="188">
        <v>0</v>
      </c>
      <c r="R483" s="189" t="s">
        <v>573</v>
      </c>
      <c r="S483" s="189" t="s">
        <v>573</v>
      </c>
    </row>
    <row r="484" spans="1:19" ht="15" customHeight="1" x14ac:dyDescent="0.3">
      <c r="A484" s="182" t="s">
        <v>1796</v>
      </c>
      <c r="B484" s="182" t="s">
        <v>937</v>
      </c>
      <c r="C484" s="182" t="s">
        <v>938</v>
      </c>
      <c r="D484" s="190" t="s">
        <v>1291</v>
      </c>
      <c r="E484" s="183" t="s">
        <v>1292</v>
      </c>
      <c r="F484" s="183" t="s">
        <v>941</v>
      </c>
      <c r="G484" s="184">
        <v>1</v>
      </c>
      <c r="H484" s="185">
        <v>0</v>
      </c>
      <c r="I484" s="186">
        <v>65493.071636572</v>
      </c>
      <c r="J484" s="187">
        <v>65493.071636572</v>
      </c>
      <c r="K484" s="182" t="s">
        <v>1806</v>
      </c>
      <c r="L484" s="182">
        <v>1</v>
      </c>
      <c r="M484" s="182" t="s">
        <v>1807</v>
      </c>
      <c r="N484" s="186">
        <v>24</v>
      </c>
      <c r="O484" s="188">
        <v>4.1666666666666699E-2</v>
      </c>
      <c r="P484" s="188" t="s">
        <v>573</v>
      </c>
      <c r="Q484" s="188">
        <v>0</v>
      </c>
      <c r="R484" s="189" t="s">
        <v>573</v>
      </c>
      <c r="S484" s="189" t="s">
        <v>573</v>
      </c>
    </row>
    <row r="485" spans="1:19" ht="15" customHeight="1" x14ac:dyDescent="0.3">
      <c r="A485" s="182" t="s">
        <v>1796</v>
      </c>
      <c r="B485" s="182" t="s">
        <v>937</v>
      </c>
      <c r="C485" s="182" t="s">
        <v>938</v>
      </c>
      <c r="D485" s="190" t="s">
        <v>944</v>
      </c>
      <c r="E485" s="183" t="s">
        <v>945</v>
      </c>
      <c r="F485" s="183" t="s">
        <v>941</v>
      </c>
      <c r="G485" s="184">
        <v>1</v>
      </c>
      <c r="H485" s="185">
        <v>0</v>
      </c>
      <c r="I485" s="186">
        <v>85927.097156571996</v>
      </c>
      <c r="J485" s="187">
        <v>85927.097156571996</v>
      </c>
      <c r="K485" s="182" t="s">
        <v>1806</v>
      </c>
      <c r="L485" s="182">
        <v>2</v>
      </c>
      <c r="M485" s="182" t="s">
        <v>1808</v>
      </c>
      <c r="N485" s="186">
        <v>24</v>
      </c>
      <c r="O485" s="188">
        <v>4.1666666666666699E-2</v>
      </c>
      <c r="P485" s="188" t="s">
        <v>573</v>
      </c>
      <c r="Q485" s="188">
        <v>0</v>
      </c>
      <c r="R485" s="189" t="s">
        <v>573</v>
      </c>
      <c r="S485" s="189" t="s">
        <v>573</v>
      </c>
    </row>
    <row r="486" spans="1:19" ht="15" customHeight="1" x14ac:dyDescent="0.3">
      <c r="A486" s="182" t="s">
        <v>1809</v>
      </c>
      <c r="B486" s="182" t="s">
        <v>908</v>
      </c>
      <c r="C486" s="182" t="s">
        <v>909</v>
      </c>
      <c r="D486" s="182" t="s">
        <v>1404</v>
      </c>
      <c r="E486" s="183" t="s">
        <v>1405</v>
      </c>
      <c r="F486" s="183" t="s">
        <v>1046</v>
      </c>
      <c r="G486" s="184">
        <v>1.2500000000000001E-2</v>
      </c>
      <c r="H486" s="185">
        <v>0.15</v>
      </c>
      <c r="I486" s="186">
        <v>2302.02</v>
      </c>
      <c r="J486" s="187">
        <v>33.091537500000001</v>
      </c>
      <c r="K486" s="182" t="s">
        <v>1810</v>
      </c>
      <c r="L486" s="182">
        <v>1</v>
      </c>
      <c r="M486" s="182" t="s">
        <v>1811</v>
      </c>
      <c r="N486" s="186">
        <v>28</v>
      </c>
      <c r="O486" s="188">
        <v>1.2500000000000001E-2</v>
      </c>
      <c r="P486" s="188" t="s">
        <v>573</v>
      </c>
      <c r="Q486" s="188">
        <v>0</v>
      </c>
      <c r="R486" s="189" t="s">
        <v>573</v>
      </c>
      <c r="S486" s="189" t="s">
        <v>573</v>
      </c>
    </row>
    <row r="487" spans="1:19" ht="15" customHeight="1" x14ac:dyDescent="0.3">
      <c r="A487" s="182" t="s">
        <v>1809</v>
      </c>
      <c r="B487" s="182" t="s">
        <v>908</v>
      </c>
      <c r="C487" s="182" t="s">
        <v>909</v>
      </c>
      <c r="D487" s="182" t="s">
        <v>1609</v>
      </c>
      <c r="E487" s="183" t="s">
        <v>1610</v>
      </c>
      <c r="F487" s="183" t="s">
        <v>1611</v>
      </c>
      <c r="G487" s="184">
        <v>0.125</v>
      </c>
      <c r="H487" s="185">
        <v>0.05</v>
      </c>
      <c r="I487" s="186">
        <v>2130.1681250000001</v>
      </c>
      <c r="J487" s="187">
        <v>279.58456640625002</v>
      </c>
      <c r="K487" s="182" t="s">
        <v>1810</v>
      </c>
      <c r="L487" s="182">
        <v>2</v>
      </c>
      <c r="M487" s="182" t="s">
        <v>1812</v>
      </c>
      <c r="N487" s="186">
        <v>28</v>
      </c>
      <c r="O487" s="188">
        <v>0.125</v>
      </c>
      <c r="P487" s="188" t="s">
        <v>573</v>
      </c>
      <c r="Q487" s="188">
        <v>0</v>
      </c>
      <c r="R487" s="189" t="s">
        <v>573</v>
      </c>
      <c r="S487" s="189" t="s">
        <v>573</v>
      </c>
    </row>
    <row r="488" spans="1:19" ht="15" customHeight="1" x14ac:dyDescent="0.3">
      <c r="A488" s="182" t="s">
        <v>1809</v>
      </c>
      <c r="B488" s="182" t="s">
        <v>908</v>
      </c>
      <c r="C488" s="182" t="s">
        <v>909</v>
      </c>
      <c r="D488" s="182" t="s">
        <v>1613</v>
      </c>
      <c r="E488" s="183" t="s">
        <v>1614</v>
      </c>
      <c r="F488" s="183" t="s">
        <v>600</v>
      </c>
      <c r="G488" s="184">
        <v>1.25E-3</v>
      </c>
      <c r="H488" s="185">
        <v>0</v>
      </c>
      <c r="I488" s="186">
        <v>1180.82</v>
      </c>
      <c r="J488" s="187">
        <v>1.4760249999999999</v>
      </c>
      <c r="K488" s="182" t="s">
        <v>1810</v>
      </c>
      <c r="L488" s="182">
        <v>3</v>
      </c>
      <c r="M488" s="182" t="s">
        <v>1813</v>
      </c>
      <c r="N488" s="186">
        <v>28</v>
      </c>
      <c r="O488" s="188">
        <v>1.25E-3</v>
      </c>
      <c r="P488" s="188" t="s">
        <v>573</v>
      </c>
      <c r="Q488" s="188">
        <v>0</v>
      </c>
      <c r="R488" s="189" t="s">
        <v>573</v>
      </c>
      <c r="S488" s="189" t="s">
        <v>573</v>
      </c>
    </row>
    <row r="489" spans="1:19" ht="15" customHeight="1" x14ac:dyDescent="0.3">
      <c r="A489" s="182" t="s">
        <v>1809</v>
      </c>
      <c r="B489" s="182" t="s">
        <v>908</v>
      </c>
      <c r="C489" s="182" t="s">
        <v>909</v>
      </c>
      <c r="D489" s="182" t="s">
        <v>1616</v>
      </c>
      <c r="E489" s="183" t="s">
        <v>1617</v>
      </c>
      <c r="F489" s="183" t="s">
        <v>1618</v>
      </c>
      <c r="G489" s="184">
        <v>0.33</v>
      </c>
      <c r="H489" s="185">
        <v>0.05</v>
      </c>
      <c r="I489" s="186">
        <v>26322.68</v>
      </c>
      <c r="J489" s="187">
        <v>9120.8086199999998</v>
      </c>
      <c r="K489" s="182" t="s">
        <v>1810</v>
      </c>
      <c r="L489" s="182">
        <v>4</v>
      </c>
      <c r="M489" s="182" t="s">
        <v>1814</v>
      </c>
      <c r="N489" s="186">
        <v>28</v>
      </c>
      <c r="O489" s="188">
        <v>0.33</v>
      </c>
      <c r="P489" s="188" t="s">
        <v>573</v>
      </c>
      <c r="Q489" s="188">
        <v>0</v>
      </c>
      <c r="R489" s="189" t="s">
        <v>573</v>
      </c>
      <c r="S489" s="189" t="s">
        <v>573</v>
      </c>
    </row>
    <row r="490" spans="1:19" ht="15" customHeight="1" x14ac:dyDescent="0.3">
      <c r="A490" s="182" t="s">
        <v>1809</v>
      </c>
      <c r="B490" s="182" t="s">
        <v>908</v>
      </c>
      <c r="C490" s="182" t="s">
        <v>909</v>
      </c>
      <c r="D490" s="182" t="s">
        <v>1620</v>
      </c>
      <c r="E490" s="183" t="s">
        <v>1621</v>
      </c>
      <c r="F490" s="183" t="s">
        <v>581</v>
      </c>
      <c r="G490" s="184">
        <v>0.01</v>
      </c>
      <c r="H490" s="185">
        <v>0.02</v>
      </c>
      <c r="I490" s="186">
        <v>1213.73</v>
      </c>
      <c r="J490" s="187">
        <v>12.380046</v>
      </c>
      <c r="K490" s="182" t="s">
        <v>1810</v>
      </c>
      <c r="L490" s="182">
        <v>5</v>
      </c>
      <c r="M490" s="182" t="s">
        <v>1815</v>
      </c>
      <c r="N490" s="186">
        <v>28</v>
      </c>
      <c r="O490" s="188">
        <v>0.01</v>
      </c>
      <c r="P490" s="188" t="s">
        <v>573</v>
      </c>
      <c r="Q490" s="188">
        <v>0</v>
      </c>
      <c r="R490" s="189" t="s">
        <v>573</v>
      </c>
      <c r="S490" s="189" t="s">
        <v>573</v>
      </c>
    </row>
    <row r="491" spans="1:19" ht="15" customHeight="1" x14ac:dyDescent="0.3">
      <c r="A491" s="182" t="s">
        <v>1809</v>
      </c>
      <c r="B491" s="182" t="s">
        <v>908</v>
      </c>
      <c r="C491" s="182" t="s">
        <v>909</v>
      </c>
      <c r="D491" s="182" t="s">
        <v>1623</v>
      </c>
      <c r="E491" s="183" t="s">
        <v>1624</v>
      </c>
      <c r="F491" s="183" t="s">
        <v>652</v>
      </c>
      <c r="G491" s="184">
        <v>1.2E-2</v>
      </c>
      <c r="H491" s="185">
        <v>0.02</v>
      </c>
      <c r="I491" s="186">
        <v>4442.2518</v>
      </c>
      <c r="J491" s="187">
        <v>54.373162032000003</v>
      </c>
      <c r="K491" s="182" t="s">
        <v>1810</v>
      </c>
      <c r="L491" s="182">
        <v>6</v>
      </c>
      <c r="M491" s="182" t="s">
        <v>1816</v>
      </c>
      <c r="N491" s="186">
        <v>28</v>
      </c>
      <c r="O491" s="188">
        <v>1.2E-2</v>
      </c>
      <c r="P491" s="188" t="s">
        <v>573</v>
      </c>
      <c r="Q491" s="188">
        <v>0</v>
      </c>
      <c r="R491" s="189" t="s">
        <v>573</v>
      </c>
      <c r="S491" s="189" t="s">
        <v>573</v>
      </c>
    </row>
    <row r="492" spans="1:19" ht="15" customHeight="1" x14ac:dyDescent="0.3">
      <c r="A492" s="182" t="s">
        <v>1809</v>
      </c>
      <c r="B492" s="182" t="s">
        <v>937</v>
      </c>
      <c r="C492" s="182" t="s">
        <v>938</v>
      </c>
      <c r="D492" s="190" t="s">
        <v>939</v>
      </c>
      <c r="E492" s="183" t="s">
        <v>940</v>
      </c>
      <c r="F492" s="183" t="s">
        <v>941</v>
      </c>
      <c r="G492" s="184">
        <v>1</v>
      </c>
      <c r="H492" s="185">
        <v>0</v>
      </c>
      <c r="I492" s="186">
        <v>60860.580776572002</v>
      </c>
      <c r="J492" s="187">
        <v>60860.580776572002</v>
      </c>
      <c r="K492" s="182" t="s">
        <v>1817</v>
      </c>
      <c r="L492" s="182">
        <v>1</v>
      </c>
      <c r="M492" s="182" t="s">
        <v>1818</v>
      </c>
      <c r="N492" s="186">
        <v>28</v>
      </c>
      <c r="O492" s="188">
        <v>3.5714285714285698E-2</v>
      </c>
      <c r="P492" s="188" t="s">
        <v>573</v>
      </c>
      <c r="Q492" s="188">
        <v>0</v>
      </c>
      <c r="R492" s="189" t="s">
        <v>573</v>
      </c>
      <c r="S492" s="189" t="s">
        <v>573</v>
      </c>
    </row>
    <row r="493" spans="1:19" ht="15" customHeight="1" x14ac:dyDescent="0.3">
      <c r="A493" s="182" t="s">
        <v>1809</v>
      </c>
      <c r="B493" s="182" t="s">
        <v>937</v>
      </c>
      <c r="C493" s="182" t="s">
        <v>938</v>
      </c>
      <c r="D493" s="190" t="s">
        <v>1291</v>
      </c>
      <c r="E493" s="183" t="s">
        <v>1292</v>
      </c>
      <c r="F493" s="183" t="s">
        <v>941</v>
      </c>
      <c r="G493" s="184">
        <v>1</v>
      </c>
      <c r="H493" s="185">
        <v>0</v>
      </c>
      <c r="I493" s="186">
        <v>65493.071636572</v>
      </c>
      <c r="J493" s="187">
        <v>65493.071636572</v>
      </c>
      <c r="K493" s="182" t="s">
        <v>1817</v>
      </c>
      <c r="L493" s="182">
        <v>2</v>
      </c>
      <c r="M493" s="182" t="s">
        <v>1819</v>
      </c>
      <c r="N493" s="186">
        <v>28</v>
      </c>
      <c r="O493" s="188">
        <v>3.5714285714285698E-2</v>
      </c>
      <c r="P493" s="188" t="s">
        <v>573</v>
      </c>
      <c r="Q493" s="188">
        <v>0</v>
      </c>
      <c r="R493" s="189" t="s">
        <v>573</v>
      </c>
      <c r="S493" s="189" t="s">
        <v>573</v>
      </c>
    </row>
    <row r="494" spans="1:19" ht="15" customHeight="1" x14ac:dyDescent="0.3">
      <c r="A494" s="182" t="s">
        <v>1809</v>
      </c>
      <c r="B494" s="182" t="s">
        <v>937</v>
      </c>
      <c r="C494" s="182" t="s">
        <v>938</v>
      </c>
      <c r="D494" s="190" t="s">
        <v>944</v>
      </c>
      <c r="E494" s="183" t="s">
        <v>945</v>
      </c>
      <c r="F494" s="183" t="s">
        <v>941</v>
      </c>
      <c r="G494" s="184">
        <v>1</v>
      </c>
      <c r="H494" s="185">
        <v>0</v>
      </c>
      <c r="I494" s="186">
        <v>85927.097156571996</v>
      </c>
      <c r="J494" s="187">
        <v>85927.097156571996</v>
      </c>
      <c r="K494" s="182" t="s">
        <v>1817</v>
      </c>
      <c r="L494" s="182">
        <v>3</v>
      </c>
      <c r="M494" s="182" t="s">
        <v>1820</v>
      </c>
      <c r="N494" s="186">
        <v>28</v>
      </c>
      <c r="O494" s="188">
        <v>3.5714285714285698E-2</v>
      </c>
      <c r="P494" s="188" t="s">
        <v>573</v>
      </c>
      <c r="Q494" s="188">
        <v>0</v>
      </c>
      <c r="R494" s="189" t="s">
        <v>573</v>
      </c>
      <c r="S494" s="189" t="s">
        <v>573</v>
      </c>
    </row>
    <row r="495" spans="1:19" ht="15" customHeight="1" x14ac:dyDescent="0.3">
      <c r="A495" s="182" t="s">
        <v>1821</v>
      </c>
      <c r="B495" s="182" t="s">
        <v>908</v>
      </c>
      <c r="C495" s="182" t="s">
        <v>909</v>
      </c>
      <c r="D495" s="182" t="s">
        <v>1404</v>
      </c>
      <c r="E495" s="183" t="s">
        <v>1405</v>
      </c>
      <c r="F495" s="183" t="s">
        <v>1046</v>
      </c>
      <c r="G495" s="184">
        <v>1.2500000000000001E-2</v>
      </c>
      <c r="H495" s="185">
        <v>0.15</v>
      </c>
      <c r="I495" s="186">
        <v>2302.02</v>
      </c>
      <c r="J495" s="187">
        <v>33.091537500000001</v>
      </c>
      <c r="K495" s="182" t="s">
        <v>1822</v>
      </c>
      <c r="L495" s="182">
        <v>1</v>
      </c>
      <c r="M495" s="182" t="s">
        <v>1823</v>
      </c>
      <c r="N495" s="186">
        <v>25</v>
      </c>
      <c r="O495" s="188">
        <v>1.2500000000000001E-2</v>
      </c>
      <c r="P495" s="188" t="s">
        <v>573</v>
      </c>
      <c r="Q495" s="188">
        <v>0</v>
      </c>
      <c r="R495" s="189" t="s">
        <v>573</v>
      </c>
      <c r="S495" s="189" t="s">
        <v>573</v>
      </c>
    </row>
    <row r="496" spans="1:19" ht="15" customHeight="1" x14ac:dyDescent="0.3">
      <c r="A496" s="182" t="s">
        <v>1821</v>
      </c>
      <c r="B496" s="182" t="s">
        <v>908</v>
      </c>
      <c r="C496" s="182" t="s">
        <v>909</v>
      </c>
      <c r="D496" s="182" t="s">
        <v>1609</v>
      </c>
      <c r="E496" s="183" t="s">
        <v>1610</v>
      </c>
      <c r="F496" s="183" t="s">
        <v>1611</v>
      </c>
      <c r="G496" s="184">
        <v>0.125</v>
      </c>
      <c r="H496" s="185">
        <v>0.05</v>
      </c>
      <c r="I496" s="186">
        <v>2130.1681250000001</v>
      </c>
      <c r="J496" s="187">
        <v>279.58456640625002</v>
      </c>
      <c r="K496" s="182" t="s">
        <v>1822</v>
      </c>
      <c r="L496" s="182">
        <v>2</v>
      </c>
      <c r="M496" s="182" t="s">
        <v>1824</v>
      </c>
      <c r="N496" s="186">
        <v>25</v>
      </c>
      <c r="O496" s="188">
        <v>0.125</v>
      </c>
      <c r="P496" s="188" t="s">
        <v>573</v>
      </c>
      <c r="Q496" s="188">
        <v>0</v>
      </c>
      <c r="R496" s="189" t="s">
        <v>573</v>
      </c>
      <c r="S496" s="189" t="s">
        <v>573</v>
      </c>
    </row>
    <row r="497" spans="1:19" ht="15" customHeight="1" x14ac:dyDescent="0.3">
      <c r="A497" s="182" t="s">
        <v>1821</v>
      </c>
      <c r="B497" s="182" t="s">
        <v>908</v>
      </c>
      <c r="C497" s="182" t="s">
        <v>909</v>
      </c>
      <c r="D497" s="182" t="s">
        <v>1613</v>
      </c>
      <c r="E497" s="183" t="s">
        <v>1614</v>
      </c>
      <c r="F497" s="183" t="s">
        <v>600</v>
      </c>
      <c r="G497" s="184">
        <v>1.25E-3</v>
      </c>
      <c r="H497" s="185">
        <v>0</v>
      </c>
      <c r="I497" s="186">
        <v>1180.82</v>
      </c>
      <c r="J497" s="187">
        <v>1.4760249999999999</v>
      </c>
      <c r="K497" s="182" t="s">
        <v>1822</v>
      </c>
      <c r="L497" s="182">
        <v>3</v>
      </c>
      <c r="M497" s="182" t="s">
        <v>1825</v>
      </c>
      <c r="N497" s="186">
        <v>25</v>
      </c>
      <c r="O497" s="188">
        <v>1.25E-3</v>
      </c>
      <c r="P497" s="188" t="s">
        <v>573</v>
      </c>
      <c r="Q497" s="188">
        <v>0</v>
      </c>
      <c r="R497" s="189" t="s">
        <v>573</v>
      </c>
      <c r="S497" s="189" t="s">
        <v>573</v>
      </c>
    </row>
    <row r="498" spans="1:19" ht="15" customHeight="1" x14ac:dyDescent="0.3">
      <c r="A498" s="182" t="s">
        <v>1821</v>
      </c>
      <c r="B498" s="182" t="s">
        <v>908</v>
      </c>
      <c r="C498" s="182" t="s">
        <v>909</v>
      </c>
      <c r="D498" s="182" t="s">
        <v>1616</v>
      </c>
      <c r="E498" s="183" t="s">
        <v>1617</v>
      </c>
      <c r="F498" s="183" t="s">
        <v>1618</v>
      </c>
      <c r="G498" s="184">
        <v>0.33</v>
      </c>
      <c r="H498" s="185">
        <v>0.05</v>
      </c>
      <c r="I498" s="186">
        <v>26322.68</v>
      </c>
      <c r="J498" s="187">
        <v>9120.8086199999998</v>
      </c>
      <c r="K498" s="182" t="s">
        <v>1822</v>
      </c>
      <c r="L498" s="182">
        <v>4</v>
      </c>
      <c r="M498" s="182" t="s">
        <v>1826</v>
      </c>
      <c r="N498" s="186">
        <v>25</v>
      </c>
      <c r="O498" s="188">
        <v>0.33</v>
      </c>
      <c r="P498" s="188" t="s">
        <v>573</v>
      </c>
      <c r="Q498" s="188">
        <v>0</v>
      </c>
      <c r="R498" s="189" t="s">
        <v>573</v>
      </c>
      <c r="S498" s="189" t="s">
        <v>573</v>
      </c>
    </row>
    <row r="499" spans="1:19" ht="15" customHeight="1" x14ac:dyDescent="0.3">
      <c r="A499" s="182" t="s">
        <v>1821</v>
      </c>
      <c r="B499" s="182" t="s">
        <v>908</v>
      </c>
      <c r="C499" s="182" t="s">
        <v>909</v>
      </c>
      <c r="D499" s="182" t="s">
        <v>1620</v>
      </c>
      <c r="E499" s="183" t="s">
        <v>1621</v>
      </c>
      <c r="F499" s="183" t="s">
        <v>581</v>
      </c>
      <c r="G499" s="184">
        <v>0.01</v>
      </c>
      <c r="H499" s="185">
        <v>0.02</v>
      </c>
      <c r="I499" s="186">
        <v>1213.73</v>
      </c>
      <c r="J499" s="187">
        <v>12.380046</v>
      </c>
      <c r="K499" s="182" t="s">
        <v>1822</v>
      </c>
      <c r="L499" s="182">
        <v>5</v>
      </c>
      <c r="M499" s="182" t="s">
        <v>1827</v>
      </c>
      <c r="N499" s="186">
        <v>25</v>
      </c>
      <c r="O499" s="188">
        <v>0.01</v>
      </c>
      <c r="P499" s="188" t="s">
        <v>573</v>
      </c>
      <c r="Q499" s="188">
        <v>0</v>
      </c>
      <c r="R499" s="189" t="s">
        <v>573</v>
      </c>
      <c r="S499" s="189" t="s">
        <v>573</v>
      </c>
    </row>
    <row r="500" spans="1:19" ht="15" customHeight="1" x14ac:dyDescent="0.3">
      <c r="A500" s="182" t="s">
        <v>1821</v>
      </c>
      <c r="B500" s="182" t="s">
        <v>908</v>
      </c>
      <c r="C500" s="182" t="s">
        <v>909</v>
      </c>
      <c r="D500" s="182" t="s">
        <v>1623</v>
      </c>
      <c r="E500" s="183" t="s">
        <v>1624</v>
      </c>
      <c r="F500" s="183" t="s">
        <v>652</v>
      </c>
      <c r="G500" s="184">
        <v>1.2E-2</v>
      </c>
      <c r="H500" s="185">
        <v>0.02</v>
      </c>
      <c r="I500" s="186">
        <v>4442.2518</v>
      </c>
      <c r="J500" s="187">
        <v>54.373162032000003</v>
      </c>
      <c r="K500" s="182" t="s">
        <v>1822</v>
      </c>
      <c r="L500" s="182">
        <v>6</v>
      </c>
      <c r="M500" s="182" t="s">
        <v>1828</v>
      </c>
      <c r="N500" s="186">
        <v>25</v>
      </c>
      <c r="O500" s="188">
        <v>1.2E-2</v>
      </c>
      <c r="P500" s="188" t="s">
        <v>573</v>
      </c>
      <c r="Q500" s="188">
        <v>0</v>
      </c>
      <c r="R500" s="189" t="s">
        <v>573</v>
      </c>
      <c r="S500" s="189" t="s">
        <v>573</v>
      </c>
    </row>
    <row r="501" spans="1:19" ht="15" customHeight="1" x14ac:dyDescent="0.3">
      <c r="A501" s="182" t="s">
        <v>1821</v>
      </c>
      <c r="B501" s="182" t="s">
        <v>937</v>
      </c>
      <c r="C501" s="182" t="s">
        <v>938</v>
      </c>
      <c r="D501" s="190" t="s">
        <v>939</v>
      </c>
      <c r="E501" s="183" t="s">
        <v>940</v>
      </c>
      <c r="F501" s="183" t="s">
        <v>941</v>
      </c>
      <c r="G501" s="184">
        <v>1</v>
      </c>
      <c r="H501" s="185">
        <v>0</v>
      </c>
      <c r="I501" s="186">
        <v>60860.580776572002</v>
      </c>
      <c r="J501" s="187">
        <v>60860.580776572002</v>
      </c>
      <c r="K501" s="182" t="s">
        <v>1829</v>
      </c>
      <c r="L501" s="182">
        <v>1</v>
      </c>
      <c r="M501" s="182" t="s">
        <v>1830</v>
      </c>
      <c r="N501" s="186">
        <v>25</v>
      </c>
      <c r="O501" s="188">
        <v>0.04</v>
      </c>
      <c r="P501" s="188" t="s">
        <v>573</v>
      </c>
      <c r="Q501" s="188">
        <v>0</v>
      </c>
      <c r="R501" s="189" t="s">
        <v>573</v>
      </c>
      <c r="S501" s="189" t="s">
        <v>573</v>
      </c>
    </row>
    <row r="502" spans="1:19" ht="15" customHeight="1" x14ac:dyDescent="0.3">
      <c r="A502" s="182" t="s">
        <v>1821</v>
      </c>
      <c r="B502" s="182" t="s">
        <v>937</v>
      </c>
      <c r="C502" s="182" t="s">
        <v>938</v>
      </c>
      <c r="D502" s="190" t="s">
        <v>1291</v>
      </c>
      <c r="E502" s="183" t="s">
        <v>1292</v>
      </c>
      <c r="F502" s="183" t="s">
        <v>941</v>
      </c>
      <c r="G502" s="184">
        <v>1</v>
      </c>
      <c r="H502" s="185">
        <v>0</v>
      </c>
      <c r="I502" s="186">
        <v>65493.071636572</v>
      </c>
      <c r="J502" s="187">
        <v>65493.071636572</v>
      </c>
      <c r="K502" s="182" t="s">
        <v>1829</v>
      </c>
      <c r="L502" s="182">
        <v>2</v>
      </c>
      <c r="M502" s="182" t="s">
        <v>1831</v>
      </c>
      <c r="N502" s="186">
        <v>25</v>
      </c>
      <c r="O502" s="188">
        <v>0.04</v>
      </c>
      <c r="P502" s="188" t="s">
        <v>573</v>
      </c>
      <c r="Q502" s="188">
        <v>0</v>
      </c>
      <c r="R502" s="189" t="s">
        <v>573</v>
      </c>
      <c r="S502" s="189" t="s">
        <v>573</v>
      </c>
    </row>
    <row r="503" spans="1:19" ht="15" customHeight="1" x14ac:dyDescent="0.3">
      <c r="A503" s="182" t="s">
        <v>1821</v>
      </c>
      <c r="B503" s="182" t="s">
        <v>937</v>
      </c>
      <c r="C503" s="182" t="s">
        <v>938</v>
      </c>
      <c r="D503" s="190" t="s">
        <v>944</v>
      </c>
      <c r="E503" s="183" t="s">
        <v>945</v>
      </c>
      <c r="F503" s="183" t="s">
        <v>941</v>
      </c>
      <c r="G503" s="184">
        <v>1</v>
      </c>
      <c r="H503" s="185">
        <v>0</v>
      </c>
      <c r="I503" s="186">
        <v>85927.097156571996</v>
      </c>
      <c r="J503" s="187">
        <v>85927.097156571996</v>
      </c>
      <c r="K503" s="182" t="s">
        <v>1829</v>
      </c>
      <c r="L503" s="182">
        <v>3</v>
      </c>
      <c r="M503" s="182" t="s">
        <v>1832</v>
      </c>
      <c r="N503" s="186">
        <v>25</v>
      </c>
      <c r="O503" s="188">
        <v>0.04</v>
      </c>
      <c r="P503" s="188" t="s">
        <v>573</v>
      </c>
      <c r="Q503" s="188">
        <v>0</v>
      </c>
      <c r="R503" s="189" t="s">
        <v>573</v>
      </c>
      <c r="S503" s="189" t="s">
        <v>573</v>
      </c>
    </row>
    <row r="504" spans="1:19" ht="15" customHeight="1" x14ac:dyDescent="0.3">
      <c r="A504" s="182" t="s">
        <v>1833</v>
      </c>
      <c r="B504" s="182" t="s">
        <v>908</v>
      </c>
      <c r="C504" s="182" t="s">
        <v>909</v>
      </c>
      <c r="D504" s="182" t="s">
        <v>1404</v>
      </c>
      <c r="E504" s="183" t="s">
        <v>1405</v>
      </c>
      <c r="F504" s="183" t="s">
        <v>1046</v>
      </c>
      <c r="G504" s="184">
        <v>1.2500000000000001E-2</v>
      </c>
      <c r="H504" s="185">
        <v>0.15</v>
      </c>
      <c r="I504" s="186">
        <v>2302.02</v>
      </c>
      <c r="J504" s="187">
        <v>33.091537500000001</v>
      </c>
      <c r="K504" s="182" t="s">
        <v>1834</v>
      </c>
      <c r="L504" s="182">
        <v>1</v>
      </c>
      <c r="M504" s="182" t="s">
        <v>1835</v>
      </c>
      <c r="N504" s="186">
        <v>28</v>
      </c>
      <c r="O504" s="188">
        <v>1.2500000000000001E-2</v>
      </c>
      <c r="P504" s="188" t="s">
        <v>573</v>
      </c>
      <c r="Q504" s="188">
        <v>0</v>
      </c>
      <c r="R504" s="189" t="s">
        <v>573</v>
      </c>
      <c r="S504" s="189" t="s">
        <v>573</v>
      </c>
    </row>
    <row r="505" spans="1:19" ht="15" customHeight="1" x14ac:dyDescent="0.3">
      <c r="A505" s="182" t="s">
        <v>1833</v>
      </c>
      <c r="B505" s="182" t="s">
        <v>908</v>
      </c>
      <c r="C505" s="182" t="s">
        <v>909</v>
      </c>
      <c r="D505" s="182" t="s">
        <v>1609</v>
      </c>
      <c r="E505" s="183" t="s">
        <v>1610</v>
      </c>
      <c r="F505" s="183" t="s">
        <v>1611</v>
      </c>
      <c r="G505" s="184">
        <v>0.125</v>
      </c>
      <c r="H505" s="185">
        <v>0.05</v>
      </c>
      <c r="I505" s="186">
        <v>2130.1681250000001</v>
      </c>
      <c r="J505" s="187">
        <v>279.58456640625002</v>
      </c>
      <c r="K505" s="182" t="s">
        <v>1834</v>
      </c>
      <c r="L505" s="182">
        <v>2</v>
      </c>
      <c r="M505" s="182" t="s">
        <v>1836</v>
      </c>
      <c r="N505" s="186">
        <v>28</v>
      </c>
      <c r="O505" s="188">
        <v>0.125</v>
      </c>
      <c r="P505" s="188" t="s">
        <v>573</v>
      </c>
      <c r="Q505" s="188">
        <v>0</v>
      </c>
      <c r="R505" s="189" t="s">
        <v>573</v>
      </c>
      <c r="S505" s="189" t="s">
        <v>573</v>
      </c>
    </row>
    <row r="506" spans="1:19" ht="15" customHeight="1" x14ac:dyDescent="0.3">
      <c r="A506" s="182" t="s">
        <v>1833</v>
      </c>
      <c r="B506" s="182" t="s">
        <v>908</v>
      </c>
      <c r="C506" s="182" t="s">
        <v>909</v>
      </c>
      <c r="D506" s="182" t="s">
        <v>1613</v>
      </c>
      <c r="E506" s="183" t="s">
        <v>1614</v>
      </c>
      <c r="F506" s="183" t="s">
        <v>600</v>
      </c>
      <c r="G506" s="184">
        <v>1.25E-3</v>
      </c>
      <c r="H506" s="185">
        <v>0</v>
      </c>
      <c r="I506" s="186">
        <v>1180.82</v>
      </c>
      <c r="J506" s="187">
        <v>1.4760249999999999</v>
      </c>
      <c r="K506" s="182" t="s">
        <v>1834</v>
      </c>
      <c r="L506" s="182">
        <v>3</v>
      </c>
      <c r="M506" s="182" t="s">
        <v>1837</v>
      </c>
      <c r="N506" s="186">
        <v>28</v>
      </c>
      <c r="O506" s="188">
        <v>1.25E-3</v>
      </c>
      <c r="P506" s="188" t="s">
        <v>573</v>
      </c>
      <c r="Q506" s="188">
        <v>0</v>
      </c>
      <c r="R506" s="189" t="s">
        <v>573</v>
      </c>
      <c r="S506" s="189" t="s">
        <v>573</v>
      </c>
    </row>
    <row r="507" spans="1:19" ht="15" customHeight="1" x14ac:dyDescent="0.3">
      <c r="A507" s="182" t="s">
        <v>1833</v>
      </c>
      <c r="B507" s="182" t="s">
        <v>908</v>
      </c>
      <c r="C507" s="182" t="s">
        <v>909</v>
      </c>
      <c r="D507" s="182" t="s">
        <v>1838</v>
      </c>
      <c r="E507" s="183" t="s">
        <v>1839</v>
      </c>
      <c r="F507" s="183" t="s">
        <v>1840</v>
      </c>
      <c r="G507" s="184">
        <v>0.5</v>
      </c>
      <c r="H507" s="185">
        <v>0.02</v>
      </c>
      <c r="I507" s="186">
        <v>51752.74</v>
      </c>
      <c r="J507" s="187">
        <v>26393.897400000002</v>
      </c>
      <c r="K507" s="182" t="s">
        <v>1834</v>
      </c>
      <c r="L507" s="182">
        <v>4</v>
      </c>
      <c r="M507" s="182" t="s">
        <v>1841</v>
      </c>
      <c r="N507" s="186">
        <v>28</v>
      </c>
      <c r="O507" s="188">
        <v>0.5</v>
      </c>
      <c r="P507" s="188" t="s">
        <v>573</v>
      </c>
      <c r="Q507" s="188">
        <v>0</v>
      </c>
      <c r="R507" s="189" t="s">
        <v>573</v>
      </c>
      <c r="S507" s="189" t="s">
        <v>573</v>
      </c>
    </row>
    <row r="508" spans="1:19" ht="15" customHeight="1" x14ac:dyDescent="0.3">
      <c r="A508" s="182" t="s">
        <v>1833</v>
      </c>
      <c r="B508" s="182" t="s">
        <v>908</v>
      </c>
      <c r="C508" s="182" t="s">
        <v>909</v>
      </c>
      <c r="D508" s="182" t="s">
        <v>1620</v>
      </c>
      <c r="E508" s="183" t="s">
        <v>1621</v>
      </c>
      <c r="F508" s="183" t="s">
        <v>581</v>
      </c>
      <c r="G508" s="184">
        <v>0.01</v>
      </c>
      <c r="H508" s="185">
        <v>0.02</v>
      </c>
      <c r="I508" s="186">
        <v>1213.73</v>
      </c>
      <c r="J508" s="187">
        <v>12.380046</v>
      </c>
      <c r="K508" s="182" t="s">
        <v>1834</v>
      </c>
      <c r="L508" s="182">
        <v>5</v>
      </c>
      <c r="M508" s="182" t="s">
        <v>1842</v>
      </c>
      <c r="N508" s="186">
        <v>28</v>
      </c>
      <c r="O508" s="188">
        <v>0.01</v>
      </c>
      <c r="P508" s="188" t="s">
        <v>573</v>
      </c>
      <c r="Q508" s="188">
        <v>0</v>
      </c>
      <c r="R508" s="189" t="s">
        <v>573</v>
      </c>
      <c r="S508" s="189" t="s">
        <v>573</v>
      </c>
    </row>
    <row r="509" spans="1:19" ht="15" customHeight="1" x14ac:dyDescent="0.3">
      <c r="A509" s="182" t="s">
        <v>1833</v>
      </c>
      <c r="B509" s="182" t="s">
        <v>908</v>
      </c>
      <c r="C509" s="182" t="s">
        <v>909</v>
      </c>
      <c r="D509" s="182" t="s">
        <v>1623</v>
      </c>
      <c r="E509" s="183" t="s">
        <v>1624</v>
      </c>
      <c r="F509" s="183" t="s">
        <v>652</v>
      </c>
      <c r="G509" s="184">
        <v>1.2E-2</v>
      </c>
      <c r="H509" s="185">
        <v>0.05</v>
      </c>
      <c r="I509" s="186">
        <v>4442.2518</v>
      </c>
      <c r="J509" s="187">
        <v>55.972372679999999</v>
      </c>
      <c r="K509" s="182" t="s">
        <v>1834</v>
      </c>
      <c r="L509" s="182">
        <v>6</v>
      </c>
      <c r="M509" s="182" t="s">
        <v>1843</v>
      </c>
      <c r="N509" s="186">
        <v>28</v>
      </c>
      <c r="O509" s="188">
        <v>1.2E-2</v>
      </c>
      <c r="P509" s="188" t="s">
        <v>573</v>
      </c>
      <c r="Q509" s="188">
        <v>0</v>
      </c>
      <c r="R509" s="189" t="s">
        <v>573</v>
      </c>
      <c r="S509" s="189" t="s">
        <v>573</v>
      </c>
    </row>
    <row r="510" spans="1:19" ht="15" customHeight="1" x14ac:dyDescent="0.3">
      <c r="A510" s="182" t="s">
        <v>1833</v>
      </c>
      <c r="B510" s="182" t="s">
        <v>937</v>
      </c>
      <c r="C510" s="182" t="s">
        <v>938</v>
      </c>
      <c r="D510" s="190" t="s">
        <v>939</v>
      </c>
      <c r="E510" s="183" t="s">
        <v>940</v>
      </c>
      <c r="F510" s="183" t="s">
        <v>941</v>
      </c>
      <c r="G510" s="184">
        <v>1</v>
      </c>
      <c r="H510" s="185">
        <v>0</v>
      </c>
      <c r="I510" s="186">
        <v>60860.580776572002</v>
      </c>
      <c r="J510" s="187">
        <v>60860.580776572002</v>
      </c>
      <c r="K510" s="182" t="s">
        <v>1844</v>
      </c>
      <c r="L510" s="182">
        <v>1</v>
      </c>
      <c r="M510" s="182" t="s">
        <v>1845</v>
      </c>
      <c r="N510" s="186">
        <v>28</v>
      </c>
      <c r="O510" s="188">
        <v>3.5714285714285698E-2</v>
      </c>
      <c r="P510" s="188" t="s">
        <v>573</v>
      </c>
      <c r="Q510" s="188">
        <v>0</v>
      </c>
      <c r="R510" s="189" t="s">
        <v>573</v>
      </c>
      <c r="S510" s="189" t="s">
        <v>573</v>
      </c>
    </row>
    <row r="511" spans="1:19" ht="15" customHeight="1" x14ac:dyDescent="0.3">
      <c r="A511" s="182" t="s">
        <v>1833</v>
      </c>
      <c r="B511" s="182" t="s">
        <v>937</v>
      </c>
      <c r="C511" s="182" t="s">
        <v>938</v>
      </c>
      <c r="D511" s="190" t="s">
        <v>1291</v>
      </c>
      <c r="E511" s="183" t="s">
        <v>1292</v>
      </c>
      <c r="F511" s="183" t="s">
        <v>941</v>
      </c>
      <c r="G511" s="184">
        <v>1</v>
      </c>
      <c r="H511" s="185">
        <v>0</v>
      </c>
      <c r="I511" s="186">
        <v>65493.071636572</v>
      </c>
      <c r="J511" s="187">
        <v>65493.071636572</v>
      </c>
      <c r="K511" s="182" t="s">
        <v>1844</v>
      </c>
      <c r="L511" s="182">
        <v>2</v>
      </c>
      <c r="M511" s="182" t="s">
        <v>1846</v>
      </c>
      <c r="N511" s="186">
        <v>28</v>
      </c>
      <c r="O511" s="188">
        <v>3.5714285714285698E-2</v>
      </c>
      <c r="P511" s="188" t="s">
        <v>573</v>
      </c>
      <c r="Q511" s="188">
        <v>0</v>
      </c>
      <c r="R511" s="189" t="s">
        <v>573</v>
      </c>
      <c r="S511" s="189" t="s">
        <v>573</v>
      </c>
    </row>
    <row r="512" spans="1:19" ht="15" customHeight="1" x14ac:dyDescent="0.3">
      <c r="A512" s="182" t="s">
        <v>1833</v>
      </c>
      <c r="B512" s="182" t="s">
        <v>937</v>
      </c>
      <c r="C512" s="182" t="s">
        <v>938</v>
      </c>
      <c r="D512" s="190" t="s">
        <v>944</v>
      </c>
      <c r="E512" s="183" t="s">
        <v>945</v>
      </c>
      <c r="F512" s="183" t="s">
        <v>941</v>
      </c>
      <c r="G512" s="184">
        <v>1</v>
      </c>
      <c r="H512" s="185">
        <v>0</v>
      </c>
      <c r="I512" s="186">
        <v>85927.097156571996</v>
      </c>
      <c r="J512" s="187">
        <v>85927.097156571996</v>
      </c>
      <c r="K512" s="182" t="s">
        <v>1844</v>
      </c>
      <c r="L512" s="182">
        <v>3</v>
      </c>
      <c r="M512" s="182" t="s">
        <v>1847</v>
      </c>
      <c r="N512" s="186">
        <v>28</v>
      </c>
      <c r="O512" s="188">
        <v>3.5714285714285698E-2</v>
      </c>
      <c r="P512" s="188" t="s">
        <v>573</v>
      </c>
      <c r="Q512" s="188">
        <v>0</v>
      </c>
      <c r="R512" s="189" t="s">
        <v>573</v>
      </c>
      <c r="S512" s="189" t="s">
        <v>573</v>
      </c>
    </row>
    <row r="513" spans="1:19" ht="15" customHeight="1" x14ac:dyDescent="0.3">
      <c r="A513" s="182" t="s">
        <v>1848</v>
      </c>
      <c r="B513" s="182" t="s">
        <v>937</v>
      </c>
      <c r="C513" s="182" t="s">
        <v>938</v>
      </c>
      <c r="D513" s="190" t="s">
        <v>939</v>
      </c>
      <c r="E513" s="183" t="s">
        <v>940</v>
      </c>
      <c r="F513" s="183" t="s">
        <v>941</v>
      </c>
      <c r="G513" s="184">
        <v>1</v>
      </c>
      <c r="H513" s="185">
        <v>0</v>
      </c>
      <c r="I513" s="186">
        <v>60860.580776572002</v>
      </c>
      <c r="J513" s="187">
        <v>60860.580776572002</v>
      </c>
      <c r="K513" s="182" t="s">
        <v>1849</v>
      </c>
      <c r="L513" s="182">
        <v>1</v>
      </c>
      <c r="M513" s="182" t="s">
        <v>1850</v>
      </c>
      <c r="N513" s="186">
        <v>3.8</v>
      </c>
      <c r="O513" s="188">
        <v>0.26315789473684198</v>
      </c>
      <c r="P513" s="188" t="s">
        <v>573</v>
      </c>
      <c r="Q513" s="188">
        <v>0</v>
      </c>
      <c r="R513" s="189" t="s">
        <v>573</v>
      </c>
      <c r="S513" s="189" t="s">
        <v>573</v>
      </c>
    </row>
    <row r="514" spans="1:19" ht="15" customHeight="1" x14ac:dyDescent="0.3">
      <c r="A514" s="182" t="s">
        <v>1848</v>
      </c>
      <c r="B514" s="182" t="s">
        <v>937</v>
      </c>
      <c r="C514" s="182" t="s">
        <v>938</v>
      </c>
      <c r="D514" s="190" t="s">
        <v>944</v>
      </c>
      <c r="E514" s="183" t="s">
        <v>945</v>
      </c>
      <c r="F514" s="183" t="s">
        <v>941</v>
      </c>
      <c r="G514" s="184">
        <v>1</v>
      </c>
      <c r="H514" s="185">
        <v>0</v>
      </c>
      <c r="I514" s="186">
        <v>85927.097156571996</v>
      </c>
      <c r="J514" s="187">
        <v>85927.097156571996</v>
      </c>
      <c r="K514" s="182" t="s">
        <v>1849</v>
      </c>
      <c r="L514" s="182">
        <v>2</v>
      </c>
      <c r="M514" s="182" t="s">
        <v>1851</v>
      </c>
      <c r="N514" s="186">
        <v>3.8</v>
      </c>
      <c r="O514" s="188">
        <v>0.26315789473684198</v>
      </c>
      <c r="P514" s="188" t="s">
        <v>573</v>
      </c>
      <c r="Q514" s="188">
        <v>0</v>
      </c>
      <c r="R514" s="189" t="s">
        <v>573</v>
      </c>
      <c r="S514" s="189" t="s">
        <v>573</v>
      </c>
    </row>
    <row r="515" spans="1:19" ht="15" customHeight="1" x14ac:dyDescent="0.3">
      <c r="A515" s="182" t="s">
        <v>1852</v>
      </c>
      <c r="B515" s="182" t="s">
        <v>937</v>
      </c>
      <c r="C515" s="182" t="s">
        <v>938</v>
      </c>
      <c r="D515" s="190" t="s">
        <v>939</v>
      </c>
      <c r="E515" s="183" t="s">
        <v>940</v>
      </c>
      <c r="F515" s="183" t="s">
        <v>941</v>
      </c>
      <c r="G515" s="184">
        <v>7</v>
      </c>
      <c r="H515" s="185">
        <v>0</v>
      </c>
      <c r="I515" s="186">
        <v>60860.580776572002</v>
      </c>
      <c r="J515" s="187">
        <v>426024.06543600402</v>
      </c>
      <c r="K515" s="182" t="s">
        <v>1853</v>
      </c>
      <c r="L515" s="182">
        <v>1</v>
      </c>
      <c r="M515" s="182" t="s">
        <v>1854</v>
      </c>
      <c r="N515" s="186">
        <v>36</v>
      </c>
      <c r="O515" s="188">
        <v>0.194444444444444</v>
      </c>
      <c r="P515" s="188" t="s">
        <v>573</v>
      </c>
      <c r="Q515" s="188">
        <v>0</v>
      </c>
      <c r="R515" s="189" t="s">
        <v>573</v>
      </c>
      <c r="S515" s="189" t="s">
        <v>573</v>
      </c>
    </row>
    <row r="516" spans="1:19" ht="15" customHeight="1" x14ac:dyDescent="0.3">
      <c r="A516" s="182" t="s">
        <v>1852</v>
      </c>
      <c r="B516" s="182" t="s">
        <v>937</v>
      </c>
      <c r="C516" s="182" t="s">
        <v>938</v>
      </c>
      <c r="D516" s="190" t="s">
        <v>944</v>
      </c>
      <c r="E516" s="183" t="s">
        <v>945</v>
      </c>
      <c r="F516" s="183" t="s">
        <v>941</v>
      </c>
      <c r="G516" s="184">
        <v>1</v>
      </c>
      <c r="H516" s="185">
        <v>0</v>
      </c>
      <c r="I516" s="186">
        <v>85927.097156571996</v>
      </c>
      <c r="J516" s="187">
        <v>85927.097156571996</v>
      </c>
      <c r="K516" s="182" t="s">
        <v>1853</v>
      </c>
      <c r="L516" s="182">
        <v>2</v>
      </c>
      <c r="M516" s="182" t="s">
        <v>1855</v>
      </c>
      <c r="N516" s="186">
        <v>36</v>
      </c>
      <c r="O516" s="188">
        <v>2.7777777777777801E-2</v>
      </c>
      <c r="P516" s="188" t="s">
        <v>573</v>
      </c>
      <c r="Q516" s="188">
        <v>0</v>
      </c>
      <c r="R516" s="189" t="s">
        <v>573</v>
      </c>
      <c r="S516" s="189" t="s">
        <v>573</v>
      </c>
    </row>
    <row r="517" spans="1:19" ht="15" customHeight="1" x14ac:dyDescent="0.3">
      <c r="A517" s="182" t="s">
        <v>1856</v>
      </c>
      <c r="B517" s="182" t="s">
        <v>908</v>
      </c>
      <c r="C517" s="182" t="s">
        <v>909</v>
      </c>
      <c r="D517" s="182" t="s">
        <v>1857</v>
      </c>
      <c r="E517" s="183" t="s">
        <v>1858</v>
      </c>
      <c r="F517" s="183" t="s">
        <v>581</v>
      </c>
      <c r="G517" s="184">
        <v>32</v>
      </c>
      <c r="H517" s="185">
        <v>1E-3</v>
      </c>
      <c r="I517" s="186">
        <v>3148.86</v>
      </c>
      <c r="J517" s="187">
        <v>100864.28352</v>
      </c>
      <c r="K517" s="182" t="s">
        <v>1859</v>
      </c>
      <c r="L517" s="182">
        <v>1</v>
      </c>
      <c r="M517" s="182" t="s">
        <v>1860</v>
      </c>
      <c r="N517" s="186">
        <v>12</v>
      </c>
      <c r="O517" s="188">
        <v>32</v>
      </c>
      <c r="P517" s="188" t="s">
        <v>573</v>
      </c>
      <c r="Q517" s="188">
        <v>0</v>
      </c>
      <c r="R517" s="189" t="s">
        <v>573</v>
      </c>
      <c r="S517" s="189" t="s">
        <v>573</v>
      </c>
    </row>
    <row r="518" spans="1:19" ht="15" customHeight="1" x14ac:dyDescent="0.3">
      <c r="A518" s="182" t="s">
        <v>1856</v>
      </c>
      <c r="B518" s="182" t="s">
        <v>908</v>
      </c>
      <c r="C518" s="182" t="s">
        <v>909</v>
      </c>
      <c r="D518" s="182" t="s">
        <v>1613</v>
      </c>
      <c r="E518" s="183" t="s">
        <v>1614</v>
      </c>
      <c r="F518" s="183" t="s">
        <v>600</v>
      </c>
      <c r="G518" s="184">
        <v>16</v>
      </c>
      <c r="H518" s="185">
        <v>1E-3</v>
      </c>
      <c r="I518" s="186">
        <v>1180.82</v>
      </c>
      <c r="J518" s="187">
        <v>18912.01312</v>
      </c>
      <c r="K518" s="182" t="s">
        <v>1859</v>
      </c>
      <c r="L518" s="182">
        <v>2</v>
      </c>
      <c r="M518" s="182" t="s">
        <v>1861</v>
      </c>
      <c r="N518" s="186">
        <v>12</v>
      </c>
      <c r="O518" s="188">
        <v>16</v>
      </c>
      <c r="P518" s="188" t="s">
        <v>573</v>
      </c>
      <c r="Q518" s="188">
        <v>0</v>
      </c>
      <c r="R518" s="189" t="s">
        <v>573</v>
      </c>
      <c r="S518" s="189" t="s">
        <v>573</v>
      </c>
    </row>
    <row r="519" spans="1:19" ht="15" customHeight="1" x14ac:dyDescent="0.3">
      <c r="A519" s="182" t="s">
        <v>1856</v>
      </c>
      <c r="B519" s="182" t="s">
        <v>908</v>
      </c>
      <c r="C519" s="182" t="s">
        <v>909</v>
      </c>
      <c r="D519" s="182" t="s">
        <v>1862</v>
      </c>
      <c r="E519" s="183" t="s">
        <v>1863</v>
      </c>
      <c r="F519" s="183" t="s">
        <v>595</v>
      </c>
      <c r="G519" s="184">
        <v>6</v>
      </c>
      <c r="H519" s="185">
        <v>1E-3</v>
      </c>
      <c r="I519" s="186">
        <v>19680.39</v>
      </c>
      <c r="J519" s="187">
        <v>118200.42234</v>
      </c>
      <c r="K519" s="182" t="s">
        <v>1859</v>
      </c>
      <c r="L519" s="182">
        <v>3</v>
      </c>
      <c r="M519" s="182" t="s">
        <v>1864</v>
      </c>
      <c r="N519" s="186">
        <v>12</v>
      </c>
      <c r="O519" s="188">
        <v>6</v>
      </c>
      <c r="P519" s="188" t="s">
        <v>573</v>
      </c>
      <c r="Q519" s="188">
        <v>0</v>
      </c>
      <c r="R519" s="189" t="s">
        <v>573</v>
      </c>
      <c r="S519" s="189" t="s">
        <v>573</v>
      </c>
    </row>
    <row r="520" spans="1:19" ht="15" customHeight="1" x14ac:dyDescent="0.3">
      <c r="A520" s="182" t="s">
        <v>1856</v>
      </c>
      <c r="B520" s="182" t="s">
        <v>908</v>
      </c>
      <c r="C520" s="182" t="s">
        <v>909</v>
      </c>
      <c r="D520" s="182" t="s">
        <v>1865</v>
      </c>
      <c r="E520" s="183" t="s">
        <v>1866</v>
      </c>
      <c r="F520" s="183" t="s">
        <v>581</v>
      </c>
      <c r="G520" s="184">
        <v>16</v>
      </c>
      <c r="H520" s="185">
        <v>1E-3</v>
      </c>
      <c r="I520" s="186">
        <v>3936.08</v>
      </c>
      <c r="J520" s="187">
        <v>63040.257279999998</v>
      </c>
      <c r="K520" s="182" t="s">
        <v>1859</v>
      </c>
      <c r="L520" s="182">
        <v>4</v>
      </c>
      <c r="M520" s="182" t="s">
        <v>1867</v>
      </c>
      <c r="N520" s="186">
        <v>12</v>
      </c>
      <c r="O520" s="188">
        <v>16</v>
      </c>
      <c r="P520" s="188" t="s">
        <v>573</v>
      </c>
      <c r="Q520" s="188">
        <v>0</v>
      </c>
      <c r="R520" s="189" t="s">
        <v>573</v>
      </c>
      <c r="S520" s="189" t="s">
        <v>573</v>
      </c>
    </row>
    <row r="521" spans="1:19" ht="15" customHeight="1" x14ac:dyDescent="0.3">
      <c r="A521" s="182" t="s">
        <v>1856</v>
      </c>
      <c r="B521" s="182" t="s">
        <v>908</v>
      </c>
      <c r="C521" s="182" t="s">
        <v>909</v>
      </c>
      <c r="D521" s="182" t="s">
        <v>1868</v>
      </c>
      <c r="E521" s="183" t="s">
        <v>1869</v>
      </c>
      <c r="F521" s="183" t="s">
        <v>590</v>
      </c>
      <c r="G521" s="184">
        <v>1</v>
      </c>
      <c r="H521" s="185">
        <v>1E-3</v>
      </c>
      <c r="I521" s="186">
        <v>137000</v>
      </c>
      <c r="J521" s="187">
        <v>137137</v>
      </c>
      <c r="K521" s="182" t="s">
        <v>1859</v>
      </c>
      <c r="L521" s="182">
        <v>5</v>
      </c>
      <c r="M521" s="182" t="s">
        <v>1870</v>
      </c>
      <c r="N521" s="186">
        <v>12</v>
      </c>
      <c r="O521" s="188">
        <v>1</v>
      </c>
      <c r="P521" s="188" t="s">
        <v>573</v>
      </c>
      <c r="Q521" s="188">
        <v>0</v>
      </c>
      <c r="R521" s="189" t="s">
        <v>573</v>
      </c>
      <c r="S521" s="189" t="s">
        <v>573</v>
      </c>
    </row>
    <row r="522" spans="1:19" ht="15" customHeight="1" x14ac:dyDescent="0.3">
      <c r="A522" s="182" t="s">
        <v>1856</v>
      </c>
      <c r="B522" s="182" t="s">
        <v>937</v>
      </c>
      <c r="C522" s="182" t="s">
        <v>938</v>
      </c>
      <c r="D522" s="190" t="s">
        <v>939</v>
      </c>
      <c r="E522" s="183" t="s">
        <v>940</v>
      </c>
      <c r="F522" s="183" t="s">
        <v>941</v>
      </c>
      <c r="G522" s="184">
        <v>0.75</v>
      </c>
      <c r="H522" s="185">
        <v>0</v>
      </c>
      <c r="I522" s="186">
        <v>60860.580776572002</v>
      </c>
      <c r="J522" s="187">
        <v>45645.435582429003</v>
      </c>
      <c r="K522" s="182" t="s">
        <v>1871</v>
      </c>
      <c r="L522" s="182">
        <v>1</v>
      </c>
      <c r="M522" s="182" t="s">
        <v>1872</v>
      </c>
      <c r="N522" s="186">
        <v>12</v>
      </c>
      <c r="O522" s="188">
        <v>6.25E-2</v>
      </c>
      <c r="P522" s="188" t="s">
        <v>573</v>
      </c>
      <c r="Q522" s="188">
        <v>0</v>
      </c>
      <c r="R522" s="189" t="s">
        <v>573</v>
      </c>
      <c r="S522" s="189" t="s">
        <v>573</v>
      </c>
    </row>
    <row r="523" spans="1:19" ht="15" customHeight="1" x14ac:dyDescent="0.3">
      <c r="A523" s="182" t="s">
        <v>1856</v>
      </c>
      <c r="B523" s="182" t="s">
        <v>937</v>
      </c>
      <c r="C523" s="182" t="s">
        <v>938</v>
      </c>
      <c r="D523" s="190" t="s">
        <v>944</v>
      </c>
      <c r="E523" s="183" t="s">
        <v>945</v>
      </c>
      <c r="F523" s="183" t="s">
        <v>941</v>
      </c>
      <c r="G523" s="184">
        <v>1</v>
      </c>
      <c r="H523" s="185">
        <v>0</v>
      </c>
      <c r="I523" s="186">
        <v>85927.097156571996</v>
      </c>
      <c r="J523" s="187">
        <v>85927.097156571996</v>
      </c>
      <c r="K523" s="182" t="s">
        <v>1871</v>
      </c>
      <c r="L523" s="182">
        <v>2</v>
      </c>
      <c r="M523" s="182" t="s">
        <v>1873</v>
      </c>
      <c r="N523" s="186">
        <v>12</v>
      </c>
      <c r="O523" s="188">
        <v>8.3333333333333301E-2</v>
      </c>
      <c r="P523" s="188" t="s">
        <v>573</v>
      </c>
      <c r="Q523" s="188">
        <v>0</v>
      </c>
      <c r="R523" s="189" t="s">
        <v>573</v>
      </c>
      <c r="S523" s="189" t="s">
        <v>573</v>
      </c>
    </row>
    <row r="524" spans="1:19" ht="15" customHeight="1" x14ac:dyDescent="0.3">
      <c r="A524" s="182" t="s">
        <v>1874</v>
      </c>
      <c r="B524" s="182" t="s">
        <v>908</v>
      </c>
      <c r="C524" s="182" t="s">
        <v>909</v>
      </c>
      <c r="D524" s="182" t="s">
        <v>1857</v>
      </c>
      <c r="E524" s="183" t="s">
        <v>1858</v>
      </c>
      <c r="F524" s="183" t="s">
        <v>581</v>
      </c>
      <c r="G524" s="184">
        <v>32</v>
      </c>
      <c r="H524" s="185">
        <v>1E-3</v>
      </c>
      <c r="I524" s="186">
        <v>3148.86</v>
      </c>
      <c r="J524" s="187">
        <v>100864.28352</v>
      </c>
      <c r="K524" s="182" t="s">
        <v>1875</v>
      </c>
      <c r="L524" s="182">
        <v>1</v>
      </c>
      <c r="M524" s="182" t="s">
        <v>1876</v>
      </c>
      <c r="N524" s="186">
        <v>12</v>
      </c>
      <c r="O524" s="188">
        <v>32</v>
      </c>
      <c r="P524" s="188" t="s">
        <v>573</v>
      </c>
      <c r="Q524" s="188">
        <v>0</v>
      </c>
      <c r="R524" s="189" t="s">
        <v>573</v>
      </c>
      <c r="S524" s="189" t="s">
        <v>573</v>
      </c>
    </row>
    <row r="525" spans="1:19" ht="15" customHeight="1" x14ac:dyDescent="0.3">
      <c r="A525" s="182" t="s">
        <v>1874</v>
      </c>
      <c r="B525" s="182" t="s">
        <v>908</v>
      </c>
      <c r="C525" s="182" t="s">
        <v>909</v>
      </c>
      <c r="D525" s="182" t="s">
        <v>1613</v>
      </c>
      <c r="E525" s="183" t="s">
        <v>1614</v>
      </c>
      <c r="F525" s="183" t="s">
        <v>600</v>
      </c>
      <c r="G525" s="184">
        <v>16</v>
      </c>
      <c r="H525" s="185">
        <v>1E-3</v>
      </c>
      <c r="I525" s="186">
        <v>1180.82</v>
      </c>
      <c r="J525" s="187">
        <v>18912.01312</v>
      </c>
      <c r="K525" s="182" t="s">
        <v>1875</v>
      </c>
      <c r="L525" s="182">
        <v>2</v>
      </c>
      <c r="M525" s="182" t="s">
        <v>1877</v>
      </c>
      <c r="N525" s="186">
        <v>12</v>
      </c>
      <c r="O525" s="188">
        <v>16</v>
      </c>
      <c r="P525" s="188" t="s">
        <v>573</v>
      </c>
      <c r="Q525" s="188">
        <v>0</v>
      </c>
      <c r="R525" s="189" t="s">
        <v>573</v>
      </c>
      <c r="S525" s="189" t="s">
        <v>573</v>
      </c>
    </row>
    <row r="526" spans="1:19" ht="15" customHeight="1" x14ac:dyDescent="0.3">
      <c r="A526" s="182" t="s">
        <v>1874</v>
      </c>
      <c r="B526" s="182" t="s">
        <v>908</v>
      </c>
      <c r="C526" s="182" t="s">
        <v>909</v>
      </c>
      <c r="D526" s="182" t="s">
        <v>1878</v>
      </c>
      <c r="E526" s="183" t="s">
        <v>1879</v>
      </c>
      <c r="F526" s="183" t="s">
        <v>595</v>
      </c>
      <c r="G526" s="184">
        <v>6</v>
      </c>
      <c r="H526" s="185">
        <v>1E-3</v>
      </c>
      <c r="I526" s="186">
        <v>27552.55</v>
      </c>
      <c r="J526" s="187">
        <v>165480.6153</v>
      </c>
      <c r="K526" s="182" t="s">
        <v>1875</v>
      </c>
      <c r="L526" s="182">
        <v>3</v>
      </c>
      <c r="M526" s="182" t="s">
        <v>1880</v>
      </c>
      <c r="N526" s="186">
        <v>12</v>
      </c>
      <c r="O526" s="188">
        <v>6</v>
      </c>
      <c r="P526" s="188" t="s">
        <v>573</v>
      </c>
      <c r="Q526" s="188">
        <v>0</v>
      </c>
      <c r="R526" s="189" t="s">
        <v>573</v>
      </c>
      <c r="S526" s="189" t="s">
        <v>573</v>
      </c>
    </row>
    <row r="527" spans="1:19" ht="15" customHeight="1" x14ac:dyDescent="0.3">
      <c r="A527" s="182" t="s">
        <v>1874</v>
      </c>
      <c r="B527" s="182" t="s">
        <v>908</v>
      </c>
      <c r="C527" s="182" t="s">
        <v>909</v>
      </c>
      <c r="D527" s="182" t="s">
        <v>1865</v>
      </c>
      <c r="E527" s="183" t="s">
        <v>1866</v>
      </c>
      <c r="F527" s="183" t="s">
        <v>581</v>
      </c>
      <c r="G527" s="184">
        <v>16</v>
      </c>
      <c r="H527" s="185">
        <v>1E-3</v>
      </c>
      <c r="I527" s="186">
        <v>3936.08</v>
      </c>
      <c r="J527" s="187">
        <v>63040.257279999998</v>
      </c>
      <c r="K527" s="182" t="s">
        <v>1875</v>
      </c>
      <c r="L527" s="182">
        <v>4</v>
      </c>
      <c r="M527" s="182" t="s">
        <v>1881</v>
      </c>
      <c r="N527" s="186">
        <v>12</v>
      </c>
      <c r="O527" s="188">
        <v>16</v>
      </c>
      <c r="P527" s="188" t="s">
        <v>573</v>
      </c>
      <c r="Q527" s="188">
        <v>0</v>
      </c>
      <c r="R527" s="189" t="s">
        <v>573</v>
      </c>
      <c r="S527" s="189" t="s">
        <v>573</v>
      </c>
    </row>
    <row r="528" spans="1:19" ht="15" customHeight="1" x14ac:dyDescent="0.3">
      <c r="A528" s="182" t="s">
        <v>1874</v>
      </c>
      <c r="B528" s="182" t="s">
        <v>908</v>
      </c>
      <c r="C528" s="182" t="s">
        <v>909</v>
      </c>
      <c r="D528" s="182" t="s">
        <v>1868</v>
      </c>
      <c r="E528" s="183" t="s">
        <v>1869</v>
      </c>
      <c r="F528" s="183" t="s">
        <v>590</v>
      </c>
      <c r="G528" s="184">
        <v>1</v>
      </c>
      <c r="H528" s="185">
        <v>0.05</v>
      </c>
      <c r="I528" s="186">
        <v>137000</v>
      </c>
      <c r="J528" s="187">
        <v>143850</v>
      </c>
      <c r="K528" s="182" t="s">
        <v>1875</v>
      </c>
      <c r="L528" s="182">
        <v>5</v>
      </c>
      <c r="M528" s="182" t="s">
        <v>1882</v>
      </c>
      <c r="N528" s="186">
        <v>12</v>
      </c>
      <c r="O528" s="188">
        <v>1</v>
      </c>
      <c r="P528" s="188" t="s">
        <v>573</v>
      </c>
      <c r="Q528" s="188">
        <v>0</v>
      </c>
      <c r="R528" s="189" t="s">
        <v>573</v>
      </c>
      <c r="S528" s="189" t="s">
        <v>573</v>
      </c>
    </row>
    <row r="529" spans="1:19" ht="15" customHeight="1" x14ac:dyDescent="0.3">
      <c r="A529" s="182" t="s">
        <v>1874</v>
      </c>
      <c r="B529" s="182" t="s">
        <v>908</v>
      </c>
      <c r="C529" s="182" t="s">
        <v>909</v>
      </c>
      <c r="D529" s="182" t="s">
        <v>1883</v>
      </c>
      <c r="E529" s="183" t="s">
        <v>1884</v>
      </c>
      <c r="F529" s="183" t="s">
        <v>590</v>
      </c>
      <c r="G529" s="184">
        <v>1</v>
      </c>
      <c r="H529" s="185">
        <v>0.05</v>
      </c>
      <c r="I529" s="186">
        <v>5330</v>
      </c>
      <c r="J529" s="187">
        <v>5596.5</v>
      </c>
      <c r="K529" s="182" t="s">
        <v>1875</v>
      </c>
      <c r="L529" s="182">
        <v>6</v>
      </c>
      <c r="M529" s="182" t="s">
        <v>1885</v>
      </c>
      <c r="N529" s="186">
        <v>12</v>
      </c>
      <c r="O529" s="188">
        <v>1</v>
      </c>
      <c r="P529" s="188" t="s">
        <v>573</v>
      </c>
      <c r="Q529" s="188">
        <v>0</v>
      </c>
      <c r="R529" s="189" t="s">
        <v>573</v>
      </c>
      <c r="S529" s="189" t="s">
        <v>573</v>
      </c>
    </row>
    <row r="530" spans="1:19" ht="15" customHeight="1" x14ac:dyDescent="0.3">
      <c r="A530" s="182" t="s">
        <v>1874</v>
      </c>
      <c r="B530" s="182" t="s">
        <v>937</v>
      </c>
      <c r="C530" s="182" t="s">
        <v>938</v>
      </c>
      <c r="D530" s="190" t="s">
        <v>939</v>
      </c>
      <c r="E530" s="183" t="s">
        <v>940</v>
      </c>
      <c r="F530" s="183" t="s">
        <v>941</v>
      </c>
      <c r="G530" s="184">
        <v>0.75</v>
      </c>
      <c r="H530" s="185">
        <v>0</v>
      </c>
      <c r="I530" s="186">
        <v>60860.580776572002</v>
      </c>
      <c r="J530" s="187">
        <v>45645.435582429003</v>
      </c>
      <c r="K530" s="182" t="s">
        <v>1886</v>
      </c>
      <c r="L530" s="182">
        <v>1</v>
      </c>
      <c r="M530" s="182" t="s">
        <v>1887</v>
      </c>
      <c r="N530" s="186">
        <v>12</v>
      </c>
      <c r="O530" s="188">
        <v>6.25E-2</v>
      </c>
      <c r="P530" s="188" t="s">
        <v>573</v>
      </c>
      <c r="Q530" s="188">
        <v>0</v>
      </c>
      <c r="R530" s="189" t="s">
        <v>573</v>
      </c>
      <c r="S530" s="189" t="s">
        <v>573</v>
      </c>
    </row>
    <row r="531" spans="1:19" ht="15" customHeight="1" x14ac:dyDescent="0.3">
      <c r="A531" s="182" t="s">
        <v>1874</v>
      </c>
      <c r="B531" s="182" t="s">
        <v>937</v>
      </c>
      <c r="C531" s="182" t="s">
        <v>938</v>
      </c>
      <c r="D531" s="190" t="s">
        <v>944</v>
      </c>
      <c r="E531" s="183" t="s">
        <v>945</v>
      </c>
      <c r="F531" s="183" t="s">
        <v>941</v>
      </c>
      <c r="G531" s="184">
        <v>1</v>
      </c>
      <c r="H531" s="185">
        <v>0</v>
      </c>
      <c r="I531" s="186">
        <v>85927.097156571996</v>
      </c>
      <c r="J531" s="187">
        <v>85927.097156571996</v>
      </c>
      <c r="K531" s="182" t="s">
        <v>1886</v>
      </c>
      <c r="L531" s="182">
        <v>2</v>
      </c>
      <c r="M531" s="182" t="s">
        <v>1888</v>
      </c>
      <c r="N531" s="186">
        <v>12</v>
      </c>
      <c r="O531" s="188">
        <v>8.3333333333333301E-2</v>
      </c>
      <c r="P531" s="188" t="s">
        <v>573</v>
      </c>
      <c r="Q531" s="188">
        <v>0</v>
      </c>
      <c r="R531" s="189" t="s">
        <v>573</v>
      </c>
      <c r="S531" s="189" t="s">
        <v>573</v>
      </c>
    </row>
    <row r="532" spans="1:19" ht="15" customHeight="1" x14ac:dyDescent="0.3">
      <c r="A532" s="182" t="s">
        <v>1889</v>
      </c>
      <c r="B532" s="182" t="s">
        <v>563</v>
      </c>
      <c r="C532" s="182"/>
      <c r="D532" s="182" t="s">
        <v>1251</v>
      </c>
      <c r="E532" s="183" t="s">
        <v>1252</v>
      </c>
      <c r="F532" s="183"/>
      <c r="G532" s="184">
        <v>1</v>
      </c>
      <c r="H532" s="185">
        <v>0</v>
      </c>
      <c r="I532" s="186">
        <v>1723.6259595547101</v>
      </c>
      <c r="J532" s="187">
        <v>1723.6259595547101</v>
      </c>
      <c r="K532" s="182" t="s">
        <v>1890</v>
      </c>
      <c r="L532" s="182">
        <v>1</v>
      </c>
      <c r="M532" s="182" t="s">
        <v>1891</v>
      </c>
      <c r="N532" s="186">
        <v>20</v>
      </c>
      <c r="O532" s="188">
        <v>1</v>
      </c>
      <c r="P532" s="188" t="s">
        <v>573</v>
      </c>
      <c r="Q532" s="188">
        <v>0</v>
      </c>
      <c r="R532" s="189" t="s">
        <v>573</v>
      </c>
      <c r="S532" s="189" t="s">
        <v>573</v>
      </c>
    </row>
    <row r="533" spans="1:19" ht="15" customHeight="1" x14ac:dyDescent="0.3">
      <c r="A533" s="182" t="s">
        <v>1889</v>
      </c>
      <c r="B533" s="182" t="s">
        <v>563</v>
      </c>
      <c r="C533" s="182"/>
      <c r="D533" s="182" t="s">
        <v>1255</v>
      </c>
      <c r="E533" s="183" t="s">
        <v>1256</v>
      </c>
      <c r="F533" s="183"/>
      <c r="G533" s="184">
        <v>1</v>
      </c>
      <c r="H533" s="185">
        <v>0</v>
      </c>
      <c r="I533" s="186">
        <v>200.25307946474501</v>
      </c>
      <c r="J533" s="187">
        <v>200.25307946474501</v>
      </c>
      <c r="K533" s="182" t="s">
        <v>1890</v>
      </c>
      <c r="L533" s="182">
        <v>2</v>
      </c>
      <c r="M533" s="182" t="s">
        <v>1892</v>
      </c>
      <c r="N533" s="186">
        <v>20</v>
      </c>
      <c r="O533" s="188">
        <v>1</v>
      </c>
      <c r="P533" s="188" t="s">
        <v>573</v>
      </c>
      <c r="Q533" s="188">
        <v>0</v>
      </c>
      <c r="R533" s="189" t="s">
        <v>573</v>
      </c>
      <c r="S533" s="189" t="s">
        <v>573</v>
      </c>
    </row>
    <row r="534" spans="1:19" ht="15" customHeight="1" x14ac:dyDescent="0.3">
      <c r="A534" s="182" t="s">
        <v>1889</v>
      </c>
      <c r="B534" s="182" t="s">
        <v>908</v>
      </c>
      <c r="C534" s="182" t="s">
        <v>909</v>
      </c>
      <c r="D534" s="182" t="s">
        <v>1258</v>
      </c>
      <c r="E534" s="183" t="s">
        <v>1259</v>
      </c>
      <c r="F534" s="183" t="s">
        <v>912</v>
      </c>
      <c r="G534" s="184">
        <v>4.0000000000000001E-3</v>
      </c>
      <c r="H534" s="185">
        <v>0.05</v>
      </c>
      <c r="I534" s="186">
        <v>30467.49</v>
      </c>
      <c r="J534" s="187">
        <v>127.963458</v>
      </c>
      <c r="K534" s="182" t="s">
        <v>1893</v>
      </c>
      <c r="L534" s="182">
        <v>1</v>
      </c>
      <c r="M534" s="182" t="s">
        <v>1894</v>
      </c>
      <c r="N534" s="186">
        <v>20</v>
      </c>
      <c r="O534" s="188">
        <v>4.0000000000000001E-3</v>
      </c>
      <c r="P534" s="188" t="s">
        <v>573</v>
      </c>
      <c r="Q534" s="188">
        <v>0</v>
      </c>
      <c r="R534" s="189" t="s">
        <v>573</v>
      </c>
      <c r="S534" s="189" t="s">
        <v>573</v>
      </c>
    </row>
    <row r="535" spans="1:19" ht="15" customHeight="1" x14ac:dyDescent="0.3">
      <c r="A535" s="182" t="s">
        <v>1889</v>
      </c>
      <c r="B535" s="182" t="s">
        <v>908</v>
      </c>
      <c r="C535" s="182" t="s">
        <v>909</v>
      </c>
      <c r="D535" s="182" t="s">
        <v>1262</v>
      </c>
      <c r="E535" s="183" t="s">
        <v>1263</v>
      </c>
      <c r="F535" s="183" t="s">
        <v>600</v>
      </c>
      <c r="G535" s="184">
        <v>1.4999999999999999E-2</v>
      </c>
      <c r="H535" s="185">
        <v>0.05</v>
      </c>
      <c r="I535" s="186">
        <v>5661.4</v>
      </c>
      <c r="J535" s="187">
        <v>89.167050000000003</v>
      </c>
      <c r="K535" s="182" t="s">
        <v>1893</v>
      </c>
      <c r="L535" s="182">
        <v>2</v>
      </c>
      <c r="M535" s="182" t="s">
        <v>1895</v>
      </c>
      <c r="N535" s="186">
        <v>20</v>
      </c>
      <c r="O535" s="188">
        <v>1.4999999999999999E-2</v>
      </c>
      <c r="P535" s="188" t="s">
        <v>573</v>
      </c>
      <c r="Q535" s="188">
        <v>0</v>
      </c>
      <c r="R535" s="189" t="s">
        <v>573</v>
      </c>
      <c r="S535" s="189" t="s">
        <v>573</v>
      </c>
    </row>
    <row r="536" spans="1:19" ht="15" customHeight="1" x14ac:dyDescent="0.3">
      <c r="A536" s="182" t="s">
        <v>1889</v>
      </c>
      <c r="B536" s="182" t="s">
        <v>908</v>
      </c>
      <c r="C536" s="182" t="s">
        <v>909</v>
      </c>
      <c r="D536" s="182" t="s">
        <v>1265</v>
      </c>
      <c r="E536" s="183" t="s">
        <v>1266</v>
      </c>
      <c r="F536" s="183" t="s">
        <v>600</v>
      </c>
      <c r="G536" s="184">
        <v>0.05</v>
      </c>
      <c r="H536" s="185">
        <v>0.1</v>
      </c>
      <c r="I536" s="186">
        <v>3293.01</v>
      </c>
      <c r="J536" s="187">
        <v>181.11555000000001</v>
      </c>
      <c r="K536" s="182" t="s">
        <v>1893</v>
      </c>
      <c r="L536" s="182">
        <v>3</v>
      </c>
      <c r="M536" s="182" t="s">
        <v>1896</v>
      </c>
      <c r="N536" s="186">
        <v>20</v>
      </c>
      <c r="O536" s="188">
        <v>0.05</v>
      </c>
      <c r="P536" s="188" t="s">
        <v>573</v>
      </c>
      <c r="Q536" s="188">
        <v>0</v>
      </c>
      <c r="R536" s="189" t="s">
        <v>573</v>
      </c>
      <c r="S536" s="189" t="s">
        <v>573</v>
      </c>
    </row>
    <row r="537" spans="1:19" ht="15" customHeight="1" x14ac:dyDescent="0.3">
      <c r="A537" s="182" t="s">
        <v>1889</v>
      </c>
      <c r="B537" s="182" t="s">
        <v>908</v>
      </c>
      <c r="C537" s="182" t="s">
        <v>909</v>
      </c>
      <c r="D537" s="182" t="s">
        <v>915</v>
      </c>
      <c r="E537" s="183" t="s">
        <v>916</v>
      </c>
      <c r="F537" s="183" t="s">
        <v>600</v>
      </c>
      <c r="G537" s="184">
        <v>0.03</v>
      </c>
      <c r="H537" s="185">
        <v>0.05</v>
      </c>
      <c r="I537" s="186">
        <v>735.06</v>
      </c>
      <c r="J537" s="187">
        <v>23.154389999999999</v>
      </c>
      <c r="K537" s="182" t="s">
        <v>1893</v>
      </c>
      <c r="L537" s="182">
        <v>4</v>
      </c>
      <c r="M537" s="182" t="s">
        <v>1897</v>
      </c>
      <c r="N537" s="186">
        <v>20</v>
      </c>
      <c r="O537" s="188">
        <v>0.03</v>
      </c>
      <c r="P537" s="188" t="s">
        <v>573</v>
      </c>
      <c r="Q537" s="188">
        <v>0</v>
      </c>
      <c r="R537" s="189" t="s">
        <v>573</v>
      </c>
      <c r="S537" s="189" t="s">
        <v>573</v>
      </c>
    </row>
    <row r="538" spans="1:19" ht="15" customHeight="1" x14ac:dyDescent="0.3">
      <c r="A538" s="182" t="s">
        <v>1889</v>
      </c>
      <c r="B538" s="182" t="s">
        <v>908</v>
      </c>
      <c r="C538" s="182" t="s">
        <v>909</v>
      </c>
      <c r="D538" s="182" t="s">
        <v>1898</v>
      </c>
      <c r="E538" s="183" t="s">
        <v>1899</v>
      </c>
      <c r="F538" s="183" t="s">
        <v>600</v>
      </c>
      <c r="G538" s="184">
        <v>5.0000000000000001E-3</v>
      </c>
      <c r="H538" s="185">
        <v>0.05</v>
      </c>
      <c r="I538" s="186">
        <v>6678.36</v>
      </c>
      <c r="J538" s="187">
        <v>35.061390000000003</v>
      </c>
      <c r="K538" s="182" t="s">
        <v>1893</v>
      </c>
      <c r="L538" s="182">
        <v>5</v>
      </c>
      <c r="M538" s="182" t="s">
        <v>1900</v>
      </c>
      <c r="N538" s="186">
        <v>20</v>
      </c>
      <c r="O538" s="188">
        <v>5.0000000000000001E-3</v>
      </c>
      <c r="P538" s="188" t="s">
        <v>573</v>
      </c>
      <c r="Q538" s="188">
        <v>0</v>
      </c>
      <c r="R538" s="189" t="s">
        <v>573</v>
      </c>
      <c r="S538" s="189" t="s">
        <v>573</v>
      </c>
    </row>
    <row r="539" spans="1:19" ht="15" customHeight="1" x14ac:dyDescent="0.3">
      <c r="A539" s="182" t="s">
        <v>1889</v>
      </c>
      <c r="B539" s="182" t="s">
        <v>908</v>
      </c>
      <c r="C539" s="182" t="s">
        <v>909</v>
      </c>
      <c r="D539" s="182" t="s">
        <v>921</v>
      </c>
      <c r="E539" s="183" t="s">
        <v>922</v>
      </c>
      <c r="F539" s="183" t="s">
        <v>600</v>
      </c>
      <c r="G539" s="184">
        <v>5.0000000000000001E-3</v>
      </c>
      <c r="H539" s="185">
        <v>0.05</v>
      </c>
      <c r="I539" s="186">
        <v>5282.24</v>
      </c>
      <c r="J539" s="187">
        <v>27.731760000000001</v>
      </c>
      <c r="K539" s="182" t="s">
        <v>1893</v>
      </c>
      <c r="L539" s="182">
        <v>6</v>
      </c>
      <c r="M539" s="182" t="s">
        <v>1901</v>
      </c>
      <c r="N539" s="186">
        <v>20</v>
      </c>
      <c r="O539" s="188">
        <v>5.0000000000000001E-3</v>
      </c>
      <c r="P539" s="188" t="s">
        <v>573</v>
      </c>
      <c r="Q539" s="188">
        <v>0</v>
      </c>
      <c r="R539" s="189" t="s">
        <v>573</v>
      </c>
      <c r="S539" s="189" t="s">
        <v>573</v>
      </c>
    </row>
    <row r="540" spans="1:19" ht="15" customHeight="1" x14ac:dyDescent="0.3">
      <c r="A540" s="182" t="s">
        <v>1889</v>
      </c>
      <c r="B540" s="182" t="s">
        <v>908</v>
      </c>
      <c r="C540" s="182" t="s">
        <v>909</v>
      </c>
      <c r="D540" s="182" t="s">
        <v>1271</v>
      </c>
      <c r="E540" s="183" t="s">
        <v>1272</v>
      </c>
      <c r="F540" s="183" t="s">
        <v>600</v>
      </c>
      <c r="G540" s="184">
        <v>0.01</v>
      </c>
      <c r="H540" s="185">
        <v>0.05</v>
      </c>
      <c r="I540" s="186">
        <v>7427.6</v>
      </c>
      <c r="J540" s="187">
        <v>77.989800000000002</v>
      </c>
      <c r="K540" s="182" t="s">
        <v>1893</v>
      </c>
      <c r="L540" s="182">
        <v>7</v>
      </c>
      <c r="M540" s="182" t="s">
        <v>1902</v>
      </c>
      <c r="N540" s="186">
        <v>20</v>
      </c>
      <c r="O540" s="188">
        <v>0.01</v>
      </c>
      <c r="P540" s="188" t="s">
        <v>573</v>
      </c>
      <c r="Q540" s="188">
        <v>0</v>
      </c>
      <c r="R540" s="189" t="s">
        <v>573</v>
      </c>
      <c r="S540" s="189" t="s">
        <v>573</v>
      </c>
    </row>
    <row r="541" spans="1:19" ht="15" customHeight="1" x14ac:dyDescent="0.3">
      <c r="A541" s="182" t="s">
        <v>1889</v>
      </c>
      <c r="B541" s="182" t="s">
        <v>908</v>
      </c>
      <c r="C541" s="182" t="s">
        <v>909</v>
      </c>
      <c r="D541" s="182" t="s">
        <v>1274</v>
      </c>
      <c r="E541" s="183" t="s">
        <v>1275</v>
      </c>
      <c r="F541" s="183" t="s">
        <v>884</v>
      </c>
      <c r="G541" s="184">
        <v>1.2500000000000001E-2</v>
      </c>
      <c r="H541" s="185">
        <v>0.1</v>
      </c>
      <c r="I541" s="186">
        <v>120622.23</v>
      </c>
      <c r="J541" s="187">
        <v>1658.5556624999999</v>
      </c>
      <c r="K541" s="182" t="s">
        <v>1893</v>
      </c>
      <c r="L541" s="182">
        <v>8</v>
      </c>
      <c r="M541" s="182" t="s">
        <v>1903</v>
      </c>
      <c r="N541" s="186">
        <v>20</v>
      </c>
      <c r="O541" s="188">
        <v>1.2500000000000001E-2</v>
      </c>
      <c r="P541" s="188" t="s">
        <v>573</v>
      </c>
      <c r="Q541" s="188">
        <v>0</v>
      </c>
      <c r="R541" s="189" t="s">
        <v>573</v>
      </c>
      <c r="S541" s="189" t="s">
        <v>573</v>
      </c>
    </row>
    <row r="542" spans="1:19" ht="15" customHeight="1" x14ac:dyDescent="0.3">
      <c r="A542" s="182" t="s">
        <v>1889</v>
      </c>
      <c r="B542" s="182" t="s">
        <v>908</v>
      </c>
      <c r="C542" s="182" t="s">
        <v>909</v>
      </c>
      <c r="D542" s="182" t="s">
        <v>1904</v>
      </c>
      <c r="E542" s="183" t="s">
        <v>1905</v>
      </c>
      <c r="F542" s="183" t="s">
        <v>884</v>
      </c>
      <c r="G542" s="184">
        <v>2E-3</v>
      </c>
      <c r="H542" s="185">
        <v>0.1</v>
      </c>
      <c r="I542" s="186">
        <v>18735.77</v>
      </c>
      <c r="J542" s="187">
        <v>41.218693999999999</v>
      </c>
      <c r="K542" s="182" t="s">
        <v>1893</v>
      </c>
      <c r="L542" s="182">
        <v>9</v>
      </c>
      <c r="M542" s="182" t="s">
        <v>1906</v>
      </c>
      <c r="N542" s="186">
        <v>20</v>
      </c>
      <c r="O542" s="188">
        <v>2E-3</v>
      </c>
      <c r="P542" s="188" t="s">
        <v>573</v>
      </c>
      <c r="Q542" s="188">
        <v>0</v>
      </c>
      <c r="R542" s="189" t="s">
        <v>573</v>
      </c>
      <c r="S542" s="189" t="s">
        <v>573</v>
      </c>
    </row>
    <row r="543" spans="1:19" ht="15" customHeight="1" x14ac:dyDescent="0.3">
      <c r="A543" s="182" t="s">
        <v>1889</v>
      </c>
      <c r="B543" s="182" t="s">
        <v>908</v>
      </c>
      <c r="C543" s="182" t="s">
        <v>909</v>
      </c>
      <c r="D543" s="182" t="s">
        <v>1907</v>
      </c>
      <c r="E543" s="183" t="s">
        <v>1908</v>
      </c>
      <c r="F543" s="183" t="s">
        <v>912</v>
      </c>
      <c r="G543" s="184">
        <v>1E-3</v>
      </c>
      <c r="H543" s="185">
        <v>0.05</v>
      </c>
      <c r="I543" s="186">
        <v>9639</v>
      </c>
      <c r="J543" s="187">
        <v>10.120950000000001</v>
      </c>
      <c r="K543" s="182" t="s">
        <v>1893</v>
      </c>
      <c r="L543" s="182">
        <v>10</v>
      </c>
      <c r="M543" s="182" t="s">
        <v>1909</v>
      </c>
      <c r="N543" s="186">
        <v>20</v>
      </c>
      <c r="O543" s="188">
        <v>1E-3</v>
      </c>
      <c r="P543" s="188" t="s">
        <v>573</v>
      </c>
      <c r="Q543" s="188">
        <v>0</v>
      </c>
      <c r="R543" s="189" t="s">
        <v>573</v>
      </c>
      <c r="S543" s="189" t="s">
        <v>573</v>
      </c>
    </row>
    <row r="544" spans="1:19" ht="15" customHeight="1" x14ac:dyDescent="0.3">
      <c r="A544" s="182" t="s">
        <v>1889</v>
      </c>
      <c r="B544" s="182" t="s">
        <v>937</v>
      </c>
      <c r="C544" s="182" t="s">
        <v>938</v>
      </c>
      <c r="D544" s="190" t="s">
        <v>944</v>
      </c>
      <c r="E544" s="183" t="s">
        <v>945</v>
      </c>
      <c r="F544" s="183" t="s">
        <v>941</v>
      </c>
      <c r="G544" s="184">
        <v>1</v>
      </c>
      <c r="H544" s="185">
        <v>0</v>
      </c>
      <c r="I544" s="186">
        <v>85927.097156571996</v>
      </c>
      <c r="J544" s="187">
        <v>85927.097156571996</v>
      </c>
      <c r="K544" s="182" t="s">
        <v>1910</v>
      </c>
      <c r="L544" s="182">
        <v>1</v>
      </c>
      <c r="M544" s="182" t="s">
        <v>1911</v>
      </c>
      <c r="N544" s="186">
        <v>20</v>
      </c>
      <c r="O544" s="188">
        <v>0.05</v>
      </c>
      <c r="P544" s="188" t="s">
        <v>573</v>
      </c>
      <c r="Q544" s="188">
        <v>0</v>
      </c>
      <c r="R544" s="189" t="s">
        <v>573</v>
      </c>
      <c r="S544" s="189" t="s">
        <v>573</v>
      </c>
    </row>
    <row r="545" spans="1:19" ht="15" customHeight="1" x14ac:dyDescent="0.3">
      <c r="A545" s="182" t="s">
        <v>1912</v>
      </c>
      <c r="B545" s="182" t="s">
        <v>563</v>
      </c>
      <c r="C545" s="182"/>
      <c r="D545" s="182" t="s">
        <v>1251</v>
      </c>
      <c r="E545" s="183" t="s">
        <v>1252</v>
      </c>
      <c r="F545" s="183"/>
      <c r="G545" s="184">
        <v>2</v>
      </c>
      <c r="H545" s="185">
        <v>0</v>
      </c>
      <c r="I545" s="186">
        <v>1723.6259595547101</v>
      </c>
      <c r="J545" s="187">
        <v>3447.2519191094202</v>
      </c>
      <c r="K545" s="182" t="s">
        <v>1913</v>
      </c>
      <c r="L545" s="182">
        <v>1</v>
      </c>
      <c r="M545" s="182" t="s">
        <v>1914</v>
      </c>
      <c r="N545" s="186">
        <v>22</v>
      </c>
      <c r="O545" s="188">
        <v>2</v>
      </c>
      <c r="P545" s="188" t="s">
        <v>573</v>
      </c>
      <c r="Q545" s="188">
        <v>0</v>
      </c>
      <c r="R545" s="189" t="s">
        <v>573</v>
      </c>
      <c r="S545" s="189" t="s">
        <v>573</v>
      </c>
    </row>
    <row r="546" spans="1:19" ht="15" customHeight="1" x14ac:dyDescent="0.3">
      <c r="A546" s="182" t="s">
        <v>1912</v>
      </c>
      <c r="B546" s="182" t="s">
        <v>563</v>
      </c>
      <c r="C546" s="182"/>
      <c r="D546" s="182" t="s">
        <v>1255</v>
      </c>
      <c r="E546" s="183" t="s">
        <v>1256</v>
      </c>
      <c r="F546" s="183"/>
      <c r="G546" s="184">
        <v>2</v>
      </c>
      <c r="H546" s="185">
        <v>0</v>
      </c>
      <c r="I546" s="186">
        <v>200.25307946474501</v>
      </c>
      <c r="J546" s="187">
        <v>400.50615892949003</v>
      </c>
      <c r="K546" s="182" t="s">
        <v>1913</v>
      </c>
      <c r="L546" s="182">
        <v>2</v>
      </c>
      <c r="M546" s="182" t="s">
        <v>1915</v>
      </c>
      <c r="N546" s="186">
        <v>22</v>
      </c>
      <c r="O546" s="188">
        <v>2</v>
      </c>
      <c r="P546" s="188" t="s">
        <v>573</v>
      </c>
      <c r="Q546" s="188">
        <v>0</v>
      </c>
      <c r="R546" s="189" t="s">
        <v>573</v>
      </c>
      <c r="S546" s="189" t="s">
        <v>573</v>
      </c>
    </row>
    <row r="547" spans="1:19" ht="15" customHeight="1" x14ac:dyDescent="0.3">
      <c r="A547" s="182" t="s">
        <v>1912</v>
      </c>
      <c r="B547" s="182" t="s">
        <v>908</v>
      </c>
      <c r="C547" s="182" t="s">
        <v>909</v>
      </c>
      <c r="D547" s="182" t="s">
        <v>1258</v>
      </c>
      <c r="E547" s="183" t="s">
        <v>1259</v>
      </c>
      <c r="F547" s="183" t="s">
        <v>912</v>
      </c>
      <c r="G547" s="184">
        <v>4.0000000000000001E-3</v>
      </c>
      <c r="H547" s="185">
        <v>0.05</v>
      </c>
      <c r="I547" s="186">
        <v>30467.49</v>
      </c>
      <c r="J547" s="187">
        <v>127.963458</v>
      </c>
      <c r="K547" s="182" t="s">
        <v>1916</v>
      </c>
      <c r="L547" s="182">
        <v>1</v>
      </c>
      <c r="M547" s="182" t="s">
        <v>1917</v>
      </c>
      <c r="N547" s="186">
        <v>22</v>
      </c>
      <c r="O547" s="188">
        <v>4.0000000000000001E-3</v>
      </c>
      <c r="P547" s="188" t="s">
        <v>573</v>
      </c>
      <c r="Q547" s="188">
        <v>0</v>
      </c>
      <c r="R547" s="189" t="s">
        <v>573</v>
      </c>
      <c r="S547" s="189" t="s">
        <v>573</v>
      </c>
    </row>
    <row r="548" spans="1:19" ht="15" customHeight="1" x14ac:dyDescent="0.3">
      <c r="A548" s="182" t="s">
        <v>1912</v>
      </c>
      <c r="B548" s="182" t="s">
        <v>908</v>
      </c>
      <c r="C548" s="182" t="s">
        <v>909</v>
      </c>
      <c r="D548" s="182" t="s">
        <v>1262</v>
      </c>
      <c r="E548" s="183" t="s">
        <v>1263</v>
      </c>
      <c r="F548" s="183" t="s">
        <v>600</v>
      </c>
      <c r="G548" s="184">
        <v>2.5000000000000001E-2</v>
      </c>
      <c r="H548" s="185">
        <v>0.05</v>
      </c>
      <c r="I548" s="186">
        <v>5661.4</v>
      </c>
      <c r="J548" s="187">
        <v>148.61175</v>
      </c>
      <c r="K548" s="182" t="s">
        <v>1916</v>
      </c>
      <c r="L548" s="182">
        <v>2</v>
      </c>
      <c r="M548" s="182" t="s">
        <v>1918</v>
      </c>
      <c r="N548" s="186">
        <v>22</v>
      </c>
      <c r="O548" s="188">
        <v>2.5000000000000001E-2</v>
      </c>
      <c r="P548" s="188" t="s">
        <v>573</v>
      </c>
      <c r="Q548" s="188">
        <v>0</v>
      </c>
      <c r="R548" s="189" t="s">
        <v>573</v>
      </c>
      <c r="S548" s="189" t="s">
        <v>573</v>
      </c>
    </row>
    <row r="549" spans="1:19" ht="15" customHeight="1" x14ac:dyDescent="0.3">
      <c r="A549" s="182" t="s">
        <v>1912</v>
      </c>
      <c r="B549" s="182" t="s">
        <v>908</v>
      </c>
      <c r="C549" s="182" t="s">
        <v>909</v>
      </c>
      <c r="D549" s="182" t="s">
        <v>1265</v>
      </c>
      <c r="E549" s="183" t="s">
        <v>1266</v>
      </c>
      <c r="F549" s="183" t="s">
        <v>600</v>
      </c>
      <c r="G549" s="184">
        <v>0.05</v>
      </c>
      <c r="H549" s="185">
        <v>0.1</v>
      </c>
      <c r="I549" s="186">
        <v>3293.01</v>
      </c>
      <c r="J549" s="187">
        <v>181.11555000000001</v>
      </c>
      <c r="K549" s="182" t="s">
        <v>1916</v>
      </c>
      <c r="L549" s="182">
        <v>3</v>
      </c>
      <c r="M549" s="182" t="s">
        <v>1919</v>
      </c>
      <c r="N549" s="186">
        <v>22</v>
      </c>
      <c r="O549" s="188">
        <v>0.05</v>
      </c>
      <c r="P549" s="188" t="s">
        <v>573</v>
      </c>
      <c r="Q549" s="188">
        <v>0</v>
      </c>
      <c r="R549" s="189" t="s">
        <v>573</v>
      </c>
      <c r="S549" s="189" t="s">
        <v>573</v>
      </c>
    </row>
    <row r="550" spans="1:19" ht="15" customHeight="1" x14ac:dyDescent="0.3">
      <c r="A550" s="182" t="s">
        <v>1912</v>
      </c>
      <c r="B550" s="182" t="s">
        <v>908</v>
      </c>
      <c r="C550" s="182" t="s">
        <v>909</v>
      </c>
      <c r="D550" s="182" t="s">
        <v>915</v>
      </c>
      <c r="E550" s="183" t="s">
        <v>916</v>
      </c>
      <c r="F550" s="183" t="s">
        <v>600</v>
      </c>
      <c r="G550" s="184">
        <v>0.03</v>
      </c>
      <c r="H550" s="185">
        <v>0.05</v>
      </c>
      <c r="I550" s="186">
        <v>735.06</v>
      </c>
      <c r="J550" s="187">
        <v>23.154389999999999</v>
      </c>
      <c r="K550" s="182" t="s">
        <v>1916</v>
      </c>
      <c r="L550" s="182">
        <v>4</v>
      </c>
      <c r="M550" s="182" t="s">
        <v>1920</v>
      </c>
      <c r="N550" s="186">
        <v>22</v>
      </c>
      <c r="O550" s="188">
        <v>0.03</v>
      </c>
      <c r="P550" s="188" t="s">
        <v>573</v>
      </c>
      <c r="Q550" s="188">
        <v>0</v>
      </c>
      <c r="R550" s="189" t="s">
        <v>573</v>
      </c>
      <c r="S550" s="189" t="s">
        <v>573</v>
      </c>
    </row>
    <row r="551" spans="1:19" ht="15" customHeight="1" x14ac:dyDescent="0.3">
      <c r="A551" s="182" t="s">
        <v>1912</v>
      </c>
      <c r="B551" s="182" t="s">
        <v>908</v>
      </c>
      <c r="C551" s="182" t="s">
        <v>909</v>
      </c>
      <c r="D551" s="182" t="s">
        <v>1898</v>
      </c>
      <c r="E551" s="183" t="s">
        <v>1899</v>
      </c>
      <c r="F551" s="183" t="s">
        <v>600</v>
      </c>
      <c r="G551" s="184">
        <v>5.0000000000000001E-3</v>
      </c>
      <c r="H551" s="185">
        <v>0.05</v>
      </c>
      <c r="I551" s="186">
        <v>6678.36</v>
      </c>
      <c r="J551" s="187">
        <v>35.061390000000003</v>
      </c>
      <c r="K551" s="182" t="s">
        <v>1916</v>
      </c>
      <c r="L551" s="182">
        <v>5</v>
      </c>
      <c r="M551" s="182" t="s">
        <v>1921</v>
      </c>
      <c r="N551" s="186">
        <v>22</v>
      </c>
      <c r="O551" s="188">
        <v>5.0000000000000001E-3</v>
      </c>
      <c r="P551" s="188" t="s">
        <v>573</v>
      </c>
      <c r="Q551" s="188">
        <v>0</v>
      </c>
      <c r="R551" s="189" t="s">
        <v>573</v>
      </c>
      <c r="S551" s="189" t="s">
        <v>573</v>
      </c>
    </row>
    <row r="552" spans="1:19" ht="15" customHeight="1" x14ac:dyDescent="0.3">
      <c r="A552" s="182" t="s">
        <v>1912</v>
      </c>
      <c r="B552" s="182" t="s">
        <v>908</v>
      </c>
      <c r="C552" s="182" t="s">
        <v>909</v>
      </c>
      <c r="D552" s="182" t="s">
        <v>921</v>
      </c>
      <c r="E552" s="183" t="s">
        <v>922</v>
      </c>
      <c r="F552" s="183" t="s">
        <v>600</v>
      </c>
      <c r="G552" s="184">
        <v>5.0000000000000001E-3</v>
      </c>
      <c r="H552" s="185">
        <v>0.05</v>
      </c>
      <c r="I552" s="186">
        <v>5282.24</v>
      </c>
      <c r="J552" s="187">
        <v>27.731760000000001</v>
      </c>
      <c r="K552" s="182" t="s">
        <v>1916</v>
      </c>
      <c r="L552" s="182">
        <v>6</v>
      </c>
      <c r="M552" s="182" t="s">
        <v>1922</v>
      </c>
      <c r="N552" s="186">
        <v>22</v>
      </c>
      <c r="O552" s="188">
        <v>5.0000000000000001E-3</v>
      </c>
      <c r="P552" s="188" t="s">
        <v>573</v>
      </c>
      <c r="Q552" s="188">
        <v>0</v>
      </c>
      <c r="R552" s="189" t="s">
        <v>573</v>
      </c>
      <c r="S552" s="189" t="s">
        <v>573</v>
      </c>
    </row>
    <row r="553" spans="1:19" ht="15" customHeight="1" x14ac:dyDescent="0.3">
      <c r="A553" s="182" t="s">
        <v>1912</v>
      </c>
      <c r="B553" s="182" t="s">
        <v>908</v>
      </c>
      <c r="C553" s="182" t="s">
        <v>909</v>
      </c>
      <c r="D553" s="182" t="s">
        <v>1271</v>
      </c>
      <c r="E553" s="183" t="s">
        <v>1272</v>
      </c>
      <c r="F553" s="183" t="s">
        <v>600</v>
      </c>
      <c r="G553" s="184">
        <v>0.01</v>
      </c>
      <c r="H553" s="185">
        <v>0.05</v>
      </c>
      <c r="I553" s="186">
        <v>7427.6</v>
      </c>
      <c r="J553" s="187">
        <v>77.989800000000002</v>
      </c>
      <c r="K553" s="182" t="s">
        <v>1916</v>
      </c>
      <c r="L553" s="182">
        <v>7</v>
      </c>
      <c r="M553" s="182" t="s">
        <v>1923</v>
      </c>
      <c r="N553" s="186">
        <v>22</v>
      </c>
      <c r="O553" s="188">
        <v>0.01</v>
      </c>
      <c r="P553" s="188" t="s">
        <v>573</v>
      </c>
      <c r="Q553" s="188">
        <v>0</v>
      </c>
      <c r="R553" s="189" t="s">
        <v>573</v>
      </c>
      <c r="S553" s="189" t="s">
        <v>573</v>
      </c>
    </row>
    <row r="554" spans="1:19" ht="15" customHeight="1" x14ac:dyDescent="0.3">
      <c r="A554" s="182" t="s">
        <v>1912</v>
      </c>
      <c r="B554" s="182" t="s">
        <v>908</v>
      </c>
      <c r="C554" s="182" t="s">
        <v>909</v>
      </c>
      <c r="D554" s="182" t="s">
        <v>1274</v>
      </c>
      <c r="E554" s="183" t="s">
        <v>1275</v>
      </c>
      <c r="F554" s="183" t="s">
        <v>884</v>
      </c>
      <c r="G554" s="184">
        <v>1.2500000000000001E-2</v>
      </c>
      <c r="H554" s="185">
        <v>0.1</v>
      </c>
      <c r="I554" s="186">
        <v>120622.23</v>
      </c>
      <c r="J554" s="187">
        <v>1658.5556624999999</v>
      </c>
      <c r="K554" s="182" t="s">
        <v>1916</v>
      </c>
      <c r="L554" s="182">
        <v>8</v>
      </c>
      <c r="M554" s="182" t="s">
        <v>1924</v>
      </c>
      <c r="N554" s="186">
        <v>22</v>
      </c>
      <c r="O554" s="188">
        <v>1.2500000000000001E-2</v>
      </c>
      <c r="P554" s="188" t="s">
        <v>573</v>
      </c>
      <c r="Q554" s="188">
        <v>0</v>
      </c>
      <c r="R554" s="189" t="s">
        <v>573</v>
      </c>
      <c r="S554" s="189" t="s">
        <v>573</v>
      </c>
    </row>
    <row r="555" spans="1:19" ht="15" customHeight="1" x14ac:dyDescent="0.3">
      <c r="A555" s="182" t="s">
        <v>1912</v>
      </c>
      <c r="B555" s="182" t="s">
        <v>908</v>
      </c>
      <c r="C555" s="182" t="s">
        <v>909</v>
      </c>
      <c r="D555" s="182" t="s">
        <v>1904</v>
      </c>
      <c r="E555" s="183" t="s">
        <v>1905</v>
      </c>
      <c r="F555" s="183" t="s">
        <v>884</v>
      </c>
      <c r="G555" s="184">
        <v>0.03</v>
      </c>
      <c r="H555" s="185">
        <v>0.1</v>
      </c>
      <c r="I555" s="186">
        <v>18735.77</v>
      </c>
      <c r="J555" s="187">
        <v>618.28040999999996</v>
      </c>
      <c r="K555" s="182" t="s">
        <v>1916</v>
      </c>
      <c r="L555" s="182">
        <v>9</v>
      </c>
      <c r="M555" s="182" t="s">
        <v>1925</v>
      </c>
      <c r="N555" s="186">
        <v>22</v>
      </c>
      <c r="O555" s="188">
        <v>0.03</v>
      </c>
      <c r="P555" s="188" t="s">
        <v>573</v>
      </c>
      <c r="Q555" s="188">
        <v>0</v>
      </c>
      <c r="R555" s="189" t="s">
        <v>573</v>
      </c>
      <c r="S555" s="189" t="s">
        <v>573</v>
      </c>
    </row>
    <row r="556" spans="1:19" ht="15" customHeight="1" x14ac:dyDescent="0.3">
      <c r="A556" s="182" t="s">
        <v>1912</v>
      </c>
      <c r="B556" s="182" t="s">
        <v>908</v>
      </c>
      <c r="C556" s="182" t="s">
        <v>909</v>
      </c>
      <c r="D556" s="182" t="s">
        <v>1907</v>
      </c>
      <c r="E556" s="183" t="s">
        <v>1908</v>
      </c>
      <c r="F556" s="183" t="s">
        <v>912</v>
      </c>
      <c r="G556" s="184">
        <v>2.5000000000000001E-3</v>
      </c>
      <c r="H556" s="185">
        <v>0.05</v>
      </c>
      <c r="I556" s="186">
        <v>9639</v>
      </c>
      <c r="J556" s="187">
        <v>25.302375000000001</v>
      </c>
      <c r="K556" s="182" t="s">
        <v>1916</v>
      </c>
      <c r="L556" s="182">
        <v>10</v>
      </c>
      <c r="M556" s="182" t="s">
        <v>1926</v>
      </c>
      <c r="N556" s="186">
        <v>22</v>
      </c>
      <c r="O556" s="188">
        <v>2.5000000000000001E-3</v>
      </c>
      <c r="P556" s="188" t="s">
        <v>573</v>
      </c>
      <c r="Q556" s="188">
        <v>0</v>
      </c>
      <c r="R556" s="189" t="s">
        <v>573</v>
      </c>
      <c r="S556" s="189" t="s">
        <v>573</v>
      </c>
    </row>
    <row r="557" spans="1:19" ht="15" customHeight="1" x14ac:dyDescent="0.3">
      <c r="A557" s="182" t="s">
        <v>1912</v>
      </c>
      <c r="B557" s="182" t="s">
        <v>937</v>
      </c>
      <c r="C557" s="182" t="s">
        <v>938</v>
      </c>
      <c r="D557" s="190" t="s">
        <v>1291</v>
      </c>
      <c r="E557" s="183" t="s">
        <v>1292</v>
      </c>
      <c r="F557" s="183" t="s">
        <v>941</v>
      </c>
      <c r="G557" s="184">
        <v>1.25</v>
      </c>
      <c r="H557" s="185">
        <v>0</v>
      </c>
      <c r="I557" s="186">
        <v>65493.071636572</v>
      </c>
      <c r="J557" s="187">
        <v>81866.339545715004</v>
      </c>
      <c r="K557" s="182" t="s">
        <v>1927</v>
      </c>
      <c r="L557" s="182">
        <v>1</v>
      </c>
      <c r="M557" s="182" t="s">
        <v>1928</v>
      </c>
      <c r="N557" s="186">
        <v>22</v>
      </c>
      <c r="O557" s="188">
        <v>5.6818181818181802E-2</v>
      </c>
      <c r="P557" s="188" t="s">
        <v>573</v>
      </c>
      <c r="Q557" s="188">
        <v>0</v>
      </c>
      <c r="R557" s="189" t="s">
        <v>573</v>
      </c>
      <c r="S557" s="189" t="s">
        <v>573</v>
      </c>
    </row>
    <row r="558" spans="1:19" ht="15" customHeight="1" x14ac:dyDescent="0.3">
      <c r="A558" s="182" t="s">
        <v>1912</v>
      </c>
      <c r="B558" s="182" t="s">
        <v>937</v>
      </c>
      <c r="C558" s="182" t="s">
        <v>938</v>
      </c>
      <c r="D558" s="190" t="s">
        <v>944</v>
      </c>
      <c r="E558" s="183" t="s">
        <v>945</v>
      </c>
      <c r="F558" s="183" t="s">
        <v>941</v>
      </c>
      <c r="G558" s="184">
        <v>1</v>
      </c>
      <c r="H558" s="185">
        <v>0</v>
      </c>
      <c r="I558" s="186">
        <v>85927.097156571996</v>
      </c>
      <c r="J558" s="187">
        <v>85927.097156571996</v>
      </c>
      <c r="K558" s="182" t="s">
        <v>1927</v>
      </c>
      <c r="L558" s="182">
        <v>2</v>
      </c>
      <c r="M558" s="182" t="s">
        <v>1929</v>
      </c>
      <c r="N558" s="186">
        <v>22</v>
      </c>
      <c r="O558" s="188">
        <v>4.5454545454545497E-2</v>
      </c>
      <c r="P558" s="188" t="s">
        <v>573</v>
      </c>
      <c r="Q558" s="188">
        <v>0</v>
      </c>
      <c r="R558" s="189" t="s">
        <v>573</v>
      </c>
      <c r="S558" s="189" t="s">
        <v>573</v>
      </c>
    </row>
    <row r="559" spans="1:19" ht="15" customHeight="1" x14ac:dyDescent="0.3">
      <c r="A559" s="182" t="s">
        <v>1930</v>
      </c>
      <c r="B559" s="182" t="s">
        <v>563</v>
      </c>
      <c r="C559" s="182"/>
      <c r="D559" s="182" t="s">
        <v>948</v>
      </c>
      <c r="E559" s="183" t="s">
        <v>949</v>
      </c>
      <c r="F559" s="183"/>
      <c r="G559" s="184">
        <v>1</v>
      </c>
      <c r="H559" s="185">
        <v>0</v>
      </c>
      <c r="I559" s="186">
        <v>571.17949098076099</v>
      </c>
      <c r="J559" s="187">
        <v>571.17949098076099</v>
      </c>
      <c r="K559" s="182" t="s">
        <v>1931</v>
      </c>
      <c r="L559" s="182">
        <v>1</v>
      </c>
      <c r="M559" s="182" t="s">
        <v>1932</v>
      </c>
      <c r="N559" s="186">
        <v>17.5</v>
      </c>
      <c r="O559" s="188">
        <v>1</v>
      </c>
      <c r="P559" s="188" t="s">
        <v>573</v>
      </c>
      <c r="Q559" s="188">
        <v>0</v>
      </c>
      <c r="R559" s="189" t="s">
        <v>573</v>
      </c>
      <c r="S559" s="189" t="s">
        <v>573</v>
      </c>
    </row>
    <row r="560" spans="1:19" ht="15" customHeight="1" x14ac:dyDescent="0.3">
      <c r="A560" s="182" t="s">
        <v>1930</v>
      </c>
      <c r="B560" s="182" t="s">
        <v>563</v>
      </c>
      <c r="C560" s="182"/>
      <c r="D560" s="182" t="s">
        <v>1251</v>
      </c>
      <c r="E560" s="183" t="s">
        <v>1252</v>
      </c>
      <c r="F560" s="183"/>
      <c r="G560" s="184">
        <v>2</v>
      </c>
      <c r="H560" s="185">
        <v>0</v>
      </c>
      <c r="I560" s="186">
        <v>1723.6259595547101</v>
      </c>
      <c r="J560" s="187">
        <v>3447.2519191094202</v>
      </c>
      <c r="K560" s="182" t="s">
        <v>1931</v>
      </c>
      <c r="L560" s="182">
        <v>2</v>
      </c>
      <c r="M560" s="182" t="s">
        <v>1933</v>
      </c>
      <c r="N560" s="186">
        <v>17.5</v>
      </c>
      <c r="O560" s="188">
        <v>2</v>
      </c>
      <c r="P560" s="188" t="s">
        <v>573</v>
      </c>
      <c r="Q560" s="188">
        <v>0</v>
      </c>
      <c r="R560" s="189" t="s">
        <v>573</v>
      </c>
      <c r="S560" s="189" t="s">
        <v>573</v>
      </c>
    </row>
    <row r="561" spans="1:19" ht="15" customHeight="1" x14ac:dyDescent="0.3">
      <c r="A561" s="182" t="s">
        <v>1930</v>
      </c>
      <c r="B561" s="182" t="s">
        <v>563</v>
      </c>
      <c r="C561" s="182"/>
      <c r="D561" s="182" t="s">
        <v>1255</v>
      </c>
      <c r="E561" s="183" t="s">
        <v>1256</v>
      </c>
      <c r="F561" s="183"/>
      <c r="G561" s="184">
        <v>1</v>
      </c>
      <c r="H561" s="185">
        <v>0</v>
      </c>
      <c r="I561" s="186">
        <v>200.25307946474501</v>
      </c>
      <c r="J561" s="187">
        <v>200.25307946474501</v>
      </c>
      <c r="K561" s="182" t="s">
        <v>1931</v>
      </c>
      <c r="L561" s="182">
        <v>3</v>
      </c>
      <c r="M561" s="182" t="s">
        <v>1934</v>
      </c>
      <c r="N561" s="186">
        <v>17.5</v>
      </c>
      <c r="O561" s="188">
        <v>1</v>
      </c>
      <c r="P561" s="188" t="s">
        <v>573</v>
      </c>
      <c r="Q561" s="188">
        <v>0</v>
      </c>
      <c r="R561" s="189" t="s">
        <v>573</v>
      </c>
      <c r="S561" s="189" t="s">
        <v>573</v>
      </c>
    </row>
    <row r="562" spans="1:19" ht="15" customHeight="1" x14ac:dyDescent="0.3">
      <c r="A562" s="182" t="s">
        <v>1930</v>
      </c>
      <c r="B562" s="182" t="s">
        <v>908</v>
      </c>
      <c r="C562" s="182" t="s">
        <v>909</v>
      </c>
      <c r="D562" s="182" t="s">
        <v>1258</v>
      </c>
      <c r="E562" s="183" t="s">
        <v>1259</v>
      </c>
      <c r="F562" s="183" t="s">
        <v>912</v>
      </c>
      <c r="G562" s="184">
        <v>4.0000000000000001E-3</v>
      </c>
      <c r="H562" s="185">
        <v>0.05</v>
      </c>
      <c r="I562" s="186">
        <v>30467.49</v>
      </c>
      <c r="J562" s="187">
        <v>127.963458</v>
      </c>
      <c r="K562" s="182" t="s">
        <v>1935</v>
      </c>
      <c r="L562" s="182">
        <v>1</v>
      </c>
      <c r="M562" s="182" t="s">
        <v>1936</v>
      </c>
      <c r="N562" s="186">
        <v>17.5</v>
      </c>
      <c r="O562" s="188">
        <v>4.0000000000000001E-3</v>
      </c>
      <c r="P562" s="188" t="s">
        <v>573</v>
      </c>
      <c r="Q562" s="188">
        <v>0</v>
      </c>
      <c r="R562" s="189" t="s">
        <v>573</v>
      </c>
      <c r="S562" s="189" t="s">
        <v>573</v>
      </c>
    </row>
    <row r="563" spans="1:19" ht="15" customHeight="1" x14ac:dyDescent="0.3">
      <c r="A563" s="182" t="s">
        <v>1930</v>
      </c>
      <c r="B563" s="182" t="s">
        <v>908</v>
      </c>
      <c r="C563" s="182" t="s">
        <v>909</v>
      </c>
      <c r="D563" s="182" t="s">
        <v>1262</v>
      </c>
      <c r="E563" s="183" t="s">
        <v>1263</v>
      </c>
      <c r="F563" s="183" t="s">
        <v>600</v>
      </c>
      <c r="G563" s="184">
        <v>2.5000000000000001E-2</v>
      </c>
      <c r="H563" s="185">
        <v>0.05</v>
      </c>
      <c r="I563" s="186">
        <v>5661.4</v>
      </c>
      <c r="J563" s="187">
        <v>148.61175</v>
      </c>
      <c r="K563" s="182" t="s">
        <v>1935</v>
      </c>
      <c r="L563" s="182">
        <v>2</v>
      </c>
      <c r="M563" s="182" t="s">
        <v>1937</v>
      </c>
      <c r="N563" s="186">
        <v>17.5</v>
      </c>
      <c r="O563" s="188">
        <v>2.5000000000000001E-2</v>
      </c>
      <c r="P563" s="188" t="s">
        <v>573</v>
      </c>
      <c r="Q563" s="188">
        <v>0</v>
      </c>
      <c r="R563" s="189" t="s">
        <v>573</v>
      </c>
      <c r="S563" s="189" t="s">
        <v>573</v>
      </c>
    </row>
    <row r="564" spans="1:19" ht="15" customHeight="1" x14ac:dyDescent="0.3">
      <c r="A564" s="182" t="s">
        <v>1930</v>
      </c>
      <c r="B564" s="182" t="s">
        <v>908</v>
      </c>
      <c r="C564" s="182" t="s">
        <v>909</v>
      </c>
      <c r="D564" s="182" t="s">
        <v>1265</v>
      </c>
      <c r="E564" s="183" t="s">
        <v>1266</v>
      </c>
      <c r="F564" s="183" t="s">
        <v>600</v>
      </c>
      <c r="G564" s="184">
        <v>0.05</v>
      </c>
      <c r="H564" s="185">
        <v>0.1</v>
      </c>
      <c r="I564" s="186">
        <v>3293.01</v>
      </c>
      <c r="J564" s="187">
        <v>181.11555000000001</v>
      </c>
      <c r="K564" s="182" t="s">
        <v>1935</v>
      </c>
      <c r="L564" s="182">
        <v>3</v>
      </c>
      <c r="M564" s="182" t="s">
        <v>1938</v>
      </c>
      <c r="N564" s="186">
        <v>17.5</v>
      </c>
      <c r="O564" s="188">
        <v>0.05</v>
      </c>
      <c r="P564" s="188" t="s">
        <v>573</v>
      </c>
      <c r="Q564" s="188">
        <v>0</v>
      </c>
      <c r="R564" s="189" t="s">
        <v>573</v>
      </c>
      <c r="S564" s="189" t="s">
        <v>573</v>
      </c>
    </row>
    <row r="565" spans="1:19" ht="15" customHeight="1" x14ac:dyDescent="0.3">
      <c r="A565" s="182" t="s">
        <v>1930</v>
      </c>
      <c r="B565" s="182" t="s">
        <v>908</v>
      </c>
      <c r="C565" s="182" t="s">
        <v>909</v>
      </c>
      <c r="D565" s="182" t="s">
        <v>915</v>
      </c>
      <c r="E565" s="183" t="s">
        <v>916</v>
      </c>
      <c r="F565" s="183" t="s">
        <v>600</v>
      </c>
      <c r="G565" s="184">
        <v>0.03</v>
      </c>
      <c r="H565" s="185">
        <v>0.05</v>
      </c>
      <c r="I565" s="186">
        <v>735.06</v>
      </c>
      <c r="J565" s="187">
        <v>23.154389999999999</v>
      </c>
      <c r="K565" s="182" t="s">
        <v>1935</v>
      </c>
      <c r="L565" s="182">
        <v>4</v>
      </c>
      <c r="M565" s="182" t="s">
        <v>1939</v>
      </c>
      <c r="N565" s="186">
        <v>17.5</v>
      </c>
      <c r="O565" s="188">
        <v>0.03</v>
      </c>
      <c r="P565" s="188" t="s">
        <v>573</v>
      </c>
      <c r="Q565" s="188">
        <v>0</v>
      </c>
      <c r="R565" s="189" t="s">
        <v>573</v>
      </c>
      <c r="S565" s="189" t="s">
        <v>573</v>
      </c>
    </row>
    <row r="566" spans="1:19" ht="15" customHeight="1" x14ac:dyDescent="0.3">
      <c r="A566" s="182" t="s">
        <v>1930</v>
      </c>
      <c r="B566" s="182" t="s">
        <v>908</v>
      </c>
      <c r="C566" s="182" t="s">
        <v>909</v>
      </c>
      <c r="D566" s="182" t="s">
        <v>1898</v>
      </c>
      <c r="E566" s="183" t="s">
        <v>1899</v>
      </c>
      <c r="F566" s="183" t="s">
        <v>600</v>
      </c>
      <c r="G566" s="184">
        <v>5.0000000000000001E-3</v>
      </c>
      <c r="H566" s="185">
        <v>0.05</v>
      </c>
      <c r="I566" s="186">
        <v>6678.36</v>
      </c>
      <c r="J566" s="187">
        <v>35.061390000000003</v>
      </c>
      <c r="K566" s="182" t="s">
        <v>1935</v>
      </c>
      <c r="L566" s="182">
        <v>5</v>
      </c>
      <c r="M566" s="182" t="s">
        <v>1940</v>
      </c>
      <c r="N566" s="186">
        <v>17.5</v>
      </c>
      <c r="O566" s="188">
        <v>5.0000000000000001E-3</v>
      </c>
      <c r="P566" s="188" t="s">
        <v>573</v>
      </c>
      <c r="Q566" s="188">
        <v>0</v>
      </c>
      <c r="R566" s="189" t="s">
        <v>573</v>
      </c>
      <c r="S566" s="189" t="s">
        <v>573</v>
      </c>
    </row>
    <row r="567" spans="1:19" ht="15" customHeight="1" x14ac:dyDescent="0.3">
      <c r="A567" s="182" t="s">
        <v>1930</v>
      </c>
      <c r="B567" s="182" t="s">
        <v>908</v>
      </c>
      <c r="C567" s="182" t="s">
        <v>909</v>
      </c>
      <c r="D567" s="182" t="s">
        <v>921</v>
      </c>
      <c r="E567" s="183" t="s">
        <v>922</v>
      </c>
      <c r="F567" s="183" t="s">
        <v>600</v>
      </c>
      <c r="G567" s="184">
        <v>5.0000000000000001E-3</v>
      </c>
      <c r="H567" s="185">
        <v>0.05</v>
      </c>
      <c r="I567" s="186">
        <v>5282.24</v>
      </c>
      <c r="J567" s="187">
        <v>27.731760000000001</v>
      </c>
      <c r="K567" s="182" t="s">
        <v>1935</v>
      </c>
      <c r="L567" s="182">
        <v>6</v>
      </c>
      <c r="M567" s="182" t="s">
        <v>1941</v>
      </c>
      <c r="N567" s="186">
        <v>17.5</v>
      </c>
      <c r="O567" s="188">
        <v>5.0000000000000001E-3</v>
      </c>
      <c r="P567" s="188" t="s">
        <v>573</v>
      </c>
      <c r="Q567" s="188">
        <v>0</v>
      </c>
      <c r="R567" s="189" t="s">
        <v>573</v>
      </c>
      <c r="S567" s="189" t="s">
        <v>573</v>
      </c>
    </row>
    <row r="568" spans="1:19" ht="15" customHeight="1" x14ac:dyDescent="0.3">
      <c r="A568" s="182" t="s">
        <v>1930</v>
      </c>
      <c r="B568" s="182" t="s">
        <v>908</v>
      </c>
      <c r="C568" s="182" t="s">
        <v>909</v>
      </c>
      <c r="D568" s="182" t="s">
        <v>1271</v>
      </c>
      <c r="E568" s="183" t="s">
        <v>1272</v>
      </c>
      <c r="F568" s="183" t="s">
        <v>600</v>
      </c>
      <c r="G568" s="184">
        <v>0.01</v>
      </c>
      <c r="H568" s="185">
        <v>0.05</v>
      </c>
      <c r="I568" s="186">
        <v>7427.6</v>
      </c>
      <c r="J568" s="187">
        <v>77.989800000000002</v>
      </c>
      <c r="K568" s="182" t="s">
        <v>1935</v>
      </c>
      <c r="L568" s="182">
        <v>7</v>
      </c>
      <c r="M568" s="182" t="s">
        <v>1942</v>
      </c>
      <c r="N568" s="186">
        <v>17.5</v>
      </c>
      <c r="O568" s="188">
        <v>0.01</v>
      </c>
      <c r="P568" s="188" t="s">
        <v>573</v>
      </c>
      <c r="Q568" s="188">
        <v>0</v>
      </c>
      <c r="R568" s="189" t="s">
        <v>573</v>
      </c>
      <c r="S568" s="189" t="s">
        <v>573</v>
      </c>
    </row>
    <row r="569" spans="1:19" ht="15" customHeight="1" x14ac:dyDescent="0.3">
      <c r="A569" s="182" t="s">
        <v>1930</v>
      </c>
      <c r="B569" s="182" t="s">
        <v>908</v>
      </c>
      <c r="C569" s="182" t="s">
        <v>909</v>
      </c>
      <c r="D569" s="182" t="s">
        <v>1274</v>
      </c>
      <c r="E569" s="183" t="s">
        <v>1275</v>
      </c>
      <c r="F569" s="183" t="s">
        <v>884</v>
      </c>
      <c r="G569" s="184">
        <v>1.2500000000000001E-2</v>
      </c>
      <c r="H569" s="185">
        <v>0.1</v>
      </c>
      <c r="I569" s="186">
        <v>120622.23</v>
      </c>
      <c r="J569" s="187">
        <v>1658.5556624999999</v>
      </c>
      <c r="K569" s="182" t="s">
        <v>1935</v>
      </c>
      <c r="L569" s="182">
        <v>8</v>
      </c>
      <c r="M569" s="182" t="s">
        <v>1943</v>
      </c>
      <c r="N569" s="186">
        <v>17.5</v>
      </c>
      <c r="O569" s="188">
        <v>1.2500000000000001E-2</v>
      </c>
      <c r="P569" s="188" t="s">
        <v>573</v>
      </c>
      <c r="Q569" s="188">
        <v>0</v>
      </c>
      <c r="R569" s="189" t="s">
        <v>573</v>
      </c>
      <c r="S569" s="189" t="s">
        <v>573</v>
      </c>
    </row>
    <row r="570" spans="1:19" ht="15" customHeight="1" x14ac:dyDescent="0.3">
      <c r="A570" s="182" t="s">
        <v>1930</v>
      </c>
      <c r="B570" s="182" t="s">
        <v>908</v>
      </c>
      <c r="C570" s="182" t="s">
        <v>909</v>
      </c>
      <c r="D570" s="182" t="s">
        <v>1904</v>
      </c>
      <c r="E570" s="183" t="s">
        <v>1905</v>
      </c>
      <c r="F570" s="183" t="s">
        <v>884</v>
      </c>
      <c r="G570" s="184">
        <v>0.03</v>
      </c>
      <c r="H570" s="185">
        <v>0.1</v>
      </c>
      <c r="I570" s="186">
        <v>18735.77</v>
      </c>
      <c r="J570" s="187">
        <v>618.28040999999996</v>
      </c>
      <c r="K570" s="182" t="s">
        <v>1935</v>
      </c>
      <c r="L570" s="182">
        <v>9</v>
      </c>
      <c r="M570" s="182" t="s">
        <v>1944</v>
      </c>
      <c r="N570" s="186">
        <v>17.5</v>
      </c>
      <c r="O570" s="188">
        <v>0.03</v>
      </c>
      <c r="P570" s="188" t="s">
        <v>573</v>
      </c>
      <c r="Q570" s="188">
        <v>0</v>
      </c>
      <c r="R570" s="189" t="s">
        <v>573</v>
      </c>
      <c r="S570" s="189" t="s">
        <v>573</v>
      </c>
    </row>
    <row r="571" spans="1:19" ht="15" customHeight="1" x14ac:dyDescent="0.3">
      <c r="A571" s="182" t="s">
        <v>1930</v>
      </c>
      <c r="B571" s="182" t="s">
        <v>908</v>
      </c>
      <c r="C571" s="182" t="s">
        <v>909</v>
      </c>
      <c r="D571" s="182" t="s">
        <v>1907</v>
      </c>
      <c r="E571" s="183" t="s">
        <v>1908</v>
      </c>
      <c r="F571" s="183" t="s">
        <v>912</v>
      </c>
      <c r="G571" s="184">
        <v>2.5000000000000001E-3</v>
      </c>
      <c r="H571" s="185">
        <v>0.05</v>
      </c>
      <c r="I571" s="186">
        <v>9639</v>
      </c>
      <c r="J571" s="187">
        <v>25.302375000000001</v>
      </c>
      <c r="K571" s="182" t="s">
        <v>1935</v>
      </c>
      <c r="L571" s="182">
        <v>10</v>
      </c>
      <c r="M571" s="182" t="s">
        <v>1945</v>
      </c>
      <c r="N571" s="186">
        <v>17.5</v>
      </c>
      <c r="O571" s="188">
        <v>2.5000000000000001E-3</v>
      </c>
      <c r="P571" s="188" t="s">
        <v>573</v>
      </c>
      <c r="Q571" s="188">
        <v>0</v>
      </c>
      <c r="R571" s="189" t="s">
        <v>573</v>
      </c>
      <c r="S571" s="189" t="s">
        <v>573</v>
      </c>
    </row>
    <row r="572" spans="1:19" ht="15" customHeight="1" x14ac:dyDescent="0.3">
      <c r="A572" s="182" t="s">
        <v>1930</v>
      </c>
      <c r="B572" s="182" t="s">
        <v>937</v>
      </c>
      <c r="C572" s="182" t="s">
        <v>938</v>
      </c>
      <c r="D572" s="190" t="s">
        <v>1291</v>
      </c>
      <c r="E572" s="183" t="s">
        <v>1292</v>
      </c>
      <c r="F572" s="183" t="s">
        <v>941</v>
      </c>
      <c r="G572" s="184">
        <v>1</v>
      </c>
      <c r="H572" s="185">
        <v>0</v>
      </c>
      <c r="I572" s="186">
        <v>65493.071636572</v>
      </c>
      <c r="J572" s="187">
        <v>65493.071636572</v>
      </c>
      <c r="K572" s="182" t="s">
        <v>1946</v>
      </c>
      <c r="L572" s="182">
        <v>1</v>
      </c>
      <c r="M572" s="182" t="s">
        <v>1947</v>
      </c>
      <c r="N572" s="186">
        <v>17.5</v>
      </c>
      <c r="O572" s="188">
        <v>5.7142857142857099E-2</v>
      </c>
      <c r="P572" s="188" t="s">
        <v>573</v>
      </c>
      <c r="Q572" s="188">
        <v>0</v>
      </c>
      <c r="R572" s="189" t="s">
        <v>573</v>
      </c>
      <c r="S572" s="189" t="s">
        <v>573</v>
      </c>
    </row>
    <row r="573" spans="1:19" ht="15" customHeight="1" x14ac:dyDescent="0.3">
      <c r="A573" s="182" t="s">
        <v>1930</v>
      </c>
      <c r="B573" s="182" t="s">
        <v>937</v>
      </c>
      <c r="C573" s="182" t="s">
        <v>938</v>
      </c>
      <c r="D573" s="190" t="s">
        <v>944</v>
      </c>
      <c r="E573" s="183" t="s">
        <v>945</v>
      </c>
      <c r="F573" s="183" t="s">
        <v>941</v>
      </c>
      <c r="G573" s="184">
        <v>1</v>
      </c>
      <c r="H573" s="185">
        <v>0</v>
      </c>
      <c r="I573" s="186">
        <v>85927.097156571996</v>
      </c>
      <c r="J573" s="187">
        <v>85927.097156571996</v>
      </c>
      <c r="K573" s="182" t="s">
        <v>1946</v>
      </c>
      <c r="L573" s="182">
        <v>2</v>
      </c>
      <c r="M573" s="182" t="s">
        <v>1948</v>
      </c>
      <c r="N573" s="186">
        <v>17.5</v>
      </c>
      <c r="O573" s="188">
        <v>5.7142857142857099E-2</v>
      </c>
      <c r="P573" s="188" t="s">
        <v>573</v>
      </c>
      <c r="Q573" s="188">
        <v>0</v>
      </c>
      <c r="R573" s="189" t="s">
        <v>573</v>
      </c>
      <c r="S573" s="189" t="s">
        <v>573</v>
      </c>
    </row>
    <row r="574" spans="1:19" ht="15" customHeight="1" x14ac:dyDescent="0.3">
      <c r="A574" s="182" t="s">
        <v>1949</v>
      </c>
      <c r="B574" s="182" t="s">
        <v>563</v>
      </c>
      <c r="C574" s="182"/>
      <c r="D574" s="182" t="s">
        <v>1251</v>
      </c>
      <c r="E574" s="183" t="s">
        <v>1252</v>
      </c>
      <c r="F574" s="183"/>
      <c r="G574" s="184">
        <v>1</v>
      </c>
      <c r="H574" s="185">
        <v>0</v>
      </c>
      <c r="I574" s="186">
        <v>1723.6259595547101</v>
      </c>
      <c r="J574" s="187">
        <v>1723.6259595547101</v>
      </c>
      <c r="K574" s="182" t="s">
        <v>1950</v>
      </c>
      <c r="L574" s="182">
        <v>1</v>
      </c>
      <c r="M574" s="182" t="s">
        <v>1951</v>
      </c>
      <c r="N574" s="186">
        <v>15.5</v>
      </c>
      <c r="O574" s="188">
        <v>1</v>
      </c>
      <c r="P574" s="188" t="s">
        <v>573</v>
      </c>
      <c r="Q574" s="188">
        <v>0</v>
      </c>
      <c r="R574" s="189" t="s">
        <v>573</v>
      </c>
      <c r="S574" s="189" t="s">
        <v>573</v>
      </c>
    </row>
    <row r="575" spans="1:19" ht="15" customHeight="1" x14ac:dyDescent="0.3">
      <c r="A575" s="182" t="s">
        <v>1949</v>
      </c>
      <c r="B575" s="182" t="s">
        <v>563</v>
      </c>
      <c r="C575" s="182"/>
      <c r="D575" s="182" t="s">
        <v>1255</v>
      </c>
      <c r="E575" s="183" t="s">
        <v>1256</v>
      </c>
      <c r="F575" s="183"/>
      <c r="G575" s="184">
        <v>1</v>
      </c>
      <c r="H575" s="185">
        <v>0</v>
      </c>
      <c r="I575" s="186">
        <v>200.25307946474501</v>
      </c>
      <c r="J575" s="187">
        <v>200.25307946474501</v>
      </c>
      <c r="K575" s="182" t="s">
        <v>1950</v>
      </c>
      <c r="L575" s="182">
        <v>2</v>
      </c>
      <c r="M575" s="182" t="s">
        <v>1952</v>
      </c>
      <c r="N575" s="186">
        <v>15.5</v>
      </c>
      <c r="O575" s="188">
        <v>1</v>
      </c>
      <c r="P575" s="188" t="s">
        <v>573</v>
      </c>
      <c r="Q575" s="188">
        <v>0</v>
      </c>
      <c r="R575" s="189" t="s">
        <v>573</v>
      </c>
      <c r="S575" s="189" t="s">
        <v>573</v>
      </c>
    </row>
    <row r="576" spans="1:19" ht="15" customHeight="1" x14ac:dyDescent="0.3">
      <c r="A576" s="182" t="s">
        <v>1949</v>
      </c>
      <c r="B576" s="182" t="s">
        <v>908</v>
      </c>
      <c r="C576" s="182" t="s">
        <v>909</v>
      </c>
      <c r="D576" s="182" t="s">
        <v>1258</v>
      </c>
      <c r="E576" s="183" t="s">
        <v>1259</v>
      </c>
      <c r="F576" s="183" t="s">
        <v>912</v>
      </c>
      <c r="G576" s="184">
        <v>4.0000000000000001E-3</v>
      </c>
      <c r="H576" s="185">
        <v>0.05</v>
      </c>
      <c r="I576" s="186">
        <v>30467.49</v>
      </c>
      <c r="J576" s="187">
        <v>127.963458</v>
      </c>
      <c r="K576" s="182" t="s">
        <v>1953</v>
      </c>
      <c r="L576" s="182">
        <v>1</v>
      </c>
      <c r="M576" s="182" t="s">
        <v>1954</v>
      </c>
      <c r="N576" s="186">
        <v>15.5</v>
      </c>
      <c r="O576" s="188">
        <v>4.0000000000000001E-3</v>
      </c>
      <c r="P576" s="188" t="s">
        <v>573</v>
      </c>
      <c r="Q576" s="188">
        <v>0</v>
      </c>
      <c r="R576" s="189" t="s">
        <v>573</v>
      </c>
      <c r="S576" s="189" t="s">
        <v>573</v>
      </c>
    </row>
    <row r="577" spans="1:19" ht="15" customHeight="1" x14ac:dyDescent="0.3">
      <c r="A577" s="182" t="s">
        <v>1949</v>
      </c>
      <c r="B577" s="182" t="s">
        <v>908</v>
      </c>
      <c r="C577" s="182" t="s">
        <v>909</v>
      </c>
      <c r="D577" s="182" t="s">
        <v>1262</v>
      </c>
      <c r="E577" s="183" t="s">
        <v>1263</v>
      </c>
      <c r="F577" s="183" t="s">
        <v>600</v>
      </c>
      <c r="G577" s="184">
        <v>0.01</v>
      </c>
      <c r="H577" s="185">
        <v>0.05</v>
      </c>
      <c r="I577" s="186">
        <v>5661.4</v>
      </c>
      <c r="J577" s="187">
        <v>59.444699999999997</v>
      </c>
      <c r="K577" s="182" t="s">
        <v>1953</v>
      </c>
      <c r="L577" s="182">
        <v>2</v>
      </c>
      <c r="M577" s="182" t="s">
        <v>1955</v>
      </c>
      <c r="N577" s="186">
        <v>15.5</v>
      </c>
      <c r="O577" s="188">
        <v>0.01</v>
      </c>
      <c r="P577" s="188" t="s">
        <v>573</v>
      </c>
      <c r="Q577" s="188">
        <v>0</v>
      </c>
      <c r="R577" s="189" t="s">
        <v>573</v>
      </c>
      <c r="S577" s="189" t="s">
        <v>573</v>
      </c>
    </row>
    <row r="578" spans="1:19" ht="15" customHeight="1" x14ac:dyDescent="0.3">
      <c r="A578" s="182" t="s">
        <v>1949</v>
      </c>
      <c r="B578" s="182" t="s">
        <v>908</v>
      </c>
      <c r="C578" s="182" t="s">
        <v>909</v>
      </c>
      <c r="D578" s="182" t="s">
        <v>1265</v>
      </c>
      <c r="E578" s="183" t="s">
        <v>1266</v>
      </c>
      <c r="F578" s="183" t="s">
        <v>600</v>
      </c>
      <c r="G578" s="184">
        <v>0.01</v>
      </c>
      <c r="H578" s="185">
        <v>0.1</v>
      </c>
      <c r="I578" s="186">
        <v>3293.01</v>
      </c>
      <c r="J578" s="187">
        <v>36.223109999999998</v>
      </c>
      <c r="K578" s="182" t="s">
        <v>1953</v>
      </c>
      <c r="L578" s="182">
        <v>3</v>
      </c>
      <c r="M578" s="182" t="s">
        <v>1956</v>
      </c>
      <c r="N578" s="186">
        <v>15.5</v>
      </c>
      <c r="O578" s="188">
        <v>0.01</v>
      </c>
      <c r="P578" s="188" t="s">
        <v>573</v>
      </c>
      <c r="Q578" s="188">
        <v>0</v>
      </c>
      <c r="R578" s="189" t="s">
        <v>573</v>
      </c>
      <c r="S578" s="189" t="s">
        <v>573</v>
      </c>
    </row>
    <row r="579" spans="1:19" ht="15" customHeight="1" x14ac:dyDescent="0.3">
      <c r="A579" s="182" t="s">
        <v>1949</v>
      </c>
      <c r="B579" s="182" t="s">
        <v>908</v>
      </c>
      <c r="C579" s="182" t="s">
        <v>909</v>
      </c>
      <c r="D579" s="182" t="s">
        <v>915</v>
      </c>
      <c r="E579" s="183" t="s">
        <v>916</v>
      </c>
      <c r="F579" s="183" t="s">
        <v>600</v>
      </c>
      <c r="G579" s="184">
        <v>0.01</v>
      </c>
      <c r="H579" s="185">
        <v>0.05</v>
      </c>
      <c r="I579" s="186">
        <v>735.06</v>
      </c>
      <c r="J579" s="187">
        <v>7.7181300000000004</v>
      </c>
      <c r="K579" s="182" t="s">
        <v>1953</v>
      </c>
      <c r="L579" s="182">
        <v>4</v>
      </c>
      <c r="M579" s="182" t="s">
        <v>1957</v>
      </c>
      <c r="N579" s="186">
        <v>15.5</v>
      </c>
      <c r="O579" s="188">
        <v>0.01</v>
      </c>
      <c r="P579" s="188" t="s">
        <v>573</v>
      </c>
      <c r="Q579" s="188">
        <v>0</v>
      </c>
      <c r="R579" s="189" t="s">
        <v>573</v>
      </c>
      <c r="S579" s="189" t="s">
        <v>573</v>
      </c>
    </row>
    <row r="580" spans="1:19" ht="15" customHeight="1" x14ac:dyDescent="0.3">
      <c r="A580" s="182" t="s">
        <v>1949</v>
      </c>
      <c r="B580" s="182" t="s">
        <v>908</v>
      </c>
      <c r="C580" s="182" t="s">
        <v>909</v>
      </c>
      <c r="D580" s="182" t="s">
        <v>918</v>
      </c>
      <c r="E580" s="183" t="s">
        <v>919</v>
      </c>
      <c r="F580" s="183" t="s">
        <v>600</v>
      </c>
      <c r="G580" s="184">
        <v>5.0000000000000001E-3</v>
      </c>
      <c r="H580" s="185">
        <v>0.05</v>
      </c>
      <c r="I580" s="186">
        <v>6678.36</v>
      </c>
      <c r="J580" s="187">
        <v>35.061390000000003</v>
      </c>
      <c r="K580" s="182" t="s">
        <v>1953</v>
      </c>
      <c r="L580" s="182">
        <v>5</v>
      </c>
      <c r="M580" s="182" t="s">
        <v>1958</v>
      </c>
      <c r="N580" s="186">
        <v>15.5</v>
      </c>
      <c r="O580" s="188">
        <v>5.0000000000000001E-3</v>
      </c>
      <c r="P580" s="188" t="s">
        <v>573</v>
      </c>
      <c r="Q580" s="188">
        <v>0</v>
      </c>
      <c r="R580" s="189" t="s">
        <v>573</v>
      </c>
      <c r="S580" s="189" t="s">
        <v>573</v>
      </c>
    </row>
    <row r="581" spans="1:19" ht="15" customHeight="1" x14ac:dyDescent="0.3">
      <c r="A581" s="182" t="s">
        <v>1949</v>
      </c>
      <c r="B581" s="182" t="s">
        <v>908</v>
      </c>
      <c r="C581" s="182" t="s">
        <v>909</v>
      </c>
      <c r="D581" s="182" t="s">
        <v>921</v>
      </c>
      <c r="E581" s="183" t="s">
        <v>922</v>
      </c>
      <c r="F581" s="183" t="s">
        <v>600</v>
      </c>
      <c r="G581" s="184">
        <v>5.0000000000000001E-3</v>
      </c>
      <c r="H581" s="185">
        <v>0.05</v>
      </c>
      <c r="I581" s="186">
        <v>5282.24</v>
      </c>
      <c r="J581" s="187">
        <v>27.731760000000001</v>
      </c>
      <c r="K581" s="182" t="s">
        <v>1953</v>
      </c>
      <c r="L581" s="182">
        <v>6</v>
      </c>
      <c r="M581" s="182" t="s">
        <v>1959</v>
      </c>
      <c r="N581" s="186">
        <v>15.5</v>
      </c>
      <c r="O581" s="188">
        <v>5.0000000000000001E-3</v>
      </c>
      <c r="P581" s="188" t="s">
        <v>573</v>
      </c>
      <c r="Q581" s="188">
        <v>0</v>
      </c>
      <c r="R581" s="189" t="s">
        <v>573</v>
      </c>
      <c r="S581" s="189" t="s">
        <v>573</v>
      </c>
    </row>
    <row r="582" spans="1:19" ht="15" customHeight="1" x14ac:dyDescent="0.3">
      <c r="A582" s="182" t="s">
        <v>1949</v>
      </c>
      <c r="B582" s="182" t="s">
        <v>908</v>
      </c>
      <c r="C582" s="182" t="s">
        <v>909</v>
      </c>
      <c r="D582" s="182" t="s">
        <v>1271</v>
      </c>
      <c r="E582" s="183" t="s">
        <v>1272</v>
      </c>
      <c r="F582" s="183" t="s">
        <v>600</v>
      </c>
      <c r="G582" s="184">
        <v>0.01</v>
      </c>
      <c r="H582" s="185">
        <v>0.05</v>
      </c>
      <c r="I582" s="186">
        <v>7427.6</v>
      </c>
      <c r="J582" s="187">
        <v>77.989800000000002</v>
      </c>
      <c r="K582" s="182" t="s">
        <v>1953</v>
      </c>
      <c r="L582" s="182">
        <v>7</v>
      </c>
      <c r="M582" s="182" t="s">
        <v>1960</v>
      </c>
      <c r="N582" s="186">
        <v>15.5</v>
      </c>
      <c r="O582" s="188">
        <v>0.01</v>
      </c>
      <c r="P582" s="188" t="s">
        <v>573</v>
      </c>
      <c r="Q582" s="188">
        <v>0</v>
      </c>
      <c r="R582" s="189" t="s">
        <v>573</v>
      </c>
      <c r="S582" s="189" t="s">
        <v>573</v>
      </c>
    </row>
    <row r="583" spans="1:19" ht="15" customHeight="1" x14ac:dyDescent="0.3">
      <c r="A583" s="182" t="s">
        <v>1949</v>
      </c>
      <c r="B583" s="182" t="s">
        <v>908</v>
      </c>
      <c r="C583" s="182" t="s">
        <v>909</v>
      </c>
      <c r="D583" s="182" t="s">
        <v>1274</v>
      </c>
      <c r="E583" s="183" t="s">
        <v>1275</v>
      </c>
      <c r="F583" s="183" t="s">
        <v>884</v>
      </c>
      <c r="G583" s="184">
        <v>1.2500000000000001E-2</v>
      </c>
      <c r="H583" s="185">
        <v>0.1</v>
      </c>
      <c r="I583" s="186">
        <v>120622.23</v>
      </c>
      <c r="J583" s="187">
        <v>1658.5556624999999</v>
      </c>
      <c r="K583" s="182" t="s">
        <v>1953</v>
      </c>
      <c r="L583" s="182">
        <v>8</v>
      </c>
      <c r="M583" s="182" t="s">
        <v>1961</v>
      </c>
      <c r="N583" s="186">
        <v>15.5</v>
      </c>
      <c r="O583" s="188">
        <v>1.2500000000000001E-2</v>
      </c>
      <c r="P583" s="188" t="s">
        <v>573</v>
      </c>
      <c r="Q583" s="188">
        <v>0</v>
      </c>
      <c r="R583" s="189" t="s">
        <v>573</v>
      </c>
      <c r="S583" s="189" t="s">
        <v>573</v>
      </c>
    </row>
    <row r="584" spans="1:19" ht="15" customHeight="1" x14ac:dyDescent="0.3">
      <c r="A584" s="182" t="s">
        <v>1949</v>
      </c>
      <c r="B584" s="182" t="s">
        <v>937</v>
      </c>
      <c r="C584" s="182" t="s">
        <v>938</v>
      </c>
      <c r="D584" s="190" t="s">
        <v>944</v>
      </c>
      <c r="E584" s="183" t="s">
        <v>945</v>
      </c>
      <c r="F584" s="183" t="s">
        <v>941</v>
      </c>
      <c r="G584" s="184">
        <v>1</v>
      </c>
      <c r="H584" s="185">
        <v>0</v>
      </c>
      <c r="I584" s="186">
        <v>85927.097156571996</v>
      </c>
      <c r="J584" s="187">
        <v>85927.097156571996</v>
      </c>
      <c r="K584" s="182" t="s">
        <v>1962</v>
      </c>
      <c r="L584" s="182">
        <v>1</v>
      </c>
      <c r="M584" s="182" t="s">
        <v>1963</v>
      </c>
      <c r="N584" s="186">
        <v>15.5</v>
      </c>
      <c r="O584" s="188">
        <v>6.4516129032258104E-2</v>
      </c>
      <c r="P584" s="188" t="s">
        <v>573</v>
      </c>
      <c r="Q584" s="188">
        <v>0</v>
      </c>
      <c r="R584" s="189" t="s">
        <v>573</v>
      </c>
      <c r="S584" s="189" t="s">
        <v>573</v>
      </c>
    </row>
    <row r="585" spans="1:19" ht="15" customHeight="1" x14ac:dyDescent="0.3">
      <c r="A585" s="182" t="s">
        <v>1964</v>
      </c>
      <c r="B585" s="182" t="s">
        <v>563</v>
      </c>
      <c r="C585" s="182"/>
      <c r="D585" s="182" t="s">
        <v>1251</v>
      </c>
      <c r="E585" s="183" t="s">
        <v>1252</v>
      </c>
      <c r="F585" s="183"/>
      <c r="G585" s="184">
        <v>1</v>
      </c>
      <c r="H585" s="185">
        <v>0</v>
      </c>
      <c r="I585" s="186">
        <v>1723.6259595547101</v>
      </c>
      <c r="J585" s="187">
        <v>1723.6259595547101</v>
      </c>
      <c r="K585" s="182" t="s">
        <v>1965</v>
      </c>
      <c r="L585" s="182">
        <v>1</v>
      </c>
      <c r="M585" s="182" t="s">
        <v>1966</v>
      </c>
      <c r="N585" s="186">
        <v>8</v>
      </c>
      <c r="O585" s="188">
        <v>1</v>
      </c>
      <c r="P585" s="188" t="s">
        <v>573</v>
      </c>
      <c r="Q585" s="188">
        <v>0</v>
      </c>
      <c r="R585" s="189" t="s">
        <v>573</v>
      </c>
      <c r="S585" s="189" t="s">
        <v>573</v>
      </c>
    </row>
    <row r="586" spans="1:19" ht="15" customHeight="1" x14ac:dyDescent="0.3">
      <c r="A586" s="182" t="s">
        <v>1964</v>
      </c>
      <c r="B586" s="182" t="s">
        <v>563</v>
      </c>
      <c r="C586" s="182"/>
      <c r="D586" s="182" t="s">
        <v>1255</v>
      </c>
      <c r="E586" s="183" t="s">
        <v>1256</v>
      </c>
      <c r="F586" s="183"/>
      <c r="G586" s="184">
        <v>1</v>
      </c>
      <c r="H586" s="185">
        <v>0</v>
      </c>
      <c r="I586" s="186">
        <v>200.25307946474501</v>
      </c>
      <c r="J586" s="187">
        <v>200.25307946474501</v>
      </c>
      <c r="K586" s="182" t="s">
        <v>1965</v>
      </c>
      <c r="L586" s="182">
        <v>2</v>
      </c>
      <c r="M586" s="182" t="s">
        <v>1967</v>
      </c>
      <c r="N586" s="186">
        <v>8</v>
      </c>
      <c r="O586" s="188">
        <v>1</v>
      </c>
      <c r="P586" s="188" t="s">
        <v>573</v>
      </c>
      <c r="Q586" s="188">
        <v>0</v>
      </c>
      <c r="R586" s="189" t="s">
        <v>573</v>
      </c>
      <c r="S586" s="189" t="s">
        <v>573</v>
      </c>
    </row>
    <row r="587" spans="1:19" ht="15" customHeight="1" x14ac:dyDescent="0.3">
      <c r="A587" s="182" t="s">
        <v>1964</v>
      </c>
      <c r="B587" s="182" t="s">
        <v>908</v>
      </c>
      <c r="C587" s="182" t="s">
        <v>909</v>
      </c>
      <c r="D587" s="182" t="s">
        <v>910</v>
      </c>
      <c r="E587" s="183" t="s">
        <v>911</v>
      </c>
      <c r="F587" s="183" t="s">
        <v>912</v>
      </c>
      <c r="G587" s="184">
        <v>5.0000000000000001E-3</v>
      </c>
      <c r="H587" s="185">
        <v>0.1</v>
      </c>
      <c r="I587" s="186">
        <v>26907.33</v>
      </c>
      <c r="J587" s="187">
        <v>147.99031500000001</v>
      </c>
      <c r="K587" s="182" t="s">
        <v>1968</v>
      </c>
      <c r="L587" s="182">
        <v>1</v>
      </c>
      <c r="M587" s="182" t="s">
        <v>1969</v>
      </c>
      <c r="N587" s="186">
        <v>8</v>
      </c>
      <c r="O587" s="188">
        <v>5.0000000000000001E-3</v>
      </c>
      <c r="P587" s="188" t="s">
        <v>573</v>
      </c>
      <c r="Q587" s="188">
        <v>0</v>
      </c>
      <c r="R587" s="189" t="s">
        <v>573</v>
      </c>
      <c r="S587" s="189" t="s">
        <v>573</v>
      </c>
    </row>
    <row r="588" spans="1:19" ht="15" customHeight="1" x14ac:dyDescent="0.3">
      <c r="A588" s="182" t="s">
        <v>1964</v>
      </c>
      <c r="B588" s="182" t="s">
        <v>908</v>
      </c>
      <c r="C588" s="182" t="s">
        <v>909</v>
      </c>
      <c r="D588" s="182" t="s">
        <v>1262</v>
      </c>
      <c r="E588" s="183" t="s">
        <v>1263</v>
      </c>
      <c r="F588" s="183" t="s">
        <v>600</v>
      </c>
      <c r="G588" s="184">
        <v>0.02</v>
      </c>
      <c r="H588" s="185">
        <v>0.05</v>
      </c>
      <c r="I588" s="186">
        <v>5661.4</v>
      </c>
      <c r="J588" s="187">
        <v>118.88939999999999</v>
      </c>
      <c r="K588" s="182" t="s">
        <v>1968</v>
      </c>
      <c r="L588" s="182">
        <v>2</v>
      </c>
      <c r="M588" s="182" t="s">
        <v>1970</v>
      </c>
      <c r="N588" s="186">
        <v>8</v>
      </c>
      <c r="O588" s="188">
        <v>0.02</v>
      </c>
      <c r="P588" s="188" t="s">
        <v>573</v>
      </c>
      <c r="Q588" s="188">
        <v>0</v>
      </c>
      <c r="R588" s="189" t="s">
        <v>573</v>
      </c>
      <c r="S588" s="189" t="s">
        <v>573</v>
      </c>
    </row>
    <row r="589" spans="1:19" ht="15" customHeight="1" x14ac:dyDescent="0.3">
      <c r="A589" s="182" t="s">
        <v>1964</v>
      </c>
      <c r="B589" s="182" t="s">
        <v>908</v>
      </c>
      <c r="C589" s="182" t="s">
        <v>909</v>
      </c>
      <c r="D589" s="182" t="s">
        <v>1265</v>
      </c>
      <c r="E589" s="183" t="s">
        <v>1266</v>
      </c>
      <c r="F589" s="183" t="s">
        <v>600</v>
      </c>
      <c r="G589" s="184">
        <v>0.05</v>
      </c>
      <c r="H589" s="185">
        <v>0.1</v>
      </c>
      <c r="I589" s="186">
        <v>3293.01</v>
      </c>
      <c r="J589" s="187">
        <v>181.11555000000001</v>
      </c>
      <c r="K589" s="182" t="s">
        <v>1968</v>
      </c>
      <c r="L589" s="182">
        <v>3</v>
      </c>
      <c r="M589" s="182" t="s">
        <v>1971</v>
      </c>
      <c r="N589" s="186">
        <v>8</v>
      </c>
      <c r="O589" s="188">
        <v>0.05</v>
      </c>
      <c r="P589" s="188" t="s">
        <v>573</v>
      </c>
      <c r="Q589" s="188">
        <v>0</v>
      </c>
      <c r="R589" s="189" t="s">
        <v>573</v>
      </c>
      <c r="S589" s="189" t="s">
        <v>573</v>
      </c>
    </row>
    <row r="590" spans="1:19" ht="15" customHeight="1" x14ac:dyDescent="0.3">
      <c r="A590" s="182" t="s">
        <v>1964</v>
      </c>
      <c r="B590" s="182" t="s">
        <v>908</v>
      </c>
      <c r="C590" s="182" t="s">
        <v>909</v>
      </c>
      <c r="D590" s="182" t="s">
        <v>915</v>
      </c>
      <c r="E590" s="183" t="s">
        <v>916</v>
      </c>
      <c r="F590" s="183" t="s">
        <v>600</v>
      </c>
      <c r="G590" s="184">
        <v>0.01</v>
      </c>
      <c r="H590" s="185">
        <v>0.05</v>
      </c>
      <c r="I590" s="186">
        <v>735.06</v>
      </c>
      <c r="J590" s="187">
        <v>7.7181300000000004</v>
      </c>
      <c r="K590" s="182" t="s">
        <v>1968</v>
      </c>
      <c r="L590" s="182">
        <v>4</v>
      </c>
      <c r="M590" s="182" t="s">
        <v>1972</v>
      </c>
      <c r="N590" s="186">
        <v>8</v>
      </c>
      <c r="O590" s="188">
        <v>0.01</v>
      </c>
      <c r="P590" s="188" t="s">
        <v>573</v>
      </c>
      <c r="Q590" s="188">
        <v>0</v>
      </c>
      <c r="R590" s="189" t="s">
        <v>573</v>
      </c>
      <c r="S590" s="189" t="s">
        <v>573</v>
      </c>
    </row>
    <row r="591" spans="1:19" ht="15" customHeight="1" x14ac:dyDescent="0.3">
      <c r="A591" s="182" t="s">
        <v>1964</v>
      </c>
      <c r="B591" s="182" t="s">
        <v>908</v>
      </c>
      <c r="C591" s="182" t="s">
        <v>909</v>
      </c>
      <c r="D591" s="182" t="s">
        <v>918</v>
      </c>
      <c r="E591" s="183" t="s">
        <v>919</v>
      </c>
      <c r="F591" s="183" t="s">
        <v>600</v>
      </c>
      <c r="G591" s="184">
        <v>0.01</v>
      </c>
      <c r="H591" s="185">
        <v>0.05</v>
      </c>
      <c r="I591" s="186">
        <v>6678.36</v>
      </c>
      <c r="J591" s="187">
        <v>70.122780000000006</v>
      </c>
      <c r="K591" s="182" t="s">
        <v>1968</v>
      </c>
      <c r="L591" s="182">
        <v>5</v>
      </c>
      <c r="M591" s="182" t="s">
        <v>1973</v>
      </c>
      <c r="N591" s="186">
        <v>8</v>
      </c>
      <c r="O591" s="188">
        <v>0.01</v>
      </c>
      <c r="P591" s="188" t="s">
        <v>573</v>
      </c>
      <c r="Q591" s="188">
        <v>0</v>
      </c>
      <c r="R591" s="189" t="s">
        <v>573</v>
      </c>
      <c r="S591" s="189" t="s">
        <v>573</v>
      </c>
    </row>
    <row r="592" spans="1:19" ht="15" customHeight="1" x14ac:dyDescent="0.3">
      <c r="A592" s="182" t="s">
        <v>1964</v>
      </c>
      <c r="B592" s="182" t="s">
        <v>908</v>
      </c>
      <c r="C592" s="182" t="s">
        <v>909</v>
      </c>
      <c r="D592" s="182" t="s">
        <v>921</v>
      </c>
      <c r="E592" s="183" t="s">
        <v>922</v>
      </c>
      <c r="F592" s="183" t="s">
        <v>600</v>
      </c>
      <c r="G592" s="184">
        <v>0.01</v>
      </c>
      <c r="H592" s="185">
        <v>0.05</v>
      </c>
      <c r="I592" s="186">
        <v>5282.24</v>
      </c>
      <c r="J592" s="187">
        <v>55.463520000000003</v>
      </c>
      <c r="K592" s="182" t="s">
        <v>1968</v>
      </c>
      <c r="L592" s="182">
        <v>6</v>
      </c>
      <c r="M592" s="182" t="s">
        <v>1974</v>
      </c>
      <c r="N592" s="186">
        <v>8</v>
      </c>
      <c r="O592" s="188">
        <v>0.01</v>
      </c>
      <c r="P592" s="188" t="s">
        <v>573</v>
      </c>
      <c r="Q592" s="188">
        <v>0</v>
      </c>
      <c r="R592" s="189" t="s">
        <v>573</v>
      </c>
      <c r="S592" s="189" t="s">
        <v>573</v>
      </c>
    </row>
    <row r="593" spans="1:19" ht="15" customHeight="1" x14ac:dyDescent="0.3">
      <c r="A593" s="182" t="s">
        <v>1964</v>
      </c>
      <c r="B593" s="182" t="s">
        <v>908</v>
      </c>
      <c r="C593" s="182" t="s">
        <v>909</v>
      </c>
      <c r="D593" s="182" t="s">
        <v>1271</v>
      </c>
      <c r="E593" s="183" t="s">
        <v>1272</v>
      </c>
      <c r="F593" s="183" t="s">
        <v>600</v>
      </c>
      <c r="G593" s="184">
        <v>0.01</v>
      </c>
      <c r="H593" s="185">
        <v>0.05</v>
      </c>
      <c r="I593" s="186">
        <v>7427.6</v>
      </c>
      <c r="J593" s="187">
        <v>77.989800000000002</v>
      </c>
      <c r="K593" s="182" t="s">
        <v>1968</v>
      </c>
      <c r="L593" s="182">
        <v>7</v>
      </c>
      <c r="M593" s="182" t="s">
        <v>1975</v>
      </c>
      <c r="N593" s="186">
        <v>8</v>
      </c>
      <c r="O593" s="188">
        <v>0.01</v>
      </c>
      <c r="P593" s="188" t="s">
        <v>573</v>
      </c>
      <c r="Q593" s="188">
        <v>0</v>
      </c>
      <c r="R593" s="189" t="s">
        <v>573</v>
      </c>
      <c r="S593" s="189" t="s">
        <v>573</v>
      </c>
    </row>
    <row r="594" spans="1:19" ht="15" customHeight="1" x14ac:dyDescent="0.3">
      <c r="A594" s="182" t="s">
        <v>1964</v>
      </c>
      <c r="B594" s="182" t="s">
        <v>908</v>
      </c>
      <c r="C594" s="182" t="s">
        <v>909</v>
      </c>
      <c r="D594" s="182" t="s">
        <v>1976</v>
      </c>
      <c r="E594" s="183" t="s">
        <v>1977</v>
      </c>
      <c r="F594" s="183" t="s">
        <v>912</v>
      </c>
      <c r="G594" s="184">
        <v>6.25E-2</v>
      </c>
      <c r="H594" s="185">
        <v>0.1</v>
      </c>
      <c r="I594" s="186">
        <v>28011.57</v>
      </c>
      <c r="J594" s="187">
        <v>1925.7954374999999</v>
      </c>
      <c r="K594" s="182" t="s">
        <v>1968</v>
      </c>
      <c r="L594" s="182">
        <v>8</v>
      </c>
      <c r="M594" s="182" t="s">
        <v>1978</v>
      </c>
      <c r="N594" s="186">
        <v>8</v>
      </c>
      <c r="O594" s="188">
        <v>6.25E-2</v>
      </c>
      <c r="P594" s="188" t="s">
        <v>573</v>
      </c>
      <c r="Q594" s="188">
        <v>0</v>
      </c>
      <c r="R594" s="189" t="s">
        <v>573</v>
      </c>
      <c r="S594" s="189" t="s">
        <v>573</v>
      </c>
    </row>
    <row r="595" spans="1:19" ht="15" customHeight="1" x14ac:dyDescent="0.3">
      <c r="A595" s="182" t="s">
        <v>1964</v>
      </c>
      <c r="B595" s="182" t="s">
        <v>937</v>
      </c>
      <c r="C595" s="182" t="s">
        <v>938</v>
      </c>
      <c r="D595" s="190" t="s">
        <v>944</v>
      </c>
      <c r="E595" s="183" t="s">
        <v>945</v>
      </c>
      <c r="F595" s="183" t="s">
        <v>941</v>
      </c>
      <c r="G595" s="184">
        <v>1</v>
      </c>
      <c r="H595" s="185">
        <v>0</v>
      </c>
      <c r="I595" s="186">
        <v>85927.097156571996</v>
      </c>
      <c r="J595" s="187">
        <v>85927.097156571996</v>
      </c>
      <c r="K595" s="182" t="s">
        <v>1979</v>
      </c>
      <c r="L595" s="182">
        <v>1</v>
      </c>
      <c r="M595" s="182" t="s">
        <v>1980</v>
      </c>
      <c r="N595" s="186">
        <v>8</v>
      </c>
      <c r="O595" s="188">
        <v>0.125</v>
      </c>
      <c r="P595" s="188" t="s">
        <v>573</v>
      </c>
      <c r="Q595" s="188">
        <v>0</v>
      </c>
      <c r="R595" s="189" t="s">
        <v>573</v>
      </c>
      <c r="S595" s="189" t="s">
        <v>573</v>
      </c>
    </row>
    <row r="596" spans="1:19" ht="15" customHeight="1" x14ac:dyDescent="0.3">
      <c r="A596" s="182" t="s">
        <v>1981</v>
      </c>
      <c r="B596" s="182" t="s">
        <v>563</v>
      </c>
      <c r="C596" s="182"/>
      <c r="D596" s="182" t="s">
        <v>948</v>
      </c>
      <c r="E596" s="183" t="s">
        <v>949</v>
      </c>
      <c r="F596" s="183"/>
      <c r="G596" s="184">
        <v>0.5</v>
      </c>
      <c r="H596" s="185">
        <v>0</v>
      </c>
      <c r="I596" s="186">
        <v>571.17949098076099</v>
      </c>
      <c r="J596" s="187">
        <v>285.58974549038101</v>
      </c>
      <c r="K596" s="182" t="s">
        <v>1982</v>
      </c>
      <c r="L596" s="182">
        <v>1</v>
      </c>
      <c r="M596" s="182" t="s">
        <v>1983</v>
      </c>
      <c r="N596" s="186">
        <v>20</v>
      </c>
      <c r="O596" s="188">
        <v>0.5</v>
      </c>
      <c r="P596" s="188" t="s">
        <v>573</v>
      </c>
      <c r="Q596" s="188">
        <v>0</v>
      </c>
      <c r="R596" s="189" t="s">
        <v>573</v>
      </c>
      <c r="S596" s="189" t="s">
        <v>573</v>
      </c>
    </row>
    <row r="597" spans="1:19" ht="15" customHeight="1" x14ac:dyDescent="0.3">
      <c r="A597" s="182" t="s">
        <v>1981</v>
      </c>
      <c r="B597" s="182" t="s">
        <v>563</v>
      </c>
      <c r="C597" s="182"/>
      <c r="D597" s="182" t="s">
        <v>1251</v>
      </c>
      <c r="E597" s="183" t="s">
        <v>1252</v>
      </c>
      <c r="F597" s="183"/>
      <c r="G597" s="184">
        <v>1</v>
      </c>
      <c r="H597" s="185">
        <v>0</v>
      </c>
      <c r="I597" s="186">
        <v>1723.6259595547101</v>
      </c>
      <c r="J597" s="187">
        <v>1723.6259595547101</v>
      </c>
      <c r="K597" s="182" t="s">
        <v>1982</v>
      </c>
      <c r="L597" s="182">
        <v>2</v>
      </c>
      <c r="M597" s="182" t="s">
        <v>1984</v>
      </c>
      <c r="N597" s="186">
        <v>20</v>
      </c>
      <c r="O597" s="188">
        <v>1</v>
      </c>
      <c r="P597" s="188" t="s">
        <v>573</v>
      </c>
      <c r="Q597" s="188">
        <v>0</v>
      </c>
      <c r="R597" s="189" t="s">
        <v>573</v>
      </c>
      <c r="S597" s="189" t="s">
        <v>573</v>
      </c>
    </row>
    <row r="598" spans="1:19" ht="15" customHeight="1" x14ac:dyDescent="0.3">
      <c r="A598" s="182" t="s">
        <v>1981</v>
      </c>
      <c r="B598" s="182" t="s">
        <v>563</v>
      </c>
      <c r="C598" s="182"/>
      <c r="D598" s="182" t="s">
        <v>1255</v>
      </c>
      <c r="E598" s="183" t="s">
        <v>1256</v>
      </c>
      <c r="F598" s="183"/>
      <c r="G598" s="184">
        <v>1</v>
      </c>
      <c r="H598" s="185">
        <v>0</v>
      </c>
      <c r="I598" s="186">
        <v>200.25307946474501</v>
      </c>
      <c r="J598" s="187">
        <v>200.25307946474501</v>
      </c>
      <c r="K598" s="182" t="s">
        <v>1982</v>
      </c>
      <c r="L598" s="182">
        <v>3</v>
      </c>
      <c r="M598" s="182" t="s">
        <v>1985</v>
      </c>
      <c r="N598" s="186">
        <v>20</v>
      </c>
      <c r="O598" s="188">
        <v>1</v>
      </c>
      <c r="P598" s="188" t="s">
        <v>573</v>
      </c>
      <c r="Q598" s="188">
        <v>0</v>
      </c>
      <c r="R598" s="189" t="s">
        <v>573</v>
      </c>
      <c r="S598" s="189" t="s">
        <v>573</v>
      </c>
    </row>
    <row r="599" spans="1:19" ht="15" customHeight="1" x14ac:dyDescent="0.3">
      <c r="A599" s="182" t="s">
        <v>1981</v>
      </c>
      <c r="B599" s="182" t="s">
        <v>563</v>
      </c>
      <c r="C599" s="182"/>
      <c r="D599" s="182" t="s">
        <v>1986</v>
      </c>
      <c r="E599" s="183" t="s">
        <v>1987</v>
      </c>
      <c r="F599" s="183"/>
      <c r="G599" s="184">
        <v>0.75</v>
      </c>
      <c r="H599" s="185">
        <v>0</v>
      </c>
      <c r="I599" s="186">
        <v>1899.1826421923399</v>
      </c>
      <c r="J599" s="187">
        <v>1424.38698164425</v>
      </c>
      <c r="K599" s="182" t="s">
        <v>1982</v>
      </c>
      <c r="L599" s="182">
        <v>4</v>
      </c>
      <c r="M599" s="182" t="s">
        <v>1988</v>
      </c>
      <c r="N599" s="186">
        <v>20</v>
      </c>
      <c r="O599" s="188">
        <v>0.75</v>
      </c>
      <c r="P599" s="188" t="s">
        <v>573</v>
      </c>
      <c r="Q599" s="188">
        <v>0</v>
      </c>
      <c r="R599" s="189" t="s">
        <v>573</v>
      </c>
      <c r="S599" s="189" t="s">
        <v>573</v>
      </c>
    </row>
    <row r="600" spans="1:19" ht="15" customHeight="1" x14ac:dyDescent="0.3">
      <c r="A600" s="182" t="s">
        <v>1981</v>
      </c>
      <c r="B600" s="182" t="s">
        <v>908</v>
      </c>
      <c r="C600" s="182" t="s">
        <v>909</v>
      </c>
      <c r="D600" s="182" t="s">
        <v>1265</v>
      </c>
      <c r="E600" s="183" t="s">
        <v>1266</v>
      </c>
      <c r="F600" s="183" t="s">
        <v>600</v>
      </c>
      <c r="G600" s="184">
        <v>0.01</v>
      </c>
      <c r="H600" s="185">
        <v>0.05</v>
      </c>
      <c r="I600" s="186">
        <v>3293.01</v>
      </c>
      <c r="J600" s="187">
        <v>34.576605000000001</v>
      </c>
      <c r="K600" s="182" t="s">
        <v>1989</v>
      </c>
      <c r="L600" s="182">
        <v>1</v>
      </c>
      <c r="M600" s="182" t="s">
        <v>1990</v>
      </c>
      <c r="N600" s="186">
        <v>20</v>
      </c>
      <c r="O600" s="188">
        <v>0.01</v>
      </c>
      <c r="P600" s="188" t="s">
        <v>573</v>
      </c>
      <c r="Q600" s="188">
        <v>0</v>
      </c>
      <c r="R600" s="189" t="s">
        <v>573</v>
      </c>
      <c r="S600" s="189" t="s">
        <v>573</v>
      </c>
    </row>
    <row r="601" spans="1:19" ht="15" customHeight="1" x14ac:dyDescent="0.3">
      <c r="A601" s="182" t="s">
        <v>1981</v>
      </c>
      <c r="B601" s="182" t="s">
        <v>908</v>
      </c>
      <c r="C601" s="182" t="s">
        <v>909</v>
      </c>
      <c r="D601" s="182" t="s">
        <v>915</v>
      </c>
      <c r="E601" s="183" t="s">
        <v>916</v>
      </c>
      <c r="F601" s="183" t="s">
        <v>600</v>
      </c>
      <c r="G601" s="184">
        <v>5.0000000000000001E-3</v>
      </c>
      <c r="H601" s="185">
        <v>0.05</v>
      </c>
      <c r="I601" s="186">
        <v>735.06</v>
      </c>
      <c r="J601" s="187">
        <v>3.8590650000000002</v>
      </c>
      <c r="K601" s="182" t="s">
        <v>1989</v>
      </c>
      <c r="L601" s="182">
        <v>2</v>
      </c>
      <c r="M601" s="182" t="s">
        <v>1991</v>
      </c>
      <c r="N601" s="186">
        <v>20</v>
      </c>
      <c r="O601" s="188">
        <v>5.0000000000000001E-3</v>
      </c>
      <c r="P601" s="188" t="s">
        <v>573</v>
      </c>
      <c r="Q601" s="188">
        <v>0</v>
      </c>
      <c r="R601" s="189" t="s">
        <v>573</v>
      </c>
      <c r="S601" s="189" t="s">
        <v>573</v>
      </c>
    </row>
    <row r="602" spans="1:19" ht="15" customHeight="1" x14ac:dyDescent="0.3">
      <c r="A602" s="182" t="s">
        <v>1981</v>
      </c>
      <c r="B602" s="182" t="s">
        <v>908</v>
      </c>
      <c r="C602" s="182" t="s">
        <v>909</v>
      </c>
      <c r="D602" s="182" t="s">
        <v>918</v>
      </c>
      <c r="E602" s="183" t="s">
        <v>919</v>
      </c>
      <c r="F602" s="183" t="s">
        <v>600</v>
      </c>
      <c r="G602" s="184">
        <v>5.0000000000000001E-3</v>
      </c>
      <c r="H602" s="185">
        <v>0.05</v>
      </c>
      <c r="I602" s="186">
        <v>6678.36</v>
      </c>
      <c r="J602" s="187">
        <v>35.061390000000003</v>
      </c>
      <c r="K602" s="182" t="s">
        <v>1989</v>
      </c>
      <c r="L602" s="182">
        <v>3</v>
      </c>
      <c r="M602" s="182" t="s">
        <v>1992</v>
      </c>
      <c r="N602" s="186">
        <v>20</v>
      </c>
      <c r="O602" s="188">
        <v>5.0000000000000001E-3</v>
      </c>
      <c r="P602" s="188" t="s">
        <v>573</v>
      </c>
      <c r="Q602" s="188">
        <v>0</v>
      </c>
      <c r="R602" s="189" t="s">
        <v>573</v>
      </c>
      <c r="S602" s="189" t="s">
        <v>573</v>
      </c>
    </row>
    <row r="603" spans="1:19" ht="15" customHeight="1" x14ac:dyDescent="0.3">
      <c r="A603" s="182" t="s">
        <v>1981</v>
      </c>
      <c r="B603" s="182" t="s">
        <v>908</v>
      </c>
      <c r="C603" s="182" t="s">
        <v>909</v>
      </c>
      <c r="D603" s="182" t="s">
        <v>1993</v>
      </c>
      <c r="E603" s="183" t="s">
        <v>1994</v>
      </c>
      <c r="F603" s="183" t="s">
        <v>600</v>
      </c>
      <c r="G603" s="184">
        <v>0.01</v>
      </c>
      <c r="H603" s="185">
        <v>0.1</v>
      </c>
      <c r="I603" s="186">
        <v>12575.2066115703</v>
      </c>
      <c r="J603" s="187">
        <v>138.327272727273</v>
      </c>
      <c r="K603" s="182" t="s">
        <v>1989</v>
      </c>
      <c r="L603" s="182">
        <v>4</v>
      </c>
      <c r="M603" s="182" t="s">
        <v>1995</v>
      </c>
      <c r="N603" s="186">
        <v>20</v>
      </c>
      <c r="O603" s="188">
        <v>0.01</v>
      </c>
      <c r="P603" s="188" t="s">
        <v>573</v>
      </c>
      <c r="Q603" s="188">
        <v>0</v>
      </c>
      <c r="R603" s="189" t="s">
        <v>573</v>
      </c>
      <c r="S603" s="189" t="s">
        <v>573</v>
      </c>
    </row>
    <row r="604" spans="1:19" ht="15" customHeight="1" x14ac:dyDescent="0.3">
      <c r="A604" s="182" t="s">
        <v>1981</v>
      </c>
      <c r="B604" s="182" t="s">
        <v>908</v>
      </c>
      <c r="C604" s="182" t="s">
        <v>909</v>
      </c>
      <c r="D604" s="182" t="s">
        <v>1996</v>
      </c>
      <c r="E604" s="183" t="s">
        <v>1997</v>
      </c>
      <c r="F604" s="183" t="s">
        <v>600</v>
      </c>
      <c r="G604" s="184">
        <v>7.4099999999999999E-2</v>
      </c>
      <c r="H604" s="185">
        <v>0.1</v>
      </c>
      <c r="I604" s="186">
        <v>57033.884297520701</v>
      </c>
      <c r="J604" s="187">
        <v>4648.8319090909099</v>
      </c>
      <c r="K604" s="182" t="s">
        <v>1989</v>
      </c>
      <c r="L604" s="182">
        <v>5</v>
      </c>
      <c r="M604" s="182" t="s">
        <v>1998</v>
      </c>
      <c r="N604" s="186">
        <v>20</v>
      </c>
      <c r="O604" s="188">
        <v>7.4099999999999999E-2</v>
      </c>
      <c r="P604" s="188" t="s">
        <v>573</v>
      </c>
      <c r="Q604" s="188">
        <v>0</v>
      </c>
      <c r="R604" s="189" t="s">
        <v>573</v>
      </c>
      <c r="S604" s="189" t="s">
        <v>573</v>
      </c>
    </row>
    <row r="605" spans="1:19" ht="15" customHeight="1" x14ac:dyDescent="0.3">
      <c r="A605" s="182" t="s">
        <v>1981</v>
      </c>
      <c r="B605" s="182" t="s">
        <v>908</v>
      </c>
      <c r="C605" s="182" t="s">
        <v>909</v>
      </c>
      <c r="D605" s="182" t="s">
        <v>1999</v>
      </c>
      <c r="E605" s="183" t="s">
        <v>2000</v>
      </c>
      <c r="F605" s="183" t="s">
        <v>600</v>
      </c>
      <c r="G605" s="184">
        <v>1.11E-2</v>
      </c>
      <c r="H605" s="185">
        <v>0.1</v>
      </c>
      <c r="I605" s="186">
        <v>93388.429752066106</v>
      </c>
      <c r="J605" s="187">
        <v>1140.27272727273</v>
      </c>
      <c r="K605" s="182" t="s">
        <v>1989</v>
      </c>
      <c r="L605" s="182">
        <v>6</v>
      </c>
      <c r="M605" s="182" t="s">
        <v>2001</v>
      </c>
      <c r="N605" s="186">
        <v>20</v>
      </c>
      <c r="O605" s="188">
        <v>1.11E-2</v>
      </c>
      <c r="P605" s="188" t="s">
        <v>573</v>
      </c>
      <c r="Q605" s="188">
        <v>0</v>
      </c>
      <c r="R605" s="189" t="s">
        <v>573</v>
      </c>
      <c r="S605" s="189" t="s">
        <v>573</v>
      </c>
    </row>
    <row r="606" spans="1:19" ht="15" customHeight="1" x14ac:dyDescent="0.3">
      <c r="A606" s="182" t="s">
        <v>1981</v>
      </c>
      <c r="B606" s="182" t="s">
        <v>937</v>
      </c>
      <c r="C606" s="182" t="s">
        <v>938</v>
      </c>
      <c r="D606" s="190" t="s">
        <v>939</v>
      </c>
      <c r="E606" s="183" t="s">
        <v>940</v>
      </c>
      <c r="F606" s="183" t="s">
        <v>941</v>
      </c>
      <c r="G606" s="184">
        <v>0.5</v>
      </c>
      <c r="H606" s="185">
        <v>0</v>
      </c>
      <c r="I606" s="186">
        <v>60860.580776572002</v>
      </c>
      <c r="J606" s="187">
        <v>30430.290388286001</v>
      </c>
      <c r="K606" s="182" t="s">
        <v>2002</v>
      </c>
      <c r="L606" s="182">
        <v>1</v>
      </c>
      <c r="M606" s="182" t="s">
        <v>2003</v>
      </c>
      <c r="N606" s="186">
        <v>20</v>
      </c>
      <c r="O606" s="188">
        <v>2.5000000000000001E-2</v>
      </c>
      <c r="P606" s="188" t="s">
        <v>573</v>
      </c>
      <c r="Q606" s="188">
        <v>0</v>
      </c>
      <c r="R606" s="189" t="s">
        <v>573</v>
      </c>
      <c r="S606" s="189" t="s">
        <v>573</v>
      </c>
    </row>
    <row r="607" spans="1:19" ht="15" customHeight="1" x14ac:dyDescent="0.3">
      <c r="A607" s="182" t="s">
        <v>1981</v>
      </c>
      <c r="B607" s="182" t="s">
        <v>937</v>
      </c>
      <c r="C607" s="182" t="s">
        <v>938</v>
      </c>
      <c r="D607" s="190" t="s">
        <v>1291</v>
      </c>
      <c r="E607" s="183" t="s">
        <v>1292</v>
      </c>
      <c r="F607" s="183" t="s">
        <v>941</v>
      </c>
      <c r="G607" s="184">
        <v>1</v>
      </c>
      <c r="H607" s="185">
        <v>0</v>
      </c>
      <c r="I607" s="186">
        <v>65493.071636572</v>
      </c>
      <c r="J607" s="187">
        <v>65493.071636572</v>
      </c>
      <c r="K607" s="182" t="s">
        <v>2002</v>
      </c>
      <c r="L607" s="182">
        <v>2</v>
      </c>
      <c r="M607" s="182" t="s">
        <v>2004</v>
      </c>
      <c r="N607" s="186">
        <v>20</v>
      </c>
      <c r="O607" s="188">
        <v>0.05</v>
      </c>
      <c r="P607" s="188" t="s">
        <v>573</v>
      </c>
      <c r="Q607" s="188">
        <v>0</v>
      </c>
      <c r="R607" s="189" t="s">
        <v>573</v>
      </c>
      <c r="S607" s="189" t="s">
        <v>573</v>
      </c>
    </row>
    <row r="608" spans="1:19" ht="15" customHeight="1" x14ac:dyDescent="0.3">
      <c r="A608" s="182" t="s">
        <v>1981</v>
      </c>
      <c r="B608" s="182" t="s">
        <v>937</v>
      </c>
      <c r="C608" s="182" t="s">
        <v>938</v>
      </c>
      <c r="D608" s="190" t="s">
        <v>944</v>
      </c>
      <c r="E608" s="183" t="s">
        <v>945</v>
      </c>
      <c r="F608" s="183" t="s">
        <v>941</v>
      </c>
      <c r="G608" s="184">
        <v>1.5</v>
      </c>
      <c r="H608" s="185">
        <v>0</v>
      </c>
      <c r="I608" s="186">
        <v>85927.097156571996</v>
      </c>
      <c r="J608" s="187">
        <v>128890.645734858</v>
      </c>
      <c r="K608" s="182" t="s">
        <v>2002</v>
      </c>
      <c r="L608" s="182">
        <v>3</v>
      </c>
      <c r="M608" s="182" t="s">
        <v>2005</v>
      </c>
      <c r="N608" s="186">
        <v>20</v>
      </c>
      <c r="O608" s="188">
        <v>7.4999999999999997E-2</v>
      </c>
      <c r="P608" s="188" t="s">
        <v>573</v>
      </c>
      <c r="Q608" s="188">
        <v>0</v>
      </c>
      <c r="R608" s="189" t="s">
        <v>573</v>
      </c>
      <c r="S608" s="189" t="s">
        <v>573</v>
      </c>
    </row>
    <row r="609" spans="1:19" ht="15" customHeight="1" x14ac:dyDescent="0.3">
      <c r="A609" s="182" t="s">
        <v>2006</v>
      </c>
      <c r="B609" s="182" t="s">
        <v>563</v>
      </c>
      <c r="C609" s="182"/>
      <c r="D609" s="182" t="s">
        <v>1251</v>
      </c>
      <c r="E609" s="183" t="s">
        <v>1252</v>
      </c>
      <c r="F609" s="183"/>
      <c r="G609" s="184">
        <v>2</v>
      </c>
      <c r="H609" s="185">
        <v>0</v>
      </c>
      <c r="I609" s="186">
        <v>1723.6259595547101</v>
      </c>
      <c r="J609" s="187">
        <v>3447.2519191094202</v>
      </c>
      <c r="K609" s="182" t="s">
        <v>2007</v>
      </c>
      <c r="L609" s="182">
        <v>1</v>
      </c>
      <c r="M609" s="182" t="s">
        <v>2008</v>
      </c>
      <c r="N609" s="186">
        <v>11</v>
      </c>
      <c r="O609" s="188">
        <v>2</v>
      </c>
      <c r="P609" s="188" t="s">
        <v>573</v>
      </c>
      <c r="Q609" s="188">
        <v>0</v>
      </c>
      <c r="R609" s="189" t="s">
        <v>573</v>
      </c>
      <c r="S609" s="189" t="s">
        <v>573</v>
      </c>
    </row>
    <row r="610" spans="1:19" ht="15" customHeight="1" x14ac:dyDescent="0.3">
      <c r="A610" s="182" t="s">
        <v>2006</v>
      </c>
      <c r="B610" s="182" t="s">
        <v>563</v>
      </c>
      <c r="C610" s="182"/>
      <c r="D610" s="182" t="s">
        <v>1255</v>
      </c>
      <c r="E610" s="183" t="s">
        <v>1256</v>
      </c>
      <c r="F610" s="183"/>
      <c r="G610" s="184">
        <v>1</v>
      </c>
      <c r="H610" s="185">
        <v>0</v>
      </c>
      <c r="I610" s="186">
        <v>200.25307946474501</v>
      </c>
      <c r="J610" s="187">
        <v>200.25307946474501</v>
      </c>
      <c r="K610" s="182" t="s">
        <v>2007</v>
      </c>
      <c r="L610" s="182">
        <v>2</v>
      </c>
      <c r="M610" s="182" t="s">
        <v>2009</v>
      </c>
      <c r="N610" s="186">
        <v>11</v>
      </c>
      <c r="O610" s="188">
        <v>1</v>
      </c>
      <c r="P610" s="188" t="s">
        <v>573</v>
      </c>
      <c r="Q610" s="188">
        <v>0</v>
      </c>
      <c r="R610" s="189" t="s">
        <v>573</v>
      </c>
      <c r="S610" s="189" t="s">
        <v>573</v>
      </c>
    </row>
    <row r="611" spans="1:19" ht="15" customHeight="1" x14ac:dyDescent="0.3">
      <c r="A611" s="182" t="s">
        <v>2006</v>
      </c>
      <c r="B611" s="182" t="s">
        <v>908</v>
      </c>
      <c r="C611" s="182" t="s">
        <v>909</v>
      </c>
      <c r="D611" s="182" t="s">
        <v>1258</v>
      </c>
      <c r="E611" s="183" t="s">
        <v>1259</v>
      </c>
      <c r="F611" s="183" t="s">
        <v>912</v>
      </c>
      <c r="G611" s="184">
        <v>4.0000000000000001E-3</v>
      </c>
      <c r="H611" s="185">
        <v>0.05</v>
      </c>
      <c r="I611" s="186">
        <v>30467.49</v>
      </c>
      <c r="J611" s="187">
        <v>127.963458</v>
      </c>
      <c r="K611" s="182" t="s">
        <v>2010</v>
      </c>
      <c r="L611" s="182">
        <v>1</v>
      </c>
      <c r="M611" s="182" t="s">
        <v>2011</v>
      </c>
      <c r="N611" s="186">
        <v>11</v>
      </c>
      <c r="O611" s="188">
        <v>4.0000000000000001E-3</v>
      </c>
      <c r="P611" s="188" t="s">
        <v>573</v>
      </c>
      <c r="Q611" s="188">
        <v>0</v>
      </c>
      <c r="R611" s="189" t="s">
        <v>573</v>
      </c>
      <c r="S611" s="189" t="s">
        <v>573</v>
      </c>
    </row>
    <row r="612" spans="1:19" ht="15" customHeight="1" x14ac:dyDescent="0.3">
      <c r="A612" s="182" t="s">
        <v>2006</v>
      </c>
      <c r="B612" s="182" t="s">
        <v>908</v>
      </c>
      <c r="C612" s="182" t="s">
        <v>909</v>
      </c>
      <c r="D612" s="182" t="s">
        <v>1262</v>
      </c>
      <c r="E612" s="183" t="s">
        <v>1263</v>
      </c>
      <c r="F612" s="183" t="s">
        <v>600</v>
      </c>
      <c r="G612" s="184">
        <v>0.05</v>
      </c>
      <c r="H612" s="185">
        <v>0.05</v>
      </c>
      <c r="I612" s="186">
        <v>5661.4</v>
      </c>
      <c r="J612" s="187">
        <v>297.2235</v>
      </c>
      <c r="K612" s="182" t="s">
        <v>2010</v>
      </c>
      <c r="L612" s="182">
        <v>2</v>
      </c>
      <c r="M612" s="182" t="s">
        <v>2012</v>
      </c>
      <c r="N612" s="186">
        <v>11</v>
      </c>
      <c r="O612" s="188">
        <v>0.05</v>
      </c>
      <c r="P612" s="188" t="s">
        <v>573</v>
      </c>
      <c r="Q612" s="188">
        <v>0</v>
      </c>
      <c r="R612" s="189" t="s">
        <v>573</v>
      </c>
      <c r="S612" s="189" t="s">
        <v>573</v>
      </c>
    </row>
    <row r="613" spans="1:19" ht="15" customHeight="1" x14ac:dyDescent="0.3">
      <c r="A613" s="182" t="s">
        <v>2006</v>
      </c>
      <c r="B613" s="182" t="s">
        <v>908</v>
      </c>
      <c r="C613" s="182" t="s">
        <v>909</v>
      </c>
      <c r="D613" s="182" t="s">
        <v>1265</v>
      </c>
      <c r="E613" s="183" t="s">
        <v>1266</v>
      </c>
      <c r="F613" s="183" t="s">
        <v>600</v>
      </c>
      <c r="G613" s="184">
        <v>0.05</v>
      </c>
      <c r="H613" s="185">
        <v>0.1</v>
      </c>
      <c r="I613" s="186">
        <v>3293.01</v>
      </c>
      <c r="J613" s="187">
        <v>181.11555000000001</v>
      </c>
      <c r="K613" s="182" t="s">
        <v>2010</v>
      </c>
      <c r="L613" s="182">
        <v>3</v>
      </c>
      <c r="M613" s="182" t="s">
        <v>2013</v>
      </c>
      <c r="N613" s="186">
        <v>11</v>
      </c>
      <c r="O613" s="188">
        <v>0.05</v>
      </c>
      <c r="P613" s="188" t="s">
        <v>573</v>
      </c>
      <c r="Q613" s="188">
        <v>0</v>
      </c>
      <c r="R613" s="189" t="s">
        <v>573</v>
      </c>
      <c r="S613" s="189" t="s">
        <v>573</v>
      </c>
    </row>
    <row r="614" spans="1:19" ht="15" customHeight="1" x14ac:dyDescent="0.3">
      <c r="A614" s="182" t="s">
        <v>2006</v>
      </c>
      <c r="B614" s="182" t="s">
        <v>908</v>
      </c>
      <c r="C614" s="182" t="s">
        <v>909</v>
      </c>
      <c r="D614" s="182" t="s">
        <v>915</v>
      </c>
      <c r="E614" s="183" t="s">
        <v>916</v>
      </c>
      <c r="F614" s="183" t="s">
        <v>600</v>
      </c>
      <c r="G614" s="184">
        <v>0.03</v>
      </c>
      <c r="H614" s="185">
        <v>0.05</v>
      </c>
      <c r="I614" s="186">
        <v>735.06</v>
      </c>
      <c r="J614" s="187">
        <v>23.154389999999999</v>
      </c>
      <c r="K614" s="182" t="s">
        <v>2010</v>
      </c>
      <c r="L614" s="182">
        <v>4</v>
      </c>
      <c r="M614" s="182" t="s">
        <v>2014</v>
      </c>
      <c r="N614" s="186">
        <v>11</v>
      </c>
      <c r="O614" s="188">
        <v>0.03</v>
      </c>
      <c r="P614" s="188" t="s">
        <v>573</v>
      </c>
      <c r="Q614" s="188">
        <v>0</v>
      </c>
      <c r="R614" s="189" t="s">
        <v>573</v>
      </c>
      <c r="S614" s="189" t="s">
        <v>573</v>
      </c>
    </row>
    <row r="615" spans="1:19" ht="15" customHeight="1" x14ac:dyDescent="0.3">
      <c r="A615" s="182" t="s">
        <v>2006</v>
      </c>
      <c r="B615" s="182" t="s">
        <v>908</v>
      </c>
      <c r="C615" s="182" t="s">
        <v>909</v>
      </c>
      <c r="D615" s="182" t="s">
        <v>1898</v>
      </c>
      <c r="E615" s="183" t="s">
        <v>1899</v>
      </c>
      <c r="F615" s="183" t="s">
        <v>600</v>
      </c>
      <c r="G615" s="184">
        <v>5.0000000000000001E-3</v>
      </c>
      <c r="H615" s="185">
        <v>0.05</v>
      </c>
      <c r="I615" s="186">
        <v>6678.36</v>
      </c>
      <c r="J615" s="187">
        <v>35.061390000000003</v>
      </c>
      <c r="K615" s="182" t="s">
        <v>2010</v>
      </c>
      <c r="L615" s="182">
        <v>5</v>
      </c>
      <c r="M615" s="182" t="s">
        <v>2015</v>
      </c>
      <c r="N615" s="186">
        <v>11</v>
      </c>
      <c r="O615" s="188">
        <v>5.0000000000000001E-3</v>
      </c>
      <c r="P615" s="188" t="s">
        <v>573</v>
      </c>
      <c r="Q615" s="188">
        <v>0</v>
      </c>
      <c r="R615" s="189" t="s">
        <v>573</v>
      </c>
      <c r="S615" s="189" t="s">
        <v>573</v>
      </c>
    </row>
    <row r="616" spans="1:19" ht="15" customHeight="1" x14ac:dyDescent="0.3">
      <c r="A616" s="182" t="s">
        <v>2006</v>
      </c>
      <c r="B616" s="182" t="s">
        <v>908</v>
      </c>
      <c r="C616" s="182" t="s">
        <v>909</v>
      </c>
      <c r="D616" s="182" t="s">
        <v>921</v>
      </c>
      <c r="E616" s="183" t="s">
        <v>922</v>
      </c>
      <c r="F616" s="183" t="s">
        <v>600</v>
      </c>
      <c r="G616" s="184">
        <v>5.0000000000000001E-3</v>
      </c>
      <c r="H616" s="185">
        <v>0.05</v>
      </c>
      <c r="I616" s="186">
        <v>5282.24</v>
      </c>
      <c r="J616" s="187">
        <v>27.731760000000001</v>
      </c>
      <c r="K616" s="182" t="s">
        <v>2010</v>
      </c>
      <c r="L616" s="182">
        <v>6</v>
      </c>
      <c r="M616" s="182" t="s">
        <v>2016</v>
      </c>
      <c r="N616" s="186">
        <v>11</v>
      </c>
      <c r="O616" s="188">
        <v>5.0000000000000001E-3</v>
      </c>
      <c r="P616" s="188" t="s">
        <v>573</v>
      </c>
      <c r="Q616" s="188">
        <v>0</v>
      </c>
      <c r="R616" s="189" t="s">
        <v>573</v>
      </c>
      <c r="S616" s="189" t="s">
        <v>573</v>
      </c>
    </row>
    <row r="617" spans="1:19" ht="15" customHeight="1" x14ac:dyDescent="0.3">
      <c r="A617" s="182" t="s">
        <v>2006</v>
      </c>
      <c r="B617" s="182" t="s">
        <v>908</v>
      </c>
      <c r="C617" s="182" t="s">
        <v>909</v>
      </c>
      <c r="D617" s="182" t="s">
        <v>1271</v>
      </c>
      <c r="E617" s="183" t="s">
        <v>1272</v>
      </c>
      <c r="F617" s="183" t="s">
        <v>600</v>
      </c>
      <c r="G617" s="184">
        <v>0.01</v>
      </c>
      <c r="H617" s="185">
        <v>0.05</v>
      </c>
      <c r="I617" s="186">
        <v>7427.6</v>
      </c>
      <c r="J617" s="187">
        <v>77.989800000000002</v>
      </c>
      <c r="K617" s="182" t="s">
        <v>2010</v>
      </c>
      <c r="L617" s="182">
        <v>7</v>
      </c>
      <c r="M617" s="182" t="s">
        <v>2017</v>
      </c>
      <c r="N617" s="186">
        <v>11</v>
      </c>
      <c r="O617" s="188">
        <v>0.01</v>
      </c>
      <c r="P617" s="188" t="s">
        <v>573</v>
      </c>
      <c r="Q617" s="188">
        <v>0</v>
      </c>
      <c r="R617" s="189" t="s">
        <v>573</v>
      </c>
      <c r="S617" s="189" t="s">
        <v>573</v>
      </c>
    </row>
    <row r="618" spans="1:19" ht="15" customHeight="1" x14ac:dyDescent="0.3">
      <c r="A618" s="182" t="s">
        <v>2006</v>
      </c>
      <c r="B618" s="182" t="s">
        <v>908</v>
      </c>
      <c r="C618" s="182" t="s">
        <v>909</v>
      </c>
      <c r="D618" s="182" t="s">
        <v>1274</v>
      </c>
      <c r="E618" s="183" t="s">
        <v>1275</v>
      </c>
      <c r="F618" s="183" t="s">
        <v>884</v>
      </c>
      <c r="G618" s="184">
        <v>1.2500000000000001E-2</v>
      </c>
      <c r="H618" s="185">
        <v>0.1</v>
      </c>
      <c r="I618" s="186">
        <v>120622.23</v>
      </c>
      <c r="J618" s="187">
        <v>1658.5556624999999</v>
      </c>
      <c r="K618" s="182" t="s">
        <v>2010</v>
      </c>
      <c r="L618" s="182">
        <v>8</v>
      </c>
      <c r="M618" s="182" t="s">
        <v>2018</v>
      </c>
      <c r="N618" s="186">
        <v>11</v>
      </c>
      <c r="O618" s="188">
        <v>1.2500000000000001E-2</v>
      </c>
      <c r="P618" s="188" t="s">
        <v>573</v>
      </c>
      <c r="Q618" s="188">
        <v>0</v>
      </c>
      <c r="R618" s="189" t="s">
        <v>573</v>
      </c>
      <c r="S618" s="189" t="s">
        <v>573</v>
      </c>
    </row>
    <row r="619" spans="1:19" ht="15" customHeight="1" x14ac:dyDescent="0.3">
      <c r="A619" s="182" t="s">
        <v>2006</v>
      </c>
      <c r="B619" s="182" t="s">
        <v>908</v>
      </c>
      <c r="C619" s="182" t="s">
        <v>909</v>
      </c>
      <c r="D619" s="182" t="s">
        <v>1904</v>
      </c>
      <c r="E619" s="183" t="s">
        <v>1905</v>
      </c>
      <c r="F619" s="183" t="s">
        <v>884</v>
      </c>
      <c r="G619" s="184">
        <v>0.05</v>
      </c>
      <c r="H619" s="185">
        <v>0.1</v>
      </c>
      <c r="I619" s="186">
        <v>18735.77</v>
      </c>
      <c r="J619" s="187">
        <v>1030.4673499999999</v>
      </c>
      <c r="K619" s="182" t="s">
        <v>2010</v>
      </c>
      <c r="L619" s="182">
        <v>9</v>
      </c>
      <c r="M619" s="182" t="s">
        <v>2019</v>
      </c>
      <c r="N619" s="186">
        <v>11</v>
      </c>
      <c r="O619" s="188">
        <v>0.05</v>
      </c>
      <c r="P619" s="188" t="s">
        <v>573</v>
      </c>
      <c r="Q619" s="188">
        <v>0</v>
      </c>
      <c r="R619" s="189" t="s">
        <v>573</v>
      </c>
      <c r="S619" s="189" t="s">
        <v>573</v>
      </c>
    </row>
    <row r="620" spans="1:19" ht="15" customHeight="1" x14ac:dyDescent="0.3">
      <c r="A620" s="182" t="s">
        <v>2006</v>
      </c>
      <c r="B620" s="182" t="s">
        <v>908</v>
      </c>
      <c r="C620" s="182" t="s">
        <v>909</v>
      </c>
      <c r="D620" s="182" t="s">
        <v>1907</v>
      </c>
      <c r="E620" s="183" t="s">
        <v>1908</v>
      </c>
      <c r="F620" s="183" t="s">
        <v>912</v>
      </c>
      <c r="G620" s="184">
        <v>2.5000000000000001E-3</v>
      </c>
      <c r="H620" s="185">
        <v>0.05</v>
      </c>
      <c r="I620" s="186">
        <v>9639</v>
      </c>
      <c r="J620" s="187">
        <v>25.302375000000001</v>
      </c>
      <c r="K620" s="182" t="s">
        <v>2010</v>
      </c>
      <c r="L620" s="182">
        <v>10</v>
      </c>
      <c r="M620" s="182" t="s">
        <v>2020</v>
      </c>
      <c r="N620" s="186">
        <v>11</v>
      </c>
      <c r="O620" s="188">
        <v>2.5000000000000001E-3</v>
      </c>
      <c r="P620" s="188" t="s">
        <v>573</v>
      </c>
      <c r="Q620" s="188">
        <v>0</v>
      </c>
      <c r="R620" s="189" t="s">
        <v>573</v>
      </c>
      <c r="S620" s="189" t="s">
        <v>573</v>
      </c>
    </row>
    <row r="621" spans="1:19" ht="15" customHeight="1" x14ac:dyDescent="0.3">
      <c r="A621" s="182" t="s">
        <v>2006</v>
      </c>
      <c r="B621" s="182" t="s">
        <v>937</v>
      </c>
      <c r="C621" s="182" t="s">
        <v>938</v>
      </c>
      <c r="D621" s="190" t="s">
        <v>1291</v>
      </c>
      <c r="E621" s="183" t="s">
        <v>1292</v>
      </c>
      <c r="F621" s="183" t="s">
        <v>941</v>
      </c>
      <c r="G621" s="184">
        <v>1</v>
      </c>
      <c r="H621" s="185">
        <v>0</v>
      </c>
      <c r="I621" s="186">
        <v>65493.071636572</v>
      </c>
      <c r="J621" s="187">
        <v>65493.071636572</v>
      </c>
      <c r="K621" s="182" t="s">
        <v>2021</v>
      </c>
      <c r="L621" s="182">
        <v>1</v>
      </c>
      <c r="M621" s="182" t="s">
        <v>2022</v>
      </c>
      <c r="N621" s="186">
        <v>11</v>
      </c>
      <c r="O621" s="188">
        <v>9.0909090909090898E-2</v>
      </c>
      <c r="P621" s="188" t="s">
        <v>573</v>
      </c>
      <c r="Q621" s="188">
        <v>0</v>
      </c>
      <c r="R621" s="189" t="s">
        <v>573</v>
      </c>
      <c r="S621" s="189" t="s">
        <v>573</v>
      </c>
    </row>
    <row r="622" spans="1:19" ht="15" customHeight="1" x14ac:dyDescent="0.3">
      <c r="A622" s="182" t="s">
        <v>2006</v>
      </c>
      <c r="B622" s="182" t="s">
        <v>937</v>
      </c>
      <c r="C622" s="182" t="s">
        <v>938</v>
      </c>
      <c r="D622" s="190" t="s">
        <v>944</v>
      </c>
      <c r="E622" s="183" t="s">
        <v>945</v>
      </c>
      <c r="F622" s="183" t="s">
        <v>941</v>
      </c>
      <c r="G622" s="184">
        <v>1</v>
      </c>
      <c r="H622" s="185">
        <v>0</v>
      </c>
      <c r="I622" s="186">
        <v>85927.097156571996</v>
      </c>
      <c r="J622" s="187">
        <v>85927.097156571996</v>
      </c>
      <c r="K622" s="182" t="s">
        <v>2021</v>
      </c>
      <c r="L622" s="182">
        <v>2</v>
      </c>
      <c r="M622" s="182" t="s">
        <v>2023</v>
      </c>
      <c r="N622" s="186">
        <v>11</v>
      </c>
      <c r="O622" s="188">
        <v>9.0909090909090898E-2</v>
      </c>
      <c r="P622" s="188" t="s">
        <v>573</v>
      </c>
      <c r="Q622" s="188">
        <v>0</v>
      </c>
      <c r="R622" s="189" t="s">
        <v>573</v>
      </c>
      <c r="S622" s="189" t="s">
        <v>573</v>
      </c>
    </row>
    <row r="623" spans="1:19" ht="15" customHeight="1" x14ac:dyDescent="0.3">
      <c r="A623" s="182" t="s">
        <v>2024</v>
      </c>
      <c r="B623" s="182" t="s">
        <v>563</v>
      </c>
      <c r="C623" s="182"/>
      <c r="D623" s="182" t="s">
        <v>1251</v>
      </c>
      <c r="E623" s="183" t="s">
        <v>1252</v>
      </c>
      <c r="F623" s="183"/>
      <c r="G623" s="184">
        <v>1</v>
      </c>
      <c r="H623" s="185">
        <v>0</v>
      </c>
      <c r="I623" s="186">
        <v>1723.6259595547101</v>
      </c>
      <c r="J623" s="187">
        <v>1723.6259595547101</v>
      </c>
      <c r="K623" s="182" t="s">
        <v>2025</v>
      </c>
      <c r="L623" s="182">
        <v>1</v>
      </c>
      <c r="M623" s="182" t="s">
        <v>2026</v>
      </c>
      <c r="N623" s="186">
        <v>20</v>
      </c>
      <c r="O623" s="188">
        <v>1</v>
      </c>
      <c r="P623" s="188" t="s">
        <v>573</v>
      </c>
      <c r="Q623" s="188">
        <v>0</v>
      </c>
      <c r="R623" s="189" t="s">
        <v>573</v>
      </c>
      <c r="S623" s="189" t="s">
        <v>573</v>
      </c>
    </row>
    <row r="624" spans="1:19" ht="15" customHeight="1" x14ac:dyDescent="0.3">
      <c r="A624" s="182" t="s">
        <v>2024</v>
      </c>
      <c r="B624" s="182" t="s">
        <v>563</v>
      </c>
      <c r="C624" s="182"/>
      <c r="D624" s="182" t="s">
        <v>1255</v>
      </c>
      <c r="E624" s="183" t="s">
        <v>1256</v>
      </c>
      <c r="F624" s="183"/>
      <c r="G624" s="184">
        <v>1</v>
      </c>
      <c r="H624" s="185">
        <v>0</v>
      </c>
      <c r="I624" s="186">
        <v>200.25307946474501</v>
      </c>
      <c r="J624" s="187">
        <v>200.25307946474501</v>
      </c>
      <c r="K624" s="182" t="s">
        <v>2025</v>
      </c>
      <c r="L624" s="182">
        <v>2</v>
      </c>
      <c r="M624" s="182" t="s">
        <v>2027</v>
      </c>
      <c r="N624" s="186">
        <v>20</v>
      </c>
      <c r="O624" s="188">
        <v>1</v>
      </c>
      <c r="P624" s="188" t="s">
        <v>573</v>
      </c>
      <c r="Q624" s="188">
        <v>0</v>
      </c>
      <c r="R624" s="189" t="s">
        <v>573</v>
      </c>
      <c r="S624" s="189" t="s">
        <v>573</v>
      </c>
    </row>
    <row r="625" spans="1:19" ht="15" customHeight="1" x14ac:dyDescent="0.3">
      <c r="A625" s="182" t="s">
        <v>2024</v>
      </c>
      <c r="B625" s="182" t="s">
        <v>908</v>
      </c>
      <c r="C625" s="182" t="s">
        <v>909</v>
      </c>
      <c r="D625" s="182" t="s">
        <v>910</v>
      </c>
      <c r="E625" s="183" t="s">
        <v>911</v>
      </c>
      <c r="F625" s="183" t="s">
        <v>912</v>
      </c>
      <c r="G625" s="184">
        <v>0.01</v>
      </c>
      <c r="H625" s="185">
        <v>0.1</v>
      </c>
      <c r="I625" s="186">
        <v>26907.33</v>
      </c>
      <c r="J625" s="187">
        <v>295.98063000000002</v>
      </c>
      <c r="K625" s="182" t="s">
        <v>2028</v>
      </c>
      <c r="L625" s="182">
        <v>1</v>
      </c>
      <c r="M625" s="182" t="s">
        <v>2029</v>
      </c>
      <c r="N625" s="186">
        <v>20</v>
      </c>
      <c r="O625" s="188">
        <v>0.01</v>
      </c>
      <c r="P625" s="188" t="s">
        <v>573</v>
      </c>
      <c r="Q625" s="188">
        <v>0</v>
      </c>
      <c r="R625" s="189" t="s">
        <v>573</v>
      </c>
      <c r="S625" s="189" t="s">
        <v>573</v>
      </c>
    </row>
    <row r="626" spans="1:19" ht="15" customHeight="1" x14ac:dyDescent="0.3">
      <c r="A626" s="182" t="s">
        <v>2024</v>
      </c>
      <c r="B626" s="182" t="s">
        <v>908</v>
      </c>
      <c r="C626" s="182" t="s">
        <v>909</v>
      </c>
      <c r="D626" s="182" t="s">
        <v>1262</v>
      </c>
      <c r="E626" s="183" t="s">
        <v>1263</v>
      </c>
      <c r="F626" s="183" t="s">
        <v>600</v>
      </c>
      <c r="G626" s="184">
        <v>0.02</v>
      </c>
      <c r="H626" s="185">
        <v>0.05</v>
      </c>
      <c r="I626" s="186">
        <v>5661.4</v>
      </c>
      <c r="J626" s="187">
        <v>118.88939999999999</v>
      </c>
      <c r="K626" s="182" t="s">
        <v>2028</v>
      </c>
      <c r="L626" s="182">
        <v>2</v>
      </c>
      <c r="M626" s="182" t="s">
        <v>2030</v>
      </c>
      <c r="N626" s="186">
        <v>20</v>
      </c>
      <c r="O626" s="188">
        <v>0.02</v>
      </c>
      <c r="P626" s="188" t="s">
        <v>573</v>
      </c>
      <c r="Q626" s="188">
        <v>0</v>
      </c>
      <c r="R626" s="189" t="s">
        <v>573</v>
      </c>
      <c r="S626" s="189" t="s">
        <v>573</v>
      </c>
    </row>
    <row r="627" spans="1:19" ht="15" customHeight="1" x14ac:dyDescent="0.3">
      <c r="A627" s="182" t="s">
        <v>2024</v>
      </c>
      <c r="B627" s="182" t="s">
        <v>908</v>
      </c>
      <c r="C627" s="182" t="s">
        <v>909</v>
      </c>
      <c r="D627" s="182" t="s">
        <v>1265</v>
      </c>
      <c r="E627" s="183" t="s">
        <v>1266</v>
      </c>
      <c r="F627" s="183" t="s">
        <v>600</v>
      </c>
      <c r="G627" s="184">
        <v>0.05</v>
      </c>
      <c r="H627" s="185">
        <v>0.1</v>
      </c>
      <c r="I627" s="186">
        <v>3293.01</v>
      </c>
      <c r="J627" s="187">
        <v>181.11555000000001</v>
      </c>
      <c r="K627" s="182" t="s">
        <v>2028</v>
      </c>
      <c r="L627" s="182">
        <v>3</v>
      </c>
      <c r="M627" s="182" t="s">
        <v>2031</v>
      </c>
      <c r="N627" s="186">
        <v>20</v>
      </c>
      <c r="O627" s="188">
        <v>0.05</v>
      </c>
      <c r="P627" s="188" t="s">
        <v>573</v>
      </c>
      <c r="Q627" s="188">
        <v>0</v>
      </c>
      <c r="R627" s="189" t="s">
        <v>573</v>
      </c>
      <c r="S627" s="189" t="s">
        <v>573</v>
      </c>
    </row>
    <row r="628" spans="1:19" ht="15" customHeight="1" x14ac:dyDescent="0.3">
      <c r="A628" s="182" t="s">
        <v>2024</v>
      </c>
      <c r="B628" s="182" t="s">
        <v>908</v>
      </c>
      <c r="C628" s="182" t="s">
        <v>909</v>
      </c>
      <c r="D628" s="182" t="s">
        <v>915</v>
      </c>
      <c r="E628" s="183" t="s">
        <v>916</v>
      </c>
      <c r="F628" s="183" t="s">
        <v>600</v>
      </c>
      <c r="G628" s="184">
        <v>0.03</v>
      </c>
      <c r="H628" s="185">
        <v>0.05</v>
      </c>
      <c r="I628" s="186">
        <v>735.06</v>
      </c>
      <c r="J628" s="187">
        <v>23.154389999999999</v>
      </c>
      <c r="K628" s="182" t="s">
        <v>2028</v>
      </c>
      <c r="L628" s="182">
        <v>4</v>
      </c>
      <c r="M628" s="182" t="s">
        <v>2032</v>
      </c>
      <c r="N628" s="186">
        <v>20</v>
      </c>
      <c r="O628" s="188">
        <v>0.03</v>
      </c>
      <c r="P628" s="188" t="s">
        <v>573</v>
      </c>
      <c r="Q628" s="188">
        <v>0</v>
      </c>
      <c r="R628" s="189" t="s">
        <v>573</v>
      </c>
      <c r="S628" s="189" t="s">
        <v>573</v>
      </c>
    </row>
    <row r="629" spans="1:19" ht="15" customHeight="1" x14ac:dyDescent="0.3">
      <c r="A629" s="182" t="s">
        <v>2024</v>
      </c>
      <c r="B629" s="182" t="s">
        <v>908</v>
      </c>
      <c r="C629" s="182" t="s">
        <v>909</v>
      </c>
      <c r="D629" s="182" t="s">
        <v>918</v>
      </c>
      <c r="E629" s="183" t="s">
        <v>919</v>
      </c>
      <c r="F629" s="183" t="s">
        <v>600</v>
      </c>
      <c r="G629" s="184">
        <v>0.01</v>
      </c>
      <c r="H629" s="185">
        <v>0.05</v>
      </c>
      <c r="I629" s="186">
        <v>6678.36</v>
      </c>
      <c r="J629" s="187">
        <v>70.122780000000006</v>
      </c>
      <c r="K629" s="182" t="s">
        <v>2028</v>
      </c>
      <c r="L629" s="182">
        <v>5</v>
      </c>
      <c r="M629" s="182" t="s">
        <v>2033</v>
      </c>
      <c r="N629" s="186">
        <v>20</v>
      </c>
      <c r="O629" s="188">
        <v>0.01</v>
      </c>
      <c r="P629" s="188" t="s">
        <v>573</v>
      </c>
      <c r="Q629" s="188">
        <v>0</v>
      </c>
      <c r="R629" s="189" t="s">
        <v>573</v>
      </c>
      <c r="S629" s="189" t="s">
        <v>573</v>
      </c>
    </row>
    <row r="630" spans="1:19" ht="15" customHeight="1" x14ac:dyDescent="0.3">
      <c r="A630" s="182" t="s">
        <v>2024</v>
      </c>
      <c r="B630" s="182" t="s">
        <v>908</v>
      </c>
      <c r="C630" s="182" t="s">
        <v>909</v>
      </c>
      <c r="D630" s="182" t="s">
        <v>921</v>
      </c>
      <c r="E630" s="183" t="s">
        <v>922</v>
      </c>
      <c r="F630" s="183" t="s">
        <v>600</v>
      </c>
      <c r="G630" s="184">
        <v>0.01</v>
      </c>
      <c r="H630" s="185">
        <v>0.05</v>
      </c>
      <c r="I630" s="186">
        <v>5282.24</v>
      </c>
      <c r="J630" s="187">
        <v>55.463520000000003</v>
      </c>
      <c r="K630" s="182" t="s">
        <v>2028</v>
      </c>
      <c r="L630" s="182">
        <v>6</v>
      </c>
      <c r="M630" s="182" t="s">
        <v>2034</v>
      </c>
      <c r="N630" s="186">
        <v>20</v>
      </c>
      <c r="O630" s="188">
        <v>0.01</v>
      </c>
      <c r="P630" s="188" t="s">
        <v>573</v>
      </c>
      <c r="Q630" s="188">
        <v>0</v>
      </c>
      <c r="R630" s="189" t="s">
        <v>573</v>
      </c>
      <c r="S630" s="189" t="s">
        <v>573</v>
      </c>
    </row>
    <row r="631" spans="1:19" ht="15" customHeight="1" x14ac:dyDescent="0.3">
      <c r="A631" s="182" t="s">
        <v>2024</v>
      </c>
      <c r="B631" s="182" t="s">
        <v>908</v>
      </c>
      <c r="C631" s="182" t="s">
        <v>909</v>
      </c>
      <c r="D631" s="182" t="s">
        <v>1271</v>
      </c>
      <c r="E631" s="183" t="s">
        <v>1272</v>
      </c>
      <c r="F631" s="183" t="s">
        <v>600</v>
      </c>
      <c r="G631" s="184">
        <v>0.02</v>
      </c>
      <c r="H631" s="185">
        <v>0.05</v>
      </c>
      <c r="I631" s="186">
        <v>7427.6</v>
      </c>
      <c r="J631" s="187">
        <v>155.9796</v>
      </c>
      <c r="K631" s="182" t="s">
        <v>2028</v>
      </c>
      <c r="L631" s="182">
        <v>7</v>
      </c>
      <c r="M631" s="182" t="s">
        <v>2035</v>
      </c>
      <c r="N631" s="186">
        <v>20</v>
      </c>
      <c r="O631" s="188">
        <v>0.02</v>
      </c>
      <c r="P631" s="188" t="s">
        <v>573</v>
      </c>
      <c r="Q631" s="188">
        <v>0</v>
      </c>
      <c r="R631" s="189" t="s">
        <v>573</v>
      </c>
      <c r="S631" s="189" t="s">
        <v>573</v>
      </c>
    </row>
    <row r="632" spans="1:19" ht="15" customHeight="1" x14ac:dyDescent="0.3">
      <c r="A632" s="182" t="s">
        <v>2024</v>
      </c>
      <c r="B632" s="182" t="s">
        <v>908</v>
      </c>
      <c r="C632" s="182" t="s">
        <v>909</v>
      </c>
      <c r="D632" s="182" t="s">
        <v>1976</v>
      </c>
      <c r="E632" s="183" t="s">
        <v>1977</v>
      </c>
      <c r="F632" s="183" t="s">
        <v>912</v>
      </c>
      <c r="G632" s="184">
        <v>6.25E-2</v>
      </c>
      <c r="H632" s="185">
        <v>0.1</v>
      </c>
      <c r="I632" s="186">
        <v>28011.57</v>
      </c>
      <c r="J632" s="187">
        <v>1925.7954374999999</v>
      </c>
      <c r="K632" s="182" t="s">
        <v>2028</v>
      </c>
      <c r="L632" s="182">
        <v>8</v>
      </c>
      <c r="M632" s="182" t="s">
        <v>2036</v>
      </c>
      <c r="N632" s="186">
        <v>20</v>
      </c>
      <c r="O632" s="188">
        <v>6.25E-2</v>
      </c>
      <c r="P632" s="188" t="s">
        <v>573</v>
      </c>
      <c r="Q632" s="188">
        <v>0</v>
      </c>
      <c r="R632" s="189" t="s">
        <v>573</v>
      </c>
      <c r="S632" s="189" t="s">
        <v>573</v>
      </c>
    </row>
    <row r="633" spans="1:19" ht="15" customHeight="1" x14ac:dyDescent="0.3">
      <c r="A633" s="182" t="s">
        <v>2024</v>
      </c>
      <c r="B633" s="182" t="s">
        <v>908</v>
      </c>
      <c r="C633" s="182" t="s">
        <v>909</v>
      </c>
      <c r="D633" s="182" t="s">
        <v>1904</v>
      </c>
      <c r="E633" s="183" t="s">
        <v>1905</v>
      </c>
      <c r="F633" s="183" t="s">
        <v>884</v>
      </c>
      <c r="G633" s="184">
        <v>2E-3</v>
      </c>
      <c r="H633" s="185">
        <v>0.1</v>
      </c>
      <c r="I633" s="186">
        <v>18735.77</v>
      </c>
      <c r="J633" s="187">
        <v>41.218693999999999</v>
      </c>
      <c r="K633" s="182" t="s">
        <v>2028</v>
      </c>
      <c r="L633" s="182">
        <v>9</v>
      </c>
      <c r="M633" s="182" t="s">
        <v>2037</v>
      </c>
      <c r="N633" s="186">
        <v>20</v>
      </c>
      <c r="O633" s="188">
        <v>2E-3</v>
      </c>
      <c r="P633" s="188" t="s">
        <v>573</v>
      </c>
      <c r="Q633" s="188">
        <v>0</v>
      </c>
      <c r="R633" s="189" t="s">
        <v>573</v>
      </c>
      <c r="S633" s="189" t="s">
        <v>573</v>
      </c>
    </row>
    <row r="634" spans="1:19" ht="15" customHeight="1" x14ac:dyDescent="0.3">
      <c r="A634" s="182" t="s">
        <v>2024</v>
      </c>
      <c r="B634" s="182" t="s">
        <v>937</v>
      </c>
      <c r="C634" s="182" t="s">
        <v>938</v>
      </c>
      <c r="D634" s="190" t="s">
        <v>1291</v>
      </c>
      <c r="E634" s="183" t="s">
        <v>1292</v>
      </c>
      <c r="F634" s="183" t="s">
        <v>941</v>
      </c>
      <c r="G634" s="184">
        <v>1</v>
      </c>
      <c r="H634" s="185">
        <v>0</v>
      </c>
      <c r="I634" s="186">
        <v>65493.071636572</v>
      </c>
      <c r="J634" s="187">
        <v>65493.071636572</v>
      </c>
      <c r="K634" s="182" t="s">
        <v>2038</v>
      </c>
      <c r="L634" s="182">
        <v>1</v>
      </c>
      <c r="M634" s="182" t="s">
        <v>2039</v>
      </c>
      <c r="N634" s="186">
        <v>20</v>
      </c>
      <c r="O634" s="188">
        <v>0.05</v>
      </c>
      <c r="P634" s="188" t="s">
        <v>573</v>
      </c>
      <c r="Q634" s="188">
        <v>0</v>
      </c>
      <c r="R634" s="189" t="s">
        <v>573</v>
      </c>
      <c r="S634" s="189" t="s">
        <v>573</v>
      </c>
    </row>
    <row r="635" spans="1:19" ht="15" customHeight="1" x14ac:dyDescent="0.3">
      <c r="A635" s="182" t="s">
        <v>2024</v>
      </c>
      <c r="B635" s="182" t="s">
        <v>937</v>
      </c>
      <c r="C635" s="182" t="s">
        <v>938</v>
      </c>
      <c r="D635" s="190" t="s">
        <v>944</v>
      </c>
      <c r="E635" s="183" t="s">
        <v>945</v>
      </c>
      <c r="F635" s="183" t="s">
        <v>941</v>
      </c>
      <c r="G635" s="184">
        <v>1</v>
      </c>
      <c r="H635" s="185">
        <v>0</v>
      </c>
      <c r="I635" s="186">
        <v>85927.097156571996</v>
      </c>
      <c r="J635" s="187">
        <v>85927.097156571996</v>
      </c>
      <c r="K635" s="182" t="s">
        <v>2038</v>
      </c>
      <c r="L635" s="182">
        <v>2</v>
      </c>
      <c r="M635" s="182" t="s">
        <v>2040</v>
      </c>
      <c r="N635" s="186">
        <v>20</v>
      </c>
      <c r="O635" s="188">
        <v>0.05</v>
      </c>
      <c r="P635" s="188" t="s">
        <v>573</v>
      </c>
      <c r="Q635" s="188">
        <v>0</v>
      </c>
      <c r="R635" s="189" t="s">
        <v>573</v>
      </c>
      <c r="S635" s="189" t="s">
        <v>573</v>
      </c>
    </row>
    <row r="636" spans="1:19" ht="15" customHeight="1" x14ac:dyDescent="0.3">
      <c r="A636" s="182" t="s">
        <v>2041</v>
      </c>
      <c r="B636" s="182" t="s">
        <v>563</v>
      </c>
      <c r="C636" s="182"/>
      <c r="D636" s="182" t="s">
        <v>1251</v>
      </c>
      <c r="E636" s="183" t="s">
        <v>1252</v>
      </c>
      <c r="F636" s="183"/>
      <c r="G636" s="184">
        <v>1</v>
      </c>
      <c r="H636" s="185">
        <v>0</v>
      </c>
      <c r="I636" s="186">
        <v>1723.6259595547101</v>
      </c>
      <c r="J636" s="187">
        <v>1723.6259595547101</v>
      </c>
      <c r="K636" s="182" t="s">
        <v>2042</v>
      </c>
      <c r="L636" s="182">
        <v>1</v>
      </c>
      <c r="M636" s="182" t="s">
        <v>2043</v>
      </c>
      <c r="N636" s="186">
        <v>50</v>
      </c>
      <c r="O636" s="188">
        <v>1</v>
      </c>
      <c r="P636" s="188" t="s">
        <v>573</v>
      </c>
      <c r="Q636" s="188">
        <v>0</v>
      </c>
      <c r="R636" s="189" t="s">
        <v>573</v>
      </c>
      <c r="S636" s="189" t="s">
        <v>573</v>
      </c>
    </row>
    <row r="637" spans="1:19" ht="15" customHeight="1" x14ac:dyDescent="0.3">
      <c r="A637" s="182" t="s">
        <v>2041</v>
      </c>
      <c r="B637" s="182" t="s">
        <v>563</v>
      </c>
      <c r="C637" s="182"/>
      <c r="D637" s="182" t="s">
        <v>1456</v>
      </c>
      <c r="E637" s="183" t="s">
        <v>1457</v>
      </c>
      <c r="F637" s="183"/>
      <c r="G637" s="184">
        <v>1</v>
      </c>
      <c r="H637" s="185">
        <v>0</v>
      </c>
      <c r="I637" s="186">
        <v>140.198092594309</v>
      </c>
      <c r="J637" s="187">
        <v>140.198092594309</v>
      </c>
      <c r="K637" s="182" t="s">
        <v>2042</v>
      </c>
      <c r="L637" s="182">
        <v>2</v>
      </c>
      <c r="M637" s="182" t="s">
        <v>2044</v>
      </c>
      <c r="N637" s="186">
        <v>50</v>
      </c>
      <c r="O637" s="188">
        <v>1</v>
      </c>
      <c r="P637" s="188" t="s">
        <v>573</v>
      </c>
      <c r="Q637" s="188">
        <v>0</v>
      </c>
      <c r="R637" s="189" t="s">
        <v>573</v>
      </c>
      <c r="S637" s="189" t="s">
        <v>573</v>
      </c>
    </row>
    <row r="638" spans="1:19" ht="15" customHeight="1" x14ac:dyDescent="0.3">
      <c r="A638" s="182" t="s">
        <v>2041</v>
      </c>
      <c r="B638" s="182" t="s">
        <v>908</v>
      </c>
      <c r="C638" s="182" t="s">
        <v>909</v>
      </c>
      <c r="D638" s="182" t="s">
        <v>2045</v>
      </c>
      <c r="E638" s="183" t="s">
        <v>2046</v>
      </c>
      <c r="F638" s="183" t="s">
        <v>600</v>
      </c>
      <c r="G638" s="184">
        <v>0.04</v>
      </c>
      <c r="H638" s="185">
        <v>0.1</v>
      </c>
      <c r="I638" s="186">
        <v>66115.702479338797</v>
      </c>
      <c r="J638" s="187">
        <v>2909.0909090909099</v>
      </c>
      <c r="K638" s="182" t="s">
        <v>2047</v>
      </c>
      <c r="L638" s="182">
        <v>1</v>
      </c>
      <c r="M638" s="182" t="s">
        <v>2048</v>
      </c>
      <c r="N638" s="186">
        <v>50</v>
      </c>
      <c r="O638" s="188">
        <v>0.04</v>
      </c>
      <c r="P638" s="188" t="s">
        <v>573</v>
      </c>
      <c r="Q638" s="188">
        <v>0</v>
      </c>
      <c r="R638" s="189" t="s">
        <v>573</v>
      </c>
      <c r="S638" s="189" t="s">
        <v>573</v>
      </c>
    </row>
    <row r="639" spans="1:19" ht="15" customHeight="1" x14ac:dyDescent="0.3">
      <c r="A639" s="182" t="s">
        <v>2041</v>
      </c>
      <c r="B639" s="182" t="s">
        <v>908</v>
      </c>
      <c r="C639" s="182" t="s">
        <v>909</v>
      </c>
      <c r="D639" s="182" t="s">
        <v>2049</v>
      </c>
      <c r="E639" s="183" t="s">
        <v>2050</v>
      </c>
      <c r="F639" s="183" t="s">
        <v>600</v>
      </c>
      <c r="G639" s="184">
        <v>3.5000000000000003E-2</v>
      </c>
      <c r="H639" s="185">
        <v>0.1</v>
      </c>
      <c r="I639" s="186">
        <v>124188.429752066</v>
      </c>
      <c r="J639" s="187">
        <v>4781.2545454545398</v>
      </c>
      <c r="K639" s="182" t="s">
        <v>2047</v>
      </c>
      <c r="L639" s="182">
        <v>2</v>
      </c>
      <c r="M639" s="182" t="s">
        <v>2051</v>
      </c>
      <c r="N639" s="186">
        <v>50</v>
      </c>
      <c r="O639" s="188">
        <v>3.5000000000000003E-2</v>
      </c>
      <c r="P639" s="188" t="s">
        <v>573</v>
      </c>
      <c r="Q639" s="188">
        <v>0</v>
      </c>
      <c r="R639" s="189" t="s">
        <v>573</v>
      </c>
      <c r="S639" s="189" t="s">
        <v>573</v>
      </c>
    </row>
    <row r="640" spans="1:19" ht="15" customHeight="1" x14ac:dyDescent="0.3">
      <c r="A640" s="182" t="s">
        <v>2041</v>
      </c>
      <c r="B640" s="182" t="s">
        <v>908</v>
      </c>
      <c r="C640" s="182" t="s">
        <v>909</v>
      </c>
      <c r="D640" s="182" t="s">
        <v>915</v>
      </c>
      <c r="E640" s="183" t="s">
        <v>916</v>
      </c>
      <c r="F640" s="183" t="s">
        <v>600</v>
      </c>
      <c r="G640" s="184">
        <v>0.01</v>
      </c>
      <c r="H640" s="185">
        <v>0.05</v>
      </c>
      <c r="I640" s="186">
        <v>735.06</v>
      </c>
      <c r="J640" s="187">
        <v>7.7181300000000004</v>
      </c>
      <c r="K640" s="182" t="s">
        <v>2047</v>
      </c>
      <c r="L640" s="182">
        <v>3</v>
      </c>
      <c r="M640" s="182" t="s">
        <v>2052</v>
      </c>
      <c r="N640" s="186">
        <v>50</v>
      </c>
      <c r="O640" s="188">
        <v>0.01</v>
      </c>
      <c r="P640" s="188" t="s">
        <v>573</v>
      </c>
      <c r="Q640" s="188">
        <v>0</v>
      </c>
      <c r="R640" s="189" t="s">
        <v>573</v>
      </c>
      <c r="S640" s="189" t="s">
        <v>573</v>
      </c>
    </row>
    <row r="641" spans="1:19" ht="15" customHeight="1" x14ac:dyDescent="0.3">
      <c r="A641" s="182" t="s">
        <v>2041</v>
      </c>
      <c r="B641" s="182" t="s">
        <v>908</v>
      </c>
      <c r="C641" s="182" t="s">
        <v>909</v>
      </c>
      <c r="D641" s="182" t="s">
        <v>918</v>
      </c>
      <c r="E641" s="183" t="s">
        <v>919</v>
      </c>
      <c r="F641" s="183" t="s">
        <v>600</v>
      </c>
      <c r="G641" s="184">
        <v>0.01</v>
      </c>
      <c r="H641" s="185">
        <v>0.05</v>
      </c>
      <c r="I641" s="186">
        <v>6678.36</v>
      </c>
      <c r="J641" s="187">
        <v>70.122780000000006</v>
      </c>
      <c r="K641" s="182" t="s">
        <v>2047</v>
      </c>
      <c r="L641" s="182">
        <v>4</v>
      </c>
      <c r="M641" s="182" t="s">
        <v>2053</v>
      </c>
      <c r="N641" s="186">
        <v>50</v>
      </c>
      <c r="O641" s="188">
        <v>0.01</v>
      </c>
      <c r="P641" s="188" t="s">
        <v>573</v>
      </c>
      <c r="Q641" s="188">
        <v>0</v>
      </c>
      <c r="R641" s="189" t="s">
        <v>573</v>
      </c>
      <c r="S641" s="189" t="s">
        <v>573</v>
      </c>
    </row>
    <row r="642" spans="1:19" ht="15" customHeight="1" x14ac:dyDescent="0.3">
      <c r="A642" s="182" t="s">
        <v>2041</v>
      </c>
      <c r="B642" s="182" t="s">
        <v>908</v>
      </c>
      <c r="C642" s="182" t="s">
        <v>909</v>
      </c>
      <c r="D642" s="182" t="s">
        <v>921</v>
      </c>
      <c r="E642" s="183" t="s">
        <v>922</v>
      </c>
      <c r="F642" s="183" t="s">
        <v>600</v>
      </c>
      <c r="G642" s="184">
        <v>0.01</v>
      </c>
      <c r="H642" s="185">
        <v>0.05</v>
      </c>
      <c r="I642" s="186">
        <v>5282.24</v>
      </c>
      <c r="J642" s="187">
        <v>55.463520000000003</v>
      </c>
      <c r="K642" s="182" t="s">
        <v>2047</v>
      </c>
      <c r="L642" s="182">
        <v>5</v>
      </c>
      <c r="M642" s="182" t="s">
        <v>2054</v>
      </c>
      <c r="N642" s="186">
        <v>50</v>
      </c>
      <c r="O642" s="188">
        <v>0.01</v>
      </c>
      <c r="P642" s="188" t="s">
        <v>573</v>
      </c>
      <c r="Q642" s="188">
        <v>0</v>
      </c>
      <c r="R642" s="189" t="s">
        <v>573</v>
      </c>
      <c r="S642" s="189" t="s">
        <v>573</v>
      </c>
    </row>
    <row r="643" spans="1:19" ht="15" customHeight="1" x14ac:dyDescent="0.3">
      <c r="A643" s="182" t="s">
        <v>2041</v>
      </c>
      <c r="B643" s="182" t="s">
        <v>937</v>
      </c>
      <c r="C643" s="182" t="s">
        <v>938</v>
      </c>
      <c r="D643" s="190" t="s">
        <v>939</v>
      </c>
      <c r="E643" s="183" t="s">
        <v>940</v>
      </c>
      <c r="F643" s="183" t="s">
        <v>941</v>
      </c>
      <c r="G643" s="184">
        <v>1</v>
      </c>
      <c r="H643" s="185">
        <v>0</v>
      </c>
      <c r="I643" s="186">
        <v>60860.580776572002</v>
      </c>
      <c r="J643" s="187">
        <v>60860.580776572002</v>
      </c>
      <c r="K643" s="182" t="s">
        <v>2055</v>
      </c>
      <c r="L643" s="182">
        <v>1</v>
      </c>
      <c r="M643" s="182" t="s">
        <v>2056</v>
      </c>
      <c r="N643" s="186">
        <v>50</v>
      </c>
      <c r="O643" s="188">
        <v>0.02</v>
      </c>
      <c r="P643" s="188" t="s">
        <v>573</v>
      </c>
      <c r="Q643" s="188">
        <v>0</v>
      </c>
      <c r="R643" s="189" t="s">
        <v>573</v>
      </c>
      <c r="S643" s="189" t="s">
        <v>573</v>
      </c>
    </row>
    <row r="644" spans="1:19" ht="15" customHeight="1" x14ac:dyDescent="0.3">
      <c r="A644" s="182" t="s">
        <v>2041</v>
      </c>
      <c r="B644" s="182" t="s">
        <v>937</v>
      </c>
      <c r="C644" s="182" t="s">
        <v>938</v>
      </c>
      <c r="D644" s="190" t="s">
        <v>1375</v>
      </c>
      <c r="E644" s="183" t="s">
        <v>1376</v>
      </c>
      <c r="F644" s="183" t="s">
        <v>941</v>
      </c>
      <c r="G644" s="184">
        <v>1</v>
      </c>
      <c r="H644" s="185">
        <v>0</v>
      </c>
      <c r="I644" s="186">
        <v>76955.079706571996</v>
      </c>
      <c r="J644" s="187">
        <v>76955.079706571996</v>
      </c>
      <c r="K644" s="182" t="s">
        <v>2055</v>
      </c>
      <c r="L644" s="182">
        <v>2</v>
      </c>
      <c r="M644" s="182" t="s">
        <v>2057</v>
      </c>
      <c r="N644" s="186">
        <v>50</v>
      </c>
      <c r="O644" s="188">
        <v>0.02</v>
      </c>
      <c r="P644" s="188" t="s">
        <v>573</v>
      </c>
      <c r="Q644" s="188">
        <v>0</v>
      </c>
      <c r="R644" s="189" t="s">
        <v>573</v>
      </c>
      <c r="S644" s="189" t="s">
        <v>573</v>
      </c>
    </row>
    <row r="645" spans="1:19" ht="15" customHeight="1" x14ac:dyDescent="0.3">
      <c r="A645" s="182" t="s">
        <v>2058</v>
      </c>
      <c r="B645" s="182" t="s">
        <v>563</v>
      </c>
      <c r="C645" s="182"/>
      <c r="D645" s="182" t="s">
        <v>1251</v>
      </c>
      <c r="E645" s="183" t="s">
        <v>1252</v>
      </c>
      <c r="F645" s="183"/>
      <c r="G645" s="184">
        <v>1</v>
      </c>
      <c r="H645" s="185">
        <v>0</v>
      </c>
      <c r="I645" s="186">
        <v>1723.6259595547101</v>
      </c>
      <c r="J645" s="187">
        <v>1723.6259595547101</v>
      </c>
      <c r="K645" s="182" t="s">
        <v>2059</v>
      </c>
      <c r="L645" s="182">
        <v>1</v>
      </c>
      <c r="M645" s="182" t="s">
        <v>2060</v>
      </c>
      <c r="N645" s="186">
        <v>20</v>
      </c>
      <c r="O645" s="188">
        <v>1</v>
      </c>
      <c r="P645" s="188" t="s">
        <v>573</v>
      </c>
      <c r="Q645" s="188">
        <v>0</v>
      </c>
      <c r="R645" s="189" t="s">
        <v>573</v>
      </c>
      <c r="S645" s="189" t="s">
        <v>573</v>
      </c>
    </row>
    <row r="646" spans="1:19" ht="15" customHeight="1" x14ac:dyDescent="0.3">
      <c r="A646" s="182" t="s">
        <v>2058</v>
      </c>
      <c r="B646" s="182" t="s">
        <v>563</v>
      </c>
      <c r="C646" s="182"/>
      <c r="D646" s="182" t="s">
        <v>1255</v>
      </c>
      <c r="E646" s="183" t="s">
        <v>1256</v>
      </c>
      <c r="F646" s="183"/>
      <c r="G646" s="184">
        <v>1</v>
      </c>
      <c r="H646" s="185">
        <v>0</v>
      </c>
      <c r="I646" s="186">
        <v>200.25307946474501</v>
      </c>
      <c r="J646" s="187">
        <v>200.25307946474501</v>
      </c>
      <c r="K646" s="182" t="s">
        <v>2059</v>
      </c>
      <c r="L646" s="182">
        <v>2</v>
      </c>
      <c r="M646" s="182" t="s">
        <v>2061</v>
      </c>
      <c r="N646" s="186">
        <v>20</v>
      </c>
      <c r="O646" s="188">
        <v>1</v>
      </c>
      <c r="P646" s="188" t="s">
        <v>573</v>
      </c>
      <c r="Q646" s="188">
        <v>0</v>
      </c>
      <c r="R646" s="189" t="s">
        <v>573</v>
      </c>
      <c r="S646" s="189" t="s">
        <v>573</v>
      </c>
    </row>
    <row r="647" spans="1:19" ht="15" customHeight="1" x14ac:dyDescent="0.3">
      <c r="A647" s="182" t="s">
        <v>2058</v>
      </c>
      <c r="B647" s="182" t="s">
        <v>908</v>
      </c>
      <c r="C647" s="182" t="s">
        <v>909</v>
      </c>
      <c r="D647" s="182" t="s">
        <v>1262</v>
      </c>
      <c r="E647" s="183" t="s">
        <v>1263</v>
      </c>
      <c r="F647" s="183" t="s">
        <v>600</v>
      </c>
      <c r="G647" s="184">
        <v>0.01</v>
      </c>
      <c r="H647" s="185">
        <v>0.05</v>
      </c>
      <c r="I647" s="186">
        <v>5661.4</v>
      </c>
      <c r="J647" s="187">
        <v>59.444699999999997</v>
      </c>
      <c r="K647" s="182" t="s">
        <v>2062</v>
      </c>
      <c r="L647" s="182">
        <v>1</v>
      </c>
      <c r="M647" s="182" t="s">
        <v>2063</v>
      </c>
      <c r="N647" s="186">
        <v>20</v>
      </c>
      <c r="O647" s="188">
        <v>0.01</v>
      </c>
      <c r="P647" s="188" t="s">
        <v>573</v>
      </c>
      <c r="Q647" s="188">
        <v>0</v>
      </c>
      <c r="R647" s="189" t="s">
        <v>573</v>
      </c>
      <c r="S647" s="189" t="s">
        <v>573</v>
      </c>
    </row>
    <row r="648" spans="1:19" ht="15" customHeight="1" x14ac:dyDescent="0.3">
      <c r="A648" s="182" t="s">
        <v>2058</v>
      </c>
      <c r="B648" s="182" t="s">
        <v>908</v>
      </c>
      <c r="C648" s="182" t="s">
        <v>909</v>
      </c>
      <c r="D648" s="182" t="s">
        <v>1265</v>
      </c>
      <c r="E648" s="183" t="s">
        <v>1266</v>
      </c>
      <c r="F648" s="183" t="s">
        <v>600</v>
      </c>
      <c r="G648" s="184">
        <v>0.05</v>
      </c>
      <c r="H648" s="185">
        <v>0.1</v>
      </c>
      <c r="I648" s="186">
        <v>3293.01</v>
      </c>
      <c r="J648" s="187">
        <v>181.11555000000001</v>
      </c>
      <c r="K648" s="182" t="s">
        <v>2062</v>
      </c>
      <c r="L648" s="182">
        <v>2</v>
      </c>
      <c r="M648" s="182" t="s">
        <v>2064</v>
      </c>
      <c r="N648" s="186">
        <v>20</v>
      </c>
      <c r="O648" s="188">
        <v>0.05</v>
      </c>
      <c r="P648" s="188" t="s">
        <v>573</v>
      </c>
      <c r="Q648" s="188">
        <v>0</v>
      </c>
      <c r="R648" s="189" t="s">
        <v>573</v>
      </c>
      <c r="S648" s="189" t="s">
        <v>573</v>
      </c>
    </row>
    <row r="649" spans="1:19" ht="15" customHeight="1" x14ac:dyDescent="0.3">
      <c r="A649" s="182" t="s">
        <v>2058</v>
      </c>
      <c r="B649" s="182" t="s">
        <v>908</v>
      </c>
      <c r="C649" s="182" t="s">
        <v>909</v>
      </c>
      <c r="D649" s="182" t="s">
        <v>915</v>
      </c>
      <c r="E649" s="183" t="s">
        <v>916</v>
      </c>
      <c r="F649" s="183" t="s">
        <v>600</v>
      </c>
      <c r="G649" s="184">
        <v>0.03</v>
      </c>
      <c r="H649" s="185">
        <v>0.05</v>
      </c>
      <c r="I649" s="186">
        <v>735.06</v>
      </c>
      <c r="J649" s="187">
        <v>23.154389999999999</v>
      </c>
      <c r="K649" s="182" t="s">
        <v>2062</v>
      </c>
      <c r="L649" s="182">
        <v>3</v>
      </c>
      <c r="M649" s="182" t="s">
        <v>2065</v>
      </c>
      <c r="N649" s="186">
        <v>20</v>
      </c>
      <c r="O649" s="188">
        <v>0.03</v>
      </c>
      <c r="P649" s="188" t="s">
        <v>573</v>
      </c>
      <c r="Q649" s="188">
        <v>0</v>
      </c>
      <c r="R649" s="189" t="s">
        <v>573</v>
      </c>
      <c r="S649" s="189" t="s">
        <v>573</v>
      </c>
    </row>
    <row r="650" spans="1:19" ht="15" customHeight="1" x14ac:dyDescent="0.3">
      <c r="A650" s="182" t="s">
        <v>2058</v>
      </c>
      <c r="B650" s="182" t="s">
        <v>908</v>
      </c>
      <c r="C650" s="182" t="s">
        <v>909</v>
      </c>
      <c r="D650" s="182" t="s">
        <v>1898</v>
      </c>
      <c r="E650" s="183" t="s">
        <v>1899</v>
      </c>
      <c r="F650" s="183" t="s">
        <v>600</v>
      </c>
      <c r="G650" s="184">
        <v>5.0000000000000001E-3</v>
      </c>
      <c r="H650" s="185">
        <v>0.05</v>
      </c>
      <c r="I650" s="186">
        <v>6678.36</v>
      </c>
      <c r="J650" s="187">
        <v>35.061390000000003</v>
      </c>
      <c r="K650" s="182" t="s">
        <v>2062</v>
      </c>
      <c r="L650" s="182">
        <v>4</v>
      </c>
      <c r="M650" s="182" t="s">
        <v>2066</v>
      </c>
      <c r="N650" s="186">
        <v>20</v>
      </c>
      <c r="O650" s="188">
        <v>5.0000000000000001E-3</v>
      </c>
      <c r="P650" s="188" t="s">
        <v>573</v>
      </c>
      <c r="Q650" s="188">
        <v>0</v>
      </c>
      <c r="R650" s="189" t="s">
        <v>573</v>
      </c>
      <c r="S650" s="189" t="s">
        <v>573</v>
      </c>
    </row>
    <row r="651" spans="1:19" ht="15" customHeight="1" x14ac:dyDescent="0.3">
      <c r="A651" s="182" t="s">
        <v>2058</v>
      </c>
      <c r="B651" s="182" t="s">
        <v>908</v>
      </c>
      <c r="C651" s="182" t="s">
        <v>909</v>
      </c>
      <c r="D651" s="182" t="s">
        <v>921</v>
      </c>
      <c r="E651" s="183" t="s">
        <v>922</v>
      </c>
      <c r="F651" s="183" t="s">
        <v>600</v>
      </c>
      <c r="G651" s="184">
        <v>5.0000000000000001E-3</v>
      </c>
      <c r="H651" s="185">
        <v>0.05</v>
      </c>
      <c r="I651" s="186">
        <v>5282.24</v>
      </c>
      <c r="J651" s="187">
        <v>27.731760000000001</v>
      </c>
      <c r="K651" s="182" t="s">
        <v>2062</v>
      </c>
      <c r="L651" s="182">
        <v>5</v>
      </c>
      <c r="M651" s="182" t="s">
        <v>2067</v>
      </c>
      <c r="N651" s="186">
        <v>20</v>
      </c>
      <c r="O651" s="188">
        <v>5.0000000000000001E-3</v>
      </c>
      <c r="P651" s="188" t="s">
        <v>573</v>
      </c>
      <c r="Q651" s="188">
        <v>0</v>
      </c>
      <c r="R651" s="189" t="s">
        <v>573</v>
      </c>
      <c r="S651" s="189" t="s">
        <v>573</v>
      </c>
    </row>
    <row r="652" spans="1:19" ht="15" customHeight="1" x14ac:dyDescent="0.3">
      <c r="A652" s="182" t="s">
        <v>2058</v>
      </c>
      <c r="B652" s="182" t="s">
        <v>908</v>
      </c>
      <c r="C652" s="182" t="s">
        <v>909</v>
      </c>
      <c r="D652" s="182" t="s">
        <v>1271</v>
      </c>
      <c r="E652" s="183" t="s">
        <v>1272</v>
      </c>
      <c r="F652" s="183" t="s">
        <v>600</v>
      </c>
      <c r="G652" s="184">
        <v>0.01</v>
      </c>
      <c r="H652" s="185">
        <v>0.05</v>
      </c>
      <c r="I652" s="186">
        <v>7427.6</v>
      </c>
      <c r="J652" s="187">
        <v>77.989800000000002</v>
      </c>
      <c r="K652" s="182" t="s">
        <v>2062</v>
      </c>
      <c r="L652" s="182">
        <v>6</v>
      </c>
      <c r="M652" s="182" t="s">
        <v>2068</v>
      </c>
      <c r="N652" s="186">
        <v>20</v>
      </c>
      <c r="O652" s="188">
        <v>0.01</v>
      </c>
      <c r="P652" s="188" t="s">
        <v>573</v>
      </c>
      <c r="Q652" s="188">
        <v>0</v>
      </c>
      <c r="R652" s="189" t="s">
        <v>573</v>
      </c>
      <c r="S652" s="189" t="s">
        <v>573</v>
      </c>
    </row>
    <row r="653" spans="1:19" ht="15" customHeight="1" x14ac:dyDescent="0.3">
      <c r="A653" s="182" t="s">
        <v>2058</v>
      </c>
      <c r="B653" s="182" t="s">
        <v>908</v>
      </c>
      <c r="C653" s="182" t="s">
        <v>909</v>
      </c>
      <c r="D653" s="182" t="s">
        <v>1274</v>
      </c>
      <c r="E653" s="183" t="s">
        <v>1275</v>
      </c>
      <c r="F653" s="183" t="s">
        <v>884</v>
      </c>
      <c r="G653" s="184">
        <v>1.2500000000000001E-2</v>
      </c>
      <c r="H653" s="185">
        <v>0.1</v>
      </c>
      <c r="I653" s="186">
        <v>120622.23</v>
      </c>
      <c r="J653" s="187">
        <v>1658.5556624999999</v>
      </c>
      <c r="K653" s="182" t="s">
        <v>2062</v>
      </c>
      <c r="L653" s="182">
        <v>7</v>
      </c>
      <c r="M653" s="182" t="s">
        <v>2069</v>
      </c>
      <c r="N653" s="186">
        <v>20</v>
      </c>
      <c r="O653" s="188">
        <v>1.2500000000000001E-2</v>
      </c>
      <c r="P653" s="188" t="s">
        <v>573</v>
      </c>
      <c r="Q653" s="188">
        <v>0</v>
      </c>
      <c r="R653" s="189" t="s">
        <v>573</v>
      </c>
      <c r="S653" s="189" t="s">
        <v>573</v>
      </c>
    </row>
    <row r="654" spans="1:19" ht="15" customHeight="1" x14ac:dyDescent="0.3">
      <c r="A654" s="182" t="s">
        <v>2058</v>
      </c>
      <c r="B654" s="182" t="s">
        <v>937</v>
      </c>
      <c r="C654" s="182" t="s">
        <v>938</v>
      </c>
      <c r="D654" s="190" t="s">
        <v>944</v>
      </c>
      <c r="E654" s="183" t="s">
        <v>945</v>
      </c>
      <c r="F654" s="183" t="s">
        <v>941</v>
      </c>
      <c r="G654" s="184">
        <v>1</v>
      </c>
      <c r="H654" s="185">
        <v>0</v>
      </c>
      <c r="I654" s="186">
        <v>85927.097156571996</v>
      </c>
      <c r="J654" s="187">
        <v>85927.097156571996</v>
      </c>
      <c r="K654" s="182" t="s">
        <v>2070</v>
      </c>
      <c r="L654" s="182">
        <v>1</v>
      </c>
      <c r="M654" s="182" t="s">
        <v>2071</v>
      </c>
      <c r="N654" s="186">
        <v>20</v>
      </c>
      <c r="O654" s="188">
        <v>0.05</v>
      </c>
      <c r="P654" s="188" t="s">
        <v>573</v>
      </c>
      <c r="Q654" s="188">
        <v>0</v>
      </c>
      <c r="R654" s="189" t="s">
        <v>573</v>
      </c>
      <c r="S654" s="189" t="s">
        <v>573</v>
      </c>
    </row>
    <row r="655" spans="1:19" ht="15" customHeight="1" x14ac:dyDescent="0.3">
      <c r="A655" s="182" t="s">
        <v>2072</v>
      </c>
      <c r="B655" s="182" t="s">
        <v>563</v>
      </c>
      <c r="C655" s="182"/>
      <c r="D655" s="182" t="s">
        <v>904</v>
      </c>
      <c r="E655" s="183" t="s">
        <v>905</v>
      </c>
      <c r="F655" s="183"/>
      <c r="G655" s="184">
        <v>1</v>
      </c>
      <c r="H655" s="185">
        <v>0</v>
      </c>
      <c r="I655" s="186">
        <v>804.50568716119994</v>
      </c>
      <c r="J655" s="187">
        <v>804.50568716119994</v>
      </c>
      <c r="K655" s="182" t="s">
        <v>2073</v>
      </c>
      <c r="L655" s="182">
        <v>1</v>
      </c>
      <c r="M655" s="182" t="s">
        <v>2074</v>
      </c>
      <c r="N655" s="186">
        <v>80</v>
      </c>
      <c r="O655" s="188">
        <v>1</v>
      </c>
      <c r="P655" s="188">
        <v>186</v>
      </c>
      <c r="Q655" s="188">
        <v>186</v>
      </c>
      <c r="R655" s="189">
        <v>5.05</v>
      </c>
      <c r="S655" s="189" t="s">
        <v>985</v>
      </c>
    </row>
    <row r="656" spans="1:19" ht="15" customHeight="1" x14ac:dyDescent="0.3">
      <c r="A656" s="182" t="s">
        <v>2072</v>
      </c>
      <c r="B656" s="182" t="s">
        <v>908</v>
      </c>
      <c r="C656" s="182" t="s">
        <v>909</v>
      </c>
      <c r="D656" s="182" t="s">
        <v>910</v>
      </c>
      <c r="E656" s="183" t="s">
        <v>911</v>
      </c>
      <c r="F656" s="183" t="s">
        <v>912</v>
      </c>
      <c r="G656" s="184">
        <v>2E-3</v>
      </c>
      <c r="H656" s="185">
        <v>0.05</v>
      </c>
      <c r="I656" s="186">
        <v>26907.33</v>
      </c>
      <c r="J656" s="187">
        <v>56.505392999999998</v>
      </c>
      <c r="K656" s="182" t="s">
        <v>2075</v>
      </c>
      <c r="L656" s="182">
        <v>1</v>
      </c>
      <c r="M656" s="182" t="s">
        <v>2076</v>
      </c>
      <c r="N656" s="186">
        <v>80</v>
      </c>
      <c r="O656" s="188">
        <v>2E-3</v>
      </c>
      <c r="P656" s="188">
        <v>186</v>
      </c>
      <c r="Q656" s="188">
        <v>0.372</v>
      </c>
      <c r="R656" s="189">
        <v>5.05</v>
      </c>
      <c r="S656" s="189" t="s">
        <v>985</v>
      </c>
    </row>
    <row r="657" spans="1:19" ht="15" customHeight="1" x14ac:dyDescent="0.3">
      <c r="A657" s="182" t="s">
        <v>2072</v>
      </c>
      <c r="B657" s="182" t="s">
        <v>908</v>
      </c>
      <c r="C657" s="182" t="s">
        <v>909</v>
      </c>
      <c r="D657" s="182" t="s">
        <v>915</v>
      </c>
      <c r="E657" s="183" t="s">
        <v>916</v>
      </c>
      <c r="F657" s="183" t="s">
        <v>600</v>
      </c>
      <c r="G657" s="184">
        <v>0.02</v>
      </c>
      <c r="H657" s="185">
        <v>0.05</v>
      </c>
      <c r="I657" s="186">
        <v>735.06</v>
      </c>
      <c r="J657" s="187">
        <v>15.436260000000001</v>
      </c>
      <c r="K657" s="182" t="s">
        <v>2075</v>
      </c>
      <c r="L657" s="182">
        <v>2</v>
      </c>
      <c r="M657" s="182" t="s">
        <v>2077</v>
      </c>
      <c r="N657" s="186">
        <v>80</v>
      </c>
      <c r="O657" s="188">
        <v>0.02</v>
      </c>
      <c r="P657" s="188">
        <v>186</v>
      </c>
      <c r="Q657" s="188">
        <v>3.72</v>
      </c>
      <c r="R657" s="189">
        <v>5.05</v>
      </c>
      <c r="S657" s="189" t="s">
        <v>985</v>
      </c>
    </row>
    <row r="658" spans="1:19" ht="15" customHeight="1" x14ac:dyDescent="0.3">
      <c r="A658" s="182" t="s">
        <v>2072</v>
      </c>
      <c r="B658" s="182" t="s">
        <v>908</v>
      </c>
      <c r="C658" s="182" t="s">
        <v>909</v>
      </c>
      <c r="D658" s="182" t="s">
        <v>918</v>
      </c>
      <c r="E658" s="183" t="s">
        <v>919</v>
      </c>
      <c r="F658" s="183" t="s">
        <v>600</v>
      </c>
      <c r="G658" s="184">
        <v>0.01</v>
      </c>
      <c r="H658" s="185">
        <v>0.05</v>
      </c>
      <c r="I658" s="186">
        <v>6678.36</v>
      </c>
      <c r="J658" s="187">
        <v>70.122780000000006</v>
      </c>
      <c r="K658" s="182" t="s">
        <v>2075</v>
      </c>
      <c r="L658" s="182">
        <v>3</v>
      </c>
      <c r="M658" s="182" t="s">
        <v>2078</v>
      </c>
      <c r="N658" s="186">
        <v>80</v>
      </c>
      <c r="O658" s="188">
        <v>0.01</v>
      </c>
      <c r="P658" s="188">
        <v>186</v>
      </c>
      <c r="Q658" s="188">
        <v>1.86</v>
      </c>
      <c r="R658" s="189">
        <v>5.05</v>
      </c>
      <c r="S658" s="189" t="s">
        <v>985</v>
      </c>
    </row>
    <row r="659" spans="1:19" ht="15" customHeight="1" x14ac:dyDescent="0.3">
      <c r="A659" s="182" t="s">
        <v>2072</v>
      </c>
      <c r="B659" s="182" t="s">
        <v>908</v>
      </c>
      <c r="C659" s="182" t="s">
        <v>909</v>
      </c>
      <c r="D659" s="182" t="s">
        <v>921</v>
      </c>
      <c r="E659" s="183" t="s">
        <v>922</v>
      </c>
      <c r="F659" s="183" t="s">
        <v>600</v>
      </c>
      <c r="G659" s="184">
        <v>0.02</v>
      </c>
      <c r="H659" s="185">
        <v>0.05</v>
      </c>
      <c r="I659" s="186">
        <v>5282.24</v>
      </c>
      <c r="J659" s="187">
        <v>110.92704000000001</v>
      </c>
      <c r="K659" s="182" t="s">
        <v>2075</v>
      </c>
      <c r="L659" s="182">
        <v>4</v>
      </c>
      <c r="M659" s="182" t="s">
        <v>2079</v>
      </c>
      <c r="N659" s="186">
        <v>80</v>
      </c>
      <c r="O659" s="188">
        <v>0.02</v>
      </c>
      <c r="P659" s="188">
        <v>186</v>
      </c>
      <c r="Q659" s="188">
        <v>3.72</v>
      </c>
      <c r="R659" s="189">
        <v>5.05</v>
      </c>
      <c r="S659" s="189" t="s">
        <v>985</v>
      </c>
    </row>
    <row r="660" spans="1:19" ht="15" customHeight="1" x14ac:dyDescent="0.3">
      <c r="A660" s="182" t="s">
        <v>2072</v>
      </c>
      <c r="B660" s="182" t="s">
        <v>908</v>
      </c>
      <c r="C660" s="182" t="s">
        <v>909</v>
      </c>
      <c r="D660" s="182" t="s">
        <v>931</v>
      </c>
      <c r="E660" s="183" t="s">
        <v>932</v>
      </c>
      <c r="F660" s="183" t="s">
        <v>912</v>
      </c>
      <c r="G660" s="184">
        <v>2.7777777777777801E-2</v>
      </c>
      <c r="H660" s="185">
        <v>0.1</v>
      </c>
      <c r="I660" s="186">
        <v>32845.78</v>
      </c>
      <c r="J660" s="187">
        <v>1003.62105555556</v>
      </c>
      <c r="K660" s="182" t="s">
        <v>2075</v>
      </c>
      <c r="L660" s="182">
        <v>5</v>
      </c>
      <c r="M660" s="182" t="s">
        <v>2080</v>
      </c>
      <c r="N660" s="186">
        <v>80</v>
      </c>
      <c r="O660" s="188">
        <v>2.7777777777777801E-2</v>
      </c>
      <c r="P660" s="188">
        <v>186</v>
      </c>
      <c r="Q660" s="188">
        <v>5.1666666666666696</v>
      </c>
      <c r="R660" s="189">
        <v>5.05</v>
      </c>
      <c r="S660" s="189" t="s">
        <v>985</v>
      </c>
    </row>
    <row r="661" spans="1:19" ht="15" customHeight="1" x14ac:dyDescent="0.3">
      <c r="A661" s="182" t="s">
        <v>2072</v>
      </c>
      <c r="B661" s="182" t="s">
        <v>937</v>
      </c>
      <c r="C661" s="182" t="s">
        <v>938</v>
      </c>
      <c r="D661" s="190" t="s">
        <v>939</v>
      </c>
      <c r="E661" s="183" t="s">
        <v>940</v>
      </c>
      <c r="F661" s="183" t="s">
        <v>941</v>
      </c>
      <c r="G661" s="184">
        <v>1</v>
      </c>
      <c r="H661" s="185">
        <v>0</v>
      </c>
      <c r="I661" s="186">
        <v>60860.580776572002</v>
      </c>
      <c r="J661" s="187">
        <v>60860.580776572002</v>
      </c>
      <c r="K661" s="182" t="s">
        <v>2081</v>
      </c>
      <c r="L661" s="182">
        <v>1</v>
      </c>
      <c r="M661" s="182" t="s">
        <v>2082</v>
      </c>
      <c r="N661" s="186">
        <v>80</v>
      </c>
      <c r="O661" s="188">
        <v>1.2500000000000001E-2</v>
      </c>
      <c r="P661" s="188">
        <v>186</v>
      </c>
      <c r="Q661" s="188">
        <v>2.3250000000000002</v>
      </c>
      <c r="R661" s="189">
        <v>5.05</v>
      </c>
      <c r="S661" s="189" t="s">
        <v>985</v>
      </c>
    </row>
    <row r="662" spans="1:19" ht="15" customHeight="1" x14ac:dyDescent="0.3">
      <c r="A662" s="182" t="s">
        <v>2072</v>
      </c>
      <c r="B662" s="182" t="s">
        <v>937</v>
      </c>
      <c r="C662" s="182" t="s">
        <v>938</v>
      </c>
      <c r="D662" s="190" t="s">
        <v>1375</v>
      </c>
      <c r="E662" s="183" t="s">
        <v>1376</v>
      </c>
      <c r="F662" s="183" t="s">
        <v>941</v>
      </c>
      <c r="G662" s="184">
        <v>1</v>
      </c>
      <c r="H662" s="185">
        <v>0</v>
      </c>
      <c r="I662" s="186">
        <v>76955.079706571996</v>
      </c>
      <c r="J662" s="187">
        <v>76955.079706571996</v>
      </c>
      <c r="K662" s="182" t="s">
        <v>2081</v>
      </c>
      <c r="L662" s="182">
        <v>2</v>
      </c>
      <c r="M662" s="182" t="s">
        <v>2083</v>
      </c>
      <c r="N662" s="186">
        <v>80</v>
      </c>
      <c r="O662" s="188">
        <v>1.2500000000000001E-2</v>
      </c>
      <c r="P662" s="188">
        <v>186</v>
      </c>
      <c r="Q662" s="188">
        <v>2.3250000000000002</v>
      </c>
      <c r="R662" s="189">
        <v>5.05</v>
      </c>
      <c r="S662" s="189" t="s">
        <v>985</v>
      </c>
    </row>
    <row r="663" spans="1:19" ht="15" customHeight="1" x14ac:dyDescent="0.3">
      <c r="A663" s="182" t="s">
        <v>2084</v>
      </c>
      <c r="B663" s="182" t="s">
        <v>563</v>
      </c>
      <c r="C663" s="182"/>
      <c r="D663" s="182" t="s">
        <v>1251</v>
      </c>
      <c r="E663" s="183" t="s">
        <v>1252</v>
      </c>
      <c r="F663" s="183"/>
      <c r="G663" s="184">
        <v>1</v>
      </c>
      <c r="H663" s="185">
        <v>0</v>
      </c>
      <c r="I663" s="186">
        <v>1723.6259595547101</v>
      </c>
      <c r="J663" s="187">
        <v>1723.6259595547101</v>
      </c>
      <c r="K663" s="182" t="s">
        <v>2085</v>
      </c>
      <c r="L663" s="182">
        <v>1</v>
      </c>
      <c r="M663" s="182" t="s">
        <v>2086</v>
      </c>
      <c r="N663" s="186">
        <v>20</v>
      </c>
      <c r="O663" s="188">
        <v>1</v>
      </c>
      <c r="P663" s="188">
        <v>1439</v>
      </c>
      <c r="Q663" s="188">
        <v>1439</v>
      </c>
      <c r="R663" s="189">
        <v>15.02</v>
      </c>
      <c r="S663" s="189" t="s">
        <v>573</v>
      </c>
    </row>
    <row r="664" spans="1:19" ht="15" customHeight="1" x14ac:dyDescent="0.3">
      <c r="A664" s="182" t="s">
        <v>2084</v>
      </c>
      <c r="B664" s="182" t="s">
        <v>563</v>
      </c>
      <c r="C664" s="182"/>
      <c r="D664" s="182" t="s">
        <v>1255</v>
      </c>
      <c r="E664" s="183" t="s">
        <v>1256</v>
      </c>
      <c r="F664" s="183"/>
      <c r="G664" s="184">
        <v>1</v>
      </c>
      <c r="H664" s="185">
        <v>0</v>
      </c>
      <c r="I664" s="186">
        <v>200.25307946474501</v>
      </c>
      <c r="J664" s="187">
        <v>200.25307946474501</v>
      </c>
      <c r="K664" s="182" t="s">
        <v>2085</v>
      </c>
      <c r="L664" s="182">
        <v>2</v>
      </c>
      <c r="M664" s="182" t="s">
        <v>2087</v>
      </c>
      <c r="N664" s="186">
        <v>20</v>
      </c>
      <c r="O664" s="188">
        <v>1</v>
      </c>
      <c r="P664" s="188">
        <v>1439</v>
      </c>
      <c r="Q664" s="188">
        <v>1439</v>
      </c>
      <c r="R664" s="189">
        <v>15.02</v>
      </c>
      <c r="S664" s="189" t="s">
        <v>573</v>
      </c>
    </row>
    <row r="665" spans="1:19" ht="15" customHeight="1" x14ac:dyDescent="0.3">
      <c r="A665" s="182" t="s">
        <v>2084</v>
      </c>
      <c r="B665" s="182" t="s">
        <v>908</v>
      </c>
      <c r="C665" s="182" t="s">
        <v>909</v>
      </c>
      <c r="D665" s="182" t="s">
        <v>1258</v>
      </c>
      <c r="E665" s="183" t="s">
        <v>1259</v>
      </c>
      <c r="F665" s="183" t="s">
        <v>912</v>
      </c>
      <c r="G665" s="184">
        <v>4.0000000000000001E-3</v>
      </c>
      <c r="H665" s="185">
        <v>0.05</v>
      </c>
      <c r="I665" s="186">
        <v>30467.49</v>
      </c>
      <c r="J665" s="187">
        <v>127.963458</v>
      </c>
      <c r="K665" s="182" t="s">
        <v>2088</v>
      </c>
      <c r="L665" s="182">
        <v>1</v>
      </c>
      <c r="M665" s="182" t="s">
        <v>2089</v>
      </c>
      <c r="N665" s="186">
        <v>20</v>
      </c>
      <c r="O665" s="188">
        <v>4.0000000000000001E-3</v>
      </c>
      <c r="P665" s="188">
        <v>1439</v>
      </c>
      <c r="Q665" s="188">
        <v>5.7560000000000002</v>
      </c>
      <c r="R665" s="189">
        <v>15.02</v>
      </c>
      <c r="S665" s="189" t="s">
        <v>573</v>
      </c>
    </row>
    <row r="666" spans="1:19" ht="15" customHeight="1" x14ac:dyDescent="0.3">
      <c r="A666" s="182" t="s">
        <v>2084</v>
      </c>
      <c r="B666" s="182" t="s">
        <v>908</v>
      </c>
      <c r="C666" s="182" t="s">
        <v>909</v>
      </c>
      <c r="D666" s="182" t="s">
        <v>1262</v>
      </c>
      <c r="E666" s="183" t="s">
        <v>1263</v>
      </c>
      <c r="F666" s="183" t="s">
        <v>600</v>
      </c>
      <c r="G666" s="184">
        <v>1.4999999999999999E-2</v>
      </c>
      <c r="H666" s="185">
        <v>0.05</v>
      </c>
      <c r="I666" s="186">
        <v>5661.4</v>
      </c>
      <c r="J666" s="187">
        <v>89.167050000000003</v>
      </c>
      <c r="K666" s="182" t="s">
        <v>2088</v>
      </c>
      <c r="L666" s="182">
        <v>2</v>
      </c>
      <c r="M666" s="182" t="s">
        <v>2090</v>
      </c>
      <c r="N666" s="186">
        <v>20</v>
      </c>
      <c r="O666" s="188">
        <v>1.4999999999999999E-2</v>
      </c>
      <c r="P666" s="188">
        <v>1439</v>
      </c>
      <c r="Q666" s="188">
        <v>21.585000000000001</v>
      </c>
      <c r="R666" s="189">
        <v>15.02</v>
      </c>
      <c r="S666" s="189" t="s">
        <v>573</v>
      </c>
    </row>
    <row r="667" spans="1:19" ht="15" customHeight="1" x14ac:dyDescent="0.3">
      <c r="A667" s="182" t="s">
        <v>2084</v>
      </c>
      <c r="B667" s="182" t="s">
        <v>908</v>
      </c>
      <c r="C667" s="182" t="s">
        <v>909</v>
      </c>
      <c r="D667" s="182" t="s">
        <v>1265</v>
      </c>
      <c r="E667" s="183" t="s">
        <v>1266</v>
      </c>
      <c r="F667" s="183" t="s">
        <v>600</v>
      </c>
      <c r="G667" s="184">
        <v>0.05</v>
      </c>
      <c r="H667" s="185">
        <v>0.1</v>
      </c>
      <c r="I667" s="186">
        <v>3293.01</v>
      </c>
      <c r="J667" s="187">
        <v>181.11555000000001</v>
      </c>
      <c r="K667" s="182" t="s">
        <v>2088</v>
      </c>
      <c r="L667" s="182">
        <v>3</v>
      </c>
      <c r="M667" s="182" t="s">
        <v>2091</v>
      </c>
      <c r="N667" s="186">
        <v>20</v>
      </c>
      <c r="O667" s="188">
        <v>0.05</v>
      </c>
      <c r="P667" s="188">
        <v>1439</v>
      </c>
      <c r="Q667" s="188">
        <v>71.95</v>
      </c>
      <c r="R667" s="189">
        <v>15.02</v>
      </c>
      <c r="S667" s="189" t="s">
        <v>573</v>
      </c>
    </row>
    <row r="668" spans="1:19" ht="15" customHeight="1" x14ac:dyDescent="0.3">
      <c r="A668" s="182" t="s">
        <v>2084</v>
      </c>
      <c r="B668" s="182" t="s">
        <v>908</v>
      </c>
      <c r="C668" s="182" t="s">
        <v>909</v>
      </c>
      <c r="D668" s="182" t="s">
        <v>915</v>
      </c>
      <c r="E668" s="183" t="s">
        <v>916</v>
      </c>
      <c r="F668" s="183" t="s">
        <v>600</v>
      </c>
      <c r="G668" s="184">
        <v>0.03</v>
      </c>
      <c r="H668" s="185">
        <v>0.05</v>
      </c>
      <c r="I668" s="186">
        <v>735.06</v>
      </c>
      <c r="J668" s="187">
        <v>23.154389999999999</v>
      </c>
      <c r="K668" s="182" t="s">
        <v>2088</v>
      </c>
      <c r="L668" s="182">
        <v>4</v>
      </c>
      <c r="M668" s="182" t="s">
        <v>2092</v>
      </c>
      <c r="N668" s="186">
        <v>20</v>
      </c>
      <c r="O668" s="188">
        <v>0.03</v>
      </c>
      <c r="P668" s="188">
        <v>1439</v>
      </c>
      <c r="Q668" s="188">
        <v>43.17</v>
      </c>
      <c r="R668" s="189">
        <v>15.02</v>
      </c>
      <c r="S668" s="189" t="s">
        <v>573</v>
      </c>
    </row>
    <row r="669" spans="1:19" ht="15" customHeight="1" x14ac:dyDescent="0.3">
      <c r="A669" s="182" t="s">
        <v>2084</v>
      </c>
      <c r="B669" s="182" t="s">
        <v>908</v>
      </c>
      <c r="C669" s="182" t="s">
        <v>909</v>
      </c>
      <c r="D669" s="182" t="s">
        <v>1898</v>
      </c>
      <c r="E669" s="183" t="s">
        <v>1899</v>
      </c>
      <c r="F669" s="183" t="s">
        <v>600</v>
      </c>
      <c r="G669" s="184">
        <v>5.0000000000000001E-3</v>
      </c>
      <c r="H669" s="185">
        <v>0.05</v>
      </c>
      <c r="I669" s="186">
        <v>6678.36</v>
      </c>
      <c r="J669" s="187">
        <v>35.061390000000003</v>
      </c>
      <c r="K669" s="182" t="s">
        <v>2088</v>
      </c>
      <c r="L669" s="182">
        <v>5</v>
      </c>
      <c r="M669" s="182" t="s">
        <v>2093</v>
      </c>
      <c r="N669" s="186">
        <v>20</v>
      </c>
      <c r="O669" s="188">
        <v>5.0000000000000001E-3</v>
      </c>
      <c r="P669" s="188">
        <v>1439</v>
      </c>
      <c r="Q669" s="188">
        <v>7.1950000000000003</v>
      </c>
      <c r="R669" s="189">
        <v>15.02</v>
      </c>
      <c r="S669" s="189" t="s">
        <v>573</v>
      </c>
    </row>
    <row r="670" spans="1:19" ht="15" customHeight="1" x14ac:dyDescent="0.3">
      <c r="A670" s="182" t="s">
        <v>2084</v>
      </c>
      <c r="B670" s="182" t="s">
        <v>908</v>
      </c>
      <c r="C670" s="182" t="s">
        <v>909</v>
      </c>
      <c r="D670" s="182" t="s">
        <v>921</v>
      </c>
      <c r="E670" s="183" t="s">
        <v>922</v>
      </c>
      <c r="F670" s="183" t="s">
        <v>600</v>
      </c>
      <c r="G670" s="184">
        <v>5.0000000000000001E-3</v>
      </c>
      <c r="H670" s="185">
        <v>0.05</v>
      </c>
      <c r="I670" s="186">
        <v>5282.24</v>
      </c>
      <c r="J670" s="187">
        <v>27.731760000000001</v>
      </c>
      <c r="K670" s="182" t="s">
        <v>2088</v>
      </c>
      <c r="L670" s="182">
        <v>6</v>
      </c>
      <c r="M670" s="182" t="s">
        <v>2094</v>
      </c>
      <c r="N670" s="186">
        <v>20</v>
      </c>
      <c r="O670" s="188">
        <v>5.0000000000000001E-3</v>
      </c>
      <c r="P670" s="188">
        <v>1439</v>
      </c>
      <c r="Q670" s="188">
        <v>7.1950000000000003</v>
      </c>
      <c r="R670" s="189">
        <v>15.02</v>
      </c>
      <c r="S670" s="189" t="s">
        <v>573</v>
      </c>
    </row>
    <row r="671" spans="1:19" ht="15" customHeight="1" x14ac:dyDescent="0.3">
      <c r="A671" s="182" t="s">
        <v>2084</v>
      </c>
      <c r="B671" s="182" t="s">
        <v>908</v>
      </c>
      <c r="C671" s="182" t="s">
        <v>909</v>
      </c>
      <c r="D671" s="182" t="s">
        <v>1271</v>
      </c>
      <c r="E671" s="183" t="s">
        <v>1272</v>
      </c>
      <c r="F671" s="183" t="s">
        <v>600</v>
      </c>
      <c r="G671" s="184">
        <v>0.01</v>
      </c>
      <c r="H671" s="185">
        <v>0.05</v>
      </c>
      <c r="I671" s="186">
        <v>7427.6</v>
      </c>
      <c r="J671" s="187">
        <v>77.989800000000002</v>
      </c>
      <c r="K671" s="182" t="s">
        <v>2088</v>
      </c>
      <c r="L671" s="182">
        <v>7</v>
      </c>
      <c r="M671" s="182" t="s">
        <v>2095</v>
      </c>
      <c r="N671" s="186">
        <v>20</v>
      </c>
      <c r="O671" s="188">
        <v>0.01</v>
      </c>
      <c r="P671" s="188">
        <v>1439</v>
      </c>
      <c r="Q671" s="188">
        <v>14.39</v>
      </c>
      <c r="R671" s="189">
        <v>15.02</v>
      </c>
      <c r="S671" s="189" t="s">
        <v>573</v>
      </c>
    </row>
    <row r="672" spans="1:19" ht="15" customHeight="1" x14ac:dyDescent="0.3">
      <c r="A672" s="182" t="s">
        <v>2084</v>
      </c>
      <c r="B672" s="182" t="s">
        <v>908</v>
      </c>
      <c r="C672" s="182" t="s">
        <v>909</v>
      </c>
      <c r="D672" s="182" t="s">
        <v>1274</v>
      </c>
      <c r="E672" s="183" t="s">
        <v>1275</v>
      </c>
      <c r="F672" s="183" t="s">
        <v>884</v>
      </c>
      <c r="G672" s="184">
        <v>1.2500000000000001E-2</v>
      </c>
      <c r="H672" s="185">
        <v>0.1</v>
      </c>
      <c r="I672" s="186">
        <v>120622.23</v>
      </c>
      <c r="J672" s="187">
        <v>1658.5556624999999</v>
      </c>
      <c r="K672" s="182" t="s">
        <v>2088</v>
      </c>
      <c r="L672" s="182">
        <v>8</v>
      </c>
      <c r="M672" s="182" t="s">
        <v>2096</v>
      </c>
      <c r="N672" s="186">
        <v>20</v>
      </c>
      <c r="O672" s="188">
        <v>1.2500000000000001E-2</v>
      </c>
      <c r="P672" s="188">
        <v>1439</v>
      </c>
      <c r="Q672" s="188">
        <v>17.987500000000001</v>
      </c>
      <c r="R672" s="189">
        <v>15.02</v>
      </c>
      <c r="S672" s="189" t="s">
        <v>573</v>
      </c>
    </row>
    <row r="673" spans="1:19" ht="15" customHeight="1" x14ac:dyDescent="0.3">
      <c r="A673" s="182" t="s">
        <v>2084</v>
      </c>
      <c r="B673" s="182" t="s">
        <v>908</v>
      </c>
      <c r="C673" s="182" t="s">
        <v>909</v>
      </c>
      <c r="D673" s="182" t="s">
        <v>1904</v>
      </c>
      <c r="E673" s="183" t="s">
        <v>1905</v>
      </c>
      <c r="F673" s="183" t="s">
        <v>884</v>
      </c>
      <c r="G673" s="184">
        <v>2E-3</v>
      </c>
      <c r="H673" s="185">
        <v>0.1</v>
      </c>
      <c r="I673" s="186">
        <v>18735.77</v>
      </c>
      <c r="J673" s="187">
        <v>41.218693999999999</v>
      </c>
      <c r="K673" s="182" t="s">
        <v>2088</v>
      </c>
      <c r="L673" s="182">
        <v>9</v>
      </c>
      <c r="M673" s="182" t="s">
        <v>2097</v>
      </c>
      <c r="N673" s="186">
        <v>20</v>
      </c>
      <c r="O673" s="188">
        <v>2E-3</v>
      </c>
      <c r="P673" s="188">
        <v>1439</v>
      </c>
      <c r="Q673" s="188">
        <v>2.8780000000000001</v>
      </c>
      <c r="R673" s="189">
        <v>15.02</v>
      </c>
      <c r="S673" s="189" t="s">
        <v>573</v>
      </c>
    </row>
    <row r="674" spans="1:19" ht="15" customHeight="1" x14ac:dyDescent="0.3">
      <c r="A674" s="182" t="s">
        <v>2084</v>
      </c>
      <c r="B674" s="182" t="s">
        <v>908</v>
      </c>
      <c r="C674" s="182" t="s">
        <v>909</v>
      </c>
      <c r="D674" s="182" t="s">
        <v>1907</v>
      </c>
      <c r="E674" s="183" t="s">
        <v>1908</v>
      </c>
      <c r="F674" s="183" t="s">
        <v>912</v>
      </c>
      <c r="G674" s="184">
        <v>1E-3</v>
      </c>
      <c r="H674" s="185">
        <v>0.05</v>
      </c>
      <c r="I674" s="186">
        <v>9639</v>
      </c>
      <c r="J674" s="187">
        <v>10.120950000000001</v>
      </c>
      <c r="K674" s="182" t="s">
        <v>2088</v>
      </c>
      <c r="L674" s="182">
        <v>10</v>
      </c>
      <c r="M674" s="182" t="s">
        <v>2098</v>
      </c>
      <c r="N674" s="186">
        <v>20</v>
      </c>
      <c r="O674" s="188">
        <v>1E-3</v>
      </c>
      <c r="P674" s="188">
        <v>1439</v>
      </c>
      <c r="Q674" s="188">
        <v>1.4390000000000001</v>
      </c>
      <c r="R674" s="189">
        <v>15.02</v>
      </c>
      <c r="S674" s="189" t="s">
        <v>573</v>
      </c>
    </row>
    <row r="675" spans="1:19" ht="15" customHeight="1" x14ac:dyDescent="0.3">
      <c r="A675" s="182" t="s">
        <v>2084</v>
      </c>
      <c r="B675" s="182" t="s">
        <v>937</v>
      </c>
      <c r="C675" s="182" t="s">
        <v>938</v>
      </c>
      <c r="D675" s="190" t="s">
        <v>944</v>
      </c>
      <c r="E675" s="183" t="s">
        <v>945</v>
      </c>
      <c r="F675" s="183" t="s">
        <v>941</v>
      </c>
      <c r="G675" s="184">
        <v>1</v>
      </c>
      <c r="H675" s="185">
        <v>0</v>
      </c>
      <c r="I675" s="186">
        <v>85927.097156571996</v>
      </c>
      <c r="J675" s="187">
        <v>85927.097156571996</v>
      </c>
      <c r="K675" s="182" t="s">
        <v>2099</v>
      </c>
      <c r="L675" s="182">
        <v>1</v>
      </c>
      <c r="M675" s="182" t="s">
        <v>2100</v>
      </c>
      <c r="N675" s="186">
        <v>20</v>
      </c>
      <c r="O675" s="188">
        <v>0.05</v>
      </c>
      <c r="P675" s="188">
        <v>1439</v>
      </c>
      <c r="Q675" s="188">
        <v>71.95</v>
      </c>
      <c r="R675" s="189">
        <v>15.02</v>
      </c>
      <c r="S675" s="189" t="s">
        <v>573</v>
      </c>
    </row>
    <row r="676" spans="1:19" ht="15" customHeight="1" x14ac:dyDescent="0.3">
      <c r="A676" s="182" t="s">
        <v>2101</v>
      </c>
      <c r="B676" s="182" t="s">
        <v>563</v>
      </c>
      <c r="C676" s="182"/>
      <c r="D676" s="182" t="s">
        <v>1251</v>
      </c>
      <c r="E676" s="183" t="s">
        <v>1252</v>
      </c>
      <c r="F676" s="183"/>
      <c r="G676" s="184">
        <v>1</v>
      </c>
      <c r="H676" s="185">
        <v>0</v>
      </c>
      <c r="I676" s="186">
        <v>1723.6259595547101</v>
      </c>
      <c r="J676" s="187">
        <v>1723.6259595547101</v>
      </c>
      <c r="K676" s="182" t="s">
        <v>2102</v>
      </c>
      <c r="L676" s="182">
        <v>1</v>
      </c>
      <c r="M676" s="182" t="s">
        <v>2103</v>
      </c>
      <c r="N676" s="186">
        <v>25</v>
      </c>
      <c r="O676" s="188">
        <v>1</v>
      </c>
      <c r="P676" s="188" t="s">
        <v>573</v>
      </c>
      <c r="Q676" s="188">
        <v>0</v>
      </c>
      <c r="R676" s="189" t="s">
        <v>573</v>
      </c>
      <c r="S676" s="189" t="s">
        <v>573</v>
      </c>
    </row>
    <row r="677" spans="1:19" ht="15" customHeight="1" x14ac:dyDescent="0.3">
      <c r="A677" s="182" t="s">
        <v>2101</v>
      </c>
      <c r="B677" s="182" t="s">
        <v>563</v>
      </c>
      <c r="C677" s="182"/>
      <c r="D677" s="182" t="s">
        <v>1255</v>
      </c>
      <c r="E677" s="183" t="s">
        <v>1256</v>
      </c>
      <c r="F677" s="183"/>
      <c r="G677" s="184">
        <v>1</v>
      </c>
      <c r="H677" s="185">
        <v>0</v>
      </c>
      <c r="I677" s="186">
        <v>200.25307946474501</v>
      </c>
      <c r="J677" s="187">
        <v>200.25307946474501</v>
      </c>
      <c r="K677" s="182" t="s">
        <v>2102</v>
      </c>
      <c r="L677" s="182">
        <v>2</v>
      </c>
      <c r="M677" s="182" t="s">
        <v>2104</v>
      </c>
      <c r="N677" s="186">
        <v>25</v>
      </c>
      <c r="O677" s="188">
        <v>1</v>
      </c>
      <c r="P677" s="188" t="s">
        <v>573</v>
      </c>
      <c r="Q677" s="188">
        <v>0</v>
      </c>
      <c r="R677" s="189" t="s">
        <v>573</v>
      </c>
      <c r="S677" s="189" t="s">
        <v>573</v>
      </c>
    </row>
    <row r="678" spans="1:19" ht="15" customHeight="1" x14ac:dyDescent="0.3">
      <c r="A678" s="182" t="s">
        <v>2101</v>
      </c>
      <c r="B678" s="182" t="s">
        <v>908</v>
      </c>
      <c r="C678" s="182" t="s">
        <v>909</v>
      </c>
      <c r="D678" s="182" t="s">
        <v>1258</v>
      </c>
      <c r="E678" s="183" t="s">
        <v>1259</v>
      </c>
      <c r="F678" s="183" t="s">
        <v>912</v>
      </c>
      <c r="G678" s="184">
        <v>4.0000000000000001E-3</v>
      </c>
      <c r="H678" s="185">
        <v>0.05</v>
      </c>
      <c r="I678" s="186">
        <v>30467.49</v>
      </c>
      <c r="J678" s="187">
        <v>127.963458</v>
      </c>
      <c r="K678" s="182" t="s">
        <v>2105</v>
      </c>
      <c r="L678" s="182">
        <v>1</v>
      </c>
      <c r="M678" s="182" t="s">
        <v>2106</v>
      </c>
      <c r="N678" s="186">
        <v>25</v>
      </c>
      <c r="O678" s="188">
        <v>4.0000000000000001E-3</v>
      </c>
      <c r="P678" s="188" t="s">
        <v>573</v>
      </c>
      <c r="Q678" s="188">
        <v>0</v>
      </c>
      <c r="R678" s="189" t="s">
        <v>573</v>
      </c>
      <c r="S678" s="189" t="s">
        <v>573</v>
      </c>
    </row>
    <row r="679" spans="1:19" ht="15" customHeight="1" x14ac:dyDescent="0.3">
      <c r="A679" s="182" t="s">
        <v>2101</v>
      </c>
      <c r="B679" s="182" t="s">
        <v>908</v>
      </c>
      <c r="C679" s="182" t="s">
        <v>909</v>
      </c>
      <c r="D679" s="182" t="s">
        <v>1265</v>
      </c>
      <c r="E679" s="183" t="s">
        <v>1266</v>
      </c>
      <c r="F679" s="183" t="s">
        <v>600</v>
      </c>
      <c r="G679" s="184">
        <v>0.05</v>
      </c>
      <c r="H679" s="185">
        <v>0.1</v>
      </c>
      <c r="I679" s="186">
        <v>3293.01</v>
      </c>
      <c r="J679" s="187">
        <v>181.11555000000001</v>
      </c>
      <c r="K679" s="182" t="s">
        <v>2105</v>
      </c>
      <c r="L679" s="182">
        <v>2</v>
      </c>
      <c r="M679" s="182" t="s">
        <v>2107</v>
      </c>
      <c r="N679" s="186">
        <v>25</v>
      </c>
      <c r="O679" s="188">
        <v>0.05</v>
      </c>
      <c r="P679" s="188" t="s">
        <v>573</v>
      </c>
      <c r="Q679" s="188">
        <v>0</v>
      </c>
      <c r="R679" s="189" t="s">
        <v>573</v>
      </c>
      <c r="S679" s="189" t="s">
        <v>573</v>
      </c>
    </row>
    <row r="680" spans="1:19" ht="15" customHeight="1" x14ac:dyDescent="0.3">
      <c r="A680" s="182" t="s">
        <v>2101</v>
      </c>
      <c r="B680" s="182" t="s">
        <v>908</v>
      </c>
      <c r="C680" s="182" t="s">
        <v>909</v>
      </c>
      <c r="D680" s="182" t="s">
        <v>915</v>
      </c>
      <c r="E680" s="183" t="s">
        <v>916</v>
      </c>
      <c r="F680" s="183" t="s">
        <v>600</v>
      </c>
      <c r="G680" s="184">
        <v>0.03</v>
      </c>
      <c r="H680" s="185">
        <v>0.05</v>
      </c>
      <c r="I680" s="186">
        <v>735.06</v>
      </c>
      <c r="J680" s="187">
        <v>23.154389999999999</v>
      </c>
      <c r="K680" s="182" t="s">
        <v>2105</v>
      </c>
      <c r="L680" s="182">
        <v>3</v>
      </c>
      <c r="M680" s="182" t="s">
        <v>2108</v>
      </c>
      <c r="N680" s="186">
        <v>25</v>
      </c>
      <c r="O680" s="188">
        <v>0.03</v>
      </c>
      <c r="P680" s="188" t="s">
        <v>573</v>
      </c>
      <c r="Q680" s="188">
        <v>0</v>
      </c>
      <c r="R680" s="189" t="s">
        <v>573</v>
      </c>
      <c r="S680" s="189" t="s">
        <v>573</v>
      </c>
    </row>
    <row r="681" spans="1:19" ht="15" customHeight="1" x14ac:dyDescent="0.3">
      <c r="A681" s="182" t="s">
        <v>2101</v>
      </c>
      <c r="B681" s="182" t="s">
        <v>908</v>
      </c>
      <c r="C681" s="182" t="s">
        <v>909</v>
      </c>
      <c r="D681" s="182" t="s">
        <v>1898</v>
      </c>
      <c r="E681" s="183" t="s">
        <v>1899</v>
      </c>
      <c r="F681" s="183" t="s">
        <v>600</v>
      </c>
      <c r="G681" s="184">
        <v>5.0000000000000001E-3</v>
      </c>
      <c r="H681" s="185">
        <v>0.05</v>
      </c>
      <c r="I681" s="186">
        <v>6678.36</v>
      </c>
      <c r="J681" s="187">
        <v>35.061390000000003</v>
      </c>
      <c r="K681" s="182" t="s">
        <v>2105</v>
      </c>
      <c r="L681" s="182">
        <v>4</v>
      </c>
      <c r="M681" s="182" t="s">
        <v>2109</v>
      </c>
      <c r="N681" s="186">
        <v>25</v>
      </c>
      <c r="O681" s="188">
        <v>5.0000000000000001E-3</v>
      </c>
      <c r="P681" s="188" t="s">
        <v>573</v>
      </c>
      <c r="Q681" s="188">
        <v>0</v>
      </c>
      <c r="R681" s="189" t="s">
        <v>573</v>
      </c>
      <c r="S681" s="189" t="s">
        <v>573</v>
      </c>
    </row>
    <row r="682" spans="1:19" ht="15" customHeight="1" x14ac:dyDescent="0.3">
      <c r="A682" s="182" t="s">
        <v>2101</v>
      </c>
      <c r="B682" s="182" t="s">
        <v>908</v>
      </c>
      <c r="C682" s="182" t="s">
        <v>909</v>
      </c>
      <c r="D682" s="182" t="s">
        <v>921</v>
      </c>
      <c r="E682" s="183" t="s">
        <v>922</v>
      </c>
      <c r="F682" s="183" t="s">
        <v>600</v>
      </c>
      <c r="G682" s="184">
        <v>5.0000000000000001E-3</v>
      </c>
      <c r="H682" s="185">
        <v>0.05</v>
      </c>
      <c r="I682" s="186">
        <v>5282.24</v>
      </c>
      <c r="J682" s="187">
        <v>27.731760000000001</v>
      </c>
      <c r="K682" s="182" t="s">
        <v>2105</v>
      </c>
      <c r="L682" s="182">
        <v>5</v>
      </c>
      <c r="M682" s="182" t="s">
        <v>2110</v>
      </c>
      <c r="N682" s="186">
        <v>25</v>
      </c>
      <c r="O682" s="188">
        <v>5.0000000000000001E-3</v>
      </c>
      <c r="P682" s="188" t="s">
        <v>573</v>
      </c>
      <c r="Q682" s="188">
        <v>0</v>
      </c>
      <c r="R682" s="189" t="s">
        <v>573</v>
      </c>
      <c r="S682" s="189" t="s">
        <v>573</v>
      </c>
    </row>
    <row r="683" spans="1:19" ht="15" customHeight="1" x14ac:dyDescent="0.3">
      <c r="A683" s="182" t="s">
        <v>2101</v>
      </c>
      <c r="B683" s="182" t="s">
        <v>908</v>
      </c>
      <c r="C683" s="182" t="s">
        <v>909</v>
      </c>
      <c r="D683" s="182" t="s">
        <v>1271</v>
      </c>
      <c r="E683" s="183" t="s">
        <v>1272</v>
      </c>
      <c r="F683" s="183" t="s">
        <v>600</v>
      </c>
      <c r="G683" s="184">
        <v>0.01</v>
      </c>
      <c r="H683" s="185">
        <v>0.05</v>
      </c>
      <c r="I683" s="186">
        <v>7427.6</v>
      </c>
      <c r="J683" s="187">
        <v>77.989800000000002</v>
      </c>
      <c r="K683" s="182" t="s">
        <v>2105</v>
      </c>
      <c r="L683" s="182">
        <v>6</v>
      </c>
      <c r="M683" s="182" t="s">
        <v>2111</v>
      </c>
      <c r="N683" s="186">
        <v>25</v>
      </c>
      <c r="O683" s="188">
        <v>0.01</v>
      </c>
      <c r="P683" s="188" t="s">
        <v>573</v>
      </c>
      <c r="Q683" s="188">
        <v>0</v>
      </c>
      <c r="R683" s="189" t="s">
        <v>573</v>
      </c>
      <c r="S683" s="189" t="s">
        <v>573</v>
      </c>
    </row>
    <row r="684" spans="1:19" ht="15" customHeight="1" x14ac:dyDescent="0.3">
      <c r="A684" s="182" t="s">
        <v>2101</v>
      </c>
      <c r="B684" s="182" t="s">
        <v>908</v>
      </c>
      <c r="C684" s="182" t="s">
        <v>909</v>
      </c>
      <c r="D684" s="182" t="s">
        <v>1274</v>
      </c>
      <c r="E684" s="183" t="s">
        <v>1275</v>
      </c>
      <c r="F684" s="183" t="s">
        <v>884</v>
      </c>
      <c r="G684" s="184">
        <v>1.2500000000000001E-2</v>
      </c>
      <c r="H684" s="185">
        <v>0.1</v>
      </c>
      <c r="I684" s="186">
        <v>120622.23</v>
      </c>
      <c r="J684" s="187">
        <v>1658.5556624999999</v>
      </c>
      <c r="K684" s="182" t="s">
        <v>2105</v>
      </c>
      <c r="L684" s="182">
        <v>7</v>
      </c>
      <c r="M684" s="182" t="s">
        <v>2112</v>
      </c>
      <c r="N684" s="186">
        <v>25</v>
      </c>
      <c r="O684" s="188">
        <v>1.2500000000000001E-2</v>
      </c>
      <c r="P684" s="188" t="s">
        <v>573</v>
      </c>
      <c r="Q684" s="188">
        <v>0</v>
      </c>
      <c r="R684" s="189" t="s">
        <v>573</v>
      </c>
      <c r="S684" s="189" t="s">
        <v>573</v>
      </c>
    </row>
    <row r="685" spans="1:19" ht="15" customHeight="1" x14ac:dyDescent="0.3">
      <c r="A685" s="182" t="s">
        <v>2101</v>
      </c>
      <c r="B685" s="182" t="s">
        <v>908</v>
      </c>
      <c r="C685" s="182" t="s">
        <v>909</v>
      </c>
      <c r="D685" s="182" t="s">
        <v>1907</v>
      </c>
      <c r="E685" s="183" t="s">
        <v>1908</v>
      </c>
      <c r="F685" s="183" t="s">
        <v>912</v>
      </c>
      <c r="G685" s="184">
        <v>1E-3</v>
      </c>
      <c r="H685" s="185">
        <v>0.05</v>
      </c>
      <c r="I685" s="186">
        <v>9639</v>
      </c>
      <c r="J685" s="187">
        <v>10.120950000000001</v>
      </c>
      <c r="K685" s="182" t="s">
        <v>2105</v>
      </c>
      <c r="L685" s="182">
        <v>8</v>
      </c>
      <c r="M685" s="182" t="s">
        <v>2113</v>
      </c>
      <c r="N685" s="186">
        <v>25</v>
      </c>
      <c r="O685" s="188">
        <v>1E-3</v>
      </c>
      <c r="P685" s="188" t="s">
        <v>573</v>
      </c>
      <c r="Q685" s="188">
        <v>0</v>
      </c>
      <c r="R685" s="189" t="s">
        <v>573</v>
      </c>
      <c r="S685" s="189" t="s">
        <v>573</v>
      </c>
    </row>
    <row r="686" spans="1:19" ht="15" customHeight="1" x14ac:dyDescent="0.3">
      <c r="A686" s="182" t="s">
        <v>2101</v>
      </c>
      <c r="B686" s="182" t="s">
        <v>937</v>
      </c>
      <c r="C686" s="182" t="s">
        <v>938</v>
      </c>
      <c r="D686" s="190" t="s">
        <v>944</v>
      </c>
      <c r="E686" s="183" t="s">
        <v>945</v>
      </c>
      <c r="F686" s="183" t="s">
        <v>941</v>
      </c>
      <c r="G686" s="184">
        <v>1</v>
      </c>
      <c r="H686" s="185">
        <v>0</v>
      </c>
      <c r="I686" s="186">
        <v>85927.097156571996</v>
      </c>
      <c r="J686" s="187">
        <v>85927.097156571996</v>
      </c>
      <c r="K686" s="182" t="s">
        <v>2114</v>
      </c>
      <c r="L686" s="182">
        <v>1</v>
      </c>
      <c r="M686" s="182" t="s">
        <v>2115</v>
      </c>
      <c r="N686" s="186">
        <v>25</v>
      </c>
      <c r="O686" s="188">
        <v>0.04</v>
      </c>
      <c r="P686" s="188" t="s">
        <v>573</v>
      </c>
      <c r="Q686" s="188">
        <v>0</v>
      </c>
      <c r="R686" s="189" t="s">
        <v>573</v>
      </c>
      <c r="S686" s="189" t="s">
        <v>573</v>
      </c>
    </row>
    <row r="687" spans="1:19" ht="15" customHeight="1" x14ac:dyDescent="0.3">
      <c r="A687" s="182" t="s">
        <v>2116</v>
      </c>
      <c r="B687" s="182" t="s">
        <v>563</v>
      </c>
      <c r="C687" s="182"/>
      <c r="D687" s="182" t="s">
        <v>1986</v>
      </c>
      <c r="E687" s="183" t="s">
        <v>1987</v>
      </c>
      <c r="F687" s="183"/>
      <c r="G687" s="184">
        <v>0.75</v>
      </c>
      <c r="H687" s="185"/>
      <c r="I687" s="186">
        <v>1899.1826421923399</v>
      </c>
      <c r="J687" s="187">
        <v>1424.38698164425</v>
      </c>
      <c r="K687" s="182" t="s">
        <v>2117</v>
      </c>
      <c r="L687" s="182">
        <v>1</v>
      </c>
      <c r="M687" s="182" t="s">
        <v>2118</v>
      </c>
      <c r="N687" s="186">
        <v>15.5</v>
      </c>
      <c r="O687" s="188">
        <v>0.75</v>
      </c>
      <c r="P687" s="188">
        <v>739</v>
      </c>
      <c r="Q687" s="188">
        <v>554.25</v>
      </c>
      <c r="R687" s="189">
        <v>15.01</v>
      </c>
      <c r="S687" s="189" t="s">
        <v>573</v>
      </c>
    </row>
    <row r="688" spans="1:19" ht="15" customHeight="1" x14ac:dyDescent="0.3">
      <c r="A688" s="182" t="s">
        <v>2116</v>
      </c>
      <c r="B688" s="182" t="s">
        <v>563</v>
      </c>
      <c r="C688" s="182"/>
      <c r="D688" s="182" t="s">
        <v>1251</v>
      </c>
      <c r="E688" s="183" t="s">
        <v>1252</v>
      </c>
      <c r="F688" s="183"/>
      <c r="G688" s="184">
        <v>1</v>
      </c>
      <c r="H688" s="185">
        <v>0</v>
      </c>
      <c r="I688" s="186">
        <v>1723.6259595547101</v>
      </c>
      <c r="J688" s="187">
        <v>1723.6259595547101</v>
      </c>
      <c r="K688" s="182" t="s">
        <v>2117</v>
      </c>
      <c r="L688" s="182">
        <v>2</v>
      </c>
      <c r="M688" s="182" t="s">
        <v>2119</v>
      </c>
      <c r="N688" s="186">
        <v>15.5</v>
      </c>
      <c r="O688" s="188">
        <v>1</v>
      </c>
      <c r="P688" s="188">
        <v>739</v>
      </c>
      <c r="Q688" s="188">
        <v>739</v>
      </c>
      <c r="R688" s="189">
        <v>15.01</v>
      </c>
      <c r="S688" s="189" t="s">
        <v>573</v>
      </c>
    </row>
    <row r="689" spans="1:19" ht="15" customHeight="1" x14ac:dyDescent="0.3">
      <c r="A689" s="182" t="s">
        <v>2116</v>
      </c>
      <c r="B689" s="182" t="s">
        <v>563</v>
      </c>
      <c r="C689" s="182"/>
      <c r="D689" s="182" t="s">
        <v>1255</v>
      </c>
      <c r="E689" s="183" t="s">
        <v>1256</v>
      </c>
      <c r="F689" s="183"/>
      <c r="G689" s="184">
        <v>1</v>
      </c>
      <c r="H689" s="185">
        <v>0</v>
      </c>
      <c r="I689" s="186">
        <v>200.25307946474501</v>
      </c>
      <c r="J689" s="187">
        <v>200.25307946474501</v>
      </c>
      <c r="K689" s="182" t="s">
        <v>2117</v>
      </c>
      <c r="L689" s="182">
        <v>3</v>
      </c>
      <c r="M689" s="182" t="s">
        <v>2120</v>
      </c>
      <c r="N689" s="186">
        <v>15.5</v>
      </c>
      <c r="O689" s="188">
        <v>1</v>
      </c>
      <c r="P689" s="188">
        <v>739</v>
      </c>
      <c r="Q689" s="188">
        <v>739</v>
      </c>
      <c r="R689" s="189">
        <v>15.01</v>
      </c>
      <c r="S689" s="189" t="s">
        <v>573</v>
      </c>
    </row>
    <row r="690" spans="1:19" ht="15" customHeight="1" x14ac:dyDescent="0.3">
      <c r="A690" s="182" t="s">
        <v>2116</v>
      </c>
      <c r="B690" s="182" t="s">
        <v>563</v>
      </c>
      <c r="C690" s="182"/>
      <c r="D690" s="182" t="s">
        <v>948</v>
      </c>
      <c r="E690" s="183" t="s">
        <v>949</v>
      </c>
      <c r="F690" s="183"/>
      <c r="G690" s="184">
        <v>0.5</v>
      </c>
      <c r="H690" s="185"/>
      <c r="I690" s="186">
        <v>571.17949098076099</v>
      </c>
      <c r="J690" s="187">
        <v>285.58974549038101</v>
      </c>
      <c r="K690" s="182" t="s">
        <v>2117</v>
      </c>
      <c r="L690" s="182">
        <v>4</v>
      </c>
      <c r="M690" s="182" t="s">
        <v>2121</v>
      </c>
      <c r="N690" s="186">
        <v>15.5</v>
      </c>
      <c r="O690" s="188">
        <v>0.5</v>
      </c>
      <c r="P690" s="188">
        <v>739</v>
      </c>
      <c r="Q690" s="188">
        <v>369.5</v>
      </c>
      <c r="R690" s="189">
        <v>15.01</v>
      </c>
      <c r="S690" s="189" t="s">
        <v>573</v>
      </c>
    </row>
    <row r="691" spans="1:19" ht="15" customHeight="1" x14ac:dyDescent="0.3">
      <c r="A691" s="182" t="s">
        <v>2116</v>
      </c>
      <c r="B691" s="182" t="s">
        <v>908</v>
      </c>
      <c r="C691" s="182" t="s">
        <v>909</v>
      </c>
      <c r="D691" s="182" t="s">
        <v>1258</v>
      </c>
      <c r="E691" s="183" t="s">
        <v>1259</v>
      </c>
      <c r="F691" s="183" t="s">
        <v>912</v>
      </c>
      <c r="G691" s="184">
        <v>4.0000000000000001E-3</v>
      </c>
      <c r="H691" s="185">
        <v>0.05</v>
      </c>
      <c r="I691" s="186">
        <v>30467.49</v>
      </c>
      <c r="J691" s="187">
        <v>127.963458</v>
      </c>
      <c r="K691" s="182" t="s">
        <v>2122</v>
      </c>
      <c r="L691" s="182">
        <v>1</v>
      </c>
      <c r="M691" s="182" t="s">
        <v>2123</v>
      </c>
      <c r="N691" s="186">
        <v>15.5</v>
      </c>
      <c r="O691" s="188">
        <v>4.0000000000000001E-3</v>
      </c>
      <c r="P691" s="188">
        <v>739</v>
      </c>
      <c r="Q691" s="188">
        <v>2.956</v>
      </c>
      <c r="R691" s="189">
        <v>15.01</v>
      </c>
      <c r="S691" s="189" t="s">
        <v>573</v>
      </c>
    </row>
    <row r="692" spans="1:19" ht="15" customHeight="1" x14ac:dyDescent="0.3">
      <c r="A692" s="182" t="s">
        <v>2116</v>
      </c>
      <c r="B692" s="182" t="s">
        <v>908</v>
      </c>
      <c r="C692" s="182" t="s">
        <v>909</v>
      </c>
      <c r="D692" s="182" t="s">
        <v>1262</v>
      </c>
      <c r="E692" s="183" t="s">
        <v>1263</v>
      </c>
      <c r="F692" s="183" t="s">
        <v>600</v>
      </c>
      <c r="G692" s="184">
        <v>0.01</v>
      </c>
      <c r="H692" s="185">
        <v>0.05</v>
      </c>
      <c r="I692" s="186">
        <v>5661.4</v>
      </c>
      <c r="J692" s="187">
        <v>59.444699999999997</v>
      </c>
      <c r="K692" s="182" t="s">
        <v>2122</v>
      </c>
      <c r="L692" s="182">
        <v>2</v>
      </c>
      <c r="M692" s="182" t="s">
        <v>2124</v>
      </c>
      <c r="N692" s="186">
        <v>15.5</v>
      </c>
      <c r="O692" s="188">
        <v>0.01</v>
      </c>
      <c r="P692" s="188">
        <v>739</v>
      </c>
      <c r="Q692" s="188">
        <v>7.39</v>
      </c>
      <c r="R692" s="189">
        <v>15.01</v>
      </c>
      <c r="S692" s="189" t="s">
        <v>573</v>
      </c>
    </row>
    <row r="693" spans="1:19" ht="15" customHeight="1" x14ac:dyDescent="0.3">
      <c r="A693" s="182" t="s">
        <v>2116</v>
      </c>
      <c r="B693" s="182" t="s">
        <v>908</v>
      </c>
      <c r="C693" s="182" t="s">
        <v>909</v>
      </c>
      <c r="D693" s="182" t="s">
        <v>1265</v>
      </c>
      <c r="E693" s="183" t="s">
        <v>1266</v>
      </c>
      <c r="F693" s="183" t="s">
        <v>600</v>
      </c>
      <c r="G693" s="184">
        <v>0.01</v>
      </c>
      <c r="H693" s="185">
        <v>0.1</v>
      </c>
      <c r="I693" s="186">
        <v>3293.01</v>
      </c>
      <c r="J693" s="187">
        <v>36.223109999999998</v>
      </c>
      <c r="K693" s="182" t="s">
        <v>2122</v>
      </c>
      <c r="L693" s="182">
        <v>3</v>
      </c>
      <c r="M693" s="182" t="s">
        <v>2125</v>
      </c>
      <c r="N693" s="186">
        <v>15.5</v>
      </c>
      <c r="O693" s="188">
        <v>0.01</v>
      </c>
      <c r="P693" s="188">
        <v>739</v>
      </c>
      <c r="Q693" s="188">
        <v>7.39</v>
      </c>
      <c r="R693" s="189">
        <v>15.01</v>
      </c>
      <c r="S693" s="189" t="s">
        <v>573</v>
      </c>
    </row>
    <row r="694" spans="1:19" ht="15" customHeight="1" x14ac:dyDescent="0.3">
      <c r="A694" s="182" t="s">
        <v>2116</v>
      </c>
      <c r="B694" s="182" t="s">
        <v>908</v>
      </c>
      <c r="C694" s="182" t="s">
        <v>909</v>
      </c>
      <c r="D694" s="182" t="s">
        <v>915</v>
      </c>
      <c r="E694" s="183" t="s">
        <v>916</v>
      </c>
      <c r="F694" s="183" t="s">
        <v>600</v>
      </c>
      <c r="G694" s="184">
        <v>0.01</v>
      </c>
      <c r="H694" s="185">
        <v>0.05</v>
      </c>
      <c r="I694" s="186">
        <v>735.06</v>
      </c>
      <c r="J694" s="187">
        <v>7.7181300000000004</v>
      </c>
      <c r="K694" s="182" t="s">
        <v>2122</v>
      </c>
      <c r="L694" s="182">
        <v>4</v>
      </c>
      <c r="M694" s="182" t="s">
        <v>2126</v>
      </c>
      <c r="N694" s="186">
        <v>15.5</v>
      </c>
      <c r="O694" s="188">
        <v>0.01</v>
      </c>
      <c r="P694" s="188">
        <v>739</v>
      </c>
      <c r="Q694" s="188">
        <v>7.39</v>
      </c>
      <c r="R694" s="189">
        <v>15.01</v>
      </c>
      <c r="S694" s="189" t="s">
        <v>573</v>
      </c>
    </row>
    <row r="695" spans="1:19" ht="15" customHeight="1" x14ac:dyDescent="0.3">
      <c r="A695" s="182" t="s">
        <v>2116</v>
      </c>
      <c r="B695" s="182" t="s">
        <v>908</v>
      </c>
      <c r="C695" s="182" t="s">
        <v>909</v>
      </c>
      <c r="D695" s="182" t="s">
        <v>918</v>
      </c>
      <c r="E695" s="183" t="s">
        <v>919</v>
      </c>
      <c r="F695" s="183" t="s">
        <v>600</v>
      </c>
      <c r="G695" s="184">
        <v>5.0000000000000001E-3</v>
      </c>
      <c r="H695" s="185">
        <v>0.05</v>
      </c>
      <c r="I695" s="186">
        <v>6678.36</v>
      </c>
      <c r="J695" s="187">
        <v>35.061390000000003</v>
      </c>
      <c r="K695" s="182" t="s">
        <v>2122</v>
      </c>
      <c r="L695" s="182">
        <v>5</v>
      </c>
      <c r="M695" s="182" t="s">
        <v>2127</v>
      </c>
      <c r="N695" s="186">
        <v>15.5</v>
      </c>
      <c r="O695" s="188">
        <v>5.0000000000000001E-3</v>
      </c>
      <c r="P695" s="188">
        <v>739</v>
      </c>
      <c r="Q695" s="188">
        <v>3.6949999999999998</v>
      </c>
      <c r="R695" s="189">
        <v>15.01</v>
      </c>
      <c r="S695" s="189" t="s">
        <v>573</v>
      </c>
    </row>
    <row r="696" spans="1:19" ht="15" customHeight="1" x14ac:dyDescent="0.3">
      <c r="A696" s="182" t="s">
        <v>2116</v>
      </c>
      <c r="B696" s="182" t="s">
        <v>908</v>
      </c>
      <c r="C696" s="182" t="s">
        <v>909</v>
      </c>
      <c r="D696" s="182" t="s">
        <v>921</v>
      </c>
      <c r="E696" s="183" t="s">
        <v>922</v>
      </c>
      <c r="F696" s="183" t="s">
        <v>600</v>
      </c>
      <c r="G696" s="184">
        <v>5.0000000000000001E-3</v>
      </c>
      <c r="H696" s="185">
        <v>0.05</v>
      </c>
      <c r="I696" s="186">
        <v>5282.24</v>
      </c>
      <c r="J696" s="187">
        <v>27.731760000000001</v>
      </c>
      <c r="K696" s="182" t="s">
        <v>2122</v>
      </c>
      <c r="L696" s="182">
        <v>6</v>
      </c>
      <c r="M696" s="182" t="s">
        <v>2128</v>
      </c>
      <c r="N696" s="186">
        <v>15.5</v>
      </c>
      <c r="O696" s="188">
        <v>5.0000000000000001E-3</v>
      </c>
      <c r="P696" s="188">
        <v>739</v>
      </c>
      <c r="Q696" s="188">
        <v>3.6949999999999998</v>
      </c>
      <c r="R696" s="189">
        <v>15.01</v>
      </c>
      <c r="S696" s="189" t="s">
        <v>573</v>
      </c>
    </row>
    <row r="697" spans="1:19" ht="15" customHeight="1" x14ac:dyDescent="0.3">
      <c r="A697" s="182" t="s">
        <v>2116</v>
      </c>
      <c r="B697" s="182" t="s">
        <v>908</v>
      </c>
      <c r="C697" s="182" t="s">
        <v>909</v>
      </c>
      <c r="D697" s="182" t="s">
        <v>1271</v>
      </c>
      <c r="E697" s="183" t="s">
        <v>1272</v>
      </c>
      <c r="F697" s="183" t="s">
        <v>600</v>
      </c>
      <c r="G697" s="184">
        <v>0.01</v>
      </c>
      <c r="H697" s="185">
        <v>0.05</v>
      </c>
      <c r="I697" s="186">
        <v>7427.6</v>
      </c>
      <c r="J697" s="187">
        <v>77.989800000000002</v>
      </c>
      <c r="K697" s="182" t="s">
        <v>2122</v>
      </c>
      <c r="L697" s="182">
        <v>7</v>
      </c>
      <c r="M697" s="182" t="s">
        <v>2129</v>
      </c>
      <c r="N697" s="186">
        <v>15.5</v>
      </c>
      <c r="O697" s="188">
        <v>0.01</v>
      </c>
      <c r="P697" s="188">
        <v>739</v>
      </c>
      <c r="Q697" s="188">
        <v>7.39</v>
      </c>
      <c r="R697" s="189">
        <v>15.01</v>
      </c>
      <c r="S697" s="189" t="s">
        <v>573</v>
      </c>
    </row>
    <row r="698" spans="1:19" ht="15" customHeight="1" x14ac:dyDescent="0.3">
      <c r="A698" s="182" t="s">
        <v>2116</v>
      </c>
      <c r="B698" s="182" t="s">
        <v>908</v>
      </c>
      <c r="C698" s="182" t="s">
        <v>909</v>
      </c>
      <c r="D698" s="182" t="s">
        <v>2130</v>
      </c>
      <c r="E698" s="183" t="s">
        <v>2131</v>
      </c>
      <c r="F698" s="183" t="s">
        <v>600</v>
      </c>
      <c r="G698" s="184">
        <v>1.2500000000000001E-2</v>
      </c>
      <c r="H698" s="185">
        <v>0.1</v>
      </c>
      <c r="I698" s="186">
        <v>105657.74</v>
      </c>
      <c r="J698" s="187">
        <v>1452.7939249999999</v>
      </c>
      <c r="K698" s="182" t="s">
        <v>2122</v>
      </c>
      <c r="L698" s="182">
        <v>8</v>
      </c>
      <c r="M698" s="182" t="s">
        <v>2132</v>
      </c>
      <c r="N698" s="186">
        <v>15.5</v>
      </c>
      <c r="O698" s="188">
        <v>1.2500000000000001E-2</v>
      </c>
      <c r="P698" s="188">
        <v>739</v>
      </c>
      <c r="Q698" s="188">
        <v>9.2375000000000007</v>
      </c>
      <c r="R698" s="189">
        <v>15.01</v>
      </c>
      <c r="S698" s="189" t="s">
        <v>573</v>
      </c>
    </row>
    <row r="699" spans="1:19" ht="15" customHeight="1" x14ac:dyDescent="0.3">
      <c r="A699" s="182" t="s">
        <v>2116</v>
      </c>
      <c r="B699" s="182" t="s">
        <v>937</v>
      </c>
      <c r="C699" s="182" t="s">
        <v>938</v>
      </c>
      <c r="D699" s="182" t="s">
        <v>939</v>
      </c>
      <c r="E699" s="183" t="s">
        <v>940</v>
      </c>
      <c r="F699" s="183" t="s">
        <v>941</v>
      </c>
      <c r="G699" s="184">
        <v>0.5</v>
      </c>
      <c r="H699" s="185">
        <v>0</v>
      </c>
      <c r="I699" s="186">
        <v>60860.580776572002</v>
      </c>
      <c r="J699" s="187">
        <v>30430.290388286001</v>
      </c>
      <c r="K699" s="182" t="s">
        <v>2133</v>
      </c>
      <c r="L699" s="182">
        <v>1</v>
      </c>
      <c r="M699" s="182" t="s">
        <v>2134</v>
      </c>
      <c r="N699" s="186">
        <v>15.5</v>
      </c>
      <c r="O699" s="188">
        <v>3.2258064516128997E-2</v>
      </c>
      <c r="P699" s="188">
        <v>739</v>
      </c>
      <c r="Q699" s="188">
        <v>23.838709677419399</v>
      </c>
      <c r="R699" s="189">
        <v>15.01</v>
      </c>
      <c r="S699" s="189" t="s">
        <v>573</v>
      </c>
    </row>
    <row r="700" spans="1:19" ht="15" customHeight="1" x14ac:dyDescent="0.3">
      <c r="A700" s="182" t="s">
        <v>2116</v>
      </c>
      <c r="B700" s="182" t="s">
        <v>937</v>
      </c>
      <c r="C700" s="182" t="s">
        <v>938</v>
      </c>
      <c r="D700" s="190" t="s">
        <v>1291</v>
      </c>
      <c r="E700" s="183" t="s">
        <v>1292</v>
      </c>
      <c r="F700" s="183" t="s">
        <v>941</v>
      </c>
      <c r="G700" s="184">
        <v>1</v>
      </c>
      <c r="H700" s="185">
        <v>0</v>
      </c>
      <c r="I700" s="186">
        <v>65493.071636572</v>
      </c>
      <c r="J700" s="187">
        <v>65493.071636572</v>
      </c>
      <c r="K700" s="182" t="s">
        <v>2133</v>
      </c>
      <c r="L700" s="182">
        <v>2</v>
      </c>
      <c r="M700" s="182" t="s">
        <v>2135</v>
      </c>
      <c r="N700" s="186">
        <v>15.5</v>
      </c>
      <c r="O700" s="188">
        <v>6.4516129032258104E-2</v>
      </c>
      <c r="P700" s="188">
        <v>739</v>
      </c>
      <c r="Q700" s="188">
        <v>47.677419354838698</v>
      </c>
      <c r="R700" s="189">
        <v>15.01</v>
      </c>
      <c r="S700" s="189" t="s">
        <v>573</v>
      </c>
    </row>
    <row r="701" spans="1:19" ht="15" customHeight="1" x14ac:dyDescent="0.3">
      <c r="A701" s="182" t="s">
        <v>2116</v>
      </c>
      <c r="B701" s="182" t="s">
        <v>937</v>
      </c>
      <c r="C701" s="182" t="s">
        <v>938</v>
      </c>
      <c r="D701" s="190" t="s">
        <v>944</v>
      </c>
      <c r="E701" s="183" t="s">
        <v>945</v>
      </c>
      <c r="F701" s="183" t="s">
        <v>941</v>
      </c>
      <c r="G701" s="184">
        <v>1.5</v>
      </c>
      <c r="H701" s="185">
        <v>0</v>
      </c>
      <c r="I701" s="186">
        <v>85927.097156571996</v>
      </c>
      <c r="J701" s="187">
        <v>128890.645734858</v>
      </c>
      <c r="K701" s="182" t="s">
        <v>2133</v>
      </c>
      <c r="L701" s="182">
        <v>3</v>
      </c>
      <c r="M701" s="182" t="s">
        <v>2136</v>
      </c>
      <c r="N701" s="186">
        <v>15.5</v>
      </c>
      <c r="O701" s="188">
        <v>9.6774193548387094E-2</v>
      </c>
      <c r="P701" s="188">
        <v>739</v>
      </c>
      <c r="Q701" s="188">
        <v>71.516129032258107</v>
      </c>
      <c r="R701" s="189">
        <v>15.01</v>
      </c>
      <c r="S701" s="189" t="s">
        <v>573</v>
      </c>
    </row>
    <row r="702" spans="1:19" ht="15" customHeight="1" x14ac:dyDescent="0.3">
      <c r="A702" s="182" t="s">
        <v>2137</v>
      </c>
      <c r="B702" s="182" t="s">
        <v>563</v>
      </c>
      <c r="C702" s="182"/>
      <c r="D702" s="182" t="s">
        <v>2138</v>
      </c>
      <c r="E702" s="183" t="s">
        <v>2139</v>
      </c>
      <c r="F702" s="183"/>
      <c r="G702" s="184">
        <v>0.25</v>
      </c>
      <c r="H702" s="185">
        <v>0</v>
      </c>
      <c r="I702" s="186">
        <v>568150</v>
      </c>
      <c r="J702" s="187">
        <v>142037.5</v>
      </c>
      <c r="K702" s="182" t="s">
        <v>2140</v>
      </c>
      <c r="L702" s="182">
        <v>1</v>
      </c>
      <c r="M702" s="182" t="s">
        <v>2141</v>
      </c>
      <c r="N702" s="186">
        <v>25</v>
      </c>
      <c r="O702" s="188">
        <v>0.25</v>
      </c>
      <c r="P702" s="188" t="s">
        <v>573</v>
      </c>
      <c r="Q702" s="188">
        <v>0</v>
      </c>
      <c r="R702" s="189" t="s">
        <v>573</v>
      </c>
      <c r="S702" s="189" t="s">
        <v>573</v>
      </c>
    </row>
    <row r="703" spans="1:19" ht="15" customHeight="1" x14ac:dyDescent="0.3">
      <c r="A703" s="182" t="s">
        <v>2137</v>
      </c>
      <c r="B703" s="182" t="s">
        <v>563</v>
      </c>
      <c r="C703" s="182"/>
      <c r="D703" s="182" t="s">
        <v>2142</v>
      </c>
      <c r="E703" s="183" t="s">
        <v>2143</v>
      </c>
      <c r="F703" s="183"/>
      <c r="G703" s="184">
        <v>1</v>
      </c>
      <c r="H703" s="185">
        <v>0</v>
      </c>
      <c r="I703" s="186">
        <v>464850</v>
      </c>
      <c r="J703" s="187">
        <v>464850</v>
      </c>
      <c r="K703" s="182" t="s">
        <v>2140</v>
      </c>
      <c r="L703" s="182">
        <v>2</v>
      </c>
      <c r="M703" s="182" t="s">
        <v>2144</v>
      </c>
      <c r="N703" s="186">
        <v>25</v>
      </c>
      <c r="O703" s="188">
        <v>1</v>
      </c>
      <c r="P703" s="188" t="s">
        <v>573</v>
      </c>
      <c r="Q703" s="188">
        <v>0</v>
      </c>
      <c r="R703" s="189" t="s">
        <v>573</v>
      </c>
      <c r="S703" s="189" t="s">
        <v>573</v>
      </c>
    </row>
    <row r="704" spans="1:19" ht="15" customHeight="1" x14ac:dyDescent="0.3">
      <c r="A704" s="182" t="s">
        <v>2137</v>
      </c>
      <c r="B704" s="182" t="s">
        <v>563</v>
      </c>
      <c r="C704" s="182"/>
      <c r="D704" s="182" t="s">
        <v>2145</v>
      </c>
      <c r="E704" s="183" t="s">
        <v>2146</v>
      </c>
      <c r="F704" s="183"/>
      <c r="G704" s="184">
        <v>1</v>
      </c>
      <c r="H704" s="185">
        <v>0</v>
      </c>
      <c r="I704" s="186">
        <v>258250</v>
      </c>
      <c r="J704" s="187">
        <v>258250</v>
      </c>
      <c r="K704" s="182" t="s">
        <v>2140</v>
      </c>
      <c r="L704" s="182">
        <v>3</v>
      </c>
      <c r="M704" s="182" t="s">
        <v>2147</v>
      </c>
      <c r="N704" s="186">
        <v>25</v>
      </c>
      <c r="O704" s="188">
        <v>1</v>
      </c>
      <c r="P704" s="188" t="s">
        <v>573</v>
      </c>
      <c r="Q704" s="188">
        <v>0</v>
      </c>
      <c r="R704" s="189" t="s">
        <v>573</v>
      </c>
      <c r="S704" s="189" t="s">
        <v>573</v>
      </c>
    </row>
    <row r="705" spans="1:19" ht="15" customHeight="1" x14ac:dyDescent="0.3">
      <c r="A705" s="182" t="s">
        <v>2137</v>
      </c>
      <c r="B705" s="182" t="s">
        <v>908</v>
      </c>
      <c r="C705" s="182" t="s">
        <v>909</v>
      </c>
      <c r="D705" s="182" t="s">
        <v>2148</v>
      </c>
      <c r="E705" s="183" t="s">
        <v>2149</v>
      </c>
      <c r="F705" s="183" t="s">
        <v>590</v>
      </c>
      <c r="G705" s="184">
        <v>1</v>
      </c>
      <c r="H705" s="185">
        <v>0.3</v>
      </c>
      <c r="I705" s="186">
        <v>9811.2871797810803</v>
      </c>
      <c r="J705" s="187">
        <v>12754.6733337154</v>
      </c>
      <c r="K705" s="182" t="s">
        <v>2150</v>
      </c>
      <c r="L705" s="182">
        <v>1</v>
      </c>
      <c r="M705" s="182" t="s">
        <v>2151</v>
      </c>
      <c r="N705" s="186">
        <v>25</v>
      </c>
      <c r="O705" s="188">
        <v>1</v>
      </c>
      <c r="P705" s="188" t="s">
        <v>573</v>
      </c>
      <c r="Q705" s="188">
        <v>0</v>
      </c>
      <c r="R705" s="189" t="s">
        <v>573</v>
      </c>
      <c r="S705" s="189" t="s">
        <v>573</v>
      </c>
    </row>
    <row r="706" spans="1:19" ht="15" customHeight="1" x14ac:dyDescent="0.3">
      <c r="A706" s="182" t="s">
        <v>2137</v>
      </c>
      <c r="B706" s="182" t="s">
        <v>937</v>
      </c>
      <c r="C706" s="182" t="s">
        <v>938</v>
      </c>
      <c r="D706" s="190" t="s">
        <v>1291</v>
      </c>
      <c r="E706" s="183" t="s">
        <v>1292</v>
      </c>
      <c r="F706" s="183" t="s">
        <v>941</v>
      </c>
      <c r="G706" s="184">
        <v>1</v>
      </c>
      <c r="H706" s="185">
        <v>0</v>
      </c>
      <c r="I706" s="186">
        <v>65493.071636572</v>
      </c>
      <c r="J706" s="187">
        <v>65493.071636572</v>
      </c>
      <c r="K706" s="182" t="s">
        <v>2152</v>
      </c>
      <c r="L706" s="182">
        <v>1</v>
      </c>
      <c r="M706" s="182" t="s">
        <v>2153</v>
      </c>
      <c r="N706" s="186">
        <v>25</v>
      </c>
      <c r="O706" s="188">
        <v>0.04</v>
      </c>
      <c r="P706" s="188" t="s">
        <v>573</v>
      </c>
      <c r="Q706" s="188">
        <v>0</v>
      </c>
      <c r="R706" s="189" t="s">
        <v>573</v>
      </c>
      <c r="S706" s="189" t="s">
        <v>573</v>
      </c>
    </row>
    <row r="707" spans="1:19" ht="15" customHeight="1" x14ac:dyDescent="0.3">
      <c r="A707" s="182" t="s">
        <v>2137</v>
      </c>
      <c r="B707" s="182" t="s">
        <v>937</v>
      </c>
      <c r="C707" s="182" t="s">
        <v>938</v>
      </c>
      <c r="D707" s="190" t="s">
        <v>944</v>
      </c>
      <c r="E707" s="183" t="s">
        <v>945</v>
      </c>
      <c r="F707" s="183" t="s">
        <v>941</v>
      </c>
      <c r="G707" s="184">
        <v>1</v>
      </c>
      <c r="H707" s="185">
        <v>0</v>
      </c>
      <c r="I707" s="186">
        <v>85927.097156571996</v>
      </c>
      <c r="J707" s="187">
        <v>85927.097156571996</v>
      </c>
      <c r="K707" s="182" t="s">
        <v>2152</v>
      </c>
      <c r="L707" s="182">
        <v>2</v>
      </c>
      <c r="M707" s="182" t="s">
        <v>2154</v>
      </c>
      <c r="N707" s="186">
        <v>25</v>
      </c>
      <c r="O707" s="188">
        <v>0.04</v>
      </c>
      <c r="P707" s="188" t="s">
        <v>573</v>
      </c>
      <c r="Q707" s="188">
        <v>0</v>
      </c>
      <c r="R707" s="189" t="s">
        <v>573</v>
      </c>
      <c r="S707" s="189" t="s">
        <v>573</v>
      </c>
    </row>
    <row r="708" spans="1:19" ht="15" customHeight="1" x14ac:dyDescent="0.3">
      <c r="A708" s="182" t="s">
        <v>2155</v>
      </c>
      <c r="B708" s="182" t="s">
        <v>563</v>
      </c>
      <c r="C708" s="182"/>
      <c r="D708" s="182" t="s">
        <v>2156</v>
      </c>
      <c r="E708" s="183" t="s">
        <v>2157</v>
      </c>
      <c r="F708" s="183"/>
      <c r="G708" s="184">
        <v>1</v>
      </c>
      <c r="H708" s="185">
        <v>0</v>
      </c>
      <c r="I708" s="186">
        <v>4268.9613811940299</v>
      </c>
      <c r="J708" s="187">
        <v>4268.9613811940299</v>
      </c>
      <c r="K708" s="182" t="s">
        <v>2158</v>
      </c>
      <c r="L708" s="182">
        <v>1</v>
      </c>
      <c r="M708" s="182" t="s">
        <v>2159</v>
      </c>
      <c r="N708" s="186">
        <v>1</v>
      </c>
      <c r="O708" s="188">
        <v>1</v>
      </c>
      <c r="P708" s="188">
        <v>3</v>
      </c>
      <c r="Q708" s="188">
        <v>3</v>
      </c>
      <c r="R708" s="189">
        <v>1.02</v>
      </c>
      <c r="S708" s="189" t="s">
        <v>2160</v>
      </c>
    </row>
    <row r="709" spans="1:19" ht="15" customHeight="1" x14ac:dyDescent="0.3">
      <c r="A709" s="182" t="s">
        <v>2155</v>
      </c>
      <c r="B709" s="182" t="s">
        <v>908</v>
      </c>
      <c r="C709" s="182" t="s">
        <v>1358</v>
      </c>
      <c r="D709" s="182" t="s">
        <v>2161</v>
      </c>
      <c r="E709" s="183" t="s">
        <v>2162</v>
      </c>
      <c r="F709" s="183" t="s">
        <v>576</v>
      </c>
      <c r="G709" s="184">
        <v>1</v>
      </c>
      <c r="H709" s="185">
        <v>0</v>
      </c>
      <c r="I709" s="186">
        <v>25000</v>
      </c>
      <c r="J709" s="187">
        <v>25000</v>
      </c>
      <c r="K709" s="182" t="s">
        <v>2163</v>
      </c>
      <c r="L709" s="182">
        <v>1</v>
      </c>
      <c r="M709" s="182" t="s">
        <v>2164</v>
      </c>
      <c r="N709" s="186">
        <v>1</v>
      </c>
      <c r="O709" s="188">
        <v>1</v>
      </c>
      <c r="P709" s="188">
        <v>3</v>
      </c>
      <c r="Q709" s="188">
        <v>3</v>
      </c>
      <c r="R709" s="189">
        <v>1.02</v>
      </c>
      <c r="S709" s="189" t="s">
        <v>2160</v>
      </c>
    </row>
    <row r="710" spans="1:19" ht="15" customHeight="1" x14ac:dyDescent="0.3">
      <c r="A710" s="182" t="s">
        <v>2155</v>
      </c>
      <c r="B710" s="182" t="s">
        <v>937</v>
      </c>
      <c r="C710" s="182" t="s">
        <v>938</v>
      </c>
      <c r="D710" s="182" t="s">
        <v>939</v>
      </c>
      <c r="E710" s="183" t="s">
        <v>940</v>
      </c>
      <c r="F710" s="183" t="s">
        <v>941</v>
      </c>
      <c r="G710" s="184">
        <v>1</v>
      </c>
      <c r="H710" s="185">
        <v>0</v>
      </c>
      <c r="I710" s="186">
        <v>60860.580776572002</v>
      </c>
      <c r="J710" s="187">
        <v>60860.580776572002</v>
      </c>
      <c r="K710" s="182" t="s">
        <v>2165</v>
      </c>
      <c r="L710" s="182">
        <v>1</v>
      </c>
      <c r="M710" s="182" t="s">
        <v>2166</v>
      </c>
      <c r="N710" s="186">
        <v>1</v>
      </c>
      <c r="O710" s="188">
        <v>1</v>
      </c>
      <c r="P710" s="188">
        <v>3</v>
      </c>
      <c r="Q710" s="188">
        <v>3</v>
      </c>
      <c r="R710" s="189">
        <v>1.02</v>
      </c>
      <c r="S710" s="189" t="s">
        <v>2160</v>
      </c>
    </row>
    <row r="711" spans="1:19" ht="15" customHeight="1" x14ac:dyDescent="0.3">
      <c r="A711" s="182" t="s">
        <v>2155</v>
      </c>
      <c r="B711" s="182" t="s">
        <v>937</v>
      </c>
      <c r="C711" s="182" t="s">
        <v>909</v>
      </c>
      <c r="D711" s="182" t="s">
        <v>2167</v>
      </c>
      <c r="E711" s="183" t="s">
        <v>2168</v>
      </c>
      <c r="F711" s="183" t="s">
        <v>941</v>
      </c>
      <c r="G711" s="184">
        <v>1</v>
      </c>
      <c r="H711" s="185">
        <v>0</v>
      </c>
      <c r="I711" s="186">
        <v>198736.844636364</v>
      </c>
      <c r="J711" s="187">
        <v>198736.844636364</v>
      </c>
      <c r="K711" s="182" t="s">
        <v>2165</v>
      </c>
      <c r="L711" s="182">
        <v>2</v>
      </c>
      <c r="M711" s="182" t="s">
        <v>2169</v>
      </c>
      <c r="N711" s="186">
        <v>1</v>
      </c>
      <c r="O711" s="188">
        <v>1</v>
      </c>
      <c r="P711" s="188">
        <v>3</v>
      </c>
      <c r="Q711" s="188">
        <v>3</v>
      </c>
      <c r="R711" s="189">
        <v>1.02</v>
      </c>
      <c r="S711" s="189" t="s">
        <v>2160</v>
      </c>
    </row>
    <row r="712" spans="1:19" ht="15" customHeight="1" x14ac:dyDescent="0.3">
      <c r="A712" s="182" t="s">
        <v>2170</v>
      </c>
      <c r="B712" s="182" t="s">
        <v>563</v>
      </c>
      <c r="C712" s="182"/>
      <c r="D712" s="182" t="s">
        <v>2171</v>
      </c>
      <c r="E712" s="183" t="s">
        <v>2172</v>
      </c>
      <c r="F712" s="183"/>
      <c r="G712" s="184">
        <v>1</v>
      </c>
      <c r="H712" s="185">
        <v>0</v>
      </c>
      <c r="I712" s="186">
        <v>2849.7760330466299</v>
      </c>
      <c r="J712" s="187">
        <v>2849.7760330466299</v>
      </c>
      <c r="K712" s="182" t="s">
        <v>2173</v>
      </c>
      <c r="L712" s="182">
        <v>1</v>
      </c>
      <c r="M712" s="182" t="s">
        <v>2174</v>
      </c>
      <c r="N712" s="186">
        <v>1</v>
      </c>
      <c r="O712" s="188">
        <v>1</v>
      </c>
      <c r="P712" s="188">
        <v>10</v>
      </c>
      <c r="Q712" s="188">
        <v>10</v>
      </c>
      <c r="R712" s="189">
        <v>1.04</v>
      </c>
      <c r="S712" s="189" t="s">
        <v>2160</v>
      </c>
    </row>
    <row r="713" spans="1:19" ht="15" customHeight="1" x14ac:dyDescent="0.3">
      <c r="A713" s="182" t="s">
        <v>2170</v>
      </c>
      <c r="B713" s="182" t="s">
        <v>908</v>
      </c>
      <c r="C713" s="182" t="s">
        <v>909</v>
      </c>
      <c r="D713" s="182" t="s">
        <v>976</v>
      </c>
      <c r="E713" s="183" t="s">
        <v>977</v>
      </c>
      <c r="F713" s="183" t="s">
        <v>576</v>
      </c>
      <c r="G713" s="184">
        <v>14721.783801650001</v>
      </c>
      <c r="H713" s="185">
        <v>0</v>
      </c>
      <c r="I713" s="186">
        <v>1</v>
      </c>
      <c r="J713" s="187">
        <v>14721.783801650001</v>
      </c>
      <c r="K713" s="182" t="s">
        <v>2175</v>
      </c>
      <c r="L713" s="182">
        <v>1</v>
      </c>
      <c r="M713" s="182" t="s">
        <v>2176</v>
      </c>
      <c r="N713" s="186">
        <v>1</v>
      </c>
      <c r="O713" s="188">
        <v>14721.783801650001</v>
      </c>
      <c r="P713" s="188">
        <v>10</v>
      </c>
      <c r="Q713" s="188">
        <v>147217.8380165</v>
      </c>
      <c r="R713" s="189">
        <v>1.04</v>
      </c>
      <c r="S713" s="189" t="s">
        <v>2160</v>
      </c>
    </row>
    <row r="714" spans="1:19" ht="15" customHeight="1" x14ac:dyDescent="0.3">
      <c r="A714" s="182" t="s">
        <v>2170</v>
      </c>
      <c r="B714" s="182" t="s">
        <v>908</v>
      </c>
      <c r="C714" s="182" t="s">
        <v>909</v>
      </c>
      <c r="D714" s="182" t="s">
        <v>2177</v>
      </c>
      <c r="E714" s="183" t="s">
        <v>2178</v>
      </c>
      <c r="F714" s="183" t="s">
        <v>595</v>
      </c>
      <c r="G714" s="184">
        <v>2.5</v>
      </c>
      <c r="H714" s="185">
        <v>0</v>
      </c>
      <c r="I714" s="186">
        <v>10167.5702479339</v>
      </c>
      <c r="J714" s="187">
        <v>25418.925619834801</v>
      </c>
      <c r="K714" s="182" t="s">
        <v>2175</v>
      </c>
      <c r="L714" s="182">
        <v>2</v>
      </c>
      <c r="M714" s="182" t="s">
        <v>2179</v>
      </c>
      <c r="N714" s="186">
        <v>1</v>
      </c>
      <c r="O714" s="188">
        <v>2.5</v>
      </c>
      <c r="P714" s="188">
        <v>10</v>
      </c>
      <c r="Q714" s="188">
        <v>25</v>
      </c>
      <c r="R714" s="189">
        <v>1.04</v>
      </c>
      <c r="S714" s="189" t="s">
        <v>2160</v>
      </c>
    </row>
    <row r="715" spans="1:19" ht="15" customHeight="1" x14ac:dyDescent="0.3">
      <c r="A715" s="182" t="s">
        <v>2170</v>
      </c>
      <c r="B715" s="182" t="s">
        <v>908</v>
      </c>
      <c r="C715" s="182" t="s">
        <v>909</v>
      </c>
      <c r="D715" s="182" t="s">
        <v>2180</v>
      </c>
      <c r="E715" s="183" t="s">
        <v>2181</v>
      </c>
      <c r="F715" s="183" t="s">
        <v>652</v>
      </c>
      <c r="G715" s="184">
        <v>0.1</v>
      </c>
      <c r="H715" s="185">
        <v>0</v>
      </c>
      <c r="I715" s="186">
        <v>235448.016528926</v>
      </c>
      <c r="J715" s="187">
        <v>23544.801652892598</v>
      </c>
      <c r="K715" s="182" t="s">
        <v>2175</v>
      </c>
      <c r="L715" s="182">
        <v>3</v>
      </c>
      <c r="M715" s="182" t="s">
        <v>2182</v>
      </c>
      <c r="N715" s="186">
        <v>1</v>
      </c>
      <c r="O715" s="188">
        <v>0.1</v>
      </c>
      <c r="P715" s="188">
        <v>10</v>
      </c>
      <c r="Q715" s="188">
        <v>1</v>
      </c>
      <c r="R715" s="189">
        <v>1.04</v>
      </c>
      <c r="S715" s="189" t="s">
        <v>2160</v>
      </c>
    </row>
    <row r="716" spans="1:19" ht="15" customHeight="1" x14ac:dyDescent="0.3">
      <c r="A716" s="182" t="s">
        <v>2170</v>
      </c>
      <c r="B716" s="182" t="s">
        <v>908</v>
      </c>
      <c r="C716" s="182" t="s">
        <v>909</v>
      </c>
      <c r="D716" s="182" t="s">
        <v>2183</v>
      </c>
      <c r="E716" s="183" t="s">
        <v>2184</v>
      </c>
      <c r="F716" s="183" t="s">
        <v>600</v>
      </c>
      <c r="G716" s="184">
        <v>0.2</v>
      </c>
      <c r="H716" s="185">
        <v>0</v>
      </c>
      <c r="I716" s="186">
        <v>22267.107438016501</v>
      </c>
      <c r="J716" s="187">
        <v>4453.4214876033002</v>
      </c>
      <c r="K716" s="182" t="s">
        <v>2175</v>
      </c>
      <c r="L716" s="182">
        <v>4</v>
      </c>
      <c r="M716" s="182" t="s">
        <v>2185</v>
      </c>
      <c r="N716" s="186">
        <v>1</v>
      </c>
      <c r="O716" s="188">
        <v>0.2</v>
      </c>
      <c r="P716" s="188">
        <v>10</v>
      </c>
      <c r="Q716" s="188">
        <v>2</v>
      </c>
      <c r="R716" s="189">
        <v>1.04</v>
      </c>
      <c r="S716" s="189" t="s">
        <v>2160</v>
      </c>
    </row>
    <row r="717" spans="1:19" ht="15" customHeight="1" x14ac:dyDescent="0.3">
      <c r="A717" s="182" t="s">
        <v>2170</v>
      </c>
      <c r="B717" s="182" t="s">
        <v>908</v>
      </c>
      <c r="C717" s="182" t="s">
        <v>909</v>
      </c>
      <c r="D717" s="182" t="s">
        <v>2186</v>
      </c>
      <c r="E717" s="183" t="s">
        <v>2187</v>
      </c>
      <c r="F717" s="183" t="s">
        <v>600</v>
      </c>
      <c r="G717" s="184">
        <v>0.1</v>
      </c>
      <c r="H717" s="185">
        <v>0</v>
      </c>
      <c r="I717" s="186">
        <v>81509.950413223094</v>
      </c>
      <c r="J717" s="187">
        <v>8150.9950413223096</v>
      </c>
      <c r="K717" s="182" t="s">
        <v>2175</v>
      </c>
      <c r="L717" s="182">
        <v>5</v>
      </c>
      <c r="M717" s="182" t="s">
        <v>2188</v>
      </c>
      <c r="N717" s="186">
        <v>1</v>
      </c>
      <c r="O717" s="188">
        <v>0.1</v>
      </c>
      <c r="P717" s="188">
        <v>10</v>
      </c>
      <c r="Q717" s="188">
        <v>1</v>
      </c>
      <c r="R717" s="189">
        <v>1.04</v>
      </c>
      <c r="S717" s="189" t="s">
        <v>2160</v>
      </c>
    </row>
    <row r="718" spans="1:19" ht="15" customHeight="1" x14ac:dyDescent="0.3">
      <c r="A718" s="182" t="s">
        <v>2170</v>
      </c>
      <c r="B718" s="182" t="s">
        <v>908</v>
      </c>
      <c r="C718" s="182" t="s">
        <v>909</v>
      </c>
      <c r="D718" s="182" t="s">
        <v>2189</v>
      </c>
      <c r="E718" s="183" t="s">
        <v>2190</v>
      </c>
      <c r="F718" s="183" t="s">
        <v>600</v>
      </c>
      <c r="G718" s="184">
        <v>0.2</v>
      </c>
      <c r="H718" s="185">
        <v>0</v>
      </c>
      <c r="I718" s="186">
        <v>12131.5619834711</v>
      </c>
      <c r="J718" s="187">
        <v>2426.3123966942198</v>
      </c>
      <c r="K718" s="182" t="s">
        <v>2175</v>
      </c>
      <c r="L718" s="182">
        <v>6</v>
      </c>
      <c r="M718" s="182" t="s">
        <v>2191</v>
      </c>
      <c r="N718" s="186">
        <v>1</v>
      </c>
      <c r="O718" s="188">
        <v>0.2</v>
      </c>
      <c r="P718" s="188">
        <v>10</v>
      </c>
      <c r="Q718" s="188">
        <v>2</v>
      </c>
      <c r="R718" s="189">
        <v>1.04</v>
      </c>
      <c r="S718" s="189" t="s">
        <v>2160</v>
      </c>
    </row>
    <row r="719" spans="1:19" ht="15" customHeight="1" x14ac:dyDescent="0.3">
      <c r="A719" s="182" t="s">
        <v>2170</v>
      </c>
      <c r="B719" s="182" t="s">
        <v>908</v>
      </c>
      <c r="C719" s="182" t="s">
        <v>909</v>
      </c>
      <c r="D719" s="182" t="s">
        <v>2192</v>
      </c>
      <c r="E719" s="183" t="s">
        <v>2193</v>
      </c>
      <c r="F719" s="183" t="s">
        <v>600</v>
      </c>
      <c r="G719" s="184">
        <v>11.25</v>
      </c>
      <c r="H719" s="185">
        <v>0</v>
      </c>
      <c r="I719" s="186">
        <v>120</v>
      </c>
      <c r="J719" s="187">
        <v>1350</v>
      </c>
      <c r="K719" s="182" t="s">
        <v>2175</v>
      </c>
      <c r="L719" s="182">
        <v>7</v>
      </c>
      <c r="M719" s="182" t="s">
        <v>2194</v>
      </c>
      <c r="N719" s="186">
        <v>1</v>
      </c>
      <c r="O719" s="188">
        <v>11.25</v>
      </c>
      <c r="P719" s="188">
        <v>10</v>
      </c>
      <c r="Q719" s="188">
        <v>112.5</v>
      </c>
      <c r="R719" s="189">
        <v>1.04</v>
      </c>
      <c r="S719" s="189" t="s">
        <v>2160</v>
      </c>
    </row>
    <row r="720" spans="1:19" ht="15" customHeight="1" x14ac:dyDescent="0.3">
      <c r="A720" s="182" t="s">
        <v>2170</v>
      </c>
      <c r="B720" s="182" t="s">
        <v>908</v>
      </c>
      <c r="C720" s="182" t="s">
        <v>909</v>
      </c>
      <c r="D720" s="182" t="s">
        <v>2195</v>
      </c>
      <c r="E720" s="183" t="s">
        <v>2196</v>
      </c>
      <c r="F720" s="183" t="s">
        <v>2197</v>
      </c>
      <c r="G720" s="184">
        <v>0.2</v>
      </c>
      <c r="H720" s="185">
        <v>0</v>
      </c>
      <c r="I720" s="186">
        <v>41322.314049586799</v>
      </c>
      <c r="J720" s="187">
        <v>8264.4628099173606</v>
      </c>
      <c r="K720" s="182" t="s">
        <v>2175</v>
      </c>
      <c r="L720" s="182">
        <v>8</v>
      </c>
      <c r="M720" s="182" t="s">
        <v>2198</v>
      </c>
      <c r="N720" s="186">
        <v>1</v>
      </c>
      <c r="O720" s="188">
        <v>0.2</v>
      </c>
      <c r="P720" s="188">
        <v>10</v>
      </c>
      <c r="Q720" s="188">
        <v>2</v>
      </c>
      <c r="R720" s="189">
        <v>1.04</v>
      </c>
      <c r="S720" s="189" t="s">
        <v>2160</v>
      </c>
    </row>
    <row r="721" spans="1:19" ht="15" customHeight="1" x14ac:dyDescent="0.3">
      <c r="A721" s="182" t="s">
        <v>2170</v>
      </c>
      <c r="B721" s="182" t="s">
        <v>937</v>
      </c>
      <c r="C721" s="182" t="s">
        <v>938</v>
      </c>
      <c r="D721" s="182" t="s">
        <v>939</v>
      </c>
      <c r="E721" s="183" t="s">
        <v>940</v>
      </c>
      <c r="F721" s="183" t="s">
        <v>941</v>
      </c>
      <c r="G721" s="184">
        <v>0.5</v>
      </c>
      <c r="H721" s="185">
        <v>0</v>
      </c>
      <c r="I721" s="186">
        <v>60860.580776572002</v>
      </c>
      <c r="J721" s="187">
        <v>30430.290388286001</v>
      </c>
      <c r="K721" s="182" t="s">
        <v>2199</v>
      </c>
      <c r="L721" s="182">
        <v>1</v>
      </c>
      <c r="M721" s="182" t="s">
        <v>2200</v>
      </c>
      <c r="N721" s="186">
        <v>1</v>
      </c>
      <c r="O721" s="188">
        <v>0.5</v>
      </c>
      <c r="P721" s="188">
        <v>10</v>
      </c>
      <c r="Q721" s="188">
        <v>5</v>
      </c>
      <c r="R721" s="189">
        <v>1.04</v>
      </c>
      <c r="S721" s="189" t="s">
        <v>2160</v>
      </c>
    </row>
    <row r="722" spans="1:19" ht="15" customHeight="1" x14ac:dyDescent="0.3">
      <c r="A722" s="182" t="s">
        <v>2170</v>
      </c>
      <c r="B722" s="182" t="s">
        <v>937</v>
      </c>
      <c r="C722" s="182" t="s">
        <v>938</v>
      </c>
      <c r="D722" s="190" t="s">
        <v>1291</v>
      </c>
      <c r="E722" s="183" t="s">
        <v>1292</v>
      </c>
      <c r="F722" s="183" t="s">
        <v>941</v>
      </c>
      <c r="G722" s="184">
        <v>0.5</v>
      </c>
      <c r="H722" s="185">
        <v>0</v>
      </c>
      <c r="I722" s="186">
        <v>65493.071636572</v>
      </c>
      <c r="J722" s="187">
        <v>32746.535818286</v>
      </c>
      <c r="K722" s="182" t="s">
        <v>2199</v>
      </c>
      <c r="L722" s="182">
        <v>2</v>
      </c>
      <c r="M722" s="182" t="s">
        <v>2201</v>
      </c>
      <c r="N722" s="186">
        <v>1</v>
      </c>
      <c r="O722" s="188">
        <v>0.5</v>
      </c>
      <c r="P722" s="188">
        <v>10</v>
      </c>
      <c r="Q722" s="188">
        <v>5</v>
      </c>
      <c r="R722" s="189">
        <v>1.04</v>
      </c>
      <c r="S722" s="189" t="s">
        <v>2160</v>
      </c>
    </row>
    <row r="723" spans="1:19" ht="15" customHeight="1" x14ac:dyDescent="0.3">
      <c r="A723" s="182" t="s">
        <v>2170</v>
      </c>
      <c r="B723" s="182" t="s">
        <v>937</v>
      </c>
      <c r="C723" s="182" t="s">
        <v>938</v>
      </c>
      <c r="D723" s="190" t="s">
        <v>1375</v>
      </c>
      <c r="E723" s="183" t="s">
        <v>1376</v>
      </c>
      <c r="F723" s="183" t="s">
        <v>941</v>
      </c>
      <c r="G723" s="184">
        <v>0.5</v>
      </c>
      <c r="H723" s="185">
        <v>0</v>
      </c>
      <c r="I723" s="186">
        <v>76955.079706571996</v>
      </c>
      <c r="J723" s="187">
        <v>38477.539853285998</v>
      </c>
      <c r="K723" s="182" t="s">
        <v>2199</v>
      </c>
      <c r="L723" s="182">
        <v>3</v>
      </c>
      <c r="M723" s="182" t="s">
        <v>2202</v>
      </c>
      <c r="N723" s="186">
        <v>1</v>
      </c>
      <c r="O723" s="188">
        <v>0.5</v>
      </c>
      <c r="P723" s="188">
        <v>10</v>
      </c>
      <c r="Q723" s="188">
        <v>5</v>
      </c>
      <c r="R723" s="189">
        <v>1.04</v>
      </c>
      <c r="S723" s="189" t="s">
        <v>2160</v>
      </c>
    </row>
    <row r="724" spans="1:19" ht="15" customHeight="1" x14ac:dyDescent="0.3">
      <c r="A724" s="182" t="s">
        <v>2203</v>
      </c>
      <c r="B724" s="182" t="s">
        <v>563</v>
      </c>
      <c r="C724" s="182"/>
      <c r="D724" s="182" t="s">
        <v>2204</v>
      </c>
      <c r="E724" s="183" t="s">
        <v>2205</v>
      </c>
      <c r="F724" s="183"/>
      <c r="G724" s="184">
        <v>1</v>
      </c>
      <c r="H724" s="185">
        <v>0</v>
      </c>
      <c r="I724" s="186">
        <v>108806.813322348</v>
      </c>
      <c r="J724" s="187">
        <v>108806.813322348</v>
      </c>
      <c r="K724" s="182" t="s">
        <v>2206</v>
      </c>
      <c r="L724" s="182">
        <v>1</v>
      </c>
      <c r="M724" s="182" t="s">
        <v>2207</v>
      </c>
      <c r="N724" s="186">
        <v>1</v>
      </c>
      <c r="O724" s="188">
        <v>1</v>
      </c>
      <c r="P724" s="188">
        <v>1</v>
      </c>
      <c r="Q724" s="188">
        <v>1</v>
      </c>
      <c r="R724" s="189">
        <v>1.05</v>
      </c>
      <c r="S724" s="189" t="s">
        <v>2160</v>
      </c>
    </row>
    <row r="725" spans="1:19" ht="15" customHeight="1" x14ac:dyDescent="0.3">
      <c r="A725" s="182" t="s">
        <v>2203</v>
      </c>
      <c r="B725" s="182" t="s">
        <v>908</v>
      </c>
      <c r="C725" s="182" t="s">
        <v>1358</v>
      </c>
      <c r="D725" s="182" t="s">
        <v>2208</v>
      </c>
      <c r="E725" s="183" t="s">
        <v>2209</v>
      </c>
      <c r="F725" s="183" t="s">
        <v>576</v>
      </c>
      <c r="G725" s="184">
        <v>200000</v>
      </c>
      <c r="H725" s="185">
        <v>0</v>
      </c>
      <c r="I725" s="186">
        <v>1</v>
      </c>
      <c r="J725" s="187">
        <v>200000</v>
      </c>
      <c r="K725" s="182" t="s">
        <v>2210</v>
      </c>
      <c r="L725" s="182">
        <v>1</v>
      </c>
      <c r="M725" s="182" t="s">
        <v>2211</v>
      </c>
      <c r="N725" s="186">
        <v>1</v>
      </c>
      <c r="O725" s="188">
        <v>200000</v>
      </c>
      <c r="P725" s="188">
        <v>1</v>
      </c>
      <c r="Q725" s="188">
        <v>200000</v>
      </c>
      <c r="R725" s="189">
        <v>1.05</v>
      </c>
      <c r="S725" s="189" t="s">
        <v>2160</v>
      </c>
    </row>
    <row r="726" spans="1:19" ht="15" customHeight="1" x14ac:dyDescent="0.3">
      <c r="A726" s="182" t="s">
        <v>2203</v>
      </c>
      <c r="B726" s="182" t="s">
        <v>908</v>
      </c>
      <c r="C726" s="182" t="s">
        <v>909</v>
      </c>
      <c r="D726" s="182" t="s">
        <v>2212</v>
      </c>
      <c r="E726" s="183" t="s">
        <v>2213</v>
      </c>
      <c r="F726" s="183" t="s">
        <v>595</v>
      </c>
      <c r="G726" s="184">
        <v>35</v>
      </c>
      <c r="H726" s="185">
        <v>0</v>
      </c>
      <c r="I726" s="186">
        <v>3389.1900826446299</v>
      </c>
      <c r="J726" s="187">
        <v>118621.65289256199</v>
      </c>
      <c r="K726" s="182" t="s">
        <v>2210</v>
      </c>
      <c r="L726" s="182">
        <v>2</v>
      </c>
      <c r="M726" s="182" t="s">
        <v>2214</v>
      </c>
      <c r="N726" s="186">
        <v>1</v>
      </c>
      <c r="O726" s="188">
        <v>35</v>
      </c>
      <c r="P726" s="188">
        <v>1</v>
      </c>
      <c r="Q726" s="188">
        <v>35</v>
      </c>
      <c r="R726" s="189">
        <v>1.05</v>
      </c>
      <c r="S726" s="189" t="s">
        <v>2160</v>
      </c>
    </row>
    <row r="727" spans="1:19" ht="15" customHeight="1" x14ac:dyDescent="0.3">
      <c r="A727" s="182" t="s">
        <v>2203</v>
      </c>
      <c r="B727" s="182" t="s">
        <v>908</v>
      </c>
      <c r="C727" s="182" t="s">
        <v>909</v>
      </c>
      <c r="D727" s="182" t="s">
        <v>2215</v>
      </c>
      <c r="E727" s="183" t="s">
        <v>2216</v>
      </c>
      <c r="F727" s="183" t="s">
        <v>600</v>
      </c>
      <c r="G727" s="184">
        <v>33</v>
      </c>
      <c r="H727" s="185">
        <v>0</v>
      </c>
      <c r="I727" s="186">
        <v>8774.2266666666692</v>
      </c>
      <c r="J727" s="187">
        <v>289549.48</v>
      </c>
      <c r="K727" s="182" t="s">
        <v>2210</v>
      </c>
      <c r="L727" s="182">
        <v>3</v>
      </c>
      <c r="M727" s="182" t="s">
        <v>2217</v>
      </c>
      <c r="N727" s="186">
        <v>1</v>
      </c>
      <c r="O727" s="188">
        <v>33</v>
      </c>
      <c r="P727" s="188">
        <v>1</v>
      </c>
      <c r="Q727" s="188">
        <v>33</v>
      </c>
      <c r="R727" s="189">
        <v>1.05</v>
      </c>
      <c r="S727" s="189" t="s">
        <v>2160</v>
      </c>
    </row>
    <row r="728" spans="1:19" ht="15" customHeight="1" x14ac:dyDescent="0.3">
      <c r="A728" s="182" t="s">
        <v>2203</v>
      </c>
      <c r="B728" s="182" t="s">
        <v>908</v>
      </c>
      <c r="C728" s="182" t="s">
        <v>909</v>
      </c>
      <c r="D728" s="182" t="s">
        <v>2218</v>
      </c>
      <c r="E728" s="183" t="s">
        <v>2219</v>
      </c>
      <c r="F728" s="183" t="s">
        <v>600</v>
      </c>
      <c r="G728" s="184">
        <v>80</v>
      </c>
      <c r="H728" s="185">
        <v>0</v>
      </c>
      <c r="I728" s="186">
        <v>647.31600000000003</v>
      </c>
      <c r="J728" s="187">
        <v>51785.279999999999</v>
      </c>
      <c r="K728" s="182" t="s">
        <v>2210</v>
      </c>
      <c r="L728" s="182">
        <v>4</v>
      </c>
      <c r="M728" s="182" t="s">
        <v>2220</v>
      </c>
      <c r="N728" s="186">
        <v>1</v>
      </c>
      <c r="O728" s="188">
        <v>80</v>
      </c>
      <c r="P728" s="188">
        <v>1</v>
      </c>
      <c r="Q728" s="188">
        <v>80</v>
      </c>
      <c r="R728" s="189">
        <v>1.05</v>
      </c>
      <c r="S728" s="189" t="s">
        <v>2160</v>
      </c>
    </row>
    <row r="729" spans="1:19" ht="15" customHeight="1" x14ac:dyDescent="0.3">
      <c r="A729" s="182" t="s">
        <v>2203</v>
      </c>
      <c r="B729" s="182" t="s">
        <v>908</v>
      </c>
      <c r="C729" s="182" t="s">
        <v>909</v>
      </c>
      <c r="D729" s="182" t="s">
        <v>2221</v>
      </c>
      <c r="E729" s="183" t="s">
        <v>2222</v>
      </c>
      <c r="F729" s="183" t="s">
        <v>600</v>
      </c>
      <c r="G729" s="184">
        <v>40</v>
      </c>
      <c r="H729" s="185">
        <v>0</v>
      </c>
      <c r="I729" s="186">
        <v>1456.4760000000001</v>
      </c>
      <c r="J729" s="187">
        <v>58259.040000000001</v>
      </c>
      <c r="K729" s="182" t="s">
        <v>2210</v>
      </c>
      <c r="L729" s="182">
        <v>5</v>
      </c>
      <c r="M729" s="182" t="s">
        <v>2223</v>
      </c>
      <c r="N729" s="186">
        <v>1</v>
      </c>
      <c r="O729" s="188">
        <v>40</v>
      </c>
      <c r="P729" s="188">
        <v>1</v>
      </c>
      <c r="Q729" s="188">
        <v>40</v>
      </c>
      <c r="R729" s="189">
        <v>1.05</v>
      </c>
      <c r="S729" s="189" t="s">
        <v>2160</v>
      </c>
    </row>
    <row r="730" spans="1:19" ht="15" customHeight="1" x14ac:dyDescent="0.3">
      <c r="A730" s="182" t="s">
        <v>2203</v>
      </c>
      <c r="B730" s="182" t="s">
        <v>908</v>
      </c>
      <c r="C730" s="182" t="s">
        <v>909</v>
      </c>
      <c r="D730" s="182" t="s">
        <v>2224</v>
      </c>
      <c r="E730" s="183" t="s">
        <v>2225</v>
      </c>
      <c r="F730" s="183" t="s">
        <v>600</v>
      </c>
      <c r="G730" s="184">
        <v>20</v>
      </c>
      <c r="H730" s="185">
        <v>0</v>
      </c>
      <c r="I730" s="186">
        <v>2912.9520000000002</v>
      </c>
      <c r="J730" s="187">
        <v>58259.040000000001</v>
      </c>
      <c r="K730" s="182" t="s">
        <v>2210</v>
      </c>
      <c r="L730" s="182">
        <v>6</v>
      </c>
      <c r="M730" s="182" t="s">
        <v>2226</v>
      </c>
      <c r="N730" s="186">
        <v>1</v>
      </c>
      <c r="O730" s="188">
        <v>20</v>
      </c>
      <c r="P730" s="188">
        <v>1</v>
      </c>
      <c r="Q730" s="188">
        <v>20</v>
      </c>
      <c r="R730" s="189">
        <v>1.05</v>
      </c>
      <c r="S730" s="189" t="s">
        <v>2160</v>
      </c>
    </row>
    <row r="731" spans="1:19" ht="15" customHeight="1" x14ac:dyDescent="0.3">
      <c r="A731" s="182" t="s">
        <v>2203</v>
      </c>
      <c r="B731" s="182" t="s">
        <v>908</v>
      </c>
      <c r="C731" s="182" t="s">
        <v>909</v>
      </c>
      <c r="D731" s="182" t="s">
        <v>2227</v>
      </c>
      <c r="E731" s="183" t="s">
        <v>2228</v>
      </c>
      <c r="F731" s="183" t="s">
        <v>576</v>
      </c>
      <c r="G731" s="184">
        <v>0</v>
      </c>
      <c r="H731" s="185">
        <v>0</v>
      </c>
      <c r="I731" s="186">
        <v>168303.35999999999</v>
      </c>
      <c r="J731" s="187">
        <v>0</v>
      </c>
      <c r="K731" s="182" t="s">
        <v>2210</v>
      </c>
      <c r="L731" s="182">
        <v>7</v>
      </c>
      <c r="M731" s="182" t="s">
        <v>2229</v>
      </c>
      <c r="N731" s="186">
        <v>1</v>
      </c>
      <c r="O731" s="188">
        <v>0</v>
      </c>
      <c r="P731" s="188">
        <v>1</v>
      </c>
      <c r="Q731" s="188">
        <v>0</v>
      </c>
      <c r="R731" s="189">
        <v>1.05</v>
      </c>
      <c r="S731" s="189" t="s">
        <v>2160</v>
      </c>
    </row>
    <row r="732" spans="1:19" ht="15" customHeight="1" x14ac:dyDescent="0.3">
      <c r="A732" s="182" t="s">
        <v>2203</v>
      </c>
      <c r="B732" s="182" t="s">
        <v>908</v>
      </c>
      <c r="C732" s="182" t="s">
        <v>909</v>
      </c>
      <c r="D732" s="182" t="s">
        <v>2230</v>
      </c>
      <c r="E732" s="183" t="s">
        <v>2231</v>
      </c>
      <c r="F732" s="183" t="s">
        <v>2232</v>
      </c>
      <c r="G732" s="184">
        <v>1</v>
      </c>
      <c r="H732" s="185">
        <v>0</v>
      </c>
      <c r="I732" s="186">
        <v>214876.03305785099</v>
      </c>
      <c r="J732" s="187">
        <v>214876.03305785099</v>
      </c>
      <c r="K732" s="182" t="s">
        <v>2210</v>
      </c>
      <c r="L732" s="182">
        <v>8</v>
      </c>
      <c r="M732" s="182" t="s">
        <v>2233</v>
      </c>
      <c r="N732" s="186">
        <v>1</v>
      </c>
      <c r="O732" s="188">
        <v>1</v>
      </c>
      <c r="P732" s="188">
        <v>1</v>
      </c>
      <c r="Q732" s="188">
        <v>1</v>
      </c>
      <c r="R732" s="189">
        <v>1.05</v>
      </c>
      <c r="S732" s="189" t="s">
        <v>2160</v>
      </c>
    </row>
    <row r="733" spans="1:19" ht="15" customHeight="1" x14ac:dyDescent="0.3">
      <c r="A733" s="182" t="s">
        <v>2203</v>
      </c>
      <c r="B733" s="182" t="s">
        <v>908</v>
      </c>
      <c r="C733" s="182" t="s">
        <v>909</v>
      </c>
      <c r="D733" s="182" t="s">
        <v>2234</v>
      </c>
      <c r="E733" s="183" t="s">
        <v>2235</v>
      </c>
      <c r="F733" s="183" t="s">
        <v>600</v>
      </c>
      <c r="G733" s="184">
        <v>10</v>
      </c>
      <c r="H733" s="185">
        <v>0</v>
      </c>
      <c r="I733" s="186">
        <v>369.83471074380202</v>
      </c>
      <c r="J733" s="187">
        <v>3698.34710743802</v>
      </c>
      <c r="K733" s="182" t="s">
        <v>2210</v>
      </c>
      <c r="L733" s="182">
        <v>9</v>
      </c>
      <c r="M733" s="182" t="s">
        <v>2236</v>
      </c>
      <c r="N733" s="186">
        <v>1</v>
      </c>
      <c r="O733" s="188">
        <v>10</v>
      </c>
      <c r="P733" s="188">
        <v>1</v>
      </c>
      <c r="Q733" s="188">
        <v>10</v>
      </c>
      <c r="R733" s="189">
        <v>1.05</v>
      </c>
      <c r="S733" s="189" t="s">
        <v>2160</v>
      </c>
    </row>
    <row r="734" spans="1:19" ht="15" customHeight="1" x14ac:dyDescent="0.3">
      <c r="A734" s="182" t="s">
        <v>2203</v>
      </c>
      <c r="B734" s="182" t="s">
        <v>908</v>
      </c>
      <c r="C734" s="182" t="s">
        <v>909</v>
      </c>
      <c r="D734" s="182" t="s">
        <v>2237</v>
      </c>
      <c r="E734" s="183" t="s">
        <v>2238</v>
      </c>
      <c r="F734" s="183" t="s">
        <v>600</v>
      </c>
      <c r="G734" s="184">
        <v>10</v>
      </c>
      <c r="H734" s="185">
        <v>0</v>
      </c>
      <c r="I734" s="186">
        <v>2363.6363636363599</v>
      </c>
      <c r="J734" s="187">
        <v>23636.3636363636</v>
      </c>
      <c r="K734" s="182" t="s">
        <v>2210</v>
      </c>
      <c r="L734" s="182">
        <v>10</v>
      </c>
      <c r="M734" s="182" t="s">
        <v>2239</v>
      </c>
      <c r="N734" s="186">
        <v>1</v>
      </c>
      <c r="O734" s="188">
        <v>10</v>
      </c>
      <c r="P734" s="188">
        <v>1</v>
      </c>
      <c r="Q734" s="188">
        <v>10</v>
      </c>
      <c r="R734" s="189">
        <v>1.05</v>
      </c>
      <c r="S734" s="189" t="s">
        <v>2160</v>
      </c>
    </row>
    <row r="735" spans="1:19" ht="15" customHeight="1" x14ac:dyDescent="0.3">
      <c r="A735" s="182" t="s">
        <v>2203</v>
      </c>
      <c r="B735" s="182" t="s">
        <v>908</v>
      </c>
      <c r="C735" s="182" t="s">
        <v>909</v>
      </c>
      <c r="D735" s="182" t="s">
        <v>2240</v>
      </c>
      <c r="E735" s="183" t="s">
        <v>2241</v>
      </c>
      <c r="F735" s="183" t="s">
        <v>576</v>
      </c>
      <c r="G735" s="184">
        <v>0.25</v>
      </c>
      <c r="H735" s="185">
        <v>0</v>
      </c>
      <c r="I735" s="186">
        <v>242210.74380165301</v>
      </c>
      <c r="J735" s="187">
        <v>60552.685950413303</v>
      </c>
      <c r="K735" s="182" t="s">
        <v>2210</v>
      </c>
      <c r="L735" s="182">
        <v>11</v>
      </c>
      <c r="M735" s="182" t="s">
        <v>2242</v>
      </c>
      <c r="N735" s="186">
        <v>1</v>
      </c>
      <c r="O735" s="188">
        <v>0.25</v>
      </c>
      <c r="P735" s="188">
        <v>1</v>
      </c>
      <c r="Q735" s="188">
        <v>0.25</v>
      </c>
      <c r="R735" s="189">
        <v>1.05</v>
      </c>
      <c r="S735" s="189" t="s">
        <v>2160</v>
      </c>
    </row>
    <row r="736" spans="1:19" ht="15" customHeight="1" x14ac:dyDescent="0.3">
      <c r="A736" s="182" t="s">
        <v>2203</v>
      </c>
      <c r="B736" s="182" t="s">
        <v>908</v>
      </c>
      <c r="C736" s="182" t="s">
        <v>909</v>
      </c>
      <c r="D736" s="182" t="s">
        <v>2243</v>
      </c>
      <c r="E736" s="183" t="s">
        <v>2244</v>
      </c>
      <c r="F736" s="183" t="s">
        <v>576</v>
      </c>
      <c r="G736" s="184">
        <v>1</v>
      </c>
      <c r="H736" s="185">
        <v>0</v>
      </c>
      <c r="I736" s="186">
        <v>500000</v>
      </c>
      <c r="J736" s="187">
        <v>500000</v>
      </c>
      <c r="K736" s="182" t="s">
        <v>2210</v>
      </c>
      <c r="L736" s="182">
        <v>12</v>
      </c>
      <c r="M736" s="182" t="s">
        <v>2245</v>
      </c>
      <c r="N736" s="186">
        <v>1</v>
      </c>
      <c r="O736" s="188">
        <v>1</v>
      </c>
      <c r="P736" s="188">
        <v>1</v>
      </c>
      <c r="Q736" s="188">
        <v>1</v>
      </c>
      <c r="R736" s="189">
        <v>1.05</v>
      </c>
      <c r="S736" s="189" t="s">
        <v>2160</v>
      </c>
    </row>
    <row r="737" spans="1:19" ht="15" customHeight="1" x14ac:dyDescent="0.3">
      <c r="A737" s="182" t="s">
        <v>2203</v>
      </c>
      <c r="B737" s="182" t="s">
        <v>908</v>
      </c>
      <c r="C737" s="182" t="s">
        <v>909</v>
      </c>
      <c r="D737" s="182" t="s">
        <v>2246</v>
      </c>
      <c r="E737" s="183" t="s">
        <v>2247</v>
      </c>
      <c r="F737" s="183" t="s">
        <v>600</v>
      </c>
      <c r="G737" s="184">
        <v>2</v>
      </c>
      <c r="H737" s="185">
        <v>0</v>
      </c>
      <c r="I737" s="186">
        <v>100000</v>
      </c>
      <c r="J737" s="187">
        <v>200000</v>
      </c>
      <c r="K737" s="182" t="s">
        <v>2210</v>
      </c>
      <c r="L737" s="182">
        <v>13</v>
      </c>
      <c r="M737" s="182" t="s">
        <v>2248</v>
      </c>
      <c r="N737" s="186">
        <v>1</v>
      </c>
      <c r="O737" s="188">
        <v>2</v>
      </c>
      <c r="P737" s="188">
        <v>1</v>
      </c>
      <c r="Q737" s="188">
        <v>2</v>
      </c>
      <c r="R737" s="189">
        <v>1.05</v>
      </c>
      <c r="S737" s="189" t="s">
        <v>2160</v>
      </c>
    </row>
    <row r="738" spans="1:19" ht="15" customHeight="1" x14ac:dyDescent="0.3">
      <c r="A738" s="182" t="s">
        <v>2203</v>
      </c>
      <c r="B738" s="182" t="s">
        <v>908</v>
      </c>
      <c r="C738" s="182" t="s">
        <v>909</v>
      </c>
      <c r="D738" s="182" t="s">
        <v>2249</v>
      </c>
      <c r="E738" s="183" t="s">
        <v>2250</v>
      </c>
      <c r="F738" s="183" t="s">
        <v>600</v>
      </c>
      <c r="G738" s="184">
        <v>2</v>
      </c>
      <c r="H738" s="185">
        <v>0</v>
      </c>
      <c r="I738" s="186">
        <v>25000</v>
      </c>
      <c r="J738" s="187">
        <v>50000</v>
      </c>
      <c r="K738" s="182" t="s">
        <v>2210</v>
      </c>
      <c r="L738" s="182">
        <v>14</v>
      </c>
      <c r="M738" s="182" t="s">
        <v>2251</v>
      </c>
      <c r="N738" s="186">
        <v>1</v>
      </c>
      <c r="O738" s="188">
        <v>2</v>
      </c>
      <c r="P738" s="188">
        <v>1</v>
      </c>
      <c r="Q738" s="188">
        <v>2</v>
      </c>
      <c r="R738" s="189">
        <v>1.05</v>
      </c>
      <c r="S738" s="189" t="s">
        <v>2160</v>
      </c>
    </row>
    <row r="739" spans="1:19" ht="15" customHeight="1" x14ac:dyDescent="0.3">
      <c r="A739" s="182" t="s">
        <v>2203</v>
      </c>
      <c r="B739" s="182" t="s">
        <v>908</v>
      </c>
      <c r="C739" s="182" t="s">
        <v>909</v>
      </c>
      <c r="D739" s="182" t="s">
        <v>2252</v>
      </c>
      <c r="E739" s="183" t="s">
        <v>2253</v>
      </c>
      <c r="F739" s="183" t="s">
        <v>600</v>
      </c>
      <c r="G739" s="184">
        <v>2</v>
      </c>
      <c r="H739" s="185">
        <v>0</v>
      </c>
      <c r="I739" s="186">
        <v>24793.3884297521</v>
      </c>
      <c r="J739" s="187">
        <v>49586.7768595042</v>
      </c>
      <c r="K739" s="182" t="s">
        <v>2210</v>
      </c>
      <c r="L739" s="182">
        <v>15</v>
      </c>
      <c r="M739" s="182" t="s">
        <v>2254</v>
      </c>
      <c r="N739" s="186">
        <v>1</v>
      </c>
      <c r="O739" s="188">
        <v>2</v>
      </c>
      <c r="P739" s="188">
        <v>1</v>
      </c>
      <c r="Q739" s="188">
        <v>2</v>
      </c>
      <c r="R739" s="189">
        <v>1.05</v>
      </c>
      <c r="S739" s="189" t="s">
        <v>2160</v>
      </c>
    </row>
    <row r="740" spans="1:19" ht="15" customHeight="1" x14ac:dyDescent="0.3">
      <c r="A740" s="182" t="s">
        <v>2203</v>
      </c>
      <c r="B740" s="182" t="s">
        <v>908</v>
      </c>
      <c r="C740" s="182" t="s">
        <v>909</v>
      </c>
      <c r="D740" s="182" t="s">
        <v>2255</v>
      </c>
      <c r="E740" s="183" t="s">
        <v>2256</v>
      </c>
      <c r="F740" s="183" t="s">
        <v>600</v>
      </c>
      <c r="G740" s="184">
        <v>1</v>
      </c>
      <c r="H740" s="185">
        <v>0</v>
      </c>
      <c r="I740" s="186">
        <v>200000</v>
      </c>
      <c r="J740" s="187">
        <v>200000</v>
      </c>
      <c r="K740" s="182" t="s">
        <v>2210</v>
      </c>
      <c r="L740" s="182">
        <v>16</v>
      </c>
      <c r="M740" s="182" t="s">
        <v>2257</v>
      </c>
      <c r="N740" s="186">
        <v>1</v>
      </c>
      <c r="O740" s="188">
        <v>1</v>
      </c>
      <c r="P740" s="188">
        <v>1</v>
      </c>
      <c r="Q740" s="188">
        <v>1</v>
      </c>
      <c r="R740" s="189">
        <v>1.05</v>
      </c>
      <c r="S740" s="189" t="s">
        <v>2160</v>
      </c>
    </row>
    <row r="741" spans="1:19" ht="15" customHeight="1" x14ac:dyDescent="0.3">
      <c r="A741" s="182" t="s">
        <v>2203</v>
      </c>
      <c r="B741" s="182" t="s">
        <v>937</v>
      </c>
      <c r="C741" s="182" t="s">
        <v>938</v>
      </c>
      <c r="D741" s="182" t="s">
        <v>939</v>
      </c>
      <c r="E741" s="183" t="s">
        <v>940</v>
      </c>
      <c r="F741" s="183" t="s">
        <v>941</v>
      </c>
      <c r="G741" s="184">
        <v>24.5</v>
      </c>
      <c r="H741" s="185">
        <v>0</v>
      </c>
      <c r="I741" s="186">
        <v>60860.580776572002</v>
      </c>
      <c r="J741" s="187">
        <v>1491084.22902601</v>
      </c>
      <c r="K741" s="182" t="s">
        <v>2258</v>
      </c>
      <c r="L741" s="182">
        <v>1</v>
      </c>
      <c r="M741" s="182" t="s">
        <v>2259</v>
      </c>
      <c r="N741" s="186">
        <v>1</v>
      </c>
      <c r="O741" s="188">
        <v>24.5</v>
      </c>
      <c r="P741" s="188">
        <v>1</v>
      </c>
      <c r="Q741" s="188">
        <v>24.5</v>
      </c>
      <c r="R741" s="189">
        <v>1.05</v>
      </c>
      <c r="S741" s="189" t="s">
        <v>2160</v>
      </c>
    </row>
    <row r="742" spans="1:19" ht="15" customHeight="1" x14ac:dyDescent="0.3">
      <c r="A742" s="182" t="s">
        <v>2203</v>
      </c>
      <c r="B742" s="182" t="s">
        <v>937</v>
      </c>
      <c r="C742" s="182" t="s">
        <v>938</v>
      </c>
      <c r="D742" s="190" t="s">
        <v>944</v>
      </c>
      <c r="E742" s="183" t="s">
        <v>945</v>
      </c>
      <c r="F742" s="183" t="s">
        <v>941</v>
      </c>
      <c r="G742" s="184">
        <v>7</v>
      </c>
      <c r="H742" s="185">
        <v>0</v>
      </c>
      <c r="I742" s="186">
        <v>85927.097156571996</v>
      </c>
      <c r="J742" s="187">
        <v>601489.68009600404</v>
      </c>
      <c r="K742" s="182" t="s">
        <v>2258</v>
      </c>
      <c r="L742" s="182">
        <v>2</v>
      </c>
      <c r="M742" s="182" t="s">
        <v>2260</v>
      </c>
      <c r="N742" s="186">
        <v>1</v>
      </c>
      <c r="O742" s="188">
        <v>7</v>
      </c>
      <c r="P742" s="188">
        <v>1</v>
      </c>
      <c r="Q742" s="188">
        <v>7</v>
      </c>
      <c r="R742" s="189">
        <v>1.05</v>
      </c>
      <c r="S742" s="189" t="s">
        <v>2160</v>
      </c>
    </row>
    <row r="743" spans="1:19" ht="15" customHeight="1" x14ac:dyDescent="0.3">
      <c r="A743" s="182" t="s">
        <v>2203</v>
      </c>
      <c r="B743" s="182" t="s">
        <v>937</v>
      </c>
      <c r="C743" s="182" t="s">
        <v>938</v>
      </c>
      <c r="D743" s="190" t="s">
        <v>1291</v>
      </c>
      <c r="E743" s="183" t="s">
        <v>1292</v>
      </c>
      <c r="F743" s="183" t="s">
        <v>941</v>
      </c>
      <c r="G743" s="184">
        <v>8</v>
      </c>
      <c r="H743" s="185">
        <v>0</v>
      </c>
      <c r="I743" s="186">
        <v>65493.071636572</v>
      </c>
      <c r="J743" s="187">
        <v>523944.573092576</v>
      </c>
      <c r="K743" s="182" t="s">
        <v>2258</v>
      </c>
      <c r="L743" s="182">
        <v>3</v>
      </c>
      <c r="M743" s="182" t="s">
        <v>2261</v>
      </c>
      <c r="N743" s="186">
        <v>1</v>
      </c>
      <c r="O743" s="188">
        <v>8</v>
      </c>
      <c r="P743" s="188">
        <v>1</v>
      </c>
      <c r="Q743" s="188">
        <v>8</v>
      </c>
      <c r="R743" s="189">
        <v>1.05</v>
      </c>
      <c r="S743" s="189" t="s">
        <v>2160</v>
      </c>
    </row>
    <row r="744" spans="1:19" ht="15" customHeight="1" x14ac:dyDescent="0.3">
      <c r="A744" s="182" t="s">
        <v>2203</v>
      </c>
      <c r="B744" s="182" t="s">
        <v>937</v>
      </c>
      <c r="C744" s="182" t="s">
        <v>938</v>
      </c>
      <c r="D744" s="190" t="s">
        <v>1375</v>
      </c>
      <c r="E744" s="183" t="s">
        <v>1376</v>
      </c>
      <c r="F744" s="183" t="s">
        <v>941</v>
      </c>
      <c r="G744" s="184">
        <v>23.5</v>
      </c>
      <c r="H744" s="185">
        <v>0</v>
      </c>
      <c r="I744" s="186">
        <v>76955.079706571996</v>
      </c>
      <c r="J744" s="187">
        <v>1808444.37310444</v>
      </c>
      <c r="K744" s="182" t="s">
        <v>2258</v>
      </c>
      <c r="L744" s="182">
        <v>4</v>
      </c>
      <c r="M744" s="182" t="s">
        <v>2262</v>
      </c>
      <c r="N744" s="186">
        <v>1</v>
      </c>
      <c r="O744" s="188">
        <v>23.5</v>
      </c>
      <c r="P744" s="188">
        <v>1</v>
      </c>
      <c r="Q744" s="188">
        <v>23.5</v>
      </c>
      <c r="R744" s="189">
        <v>1.05</v>
      </c>
      <c r="S744" s="189" t="s">
        <v>2160</v>
      </c>
    </row>
    <row r="745" spans="1:19" ht="15" customHeight="1" x14ac:dyDescent="0.3">
      <c r="A745" s="182" t="s">
        <v>2203</v>
      </c>
      <c r="B745" s="182" t="s">
        <v>937</v>
      </c>
      <c r="C745" s="182" t="s">
        <v>909</v>
      </c>
      <c r="D745" s="182" t="s">
        <v>2263</v>
      </c>
      <c r="E745" s="183" t="s">
        <v>2264</v>
      </c>
      <c r="F745" s="183" t="s">
        <v>941</v>
      </c>
      <c r="G745" s="184">
        <v>2</v>
      </c>
      <c r="H745" s="185">
        <v>0</v>
      </c>
      <c r="I745" s="186">
        <v>250000</v>
      </c>
      <c r="J745" s="187">
        <v>500000</v>
      </c>
      <c r="K745" s="182" t="s">
        <v>2258</v>
      </c>
      <c r="L745" s="182">
        <v>5</v>
      </c>
      <c r="M745" s="182" t="s">
        <v>2265</v>
      </c>
      <c r="N745" s="186">
        <v>1</v>
      </c>
      <c r="O745" s="188">
        <v>2</v>
      </c>
      <c r="P745" s="188">
        <v>1</v>
      </c>
      <c r="Q745" s="188">
        <v>2</v>
      </c>
      <c r="R745" s="189">
        <v>1.05</v>
      </c>
      <c r="S745" s="189" t="s">
        <v>2160</v>
      </c>
    </row>
    <row r="746" spans="1:19" ht="15" customHeight="1" x14ac:dyDescent="0.3">
      <c r="A746" s="182" t="s">
        <v>2203</v>
      </c>
      <c r="B746" s="182" t="s">
        <v>937</v>
      </c>
      <c r="C746" s="182" t="s">
        <v>909</v>
      </c>
      <c r="D746" s="182" t="s">
        <v>2266</v>
      </c>
      <c r="E746" s="183" t="s">
        <v>2267</v>
      </c>
      <c r="F746" s="183" t="s">
        <v>941</v>
      </c>
      <c r="G746" s="184">
        <v>1</v>
      </c>
      <c r="H746" s="185">
        <v>0</v>
      </c>
      <c r="I746" s="186">
        <v>250000</v>
      </c>
      <c r="J746" s="187">
        <v>250000</v>
      </c>
      <c r="K746" s="182" t="s">
        <v>2258</v>
      </c>
      <c r="L746" s="182">
        <v>6</v>
      </c>
      <c r="M746" s="182" t="s">
        <v>2268</v>
      </c>
      <c r="N746" s="186">
        <v>1</v>
      </c>
      <c r="O746" s="188">
        <v>1</v>
      </c>
      <c r="P746" s="188">
        <v>1</v>
      </c>
      <c r="Q746" s="188">
        <v>1</v>
      </c>
      <c r="R746" s="189">
        <v>1.05</v>
      </c>
      <c r="S746" s="189" t="s">
        <v>2160</v>
      </c>
    </row>
    <row r="747" spans="1:19" ht="15" customHeight="1" x14ac:dyDescent="0.3">
      <c r="A747" s="182" t="s">
        <v>2269</v>
      </c>
      <c r="B747" s="182" t="s">
        <v>937</v>
      </c>
      <c r="C747" s="182" t="s">
        <v>909</v>
      </c>
      <c r="D747" s="182" t="s">
        <v>2270</v>
      </c>
      <c r="E747" s="183" t="s">
        <v>2271</v>
      </c>
      <c r="F747" s="183" t="s">
        <v>941</v>
      </c>
      <c r="G747" s="184">
        <v>4</v>
      </c>
      <c r="H747" s="185">
        <v>0</v>
      </c>
      <c r="I747" s="186">
        <v>79748.530293941207</v>
      </c>
      <c r="J747" s="187">
        <v>318994.121175765</v>
      </c>
      <c r="K747" s="182" t="s">
        <v>2272</v>
      </c>
      <c r="L747" s="182">
        <v>1</v>
      </c>
      <c r="M747" s="182" t="s">
        <v>2273</v>
      </c>
      <c r="N747" s="186">
        <v>1</v>
      </c>
      <c r="O747" s="188">
        <v>4</v>
      </c>
      <c r="P747" s="188">
        <v>4</v>
      </c>
      <c r="Q747" s="188">
        <v>16</v>
      </c>
      <c r="R747" s="189">
        <v>1.06</v>
      </c>
      <c r="S747" s="189" t="s">
        <v>2160</v>
      </c>
    </row>
    <row r="748" spans="1:19" ht="15" customHeight="1" x14ac:dyDescent="0.3">
      <c r="A748" s="182" t="s">
        <v>2269</v>
      </c>
      <c r="B748" s="182" t="s">
        <v>937</v>
      </c>
      <c r="C748" s="182" t="s">
        <v>909</v>
      </c>
      <c r="D748" s="182" t="s">
        <v>2274</v>
      </c>
      <c r="E748" s="183" t="s">
        <v>2275</v>
      </c>
      <c r="F748" s="183" t="s">
        <v>941</v>
      </c>
      <c r="G748" s="184">
        <v>1</v>
      </c>
      <c r="H748" s="185">
        <v>0</v>
      </c>
      <c r="I748" s="186">
        <v>13291.421715656899</v>
      </c>
      <c r="J748" s="187">
        <v>13291.421715656899</v>
      </c>
      <c r="K748" s="182" t="s">
        <v>2272</v>
      </c>
      <c r="L748" s="182">
        <v>2</v>
      </c>
      <c r="M748" s="182" t="s">
        <v>2276</v>
      </c>
      <c r="N748" s="186">
        <v>1</v>
      </c>
      <c r="O748" s="188">
        <v>1</v>
      </c>
      <c r="P748" s="188">
        <v>4</v>
      </c>
      <c r="Q748" s="188">
        <v>4</v>
      </c>
      <c r="R748" s="189">
        <v>1.06</v>
      </c>
      <c r="S748" s="189" t="s">
        <v>2160</v>
      </c>
    </row>
    <row r="749" spans="1:19" ht="15" customHeight="1" x14ac:dyDescent="0.3">
      <c r="A749" s="182" t="s">
        <v>2277</v>
      </c>
      <c r="B749" s="182" t="s">
        <v>563</v>
      </c>
      <c r="C749" s="182"/>
      <c r="D749" s="182" t="s">
        <v>2278</v>
      </c>
      <c r="E749" s="183" t="s">
        <v>2279</v>
      </c>
      <c r="F749" s="183"/>
      <c r="G749" s="184">
        <v>1</v>
      </c>
      <c r="H749" s="185">
        <v>0</v>
      </c>
      <c r="I749" s="186">
        <v>25370.9351203886</v>
      </c>
      <c r="J749" s="187">
        <v>25370.9351203886</v>
      </c>
      <c r="K749" s="182" t="s">
        <v>2280</v>
      </c>
      <c r="L749" s="182">
        <v>1</v>
      </c>
      <c r="M749" s="182" t="s">
        <v>2281</v>
      </c>
      <c r="N749" s="186">
        <v>1</v>
      </c>
      <c r="O749" s="188">
        <v>1</v>
      </c>
      <c r="P749" s="188">
        <v>1</v>
      </c>
      <c r="Q749" s="188">
        <v>1</v>
      </c>
      <c r="R749" s="189">
        <v>1.07</v>
      </c>
      <c r="S749" s="189" t="s">
        <v>2160</v>
      </c>
    </row>
    <row r="750" spans="1:19" ht="15" customHeight="1" x14ac:dyDescent="0.3">
      <c r="A750" s="182" t="s">
        <v>2277</v>
      </c>
      <c r="B750" s="182" t="s">
        <v>908</v>
      </c>
      <c r="C750" s="182" t="s">
        <v>1358</v>
      </c>
      <c r="D750" s="182" t="s">
        <v>2282</v>
      </c>
      <c r="E750" s="183" t="s">
        <v>2283</v>
      </c>
      <c r="F750" s="183" t="s">
        <v>2284</v>
      </c>
      <c r="G750" s="184">
        <v>2</v>
      </c>
      <c r="H750" s="185">
        <v>0</v>
      </c>
      <c r="I750" s="186">
        <v>25000</v>
      </c>
      <c r="J750" s="187">
        <v>50000</v>
      </c>
      <c r="K750" s="182" t="s">
        <v>2285</v>
      </c>
      <c r="L750" s="182">
        <v>1</v>
      </c>
      <c r="M750" s="182" t="s">
        <v>2286</v>
      </c>
      <c r="N750" s="186">
        <v>1</v>
      </c>
      <c r="O750" s="188">
        <v>2</v>
      </c>
      <c r="P750" s="188">
        <v>1</v>
      </c>
      <c r="Q750" s="188">
        <v>2</v>
      </c>
      <c r="R750" s="189">
        <v>1.07</v>
      </c>
      <c r="S750" s="189" t="s">
        <v>2160</v>
      </c>
    </row>
    <row r="751" spans="1:19" ht="15" customHeight="1" x14ac:dyDescent="0.3">
      <c r="A751" s="182" t="s">
        <v>2277</v>
      </c>
      <c r="B751" s="182" t="s">
        <v>908</v>
      </c>
      <c r="C751" s="182" t="s">
        <v>909</v>
      </c>
      <c r="D751" s="182" t="s">
        <v>2287</v>
      </c>
      <c r="E751" s="183" t="s">
        <v>2288</v>
      </c>
      <c r="F751" s="183" t="s">
        <v>576</v>
      </c>
      <c r="G751" s="184">
        <v>1</v>
      </c>
      <c r="H751" s="185">
        <v>0</v>
      </c>
      <c r="I751" s="186">
        <v>150000</v>
      </c>
      <c r="J751" s="187">
        <v>150000</v>
      </c>
      <c r="K751" s="182" t="s">
        <v>2285</v>
      </c>
      <c r="L751" s="182">
        <v>2</v>
      </c>
      <c r="M751" s="182" t="s">
        <v>2289</v>
      </c>
      <c r="N751" s="186">
        <v>1</v>
      </c>
      <c r="O751" s="188">
        <v>1</v>
      </c>
      <c r="P751" s="188">
        <v>1</v>
      </c>
      <c r="Q751" s="188">
        <v>1</v>
      </c>
      <c r="R751" s="189">
        <v>1.07</v>
      </c>
      <c r="S751" s="189" t="s">
        <v>2160</v>
      </c>
    </row>
    <row r="752" spans="1:19" ht="15" customHeight="1" x14ac:dyDescent="0.3">
      <c r="A752" s="182" t="s">
        <v>2277</v>
      </c>
      <c r="B752" s="182" t="s">
        <v>908</v>
      </c>
      <c r="C752" s="182" t="s">
        <v>909</v>
      </c>
      <c r="D752" s="182" t="s">
        <v>2290</v>
      </c>
      <c r="E752" s="183" t="s">
        <v>2291</v>
      </c>
      <c r="F752" s="183" t="s">
        <v>576</v>
      </c>
      <c r="G752" s="184">
        <v>1</v>
      </c>
      <c r="H752" s="185">
        <v>0</v>
      </c>
      <c r="I752" s="186">
        <v>15000</v>
      </c>
      <c r="J752" s="187">
        <v>15000</v>
      </c>
      <c r="K752" s="182" t="s">
        <v>2285</v>
      </c>
      <c r="L752" s="182">
        <v>3</v>
      </c>
      <c r="M752" s="182" t="s">
        <v>2292</v>
      </c>
      <c r="N752" s="186">
        <v>1</v>
      </c>
      <c r="O752" s="188">
        <v>1</v>
      </c>
      <c r="P752" s="188">
        <v>1</v>
      </c>
      <c r="Q752" s="188">
        <v>1</v>
      </c>
      <c r="R752" s="189">
        <v>1.07</v>
      </c>
      <c r="S752" s="189" t="s">
        <v>2160</v>
      </c>
    </row>
    <row r="753" spans="1:19" ht="15" customHeight="1" x14ac:dyDescent="0.3">
      <c r="A753" s="182" t="s">
        <v>2277</v>
      </c>
      <c r="B753" s="182" t="s">
        <v>908</v>
      </c>
      <c r="C753" s="182" t="s">
        <v>909</v>
      </c>
      <c r="D753" s="182" t="s">
        <v>2293</v>
      </c>
      <c r="E753" s="183" t="s">
        <v>2294</v>
      </c>
      <c r="F753" s="183" t="s">
        <v>2295</v>
      </c>
      <c r="G753" s="184">
        <v>50</v>
      </c>
      <c r="H753" s="185">
        <v>0</v>
      </c>
      <c r="I753" s="186">
        <v>11500</v>
      </c>
      <c r="J753" s="187">
        <v>575000</v>
      </c>
      <c r="K753" s="182" t="s">
        <v>2285</v>
      </c>
      <c r="L753" s="182">
        <v>4</v>
      </c>
      <c r="M753" s="182" t="s">
        <v>2296</v>
      </c>
      <c r="N753" s="186">
        <v>1</v>
      </c>
      <c r="O753" s="188">
        <v>50</v>
      </c>
      <c r="P753" s="188">
        <v>1</v>
      </c>
      <c r="Q753" s="188">
        <v>50</v>
      </c>
      <c r="R753" s="189">
        <v>1.07</v>
      </c>
      <c r="S753" s="189" t="s">
        <v>2160</v>
      </c>
    </row>
    <row r="754" spans="1:19" ht="15" customHeight="1" x14ac:dyDescent="0.3">
      <c r="A754" s="182" t="s">
        <v>2277</v>
      </c>
      <c r="B754" s="182" t="s">
        <v>908</v>
      </c>
      <c r="C754" s="182" t="s">
        <v>909</v>
      </c>
      <c r="D754" s="182" t="s">
        <v>2297</v>
      </c>
      <c r="E754" s="183" t="s">
        <v>2298</v>
      </c>
      <c r="F754" s="183" t="s">
        <v>576</v>
      </c>
      <c r="G754" s="184">
        <v>1</v>
      </c>
      <c r="H754" s="185">
        <v>0</v>
      </c>
      <c r="I754" s="186">
        <v>300000</v>
      </c>
      <c r="J754" s="187">
        <v>300000</v>
      </c>
      <c r="K754" s="182" t="s">
        <v>2285</v>
      </c>
      <c r="L754" s="182">
        <v>5</v>
      </c>
      <c r="M754" s="182" t="s">
        <v>2299</v>
      </c>
      <c r="N754" s="186">
        <v>1</v>
      </c>
      <c r="O754" s="188">
        <v>1</v>
      </c>
      <c r="P754" s="188">
        <v>1</v>
      </c>
      <c r="Q754" s="188">
        <v>1</v>
      </c>
      <c r="R754" s="189">
        <v>1.07</v>
      </c>
      <c r="S754" s="189" t="s">
        <v>2160</v>
      </c>
    </row>
    <row r="755" spans="1:19" ht="15" customHeight="1" x14ac:dyDescent="0.3">
      <c r="A755" s="182" t="s">
        <v>2277</v>
      </c>
      <c r="B755" s="182" t="s">
        <v>937</v>
      </c>
      <c r="C755" s="182" t="s">
        <v>938</v>
      </c>
      <c r="D755" s="182" t="s">
        <v>939</v>
      </c>
      <c r="E755" s="183" t="s">
        <v>940</v>
      </c>
      <c r="F755" s="183" t="s">
        <v>941</v>
      </c>
      <c r="G755" s="184">
        <v>2</v>
      </c>
      <c r="H755" s="185">
        <v>0</v>
      </c>
      <c r="I755" s="186">
        <v>60860.580776572002</v>
      </c>
      <c r="J755" s="187">
        <v>121721.161553144</v>
      </c>
      <c r="K755" s="182" t="s">
        <v>2300</v>
      </c>
      <c r="L755" s="182">
        <v>1</v>
      </c>
      <c r="M755" s="182" t="s">
        <v>2301</v>
      </c>
      <c r="N755" s="186">
        <v>1</v>
      </c>
      <c r="O755" s="188">
        <v>2</v>
      </c>
      <c r="P755" s="188">
        <v>1</v>
      </c>
      <c r="Q755" s="188">
        <v>2</v>
      </c>
      <c r="R755" s="189">
        <v>1.07</v>
      </c>
      <c r="S755" s="189" t="s">
        <v>2160</v>
      </c>
    </row>
    <row r="756" spans="1:19" ht="15" customHeight="1" x14ac:dyDescent="0.3">
      <c r="A756" s="182" t="s">
        <v>2277</v>
      </c>
      <c r="B756" s="182" t="s">
        <v>937</v>
      </c>
      <c r="C756" s="182" t="s">
        <v>938</v>
      </c>
      <c r="D756" s="190" t="s">
        <v>944</v>
      </c>
      <c r="E756" s="183" t="s">
        <v>945</v>
      </c>
      <c r="F756" s="183" t="s">
        <v>941</v>
      </c>
      <c r="G756" s="184">
        <v>2</v>
      </c>
      <c r="H756" s="185">
        <v>0</v>
      </c>
      <c r="I756" s="186">
        <v>85927.097156571996</v>
      </c>
      <c r="J756" s="187">
        <v>171854.19431314399</v>
      </c>
      <c r="K756" s="182" t="s">
        <v>2300</v>
      </c>
      <c r="L756" s="182">
        <v>2</v>
      </c>
      <c r="M756" s="182" t="s">
        <v>2302</v>
      </c>
      <c r="N756" s="186">
        <v>1</v>
      </c>
      <c r="O756" s="188">
        <v>2</v>
      </c>
      <c r="P756" s="188">
        <v>1</v>
      </c>
      <c r="Q756" s="188">
        <v>2</v>
      </c>
      <c r="R756" s="189">
        <v>1.07</v>
      </c>
      <c r="S756" s="189" t="s">
        <v>2160</v>
      </c>
    </row>
    <row r="757" spans="1:19" ht="15" customHeight="1" x14ac:dyDescent="0.3">
      <c r="A757" s="182" t="s">
        <v>2277</v>
      </c>
      <c r="B757" s="182" t="s">
        <v>937</v>
      </c>
      <c r="C757" s="182" t="s">
        <v>938</v>
      </c>
      <c r="D757" s="190" t="s">
        <v>1375</v>
      </c>
      <c r="E757" s="183" t="s">
        <v>1376</v>
      </c>
      <c r="F757" s="183" t="s">
        <v>941</v>
      </c>
      <c r="G757" s="184">
        <v>4</v>
      </c>
      <c r="H757" s="185">
        <v>0</v>
      </c>
      <c r="I757" s="186">
        <v>76955.079706571996</v>
      </c>
      <c r="J757" s="187">
        <v>307820.31882628798</v>
      </c>
      <c r="K757" s="182" t="s">
        <v>2300</v>
      </c>
      <c r="L757" s="182">
        <v>3</v>
      </c>
      <c r="M757" s="182" t="s">
        <v>2303</v>
      </c>
      <c r="N757" s="186">
        <v>1</v>
      </c>
      <c r="O757" s="188">
        <v>4</v>
      </c>
      <c r="P757" s="188">
        <v>1</v>
      </c>
      <c r="Q757" s="188">
        <v>4</v>
      </c>
      <c r="R757" s="189">
        <v>1.07</v>
      </c>
      <c r="S757" s="189" t="s">
        <v>2160</v>
      </c>
    </row>
    <row r="758" spans="1:19" ht="15" customHeight="1" x14ac:dyDescent="0.3">
      <c r="A758" s="182" t="s">
        <v>2304</v>
      </c>
      <c r="B758" s="182" t="s">
        <v>563</v>
      </c>
      <c r="C758" s="182"/>
      <c r="D758" s="182" t="s">
        <v>2305</v>
      </c>
      <c r="E758" s="183" t="s">
        <v>2306</v>
      </c>
      <c r="F758" s="183"/>
      <c r="G758" s="184">
        <v>1</v>
      </c>
      <c r="H758" s="185">
        <v>0</v>
      </c>
      <c r="I758" s="186">
        <v>20050.930611788601</v>
      </c>
      <c r="J758" s="187">
        <v>20050.930611788601</v>
      </c>
      <c r="K758" s="182" t="s">
        <v>2307</v>
      </c>
      <c r="L758" s="182">
        <v>1</v>
      </c>
      <c r="M758" s="182" t="s">
        <v>2308</v>
      </c>
      <c r="N758" s="186">
        <v>1</v>
      </c>
      <c r="O758" s="188">
        <v>1</v>
      </c>
      <c r="P758" s="188">
        <v>1</v>
      </c>
      <c r="Q758" s="188">
        <v>1</v>
      </c>
      <c r="R758" s="189">
        <v>1.08</v>
      </c>
      <c r="S758" s="189" t="s">
        <v>2160</v>
      </c>
    </row>
    <row r="759" spans="1:19" ht="15" customHeight="1" x14ac:dyDescent="0.3">
      <c r="A759" s="182" t="s">
        <v>2304</v>
      </c>
      <c r="B759" s="182" t="s">
        <v>908</v>
      </c>
      <c r="C759" s="182" t="s">
        <v>909</v>
      </c>
      <c r="D759" s="182" t="s">
        <v>2309</v>
      </c>
      <c r="E759" s="183" t="s">
        <v>2310</v>
      </c>
      <c r="F759" s="183" t="s">
        <v>600</v>
      </c>
      <c r="G759" s="184">
        <v>1</v>
      </c>
      <c r="H759" s="185">
        <v>0</v>
      </c>
      <c r="I759" s="186">
        <v>150000</v>
      </c>
      <c r="J759" s="187">
        <v>150000</v>
      </c>
      <c r="K759" s="182" t="s">
        <v>2311</v>
      </c>
      <c r="L759" s="182">
        <v>1</v>
      </c>
      <c r="M759" s="182" t="s">
        <v>2312</v>
      </c>
      <c r="N759" s="186">
        <v>1</v>
      </c>
      <c r="O759" s="188">
        <v>1</v>
      </c>
      <c r="P759" s="188">
        <v>1</v>
      </c>
      <c r="Q759" s="188">
        <v>1</v>
      </c>
      <c r="R759" s="189">
        <v>1.08</v>
      </c>
      <c r="S759" s="189" t="s">
        <v>2160</v>
      </c>
    </row>
    <row r="760" spans="1:19" ht="15" customHeight="1" x14ac:dyDescent="0.3">
      <c r="A760" s="182" t="s">
        <v>2304</v>
      </c>
      <c r="B760" s="182" t="s">
        <v>908</v>
      </c>
      <c r="C760" s="182" t="s">
        <v>909</v>
      </c>
      <c r="D760" s="182" t="s">
        <v>2313</v>
      </c>
      <c r="E760" s="183" t="s">
        <v>2314</v>
      </c>
      <c r="F760" s="183" t="s">
        <v>600</v>
      </c>
      <c r="G760" s="184">
        <v>1</v>
      </c>
      <c r="H760" s="185">
        <v>0</v>
      </c>
      <c r="I760" s="186">
        <v>200000</v>
      </c>
      <c r="J760" s="187">
        <v>200000</v>
      </c>
      <c r="K760" s="182" t="s">
        <v>2311</v>
      </c>
      <c r="L760" s="182">
        <v>2</v>
      </c>
      <c r="M760" s="182" t="s">
        <v>2315</v>
      </c>
      <c r="N760" s="186">
        <v>1</v>
      </c>
      <c r="O760" s="188">
        <v>1</v>
      </c>
      <c r="P760" s="188">
        <v>1</v>
      </c>
      <c r="Q760" s="188">
        <v>1</v>
      </c>
      <c r="R760" s="189">
        <v>1.08</v>
      </c>
      <c r="S760" s="189" t="s">
        <v>2160</v>
      </c>
    </row>
    <row r="761" spans="1:19" ht="15" customHeight="1" x14ac:dyDescent="0.3">
      <c r="A761" s="182" t="s">
        <v>2304</v>
      </c>
      <c r="B761" s="182" t="s">
        <v>908</v>
      </c>
      <c r="C761" s="182" t="s">
        <v>909</v>
      </c>
      <c r="D761" s="182" t="s">
        <v>2316</v>
      </c>
      <c r="E761" s="183" t="s">
        <v>2317</v>
      </c>
      <c r="F761" s="183" t="s">
        <v>600</v>
      </c>
      <c r="G761" s="184">
        <v>1</v>
      </c>
      <c r="H761" s="185">
        <v>0</v>
      </c>
      <c r="I761" s="186">
        <v>50000</v>
      </c>
      <c r="J761" s="187">
        <v>50000</v>
      </c>
      <c r="K761" s="182" t="s">
        <v>2311</v>
      </c>
      <c r="L761" s="182">
        <v>3</v>
      </c>
      <c r="M761" s="182" t="s">
        <v>2318</v>
      </c>
      <c r="N761" s="186">
        <v>1</v>
      </c>
      <c r="O761" s="188">
        <v>1</v>
      </c>
      <c r="P761" s="188">
        <v>1</v>
      </c>
      <c r="Q761" s="188">
        <v>1</v>
      </c>
      <c r="R761" s="189">
        <v>1.08</v>
      </c>
      <c r="S761" s="189" t="s">
        <v>2160</v>
      </c>
    </row>
    <row r="762" spans="1:19" ht="15" customHeight="1" x14ac:dyDescent="0.3">
      <c r="A762" s="182" t="s">
        <v>2304</v>
      </c>
      <c r="B762" s="182" t="s">
        <v>908</v>
      </c>
      <c r="C762" s="182" t="s">
        <v>909</v>
      </c>
      <c r="D762" s="182" t="s">
        <v>2319</v>
      </c>
      <c r="E762" s="183" t="s">
        <v>2320</v>
      </c>
      <c r="F762" s="183" t="s">
        <v>600</v>
      </c>
      <c r="G762" s="184">
        <v>1</v>
      </c>
      <c r="H762" s="185">
        <v>0</v>
      </c>
      <c r="I762" s="186">
        <v>10000</v>
      </c>
      <c r="J762" s="187">
        <v>10000</v>
      </c>
      <c r="K762" s="182" t="s">
        <v>2311</v>
      </c>
      <c r="L762" s="182">
        <v>4</v>
      </c>
      <c r="M762" s="182" t="s">
        <v>2321</v>
      </c>
      <c r="N762" s="186">
        <v>1</v>
      </c>
      <c r="O762" s="188">
        <v>1</v>
      </c>
      <c r="P762" s="188">
        <v>1</v>
      </c>
      <c r="Q762" s="188">
        <v>1</v>
      </c>
      <c r="R762" s="189">
        <v>1.08</v>
      </c>
      <c r="S762" s="189" t="s">
        <v>2160</v>
      </c>
    </row>
    <row r="763" spans="1:19" ht="15" customHeight="1" x14ac:dyDescent="0.3">
      <c r="A763" s="182" t="s">
        <v>2304</v>
      </c>
      <c r="B763" s="182" t="s">
        <v>908</v>
      </c>
      <c r="C763" s="182" t="s">
        <v>909</v>
      </c>
      <c r="D763" s="182" t="s">
        <v>2322</v>
      </c>
      <c r="E763" s="183" t="s">
        <v>2323</v>
      </c>
      <c r="F763" s="183" t="s">
        <v>600</v>
      </c>
      <c r="G763" s="184">
        <v>10</v>
      </c>
      <c r="H763" s="185">
        <v>0</v>
      </c>
      <c r="I763" s="186">
        <v>10000</v>
      </c>
      <c r="J763" s="187">
        <v>100000</v>
      </c>
      <c r="K763" s="182" t="s">
        <v>2311</v>
      </c>
      <c r="L763" s="182">
        <v>5</v>
      </c>
      <c r="M763" s="182" t="s">
        <v>2324</v>
      </c>
      <c r="N763" s="186">
        <v>1</v>
      </c>
      <c r="O763" s="188">
        <v>10</v>
      </c>
      <c r="P763" s="188">
        <v>1</v>
      </c>
      <c r="Q763" s="188">
        <v>10</v>
      </c>
      <c r="R763" s="189">
        <v>1.08</v>
      </c>
      <c r="S763" s="189" t="s">
        <v>2160</v>
      </c>
    </row>
    <row r="764" spans="1:19" ht="15" customHeight="1" x14ac:dyDescent="0.3">
      <c r="A764" s="182" t="s">
        <v>2304</v>
      </c>
      <c r="B764" s="182" t="s">
        <v>908</v>
      </c>
      <c r="C764" s="182" t="s">
        <v>909</v>
      </c>
      <c r="D764" s="182" t="s">
        <v>2325</v>
      </c>
      <c r="E764" s="183" t="s">
        <v>2326</v>
      </c>
      <c r="F764" s="183" t="s">
        <v>600</v>
      </c>
      <c r="G764" s="184">
        <v>3</v>
      </c>
      <c r="H764" s="185">
        <v>0</v>
      </c>
      <c r="I764" s="186">
        <v>15000</v>
      </c>
      <c r="J764" s="187">
        <v>45000</v>
      </c>
      <c r="K764" s="182" t="s">
        <v>2311</v>
      </c>
      <c r="L764" s="182">
        <v>6</v>
      </c>
      <c r="M764" s="182" t="s">
        <v>2327</v>
      </c>
      <c r="N764" s="186">
        <v>1</v>
      </c>
      <c r="O764" s="188">
        <v>3</v>
      </c>
      <c r="P764" s="188">
        <v>1</v>
      </c>
      <c r="Q764" s="188">
        <v>3</v>
      </c>
      <c r="R764" s="189">
        <v>1.08</v>
      </c>
      <c r="S764" s="189" t="s">
        <v>2160</v>
      </c>
    </row>
    <row r="765" spans="1:19" ht="15" customHeight="1" x14ac:dyDescent="0.3">
      <c r="A765" s="182" t="s">
        <v>2304</v>
      </c>
      <c r="B765" s="182" t="s">
        <v>908</v>
      </c>
      <c r="C765" s="182" t="s">
        <v>909</v>
      </c>
      <c r="D765" s="182" t="s">
        <v>2328</v>
      </c>
      <c r="E765" s="183" t="s">
        <v>2329</v>
      </c>
      <c r="F765" s="183" t="s">
        <v>600</v>
      </c>
      <c r="G765" s="184">
        <v>8</v>
      </c>
      <c r="H765" s="185">
        <v>0</v>
      </c>
      <c r="I765" s="186">
        <v>2000</v>
      </c>
      <c r="J765" s="187">
        <v>16000</v>
      </c>
      <c r="K765" s="182" t="s">
        <v>2311</v>
      </c>
      <c r="L765" s="182">
        <v>7</v>
      </c>
      <c r="M765" s="182" t="s">
        <v>2330</v>
      </c>
      <c r="N765" s="186">
        <v>1</v>
      </c>
      <c r="O765" s="188">
        <v>8</v>
      </c>
      <c r="P765" s="188">
        <v>1</v>
      </c>
      <c r="Q765" s="188">
        <v>8</v>
      </c>
      <c r="R765" s="189">
        <v>1.08</v>
      </c>
      <c r="S765" s="189" t="s">
        <v>2160</v>
      </c>
    </row>
    <row r="766" spans="1:19" ht="15" customHeight="1" x14ac:dyDescent="0.3">
      <c r="A766" s="182" t="s">
        <v>2304</v>
      </c>
      <c r="B766" s="182" t="s">
        <v>908</v>
      </c>
      <c r="C766" s="182" t="s">
        <v>909</v>
      </c>
      <c r="D766" s="182" t="s">
        <v>2331</v>
      </c>
      <c r="E766" s="183" t="s">
        <v>2332</v>
      </c>
      <c r="F766" s="183" t="s">
        <v>576</v>
      </c>
      <c r="G766" s="184">
        <v>0.2</v>
      </c>
      <c r="H766" s="185">
        <v>0</v>
      </c>
      <c r="I766" s="186">
        <v>571000</v>
      </c>
      <c r="J766" s="187">
        <v>114200</v>
      </c>
      <c r="K766" s="182" t="s">
        <v>2311</v>
      </c>
      <c r="L766" s="182">
        <v>8</v>
      </c>
      <c r="M766" s="182" t="s">
        <v>2333</v>
      </c>
      <c r="N766" s="186">
        <v>1</v>
      </c>
      <c r="O766" s="188">
        <v>0.2</v>
      </c>
      <c r="P766" s="188">
        <v>1</v>
      </c>
      <c r="Q766" s="188">
        <v>0.2</v>
      </c>
      <c r="R766" s="189">
        <v>1.08</v>
      </c>
      <c r="S766" s="189" t="s">
        <v>2160</v>
      </c>
    </row>
    <row r="767" spans="1:19" ht="15" customHeight="1" x14ac:dyDescent="0.3">
      <c r="A767" s="182" t="s">
        <v>2304</v>
      </c>
      <c r="B767" s="182" t="s">
        <v>937</v>
      </c>
      <c r="C767" s="182" t="s">
        <v>938</v>
      </c>
      <c r="D767" s="190" t="s">
        <v>944</v>
      </c>
      <c r="E767" s="183" t="s">
        <v>945</v>
      </c>
      <c r="F767" s="183" t="s">
        <v>941</v>
      </c>
      <c r="G767" s="184">
        <v>4</v>
      </c>
      <c r="H767" s="185">
        <v>0</v>
      </c>
      <c r="I767" s="186">
        <v>85927.097156571996</v>
      </c>
      <c r="J767" s="187">
        <v>343708.38862628798</v>
      </c>
      <c r="K767" s="182" t="s">
        <v>2334</v>
      </c>
      <c r="L767" s="182">
        <v>1</v>
      </c>
      <c r="M767" s="182" t="s">
        <v>2335</v>
      </c>
      <c r="N767" s="186">
        <v>1</v>
      </c>
      <c r="O767" s="188">
        <v>4</v>
      </c>
      <c r="P767" s="188">
        <v>1</v>
      </c>
      <c r="Q767" s="188">
        <v>4</v>
      </c>
      <c r="R767" s="189">
        <v>1.08</v>
      </c>
      <c r="S767" s="189" t="s">
        <v>2160</v>
      </c>
    </row>
    <row r="768" spans="1:19" ht="15" customHeight="1" x14ac:dyDescent="0.3">
      <c r="A768" s="182" t="s">
        <v>2304</v>
      </c>
      <c r="B768" s="182" t="s">
        <v>937</v>
      </c>
      <c r="C768" s="182" t="s">
        <v>938</v>
      </c>
      <c r="D768" s="190" t="s">
        <v>1375</v>
      </c>
      <c r="E768" s="183" t="s">
        <v>1376</v>
      </c>
      <c r="F768" s="183" t="s">
        <v>941</v>
      </c>
      <c r="G768" s="184">
        <v>4</v>
      </c>
      <c r="H768" s="185">
        <v>0</v>
      </c>
      <c r="I768" s="186">
        <v>76955.079706571996</v>
      </c>
      <c r="J768" s="187">
        <v>307820.31882628798</v>
      </c>
      <c r="K768" s="182" t="s">
        <v>2334</v>
      </c>
      <c r="L768" s="182">
        <v>2</v>
      </c>
      <c r="M768" s="182" t="s">
        <v>2336</v>
      </c>
      <c r="N768" s="186">
        <v>1</v>
      </c>
      <c r="O768" s="188">
        <v>4</v>
      </c>
      <c r="P768" s="188">
        <v>1</v>
      </c>
      <c r="Q768" s="188">
        <v>4</v>
      </c>
      <c r="R768" s="189">
        <v>1.08</v>
      </c>
      <c r="S768" s="189" t="s">
        <v>2160</v>
      </c>
    </row>
    <row r="769" spans="1:19" ht="15" customHeight="1" x14ac:dyDescent="0.3">
      <c r="A769" s="182" t="s">
        <v>2337</v>
      </c>
      <c r="B769" s="182" t="s">
        <v>937</v>
      </c>
      <c r="C769" s="182" t="s">
        <v>909</v>
      </c>
      <c r="D769" s="182" t="s">
        <v>2338</v>
      </c>
      <c r="E769" s="183" t="s">
        <v>2339</v>
      </c>
      <c r="F769" s="183" t="s">
        <v>941</v>
      </c>
      <c r="G769" s="184">
        <v>2</v>
      </c>
      <c r="H769" s="185">
        <v>0</v>
      </c>
      <c r="I769" s="186">
        <v>107023.598877166</v>
      </c>
      <c r="J769" s="187">
        <v>214047.19775433201</v>
      </c>
      <c r="K769" s="182" t="s">
        <v>2340</v>
      </c>
      <c r="L769" s="182">
        <v>1</v>
      </c>
      <c r="M769" s="182" t="s">
        <v>2341</v>
      </c>
      <c r="N769" s="186">
        <v>1</v>
      </c>
      <c r="O769" s="188">
        <v>2</v>
      </c>
      <c r="P769" s="188">
        <v>1</v>
      </c>
      <c r="Q769" s="188">
        <v>2</v>
      </c>
      <c r="R769" s="189">
        <v>1.0900000000000001</v>
      </c>
      <c r="S769" s="189" t="s">
        <v>573</v>
      </c>
    </row>
    <row r="770" spans="1:19" ht="15" customHeight="1" x14ac:dyDescent="0.3">
      <c r="A770" s="182" t="s">
        <v>2337</v>
      </c>
      <c r="B770" s="182" t="s">
        <v>937</v>
      </c>
      <c r="C770" s="182" t="s">
        <v>909</v>
      </c>
      <c r="D770" s="182" t="s">
        <v>2342</v>
      </c>
      <c r="E770" s="183" t="s">
        <v>2343</v>
      </c>
      <c r="F770" s="183" t="s">
        <v>941</v>
      </c>
      <c r="G770" s="184">
        <v>1</v>
      </c>
      <c r="H770" s="185">
        <v>0</v>
      </c>
      <c r="I770" s="186">
        <v>93645.649017520103</v>
      </c>
      <c r="J770" s="187">
        <v>93645.649017520103</v>
      </c>
      <c r="K770" s="182" t="s">
        <v>2340</v>
      </c>
      <c r="L770" s="182">
        <v>2</v>
      </c>
      <c r="M770" s="182" t="s">
        <v>2344</v>
      </c>
      <c r="N770" s="186">
        <v>1</v>
      </c>
      <c r="O770" s="188">
        <v>1</v>
      </c>
      <c r="P770" s="188">
        <v>1</v>
      </c>
      <c r="Q770" s="188">
        <v>1</v>
      </c>
      <c r="R770" s="189">
        <v>1.0900000000000001</v>
      </c>
      <c r="S770" s="189" t="s">
        <v>573</v>
      </c>
    </row>
    <row r="771" spans="1:19" ht="15" customHeight="1" x14ac:dyDescent="0.3">
      <c r="A771" s="182" t="s">
        <v>2337</v>
      </c>
      <c r="B771" s="182" t="s">
        <v>937</v>
      </c>
      <c r="C771" s="182" t="s">
        <v>909</v>
      </c>
      <c r="D771" s="182" t="s">
        <v>2345</v>
      </c>
      <c r="E771" s="183" t="s">
        <v>2346</v>
      </c>
      <c r="F771" s="183" t="s">
        <v>941</v>
      </c>
      <c r="G771" s="184">
        <v>1</v>
      </c>
      <c r="H771" s="185">
        <v>0</v>
      </c>
      <c r="I771" s="186">
        <v>148643.887329397</v>
      </c>
      <c r="J771" s="187">
        <v>148643.887329397</v>
      </c>
      <c r="K771" s="182" t="s">
        <v>2340</v>
      </c>
      <c r="L771" s="182">
        <v>3</v>
      </c>
      <c r="M771" s="182" t="s">
        <v>2347</v>
      </c>
      <c r="N771" s="186">
        <v>1</v>
      </c>
      <c r="O771" s="188">
        <v>1</v>
      </c>
      <c r="P771" s="188">
        <v>1</v>
      </c>
      <c r="Q771" s="188">
        <v>1</v>
      </c>
      <c r="R771" s="189">
        <v>1.0900000000000001</v>
      </c>
      <c r="S771" s="189" t="s">
        <v>573</v>
      </c>
    </row>
    <row r="772" spans="1:19" ht="15" customHeight="1" x14ac:dyDescent="0.3">
      <c r="A772" s="182" t="s">
        <v>2348</v>
      </c>
      <c r="B772" s="182" t="s">
        <v>563</v>
      </c>
      <c r="C772" s="182"/>
      <c r="D772" s="182" t="s">
        <v>2349</v>
      </c>
      <c r="E772" s="183" t="s">
        <v>2350</v>
      </c>
      <c r="F772" s="183"/>
      <c r="G772" s="184">
        <v>1</v>
      </c>
      <c r="H772" s="185">
        <v>0</v>
      </c>
      <c r="I772" s="186">
        <v>97.811647676633498</v>
      </c>
      <c r="J772" s="187">
        <v>97.811647676633498</v>
      </c>
      <c r="K772" s="182" t="s">
        <v>2351</v>
      </c>
      <c r="L772" s="182">
        <v>1</v>
      </c>
      <c r="M772" s="182" t="s">
        <v>2352</v>
      </c>
      <c r="N772" s="186">
        <v>1</v>
      </c>
      <c r="O772" s="188">
        <v>1</v>
      </c>
      <c r="P772" s="188">
        <v>308</v>
      </c>
      <c r="Q772" s="188">
        <v>308</v>
      </c>
      <c r="R772" s="189">
        <v>2.0099999999999998</v>
      </c>
      <c r="S772" s="189" t="s">
        <v>2353</v>
      </c>
    </row>
    <row r="773" spans="1:19" ht="15" customHeight="1" x14ac:dyDescent="0.3">
      <c r="A773" s="182" t="s">
        <v>2348</v>
      </c>
      <c r="B773" s="182" t="s">
        <v>937</v>
      </c>
      <c r="C773" s="182" t="s">
        <v>938</v>
      </c>
      <c r="D773" s="182" t="s">
        <v>939</v>
      </c>
      <c r="E773" s="183" t="s">
        <v>940</v>
      </c>
      <c r="F773" s="183" t="s">
        <v>941</v>
      </c>
      <c r="G773" s="184">
        <v>0.107142857142857</v>
      </c>
      <c r="H773" s="185">
        <v>0</v>
      </c>
      <c r="I773" s="186">
        <v>60860.580776572002</v>
      </c>
      <c r="J773" s="187">
        <v>6520.7765117755598</v>
      </c>
      <c r="K773" s="182" t="s">
        <v>2354</v>
      </c>
      <c r="L773" s="182">
        <v>1</v>
      </c>
      <c r="M773" s="182" t="s">
        <v>2355</v>
      </c>
      <c r="N773" s="186">
        <v>1</v>
      </c>
      <c r="O773" s="188">
        <v>0.107142857142857</v>
      </c>
      <c r="P773" s="188">
        <v>308</v>
      </c>
      <c r="Q773" s="188">
        <v>33</v>
      </c>
      <c r="R773" s="189">
        <v>2.0099999999999998</v>
      </c>
      <c r="S773" s="189" t="s">
        <v>2353</v>
      </c>
    </row>
    <row r="774" spans="1:19" ht="15" customHeight="1" x14ac:dyDescent="0.3">
      <c r="A774" s="182" t="s">
        <v>2348</v>
      </c>
      <c r="B774" s="182" t="s">
        <v>937</v>
      </c>
      <c r="C774" s="182" t="s">
        <v>909</v>
      </c>
      <c r="D774" s="182" t="s">
        <v>2356</v>
      </c>
      <c r="E774" s="183" t="s">
        <v>2357</v>
      </c>
      <c r="F774" s="183" t="s">
        <v>941</v>
      </c>
      <c r="G774" s="184">
        <v>1.5</v>
      </c>
      <c r="H774" s="185">
        <v>0</v>
      </c>
      <c r="I774" s="186">
        <v>22000</v>
      </c>
      <c r="J774" s="187">
        <v>33000</v>
      </c>
      <c r="K774" s="182" t="s">
        <v>2354</v>
      </c>
      <c r="L774" s="182">
        <v>2</v>
      </c>
      <c r="M774" s="182" t="s">
        <v>2358</v>
      </c>
      <c r="N774" s="186">
        <v>1</v>
      </c>
      <c r="O774" s="188">
        <v>1.5</v>
      </c>
      <c r="P774" s="188">
        <v>308</v>
      </c>
      <c r="Q774" s="188">
        <v>462</v>
      </c>
      <c r="R774" s="189">
        <v>2.0099999999999998</v>
      </c>
      <c r="S774" s="189" t="s">
        <v>2353</v>
      </c>
    </row>
    <row r="775" spans="1:19" ht="15" customHeight="1" x14ac:dyDescent="0.3">
      <c r="A775" s="182" t="s">
        <v>2359</v>
      </c>
      <c r="B775" s="182" t="s">
        <v>563</v>
      </c>
      <c r="C775" s="182"/>
      <c r="D775" s="182" t="s">
        <v>2360</v>
      </c>
      <c r="E775" s="183" t="s">
        <v>2361</v>
      </c>
      <c r="F775" s="183"/>
      <c r="G775" s="184">
        <v>1</v>
      </c>
      <c r="H775" s="185">
        <v>0</v>
      </c>
      <c r="I775" s="186">
        <v>128903.949937613</v>
      </c>
      <c r="J775" s="187">
        <v>128903.949937613</v>
      </c>
      <c r="K775" s="182" t="s">
        <v>2362</v>
      </c>
      <c r="L775" s="182">
        <v>1</v>
      </c>
      <c r="M775" s="182" t="s">
        <v>2363</v>
      </c>
      <c r="N775" s="186">
        <v>1</v>
      </c>
      <c r="O775" s="188">
        <v>1</v>
      </c>
      <c r="P775" s="188">
        <v>1</v>
      </c>
      <c r="Q775" s="188">
        <v>1</v>
      </c>
      <c r="R775" s="189">
        <v>2.02</v>
      </c>
      <c r="S775" s="189" t="s">
        <v>2160</v>
      </c>
    </row>
    <row r="776" spans="1:19" ht="15" customHeight="1" x14ac:dyDescent="0.3">
      <c r="A776" s="182" t="s">
        <v>2359</v>
      </c>
      <c r="B776" s="182" t="s">
        <v>908</v>
      </c>
      <c r="C776" s="182" t="s">
        <v>909</v>
      </c>
      <c r="D776" s="182" t="s">
        <v>2364</v>
      </c>
      <c r="E776" s="183" t="s">
        <v>2365</v>
      </c>
      <c r="F776" s="183" t="s">
        <v>2284</v>
      </c>
      <c r="G776" s="184">
        <v>7</v>
      </c>
      <c r="H776" s="185">
        <v>0</v>
      </c>
      <c r="I776" s="186">
        <v>15000</v>
      </c>
      <c r="J776" s="187">
        <v>105000</v>
      </c>
      <c r="K776" s="182" t="s">
        <v>2366</v>
      </c>
      <c r="L776" s="182">
        <v>1</v>
      </c>
      <c r="M776" s="182" t="s">
        <v>2367</v>
      </c>
      <c r="N776" s="186">
        <v>1</v>
      </c>
      <c r="O776" s="188">
        <v>7</v>
      </c>
      <c r="P776" s="188">
        <v>1</v>
      </c>
      <c r="Q776" s="188">
        <v>7</v>
      </c>
      <c r="R776" s="189">
        <v>2.02</v>
      </c>
      <c r="S776" s="189" t="s">
        <v>2160</v>
      </c>
    </row>
    <row r="777" spans="1:19" ht="15" customHeight="1" x14ac:dyDescent="0.3">
      <c r="A777" s="182" t="s">
        <v>2359</v>
      </c>
      <c r="B777" s="182" t="s">
        <v>937</v>
      </c>
      <c r="C777" s="182" t="s">
        <v>938</v>
      </c>
      <c r="D777" s="182" t="s">
        <v>939</v>
      </c>
      <c r="E777" s="183" t="s">
        <v>940</v>
      </c>
      <c r="F777" s="183" t="s">
        <v>941</v>
      </c>
      <c r="G777" s="184">
        <v>132</v>
      </c>
      <c r="H777" s="185">
        <v>0</v>
      </c>
      <c r="I777" s="186">
        <v>60860.580776572002</v>
      </c>
      <c r="J777" s="187">
        <v>8033596.6625074996</v>
      </c>
      <c r="K777" s="182" t="s">
        <v>2368</v>
      </c>
      <c r="L777" s="182">
        <v>1</v>
      </c>
      <c r="M777" s="182" t="s">
        <v>2369</v>
      </c>
      <c r="N777" s="186">
        <v>1</v>
      </c>
      <c r="O777" s="188">
        <v>132</v>
      </c>
      <c r="P777" s="188">
        <v>1</v>
      </c>
      <c r="Q777" s="188">
        <v>132</v>
      </c>
      <c r="R777" s="189">
        <v>2.02</v>
      </c>
      <c r="S777" s="189" t="s">
        <v>2160</v>
      </c>
    </row>
    <row r="778" spans="1:19" ht="15" customHeight="1" x14ac:dyDescent="0.3">
      <c r="A778" s="182" t="s">
        <v>2359</v>
      </c>
      <c r="B778" s="182" t="s">
        <v>937</v>
      </c>
      <c r="C778" s="182" t="s">
        <v>909</v>
      </c>
      <c r="D778" s="182" t="s">
        <v>2370</v>
      </c>
      <c r="E778" s="183" t="s">
        <v>2371</v>
      </c>
      <c r="F778" s="183" t="s">
        <v>941</v>
      </c>
      <c r="G778" s="184">
        <v>7</v>
      </c>
      <c r="H778" s="185">
        <v>0</v>
      </c>
      <c r="I778" s="186">
        <v>65000</v>
      </c>
      <c r="J778" s="187">
        <v>455000</v>
      </c>
      <c r="K778" s="182" t="s">
        <v>2368</v>
      </c>
      <c r="L778" s="182">
        <v>2</v>
      </c>
      <c r="M778" s="182" t="s">
        <v>2372</v>
      </c>
      <c r="N778" s="186">
        <v>1</v>
      </c>
      <c r="O778" s="188">
        <v>7</v>
      </c>
      <c r="P778" s="188">
        <v>1</v>
      </c>
      <c r="Q778" s="188">
        <v>7</v>
      </c>
      <c r="R778" s="189">
        <v>2.02</v>
      </c>
      <c r="S778" s="189" t="s">
        <v>2160</v>
      </c>
    </row>
    <row r="779" spans="1:19" ht="15" customHeight="1" x14ac:dyDescent="0.3">
      <c r="A779" s="182" t="s">
        <v>2373</v>
      </c>
      <c r="B779" s="182" t="s">
        <v>563</v>
      </c>
      <c r="C779" s="182"/>
      <c r="D779" s="182" t="s">
        <v>2374</v>
      </c>
      <c r="E779" s="183" t="s">
        <v>2375</v>
      </c>
      <c r="F779" s="183"/>
      <c r="G779" s="184">
        <v>1</v>
      </c>
      <c r="H779" s="185">
        <v>0</v>
      </c>
      <c r="I779" s="186">
        <v>1302.90871164858</v>
      </c>
      <c r="J779" s="187">
        <v>1302.90871164858</v>
      </c>
      <c r="K779" s="182" t="s">
        <v>2376</v>
      </c>
      <c r="L779" s="182">
        <v>1</v>
      </c>
      <c r="M779" s="182" t="s">
        <v>2377</v>
      </c>
      <c r="N779" s="186">
        <v>1</v>
      </c>
      <c r="O779" s="188">
        <v>1</v>
      </c>
      <c r="P779" s="188">
        <v>15</v>
      </c>
      <c r="Q779" s="188">
        <v>15</v>
      </c>
      <c r="R779" s="189">
        <v>2.0299999999999998</v>
      </c>
      <c r="S779" s="189" t="s">
        <v>2160</v>
      </c>
    </row>
    <row r="780" spans="1:19" ht="15" customHeight="1" x14ac:dyDescent="0.3">
      <c r="A780" s="182" t="s">
        <v>2373</v>
      </c>
      <c r="B780" s="182" t="s">
        <v>908</v>
      </c>
      <c r="C780" s="182" t="s">
        <v>909</v>
      </c>
      <c r="D780" s="182" t="s">
        <v>2378</v>
      </c>
      <c r="E780" s="183" t="s">
        <v>592</v>
      </c>
      <c r="F780" s="183" t="s">
        <v>590</v>
      </c>
      <c r="G780" s="184">
        <v>1</v>
      </c>
      <c r="H780" s="185">
        <v>0</v>
      </c>
      <c r="I780" s="186">
        <v>26000</v>
      </c>
      <c r="J780" s="187">
        <v>26000</v>
      </c>
      <c r="K780" s="182" t="s">
        <v>2379</v>
      </c>
      <c r="L780" s="182">
        <v>1</v>
      </c>
      <c r="M780" s="182" t="s">
        <v>2380</v>
      </c>
      <c r="N780" s="186">
        <v>1</v>
      </c>
      <c r="O780" s="188">
        <v>1</v>
      </c>
      <c r="P780" s="188">
        <v>15</v>
      </c>
      <c r="Q780" s="188">
        <v>15</v>
      </c>
      <c r="R780" s="189">
        <v>2.0299999999999998</v>
      </c>
      <c r="S780" s="189" t="s">
        <v>2160</v>
      </c>
    </row>
    <row r="781" spans="1:19" ht="15" customHeight="1" x14ac:dyDescent="0.3">
      <c r="A781" s="182" t="s">
        <v>2373</v>
      </c>
      <c r="B781" s="182" t="s">
        <v>937</v>
      </c>
      <c r="C781" s="182" t="s">
        <v>938</v>
      </c>
      <c r="D781" s="182" t="s">
        <v>939</v>
      </c>
      <c r="E781" s="183" t="s">
        <v>940</v>
      </c>
      <c r="F781" s="183" t="s">
        <v>941</v>
      </c>
      <c r="G781" s="184">
        <v>1</v>
      </c>
      <c r="H781" s="185">
        <v>0</v>
      </c>
      <c r="I781" s="186">
        <v>60860.580776572002</v>
      </c>
      <c r="J781" s="187">
        <v>60860.580776572002</v>
      </c>
      <c r="K781" s="182" t="s">
        <v>2381</v>
      </c>
      <c r="L781" s="182">
        <v>1</v>
      </c>
      <c r="M781" s="182" t="s">
        <v>2382</v>
      </c>
      <c r="N781" s="186">
        <v>1</v>
      </c>
      <c r="O781" s="188">
        <v>1</v>
      </c>
      <c r="P781" s="188">
        <v>15</v>
      </c>
      <c r="Q781" s="188">
        <v>15</v>
      </c>
      <c r="R781" s="189">
        <v>2.0299999999999998</v>
      </c>
      <c r="S781" s="189" t="s">
        <v>2160</v>
      </c>
    </row>
    <row r="782" spans="1:19" ht="15" customHeight="1" x14ac:dyDescent="0.3">
      <c r="A782" s="182" t="s">
        <v>2383</v>
      </c>
      <c r="B782" s="182" t="s">
        <v>563</v>
      </c>
      <c r="C782" s="182"/>
      <c r="D782" s="182" t="s">
        <v>2384</v>
      </c>
      <c r="E782" s="183" t="s">
        <v>2385</v>
      </c>
      <c r="F782" s="183"/>
      <c r="G782" s="184">
        <v>1</v>
      </c>
      <c r="H782" s="185">
        <v>0</v>
      </c>
      <c r="I782" s="186">
        <v>3250.5537282478099</v>
      </c>
      <c r="J782" s="187">
        <v>3250.5537282478099</v>
      </c>
      <c r="K782" s="182" t="s">
        <v>2386</v>
      </c>
      <c r="L782" s="182">
        <v>1</v>
      </c>
      <c r="M782" s="182" t="s">
        <v>2387</v>
      </c>
      <c r="N782" s="186">
        <v>1</v>
      </c>
      <c r="O782" s="188">
        <v>1</v>
      </c>
      <c r="P782" s="188">
        <v>13</v>
      </c>
      <c r="Q782" s="188">
        <v>13</v>
      </c>
      <c r="R782" s="189">
        <v>3.01</v>
      </c>
      <c r="S782" s="189" t="s">
        <v>2353</v>
      </c>
    </row>
    <row r="783" spans="1:19" ht="15" customHeight="1" x14ac:dyDescent="0.3">
      <c r="A783" s="182" t="s">
        <v>2383</v>
      </c>
      <c r="B783" s="182" t="s">
        <v>908</v>
      </c>
      <c r="C783" s="182" t="s">
        <v>909</v>
      </c>
      <c r="D783" s="182" t="s">
        <v>1883</v>
      </c>
      <c r="E783" s="183" t="s">
        <v>1884</v>
      </c>
      <c r="F783" s="183" t="s">
        <v>590</v>
      </c>
      <c r="G783" s="184">
        <v>0</v>
      </c>
      <c r="H783" s="185">
        <v>0</v>
      </c>
      <c r="I783" s="186">
        <v>5330</v>
      </c>
      <c r="J783" s="187">
        <v>0</v>
      </c>
      <c r="K783" s="182" t="s">
        <v>2388</v>
      </c>
      <c r="L783" s="182">
        <v>1</v>
      </c>
      <c r="M783" s="182" t="s">
        <v>2389</v>
      </c>
      <c r="N783" s="186">
        <v>1</v>
      </c>
      <c r="O783" s="188">
        <v>0</v>
      </c>
      <c r="P783" s="188">
        <v>13</v>
      </c>
      <c r="Q783" s="188">
        <v>0</v>
      </c>
      <c r="R783" s="189">
        <v>3.01</v>
      </c>
      <c r="S783" s="189" t="s">
        <v>2353</v>
      </c>
    </row>
    <row r="784" spans="1:19" ht="15" customHeight="1" x14ac:dyDescent="0.3">
      <c r="A784" s="182" t="s">
        <v>2383</v>
      </c>
      <c r="B784" s="182" t="s">
        <v>908</v>
      </c>
      <c r="C784" s="182" t="s">
        <v>909</v>
      </c>
      <c r="D784" s="182" t="s">
        <v>2390</v>
      </c>
      <c r="E784" s="183" t="s">
        <v>2391</v>
      </c>
      <c r="F784" s="183" t="s">
        <v>590</v>
      </c>
      <c r="G784" s="184">
        <v>1</v>
      </c>
      <c r="H784" s="185">
        <v>0</v>
      </c>
      <c r="I784" s="186">
        <v>115100</v>
      </c>
      <c r="J784" s="187">
        <v>115100</v>
      </c>
      <c r="K784" s="182" t="s">
        <v>2388</v>
      </c>
      <c r="L784" s="182">
        <v>2</v>
      </c>
      <c r="M784" s="182" t="s">
        <v>2392</v>
      </c>
      <c r="N784" s="186">
        <v>1</v>
      </c>
      <c r="O784" s="188">
        <v>1</v>
      </c>
      <c r="P784" s="188">
        <v>13</v>
      </c>
      <c r="Q784" s="188">
        <v>13</v>
      </c>
      <c r="R784" s="189">
        <v>3.01</v>
      </c>
      <c r="S784" s="189" t="s">
        <v>2353</v>
      </c>
    </row>
    <row r="785" spans="1:19" ht="15" customHeight="1" x14ac:dyDescent="0.3">
      <c r="A785" s="182" t="s">
        <v>2383</v>
      </c>
      <c r="B785" s="182" t="s">
        <v>908</v>
      </c>
      <c r="C785" s="182" t="s">
        <v>909</v>
      </c>
      <c r="D785" s="182" t="s">
        <v>2393</v>
      </c>
      <c r="E785" s="183" t="s">
        <v>2394</v>
      </c>
      <c r="F785" s="183" t="s">
        <v>600</v>
      </c>
      <c r="G785" s="184">
        <v>0</v>
      </c>
      <c r="H785" s="185">
        <v>0</v>
      </c>
      <c r="I785" s="186">
        <v>533000</v>
      </c>
      <c r="J785" s="187">
        <v>0</v>
      </c>
      <c r="K785" s="182" t="s">
        <v>2388</v>
      </c>
      <c r="L785" s="182">
        <v>3</v>
      </c>
      <c r="M785" s="182" t="s">
        <v>2395</v>
      </c>
      <c r="N785" s="186">
        <v>1</v>
      </c>
      <c r="O785" s="188">
        <v>0</v>
      </c>
      <c r="P785" s="188">
        <v>13</v>
      </c>
      <c r="Q785" s="188">
        <v>0</v>
      </c>
      <c r="R785" s="189">
        <v>3.01</v>
      </c>
      <c r="S785" s="189" t="s">
        <v>2353</v>
      </c>
    </row>
    <row r="786" spans="1:19" ht="15" customHeight="1" x14ac:dyDescent="0.3">
      <c r="A786" s="182" t="s">
        <v>2383</v>
      </c>
      <c r="B786" s="182" t="s">
        <v>937</v>
      </c>
      <c r="C786" s="182" t="s">
        <v>938</v>
      </c>
      <c r="D786" s="182" t="s">
        <v>939</v>
      </c>
      <c r="E786" s="183" t="s">
        <v>940</v>
      </c>
      <c r="F786" s="183" t="s">
        <v>941</v>
      </c>
      <c r="G786" s="184">
        <v>0.76923076923076905</v>
      </c>
      <c r="H786" s="185">
        <v>0</v>
      </c>
      <c r="I786" s="186">
        <v>60860.580776572002</v>
      </c>
      <c r="J786" s="187">
        <v>46815.831366593797</v>
      </c>
      <c r="K786" s="182" t="s">
        <v>2396</v>
      </c>
      <c r="L786" s="182">
        <v>1</v>
      </c>
      <c r="M786" s="182" t="s">
        <v>2397</v>
      </c>
      <c r="N786" s="186">
        <v>1</v>
      </c>
      <c r="O786" s="188">
        <v>0.76923076923076905</v>
      </c>
      <c r="P786" s="188">
        <v>13</v>
      </c>
      <c r="Q786" s="188">
        <v>10</v>
      </c>
      <c r="R786" s="189">
        <v>3.01</v>
      </c>
      <c r="S786" s="189" t="s">
        <v>2353</v>
      </c>
    </row>
    <row r="787" spans="1:19" ht="15" customHeight="1" x14ac:dyDescent="0.3">
      <c r="A787" s="182" t="s">
        <v>2383</v>
      </c>
      <c r="B787" s="182" t="s">
        <v>937</v>
      </c>
      <c r="C787" s="182" t="s">
        <v>938</v>
      </c>
      <c r="D787" s="190" t="s">
        <v>1291</v>
      </c>
      <c r="E787" s="183" t="s">
        <v>1292</v>
      </c>
      <c r="F787" s="183" t="s">
        <v>941</v>
      </c>
      <c r="G787" s="184">
        <v>0.38461538461538503</v>
      </c>
      <c r="H787" s="185">
        <v>0</v>
      </c>
      <c r="I787" s="186">
        <v>65493.071636572</v>
      </c>
      <c r="J787" s="187">
        <v>25189.6429371431</v>
      </c>
      <c r="K787" s="182" t="s">
        <v>2396</v>
      </c>
      <c r="L787" s="182">
        <v>2</v>
      </c>
      <c r="M787" s="182" t="s">
        <v>2398</v>
      </c>
      <c r="N787" s="186">
        <v>1</v>
      </c>
      <c r="O787" s="188">
        <v>0.38461538461538503</v>
      </c>
      <c r="P787" s="188">
        <v>13</v>
      </c>
      <c r="Q787" s="188">
        <v>5.0000000000000098</v>
      </c>
      <c r="R787" s="189">
        <v>3.01</v>
      </c>
      <c r="S787" s="189" t="s">
        <v>2353</v>
      </c>
    </row>
    <row r="788" spans="1:19" ht="15" customHeight="1" x14ac:dyDescent="0.3">
      <c r="A788" s="182" t="s">
        <v>2383</v>
      </c>
      <c r="B788" s="182" t="s">
        <v>937</v>
      </c>
      <c r="C788" s="182" t="s">
        <v>938</v>
      </c>
      <c r="D788" s="190" t="s">
        <v>1375</v>
      </c>
      <c r="E788" s="183" t="s">
        <v>1376</v>
      </c>
      <c r="F788" s="183" t="s">
        <v>941</v>
      </c>
      <c r="G788" s="184">
        <v>0.38461538461538503</v>
      </c>
      <c r="H788" s="185">
        <v>0</v>
      </c>
      <c r="I788" s="186">
        <v>76955.079706571996</v>
      </c>
      <c r="J788" s="187">
        <v>29598.1075794508</v>
      </c>
      <c r="K788" s="182" t="s">
        <v>2396</v>
      </c>
      <c r="L788" s="182">
        <v>3</v>
      </c>
      <c r="M788" s="182" t="s">
        <v>2399</v>
      </c>
      <c r="N788" s="186">
        <v>1</v>
      </c>
      <c r="O788" s="188">
        <v>0.38461538461538503</v>
      </c>
      <c r="P788" s="188">
        <v>13</v>
      </c>
      <c r="Q788" s="188">
        <v>5.0000000000000098</v>
      </c>
      <c r="R788" s="189">
        <v>3.01</v>
      </c>
      <c r="S788" s="189" t="s">
        <v>2353</v>
      </c>
    </row>
    <row r="789" spans="1:19" ht="15" customHeight="1" x14ac:dyDescent="0.3">
      <c r="A789" s="182" t="s">
        <v>2400</v>
      </c>
      <c r="B789" s="182" t="s">
        <v>563</v>
      </c>
      <c r="C789" s="182"/>
      <c r="D789" s="182" t="s">
        <v>2401</v>
      </c>
      <c r="E789" s="183" t="s">
        <v>2402</v>
      </c>
      <c r="F789" s="183"/>
      <c r="G789" s="184">
        <v>1</v>
      </c>
      <c r="H789" s="185">
        <v>0</v>
      </c>
      <c r="I789" s="186">
        <v>5108.5619451599996</v>
      </c>
      <c r="J789" s="187">
        <v>5108.5619451599996</v>
      </c>
      <c r="K789" s="182" t="s">
        <v>2403</v>
      </c>
      <c r="L789" s="182">
        <v>1</v>
      </c>
      <c r="M789" s="182" t="s">
        <v>2404</v>
      </c>
      <c r="N789" s="186">
        <v>1</v>
      </c>
      <c r="O789" s="188">
        <v>1</v>
      </c>
      <c r="P789" s="188">
        <v>18</v>
      </c>
      <c r="Q789" s="188">
        <v>18</v>
      </c>
      <c r="R789" s="189">
        <v>3.02</v>
      </c>
      <c r="S789" s="189" t="s">
        <v>573</v>
      </c>
    </row>
    <row r="790" spans="1:19" ht="15" customHeight="1" x14ac:dyDescent="0.3">
      <c r="A790" s="182" t="s">
        <v>2400</v>
      </c>
      <c r="B790" s="182" t="s">
        <v>908</v>
      </c>
      <c r="C790" s="182" t="s">
        <v>909</v>
      </c>
      <c r="D790" s="182" t="s">
        <v>976</v>
      </c>
      <c r="E790" s="183" t="s">
        <v>977</v>
      </c>
      <c r="F790" s="183" t="s">
        <v>576</v>
      </c>
      <c r="G790" s="184">
        <v>4312.8950640000003</v>
      </c>
      <c r="H790" s="185">
        <v>0</v>
      </c>
      <c r="I790" s="186">
        <v>1</v>
      </c>
      <c r="J790" s="187">
        <v>4312.8950640000003</v>
      </c>
      <c r="K790" s="182" t="s">
        <v>2405</v>
      </c>
      <c r="L790" s="182">
        <v>1</v>
      </c>
      <c r="M790" s="182" t="s">
        <v>2406</v>
      </c>
      <c r="N790" s="186">
        <v>1</v>
      </c>
      <c r="O790" s="188">
        <v>4312.8950640000003</v>
      </c>
      <c r="P790" s="188">
        <v>18</v>
      </c>
      <c r="Q790" s="188">
        <v>77632.111151999998</v>
      </c>
      <c r="R790" s="189">
        <v>3.02</v>
      </c>
      <c r="S790" s="189" t="s">
        <v>573</v>
      </c>
    </row>
    <row r="791" spans="1:19" ht="15" customHeight="1" x14ac:dyDescent="0.3">
      <c r="A791" s="182" t="s">
        <v>2400</v>
      </c>
      <c r="B791" s="182" t="s">
        <v>908</v>
      </c>
      <c r="C791" s="182" t="s">
        <v>909</v>
      </c>
      <c r="D791" s="182" t="s">
        <v>2407</v>
      </c>
      <c r="E791" s="183" t="s">
        <v>2408</v>
      </c>
      <c r="F791" s="183" t="s">
        <v>1046</v>
      </c>
      <c r="G791" s="184">
        <v>22.608000000000001</v>
      </c>
      <c r="H791" s="185">
        <v>0</v>
      </c>
      <c r="I791" s="186">
        <v>1704.41</v>
      </c>
      <c r="J791" s="187">
        <v>38533.30128</v>
      </c>
      <c r="K791" s="182" t="s">
        <v>2405</v>
      </c>
      <c r="L791" s="182">
        <v>2</v>
      </c>
      <c r="M791" s="182" t="s">
        <v>2409</v>
      </c>
      <c r="N791" s="186">
        <v>1</v>
      </c>
      <c r="O791" s="188">
        <v>22.608000000000001</v>
      </c>
      <c r="P791" s="188">
        <v>18</v>
      </c>
      <c r="Q791" s="188">
        <v>406.94400000000002</v>
      </c>
      <c r="R791" s="189">
        <v>3.02</v>
      </c>
      <c r="S791" s="189" t="s">
        <v>573</v>
      </c>
    </row>
    <row r="792" spans="1:19" ht="15" customHeight="1" x14ac:dyDescent="0.3">
      <c r="A792" s="182" t="s">
        <v>2400</v>
      </c>
      <c r="B792" s="182" t="s">
        <v>908</v>
      </c>
      <c r="C792" s="182" t="s">
        <v>909</v>
      </c>
      <c r="D792" s="182" t="s">
        <v>2410</v>
      </c>
      <c r="E792" s="183" t="s">
        <v>2411</v>
      </c>
      <c r="F792" s="183" t="s">
        <v>971</v>
      </c>
      <c r="G792" s="184">
        <v>6.1111111111111098</v>
      </c>
      <c r="H792" s="185">
        <v>0</v>
      </c>
      <c r="I792" s="186">
        <v>7809.48</v>
      </c>
      <c r="J792" s="187">
        <v>47724.6</v>
      </c>
      <c r="K792" s="182" t="s">
        <v>2405</v>
      </c>
      <c r="L792" s="182">
        <v>3</v>
      </c>
      <c r="M792" s="182" t="s">
        <v>2412</v>
      </c>
      <c r="N792" s="186">
        <v>1</v>
      </c>
      <c r="O792" s="188">
        <v>6.1111111111111098</v>
      </c>
      <c r="P792" s="188">
        <v>18</v>
      </c>
      <c r="Q792" s="188">
        <v>110</v>
      </c>
      <c r="R792" s="189">
        <v>3.02</v>
      </c>
      <c r="S792" s="189" t="s">
        <v>573</v>
      </c>
    </row>
    <row r="793" spans="1:19" ht="15" customHeight="1" x14ac:dyDescent="0.3">
      <c r="A793" s="182" t="s">
        <v>2400</v>
      </c>
      <c r="B793" s="182" t="s">
        <v>937</v>
      </c>
      <c r="C793" s="182" t="s">
        <v>909</v>
      </c>
      <c r="D793" s="182" t="s">
        <v>2413</v>
      </c>
      <c r="E793" s="183" t="s">
        <v>2414</v>
      </c>
      <c r="F793" s="183" t="s">
        <v>941</v>
      </c>
      <c r="G793" s="184">
        <v>5.5555555555555601E-2</v>
      </c>
      <c r="H793" s="185">
        <v>0</v>
      </c>
      <c r="I793" s="186">
        <v>4500000</v>
      </c>
      <c r="J793" s="187">
        <v>250000</v>
      </c>
      <c r="K793" s="182" t="s">
        <v>2415</v>
      </c>
      <c r="L793" s="182">
        <v>1</v>
      </c>
      <c r="M793" s="182" t="s">
        <v>2416</v>
      </c>
      <c r="N793" s="186">
        <v>1</v>
      </c>
      <c r="O793" s="188">
        <v>5.5555555555555601E-2</v>
      </c>
      <c r="P793" s="188">
        <v>18</v>
      </c>
      <c r="Q793" s="188">
        <v>1</v>
      </c>
      <c r="R793" s="189">
        <v>3.02</v>
      </c>
      <c r="S793" s="189" t="s">
        <v>573</v>
      </c>
    </row>
    <row r="794" spans="1:19" ht="15" customHeight="1" x14ac:dyDescent="0.3">
      <c r="A794" s="182" t="s">
        <v>2417</v>
      </c>
      <c r="B794" s="182" t="s">
        <v>563</v>
      </c>
      <c r="C794" s="182"/>
      <c r="D794" s="182" t="s">
        <v>2418</v>
      </c>
      <c r="E794" s="183" t="s">
        <v>2419</v>
      </c>
      <c r="F794" s="183"/>
      <c r="G794" s="184">
        <v>1</v>
      </c>
      <c r="H794" s="185">
        <v>0</v>
      </c>
      <c r="I794" s="186">
        <v>11395.701623995201</v>
      </c>
      <c r="J794" s="187">
        <v>11395.701623995201</v>
      </c>
      <c r="K794" s="182" t="s">
        <v>2420</v>
      </c>
      <c r="L794" s="182">
        <v>1</v>
      </c>
      <c r="M794" s="182" t="s">
        <v>2421</v>
      </c>
      <c r="N794" s="186">
        <v>1</v>
      </c>
      <c r="O794" s="188">
        <v>1</v>
      </c>
      <c r="P794" s="188">
        <v>12</v>
      </c>
      <c r="Q794" s="188">
        <v>12</v>
      </c>
      <c r="R794" s="189">
        <v>3.03</v>
      </c>
      <c r="S794" s="189" t="s">
        <v>573</v>
      </c>
    </row>
    <row r="795" spans="1:19" ht="15" customHeight="1" x14ac:dyDescent="0.3">
      <c r="A795" s="182" t="s">
        <v>2417</v>
      </c>
      <c r="B795" s="182" t="s">
        <v>908</v>
      </c>
      <c r="C795" s="182" t="s">
        <v>1358</v>
      </c>
      <c r="D795" s="182" t="s">
        <v>2422</v>
      </c>
      <c r="E795" s="183" t="s">
        <v>601</v>
      </c>
      <c r="F795" s="183" t="s">
        <v>590</v>
      </c>
      <c r="G795" s="184">
        <v>1</v>
      </c>
      <c r="H795" s="185">
        <v>0</v>
      </c>
      <c r="I795" s="186">
        <v>402072.54172518197</v>
      </c>
      <c r="J795" s="187">
        <v>402072.54172518197</v>
      </c>
      <c r="K795" s="182" t="s">
        <v>2423</v>
      </c>
      <c r="L795" s="182">
        <v>1</v>
      </c>
      <c r="M795" s="182" t="s">
        <v>2424</v>
      </c>
      <c r="N795" s="186">
        <v>1</v>
      </c>
      <c r="O795" s="188">
        <v>1</v>
      </c>
      <c r="P795" s="188">
        <v>12</v>
      </c>
      <c r="Q795" s="188">
        <v>12</v>
      </c>
      <c r="R795" s="189">
        <v>3.03</v>
      </c>
      <c r="S795" s="189" t="s">
        <v>573</v>
      </c>
    </row>
    <row r="796" spans="1:19" ht="15" customHeight="1" x14ac:dyDescent="0.3">
      <c r="A796" s="182" t="s">
        <v>2417</v>
      </c>
      <c r="B796" s="182" t="s">
        <v>937</v>
      </c>
      <c r="C796" s="182" t="s">
        <v>909</v>
      </c>
      <c r="D796" s="182" t="s">
        <v>2425</v>
      </c>
      <c r="E796" s="183" t="s">
        <v>2426</v>
      </c>
      <c r="F796" s="183" t="s">
        <v>941</v>
      </c>
      <c r="G796" s="184">
        <v>1</v>
      </c>
      <c r="H796" s="185">
        <v>0</v>
      </c>
      <c r="I796" s="186">
        <v>357640.8998745</v>
      </c>
      <c r="J796" s="187">
        <v>357640.8998745</v>
      </c>
      <c r="K796" s="182" t="s">
        <v>2427</v>
      </c>
      <c r="L796" s="182">
        <v>1</v>
      </c>
      <c r="M796" s="182" t="s">
        <v>2428</v>
      </c>
      <c r="N796" s="186">
        <v>1</v>
      </c>
      <c r="O796" s="188">
        <v>1</v>
      </c>
      <c r="P796" s="188">
        <v>12</v>
      </c>
      <c r="Q796" s="188">
        <v>12</v>
      </c>
      <c r="R796" s="189">
        <v>3.03</v>
      </c>
      <c r="S796" s="189" t="s">
        <v>573</v>
      </c>
    </row>
    <row r="797" spans="1:19" ht="15" customHeight="1" x14ac:dyDescent="0.3">
      <c r="A797" s="182" t="s">
        <v>2429</v>
      </c>
      <c r="B797" s="182" t="s">
        <v>563</v>
      </c>
      <c r="C797" s="182"/>
      <c r="D797" s="182" t="s">
        <v>2430</v>
      </c>
      <c r="E797" s="183" t="s">
        <v>2431</v>
      </c>
      <c r="F797" s="183"/>
      <c r="G797" s="184">
        <v>1</v>
      </c>
      <c r="H797" s="185">
        <v>0</v>
      </c>
      <c r="I797" s="186">
        <v>10647.458136473801</v>
      </c>
      <c r="J797" s="187">
        <v>10647.458136473801</v>
      </c>
      <c r="K797" s="182" t="s">
        <v>2432</v>
      </c>
      <c r="L797" s="182">
        <v>1</v>
      </c>
      <c r="M797" s="182" t="s">
        <v>2433</v>
      </c>
      <c r="N797" s="186">
        <v>1</v>
      </c>
      <c r="O797" s="188">
        <v>1</v>
      </c>
      <c r="P797" s="188">
        <v>7</v>
      </c>
      <c r="Q797" s="188">
        <v>7</v>
      </c>
      <c r="R797" s="189">
        <v>3.04</v>
      </c>
      <c r="S797" s="189" t="s">
        <v>573</v>
      </c>
    </row>
    <row r="798" spans="1:19" ht="15" customHeight="1" x14ac:dyDescent="0.3">
      <c r="A798" s="182" t="s">
        <v>2429</v>
      </c>
      <c r="B798" s="182" t="s">
        <v>908</v>
      </c>
      <c r="C798" s="182" t="s">
        <v>1358</v>
      </c>
      <c r="D798" s="182" t="s">
        <v>2434</v>
      </c>
      <c r="E798" s="183" t="s">
        <v>602</v>
      </c>
      <c r="F798" s="183" t="s">
        <v>590</v>
      </c>
      <c r="G798" s="184">
        <v>1</v>
      </c>
      <c r="H798" s="185">
        <v>0</v>
      </c>
      <c r="I798" s="186">
        <v>428196.58025620203</v>
      </c>
      <c r="J798" s="187">
        <v>428196.58025620203</v>
      </c>
      <c r="K798" s="182" t="s">
        <v>2435</v>
      </c>
      <c r="L798" s="182">
        <v>1</v>
      </c>
      <c r="M798" s="182" t="s">
        <v>2436</v>
      </c>
      <c r="N798" s="186">
        <v>1</v>
      </c>
      <c r="O798" s="188">
        <v>1</v>
      </c>
      <c r="P798" s="188">
        <v>7</v>
      </c>
      <c r="Q798" s="188">
        <v>7</v>
      </c>
      <c r="R798" s="189">
        <v>3.04</v>
      </c>
      <c r="S798" s="189" t="s">
        <v>573</v>
      </c>
    </row>
    <row r="799" spans="1:19" ht="15" customHeight="1" x14ac:dyDescent="0.3">
      <c r="A799" s="182" t="s">
        <v>2429</v>
      </c>
      <c r="B799" s="182" t="s">
        <v>937</v>
      </c>
      <c r="C799" s="182" t="s">
        <v>909</v>
      </c>
      <c r="D799" s="182" t="s">
        <v>2437</v>
      </c>
      <c r="E799" s="183" t="s">
        <v>2438</v>
      </c>
      <c r="F799" s="183" t="s">
        <v>941</v>
      </c>
      <c r="G799" s="184">
        <v>1</v>
      </c>
      <c r="H799" s="185">
        <v>0</v>
      </c>
      <c r="I799" s="186">
        <v>281633.96217538603</v>
      </c>
      <c r="J799" s="187">
        <v>281633.96217538603</v>
      </c>
      <c r="K799" s="182" t="s">
        <v>2439</v>
      </c>
      <c r="L799" s="182">
        <v>1</v>
      </c>
      <c r="M799" s="182" t="s">
        <v>2440</v>
      </c>
      <c r="N799" s="186">
        <v>1</v>
      </c>
      <c r="O799" s="188">
        <v>1</v>
      </c>
      <c r="P799" s="188">
        <v>7</v>
      </c>
      <c r="Q799" s="188">
        <v>7</v>
      </c>
      <c r="R799" s="189">
        <v>3.04</v>
      </c>
      <c r="S799" s="189" t="s">
        <v>573</v>
      </c>
    </row>
    <row r="800" spans="1:19" ht="15" customHeight="1" x14ac:dyDescent="0.3">
      <c r="A800" s="182" t="s">
        <v>2441</v>
      </c>
      <c r="B800" s="182" t="s">
        <v>563</v>
      </c>
      <c r="C800" s="182"/>
      <c r="D800" s="182" t="s">
        <v>2442</v>
      </c>
      <c r="E800" s="183" t="s">
        <v>2443</v>
      </c>
      <c r="F800" s="183"/>
      <c r="G800" s="184">
        <v>1</v>
      </c>
      <c r="H800" s="185">
        <v>0</v>
      </c>
      <c r="I800" s="186">
        <v>7920.4190953709203</v>
      </c>
      <c r="J800" s="187">
        <v>7920.4190953709203</v>
      </c>
      <c r="K800" s="182" t="s">
        <v>2444</v>
      </c>
      <c r="L800" s="182">
        <v>1</v>
      </c>
      <c r="M800" s="182" t="s">
        <v>2445</v>
      </c>
      <c r="N800" s="186">
        <v>1</v>
      </c>
      <c r="O800" s="188">
        <v>1</v>
      </c>
      <c r="P800" s="188">
        <v>38</v>
      </c>
      <c r="Q800" s="188">
        <v>38</v>
      </c>
      <c r="R800" s="189">
        <v>3.05</v>
      </c>
      <c r="S800" s="189" t="s">
        <v>573</v>
      </c>
    </row>
    <row r="801" spans="1:19" ht="15" customHeight="1" x14ac:dyDescent="0.3">
      <c r="A801" s="182" t="s">
        <v>2441</v>
      </c>
      <c r="B801" s="182" t="s">
        <v>908</v>
      </c>
      <c r="C801" s="182" t="s">
        <v>1358</v>
      </c>
      <c r="D801" s="182" t="s">
        <v>2446</v>
      </c>
      <c r="E801" s="183" t="s">
        <v>603</v>
      </c>
      <c r="F801" s="183" t="s">
        <v>590</v>
      </c>
      <c r="G801" s="184">
        <v>1</v>
      </c>
      <c r="H801" s="185">
        <v>0</v>
      </c>
      <c r="I801" s="186">
        <v>333700.50579037803</v>
      </c>
      <c r="J801" s="187">
        <v>333700.50579037803</v>
      </c>
      <c r="K801" s="182" t="s">
        <v>2447</v>
      </c>
      <c r="L801" s="182">
        <v>1</v>
      </c>
      <c r="M801" s="182" t="s">
        <v>2448</v>
      </c>
      <c r="N801" s="186">
        <v>1</v>
      </c>
      <c r="O801" s="188">
        <v>1</v>
      </c>
      <c r="P801" s="188">
        <v>38</v>
      </c>
      <c r="Q801" s="188">
        <v>38</v>
      </c>
      <c r="R801" s="189">
        <v>3.05</v>
      </c>
      <c r="S801" s="189" t="s">
        <v>573</v>
      </c>
    </row>
    <row r="802" spans="1:19" ht="15" customHeight="1" x14ac:dyDescent="0.3">
      <c r="A802" s="182" t="s">
        <v>2441</v>
      </c>
      <c r="B802" s="182" t="s">
        <v>937</v>
      </c>
      <c r="C802" s="182" t="s">
        <v>909</v>
      </c>
      <c r="D802" s="182" t="s">
        <v>2449</v>
      </c>
      <c r="E802" s="183" t="s">
        <v>2450</v>
      </c>
      <c r="F802" s="183" t="s">
        <v>941</v>
      </c>
      <c r="G802" s="184">
        <v>1</v>
      </c>
      <c r="H802" s="185">
        <v>0</v>
      </c>
      <c r="I802" s="186">
        <v>194327.43390101599</v>
      </c>
      <c r="J802" s="187">
        <v>194327.43390101599</v>
      </c>
      <c r="K802" s="182" t="s">
        <v>2451</v>
      </c>
      <c r="L802" s="182">
        <v>1</v>
      </c>
      <c r="M802" s="182" t="s">
        <v>2452</v>
      </c>
      <c r="N802" s="186">
        <v>1</v>
      </c>
      <c r="O802" s="188">
        <v>1</v>
      </c>
      <c r="P802" s="188">
        <v>38</v>
      </c>
      <c r="Q802" s="188">
        <v>38</v>
      </c>
      <c r="R802" s="189">
        <v>3.05</v>
      </c>
      <c r="S802" s="189" t="s">
        <v>573</v>
      </c>
    </row>
    <row r="803" spans="1:19" ht="15" customHeight="1" x14ac:dyDescent="0.3">
      <c r="A803" s="182" t="s">
        <v>2453</v>
      </c>
      <c r="B803" s="182" t="s">
        <v>563</v>
      </c>
      <c r="C803" s="182"/>
      <c r="D803" s="182" t="s">
        <v>2454</v>
      </c>
      <c r="E803" s="183" t="s">
        <v>2455</v>
      </c>
      <c r="F803" s="183"/>
      <c r="G803" s="184">
        <v>1</v>
      </c>
      <c r="H803" s="185">
        <v>0</v>
      </c>
      <c r="I803" s="186">
        <v>7040.5471828709196</v>
      </c>
      <c r="J803" s="187">
        <v>7040.5471828709196</v>
      </c>
      <c r="K803" s="182" t="s">
        <v>2456</v>
      </c>
      <c r="L803" s="182">
        <v>1</v>
      </c>
      <c r="M803" s="182" t="s">
        <v>2457</v>
      </c>
      <c r="N803" s="186">
        <v>1</v>
      </c>
      <c r="O803" s="188">
        <v>1</v>
      </c>
      <c r="P803" s="188">
        <v>51</v>
      </c>
      <c r="Q803" s="188">
        <v>51</v>
      </c>
      <c r="R803" s="189">
        <v>3.06</v>
      </c>
      <c r="S803" s="189" t="s">
        <v>573</v>
      </c>
    </row>
    <row r="804" spans="1:19" ht="15" customHeight="1" x14ac:dyDescent="0.3">
      <c r="A804" s="182" t="s">
        <v>2453</v>
      </c>
      <c r="B804" s="182" t="s">
        <v>908</v>
      </c>
      <c r="C804" s="182" t="s">
        <v>1358</v>
      </c>
      <c r="D804" s="182" t="s">
        <v>2458</v>
      </c>
      <c r="E804" s="183" t="s">
        <v>604</v>
      </c>
      <c r="F804" s="183" t="s">
        <v>590</v>
      </c>
      <c r="G804" s="184">
        <v>1</v>
      </c>
      <c r="H804" s="185">
        <v>0</v>
      </c>
      <c r="I804" s="186">
        <v>275042.37829037802</v>
      </c>
      <c r="J804" s="187">
        <v>275042.37829037802</v>
      </c>
      <c r="K804" s="182" t="s">
        <v>2459</v>
      </c>
      <c r="L804" s="182">
        <v>1</v>
      </c>
      <c r="M804" s="182" t="s">
        <v>2460</v>
      </c>
      <c r="N804" s="186">
        <v>1</v>
      </c>
      <c r="O804" s="188">
        <v>1</v>
      </c>
      <c r="P804" s="188">
        <v>51</v>
      </c>
      <c r="Q804" s="188">
        <v>51</v>
      </c>
      <c r="R804" s="189">
        <v>3.06</v>
      </c>
      <c r="S804" s="189" t="s">
        <v>573</v>
      </c>
    </row>
    <row r="805" spans="1:19" ht="15" customHeight="1" x14ac:dyDescent="0.3">
      <c r="A805" s="182" t="s">
        <v>2453</v>
      </c>
      <c r="B805" s="182" t="s">
        <v>937</v>
      </c>
      <c r="C805" s="182" t="s">
        <v>909</v>
      </c>
      <c r="D805" s="182" t="s">
        <v>2461</v>
      </c>
      <c r="E805" s="183" t="s">
        <v>2462</v>
      </c>
      <c r="F805" s="183" t="s">
        <v>941</v>
      </c>
      <c r="G805" s="184">
        <v>1</v>
      </c>
      <c r="H805" s="185">
        <v>0</v>
      </c>
      <c r="I805" s="186">
        <v>194327.43390101599</v>
      </c>
      <c r="J805" s="187">
        <v>194327.43390101599</v>
      </c>
      <c r="K805" s="182" t="s">
        <v>2463</v>
      </c>
      <c r="L805" s="182">
        <v>1</v>
      </c>
      <c r="M805" s="182" t="s">
        <v>2464</v>
      </c>
      <c r="N805" s="186">
        <v>1</v>
      </c>
      <c r="O805" s="188">
        <v>1</v>
      </c>
      <c r="P805" s="188">
        <v>51</v>
      </c>
      <c r="Q805" s="188">
        <v>51</v>
      </c>
      <c r="R805" s="189">
        <v>3.06</v>
      </c>
      <c r="S805" s="189" t="s">
        <v>573</v>
      </c>
    </row>
    <row r="806" spans="1:19" ht="15" customHeight="1" x14ac:dyDescent="0.3">
      <c r="A806" s="182" t="s">
        <v>2465</v>
      </c>
      <c r="B806" s="182" t="s">
        <v>563</v>
      </c>
      <c r="C806" s="182"/>
      <c r="D806" s="182" t="s">
        <v>2466</v>
      </c>
      <c r="E806" s="183" t="s">
        <v>2467</v>
      </c>
      <c r="F806" s="183"/>
      <c r="G806" s="184">
        <v>1</v>
      </c>
      <c r="H806" s="185">
        <v>0</v>
      </c>
      <c r="I806" s="186">
        <v>14296.601471079201</v>
      </c>
      <c r="J806" s="187">
        <v>14296.601471079201</v>
      </c>
      <c r="K806" s="182" t="s">
        <v>2468</v>
      </c>
      <c r="L806" s="182">
        <v>1</v>
      </c>
      <c r="M806" s="182" t="s">
        <v>2469</v>
      </c>
      <c r="N806" s="186">
        <v>1</v>
      </c>
      <c r="O806" s="188">
        <v>1</v>
      </c>
      <c r="P806" s="188">
        <v>16</v>
      </c>
      <c r="Q806" s="188">
        <v>16</v>
      </c>
      <c r="R806" s="189">
        <v>3.07</v>
      </c>
      <c r="S806" s="189" t="s">
        <v>573</v>
      </c>
    </row>
    <row r="807" spans="1:19" ht="15" customHeight="1" x14ac:dyDescent="0.3">
      <c r="A807" s="182" t="s">
        <v>2465</v>
      </c>
      <c r="B807" s="182" t="s">
        <v>908</v>
      </c>
      <c r="C807" s="182" t="s">
        <v>1358</v>
      </c>
      <c r="D807" s="182" t="s">
        <v>2470</v>
      </c>
      <c r="E807" s="183" t="s">
        <v>605</v>
      </c>
      <c r="F807" s="183" t="s">
        <v>590</v>
      </c>
      <c r="G807" s="184">
        <v>1</v>
      </c>
      <c r="H807" s="185">
        <v>0</v>
      </c>
      <c r="I807" s="186">
        <v>635192.71722613997</v>
      </c>
      <c r="J807" s="187">
        <v>635192.71722613997</v>
      </c>
      <c r="K807" s="182" t="s">
        <v>2471</v>
      </c>
      <c r="L807" s="182">
        <v>1</v>
      </c>
      <c r="M807" s="182" t="s">
        <v>2472</v>
      </c>
      <c r="N807" s="186">
        <v>1</v>
      </c>
      <c r="O807" s="188">
        <v>1</v>
      </c>
      <c r="P807" s="188">
        <v>16</v>
      </c>
      <c r="Q807" s="188">
        <v>16</v>
      </c>
      <c r="R807" s="189">
        <v>3.07</v>
      </c>
      <c r="S807" s="189" t="s">
        <v>573</v>
      </c>
    </row>
    <row r="808" spans="1:19" ht="15" customHeight="1" x14ac:dyDescent="0.3">
      <c r="A808" s="182" t="s">
        <v>2465</v>
      </c>
      <c r="B808" s="182" t="s">
        <v>937</v>
      </c>
      <c r="C808" s="182" t="s">
        <v>909</v>
      </c>
      <c r="D808" s="182" t="s">
        <v>2473</v>
      </c>
      <c r="E808" s="183" t="s">
        <v>2474</v>
      </c>
      <c r="F808" s="183" t="s">
        <v>941</v>
      </c>
      <c r="G808" s="184">
        <v>1</v>
      </c>
      <c r="H808" s="185">
        <v>0</v>
      </c>
      <c r="I808" s="186">
        <v>317914.04751247499</v>
      </c>
      <c r="J808" s="187">
        <v>317914.04751247499</v>
      </c>
      <c r="K808" s="182" t="s">
        <v>2475</v>
      </c>
      <c r="L808" s="182">
        <v>1</v>
      </c>
      <c r="M808" s="182" t="s">
        <v>2476</v>
      </c>
      <c r="N808" s="186">
        <v>1</v>
      </c>
      <c r="O808" s="188">
        <v>1</v>
      </c>
      <c r="P808" s="188">
        <v>16</v>
      </c>
      <c r="Q808" s="188">
        <v>16</v>
      </c>
      <c r="R808" s="189">
        <v>3.07</v>
      </c>
      <c r="S808" s="189" t="s">
        <v>573</v>
      </c>
    </row>
    <row r="809" spans="1:19" ht="15" customHeight="1" x14ac:dyDescent="0.3">
      <c r="A809" s="182" t="s">
        <v>2477</v>
      </c>
      <c r="B809" s="182" t="s">
        <v>563</v>
      </c>
      <c r="C809" s="182"/>
      <c r="D809" s="182" t="s">
        <v>2478</v>
      </c>
      <c r="E809" s="183" t="s">
        <v>2479</v>
      </c>
      <c r="F809" s="183"/>
      <c r="G809" s="184">
        <v>1</v>
      </c>
      <c r="H809" s="185">
        <v>0</v>
      </c>
      <c r="I809" s="186">
        <v>12155.8099864738</v>
      </c>
      <c r="J809" s="187">
        <v>12155.8099864738</v>
      </c>
      <c r="K809" s="182" t="s">
        <v>2480</v>
      </c>
      <c r="L809" s="182">
        <v>1</v>
      </c>
      <c r="M809" s="182" t="s">
        <v>2481</v>
      </c>
      <c r="N809" s="186">
        <v>1</v>
      </c>
      <c r="O809" s="188">
        <v>1</v>
      </c>
      <c r="P809" s="188">
        <v>7</v>
      </c>
      <c r="Q809" s="188">
        <v>7</v>
      </c>
      <c r="R809" s="189">
        <v>3.08</v>
      </c>
      <c r="S809" s="189" t="s">
        <v>573</v>
      </c>
    </row>
    <row r="810" spans="1:19" ht="15" customHeight="1" x14ac:dyDescent="0.3">
      <c r="A810" s="182" t="s">
        <v>2477</v>
      </c>
      <c r="B810" s="182" t="s">
        <v>908</v>
      </c>
      <c r="C810" s="182" t="s">
        <v>1358</v>
      </c>
      <c r="D810" s="182" t="s">
        <v>2482</v>
      </c>
      <c r="E810" s="183" t="s">
        <v>606</v>
      </c>
      <c r="F810" s="183" t="s">
        <v>590</v>
      </c>
      <c r="G810" s="184">
        <v>1</v>
      </c>
      <c r="H810" s="185">
        <v>0</v>
      </c>
      <c r="I810" s="186">
        <v>528753.37025620299</v>
      </c>
      <c r="J810" s="187">
        <v>528753.37025620299</v>
      </c>
      <c r="K810" s="182" t="s">
        <v>2483</v>
      </c>
      <c r="L810" s="182">
        <v>1</v>
      </c>
      <c r="M810" s="182" t="s">
        <v>2484</v>
      </c>
      <c r="N810" s="186">
        <v>1</v>
      </c>
      <c r="O810" s="188">
        <v>1</v>
      </c>
      <c r="P810" s="188">
        <v>7</v>
      </c>
      <c r="Q810" s="188">
        <v>7</v>
      </c>
      <c r="R810" s="189">
        <v>3.08</v>
      </c>
      <c r="S810" s="189" t="s">
        <v>573</v>
      </c>
    </row>
    <row r="811" spans="1:19" ht="15" customHeight="1" x14ac:dyDescent="0.3">
      <c r="A811" s="182" t="s">
        <v>2477</v>
      </c>
      <c r="B811" s="182" t="s">
        <v>937</v>
      </c>
      <c r="C811" s="182" t="s">
        <v>909</v>
      </c>
      <c r="D811" s="182" t="s">
        <v>2485</v>
      </c>
      <c r="E811" s="183" t="s">
        <v>2486</v>
      </c>
      <c r="F811" s="183" t="s">
        <v>941</v>
      </c>
      <c r="G811" s="184">
        <v>1</v>
      </c>
      <c r="H811" s="185">
        <v>0</v>
      </c>
      <c r="I811" s="186">
        <v>281633.96217538603</v>
      </c>
      <c r="J811" s="187">
        <v>281633.96217538603</v>
      </c>
      <c r="K811" s="182" t="s">
        <v>2487</v>
      </c>
      <c r="L811" s="182">
        <v>1</v>
      </c>
      <c r="M811" s="182" t="s">
        <v>2488</v>
      </c>
      <c r="N811" s="186">
        <v>1</v>
      </c>
      <c r="O811" s="188">
        <v>1</v>
      </c>
      <c r="P811" s="188">
        <v>7</v>
      </c>
      <c r="Q811" s="188">
        <v>7</v>
      </c>
      <c r="R811" s="189">
        <v>3.08</v>
      </c>
      <c r="S811" s="189" t="s">
        <v>573</v>
      </c>
    </row>
    <row r="812" spans="1:19" ht="15" customHeight="1" x14ac:dyDescent="0.3">
      <c r="A812" s="182" t="s">
        <v>2489</v>
      </c>
      <c r="B812" s="182" t="s">
        <v>563</v>
      </c>
      <c r="C812" s="182"/>
      <c r="D812" s="182" t="s">
        <v>2490</v>
      </c>
      <c r="E812" s="183" t="s">
        <v>2491</v>
      </c>
      <c r="F812" s="183"/>
      <c r="G812" s="184">
        <v>1</v>
      </c>
      <c r="H812" s="185">
        <v>0</v>
      </c>
      <c r="I812" s="186">
        <v>8915.6268732254393</v>
      </c>
      <c r="J812" s="187">
        <v>8915.6268732254393</v>
      </c>
      <c r="K812" s="182" t="s">
        <v>2492</v>
      </c>
      <c r="L812" s="182">
        <v>1</v>
      </c>
      <c r="M812" s="182" t="s">
        <v>2493</v>
      </c>
      <c r="N812" s="186">
        <v>1</v>
      </c>
      <c r="O812" s="188">
        <v>1</v>
      </c>
      <c r="P812" s="188">
        <v>90</v>
      </c>
      <c r="Q812" s="188">
        <v>90</v>
      </c>
      <c r="R812" s="189">
        <v>3.09</v>
      </c>
      <c r="S812" s="189" t="s">
        <v>573</v>
      </c>
    </row>
    <row r="813" spans="1:19" ht="15" customHeight="1" x14ac:dyDescent="0.3">
      <c r="A813" s="182" t="s">
        <v>2489</v>
      </c>
      <c r="B813" s="182" t="s">
        <v>908</v>
      </c>
      <c r="C813" s="182" t="s">
        <v>1358</v>
      </c>
      <c r="D813" s="182" t="s">
        <v>2494</v>
      </c>
      <c r="E813" s="183" t="s">
        <v>607</v>
      </c>
      <c r="F813" s="183" t="s">
        <v>590</v>
      </c>
      <c r="G813" s="184">
        <v>1</v>
      </c>
      <c r="H813" s="185">
        <v>0</v>
      </c>
      <c r="I813" s="186">
        <v>372584.32994905498</v>
      </c>
      <c r="J813" s="187">
        <v>372584.32994905498</v>
      </c>
      <c r="K813" s="182" t="s">
        <v>2495</v>
      </c>
      <c r="L813" s="182">
        <v>1</v>
      </c>
      <c r="M813" s="182" t="s">
        <v>2496</v>
      </c>
      <c r="N813" s="186">
        <v>1</v>
      </c>
      <c r="O813" s="188">
        <v>1</v>
      </c>
      <c r="P813" s="188">
        <v>90</v>
      </c>
      <c r="Q813" s="188">
        <v>90</v>
      </c>
      <c r="R813" s="189">
        <v>3.09</v>
      </c>
      <c r="S813" s="189" t="s">
        <v>573</v>
      </c>
    </row>
    <row r="814" spans="1:19" ht="15" customHeight="1" x14ac:dyDescent="0.3">
      <c r="A814" s="182" t="s">
        <v>2489</v>
      </c>
      <c r="B814" s="182" t="s">
        <v>937</v>
      </c>
      <c r="C814" s="182" t="s">
        <v>909</v>
      </c>
      <c r="D814" s="182" t="s">
        <v>2497</v>
      </c>
      <c r="E814" s="183" t="s">
        <v>2498</v>
      </c>
      <c r="F814" s="183" t="s">
        <v>941</v>
      </c>
      <c r="G814" s="184">
        <v>1</v>
      </c>
      <c r="H814" s="185">
        <v>0</v>
      </c>
      <c r="I814" s="186">
        <v>221790.794932641</v>
      </c>
      <c r="J814" s="187">
        <v>221790.794932641</v>
      </c>
      <c r="K814" s="182" t="s">
        <v>2499</v>
      </c>
      <c r="L814" s="182">
        <v>1</v>
      </c>
      <c r="M814" s="182" t="s">
        <v>2500</v>
      </c>
      <c r="N814" s="186">
        <v>1</v>
      </c>
      <c r="O814" s="188">
        <v>1</v>
      </c>
      <c r="P814" s="188">
        <v>90</v>
      </c>
      <c r="Q814" s="188">
        <v>90</v>
      </c>
      <c r="R814" s="189">
        <v>3.09</v>
      </c>
      <c r="S814" s="189" t="s">
        <v>573</v>
      </c>
    </row>
    <row r="815" spans="1:19" ht="15" customHeight="1" x14ac:dyDescent="0.3">
      <c r="A815" s="182" t="s">
        <v>2501</v>
      </c>
      <c r="B815" s="182" t="s">
        <v>563</v>
      </c>
      <c r="C815" s="182"/>
      <c r="D815" s="182" t="s">
        <v>2502</v>
      </c>
      <c r="E815" s="183" t="s">
        <v>2503</v>
      </c>
      <c r="F815" s="183"/>
      <c r="G815" s="184">
        <v>1</v>
      </c>
      <c r="H815" s="185">
        <v>0</v>
      </c>
      <c r="I815" s="186">
        <v>9854.9599131873692</v>
      </c>
      <c r="J815" s="187">
        <v>9854.9599131873692</v>
      </c>
      <c r="K815" s="182" t="s">
        <v>2504</v>
      </c>
      <c r="L815" s="182">
        <v>1</v>
      </c>
      <c r="M815" s="182" t="s">
        <v>2505</v>
      </c>
      <c r="N815" s="186">
        <v>1</v>
      </c>
      <c r="O815" s="188">
        <v>1</v>
      </c>
      <c r="P815" s="188">
        <v>32</v>
      </c>
      <c r="Q815" s="188">
        <v>32</v>
      </c>
      <c r="R815" s="189">
        <v>3.1</v>
      </c>
      <c r="S815" s="189" t="s">
        <v>2353</v>
      </c>
    </row>
    <row r="816" spans="1:19" ht="15" customHeight="1" x14ac:dyDescent="0.3">
      <c r="A816" s="182" t="s">
        <v>2501</v>
      </c>
      <c r="B816" s="182" t="s">
        <v>908</v>
      </c>
      <c r="C816" s="182" t="s">
        <v>1358</v>
      </c>
      <c r="D816" s="182" t="s">
        <v>2506</v>
      </c>
      <c r="E816" s="183" t="s">
        <v>608</v>
      </c>
      <c r="F816" s="183" t="s">
        <v>590</v>
      </c>
      <c r="G816" s="184">
        <v>1</v>
      </c>
      <c r="H816" s="185">
        <v>0</v>
      </c>
      <c r="I816" s="186">
        <v>379758.83388002298</v>
      </c>
      <c r="J816" s="187">
        <v>379758.83388002298</v>
      </c>
      <c r="K816" s="182" t="s">
        <v>2507</v>
      </c>
      <c r="L816" s="182">
        <v>1</v>
      </c>
      <c r="M816" s="182" t="s">
        <v>2508</v>
      </c>
      <c r="N816" s="186">
        <v>1</v>
      </c>
      <c r="O816" s="188">
        <v>1</v>
      </c>
      <c r="P816" s="188">
        <v>32</v>
      </c>
      <c r="Q816" s="188">
        <v>32</v>
      </c>
      <c r="R816" s="189">
        <v>3.1</v>
      </c>
      <c r="S816" s="189" t="s">
        <v>2353</v>
      </c>
    </row>
    <row r="817" spans="1:19" ht="15" customHeight="1" x14ac:dyDescent="0.3">
      <c r="A817" s="182" t="s">
        <v>2501</v>
      </c>
      <c r="B817" s="182" t="s">
        <v>937</v>
      </c>
      <c r="C817" s="182" t="s">
        <v>909</v>
      </c>
      <c r="D817" s="182" t="s">
        <v>2509</v>
      </c>
      <c r="E817" s="183" t="s">
        <v>2510</v>
      </c>
      <c r="F817" s="183" t="s">
        <v>941</v>
      </c>
      <c r="G817" s="184">
        <v>1</v>
      </c>
      <c r="H817" s="185">
        <v>0</v>
      </c>
      <c r="I817" s="186">
        <v>277238.49366580101</v>
      </c>
      <c r="J817" s="187">
        <v>277238.49366580101</v>
      </c>
      <c r="K817" s="182" t="s">
        <v>2511</v>
      </c>
      <c r="L817" s="182">
        <v>1</v>
      </c>
      <c r="M817" s="182" t="s">
        <v>2512</v>
      </c>
      <c r="N817" s="186">
        <v>1</v>
      </c>
      <c r="O817" s="188">
        <v>1</v>
      </c>
      <c r="P817" s="188">
        <v>32</v>
      </c>
      <c r="Q817" s="188">
        <v>32</v>
      </c>
      <c r="R817" s="189">
        <v>3.1</v>
      </c>
      <c r="S817" s="189" t="s">
        <v>2353</v>
      </c>
    </row>
    <row r="818" spans="1:19" ht="15" customHeight="1" x14ac:dyDescent="0.3">
      <c r="A818" s="182" t="s">
        <v>2513</v>
      </c>
      <c r="B818" s="182" t="s">
        <v>563</v>
      </c>
      <c r="C818" s="182"/>
      <c r="D818" s="182" t="s">
        <v>2514</v>
      </c>
      <c r="E818" s="183" t="s">
        <v>2515</v>
      </c>
      <c r="F818" s="183"/>
      <c r="G818" s="184">
        <v>1</v>
      </c>
      <c r="H818" s="185">
        <v>0</v>
      </c>
      <c r="I818" s="186">
        <v>16574.254700785801</v>
      </c>
      <c r="J818" s="187">
        <v>16574.254700785801</v>
      </c>
      <c r="K818" s="182" t="s">
        <v>2516</v>
      </c>
      <c r="L818" s="182">
        <v>1</v>
      </c>
      <c r="M818" s="182" t="s">
        <v>2517</v>
      </c>
      <c r="N818" s="186">
        <v>1</v>
      </c>
      <c r="O818" s="188">
        <v>1</v>
      </c>
      <c r="P818" s="188">
        <v>46</v>
      </c>
      <c r="Q818" s="188">
        <v>46</v>
      </c>
      <c r="R818" s="189">
        <v>3.11</v>
      </c>
      <c r="S818" s="189" t="s">
        <v>573</v>
      </c>
    </row>
    <row r="819" spans="1:19" ht="15" customHeight="1" x14ac:dyDescent="0.3">
      <c r="A819" s="182" t="s">
        <v>2513</v>
      </c>
      <c r="B819" s="182" t="s">
        <v>908</v>
      </c>
      <c r="C819" s="182" t="s">
        <v>1358</v>
      </c>
      <c r="D819" s="182" t="s">
        <v>2518</v>
      </c>
      <c r="E819" s="183" t="s">
        <v>609</v>
      </c>
      <c r="F819" s="183" t="s">
        <v>590</v>
      </c>
      <c r="G819" s="184">
        <v>1</v>
      </c>
      <c r="H819" s="185">
        <v>0</v>
      </c>
      <c r="I819" s="186">
        <v>567913.50664448505</v>
      </c>
      <c r="J819" s="187">
        <v>567913.50664448505</v>
      </c>
      <c r="K819" s="182" t="s">
        <v>2519</v>
      </c>
      <c r="L819" s="182">
        <v>1</v>
      </c>
      <c r="M819" s="182" t="s">
        <v>2520</v>
      </c>
      <c r="N819" s="186">
        <v>1</v>
      </c>
      <c r="O819" s="188">
        <v>1</v>
      </c>
      <c r="P819" s="188">
        <v>46</v>
      </c>
      <c r="Q819" s="188">
        <v>46</v>
      </c>
      <c r="R819" s="189">
        <v>3.11</v>
      </c>
      <c r="S819" s="189" t="s">
        <v>573</v>
      </c>
    </row>
    <row r="820" spans="1:19" ht="15" customHeight="1" x14ac:dyDescent="0.3">
      <c r="A820" s="182" t="s">
        <v>2513</v>
      </c>
      <c r="B820" s="182" t="s">
        <v>937</v>
      </c>
      <c r="C820" s="182" t="s">
        <v>909</v>
      </c>
      <c r="D820" s="182" t="s">
        <v>2521</v>
      </c>
      <c r="E820" s="183" t="s">
        <v>2522</v>
      </c>
      <c r="F820" s="183" t="s">
        <v>941</v>
      </c>
      <c r="G820" s="184">
        <v>1</v>
      </c>
      <c r="H820" s="185">
        <v>0</v>
      </c>
      <c r="I820" s="186">
        <v>537036.80674123298</v>
      </c>
      <c r="J820" s="187">
        <v>537036.80674123298</v>
      </c>
      <c r="K820" s="182" t="s">
        <v>2523</v>
      </c>
      <c r="L820" s="182">
        <v>1</v>
      </c>
      <c r="M820" s="182" t="s">
        <v>2524</v>
      </c>
      <c r="N820" s="186">
        <v>1</v>
      </c>
      <c r="O820" s="188">
        <v>1</v>
      </c>
      <c r="P820" s="188">
        <v>46</v>
      </c>
      <c r="Q820" s="188">
        <v>46</v>
      </c>
      <c r="R820" s="189">
        <v>3.11</v>
      </c>
      <c r="S820" s="189" t="s">
        <v>573</v>
      </c>
    </row>
    <row r="821" spans="1:19" ht="15" customHeight="1" x14ac:dyDescent="0.3">
      <c r="A821" s="182" t="s">
        <v>2525</v>
      </c>
      <c r="B821" s="182" t="s">
        <v>563</v>
      </c>
      <c r="C821" s="182"/>
      <c r="D821" s="182" t="s">
        <v>2526</v>
      </c>
      <c r="E821" s="183" t="s">
        <v>2527</v>
      </c>
      <c r="F821" s="183"/>
      <c r="G821" s="184">
        <v>1</v>
      </c>
      <c r="H821" s="185">
        <v>0</v>
      </c>
      <c r="I821" s="186">
        <v>18555.793102383701</v>
      </c>
      <c r="J821" s="187">
        <v>18555.793102383701</v>
      </c>
      <c r="K821" s="182" t="s">
        <v>2528</v>
      </c>
      <c r="L821" s="182">
        <v>1</v>
      </c>
      <c r="M821" s="182" t="s">
        <v>2529</v>
      </c>
      <c r="N821" s="186">
        <v>1</v>
      </c>
      <c r="O821" s="188">
        <v>1</v>
      </c>
      <c r="P821" s="188">
        <v>31</v>
      </c>
      <c r="Q821" s="188">
        <v>31</v>
      </c>
      <c r="R821" s="189">
        <v>3.12</v>
      </c>
      <c r="S821" s="189" t="s">
        <v>2353</v>
      </c>
    </row>
    <row r="822" spans="1:19" ht="15" customHeight="1" x14ac:dyDescent="0.3">
      <c r="A822" s="182" t="s">
        <v>2525</v>
      </c>
      <c r="B822" s="182" t="s">
        <v>908</v>
      </c>
      <c r="C822" s="182" t="s">
        <v>1358</v>
      </c>
      <c r="D822" s="182" t="s">
        <v>2530</v>
      </c>
      <c r="E822" s="183" t="s">
        <v>610</v>
      </c>
      <c r="F822" s="183" t="s">
        <v>590</v>
      </c>
      <c r="G822" s="184">
        <v>1</v>
      </c>
      <c r="H822" s="185">
        <v>0</v>
      </c>
      <c r="I822" s="186">
        <v>565756.86506570596</v>
      </c>
      <c r="J822" s="187">
        <v>565756.86506570596</v>
      </c>
      <c r="K822" s="182" t="s">
        <v>2531</v>
      </c>
      <c r="L822" s="182">
        <v>1</v>
      </c>
      <c r="M822" s="182" t="s">
        <v>2532</v>
      </c>
      <c r="N822" s="186">
        <v>1</v>
      </c>
      <c r="O822" s="188">
        <v>1</v>
      </c>
      <c r="P822" s="188">
        <v>31</v>
      </c>
      <c r="Q822" s="188">
        <v>31</v>
      </c>
      <c r="R822" s="189">
        <v>3.12</v>
      </c>
      <c r="S822" s="189" t="s">
        <v>2353</v>
      </c>
    </row>
    <row r="823" spans="1:19" ht="15" customHeight="1" x14ac:dyDescent="0.3">
      <c r="A823" s="182" t="s">
        <v>2525</v>
      </c>
      <c r="B823" s="182" t="s">
        <v>937</v>
      </c>
      <c r="C823" s="182" t="s">
        <v>909</v>
      </c>
      <c r="D823" s="182" t="s">
        <v>2533</v>
      </c>
      <c r="E823" s="183" t="s">
        <v>2534</v>
      </c>
      <c r="F823" s="183" t="s">
        <v>941</v>
      </c>
      <c r="G823" s="184">
        <v>1</v>
      </c>
      <c r="H823" s="185">
        <v>0</v>
      </c>
      <c r="I823" s="186">
        <v>671296.008426541</v>
      </c>
      <c r="J823" s="187">
        <v>671296.008426541</v>
      </c>
      <c r="K823" s="182" t="s">
        <v>2535</v>
      </c>
      <c r="L823" s="182">
        <v>1</v>
      </c>
      <c r="M823" s="182" t="s">
        <v>2536</v>
      </c>
      <c r="N823" s="186">
        <v>1</v>
      </c>
      <c r="O823" s="188">
        <v>1</v>
      </c>
      <c r="P823" s="188">
        <v>31</v>
      </c>
      <c r="Q823" s="188">
        <v>31</v>
      </c>
      <c r="R823" s="189">
        <v>3.12</v>
      </c>
      <c r="S823" s="189" t="s">
        <v>2353</v>
      </c>
    </row>
    <row r="824" spans="1:19" ht="15" customHeight="1" x14ac:dyDescent="0.3">
      <c r="A824" s="182" t="s">
        <v>2537</v>
      </c>
      <c r="B824" s="182" t="s">
        <v>563</v>
      </c>
      <c r="C824" s="182"/>
      <c r="D824" s="182" t="s">
        <v>2538</v>
      </c>
      <c r="E824" s="183" t="s">
        <v>2539</v>
      </c>
      <c r="F824" s="183"/>
      <c r="G824" s="184">
        <v>1</v>
      </c>
      <c r="H824" s="185">
        <v>0</v>
      </c>
      <c r="I824" s="186">
        <v>11521.3976114952</v>
      </c>
      <c r="J824" s="187">
        <v>11521.3976114952</v>
      </c>
      <c r="K824" s="182" t="s">
        <v>2540</v>
      </c>
      <c r="L824" s="182">
        <v>1</v>
      </c>
      <c r="M824" s="182" t="s">
        <v>2541</v>
      </c>
      <c r="N824" s="186">
        <v>1</v>
      </c>
      <c r="O824" s="188">
        <v>1</v>
      </c>
      <c r="P824" s="188">
        <v>24</v>
      </c>
      <c r="Q824" s="188">
        <v>24</v>
      </c>
      <c r="R824" s="189">
        <v>3.13</v>
      </c>
      <c r="S824" s="189" t="s">
        <v>573</v>
      </c>
    </row>
    <row r="825" spans="1:19" ht="15" customHeight="1" x14ac:dyDescent="0.3">
      <c r="A825" s="182" t="s">
        <v>2537</v>
      </c>
      <c r="B825" s="182" t="s">
        <v>908</v>
      </c>
      <c r="C825" s="182" t="s">
        <v>1358</v>
      </c>
      <c r="D825" s="182" t="s">
        <v>2542</v>
      </c>
      <c r="E825" s="183" t="s">
        <v>611</v>
      </c>
      <c r="F825" s="183" t="s">
        <v>590</v>
      </c>
      <c r="G825" s="184">
        <v>1</v>
      </c>
      <c r="H825" s="185">
        <v>0</v>
      </c>
      <c r="I825" s="186">
        <v>410452.27422518202</v>
      </c>
      <c r="J825" s="187">
        <v>410452.27422518202</v>
      </c>
      <c r="K825" s="182" t="s">
        <v>2543</v>
      </c>
      <c r="L825" s="182">
        <v>1</v>
      </c>
      <c r="M825" s="182" t="s">
        <v>2544</v>
      </c>
      <c r="N825" s="186">
        <v>1</v>
      </c>
      <c r="O825" s="188">
        <v>1</v>
      </c>
      <c r="P825" s="188">
        <v>24</v>
      </c>
      <c r="Q825" s="188">
        <v>24</v>
      </c>
      <c r="R825" s="189">
        <v>3.13</v>
      </c>
      <c r="S825" s="189" t="s">
        <v>573</v>
      </c>
    </row>
    <row r="826" spans="1:19" ht="15" customHeight="1" x14ac:dyDescent="0.3">
      <c r="A826" s="182" t="s">
        <v>2537</v>
      </c>
      <c r="B826" s="182" t="s">
        <v>937</v>
      </c>
      <c r="C826" s="182" t="s">
        <v>909</v>
      </c>
      <c r="D826" s="182" t="s">
        <v>2545</v>
      </c>
      <c r="E826" s="183" t="s">
        <v>2546</v>
      </c>
      <c r="F826" s="183" t="s">
        <v>941</v>
      </c>
      <c r="G826" s="184">
        <v>1</v>
      </c>
      <c r="H826" s="185">
        <v>0</v>
      </c>
      <c r="I826" s="186">
        <v>357640.8998745</v>
      </c>
      <c r="J826" s="187">
        <v>357640.8998745</v>
      </c>
      <c r="K826" s="182" t="s">
        <v>2547</v>
      </c>
      <c r="L826" s="182">
        <v>1</v>
      </c>
      <c r="M826" s="182" t="s">
        <v>2548</v>
      </c>
      <c r="N826" s="186">
        <v>1</v>
      </c>
      <c r="O826" s="188">
        <v>1</v>
      </c>
      <c r="P826" s="188">
        <v>24</v>
      </c>
      <c r="Q826" s="188">
        <v>24</v>
      </c>
      <c r="R826" s="189">
        <v>3.13</v>
      </c>
      <c r="S826" s="189" t="s">
        <v>573</v>
      </c>
    </row>
    <row r="827" spans="1:19" ht="15" customHeight="1" x14ac:dyDescent="0.3">
      <c r="A827" s="182" t="s">
        <v>2549</v>
      </c>
      <c r="B827" s="182" t="s">
        <v>563</v>
      </c>
      <c r="C827" s="182"/>
      <c r="D827" s="182" t="s">
        <v>2550</v>
      </c>
      <c r="E827" s="183" t="s">
        <v>2551</v>
      </c>
      <c r="F827" s="183"/>
      <c r="G827" s="184">
        <v>1</v>
      </c>
      <c r="H827" s="185">
        <v>0</v>
      </c>
      <c r="I827" s="186">
        <v>12788.2496210792</v>
      </c>
      <c r="J827" s="187">
        <v>12788.2496210792</v>
      </c>
      <c r="K827" s="182" t="s">
        <v>2552</v>
      </c>
      <c r="L827" s="182">
        <v>1</v>
      </c>
      <c r="M827" s="182" t="s">
        <v>2553</v>
      </c>
      <c r="N827" s="186">
        <v>1</v>
      </c>
      <c r="O827" s="188">
        <v>1</v>
      </c>
      <c r="P827" s="188">
        <v>39</v>
      </c>
      <c r="Q827" s="188">
        <v>39</v>
      </c>
      <c r="R827" s="189">
        <v>3.14</v>
      </c>
      <c r="S827" s="189" t="s">
        <v>573</v>
      </c>
    </row>
    <row r="828" spans="1:19" ht="15" customHeight="1" x14ac:dyDescent="0.3">
      <c r="A828" s="182" t="s">
        <v>2549</v>
      </c>
      <c r="B828" s="182" t="s">
        <v>908</v>
      </c>
      <c r="C828" s="182" t="s">
        <v>1358</v>
      </c>
      <c r="D828" s="182" t="s">
        <v>2554</v>
      </c>
      <c r="E828" s="183" t="s">
        <v>612</v>
      </c>
      <c r="F828" s="183" t="s">
        <v>590</v>
      </c>
      <c r="G828" s="184">
        <v>1</v>
      </c>
      <c r="H828" s="185">
        <v>0</v>
      </c>
      <c r="I828" s="186">
        <v>534635.92722614005</v>
      </c>
      <c r="J828" s="187">
        <v>534635.92722614005</v>
      </c>
      <c r="K828" s="182" t="s">
        <v>2555</v>
      </c>
      <c r="L828" s="182">
        <v>1</v>
      </c>
      <c r="M828" s="182" t="s">
        <v>2556</v>
      </c>
      <c r="N828" s="186">
        <v>1</v>
      </c>
      <c r="O828" s="188">
        <v>1</v>
      </c>
      <c r="P828" s="188">
        <v>39</v>
      </c>
      <c r="Q828" s="188">
        <v>39</v>
      </c>
      <c r="R828" s="189">
        <v>3.14</v>
      </c>
      <c r="S828" s="189" t="s">
        <v>573</v>
      </c>
    </row>
    <row r="829" spans="1:19" ht="15" customHeight="1" x14ac:dyDescent="0.3">
      <c r="A829" s="182" t="s">
        <v>2549</v>
      </c>
      <c r="B829" s="182" t="s">
        <v>937</v>
      </c>
      <c r="C829" s="182" t="s">
        <v>909</v>
      </c>
      <c r="D829" s="182" t="s">
        <v>2557</v>
      </c>
      <c r="E829" s="183" t="s">
        <v>2558</v>
      </c>
      <c r="F829" s="183" t="s">
        <v>941</v>
      </c>
      <c r="G829" s="184">
        <v>1</v>
      </c>
      <c r="H829" s="185">
        <v>0</v>
      </c>
      <c r="I829" s="186">
        <v>317914.04751247499</v>
      </c>
      <c r="J829" s="187">
        <v>317914.04751247499</v>
      </c>
      <c r="K829" s="182" t="s">
        <v>2559</v>
      </c>
      <c r="L829" s="182">
        <v>1</v>
      </c>
      <c r="M829" s="182" t="s">
        <v>2560</v>
      </c>
      <c r="N829" s="186">
        <v>1</v>
      </c>
      <c r="O829" s="188">
        <v>1</v>
      </c>
      <c r="P829" s="188">
        <v>39</v>
      </c>
      <c r="Q829" s="188">
        <v>39</v>
      </c>
      <c r="R829" s="189">
        <v>3.14</v>
      </c>
      <c r="S829" s="189" t="s">
        <v>573</v>
      </c>
    </row>
    <row r="830" spans="1:19" ht="15" customHeight="1" x14ac:dyDescent="0.3">
      <c r="A830" s="182" t="s">
        <v>2561</v>
      </c>
      <c r="B830" s="182" t="s">
        <v>908</v>
      </c>
      <c r="C830" s="182" t="s">
        <v>1358</v>
      </c>
      <c r="D830" s="182" t="s">
        <v>2562</v>
      </c>
      <c r="E830" s="183" t="s">
        <v>613</v>
      </c>
      <c r="F830" s="183" t="s">
        <v>590</v>
      </c>
      <c r="G830" s="184">
        <v>1</v>
      </c>
      <c r="H830" s="185">
        <v>0</v>
      </c>
      <c r="I830" s="186">
        <v>543657.96059143299</v>
      </c>
      <c r="J830" s="187">
        <v>543657.96059143299</v>
      </c>
      <c r="K830" s="182" t="s">
        <v>2563</v>
      </c>
      <c r="L830" s="182">
        <v>1</v>
      </c>
      <c r="M830" s="182" t="s">
        <v>2564</v>
      </c>
      <c r="N830" s="186">
        <v>1</v>
      </c>
      <c r="O830" s="188">
        <v>1</v>
      </c>
      <c r="P830" s="188">
        <v>4</v>
      </c>
      <c r="Q830" s="188">
        <v>4</v>
      </c>
      <c r="R830" s="189">
        <v>3.16</v>
      </c>
      <c r="S830" s="189" t="s">
        <v>2353</v>
      </c>
    </row>
    <row r="831" spans="1:19" ht="15" customHeight="1" x14ac:dyDescent="0.3">
      <c r="A831" s="182" t="s">
        <v>2561</v>
      </c>
      <c r="B831" s="182" t="s">
        <v>937</v>
      </c>
      <c r="C831" s="182" t="s">
        <v>909</v>
      </c>
      <c r="D831" s="182" t="s">
        <v>2565</v>
      </c>
      <c r="E831" s="183" t="s">
        <v>2566</v>
      </c>
      <c r="F831" s="183" t="s">
        <v>941</v>
      </c>
      <c r="G831" s="184">
        <v>1</v>
      </c>
      <c r="H831" s="185">
        <v>0</v>
      </c>
      <c r="I831" s="186">
        <v>397392.55939059303</v>
      </c>
      <c r="J831" s="187">
        <v>397392.55939059303</v>
      </c>
      <c r="K831" s="182" t="s">
        <v>2567</v>
      </c>
      <c r="L831" s="182">
        <v>1</v>
      </c>
      <c r="M831" s="182" t="s">
        <v>2568</v>
      </c>
      <c r="N831" s="186">
        <v>1</v>
      </c>
      <c r="O831" s="188">
        <v>1</v>
      </c>
      <c r="P831" s="188">
        <v>4</v>
      </c>
      <c r="Q831" s="188">
        <v>4</v>
      </c>
      <c r="R831" s="189">
        <v>3.16</v>
      </c>
      <c r="S831" s="189" t="s">
        <v>2353</v>
      </c>
    </row>
    <row r="832" spans="1:19" ht="15" customHeight="1" x14ac:dyDescent="0.3">
      <c r="A832" s="182" t="s">
        <v>2569</v>
      </c>
      <c r="B832" s="182" t="s">
        <v>563</v>
      </c>
      <c r="C832" s="182"/>
      <c r="D832" s="182" t="s">
        <v>2570</v>
      </c>
      <c r="E832" s="183" t="s">
        <v>2571</v>
      </c>
      <c r="F832" s="183"/>
      <c r="G832" s="184">
        <v>1</v>
      </c>
      <c r="H832" s="185">
        <v>0</v>
      </c>
      <c r="I832" s="186">
        <v>12325.562186123399</v>
      </c>
      <c r="J832" s="187">
        <v>12325.562186123399</v>
      </c>
      <c r="K832" s="182" t="s">
        <v>2572</v>
      </c>
      <c r="L832" s="182">
        <v>1</v>
      </c>
      <c r="M832" s="182" t="s">
        <v>2573</v>
      </c>
      <c r="N832" s="186">
        <v>1</v>
      </c>
      <c r="O832" s="188">
        <v>1</v>
      </c>
      <c r="P832" s="188">
        <v>10</v>
      </c>
      <c r="Q832" s="188">
        <v>10</v>
      </c>
      <c r="R832" s="189">
        <v>3.17</v>
      </c>
      <c r="S832" s="189" t="s">
        <v>2353</v>
      </c>
    </row>
    <row r="833" spans="1:19" ht="15" customHeight="1" x14ac:dyDescent="0.3">
      <c r="A833" s="182" t="s">
        <v>2569</v>
      </c>
      <c r="B833" s="182" t="s">
        <v>908</v>
      </c>
      <c r="C833" s="182" t="s">
        <v>1358</v>
      </c>
      <c r="D833" s="182" t="s">
        <v>2574</v>
      </c>
      <c r="E833" s="183" t="s">
        <v>614</v>
      </c>
      <c r="F833" s="183" t="s">
        <v>590</v>
      </c>
      <c r="G833" s="184">
        <v>1</v>
      </c>
      <c r="H833" s="185">
        <v>0</v>
      </c>
      <c r="I833" s="186">
        <v>416173.60204176803</v>
      </c>
      <c r="J833" s="187">
        <v>416173.60204176803</v>
      </c>
      <c r="K833" s="182" t="s">
        <v>2575</v>
      </c>
      <c r="L833" s="182">
        <v>1</v>
      </c>
      <c r="M833" s="182" t="s">
        <v>2576</v>
      </c>
      <c r="N833" s="186">
        <v>1</v>
      </c>
      <c r="O833" s="188">
        <v>1</v>
      </c>
      <c r="P833" s="188">
        <v>10</v>
      </c>
      <c r="Q833" s="188">
        <v>10</v>
      </c>
      <c r="R833" s="189">
        <v>3.17</v>
      </c>
      <c r="S833" s="189" t="s">
        <v>2353</v>
      </c>
    </row>
    <row r="834" spans="1:19" ht="15" customHeight="1" x14ac:dyDescent="0.3">
      <c r="A834" s="182" t="s">
        <v>2569</v>
      </c>
      <c r="B834" s="182" t="s">
        <v>937</v>
      </c>
      <c r="C834" s="182" t="s">
        <v>909</v>
      </c>
      <c r="D834" s="182" t="s">
        <v>2577</v>
      </c>
      <c r="E834" s="183" t="s">
        <v>2578</v>
      </c>
      <c r="F834" s="183" t="s">
        <v>941</v>
      </c>
      <c r="G834" s="184">
        <v>1</v>
      </c>
      <c r="H834" s="185">
        <v>0</v>
      </c>
      <c r="I834" s="186">
        <v>405530.54369979398</v>
      </c>
      <c r="J834" s="187">
        <v>405530.54369979398</v>
      </c>
      <c r="K834" s="182" t="s">
        <v>2579</v>
      </c>
      <c r="L834" s="182">
        <v>1</v>
      </c>
      <c r="M834" s="182" t="s">
        <v>2580</v>
      </c>
      <c r="N834" s="186">
        <v>1</v>
      </c>
      <c r="O834" s="188">
        <v>1</v>
      </c>
      <c r="P834" s="188">
        <v>10</v>
      </c>
      <c r="Q834" s="188">
        <v>10</v>
      </c>
      <c r="R834" s="189">
        <v>3.17</v>
      </c>
      <c r="S834" s="189" t="s">
        <v>2353</v>
      </c>
    </row>
    <row r="835" spans="1:19" ht="15" customHeight="1" x14ac:dyDescent="0.3">
      <c r="A835" s="182" t="s">
        <v>2581</v>
      </c>
      <c r="B835" s="182" t="s">
        <v>563</v>
      </c>
      <c r="C835" s="182"/>
      <c r="D835" s="182" t="s">
        <v>2582</v>
      </c>
      <c r="E835" s="183" t="s">
        <v>2583</v>
      </c>
      <c r="F835" s="183"/>
      <c r="G835" s="184">
        <v>1</v>
      </c>
      <c r="H835" s="185">
        <v>0</v>
      </c>
      <c r="I835" s="186">
        <v>11521.3976114952</v>
      </c>
      <c r="J835" s="187">
        <v>11521.3976114952</v>
      </c>
      <c r="K835" s="182" t="s">
        <v>2584</v>
      </c>
      <c r="L835" s="182">
        <v>1</v>
      </c>
      <c r="M835" s="182" t="s">
        <v>2585</v>
      </c>
      <c r="N835" s="186">
        <v>1</v>
      </c>
      <c r="O835" s="188">
        <v>1</v>
      </c>
      <c r="P835" s="188">
        <v>6</v>
      </c>
      <c r="Q835" s="188">
        <v>6</v>
      </c>
      <c r="R835" s="189">
        <v>3.18</v>
      </c>
      <c r="S835" s="189" t="s">
        <v>573</v>
      </c>
    </row>
    <row r="836" spans="1:19" ht="15" customHeight="1" x14ac:dyDescent="0.3">
      <c r="A836" s="182" t="s">
        <v>2581</v>
      </c>
      <c r="B836" s="182" t="s">
        <v>908</v>
      </c>
      <c r="C836" s="182" t="s">
        <v>1358</v>
      </c>
      <c r="D836" s="182" t="s">
        <v>2586</v>
      </c>
      <c r="E836" s="183" t="s">
        <v>615</v>
      </c>
      <c r="F836" s="183" t="s">
        <v>590</v>
      </c>
      <c r="G836" s="184">
        <v>1</v>
      </c>
      <c r="H836" s="185">
        <v>0</v>
      </c>
      <c r="I836" s="186">
        <v>410452.27422518202</v>
      </c>
      <c r="J836" s="187">
        <v>410452.27422518202</v>
      </c>
      <c r="K836" s="182" t="s">
        <v>2587</v>
      </c>
      <c r="L836" s="182">
        <v>1</v>
      </c>
      <c r="M836" s="182" t="s">
        <v>2588</v>
      </c>
      <c r="N836" s="186">
        <v>1</v>
      </c>
      <c r="O836" s="188">
        <v>1</v>
      </c>
      <c r="P836" s="188">
        <v>6</v>
      </c>
      <c r="Q836" s="188">
        <v>6</v>
      </c>
      <c r="R836" s="189">
        <v>3.18</v>
      </c>
      <c r="S836" s="189" t="s">
        <v>573</v>
      </c>
    </row>
    <row r="837" spans="1:19" ht="15" customHeight="1" x14ac:dyDescent="0.3">
      <c r="A837" s="182" t="s">
        <v>2581</v>
      </c>
      <c r="B837" s="182" t="s">
        <v>937</v>
      </c>
      <c r="C837" s="182" t="s">
        <v>909</v>
      </c>
      <c r="D837" s="182" t="s">
        <v>2589</v>
      </c>
      <c r="E837" s="183" t="s">
        <v>2590</v>
      </c>
      <c r="F837" s="183" t="s">
        <v>941</v>
      </c>
      <c r="G837" s="184">
        <v>1</v>
      </c>
      <c r="H837" s="185">
        <v>0</v>
      </c>
      <c r="I837" s="186">
        <v>357640.8998745</v>
      </c>
      <c r="J837" s="187">
        <v>357640.8998745</v>
      </c>
      <c r="K837" s="182" t="s">
        <v>2591</v>
      </c>
      <c r="L837" s="182">
        <v>1</v>
      </c>
      <c r="M837" s="182" t="s">
        <v>2592</v>
      </c>
      <c r="N837" s="186">
        <v>1</v>
      </c>
      <c r="O837" s="188">
        <v>1</v>
      </c>
      <c r="P837" s="188">
        <v>6</v>
      </c>
      <c r="Q837" s="188">
        <v>6</v>
      </c>
      <c r="R837" s="189">
        <v>3.18</v>
      </c>
      <c r="S837" s="189" t="s">
        <v>573</v>
      </c>
    </row>
    <row r="838" spans="1:19" ht="15" customHeight="1" x14ac:dyDescent="0.3">
      <c r="A838" s="182" t="s">
        <v>2593</v>
      </c>
      <c r="B838" s="182" t="s">
        <v>563</v>
      </c>
      <c r="C838" s="182"/>
      <c r="D838" s="182" t="s">
        <v>2594</v>
      </c>
      <c r="E838" s="183" t="s">
        <v>2595</v>
      </c>
      <c r="F838" s="183"/>
      <c r="G838" s="184">
        <v>1</v>
      </c>
      <c r="H838" s="185">
        <v>0</v>
      </c>
      <c r="I838" s="186">
        <v>8458556.625</v>
      </c>
      <c r="J838" s="187">
        <v>8458556.625</v>
      </c>
      <c r="K838" s="182" t="s">
        <v>2596</v>
      </c>
      <c r="L838" s="182">
        <v>1</v>
      </c>
      <c r="M838" s="182" t="s">
        <v>2597</v>
      </c>
      <c r="N838" s="186">
        <v>1</v>
      </c>
      <c r="O838" s="188">
        <v>1</v>
      </c>
      <c r="P838" s="188">
        <v>1</v>
      </c>
      <c r="Q838" s="188">
        <v>1</v>
      </c>
      <c r="R838" s="189">
        <v>3.19</v>
      </c>
      <c r="S838" s="189" t="s">
        <v>573</v>
      </c>
    </row>
    <row r="839" spans="1:19" ht="15" customHeight="1" x14ac:dyDescent="0.3">
      <c r="A839" s="182" t="s">
        <v>2598</v>
      </c>
      <c r="B839" s="182" t="s">
        <v>937</v>
      </c>
      <c r="C839" s="182" t="s">
        <v>909</v>
      </c>
      <c r="D839" s="182" t="s">
        <v>2599</v>
      </c>
      <c r="E839" s="183" t="s">
        <v>2600</v>
      </c>
      <c r="F839" s="183" t="s">
        <v>941</v>
      </c>
      <c r="G839" s="184">
        <v>1</v>
      </c>
      <c r="H839" s="185">
        <v>0</v>
      </c>
      <c r="I839" s="186">
        <v>228712</v>
      </c>
      <c r="J839" s="187">
        <v>228712</v>
      </c>
      <c r="K839" s="182" t="s">
        <v>2601</v>
      </c>
      <c r="L839" s="182">
        <v>1</v>
      </c>
      <c r="M839" s="182" t="s">
        <v>2602</v>
      </c>
      <c r="N839" s="186">
        <v>1</v>
      </c>
      <c r="O839" s="188">
        <v>1</v>
      </c>
      <c r="P839" s="188">
        <v>15</v>
      </c>
      <c r="Q839" s="188">
        <v>15</v>
      </c>
      <c r="R839" s="189">
        <v>3.2</v>
      </c>
      <c r="S839" s="189" t="s">
        <v>573</v>
      </c>
    </row>
    <row r="840" spans="1:19" ht="15" customHeight="1" x14ac:dyDescent="0.3">
      <c r="A840" s="182" t="s">
        <v>2603</v>
      </c>
      <c r="B840" s="182" t="s">
        <v>908</v>
      </c>
      <c r="C840" s="182" t="s">
        <v>909</v>
      </c>
      <c r="D840" s="182" t="s">
        <v>2604</v>
      </c>
      <c r="E840" s="183" t="s">
        <v>618</v>
      </c>
      <c r="F840" s="183" t="s">
        <v>576</v>
      </c>
      <c r="G840" s="184">
        <v>1</v>
      </c>
      <c r="H840" s="185">
        <v>0</v>
      </c>
      <c r="I840" s="186">
        <v>51239.669421487597</v>
      </c>
      <c r="J840" s="187">
        <v>51239.669421487597</v>
      </c>
      <c r="K840" s="182" t="s">
        <v>2605</v>
      </c>
      <c r="L840" s="182">
        <v>1</v>
      </c>
      <c r="M840" s="182" t="s">
        <v>2606</v>
      </c>
      <c r="N840" s="186">
        <v>1</v>
      </c>
      <c r="O840" s="188">
        <v>1</v>
      </c>
      <c r="P840" s="188">
        <v>3</v>
      </c>
      <c r="Q840" s="188">
        <v>3</v>
      </c>
      <c r="R840" s="189">
        <v>3.21</v>
      </c>
      <c r="S840" s="189" t="s">
        <v>573</v>
      </c>
    </row>
    <row r="841" spans="1:19" ht="15" customHeight="1" x14ac:dyDescent="0.3">
      <c r="A841" s="182" t="s">
        <v>2607</v>
      </c>
      <c r="B841" s="182" t="s">
        <v>563</v>
      </c>
      <c r="C841" s="182"/>
      <c r="D841" s="182" t="s">
        <v>2608</v>
      </c>
      <c r="E841" s="183" t="s">
        <v>2609</v>
      </c>
      <c r="F841" s="183"/>
      <c r="G841" s="184">
        <v>1</v>
      </c>
      <c r="H841" s="185">
        <v>0</v>
      </c>
      <c r="I841" s="186">
        <v>373.21801708038703</v>
      </c>
      <c r="J841" s="187">
        <v>373.21801708038703</v>
      </c>
      <c r="K841" s="182" t="s">
        <v>2610</v>
      </c>
      <c r="L841" s="182">
        <v>1</v>
      </c>
      <c r="M841" s="182" t="s">
        <v>2611</v>
      </c>
      <c r="N841" s="186">
        <v>1</v>
      </c>
      <c r="O841" s="188">
        <v>1</v>
      </c>
      <c r="P841" s="188">
        <v>78</v>
      </c>
      <c r="Q841" s="188">
        <v>78</v>
      </c>
      <c r="R841" s="189">
        <v>3.22</v>
      </c>
      <c r="S841" s="189" t="s">
        <v>2353</v>
      </c>
    </row>
    <row r="842" spans="1:19" ht="15" customHeight="1" x14ac:dyDescent="0.3">
      <c r="A842" s="182" t="s">
        <v>2607</v>
      </c>
      <c r="B842" s="182" t="s">
        <v>908</v>
      </c>
      <c r="C842" s="182" t="s">
        <v>1358</v>
      </c>
      <c r="D842" s="182" t="s">
        <v>976</v>
      </c>
      <c r="E842" s="183" t="s">
        <v>977</v>
      </c>
      <c r="F842" s="183" t="s">
        <v>576</v>
      </c>
      <c r="G842" s="184">
        <v>1923.0769230799999</v>
      </c>
      <c r="H842" s="185">
        <v>0</v>
      </c>
      <c r="I842" s="186">
        <v>1</v>
      </c>
      <c r="J842" s="187">
        <v>1923.0769230799999</v>
      </c>
      <c r="K842" s="182" t="s">
        <v>2612</v>
      </c>
      <c r="L842" s="182">
        <v>1</v>
      </c>
      <c r="M842" s="182" t="s">
        <v>2613</v>
      </c>
      <c r="N842" s="186">
        <v>1</v>
      </c>
      <c r="O842" s="188">
        <v>1923.0769230799999</v>
      </c>
      <c r="P842" s="188">
        <v>78</v>
      </c>
      <c r="Q842" s="188">
        <v>150000.00000023999</v>
      </c>
      <c r="R842" s="189">
        <v>3.22</v>
      </c>
      <c r="S842" s="189" t="s">
        <v>2353</v>
      </c>
    </row>
    <row r="843" spans="1:19" ht="15" customHeight="1" x14ac:dyDescent="0.3">
      <c r="A843" s="182" t="s">
        <v>2607</v>
      </c>
      <c r="B843" s="182" t="s">
        <v>908</v>
      </c>
      <c r="C843" s="182" t="s">
        <v>909</v>
      </c>
      <c r="D843" s="182" t="s">
        <v>2614</v>
      </c>
      <c r="E843" s="183" t="s">
        <v>805</v>
      </c>
      <c r="F843" s="183" t="s">
        <v>600</v>
      </c>
      <c r="G843" s="184">
        <v>5.1282051282051301E-2</v>
      </c>
      <c r="H843" s="185">
        <v>0</v>
      </c>
      <c r="I843" s="186">
        <v>100000</v>
      </c>
      <c r="J843" s="187">
        <v>5128.2051282051298</v>
      </c>
      <c r="K843" s="182" t="s">
        <v>2612</v>
      </c>
      <c r="L843" s="182">
        <v>2</v>
      </c>
      <c r="M843" s="182" t="s">
        <v>2615</v>
      </c>
      <c r="N843" s="186">
        <v>1</v>
      </c>
      <c r="O843" s="188">
        <v>5.1282051282051301E-2</v>
      </c>
      <c r="P843" s="188">
        <v>78</v>
      </c>
      <c r="Q843" s="188">
        <v>4</v>
      </c>
      <c r="R843" s="189">
        <v>3.22</v>
      </c>
      <c r="S843" s="189" t="s">
        <v>2353</v>
      </c>
    </row>
    <row r="844" spans="1:19" ht="15" customHeight="1" x14ac:dyDescent="0.3">
      <c r="A844" s="182" t="s">
        <v>2607</v>
      </c>
      <c r="B844" s="182" t="s">
        <v>937</v>
      </c>
      <c r="C844" s="182" t="s">
        <v>938</v>
      </c>
      <c r="D844" s="182" t="s">
        <v>939</v>
      </c>
      <c r="E844" s="183" t="s">
        <v>940</v>
      </c>
      <c r="F844" s="183" t="s">
        <v>941</v>
      </c>
      <c r="G844" s="184">
        <v>0.17948717948717999</v>
      </c>
      <c r="H844" s="185">
        <v>0</v>
      </c>
      <c r="I844" s="186">
        <v>60860.580776572002</v>
      </c>
      <c r="J844" s="187">
        <v>10923.693985538601</v>
      </c>
      <c r="K844" s="182" t="s">
        <v>2616</v>
      </c>
      <c r="L844" s="182">
        <v>1</v>
      </c>
      <c r="M844" s="182" t="s">
        <v>2617</v>
      </c>
      <c r="N844" s="186">
        <v>1</v>
      </c>
      <c r="O844" s="188">
        <v>0.17948717948717999</v>
      </c>
      <c r="P844" s="188">
        <v>78</v>
      </c>
      <c r="Q844" s="188">
        <v>14</v>
      </c>
      <c r="R844" s="189">
        <v>3.22</v>
      </c>
      <c r="S844" s="189" t="s">
        <v>2353</v>
      </c>
    </row>
    <row r="845" spans="1:19" ht="14.25" customHeight="1" x14ac:dyDescent="0.3">
      <c r="A845" s="182" t="s">
        <v>2607</v>
      </c>
      <c r="B845" s="182" t="s">
        <v>937</v>
      </c>
      <c r="C845" s="182" t="s">
        <v>938</v>
      </c>
      <c r="D845" s="190" t="s">
        <v>1375</v>
      </c>
      <c r="E845" s="183" t="s">
        <v>1376</v>
      </c>
      <c r="F845" s="183" t="s">
        <v>941</v>
      </c>
      <c r="G845" s="184">
        <v>8.9743589743589702E-2</v>
      </c>
      <c r="H845" s="185">
        <v>0</v>
      </c>
      <c r="I845" s="186">
        <v>76955.079706571996</v>
      </c>
      <c r="J845" s="187">
        <v>6906.2251018718398</v>
      </c>
      <c r="K845" s="182" t="s">
        <v>2616</v>
      </c>
      <c r="L845" s="182">
        <v>2</v>
      </c>
      <c r="M845" s="182" t="s">
        <v>2618</v>
      </c>
      <c r="N845" s="186">
        <v>1</v>
      </c>
      <c r="O845" s="188">
        <v>8.9743589743589702E-2</v>
      </c>
      <c r="P845" s="188">
        <v>78</v>
      </c>
      <c r="Q845" s="188">
        <v>7</v>
      </c>
      <c r="R845" s="189">
        <v>3.22</v>
      </c>
      <c r="S845" s="189" t="s">
        <v>2353</v>
      </c>
    </row>
    <row r="846" spans="1:19" ht="14.25" customHeight="1" x14ac:dyDescent="0.3">
      <c r="A846" s="182" t="s">
        <v>2619</v>
      </c>
      <c r="B846" s="182" t="s">
        <v>563</v>
      </c>
      <c r="C846" s="182"/>
      <c r="D846" s="182" t="s">
        <v>948</v>
      </c>
      <c r="E846" s="183" t="s">
        <v>949</v>
      </c>
      <c r="F846" s="183"/>
      <c r="G846" s="184">
        <v>0.5</v>
      </c>
      <c r="H846" s="185">
        <v>0</v>
      </c>
      <c r="I846" s="186">
        <v>571.17949098076099</v>
      </c>
      <c r="J846" s="187">
        <v>285.58974549038101</v>
      </c>
      <c r="K846" s="182" t="s">
        <v>2620</v>
      </c>
      <c r="L846" s="182">
        <v>1</v>
      </c>
      <c r="M846" s="182" t="s">
        <v>2621</v>
      </c>
      <c r="N846" s="186">
        <v>15</v>
      </c>
      <c r="O846" s="188">
        <v>0.5</v>
      </c>
      <c r="P846" s="188" t="s">
        <v>573</v>
      </c>
      <c r="Q846" s="188">
        <v>0</v>
      </c>
      <c r="R846" s="189" t="s">
        <v>573</v>
      </c>
      <c r="S846" s="189" t="s">
        <v>573</v>
      </c>
    </row>
    <row r="847" spans="1:19" ht="14.25" customHeight="1" x14ac:dyDescent="0.3">
      <c r="A847" s="182" t="s">
        <v>2619</v>
      </c>
      <c r="B847" s="182" t="s">
        <v>563</v>
      </c>
      <c r="C847" s="182"/>
      <c r="D847" s="182" t="s">
        <v>952</v>
      </c>
      <c r="E847" s="183" t="s">
        <v>953</v>
      </c>
      <c r="F847" s="183"/>
      <c r="G847" s="184">
        <v>1</v>
      </c>
      <c r="H847" s="185">
        <v>0</v>
      </c>
      <c r="I847" s="186">
        <v>2287.1357450968098</v>
      </c>
      <c r="J847" s="187">
        <v>2287.1357450968098</v>
      </c>
      <c r="K847" s="182" t="s">
        <v>2620</v>
      </c>
      <c r="L847" s="182">
        <v>2</v>
      </c>
      <c r="M847" s="182" t="s">
        <v>2622</v>
      </c>
      <c r="N847" s="186">
        <v>15</v>
      </c>
      <c r="O847" s="188">
        <v>1</v>
      </c>
      <c r="P847" s="188" t="s">
        <v>573</v>
      </c>
      <c r="Q847" s="188">
        <v>0</v>
      </c>
      <c r="R847" s="189" t="s">
        <v>573</v>
      </c>
      <c r="S847" s="189" t="s">
        <v>573</v>
      </c>
    </row>
    <row r="848" spans="1:19" ht="14.25" customHeight="1" x14ac:dyDescent="0.3">
      <c r="A848" s="182" t="s">
        <v>2619</v>
      </c>
      <c r="B848" s="182" t="s">
        <v>563</v>
      </c>
      <c r="C848" s="182"/>
      <c r="D848" s="182" t="s">
        <v>955</v>
      </c>
      <c r="E848" s="183" t="s">
        <v>956</v>
      </c>
      <c r="F848" s="183"/>
      <c r="G848" s="184">
        <v>1</v>
      </c>
      <c r="H848" s="185">
        <v>0</v>
      </c>
      <c r="I848" s="186">
        <v>957.25319614994703</v>
      </c>
      <c r="J848" s="187">
        <v>957.25319614994703</v>
      </c>
      <c r="K848" s="182" t="s">
        <v>2620</v>
      </c>
      <c r="L848" s="182">
        <v>3</v>
      </c>
      <c r="M848" s="182" t="s">
        <v>2623</v>
      </c>
      <c r="N848" s="186">
        <v>15</v>
      </c>
      <c r="O848" s="188">
        <v>1</v>
      </c>
      <c r="P848" s="188" t="s">
        <v>573</v>
      </c>
      <c r="Q848" s="188">
        <v>0</v>
      </c>
      <c r="R848" s="189" t="s">
        <v>573</v>
      </c>
      <c r="S848" s="189" t="s">
        <v>573</v>
      </c>
    </row>
    <row r="849" spans="1:19" ht="14.25" customHeight="1" x14ac:dyDescent="0.3">
      <c r="A849" s="182" t="s">
        <v>2619</v>
      </c>
      <c r="B849" s="182" t="s">
        <v>908</v>
      </c>
      <c r="C849" s="182" t="s">
        <v>909</v>
      </c>
      <c r="D849" s="182" t="s">
        <v>958</v>
      </c>
      <c r="E849" s="183" t="s">
        <v>959</v>
      </c>
      <c r="F849" s="183" t="s">
        <v>600</v>
      </c>
      <c r="G849" s="184">
        <v>0.17</v>
      </c>
      <c r="H849" s="185">
        <v>0.1</v>
      </c>
      <c r="I849" s="186">
        <v>3424.53</v>
      </c>
      <c r="J849" s="187">
        <v>640.38711000000001</v>
      </c>
      <c r="K849" s="182" t="s">
        <v>2624</v>
      </c>
      <c r="L849" s="182">
        <v>1</v>
      </c>
      <c r="M849" s="182" t="s">
        <v>2625</v>
      </c>
      <c r="N849" s="186">
        <v>15</v>
      </c>
      <c r="O849" s="188">
        <v>0.17</v>
      </c>
      <c r="P849" s="188" t="s">
        <v>573</v>
      </c>
      <c r="Q849" s="188">
        <v>0</v>
      </c>
      <c r="R849" s="189" t="s">
        <v>573</v>
      </c>
      <c r="S849" s="189" t="s">
        <v>573</v>
      </c>
    </row>
    <row r="850" spans="1:19" ht="14.25" customHeight="1" x14ac:dyDescent="0.3">
      <c r="A850" s="182" t="s">
        <v>2619</v>
      </c>
      <c r="B850" s="182" t="s">
        <v>908</v>
      </c>
      <c r="C850" s="182" t="s">
        <v>909</v>
      </c>
      <c r="D850" s="182" t="s">
        <v>962</v>
      </c>
      <c r="E850" s="183" t="s">
        <v>963</v>
      </c>
      <c r="F850" s="183" t="s">
        <v>590</v>
      </c>
      <c r="G850" s="184">
        <v>1.2E-2</v>
      </c>
      <c r="H850" s="185">
        <v>0.1</v>
      </c>
      <c r="I850" s="186">
        <v>32399.77</v>
      </c>
      <c r="J850" s="187">
        <v>427.676964</v>
      </c>
      <c r="K850" s="182" t="s">
        <v>2624</v>
      </c>
      <c r="L850" s="182">
        <v>2</v>
      </c>
      <c r="M850" s="182" t="s">
        <v>2626</v>
      </c>
      <c r="N850" s="186">
        <v>15</v>
      </c>
      <c r="O850" s="188">
        <v>1.2E-2</v>
      </c>
      <c r="P850" s="188" t="s">
        <v>573</v>
      </c>
      <c r="Q850" s="188">
        <v>0</v>
      </c>
      <c r="R850" s="189" t="s">
        <v>573</v>
      </c>
      <c r="S850" s="189" t="s">
        <v>573</v>
      </c>
    </row>
    <row r="851" spans="1:19" ht="14.25" customHeight="1" x14ac:dyDescent="0.3">
      <c r="A851" s="182" t="s">
        <v>2619</v>
      </c>
      <c r="B851" s="182" t="s">
        <v>908</v>
      </c>
      <c r="C851" s="182" t="s">
        <v>909</v>
      </c>
      <c r="D851" s="182" t="s">
        <v>965</v>
      </c>
      <c r="E851" s="183" t="s">
        <v>966</v>
      </c>
      <c r="F851" s="183" t="s">
        <v>967</v>
      </c>
      <c r="G851" s="184">
        <v>0.05</v>
      </c>
      <c r="H851" s="185">
        <v>0.1</v>
      </c>
      <c r="I851" s="186">
        <v>7809.48</v>
      </c>
      <c r="J851" s="187">
        <v>429.52140000000003</v>
      </c>
      <c r="K851" s="182" t="s">
        <v>2624</v>
      </c>
      <c r="L851" s="182">
        <v>3</v>
      </c>
      <c r="M851" s="182" t="s">
        <v>2627</v>
      </c>
      <c r="N851" s="186">
        <v>15</v>
      </c>
      <c r="O851" s="188">
        <v>0.05</v>
      </c>
      <c r="P851" s="188" t="s">
        <v>573</v>
      </c>
      <c r="Q851" s="188">
        <v>0</v>
      </c>
      <c r="R851" s="189" t="s">
        <v>573</v>
      </c>
      <c r="S851" s="189" t="s">
        <v>573</v>
      </c>
    </row>
    <row r="852" spans="1:19" ht="14.25" customHeight="1" x14ac:dyDescent="0.3">
      <c r="A852" s="182" t="s">
        <v>2619</v>
      </c>
      <c r="B852" s="182" t="s">
        <v>908</v>
      </c>
      <c r="C852" s="182" t="s">
        <v>909</v>
      </c>
      <c r="D852" s="182" t="s">
        <v>969</v>
      </c>
      <c r="E852" s="183" t="s">
        <v>970</v>
      </c>
      <c r="F852" s="183" t="s">
        <v>971</v>
      </c>
      <c r="G852" s="184">
        <v>0.1</v>
      </c>
      <c r="H852" s="185">
        <v>0.1</v>
      </c>
      <c r="I852" s="186">
        <v>3837.96</v>
      </c>
      <c r="J852" s="187">
        <v>422.17559999999997</v>
      </c>
      <c r="K852" s="182" t="s">
        <v>2624</v>
      </c>
      <c r="L852" s="182">
        <v>4</v>
      </c>
      <c r="M852" s="182" t="s">
        <v>2628</v>
      </c>
      <c r="N852" s="186">
        <v>15</v>
      </c>
      <c r="O852" s="188">
        <v>0.1</v>
      </c>
      <c r="P852" s="188" t="s">
        <v>573</v>
      </c>
      <c r="Q852" s="188">
        <v>0</v>
      </c>
      <c r="R852" s="189" t="s">
        <v>573</v>
      </c>
      <c r="S852" s="189" t="s">
        <v>573</v>
      </c>
    </row>
    <row r="853" spans="1:19" ht="14.25" customHeight="1" x14ac:dyDescent="0.3">
      <c r="A853" s="182" t="s">
        <v>2619</v>
      </c>
      <c r="B853" s="182" t="s">
        <v>908</v>
      </c>
      <c r="C853" s="182" t="s">
        <v>909</v>
      </c>
      <c r="D853" s="182" t="s">
        <v>993</v>
      </c>
      <c r="E853" s="183" t="s">
        <v>994</v>
      </c>
      <c r="F853" s="183" t="s">
        <v>600</v>
      </c>
      <c r="G853" s="184">
        <v>15</v>
      </c>
      <c r="H853" s="185">
        <v>0.05</v>
      </c>
      <c r="I853" s="186">
        <v>292.32</v>
      </c>
      <c r="J853" s="187">
        <v>4604.04</v>
      </c>
      <c r="K853" s="182" t="s">
        <v>2624</v>
      </c>
      <c r="L853" s="182">
        <v>5</v>
      </c>
      <c r="M853" s="182" t="s">
        <v>2629</v>
      </c>
      <c r="N853" s="186">
        <v>15</v>
      </c>
      <c r="O853" s="188">
        <v>15</v>
      </c>
      <c r="P853" s="188" t="s">
        <v>573</v>
      </c>
      <c r="Q853" s="188">
        <v>0</v>
      </c>
      <c r="R853" s="189" t="s">
        <v>573</v>
      </c>
      <c r="S853" s="189" t="s">
        <v>573</v>
      </c>
    </row>
    <row r="854" spans="1:19" ht="14.25" customHeight="1" x14ac:dyDescent="0.3">
      <c r="A854" s="182" t="s">
        <v>2619</v>
      </c>
      <c r="B854" s="182" t="s">
        <v>937</v>
      </c>
      <c r="C854" s="182" t="s">
        <v>938</v>
      </c>
      <c r="D854" s="190" t="s">
        <v>939</v>
      </c>
      <c r="E854" s="183" t="s">
        <v>940</v>
      </c>
      <c r="F854" s="183" t="s">
        <v>941</v>
      </c>
      <c r="G854" s="184">
        <v>1</v>
      </c>
      <c r="H854" s="185">
        <v>0</v>
      </c>
      <c r="I854" s="186">
        <v>60860.580776572002</v>
      </c>
      <c r="J854" s="187">
        <v>60860.580776572002</v>
      </c>
      <c r="K854" s="182" t="s">
        <v>2630</v>
      </c>
      <c r="L854" s="182">
        <v>1</v>
      </c>
      <c r="M854" s="182" t="s">
        <v>2631</v>
      </c>
      <c r="N854" s="186">
        <v>15</v>
      </c>
      <c r="O854" s="188">
        <v>6.6666666666666693E-2</v>
      </c>
      <c r="P854" s="188" t="s">
        <v>573</v>
      </c>
      <c r="Q854" s="188">
        <v>0</v>
      </c>
      <c r="R854" s="189" t="s">
        <v>573</v>
      </c>
      <c r="S854" s="189" t="s">
        <v>573</v>
      </c>
    </row>
    <row r="855" spans="1:19" ht="14.25" customHeight="1" x14ac:dyDescent="0.3">
      <c r="A855" s="182" t="s">
        <v>2619</v>
      </c>
      <c r="B855" s="182" t="s">
        <v>937</v>
      </c>
      <c r="C855" s="182" t="s">
        <v>938</v>
      </c>
      <c r="D855" s="190" t="s">
        <v>944</v>
      </c>
      <c r="E855" s="183" t="s">
        <v>945</v>
      </c>
      <c r="F855" s="183" t="s">
        <v>941</v>
      </c>
      <c r="G855" s="184">
        <v>1</v>
      </c>
      <c r="H855" s="185">
        <v>0</v>
      </c>
      <c r="I855" s="186">
        <v>85927.097156571996</v>
      </c>
      <c r="J855" s="187">
        <v>85927.097156571996</v>
      </c>
      <c r="K855" s="182" t="s">
        <v>2630</v>
      </c>
      <c r="L855" s="182">
        <v>2</v>
      </c>
      <c r="M855" s="182" t="s">
        <v>2632</v>
      </c>
      <c r="N855" s="186">
        <v>15</v>
      </c>
      <c r="O855" s="188">
        <v>6.6666666666666693E-2</v>
      </c>
      <c r="P855" s="188" t="s">
        <v>573</v>
      </c>
      <c r="Q855" s="188">
        <v>0</v>
      </c>
      <c r="R855" s="189" t="s">
        <v>573</v>
      </c>
      <c r="S855" s="189" t="s">
        <v>573</v>
      </c>
    </row>
    <row r="856" spans="1:19" ht="14.25" customHeight="1" x14ac:dyDescent="0.3">
      <c r="A856" s="182" t="s">
        <v>2633</v>
      </c>
      <c r="B856" s="182" t="s">
        <v>563</v>
      </c>
      <c r="C856" s="182"/>
      <c r="D856" s="182" t="s">
        <v>948</v>
      </c>
      <c r="E856" s="183" t="s">
        <v>949</v>
      </c>
      <c r="F856" s="183"/>
      <c r="G856" s="184">
        <v>0.5</v>
      </c>
      <c r="H856" s="185">
        <v>0</v>
      </c>
      <c r="I856" s="186">
        <v>571.17949098076099</v>
      </c>
      <c r="J856" s="187">
        <v>285.58974549038101</v>
      </c>
      <c r="K856" s="182" t="s">
        <v>2634</v>
      </c>
      <c r="L856" s="182">
        <v>1</v>
      </c>
      <c r="M856" s="182" t="s">
        <v>2635</v>
      </c>
      <c r="N856" s="186">
        <v>15</v>
      </c>
      <c r="O856" s="188">
        <v>0.5</v>
      </c>
      <c r="P856" s="188" t="s">
        <v>573</v>
      </c>
      <c r="Q856" s="188">
        <v>0</v>
      </c>
      <c r="R856" s="189" t="s">
        <v>573</v>
      </c>
      <c r="S856" s="189" t="s">
        <v>573</v>
      </c>
    </row>
    <row r="857" spans="1:19" ht="14.25" customHeight="1" x14ac:dyDescent="0.3">
      <c r="A857" s="182" t="s">
        <v>2633</v>
      </c>
      <c r="B857" s="182" t="s">
        <v>563</v>
      </c>
      <c r="C857" s="182"/>
      <c r="D857" s="182" t="s">
        <v>952</v>
      </c>
      <c r="E857" s="183" t="s">
        <v>953</v>
      </c>
      <c r="F857" s="183"/>
      <c r="G857" s="184">
        <v>1</v>
      </c>
      <c r="H857" s="185">
        <v>0</v>
      </c>
      <c r="I857" s="186">
        <v>2287.1357450968098</v>
      </c>
      <c r="J857" s="187">
        <v>2287.1357450968098</v>
      </c>
      <c r="K857" s="182" t="s">
        <v>2634</v>
      </c>
      <c r="L857" s="182">
        <v>2</v>
      </c>
      <c r="M857" s="182" t="s">
        <v>2636</v>
      </c>
      <c r="N857" s="186">
        <v>15</v>
      </c>
      <c r="O857" s="188">
        <v>1</v>
      </c>
      <c r="P857" s="188" t="s">
        <v>573</v>
      </c>
      <c r="Q857" s="188">
        <v>0</v>
      </c>
      <c r="R857" s="189" t="s">
        <v>573</v>
      </c>
      <c r="S857" s="189" t="s">
        <v>573</v>
      </c>
    </row>
    <row r="858" spans="1:19" ht="14.25" customHeight="1" x14ac:dyDescent="0.3">
      <c r="A858" s="182" t="s">
        <v>2633</v>
      </c>
      <c r="B858" s="182" t="s">
        <v>563</v>
      </c>
      <c r="C858" s="182"/>
      <c r="D858" s="182" t="s">
        <v>955</v>
      </c>
      <c r="E858" s="183" t="s">
        <v>956</v>
      </c>
      <c r="F858" s="183"/>
      <c r="G858" s="184">
        <v>1</v>
      </c>
      <c r="H858" s="185">
        <v>0</v>
      </c>
      <c r="I858" s="186">
        <v>957.25319614994703</v>
      </c>
      <c r="J858" s="187">
        <v>957.25319614994703</v>
      </c>
      <c r="K858" s="182" t="s">
        <v>2634</v>
      </c>
      <c r="L858" s="182">
        <v>3</v>
      </c>
      <c r="M858" s="182" t="s">
        <v>2637</v>
      </c>
      <c r="N858" s="186">
        <v>15</v>
      </c>
      <c r="O858" s="188">
        <v>1</v>
      </c>
      <c r="P858" s="188" t="s">
        <v>573</v>
      </c>
      <c r="Q858" s="188">
        <v>0</v>
      </c>
      <c r="R858" s="189" t="s">
        <v>573</v>
      </c>
      <c r="S858" s="189" t="s">
        <v>573</v>
      </c>
    </row>
    <row r="859" spans="1:19" ht="14.25" customHeight="1" x14ac:dyDescent="0.3">
      <c r="A859" s="182" t="s">
        <v>2633</v>
      </c>
      <c r="B859" s="182" t="s">
        <v>908</v>
      </c>
      <c r="C859" s="182" t="s">
        <v>909</v>
      </c>
      <c r="D859" s="182" t="s">
        <v>958</v>
      </c>
      <c r="E859" s="183" t="s">
        <v>959</v>
      </c>
      <c r="F859" s="183" t="s">
        <v>600</v>
      </c>
      <c r="G859" s="184">
        <v>0.17</v>
      </c>
      <c r="H859" s="185">
        <v>0.1</v>
      </c>
      <c r="I859" s="186">
        <v>3424.53</v>
      </c>
      <c r="J859" s="187">
        <v>640.38711000000001</v>
      </c>
      <c r="K859" s="182" t="s">
        <v>2638</v>
      </c>
      <c r="L859" s="182">
        <v>1</v>
      </c>
      <c r="M859" s="182" t="s">
        <v>2639</v>
      </c>
      <c r="N859" s="186">
        <v>15</v>
      </c>
      <c r="O859" s="188">
        <v>0.17</v>
      </c>
      <c r="P859" s="188" t="s">
        <v>573</v>
      </c>
      <c r="Q859" s="188">
        <v>0</v>
      </c>
      <c r="R859" s="189" t="s">
        <v>573</v>
      </c>
      <c r="S859" s="189" t="s">
        <v>573</v>
      </c>
    </row>
    <row r="860" spans="1:19" ht="14.25" customHeight="1" x14ac:dyDescent="0.3">
      <c r="A860" s="182" t="s">
        <v>2633</v>
      </c>
      <c r="B860" s="182" t="s">
        <v>908</v>
      </c>
      <c r="C860" s="182" t="s">
        <v>909</v>
      </c>
      <c r="D860" s="182" t="s">
        <v>962</v>
      </c>
      <c r="E860" s="183" t="s">
        <v>963</v>
      </c>
      <c r="F860" s="183" t="s">
        <v>590</v>
      </c>
      <c r="G860" s="184">
        <v>1.7999999999999999E-2</v>
      </c>
      <c r="H860" s="185">
        <v>0.1</v>
      </c>
      <c r="I860" s="186">
        <v>32399.77</v>
      </c>
      <c r="J860" s="187">
        <v>641.515446</v>
      </c>
      <c r="K860" s="182" t="s">
        <v>2638</v>
      </c>
      <c r="L860" s="182">
        <v>2</v>
      </c>
      <c r="M860" s="182" t="s">
        <v>2640</v>
      </c>
      <c r="N860" s="186">
        <v>15</v>
      </c>
      <c r="O860" s="188">
        <v>1.7999999999999999E-2</v>
      </c>
      <c r="P860" s="188" t="s">
        <v>573</v>
      </c>
      <c r="Q860" s="188">
        <v>0</v>
      </c>
      <c r="R860" s="189" t="s">
        <v>573</v>
      </c>
      <c r="S860" s="189" t="s">
        <v>573</v>
      </c>
    </row>
    <row r="861" spans="1:19" ht="14.25" customHeight="1" x14ac:dyDescent="0.3">
      <c r="A861" s="182" t="s">
        <v>2633</v>
      </c>
      <c r="B861" s="182" t="s">
        <v>908</v>
      </c>
      <c r="C861" s="182" t="s">
        <v>909</v>
      </c>
      <c r="D861" s="182" t="s">
        <v>965</v>
      </c>
      <c r="E861" s="183" t="s">
        <v>966</v>
      </c>
      <c r="F861" s="183" t="s">
        <v>967</v>
      </c>
      <c r="G861" s="184">
        <v>7.4999999999999997E-2</v>
      </c>
      <c r="H861" s="185">
        <v>0.1</v>
      </c>
      <c r="I861" s="186">
        <v>7809.48</v>
      </c>
      <c r="J861" s="187">
        <v>644.28210000000001</v>
      </c>
      <c r="K861" s="182" t="s">
        <v>2638</v>
      </c>
      <c r="L861" s="182">
        <v>3</v>
      </c>
      <c r="M861" s="182" t="s">
        <v>2641</v>
      </c>
      <c r="N861" s="186">
        <v>15</v>
      </c>
      <c r="O861" s="188">
        <v>7.4999999999999997E-2</v>
      </c>
      <c r="P861" s="188" t="s">
        <v>573</v>
      </c>
      <c r="Q861" s="188">
        <v>0</v>
      </c>
      <c r="R861" s="189" t="s">
        <v>573</v>
      </c>
      <c r="S861" s="189" t="s">
        <v>573</v>
      </c>
    </row>
    <row r="862" spans="1:19" ht="14.25" customHeight="1" x14ac:dyDescent="0.3">
      <c r="A862" s="182" t="s">
        <v>2633</v>
      </c>
      <c r="B862" s="182" t="s">
        <v>908</v>
      </c>
      <c r="C862" s="182" t="s">
        <v>909</v>
      </c>
      <c r="D862" s="182" t="s">
        <v>969</v>
      </c>
      <c r="E862" s="183" t="s">
        <v>970</v>
      </c>
      <c r="F862" s="183" t="s">
        <v>971</v>
      </c>
      <c r="G862" s="184">
        <v>0.15</v>
      </c>
      <c r="H862" s="185">
        <v>0.1</v>
      </c>
      <c r="I862" s="186">
        <v>3837.96</v>
      </c>
      <c r="J862" s="187">
        <v>633.26340000000005</v>
      </c>
      <c r="K862" s="182" t="s">
        <v>2638</v>
      </c>
      <c r="L862" s="182">
        <v>4</v>
      </c>
      <c r="M862" s="182" t="s">
        <v>2642</v>
      </c>
      <c r="N862" s="186">
        <v>15</v>
      </c>
      <c r="O862" s="188">
        <v>0.15</v>
      </c>
      <c r="P862" s="188" t="s">
        <v>573</v>
      </c>
      <c r="Q862" s="188">
        <v>0</v>
      </c>
      <c r="R862" s="189" t="s">
        <v>573</v>
      </c>
      <c r="S862" s="189" t="s">
        <v>573</v>
      </c>
    </row>
    <row r="863" spans="1:19" ht="14.25" customHeight="1" x14ac:dyDescent="0.3">
      <c r="A863" s="182" t="s">
        <v>2633</v>
      </c>
      <c r="B863" s="182" t="s">
        <v>908</v>
      </c>
      <c r="C863" s="182" t="s">
        <v>909</v>
      </c>
      <c r="D863" s="182" t="s">
        <v>1010</v>
      </c>
      <c r="E863" s="183" t="s">
        <v>1011</v>
      </c>
      <c r="F863" s="183" t="s">
        <v>600</v>
      </c>
      <c r="G863" s="184">
        <v>15</v>
      </c>
      <c r="H863" s="185">
        <v>0.05</v>
      </c>
      <c r="I863" s="186">
        <v>365.4</v>
      </c>
      <c r="J863" s="187">
        <v>5755.05</v>
      </c>
      <c r="K863" s="182" t="s">
        <v>2638</v>
      </c>
      <c r="L863" s="182">
        <v>5</v>
      </c>
      <c r="M863" s="182" t="s">
        <v>2643</v>
      </c>
      <c r="N863" s="186">
        <v>15</v>
      </c>
      <c r="O863" s="188">
        <v>15</v>
      </c>
      <c r="P863" s="188" t="s">
        <v>573</v>
      </c>
      <c r="Q863" s="188">
        <v>0</v>
      </c>
      <c r="R863" s="189" t="s">
        <v>573</v>
      </c>
      <c r="S863" s="189" t="s">
        <v>573</v>
      </c>
    </row>
    <row r="864" spans="1:19" ht="14.25" customHeight="1" x14ac:dyDescent="0.3">
      <c r="A864" s="182" t="s">
        <v>2633</v>
      </c>
      <c r="B864" s="182" t="s">
        <v>937</v>
      </c>
      <c r="C864" s="182" t="s">
        <v>938</v>
      </c>
      <c r="D864" s="190" t="s">
        <v>939</v>
      </c>
      <c r="E864" s="183" t="s">
        <v>940</v>
      </c>
      <c r="F864" s="183" t="s">
        <v>941</v>
      </c>
      <c r="G864" s="184">
        <v>1</v>
      </c>
      <c r="H864" s="185">
        <v>0</v>
      </c>
      <c r="I864" s="186">
        <v>60860.580776572002</v>
      </c>
      <c r="J864" s="187">
        <v>60860.580776572002</v>
      </c>
      <c r="K864" s="182" t="s">
        <v>2644</v>
      </c>
      <c r="L864" s="182">
        <v>1</v>
      </c>
      <c r="M864" s="182" t="s">
        <v>2645</v>
      </c>
      <c r="N864" s="186">
        <v>15</v>
      </c>
      <c r="O864" s="188">
        <v>6.6666666666666693E-2</v>
      </c>
      <c r="P864" s="188" t="s">
        <v>573</v>
      </c>
      <c r="Q864" s="188">
        <v>0</v>
      </c>
      <c r="R864" s="189" t="s">
        <v>573</v>
      </c>
      <c r="S864" s="189" t="s">
        <v>573</v>
      </c>
    </row>
    <row r="865" spans="1:19" ht="14.25" customHeight="1" x14ac:dyDescent="0.3">
      <c r="A865" s="182" t="s">
        <v>2633</v>
      </c>
      <c r="B865" s="182" t="s">
        <v>937</v>
      </c>
      <c r="C865" s="182" t="s">
        <v>938</v>
      </c>
      <c r="D865" s="190" t="s">
        <v>944</v>
      </c>
      <c r="E865" s="183" t="s">
        <v>945</v>
      </c>
      <c r="F865" s="183" t="s">
        <v>941</v>
      </c>
      <c r="G865" s="184">
        <v>1</v>
      </c>
      <c r="H865" s="185">
        <v>0</v>
      </c>
      <c r="I865" s="186">
        <v>85927.097156571996</v>
      </c>
      <c r="J865" s="187">
        <v>85927.097156571996</v>
      </c>
      <c r="K865" s="182" t="s">
        <v>2644</v>
      </c>
      <c r="L865" s="182">
        <v>2</v>
      </c>
      <c r="M865" s="182" t="s">
        <v>2646</v>
      </c>
      <c r="N865" s="186">
        <v>15</v>
      </c>
      <c r="O865" s="188">
        <v>6.6666666666666693E-2</v>
      </c>
      <c r="P865" s="188" t="s">
        <v>573</v>
      </c>
      <c r="Q865" s="188">
        <v>0</v>
      </c>
      <c r="R865" s="189" t="s">
        <v>573</v>
      </c>
      <c r="S865" s="189" t="s">
        <v>573</v>
      </c>
    </row>
    <row r="866" spans="1:19" ht="14.25" customHeight="1" x14ac:dyDescent="0.3">
      <c r="A866" s="182" t="s">
        <v>2647</v>
      </c>
      <c r="B866" s="182" t="s">
        <v>563</v>
      </c>
      <c r="C866" s="182"/>
      <c r="D866" s="182" t="s">
        <v>948</v>
      </c>
      <c r="E866" s="183" t="s">
        <v>949</v>
      </c>
      <c r="F866" s="183"/>
      <c r="G866" s="184">
        <v>0.5</v>
      </c>
      <c r="H866" s="185">
        <v>0</v>
      </c>
      <c r="I866" s="186">
        <v>571.17949098076099</v>
      </c>
      <c r="J866" s="187">
        <v>285.58974549038101</v>
      </c>
      <c r="K866" s="182" t="s">
        <v>2648</v>
      </c>
      <c r="L866" s="182">
        <v>1</v>
      </c>
      <c r="M866" s="182" t="s">
        <v>2649</v>
      </c>
      <c r="N866" s="186">
        <v>7</v>
      </c>
      <c r="O866" s="188">
        <v>0.5</v>
      </c>
      <c r="P866" s="188">
        <v>56</v>
      </c>
      <c r="Q866" s="188">
        <v>28</v>
      </c>
      <c r="R866" s="189">
        <v>4.03</v>
      </c>
      <c r="S866" s="189" t="s">
        <v>985</v>
      </c>
    </row>
    <row r="867" spans="1:19" ht="14.25" customHeight="1" x14ac:dyDescent="0.3">
      <c r="A867" s="182" t="s">
        <v>2647</v>
      </c>
      <c r="B867" s="182" t="s">
        <v>563</v>
      </c>
      <c r="C867" s="182"/>
      <c r="D867" s="182" t="s">
        <v>952</v>
      </c>
      <c r="E867" s="183" t="s">
        <v>953</v>
      </c>
      <c r="F867" s="183"/>
      <c r="G867" s="184">
        <v>1</v>
      </c>
      <c r="H867" s="185">
        <v>0</v>
      </c>
      <c r="I867" s="186">
        <v>2287.1357450968098</v>
      </c>
      <c r="J867" s="187">
        <v>2287.1357450968098</v>
      </c>
      <c r="K867" s="182" t="s">
        <v>2648</v>
      </c>
      <c r="L867" s="182">
        <v>2</v>
      </c>
      <c r="M867" s="182" t="s">
        <v>2650</v>
      </c>
      <c r="N867" s="186">
        <v>7</v>
      </c>
      <c r="O867" s="188">
        <v>1</v>
      </c>
      <c r="P867" s="188">
        <v>56</v>
      </c>
      <c r="Q867" s="188">
        <v>56</v>
      </c>
      <c r="R867" s="189">
        <v>4.03</v>
      </c>
      <c r="S867" s="189" t="s">
        <v>985</v>
      </c>
    </row>
    <row r="868" spans="1:19" ht="14.25" customHeight="1" x14ac:dyDescent="0.3">
      <c r="A868" s="182" t="s">
        <v>2647</v>
      </c>
      <c r="B868" s="182" t="s">
        <v>563</v>
      </c>
      <c r="C868" s="182"/>
      <c r="D868" s="182" t="s">
        <v>955</v>
      </c>
      <c r="E868" s="183" t="s">
        <v>956</v>
      </c>
      <c r="F868" s="183"/>
      <c r="G868" s="184">
        <v>1</v>
      </c>
      <c r="H868" s="185">
        <v>0</v>
      </c>
      <c r="I868" s="186">
        <v>957.25319614994703</v>
      </c>
      <c r="J868" s="187">
        <v>957.25319614994703</v>
      </c>
      <c r="K868" s="182" t="s">
        <v>2648</v>
      </c>
      <c r="L868" s="182">
        <v>3</v>
      </c>
      <c r="M868" s="182" t="s">
        <v>2651</v>
      </c>
      <c r="N868" s="186">
        <v>7</v>
      </c>
      <c r="O868" s="188">
        <v>1</v>
      </c>
      <c r="P868" s="188">
        <v>56</v>
      </c>
      <c r="Q868" s="188">
        <v>56</v>
      </c>
      <c r="R868" s="189">
        <v>4.03</v>
      </c>
      <c r="S868" s="189" t="s">
        <v>985</v>
      </c>
    </row>
    <row r="869" spans="1:19" ht="14.25" customHeight="1" x14ac:dyDescent="0.3">
      <c r="A869" s="182" t="s">
        <v>2647</v>
      </c>
      <c r="B869" s="182" t="s">
        <v>908</v>
      </c>
      <c r="C869" s="182" t="s">
        <v>909</v>
      </c>
      <c r="D869" s="182" t="s">
        <v>958</v>
      </c>
      <c r="E869" s="183" t="s">
        <v>959</v>
      </c>
      <c r="F869" s="183" t="s">
        <v>600</v>
      </c>
      <c r="G869" s="184">
        <v>8.5000000000000006E-2</v>
      </c>
      <c r="H869" s="185">
        <v>0.1</v>
      </c>
      <c r="I869" s="186">
        <v>3424.53</v>
      </c>
      <c r="J869" s="187">
        <v>320.193555</v>
      </c>
      <c r="K869" s="182" t="s">
        <v>2652</v>
      </c>
      <c r="L869" s="182">
        <v>1</v>
      </c>
      <c r="M869" s="182" t="s">
        <v>2653</v>
      </c>
      <c r="N869" s="186">
        <v>7</v>
      </c>
      <c r="O869" s="188">
        <v>8.5000000000000006E-2</v>
      </c>
      <c r="P869" s="188">
        <v>56</v>
      </c>
      <c r="Q869" s="188">
        <v>4.76</v>
      </c>
      <c r="R869" s="189">
        <v>4.03</v>
      </c>
      <c r="S869" s="189" t="s">
        <v>985</v>
      </c>
    </row>
    <row r="870" spans="1:19" ht="14.25" customHeight="1" x14ac:dyDescent="0.3">
      <c r="A870" s="182" t="s">
        <v>2647</v>
      </c>
      <c r="B870" s="182" t="s">
        <v>908</v>
      </c>
      <c r="C870" s="182" t="s">
        <v>909</v>
      </c>
      <c r="D870" s="182" t="s">
        <v>962</v>
      </c>
      <c r="E870" s="183" t="s">
        <v>963</v>
      </c>
      <c r="F870" s="183" t="s">
        <v>590</v>
      </c>
      <c r="G870" s="184">
        <v>1.7500000000000002E-2</v>
      </c>
      <c r="H870" s="185">
        <v>0.1</v>
      </c>
      <c r="I870" s="186">
        <v>32399.77</v>
      </c>
      <c r="J870" s="187">
        <v>623.69557250000003</v>
      </c>
      <c r="K870" s="182" t="s">
        <v>2652</v>
      </c>
      <c r="L870" s="182">
        <v>2</v>
      </c>
      <c r="M870" s="182" t="s">
        <v>2654</v>
      </c>
      <c r="N870" s="186">
        <v>7</v>
      </c>
      <c r="O870" s="188">
        <v>1.7500000000000002E-2</v>
      </c>
      <c r="P870" s="188">
        <v>56</v>
      </c>
      <c r="Q870" s="188">
        <v>0.98</v>
      </c>
      <c r="R870" s="189">
        <v>4.03</v>
      </c>
      <c r="S870" s="189" t="s">
        <v>985</v>
      </c>
    </row>
    <row r="871" spans="1:19" ht="14.25" customHeight="1" x14ac:dyDescent="0.3">
      <c r="A871" s="182" t="s">
        <v>2647</v>
      </c>
      <c r="B871" s="182" t="s">
        <v>908</v>
      </c>
      <c r="C871" s="182" t="s">
        <v>909</v>
      </c>
      <c r="D871" s="182" t="s">
        <v>965</v>
      </c>
      <c r="E871" s="183" t="s">
        <v>966</v>
      </c>
      <c r="F871" s="183" t="s">
        <v>967</v>
      </c>
      <c r="G871" s="184">
        <v>7.4999999999999997E-2</v>
      </c>
      <c r="H871" s="185">
        <v>0.1</v>
      </c>
      <c r="I871" s="186">
        <v>7809.48</v>
      </c>
      <c r="J871" s="187">
        <v>644.28210000000001</v>
      </c>
      <c r="K871" s="182" t="s">
        <v>2652</v>
      </c>
      <c r="L871" s="182">
        <v>3</v>
      </c>
      <c r="M871" s="182" t="s">
        <v>2655</v>
      </c>
      <c r="N871" s="186">
        <v>7</v>
      </c>
      <c r="O871" s="188">
        <v>7.4999999999999997E-2</v>
      </c>
      <c r="P871" s="188">
        <v>56</v>
      </c>
      <c r="Q871" s="188">
        <v>4.2</v>
      </c>
      <c r="R871" s="189">
        <v>4.03</v>
      </c>
      <c r="S871" s="189" t="s">
        <v>985</v>
      </c>
    </row>
    <row r="872" spans="1:19" ht="14.25" customHeight="1" x14ac:dyDescent="0.3">
      <c r="A872" s="182" t="s">
        <v>2647</v>
      </c>
      <c r="B872" s="182" t="s">
        <v>908</v>
      </c>
      <c r="C872" s="182" t="s">
        <v>909</v>
      </c>
      <c r="D872" s="182" t="s">
        <v>969</v>
      </c>
      <c r="E872" s="183" t="s">
        <v>970</v>
      </c>
      <c r="F872" s="183" t="s">
        <v>971</v>
      </c>
      <c r="G872" s="184">
        <v>0.15</v>
      </c>
      <c r="H872" s="185">
        <v>0.1</v>
      </c>
      <c r="I872" s="186">
        <v>3837.96</v>
      </c>
      <c r="J872" s="187">
        <v>633.26340000000005</v>
      </c>
      <c r="K872" s="182" t="s">
        <v>2652</v>
      </c>
      <c r="L872" s="182">
        <v>4</v>
      </c>
      <c r="M872" s="182" t="s">
        <v>2656</v>
      </c>
      <c r="N872" s="186">
        <v>7</v>
      </c>
      <c r="O872" s="188">
        <v>0.15</v>
      </c>
      <c r="P872" s="188">
        <v>56</v>
      </c>
      <c r="Q872" s="188">
        <v>8.4</v>
      </c>
      <c r="R872" s="189">
        <v>4.03</v>
      </c>
      <c r="S872" s="189" t="s">
        <v>985</v>
      </c>
    </row>
    <row r="873" spans="1:19" ht="14.25" customHeight="1" x14ac:dyDescent="0.3">
      <c r="A873" s="182" t="s">
        <v>2647</v>
      </c>
      <c r="B873" s="182" t="s">
        <v>908</v>
      </c>
      <c r="C873" s="182" t="s">
        <v>909</v>
      </c>
      <c r="D873" s="182" t="s">
        <v>973</v>
      </c>
      <c r="E873" s="183" t="s">
        <v>974</v>
      </c>
      <c r="F873" s="183" t="s">
        <v>600</v>
      </c>
      <c r="G873" s="184">
        <v>30</v>
      </c>
      <c r="H873" s="185">
        <v>0.05</v>
      </c>
      <c r="I873" s="186">
        <v>132.30000000000001</v>
      </c>
      <c r="J873" s="187">
        <v>4167.45</v>
      </c>
      <c r="K873" s="182" t="s">
        <v>2652</v>
      </c>
      <c r="L873" s="182">
        <v>5</v>
      </c>
      <c r="M873" s="182" t="s">
        <v>2657</v>
      </c>
      <c r="N873" s="186">
        <v>7</v>
      </c>
      <c r="O873" s="188">
        <v>30</v>
      </c>
      <c r="P873" s="188">
        <v>56</v>
      </c>
      <c r="Q873" s="188">
        <v>1680</v>
      </c>
      <c r="R873" s="189">
        <v>4.03</v>
      </c>
      <c r="S873" s="189" t="s">
        <v>985</v>
      </c>
    </row>
    <row r="874" spans="1:19" ht="14.25" customHeight="1" x14ac:dyDescent="0.3">
      <c r="A874" s="182" t="s">
        <v>2647</v>
      </c>
      <c r="B874" s="182" t="s">
        <v>908</v>
      </c>
      <c r="C874" s="182" t="s">
        <v>909</v>
      </c>
      <c r="D874" s="182" t="s">
        <v>976</v>
      </c>
      <c r="E874" s="183" t="s">
        <v>977</v>
      </c>
      <c r="F874" s="183" t="s">
        <v>576</v>
      </c>
      <c r="G874" s="184">
        <v>65.805511663250002</v>
      </c>
      <c r="H874" s="185">
        <v>0</v>
      </c>
      <c r="I874" s="186">
        <v>1</v>
      </c>
      <c r="J874" s="187">
        <v>65.805511663250002</v>
      </c>
      <c r="K874" s="182" t="s">
        <v>2652</v>
      </c>
      <c r="L874" s="182">
        <v>6</v>
      </c>
      <c r="M874" s="182" t="s">
        <v>2658</v>
      </c>
      <c r="N874" s="186">
        <v>7</v>
      </c>
      <c r="O874" s="188">
        <v>65.805511663250002</v>
      </c>
      <c r="P874" s="188">
        <v>56</v>
      </c>
      <c r="Q874" s="188">
        <v>3685.1086531420001</v>
      </c>
      <c r="R874" s="189">
        <v>4.03</v>
      </c>
      <c r="S874" s="189" t="s">
        <v>985</v>
      </c>
    </row>
    <row r="875" spans="1:19" ht="14.25" customHeight="1" x14ac:dyDescent="0.3">
      <c r="A875" s="182" t="s">
        <v>2647</v>
      </c>
      <c r="B875" s="182" t="s">
        <v>937</v>
      </c>
      <c r="C875" s="182" t="s">
        <v>938</v>
      </c>
      <c r="D875" s="190" t="s">
        <v>939</v>
      </c>
      <c r="E875" s="183" t="s">
        <v>940</v>
      </c>
      <c r="F875" s="183" t="s">
        <v>941</v>
      </c>
      <c r="G875" s="184">
        <v>0.5</v>
      </c>
      <c r="H875" s="185">
        <v>0</v>
      </c>
      <c r="I875" s="186">
        <v>60860.580776572002</v>
      </c>
      <c r="J875" s="187">
        <v>30430.290388286001</v>
      </c>
      <c r="K875" s="182" t="s">
        <v>2659</v>
      </c>
      <c r="L875" s="182">
        <v>1</v>
      </c>
      <c r="M875" s="182" t="s">
        <v>2660</v>
      </c>
      <c r="N875" s="186">
        <v>7</v>
      </c>
      <c r="O875" s="188">
        <v>7.1428571428571397E-2</v>
      </c>
      <c r="P875" s="188">
        <v>56</v>
      </c>
      <c r="Q875" s="188">
        <v>4</v>
      </c>
      <c r="R875" s="189">
        <v>4.03</v>
      </c>
      <c r="S875" s="189" t="s">
        <v>985</v>
      </c>
    </row>
    <row r="876" spans="1:19" ht="14.25" customHeight="1" x14ac:dyDescent="0.3">
      <c r="A876" s="182" t="s">
        <v>2647</v>
      </c>
      <c r="B876" s="182" t="s">
        <v>937</v>
      </c>
      <c r="C876" s="182" t="s">
        <v>938</v>
      </c>
      <c r="D876" s="190" t="s">
        <v>944</v>
      </c>
      <c r="E876" s="183" t="s">
        <v>945</v>
      </c>
      <c r="F876" s="183" t="s">
        <v>941</v>
      </c>
      <c r="G876" s="184">
        <v>0.5</v>
      </c>
      <c r="H876" s="185">
        <v>0</v>
      </c>
      <c r="I876" s="186">
        <v>85927.097156571996</v>
      </c>
      <c r="J876" s="187">
        <v>42963.548578285998</v>
      </c>
      <c r="K876" s="182" t="s">
        <v>2659</v>
      </c>
      <c r="L876" s="182">
        <v>2</v>
      </c>
      <c r="M876" s="182" t="s">
        <v>2661</v>
      </c>
      <c r="N876" s="186">
        <v>7</v>
      </c>
      <c r="O876" s="188">
        <v>7.1428571428571397E-2</v>
      </c>
      <c r="P876" s="188">
        <v>56</v>
      </c>
      <c r="Q876" s="188">
        <v>4</v>
      </c>
      <c r="R876" s="189">
        <v>4.03</v>
      </c>
      <c r="S876" s="189" t="s">
        <v>985</v>
      </c>
    </row>
    <row r="877" spans="1:19" ht="14.25" customHeight="1" x14ac:dyDescent="0.3">
      <c r="A877" s="182" t="s">
        <v>2662</v>
      </c>
      <c r="B877" s="182" t="s">
        <v>563</v>
      </c>
      <c r="C877" s="182"/>
      <c r="D877" s="182" t="s">
        <v>948</v>
      </c>
      <c r="E877" s="183" t="s">
        <v>949</v>
      </c>
      <c r="F877" s="183"/>
      <c r="G877" s="184">
        <v>0.5</v>
      </c>
      <c r="H877" s="185">
        <v>0</v>
      </c>
      <c r="I877" s="186">
        <v>571.17949098076099</v>
      </c>
      <c r="J877" s="187">
        <v>285.58974549038101</v>
      </c>
      <c r="K877" s="182" t="s">
        <v>2663</v>
      </c>
      <c r="L877" s="182">
        <v>1</v>
      </c>
      <c r="M877" s="182" t="s">
        <v>2664</v>
      </c>
      <c r="N877" s="186">
        <v>15</v>
      </c>
      <c r="O877" s="188">
        <v>0.5</v>
      </c>
      <c r="P877" s="188" t="s">
        <v>573</v>
      </c>
      <c r="Q877" s="188">
        <v>0</v>
      </c>
      <c r="R877" s="189" t="s">
        <v>573</v>
      </c>
      <c r="S877" s="189" t="s">
        <v>573</v>
      </c>
    </row>
    <row r="878" spans="1:19" ht="14.25" customHeight="1" x14ac:dyDescent="0.3">
      <c r="A878" s="182" t="s">
        <v>2662</v>
      </c>
      <c r="B878" s="182" t="s">
        <v>563</v>
      </c>
      <c r="C878" s="182"/>
      <c r="D878" s="182" t="s">
        <v>952</v>
      </c>
      <c r="E878" s="183" t="s">
        <v>953</v>
      </c>
      <c r="F878" s="183"/>
      <c r="G878" s="184">
        <v>1</v>
      </c>
      <c r="H878" s="185">
        <v>0</v>
      </c>
      <c r="I878" s="186">
        <v>2287.1357450968098</v>
      </c>
      <c r="J878" s="187">
        <v>2287.1357450968098</v>
      </c>
      <c r="K878" s="182" t="s">
        <v>2663</v>
      </c>
      <c r="L878" s="182">
        <v>2</v>
      </c>
      <c r="M878" s="182" t="s">
        <v>2665</v>
      </c>
      <c r="N878" s="186">
        <v>15</v>
      </c>
      <c r="O878" s="188">
        <v>1</v>
      </c>
      <c r="P878" s="188" t="s">
        <v>573</v>
      </c>
      <c r="Q878" s="188">
        <v>0</v>
      </c>
      <c r="R878" s="189" t="s">
        <v>573</v>
      </c>
      <c r="S878" s="189" t="s">
        <v>573</v>
      </c>
    </row>
    <row r="879" spans="1:19" ht="14.25" customHeight="1" x14ac:dyDescent="0.3">
      <c r="A879" s="182" t="s">
        <v>2662</v>
      </c>
      <c r="B879" s="182" t="s">
        <v>563</v>
      </c>
      <c r="C879" s="182"/>
      <c r="D879" s="182" t="s">
        <v>955</v>
      </c>
      <c r="E879" s="183" t="s">
        <v>956</v>
      </c>
      <c r="F879" s="183"/>
      <c r="G879" s="184">
        <v>1</v>
      </c>
      <c r="H879" s="185">
        <v>0</v>
      </c>
      <c r="I879" s="186">
        <v>957.25319614994703</v>
      </c>
      <c r="J879" s="187">
        <v>957.25319614994703</v>
      </c>
      <c r="K879" s="182" t="s">
        <v>2663</v>
      </c>
      <c r="L879" s="182">
        <v>3</v>
      </c>
      <c r="M879" s="182" t="s">
        <v>2666</v>
      </c>
      <c r="N879" s="186">
        <v>15</v>
      </c>
      <c r="O879" s="188">
        <v>1</v>
      </c>
      <c r="P879" s="188" t="s">
        <v>573</v>
      </c>
      <c r="Q879" s="188">
        <v>0</v>
      </c>
      <c r="R879" s="189" t="s">
        <v>573</v>
      </c>
      <c r="S879" s="189" t="s">
        <v>573</v>
      </c>
    </row>
    <row r="880" spans="1:19" ht="14.25" customHeight="1" x14ac:dyDescent="0.3">
      <c r="A880" s="182" t="s">
        <v>2662</v>
      </c>
      <c r="B880" s="182" t="s">
        <v>908</v>
      </c>
      <c r="C880" s="182" t="s">
        <v>909</v>
      </c>
      <c r="D880" s="182" t="s">
        <v>958</v>
      </c>
      <c r="E880" s="183" t="s">
        <v>959</v>
      </c>
      <c r="F880" s="183" t="s">
        <v>600</v>
      </c>
      <c r="G880" s="184">
        <v>0.17</v>
      </c>
      <c r="H880" s="185">
        <v>0.1</v>
      </c>
      <c r="I880" s="186">
        <v>3424.53</v>
      </c>
      <c r="J880" s="187">
        <v>640.38711000000001</v>
      </c>
      <c r="K880" s="182" t="s">
        <v>2667</v>
      </c>
      <c r="L880" s="182">
        <v>1</v>
      </c>
      <c r="M880" s="182" t="s">
        <v>2668</v>
      </c>
      <c r="N880" s="186">
        <v>15</v>
      </c>
      <c r="O880" s="188">
        <v>0.17</v>
      </c>
      <c r="P880" s="188" t="s">
        <v>573</v>
      </c>
      <c r="Q880" s="188">
        <v>0</v>
      </c>
      <c r="R880" s="189" t="s">
        <v>573</v>
      </c>
      <c r="S880" s="189" t="s">
        <v>573</v>
      </c>
    </row>
    <row r="881" spans="1:19" ht="14.25" customHeight="1" x14ac:dyDescent="0.3">
      <c r="A881" s="182" t="s">
        <v>2662</v>
      </c>
      <c r="B881" s="182" t="s">
        <v>908</v>
      </c>
      <c r="C881" s="182" t="s">
        <v>909</v>
      </c>
      <c r="D881" s="182" t="s">
        <v>962</v>
      </c>
      <c r="E881" s="183" t="s">
        <v>963</v>
      </c>
      <c r="F881" s="183" t="s">
        <v>590</v>
      </c>
      <c r="G881" s="184">
        <v>1.7999999999999999E-2</v>
      </c>
      <c r="H881" s="185">
        <v>0.1</v>
      </c>
      <c r="I881" s="186">
        <v>32399.77</v>
      </c>
      <c r="J881" s="187">
        <v>641.515446</v>
      </c>
      <c r="K881" s="182" t="s">
        <v>2667</v>
      </c>
      <c r="L881" s="182">
        <v>2</v>
      </c>
      <c r="M881" s="182" t="s">
        <v>2669</v>
      </c>
      <c r="N881" s="186">
        <v>15</v>
      </c>
      <c r="O881" s="188">
        <v>1.7999999999999999E-2</v>
      </c>
      <c r="P881" s="188" t="s">
        <v>573</v>
      </c>
      <c r="Q881" s="188">
        <v>0</v>
      </c>
      <c r="R881" s="189" t="s">
        <v>573</v>
      </c>
      <c r="S881" s="189" t="s">
        <v>573</v>
      </c>
    </row>
    <row r="882" spans="1:19" ht="14.25" customHeight="1" x14ac:dyDescent="0.3">
      <c r="A882" s="182" t="s">
        <v>2662</v>
      </c>
      <c r="B882" s="182" t="s">
        <v>908</v>
      </c>
      <c r="C882" s="182" t="s">
        <v>909</v>
      </c>
      <c r="D882" s="182" t="s">
        <v>965</v>
      </c>
      <c r="E882" s="183" t="s">
        <v>966</v>
      </c>
      <c r="F882" s="183" t="s">
        <v>967</v>
      </c>
      <c r="G882" s="184">
        <v>7.4999999999999997E-2</v>
      </c>
      <c r="H882" s="185">
        <v>0.1</v>
      </c>
      <c r="I882" s="186">
        <v>7809.48</v>
      </c>
      <c r="J882" s="187">
        <v>644.28210000000001</v>
      </c>
      <c r="K882" s="182" t="s">
        <v>2667</v>
      </c>
      <c r="L882" s="182">
        <v>3</v>
      </c>
      <c r="M882" s="182" t="s">
        <v>2670</v>
      </c>
      <c r="N882" s="186">
        <v>15</v>
      </c>
      <c r="O882" s="188">
        <v>7.4999999999999997E-2</v>
      </c>
      <c r="P882" s="188" t="s">
        <v>573</v>
      </c>
      <c r="Q882" s="188">
        <v>0</v>
      </c>
      <c r="R882" s="189" t="s">
        <v>573</v>
      </c>
      <c r="S882" s="189" t="s">
        <v>573</v>
      </c>
    </row>
    <row r="883" spans="1:19" ht="14.25" customHeight="1" x14ac:dyDescent="0.3">
      <c r="A883" s="182" t="s">
        <v>2662</v>
      </c>
      <c r="B883" s="182" t="s">
        <v>908</v>
      </c>
      <c r="C883" s="182" t="s">
        <v>909</v>
      </c>
      <c r="D883" s="182" t="s">
        <v>969</v>
      </c>
      <c r="E883" s="183" t="s">
        <v>970</v>
      </c>
      <c r="F883" s="183" t="s">
        <v>971</v>
      </c>
      <c r="G883" s="184">
        <v>0.15</v>
      </c>
      <c r="H883" s="185">
        <v>0.1</v>
      </c>
      <c r="I883" s="186">
        <v>3837.96</v>
      </c>
      <c r="J883" s="187">
        <v>633.26340000000005</v>
      </c>
      <c r="K883" s="182" t="s">
        <v>2667</v>
      </c>
      <c r="L883" s="182">
        <v>4</v>
      </c>
      <c r="M883" s="182" t="s">
        <v>2671</v>
      </c>
      <c r="N883" s="186">
        <v>15</v>
      </c>
      <c r="O883" s="188">
        <v>0.15</v>
      </c>
      <c r="P883" s="188" t="s">
        <v>573</v>
      </c>
      <c r="Q883" s="188">
        <v>0</v>
      </c>
      <c r="R883" s="189" t="s">
        <v>573</v>
      </c>
      <c r="S883" s="189" t="s">
        <v>573</v>
      </c>
    </row>
    <row r="884" spans="1:19" ht="14.25" customHeight="1" x14ac:dyDescent="0.3">
      <c r="A884" s="182" t="s">
        <v>2662</v>
      </c>
      <c r="B884" s="182" t="s">
        <v>908</v>
      </c>
      <c r="C884" s="182" t="s">
        <v>909</v>
      </c>
      <c r="D884" s="182" t="s">
        <v>1069</v>
      </c>
      <c r="E884" s="183" t="s">
        <v>1070</v>
      </c>
      <c r="F884" s="183" t="s">
        <v>600</v>
      </c>
      <c r="G884" s="184">
        <v>15</v>
      </c>
      <c r="H884" s="185">
        <v>0.05</v>
      </c>
      <c r="I884" s="186">
        <v>563.22</v>
      </c>
      <c r="J884" s="187">
        <v>8870.7150000000001</v>
      </c>
      <c r="K884" s="182" t="s">
        <v>2667</v>
      </c>
      <c r="L884" s="182">
        <v>5</v>
      </c>
      <c r="M884" s="182" t="s">
        <v>2672</v>
      </c>
      <c r="N884" s="186">
        <v>15</v>
      </c>
      <c r="O884" s="188">
        <v>15</v>
      </c>
      <c r="P884" s="188" t="s">
        <v>573</v>
      </c>
      <c r="Q884" s="188">
        <v>0</v>
      </c>
      <c r="R884" s="189" t="s">
        <v>573</v>
      </c>
      <c r="S884" s="189" t="s">
        <v>573</v>
      </c>
    </row>
    <row r="885" spans="1:19" ht="14.25" customHeight="1" x14ac:dyDescent="0.3">
      <c r="A885" s="182" t="s">
        <v>2662</v>
      </c>
      <c r="B885" s="182" t="s">
        <v>937</v>
      </c>
      <c r="C885" s="182" t="s">
        <v>938</v>
      </c>
      <c r="D885" s="190" t="s">
        <v>939</v>
      </c>
      <c r="E885" s="183" t="s">
        <v>940</v>
      </c>
      <c r="F885" s="183" t="s">
        <v>941</v>
      </c>
      <c r="G885" s="184">
        <v>1</v>
      </c>
      <c r="H885" s="185">
        <v>0</v>
      </c>
      <c r="I885" s="186">
        <v>60860.580776572002</v>
      </c>
      <c r="J885" s="187">
        <v>60860.580776572002</v>
      </c>
      <c r="K885" s="182" t="s">
        <v>2673</v>
      </c>
      <c r="L885" s="182">
        <v>1</v>
      </c>
      <c r="M885" s="182" t="s">
        <v>2674</v>
      </c>
      <c r="N885" s="186">
        <v>15</v>
      </c>
      <c r="O885" s="188">
        <v>6.6666666666666693E-2</v>
      </c>
      <c r="P885" s="188" t="s">
        <v>573</v>
      </c>
      <c r="Q885" s="188">
        <v>0</v>
      </c>
      <c r="R885" s="189" t="s">
        <v>573</v>
      </c>
      <c r="S885" s="189" t="s">
        <v>573</v>
      </c>
    </row>
    <row r="886" spans="1:19" ht="14.25" customHeight="1" x14ac:dyDescent="0.3">
      <c r="A886" s="182" t="s">
        <v>2662</v>
      </c>
      <c r="B886" s="182" t="s">
        <v>937</v>
      </c>
      <c r="C886" s="182" t="s">
        <v>938</v>
      </c>
      <c r="D886" s="190" t="s">
        <v>944</v>
      </c>
      <c r="E886" s="183" t="s">
        <v>945</v>
      </c>
      <c r="F886" s="183" t="s">
        <v>941</v>
      </c>
      <c r="G886" s="184">
        <v>1</v>
      </c>
      <c r="H886" s="185">
        <v>0</v>
      </c>
      <c r="I886" s="186">
        <v>85927.097156571996</v>
      </c>
      <c r="J886" s="187">
        <v>85927.097156571996</v>
      </c>
      <c r="K886" s="182" t="s">
        <v>2673</v>
      </c>
      <c r="L886" s="182">
        <v>2</v>
      </c>
      <c r="M886" s="182" t="s">
        <v>2675</v>
      </c>
      <c r="N886" s="186">
        <v>15</v>
      </c>
      <c r="O886" s="188">
        <v>6.6666666666666693E-2</v>
      </c>
      <c r="P886" s="188" t="s">
        <v>573</v>
      </c>
      <c r="Q886" s="188">
        <v>0</v>
      </c>
      <c r="R886" s="189" t="s">
        <v>573</v>
      </c>
      <c r="S886" s="189" t="s">
        <v>573</v>
      </c>
    </row>
    <row r="887" spans="1:19" ht="14.25" customHeight="1" x14ac:dyDescent="0.3">
      <c r="A887" s="182" t="s">
        <v>2676</v>
      </c>
      <c r="B887" s="182" t="s">
        <v>563</v>
      </c>
      <c r="C887" s="182"/>
      <c r="D887" s="182" t="s">
        <v>2677</v>
      </c>
      <c r="E887" s="183" t="s">
        <v>2678</v>
      </c>
      <c r="F887" s="183"/>
      <c r="G887" s="184">
        <v>1</v>
      </c>
      <c r="H887" s="185">
        <v>0</v>
      </c>
      <c r="I887" s="186">
        <v>409.54162235694002</v>
      </c>
      <c r="J887" s="187">
        <v>409.54162235694002</v>
      </c>
      <c r="K887" s="182" t="s">
        <v>2679</v>
      </c>
      <c r="L887" s="182">
        <v>1</v>
      </c>
      <c r="M887" s="182" t="s">
        <v>2680</v>
      </c>
      <c r="N887" s="186">
        <v>1</v>
      </c>
      <c r="O887" s="188">
        <v>1</v>
      </c>
      <c r="P887" s="188">
        <v>70</v>
      </c>
      <c r="Q887" s="188">
        <v>70</v>
      </c>
      <c r="R887" s="189">
        <v>4.05</v>
      </c>
      <c r="S887" s="189" t="s">
        <v>985</v>
      </c>
    </row>
    <row r="888" spans="1:19" ht="14.25" customHeight="1" x14ac:dyDescent="0.3">
      <c r="A888" s="182" t="s">
        <v>2676</v>
      </c>
      <c r="B888" s="182" t="s">
        <v>908</v>
      </c>
      <c r="C888" s="182" t="s">
        <v>1358</v>
      </c>
      <c r="D888" s="182" t="s">
        <v>2681</v>
      </c>
      <c r="E888" s="183" t="s">
        <v>2682</v>
      </c>
      <c r="F888" s="183" t="s">
        <v>600</v>
      </c>
      <c r="G888" s="184">
        <v>8.5</v>
      </c>
      <c r="H888" s="185">
        <v>0</v>
      </c>
      <c r="I888" s="186">
        <v>1516.11</v>
      </c>
      <c r="J888" s="187">
        <v>12886.934999999999</v>
      </c>
      <c r="K888" s="182" t="s">
        <v>2683</v>
      </c>
      <c r="L888" s="182">
        <v>1</v>
      </c>
      <c r="M888" s="182" t="s">
        <v>2684</v>
      </c>
      <c r="N888" s="186">
        <v>1</v>
      </c>
      <c r="O888" s="188">
        <v>8.5</v>
      </c>
      <c r="P888" s="188">
        <v>70</v>
      </c>
      <c r="Q888" s="188">
        <v>595</v>
      </c>
      <c r="R888" s="189">
        <v>4.05</v>
      </c>
      <c r="S888" s="189" t="s">
        <v>985</v>
      </c>
    </row>
    <row r="889" spans="1:19" ht="14.25" customHeight="1" x14ac:dyDescent="0.3">
      <c r="A889" s="182" t="s">
        <v>2676</v>
      </c>
      <c r="B889" s="182" t="s">
        <v>908</v>
      </c>
      <c r="C889" s="182" t="s">
        <v>1358</v>
      </c>
      <c r="D889" s="182" t="s">
        <v>976</v>
      </c>
      <c r="E889" s="183" t="s">
        <v>977</v>
      </c>
      <c r="F889" s="183" t="s">
        <v>576</v>
      </c>
      <c r="G889" s="184">
        <v>2660.95511429</v>
      </c>
      <c r="H889" s="185">
        <v>0</v>
      </c>
      <c r="I889" s="186">
        <v>1</v>
      </c>
      <c r="J889" s="187">
        <v>2660.95511429</v>
      </c>
      <c r="K889" s="182" t="s">
        <v>2683</v>
      </c>
      <c r="L889" s="182">
        <v>2</v>
      </c>
      <c r="M889" s="182" t="s">
        <v>2685</v>
      </c>
      <c r="N889" s="186">
        <v>1</v>
      </c>
      <c r="O889" s="188">
        <v>2660.95511429</v>
      </c>
      <c r="P889" s="188">
        <v>70</v>
      </c>
      <c r="Q889" s="188">
        <v>186266.85800030001</v>
      </c>
      <c r="R889" s="189">
        <v>4.05</v>
      </c>
      <c r="S889" s="189" t="s">
        <v>985</v>
      </c>
    </row>
    <row r="890" spans="1:19" ht="14.25" customHeight="1" x14ac:dyDescent="0.3">
      <c r="A890" s="182" t="s">
        <v>2676</v>
      </c>
      <c r="B890" s="182" t="s">
        <v>908</v>
      </c>
      <c r="C890" s="182" t="s">
        <v>1358</v>
      </c>
      <c r="D890" s="182" t="s">
        <v>2407</v>
      </c>
      <c r="E890" s="183" t="s">
        <v>2408</v>
      </c>
      <c r="F890" s="183" t="s">
        <v>1046</v>
      </c>
      <c r="G890" s="184">
        <v>0.17142857142857101</v>
      </c>
      <c r="H890" s="185">
        <v>0</v>
      </c>
      <c r="I890" s="186">
        <v>1704.41</v>
      </c>
      <c r="J890" s="187">
        <v>292.18457142857102</v>
      </c>
      <c r="K890" s="182" t="s">
        <v>2683</v>
      </c>
      <c r="L890" s="182">
        <v>3</v>
      </c>
      <c r="M890" s="182" t="s">
        <v>2686</v>
      </c>
      <c r="N890" s="186">
        <v>1</v>
      </c>
      <c r="O890" s="188">
        <v>0.17142857142857101</v>
      </c>
      <c r="P890" s="188">
        <v>70</v>
      </c>
      <c r="Q890" s="188">
        <v>12</v>
      </c>
      <c r="R890" s="189">
        <v>4.05</v>
      </c>
      <c r="S890" s="189" t="s">
        <v>985</v>
      </c>
    </row>
    <row r="891" spans="1:19" ht="14.25" customHeight="1" x14ac:dyDescent="0.3">
      <c r="A891" s="182" t="s">
        <v>2676</v>
      </c>
      <c r="B891" s="182" t="s">
        <v>908</v>
      </c>
      <c r="C891" s="182" t="s">
        <v>1358</v>
      </c>
      <c r="D891" s="182" t="s">
        <v>2687</v>
      </c>
      <c r="E891" s="183" t="s">
        <v>2688</v>
      </c>
      <c r="F891" s="183" t="s">
        <v>971</v>
      </c>
      <c r="G891" s="184">
        <v>0.1</v>
      </c>
      <c r="H891" s="185">
        <v>0</v>
      </c>
      <c r="I891" s="186">
        <v>9778.66</v>
      </c>
      <c r="J891" s="187">
        <v>977.86599999999999</v>
      </c>
      <c r="K891" s="182" t="s">
        <v>2683</v>
      </c>
      <c r="L891" s="182">
        <v>4</v>
      </c>
      <c r="M891" s="182" t="s">
        <v>2689</v>
      </c>
      <c r="N891" s="186">
        <v>1</v>
      </c>
      <c r="O891" s="188">
        <v>0.1</v>
      </c>
      <c r="P891" s="188">
        <v>70</v>
      </c>
      <c r="Q891" s="188">
        <v>7</v>
      </c>
      <c r="R891" s="189">
        <v>4.05</v>
      </c>
      <c r="S891" s="189" t="s">
        <v>985</v>
      </c>
    </row>
    <row r="892" spans="1:19" ht="14.25" customHeight="1" x14ac:dyDescent="0.3">
      <c r="A892" s="182" t="s">
        <v>2676</v>
      </c>
      <c r="B892" s="182" t="s">
        <v>937</v>
      </c>
      <c r="C892" s="182" t="s">
        <v>938</v>
      </c>
      <c r="D892" s="182" t="s">
        <v>939</v>
      </c>
      <c r="E892" s="183" t="s">
        <v>940</v>
      </c>
      <c r="F892" s="183" t="s">
        <v>941</v>
      </c>
      <c r="G892" s="184">
        <v>7.1428571428571397E-2</v>
      </c>
      <c r="H892" s="185">
        <v>0</v>
      </c>
      <c r="I892" s="186">
        <v>60860.580776572002</v>
      </c>
      <c r="J892" s="187">
        <v>4347.1843411837099</v>
      </c>
      <c r="K892" s="182" t="s">
        <v>2690</v>
      </c>
      <c r="L892" s="182">
        <v>1</v>
      </c>
      <c r="M892" s="182" t="s">
        <v>2691</v>
      </c>
      <c r="N892" s="186">
        <v>1</v>
      </c>
      <c r="O892" s="188">
        <v>7.1428571428571397E-2</v>
      </c>
      <c r="P892" s="188">
        <v>70</v>
      </c>
      <c r="Q892" s="188">
        <v>5</v>
      </c>
      <c r="R892" s="189">
        <v>4.05</v>
      </c>
      <c r="S892" s="189" t="s">
        <v>985</v>
      </c>
    </row>
    <row r="893" spans="1:19" ht="14.25" customHeight="1" x14ac:dyDescent="0.3">
      <c r="A893" s="182" t="s">
        <v>2676</v>
      </c>
      <c r="B893" s="182" t="s">
        <v>937</v>
      </c>
      <c r="C893" s="182" t="s">
        <v>938</v>
      </c>
      <c r="D893" s="190" t="s">
        <v>944</v>
      </c>
      <c r="E893" s="183" t="s">
        <v>945</v>
      </c>
      <c r="F893" s="183" t="s">
        <v>941</v>
      </c>
      <c r="G893" s="184">
        <v>7.1428571428571397E-2</v>
      </c>
      <c r="H893" s="185">
        <v>0</v>
      </c>
      <c r="I893" s="186">
        <v>85927.097156571996</v>
      </c>
      <c r="J893" s="187">
        <v>6137.6497968980002</v>
      </c>
      <c r="K893" s="182" t="s">
        <v>2690</v>
      </c>
      <c r="L893" s="182">
        <v>2</v>
      </c>
      <c r="M893" s="182" t="s">
        <v>2692</v>
      </c>
      <c r="N893" s="186">
        <v>1</v>
      </c>
      <c r="O893" s="188">
        <v>7.1428571428571397E-2</v>
      </c>
      <c r="P893" s="188">
        <v>70</v>
      </c>
      <c r="Q893" s="188">
        <v>5</v>
      </c>
      <c r="R893" s="189">
        <v>4.05</v>
      </c>
      <c r="S893" s="189" t="s">
        <v>985</v>
      </c>
    </row>
    <row r="894" spans="1:19" ht="14.25" customHeight="1" x14ac:dyDescent="0.3">
      <c r="A894" s="182" t="s">
        <v>2693</v>
      </c>
      <c r="B894" s="182" t="s">
        <v>563</v>
      </c>
      <c r="C894" s="182"/>
      <c r="D894" s="182" t="s">
        <v>948</v>
      </c>
      <c r="E894" s="183" t="s">
        <v>949</v>
      </c>
      <c r="F894" s="183"/>
      <c r="G894" s="184">
        <v>0.5</v>
      </c>
      <c r="H894" s="185">
        <v>0</v>
      </c>
      <c r="I894" s="186">
        <v>571.17949098076099</v>
      </c>
      <c r="J894" s="187">
        <v>285.58974549038101</v>
      </c>
      <c r="K894" s="182" t="s">
        <v>2694</v>
      </c>
      <c r="L894" s="182">
        <v>1</v>
      </c>
      <c r="M894" s="182" t="s">
        <v>2695</v>
      </c>
      <c r="N894" s="186">
        <v>15</v>
      </c>
      <c r="O894" s="188">
        <v>0.5</v>
      </c>
      <c r="P894" s="188" t="s">
        <v>573</v>
      </c>
      <c r="Q894" s="188">
        <v>0</v>
      </c>
      <c r="R894" s="189" t="s">
        <v>573</v>
      </c>
      <c r="S894" s="189" t="s">
        <v>573</v>
      </c>
    </row>
    <row r="895" spans="1:19" ht="14.25" customHeight="1" x14ac:dyDescent="0.3">
      <c r="A895" s="182" t="s">
        <v>2693</v>
      </c>
      <c r="B895" s="182" t="s">
        <v>563</v>
      </c>
      <c r="C895" s="182"/>
      <c r="D895" s="182" t="s">
        <v>952</v>
      </c>
      <c r="E895" s="183" t="s">
        <v>953</v>
      </c>
      <c r="F895" s="183"/>
      <c r="G895" s="184">
        <v>1</v>
      </c>
      <c r="H895" s="185">
        <v>0</v>
      </c>
      <c r="I895" s="186">
        <v>2287.1357450968098</v>
      </c>
      <c r="J895" s="187">
        <v>2287.1357450968098</v>
      </c>
      <c r="K895" s="182" t="s">
        <v>2694</v>
      </c>
      <c r="L895" s="182">
        <v>2</v>
      </c>
      <c r="M895" s="182" t="s">
        <v>2696</v>
      </c>
      <c r="N895" s="186">
        <v>15</v>
      </c>
      <c r="O895" s="188">
        <v>1</v>
      </c>
      <c r="P895" s="188" t="s">
        <v>573</v>
      </c>
      <c r="Q895" s="188">
        <v>0</v>
      </c>
      <c r="R895" s="189" t="s">
        <v>573</v>
      </c>
      <c r="S895" s="189" t="s">
        <v>573</v>
      </c>
    </row>
    <row r="896" spans="1:19" ht="14.25" customHeight="1" x14ac:dyDescent="0.3">
      <c r="A896" s="182" t="s">
        <v>2693</v>
      </c>
      <c r="B896" s="182" t="s">
        <v>563</v>
      </c>
      <c r="C896" s="182"/>
      <c r="D896" s="182" t="s">
        <v>955</v>
      </c>
      <c r="E896" s="183" t="s">
        <v>956</v>
      </c>
      <c r="F896" s="183"/>
      <c r="G896" s="184">
        <v>1</v>
      </c>
      <c r="H896" s="185">
        <v>0</v>
      </c>
      <c r="I896" s="186">
        <v>957.25319614994703</v>
      </c>
      <c r="J896" s="187">
        <v>957.25319614994703</v>
      </c>
      <c r="K896" s="182" t="s">
        <v>2694</v>
      </c>
      <c r="L896" s="182">
        <v>3</v>
      </c>
      <c r="M896" s="182" t="s">
        <v>2697</v>
      </c>
      <c r="N896" s="186">
        <v>15</v>
      </c>
      <c r="O896" s="188">
        <v>1</v>
      </c>
      <c r="P896" s="188" t="s">
        <v>573</v>
      </c>
      <c r="Q896" s="188">
        <v>0</v>
      </c>
      <c r="R896" s="189" t="s">
        <v>573</v>
      </c>
      <c r="S896" s="189" t="s">
        <v>573</v>
      </c>
    </row>
    <row r="897" spans="1:19" ht="14.25" customHeight="1" x14ac:dyDescent="0.3">
      <c r="A897" s="182" t="s">
        <v>2693</v>
      </c>
      <c r="B897" s="182" t="s">
        <v>908</v>
      </c>
      <c r="C897" s="182" t="s">
        <v>909</v>
      </c>
      <c r="D897" s="182" t="s">
        <v>958</v>
      </c>
      <c r="E897" s="183" t="s">
        <v>959</v>
      </c>
      <c r="F897" s="183" t="s">
        <v>600</v>
      </c>
      <c r="G897" s="184">
        <v>0.17</v>
      </c>
      <c r="H897" s="185">
        <v>0.1</v>
      </c>
      <c r="I897" s="186">
        <v>3424.53</v>
      </c>
      <c r="J897" s="187">
        <v>640.38711000000001</v>
      </c>
      <c r="K897" s="182" t="s">
        <v>2698</v>
      </c>
      <c r="L897" s="182">
        <v>1</v>
      </c>
      <c r="M897" s="182" t="s">
        <v>2699</v>
      </c>
      <c r="N897" s="186">
        <v>15</v>
      </c>
      <c r="O897" s="188">
        <v>0.17</v>
      </c>
      <c r="P897" s="188" t="s">
        <v>573</v>
      </c>
      <c r="Q897" s="188">
        <v>0</v>
      </c>
      <c r="R897" s="189" t="s">
        <v>573</v>
      </c>
      <c r="S897" s="189" t="s">
        <v>573</v>
      </c>
    </row>
    <row r="898" spans="1:19" ht="14.25" customHeight="1" x14ac:dyDescent="0.3">
      <c r="A898" s="182" t="s">
        <v>2693</v>
      </c>
      <c r="B898" s="182" t="s">
        <v>908</v>
      </c>
      <c r="C898" s="182" t="s">
        <v>909</v>
      </c>
      <c r="D898" s="182" t="s">
        <v>962</v>
      </c>
      <c r="E898" s="183" t="s">
        <v>963</v>
      </c>
      <c r="F898" s="183" t="s">
        <v>590</v>
      </c>
      <c r="G898" s="184">
        <v>2.4E-2</v>
      </c>
      <c r="H898" s="185">
        <v>0.1</v>
      </c>
      <c r="I898" s="186">
        <v>32399.77</v>
      </c>
      <c r="J898" s="187">
        <v>855.353928</v>
      </c>
      <c r="K898" s="182" t="s">
        <v>2698</v>
      </c>
      <c r="L898" s="182">
        <v>2</v>
      </c>
      <c r="M898" s="182" t="s">
        <v>2700</v>
      </c>
      <c r="N898" s="186">
        <v>15</v>
      </c>
      <c r="O898" s="188">
        <v>2.4E-2</v>
      </c>
      <c r="P898" s="188" t="s">
        <v>573</v>
      </c>
      <c r="Q898" s="188">
        <v>0</v>
      </c>
      <c r="R898" s="189" t="s">
        <v>573</v>
      </c>
      <c r="S898" s="189" t="s">
        <v>573</v>
      </c>
    </row>
    <row r="899" spans="1:19" ht="14.25" customHeight="1" x14ac:dyDescent="0.3">
      <c r="A899" s="182" t="s">
        <v>2693</v>
      </c>
      <c r="B899" s="182" t="s">
        <v>908</v>
      </c>
      <c r="C899" s="182" t="s">
        <v>909</v>
      </c>
      <c r="D899" s="182" t="s">
        <v>965</v>
      </c>
      <c r="E899" s="183" t="s">
        <v>966</v>
      </c>
      <c r="F899" s="183" t="s">
        <v>967</v>
      </c>
      <c r="G899" s="184">
        <v>0.1</v>
      </c>
      <c r="H899" s="185">
        <v>0.1</v>
      </c>
      <c r="I899" s="186">
        <v>7809.48</v>
      </c>
      <c r="J899" s="187">
        <v>859.04280000000006</v>
      </c>
      <c r="K899" s="182" t="s">
        <v>2698</v>
      </c>
      <c r="L899" s="182">
        <v>3</v>
      </c>
      <c r="M899" s="182" t="s">
        <v>2701</v>
      </c>
      <c r="N899" s="186">
        <v>15</v>
      </c>
      <c r="O899" s="188">
        <v>0.1</v>
      </c>
      <c r="P899" s="188" t="s">
        <v>573</v>
      </c>
      <c r="Q899" s="188">
        <v>0</v>
      </c>
      <c r="R899" s="189" t="s">
        <v>573</v>
      </c>
      <c r="S899" s="189" t="s">
        <v>573</v>
      </c>
    </row>
    <row r="900" spans="1:19" ht="14.25" customHeight="1" x14ac:dyDescent="0.3">
      <c r="A900" s="182" t="s">
        <v>2693</v>
      </c>
      <c r="B900" s="182" t="s">
        <v>908</v>
      </c>
      <c r="C900" s="182" t="s">
        <v>909</v>
      </c>
      <c r="D900" s="182" t="s">
        <v>969</v>
      </c>
      <c r="E900" s="183" t="s">
        <v>970</v>
      </c>
      <c r="F900" s="183" t="s">
        <v>971</v>
      </c>
      <c r="G900" s="184">
        <v>0.2</v>
      </c>
      <c r="H900" s="185">
        <v>0.1</v>
      </c>
      <c r="I900" s="186">
        <v>3837.96</v>
      </c>
      <c r="J900" s="187">
        <v>844.35119999999995</v>
      </c>
      <c r="K900" s="182" t="s">
        <v>2698</v>
      </c>
      <c r="L900" s="182">
        <v>4</v>
      </c>
      <c r="M900" s="182" t="s">
        <v>2702</v>
      </c>
      <c r="N900" s="186">
        <v>15</v>
      </c>
      <c r="O900" s="188">
        <v>0.2</v>
      </c>
      <c r="P900" s="188" t="s">
        <v>573</v>
      </c>
      <c r="Q900" s="188">
        <v>0</v>
      </c>
      <c r="R900" s="189" t="s">
        <v>573</v>
      </c>
      <c r="S900" s="189" t="s">
        <v>573</v>
      </c>
    </row>
    <row r="901" spans="1:19" ht="14.25" customHeight="1" x14ac:dyDescent="0.3">
      <c r="A901" s="182" t="s">
        <v>2693</v>
      </c>
      <c r="B901" s="182" t="s">
        <v>908</v>
      </c>
      <c r="C901" s="182" t="s">
        <v>909</v>
      </c>
      <c r="D901" s="182" t="s">
        <v>1027</v>
      </c>
      <c r="E901" s="183" t="s">
        <v>1028</v>
      </c>
      <c r="F901" s="183" t="s">
        <v>600</v>
      </c>
      <c r="G901" s="184">
        <v>15</v>
      </c>
      <c r="H901" s="185">
        <v>0.05</v>
      </c>
      <c r="I901" s="186">
        <v>519.12</v>
      </c>
      <c r="J901" s="187">
        <v>8176.14</v>
      </c>
      <c r="K901" s="182" t="s">
        <v>2698</v>
      </c>
      <c r="L901" s="182">
        <v>5</v>
      </c>
      <c r="M901" s="182" t="s">
        <v>2703</v>
      </c>
      <c r="N901" s="186">
        <v>15</v>
      </c>
      <c r="O901" s="188">
        <v>15</v>
      </c>
      <c r="P901" s="188" t="s">
        <v>573</v>
      </c>
      <c r="Q901" s="188">
        <v>0</v>
      </c>
      <c r="R901" s="189" t="s">
        <v>573</v>
      </c>
      <c r="S901" s="189" t="s">
        <v>573</v>
      </c>
    </row>
    <row r="902" spans="1:19" ht="14.25" customHeight="1" x14ac:dyDescent="0.3">
      <c r="A902" s="182" t="s">
        <v>2693</v>
      </c>
      <c r="B902" s="182" t="s">
        <v>937</v>
      </c>
      <c r="C902" s="182" t="s">
        <v>938</v>
      </c>
      <c r="D902" s="190" t="s">
        <v>939</v>
      </c>
      <c r="E902" s="183" t="s">
        <v>940</v>
      </c>
      <c r="F902" s="183" t="s">
        <v>941</v>
      </c>
      <c r="G902" s="184">
        <v>1</v>
      </c>
      <c r="H902" s="185">
        <v>0</v>
      </c>
      <c r="I902" s="186">
        <v>60860.580776572002</v>
      </c>
      <c r="J902" s="187">
        <v>60860.580776572002</v>
      </c>
      <c r="K902" s="182" t="s">
        <v>2704</v>
      </c>
      <c r="L902" s="182">
        <v>1</v>
      </c>
      <c r="M902" s="182" t="s">
        <v>2705</v>
      </c>
      <c r="N902" s="186">
        <v>15</v>
      </c>
      <c r="O902" s="188">
        <v>6.6666666666666693E-2</v>
      </c>
      <c r="P902" s="188" t="s">
        <v>573</v>
      </c>
      <c r="Q902" s="188">
        <v>0</v>
      </c>
      <c r="R902" s="189" t="s">
        <v>573</v>
      </c>
      <c r="S902" s="189" t="s">
        <v>573</v>
      </c>
    </row>
    <row r="903" spans="1:19" ht="14.25" customHeight="1" x14ac:dyDescent="0.3">
      <c r="A903" s="182" t="s">
        <v>2693</v>
      </c>
      <c r="B903" s="182" t="s">
        <v>937</v>
      </c>
      <c r="C903" s="182" t="s">
        <v>938</v>
      </c>
      <c r="D903" s="190" t="s">
        <v>944</v>
      </c>
      <c r="E903" s="183" t="s">
        <v>945</v>
      </c>
      <c r="F903" s="183" t="s">
        <v>941</v>
      </c>
      <c r="G903" s="184">
        <v>1</v>
      </c>
      <c r="H903" s="185">
        <v>0</v>
      </c>
      <c r="I903" s="186">
        <v>85927.097156571996</v>
      </c>
      <c r="J903" s="187">
        <v>85927.097156571996</v>
      </c>
      <c r="K903" s="182" t="s">
        <v>2704</v>
      </c>
      <c r="L903" s="182">
        <v>2</v>
      </c>
      <c r="M903" s="182" t="s">
        <v>2706</v>
      </c>
      <c r="N903" s="186">
        <v>15</v>
      </c>
      <c r="O903" s="188">
        <v>6.6666666666666693E-2</v>
      </c>
      <c r="P903" s="188" t="s">
        <v>573</v>
      </c>
      <c r="Q903" s="188">
        <v>0</v>
      </c>
      <c r="R903" s="189" t="s">
        <v>573</v>
      </c>
      <c r="S903" s="189" t="s">
        <v>573</v>
      </c>
    </row>
    <row r="904" spans="1:19" ht="14.25" customHeight="1" x14ac:dyDescent="0.3">
      <c r="A904" s="182" t="s">
        <v>2707</v>
      </c>
      <c r="B904" s="182" t="s">
        <v>563</v>
      </c>
      <c r="C904" s="182"/>
      <c r="D904" s="182" t="s">
        <v>948</v>
      </c>
      <c r="E904" s="183" t="s">
        <v>949</v>
      </c>
      <c r="F904" s="183"/>
      <c r="G904" s="184">
        <v>0.25</v>
      </c>
      <c r="H904" s="185">
        <v>0</v>
      </c>
      <c r="I904" s="186">
        <v>571.17949098076099</v>
      </c>
      <c r="J904" s="187">
        <v>142.79487274518999</v>
      </c>
      <c r="K904" s="182" t="s">
        <v>2708</v>
      </c>
      <c r="L904" s="182">
        <v>1</v>
      </c>
      <c r="M904" s="182" t="s">
        <v>2709</v>
      </c>
      <c r="N904" s="186">
        <v>7</v>
      </c>
      <c r="O904" s="188">
        <v>0.25</v>
      </c>
      <c r="P904" s="188">
        <v>193</v>
      </c>
      <c r="Q904" s="188">
        <v>48.25</v>
      </c>
      <c r="R904" s="189">
        <v>4.07</v>
      </c>
      <c r="S904" s="189" t="s">
        <v>985</v>
      </c>
    </row>
    <row r="905" spans="1:19" ht="14.25" customHeight="1" x14ac:dyDescent="0.3">
      <c r="A905" s="182" t="s">
        <v>2707</v>
      </c>
      <c r="B905" s="182" t="s">
        <v>563</v>
      </c>
      <c r="C905" s="182"/>
      <c r="D905" s="182" t="s">
        <v>952</v>
      </c>
      <c r="E905" s="183" t="s">
        <v>953</v>
      </c>
      <c r="F905" s="183"/>
      <c r="G905" s="184">
        <v>0.5</v>
      </c>
      <c r="H905" s="185">
        <v>0</v>
      </c>
      <c r="I905" s="186">
        <v>2287.1357450968098</v>
      </c>
      <c r="J905" s="187">
        <v>1143.5678725483999</v>
      </c>
      <c r="K905" s="182" t="s">
        <v>2708</v>
      </c>
      <c r="L905" s="182">
        <v>2</v>
      </c>
      <c r="M905" s="182" t="s">
        <v>2710</v>
      </c>
      <c r="N905" s="186">
        <v>7</v>
      </c>
      <c r="O905" s="188">
        <v>0.5</v>
      </c>
      <c r="P905" s="188">
        <v>193</v>
      </c>
      <c r="Q905" s="188">
        <v>96.5</v>
      </c>
      <c r="R905" s="189">
        <v>4.07</v>
      </c>
      <c r="S905" s="189" t="s">
        <v>985</v>
      </c>
    </row>
    <row r="906" spans="1:19" ht="14.25" customHeight="1" x14ac:dyDescent="0.3">
      <c r="A906" s="182" t="s">
        <v>2707</v>
      </c>
      <c r="B906" s="182" t="s">
        <v>563</v>
      </c>
      <c r="C906" s="182"/>
      <c r="D906" s="182" t="s">
        <v>955</v>
      </c>
      <c r="E906" s="183" t="s">
        <v>956</v>
      </c>
      <c r="F906" s="183"/>
      <c r="G906" s="184">
        <v>0.5</v>
      </c>
      <c r="H906" s="185">
        <v>0</v>
      </c>
      <c r="I906" s="186">
        <v>957.25319614994703</v>
      </c>
      <c r="J906" s="187">
        <v>478.62659807497403</v>
      </c>
      <c r="K906" s="182" t="s">
        <v>2708</v>
      </c>
      <c r="L906" s="182">
        <v>3</v>
      </c>
      <c r="M906" s="182" t="s">
        <v>2711</v>
      </c>
      <c r="N906" s="186">
        <v>7</v>
      </c>
      <c r="O906" s="188">
        <v>0.5</v>
      </c>
      <c r="P906" s="188">
        <v>193</v>
      </c>
      <c r="Q906" s="188">
        <v>96.5</v>
      </c>
      <c r="R906" s="189">
        <v>4.07</v>
      </c>
      <c r="S906" s="189" t="s">
        <v>985</v>
      </c>
    </row>
    <row r="907" spans="1:19" ht="14.25" customHeight="1" x14ac:dyDescent="0.3">
      <c r="A907" s="182" t="s">
        <v>2707</v>
      </c>
      <c r="B907" s="182" t="s">
        <v>908</v>
      </c>
      <c r="C907" s="182" t="s">
        <v>909</v>
      </c>
      <c r="D907" s="182" t="s">
        <v>958</v>
      </c>
      <c r="E907" s="183" t="s">
        <v>959</v>
      </c>
      <c r="F907" s="183" t="s">
        <v>600</v>
      </c>
      <c r="G907" s="184">
        <v>4.2500000000000003E-2</v>
      </c>
      <c r="H907" s="185">
        <v>0.1</v>
      </c>
      <c r="I907" s="186">
        <v>3424.53</v>
      </c>
      <c r="J907" s="187">
        <v>160.0967775</v>
      </c>
      <c r="K907" s="182" t="s">
        <v>2712</v>
      </c>
      <c r="L907" s="182">
        <v>1</v>
      </c>
      <c r="M907" s="182" t="s">
        <v>2713</v>
      </c>
      <c r="N907" s="186">
        <v>7</v>
      </c>
      <c r="O907" s="188">
        <v>4.2500000000000003E-2</v>
      </c>
      <c r="P907" s="188">
        <v>193</v>
      </c>
      <c r="Q907" s="188">
        <v>8.2025000000000006</v>
      </c>
      <c r="R907" s="189">
        <v>4.07</v>
      </c>
      <c r="S907" s="189" t="s">
        <v>985</v>
      </c>
    </row>
    <row r="908" spans="1:19" ht="14.25" customHeight="1" x14ac:dyDescent="0.3">
      <c r="A908" s="182" t="s">
        <v>2707</v>
      </c>
      <c r="B908" s="182" t="s">
        <v>908</v>
      </c>
      <c r="C908" s="182" t="s">
        <v>909</v>
      </c>
      <c r="D908" s="182" t="s">
        <v>962</v>
      </c>
      <c r="E908" s="183" t="s">
        <v>963</v>
      </c>
      <c r="F908" s="183" t="s">
        <v>590</v>
      </c>
      <c r="G908" s="184">
        <v>8.7500000000000008E-3</v>
      </c>
      <c r="H908" s="185">
        <v>0.1</v>
      </c>
      <c r="I908" s="186">
        <v>32399.77</v>
      </c>
      <c r="J908" s="187">
        <v>311.84778625000001</v>
      </c>
      <c r="K908" s="182" t="s">
        <v>2712</v>
      </c>
      <c r="L908" s="182">
        <v>2</v>
      </c>
      <c r="M908" s="182" t="s">
        <v>2714</v>
      </c>
      <c r="N908" s="186">
        <v>7</v>
      </c>
      <c r="O908" s="188">
        <v>8.7500000000000008E-3</v>
      </c>
      <c r="P908" s="188">
        <v>193</v>
      </c>
      <c r="Q908" s="188">
        <v>1.68875</v>
      </c>
      <c r="R908" s="189">
        <v>4.07</v>
      </c>
      <c r="S908" s="189" t="s">
        <v>985</v>
      </c>
    </row>
    <row r="909" spans="1:19" ht="14.25" customHeight="1" x14ac:dyDescent="0.3">
      <c r="A909" s="182" t="s">
        <v>2707</v>
      </c>
      <c r="B909" s="182" t="s">
        <v>908</v>
      </c>
      <c r="C909" s="182" t="s">
        <v>909</v>
      </c>
      <c r="D909" s="182" t="s">
        <v>965</v>
      </c>
      <c r="E909" s="183" t="s">
        <v>966</v>
      </c>
      <c r="F909" s="183" t="s">
        <v>967</v>
      </c>
      <c r="G909" s="184">
        <v>3.7499999999999999E-2</v>
      </c>
      <c r="H909" s="185">
        <v>0.1</v>
      </c>
      <c r="I909" s="186">
        <v>7809.48</v>
      </c>
      <c r="J909" s="187">
        <v>322.14105000000001</v>
      </c>
      <c r="K909" s="182" t="s">
        <v>2712</v>
      </c>
      <c r="L909" s="182">
        <v>3</v>
      </c>
      <c r="M909" s="182" t="s">
        <v>2715</v>
      </c>
      <c r="N909" s="186">
        <v>7</v>
      </c>
      <c r="O909" s="188">
        <v>3.7499999999999999E-2</v>
      </c>
      <c r="P909" s="188">
        <v>193</v>
      </c>
      <c r="Q909" s="188">
        <v>7.2374999999999998</v>
      </c>
      <c r="R909" s="189">
        <v>4.07</v>
      </c>
      <c r="S909" s="189" t="s">
        <v>985</v>
      </c>
    </row>
    <row r="910" spans="1:19" ht="14.25" customHeight="1" x14ac:dyDescent="0.3">
      <c r="A910" s="182" t="s">
        <v>2707</v>
      </c>
      <c r="B910" s="182" t="s">
        <v>908</v>
      </c>
      <c r="C910" s="182" t="s">
        <v>909</v>
      </c>
      <c r="D910" s="182" t="s">
        <v>969</v>
      </c>
      <c r="E910" s="183" t="s">
        <v>970</v>
      </c>
      <c r="F910" s="183" t="s">
        <v>971</v>
      </c>
      <c r="G910" s="184">
        <v>7.4999999999999997E-2</v>
      </c>
      <c r="H910" s="185">
        <v>0.1</v>
      </c>
      <c r="I910" s="186">
        <v>3837.96</v>
      </c>
      <c r="J910" s="187">
        <v>316.63170000000002</v>
      </c>
      <c r="K910" s="182" t="s">
        <v>2712</v>
      </c>
      <c r="L910" s="182">
        <v>4</v>
      </c>
      <c r="M910" s="182" t="s">
        <v>2716</v>
      </c>
      <c r="N910" s="186">
        <v>7</v>
      </c>
      <c r="O910" s="188">
        <v>7.4999999999999997E-2</v>
      </c>
      <c r="P910" s="188">
        <v>193</v>
      </c>
      <c r="Q910" s="188">
        <v>14.475</v>
      </c>
      <c r="R910" s="189">
        <v>4.07</v>
      </c>
      <c r="S910" s="189" t="s">
        <v>985</v>
      </c>
    </row>
    <row r="911" spans="1:19" ht="14.25" customHeight="1" x14ac:dyDescent="0.3">
      <c r="A911" s="182" t="s">
        <v>2707</v>
      </c>
      <c r="B911" s="182" t="s">
        <v>908</v>
      </c>
      <c r="C911" s="182" t="s">
        <v>909</v>
      </c>
      <c r="D911" s="182" t="s">
        <v>973</v>
      </c>
      <c r="E911" s="183" t="s">
        <v>974</v>
      </c>
      <c r="F911" s="183" t="s">
        <v>600</v>
      </c>
      <c r="G911" s="184">
        <v>15</v>
      </c>
      <c r="H911" s="185">
        <v>0.05</v>
      </c>
      <c r="I911" s="186">
        <v>132.30000000000001</v>
      </c>
      <c r="J911" s="187">
        <v>2083.7249999999999</v>
      </c>
      <c r="K911" s="182" t="s">
        <v>2712</v>
      </c>
      <c r="L911" s="182">
        <v>5</v>
      </c>
      <c r="M911" s="182" t="s">
        <v>2717</v>
      </c>
      <c r="N911" s="186">
        <v>7</v>
      </c>
      <c r="O911" s="188">
        <v>15</v>
      </c>
      <c r="P911" s="188">
        <v>193</v>
      </c>
      <c r="Q911" s="188">
        <v>2895</v>
      </c>
      <c r="R911" s="189">
        <v>4.07</v>
      </c>
      <c r="S911" s="189" t="s">
        <v>985</v>
      </c>
    </row>
    <row r="912" spans="1:19" ht="14.25" customHeight="1" x14ac:dyDescent="0.3">
      <c r="A912" s="182" t="s">
        <v>2707</v>
      </c>
      <c r="B912" s="182" t="s">
        <v>908</v>
      </c>
      <c r="C912" s="182" t="s">
        <v>909</v>
      </c>
      <c r="D912" s="182" t="s">
        <v>976</v>
      </c>
      <c r="E912" s="183" t="s">
        <v>977</v>
      </c>
      <c r="F912" s="183" t="s">
        <v>576</v>
      </c>
      <c r="G912" s="184">
        <v>32.902755831625001</v>
      </c>
      <c r="H912" s="185">
        <v>0</v>
      </c>
      <c r="I912" s="186">
        <v>1</v>
      </c>
      <c r="J912" s="187">
        <v>32.902755831625001</v>
      </c>
      <c r="K912" s="182" t="s">
        <v>2712</v>
      </c>
      <c r="L912" s="182">
        <v>6</v>
      </c>
      <c r="M912" s="182" t="s">
        <v>2718</v>
      </c>
      <c r="N912" s="186">
        <v>7</v>
      </c>
      <c r="O912" s="188">
        <v>32.902755831625001</v>
      </c>
      <c r="P912" s="188">
        <v>193</v>
      </c>
      <c r="Q912" s="188">
        <v>6350.2318755036304</v>
      </c>
      <c r="R912" s="189">
        <v>4.07</v>
      </c>
      <c r="S912" s="189" t="s">
        <v>985</v>
      </c>
    </row>
    <row r="913" spans="1:19" ht="14.25" customHeight="1" x14ac:dyDescent="0.3">
      <c r="A913" s="182" t="s">
        <v>2707</v>
      </c>
      <c r="B913" s="182" t="s">
        <v>937</v>
      </c>
      <c r="C913" s="182" t="s">
        <v>938</v>
      </c>
      <c r="D913" s="190" t="s">
        <v>939</v>
      </c>
      <c r="E913" s="183" t="s">
        <v>940</v>
      </c>
      <c r="F913" s="183" t="s">
        <v>941</v>
      </c>
      <c r="G913" s="184">
        <v>0.5</v>
      </c>
      <c r="H913" s="185">
        <v>0</v>
      </c>
      <c r="I913" s="186">
        <v>60860.580776572002</v>
      </c>
      <c r="J913" s="187">
        <v>30430.290388286001</v>
      </c>
      <c r="K913" s="182" t="s">
        <v>2719</v>
      </c>
      <c r="L913" s="182">
        <v>1</v>
      </c>
      <c r="M913" s="182" t="s">
        <v>2720</v>
      </c>
      <c r="N913" s="186">
        <v>7</v>
      </c>
      <c r="O913" s="188">
        <v>7.1428571428571397E-2</v>
      </c>
      <c r="P913" s="188">
        <v>193</v>
      </c>
      <c r="Q913" s="188">
        <v>13.785714285714301</v>
      </c>
      <c r="R913" s="189">
        <v>4.07</v>
      </c>
      <c r="S913" s="189" t="s">
        <v>985</v>
      </c>
    </row>
    <row r="914" spans="1:19" ht="14.25" customHeight="1" x14ac:dyDescent="0.3">
      <c r="A914" s="182" t="s">
        <v>2707</v>
      </c>
      <c r="B914" s="182" t="s">
        <v>937</v>
      </c>
      <c r="C914" s="182" t="s">
        <v>938</v>
      </c>
      <c r="D914" s="190" t="s">
        <v>944</v>
      </c>
      <c r="E914" s="183" t="s">
        <v>945</v>
      </c>
      <c r="F914" s="183" t="s">
        <v>941</v>
      </c>
      <c r="G914" s="184">
        <v>0.5</v>
      </c>
      <c r="H914" s="185">
        <v>0</v>
      </c>
      <c r="I914" s="186">
        <v>85927.097156571996</v>
      </c>
      <c r="J914" s="187">
        <v>42963.548578285998</v>
      </c>
      <c r="K914" s="182" t="s">
        <v>2719</v>
      </c>
      <c r="L914" s="182">
        <v>2</v>
      </c>
      <c r="M914" s="182" t="s">
        <v>2721</v>
      </c>
      <c r="N914" s="186">
        <v>7</v>
      </c>
      <c r="O914" s="188">
        <v>7.1428571428571397E-2</v>
      </c>
      <c r="P914" s="188">
        <v>193</v>
      </c>
      <c r="Q914" s="188">
        <v>13.785714285714301</v>
      </c>
      <c r="R914" s="189">
        <v>4.07</v>
      </c>
      <c r="S914" s="189" t="s">
        <v>985</v>
      </c>
    </row>
    <row r="915" spans="1:19" ht="14.25" customHeight="1" x14ac:dyDescent="0.3">
      <c r="A915" s="182" t="s">
        <v>2722</v>
      </c>
      <c r="B915" s="182" t="s">
        <v>563</v>
      </c>
      <c r="C915" s="182"/>
      <c r="D915" s="182" t="s">
        <v>2723</v>
      </c>
      <c r="E915" s="183" t="s">
        <v>2724</v>
      </c>
      <c r="F915" s="183"/>
      <c r="G915" s="184">
        <v>1</v>
      </c>
      <c r="H915" s="185">
        <v>0</v>
      </c>
      <c r="I915" s="186">
        <v>316.88644749976697</v>
      </c>
      <c r="J915" s="187">
        <v>316.88644749976697</v>
      </c>
      <c r="K915" s="182" t="s">
        <v>2725</v>
      </c>
      <c r="L915" s="182">
        <v>1</v>
      </c>
      <c r="M915" s="182" t="s">
        <v>2726</v>
      </c>
      <c r="N915" s="186">
        <v>1</v>
      </c>
      <c r="O915" s="188">
        <v>1</v>
      </c>
      <c r="P915" s="188">
        <v>61</v>
      </c>
      <c r="Q915" s="188">
        <v>61</v>
      </c>
      <c r="R915" s="189">
        <v>4.08</v>
      </c>
      <c r="S915" s="189" t="s">
        <v>985</v>
      </c>
    </row>
    <row r="916" spans="1:19" ht="14.25" customHeight="1" x14ac:dyDescent="0.3">
      <c r="A916" s="182" t="s">
        <v>2722</v>
      </c>
      <c r="B916" s="182" t="s">
        <v>908</v>
      </c>
      <c r="C916" s="182" t="s">
        <v>1358</v>
      </c>
      <c r="D916" s="182" t="s">
        <v>976</v>
      </c>
      <c r="E916" s="183" t="s">
        <v>977</v>
      </c>
      <c r="F916" s="183" t="s">
        <v>576</v>
      </c>
      <c r="G916" s="184">
        <v>1391.9845</v>
      </c>
      <c r="H916" s="185">
        <v>0</v>
      </c>
      <c r="I916" s="186">
        <v>1</v>
      </c>
      <c r="J916" s="187">
        <v>1391.9845</v>
      </c>
      <c r="K916" s="182" t="s">
        <v>2727</v>
      </c>
      <c r="L916" s="182">
        <v>1</v>
      </c>
      <c r="M916" s="182" t="s">
        <v>2728</v>
      </c>
      <c r="N916" s="186">
        <v>1</v>
      </c>
      <c r="O916" s="188">
        <v>1391.9845</v>
      </c>
      <c r="P916" s="188">
        <v>61</v>
      </c>
      <c r="Q916" s="188">
        <v>84911.054499999998</v>
      </c>
      <c r="R916" s="189">
        <v>4.08</v>
      </c>
      <c r="S916" s="189" t="s">
        <v>985</v>
      </c>
    </row>
    <row r="917" spans="1:19" ht="14.25" customHeight="1" x14ac:dyDescent="0.3">
      <c r="A917" s="182" t="s">
        <v>2722</v>
      </c>
      <c r="B917" s="182" t="s">
        <v>908</v>
      </c>
      <c r="C917" s="182" t="s">
        <v>909</v>
      </c>
      <c r="D917" s="182" t="s">
        <v>2407</v>
      </c>
      <c r="E917" s="183" t="s">
        <v>2408</v>
      </c>
      <c r="F917" s="183" t="s">
        <v>1046</v>
      </c>
      <c r="G917" s="184">
        <v>0.9</v>
      </c>
      <c r="H917" s="185">
        <v>0</v>
      </c>
      <c r="I917" s="186">
        <v>1704.41</v>
      </c>
      <c r="J917" s="187">
        <v>1533.9690000000001</v>
      </c>
      <c r="K917" s="182" t="s">
        <v>2727</v>
      </c>
      <c r="L917" s="182">
        <v>2</v>
      </c>
      <c r="M917" s="182" t="s">
        <v>2729</v>
      </c>
      <c r="N917" s="186">
        <v>1</v>
      </c>
      <c r="O917" s="188">
        <v>0.9</v>
      </c>
      <c r="P917" s="188">
        <v>61</v>
      </c>
      <c r="Q917" s="188">
        <v>54.9</v>
      </c>
      <c r="R917" s="189">
        <v>4.08</v>
      </c>
      <c r="S917" s="189" t="s">
        <v>985</v>
      </c>
    </row>
    <row r="918" spans="1:19" ht="14.25" customHeight="1" x14ac:dyDescent="0.3">
      <c r="A918" s="182" t="s">
        <v>2722</v>
      </c>
      <c r="B918" s="182" t="s">
        <v>908</v>
      </c>
      <c r="C918" s="182" t="s">
        <v>909</v>
      </c>
      <c r="D918" s="182" t="s">
        <v>2730</v>
      </c>
      <c r="E918" s="183" t="s">
        <v>2731</v>
      </c>
      <c r="F918" s="183" t="s">
        <v>590</v>
      </c>
      <c r="G918" s="184">
        <v>0.01</v>
      </c>
      <c r="H918" s="185">
        <v>0</v>
      </c>
      <c r="I918" s="186">
        <v>125000</v>
      </c>
      <c r="J918" s="187">
        <v>1250</v>
      </c>
      <c r="K918" s="182" t="s">
        <v>2727</v>
      </c>
      <c r="L918" s="182">
        <v>3</v>
      </c>
      <c r="M918" s="182" t="s">
        <v>2732</v>
      </c>
      <c r="N918" s="186">
        <v>1</v>
      </c>
      <c r="O918" s="188">
        <v>0.01</v>
      </c>
      <c r="P918" s="188">
        <v>61</v>
      </c>
      <c r="Q918" s="188">
        <v>0.61</v>
      </c>
      <c r="R918" s="189">
        <v>4.08</v>
      </c>
      <c r="S918" s="189" t="s">
        <v>985</v>
      </c>
    </row>
    <row r="919" spans="1:19" ht="14.25" customHeight="1" x14ac:dyDescent="0.3">
      <c r="A919" s="182" t="s">
        <v>2722</v>
      </c>
      <c r="B919" s="182" t="s">
        <v>908</v>
      </c>
      <c r="C919" s="182" t="s">
        <v>909</v>
      </c>
      <c r="D919" s="182" t="s">
        <v>2733</v>
      </c>
      <c r="E919" s="183" t="s">
        <v>2734</v>
      </c>
      <c r="F919" s="183" t="s">
        <v>600</v>
      </c>
      <c r="G919" s="184">
        <v>8.1967213114754106E-2</v>
      </c>
      <c r="H919" s="185">
        <v>0</v>
      </c>
      <c r="I919" s="186">
        <v>60000</v>
      </c>
      <c r="J919" s="187">
        <v>4918.0327868852501</v>
      </c>
      <c r="K919" s="182" t="s">
        <v>2727</v>
      </c>
      <c r="L919" s="182">
        <v>4</v>
      </c>
      <c r="M919" s="182" t="s">
        <v>2735</v>
      </c>
      <c r="N919" s="186">
        <v>1</v>
      </c>
      <c r="O919" s="188">
        <v>8.1967213114754106E-2</v>
      </c>
      <c r="P919" s="188">
        <v>61</v>
      </c>
      <c r="Q919" s="188">
        <v>5</v>
      </c>
      <c r="R919" s="189">
        <v>4.08</v>
      </c>
      <c r="S919" s="189" t="s">
        <v>985</v>
      </c>
    </row>
    <row r="920" spans="1:19" ht="14.25" customHeight="1" x14ac:dyDescent="0.3">
      <c r="A920" s="182" t="s">
        <v>2722</v>
      </c>
      <c r="B920" s="182" t="s">
        <v>937</v>
      </c>
      <c r="C920" s="182" t="s">
        <v>938</v>
      </c>
      <c r="D920" s="182" t="s">
        <v>939</v>
      </c>
      <c r="E920" s="183" t="s">
        <v>940</v>
      </c>
      <c r="F920" s="183" t="s">
        <v>941</v>
      </c>
      <c r="G920" s="184">
        <v>8.1967213114754106E-2</v>
      </c>
      <c r="H920" s="185">
        <v>0</v>
      </c>
      <c r="I920" s="186">
        <v>60860.580776572002</v>
      </c>
      <c r="J920" s="187">
        <v>4988.5721948009796</v>
      </c>
      <c r="K920" s="182" t="s">
        <v>2736</v>
      </c>
      <c r="L920" s="182">
        <v>1</v>
      </c>
      <c r="M920" s="182" t="s">
        <v>2737</v>
      </c>
      <c r="N920" s="186">
        <v>1</v>
      </c>
      <c r="O920" s="188">
        <v>8.1967213114754106E-2</v>
      </c>
      <c r="P920" s="188">
        <v>61</v>
      </c>
      <c r="Q920" s="188">
        <v>5</v>
      </c>
      <c r="R920" s="189">
        <v>4.08</v>
      </c>
      <c r="S920" s="189" t="s">
        <v>985</v>
      </c>
    </row>
    <row r="921" spans="1:19" ht="14.25" customHeight="1" x14ac:dyDescent="0.3">
      <c r="A921" s="182" t="s">
        <v>2722</v>
      </c>
      <c r="B921" s="182" t="s">
        <v>937</v>
      </c>
      <c r="C921" s="182" t="s">
        <v>938</v>
      </c>
      <c r="D921" s="190" t="s">
        <v>944</v>
      </c>
      <c r="E921" s="183" t="s">
        <v>945</v>
      </c>
      <c r="F921" s="183" t="s">
        <v>941</v>
      </c>
      <c r="G921" s="184">
        <v>8.1967213114754106E-2</v>
      </c>
      <c r="H921" s="185">
        <v>0</v>
      </c>
      <c r="I921" s="186">
        <v>85927.097156571996</v>
      </c>
      <c r="J921" s="187">
        <v>7043.2046849649196</v>
      </c>
      <c r="K921" s="182" t="s">
        <v>2736</v>
      </c>
      <c r="L921" s="182">
        <v>2</v>
      </c>
      <c r="M921" s="182" t="s">
        <v>2738</v>
      </c>
      <c r="N921" s="186">
        <v>1</v>
      </c>
      <c r="O921" s="188">
        <v>8.1967213114754106E-2</v>
      </c>
      <c r="P921" s="188">
        <v>61</v>
      </c>
      <c r="Q921" s="188">
        <v>5</v>
      </c>
      <c r="R921" s="189">
        <v>4.08</v>
      </c>
      <c r="S921" s="189" t="s">
        <v>985</v>
      </c>
    </row>
    <row r="922" spans="1:19" ht="14.25" customHeight="1" x14ac:dyDescent="0.3">
      <c r="A922" s="182" t="s">
        <v>2739</v>
      </c>
      <c r="B922" s="182" t="s">
        <v>563</v>
      </c>
      <c r="C922" s="182"/>
      <c r="D922" s="182" t="s">
        <v>2740</v>
      </c>
      <c r="E922" s="183" t="s">
        <v>2741</v>
      </c>
      <c r="F922" s="183"/>
      <c r="G922" s="184">
        <v>1</v>
      </c>
      <c r="H922" s="185">
        <v>0</v>
      </c>
      <c r="I922" s="186">
        <v>3113.9806362981599</v>
      </c>
      <c r="J922" s="187">
        <v>3113.9806362981599</v>
      </c>
      <c r="K922" s="182" t="s">
        <v>2742</v>
      </c>
      <c r="L922" s="182">
        <v>1</v>
      </c>
      <c r="M922" s="182" t="s">
        <v>2743</v>
      </c>
      <c r="N922" s="186">
        <v>1</v>
      </c>
      <c r="O922" s="188">
        <v>1</v>
      </c>
      <c r="P922" s="188">
        <v>1</v>
      </c>
      <c r="Q922" s="188">
        <v>1</v>
      </c>
      <c r="R922" s="189">
        <v>4.09</v>
      </c>
      <c r="S922" s="189" t="s">
        <v>985</v>
      </c>
    </row>
    <row r="923" spans="1:19" ht="14.25" customHeight="1" x14ac:dyDescent="0.3">
      <c r="A923" s="182" t="s">
        <v>2739</v>
      </c>
      <c r="B923" s="182" t="s">
        <v>908</v>
      </c>
      <c r="C923" s="182" t="s">
        <v>1358</v>
      </c>
      <c r="D923" s="182" t="s">
        <v>976</v>
      </c>
      <c r="E923" s="183" t="s">
        <v>977</v>
      </c>
      <c r="F923" s="183" t="s">
        <v>576</v>
      </c>
      <c r="G923" s="184">
        <v>10135.171858899999</v>
      </c>
      <c r="H923" s="185">
        <v>0</v>
      </c>
      <c r="I923" s="186">
        <v>1</v>
      </c>
      <c r="J923" s="187">
        <v>10135.171858899999</v>
      </c>
      <c r="K923" s="182" t="s">
        <v>2744</v>
      </c>
      <c r="L923" s="182">
        <v>1</v>
      </c>
      <c r="M923" s="182" t="s">
        <v>2745</v>
      </c>
      <c r="N923" s="186">
        <v>1</v>
      </c>
      <c r="O923" s="188">
        <v>10135.171858899999</v>
      </c>
      <c r="P923" s="188">
        <v>1</v>
      </c>
      <c r="Q923" s="188">
        <v>10135.171858899999</v>
      </c>
      <c r="R923" s="189">
        <v>4.09</v>
      </c>
      <c r="S923" s="189" t="s">
        <v>985</v>
      </c>
    </row>
    <row r="924" spans="1:19" ht="14.25" customHeight="1" x14ac:dyDescent="0.3">
      <c r="A924" s="182" t="s">
        <v>2739</v>
      </c>
      <c r="B924" s="182" t="s">
        <v>908</v>
      </c>
      <c r="C924" s="182" t="s">
        <v>1358</v>
      </c>
      <c r="D924" s="182" t="s">
        <v>2746</v>
      </c>
      <c r="E924" s="183" t="s">
        <v>2747</v>
      </c>
      <c r="F924" s="183" t="s">
        <v>590</v>
      </c>
      <c r="G924" s="184">
        <v>0.5</v>
      </c>
      <c r="H924" s="185">
        <v>0</v>
      </c>
      <c r="I924" s="186">
        <v>67465.638888999994</v>
      </c>
      <c r="J924" s="187">
        <v>33732.819444499997</v>
      </c>
      <c r="K924" s="182" t="s">
        <v>2744</v>
      </c>
      <c r="L924" s="182">
        <v>2</v>
      </c>
      <c r="M924" s="182" t="s">
        <v>2748</v>
      </c>
      <c r="N924" s="186">
        <v>1</v>
      </c>
      <c r="O924" s="188">
        <v>0.5</v>
      </c>
      <c r="P924" s="188">
        <v>1</v>
      </c>
      <c r="Q924" s="188">
        <v>0.5</v>
      </c>
      <c r="R924" s="189">
        <v>4.09</v>
      </c>
      <c r="S924" s="189" t="s">
        <v>985</v>
      </c>
    </row>
    <row r="925" spans="1:19" ht="14.25" customHeight="1" x14ac:dyDescent="0.3">
      <c r="A925" s="182" t="s">
        <v>2739</v>
      </c>
      <c r="B925" s="182" t="s">
        <v>908</v>
      </c>
      <c r="C925" s="182" t="s">
        <v>1358</v>
      </c>
      <c r="D925" s="182" t="s">
        <v>2749</v>
      </c>
      <c r="E925" s="183" t="s">
        <v>2750</v>
      </c>
      <c r="F925" s="183" t="s">
        <v>595</v>
      </c>
      <c r="G925" s="184">
        <v>5</v>
      </c>
      <c r="H925" s="185">
        <v>0</v>
      </c>
      <c r="I925" s="186">
        <v>3388.60797</v>
      </c>
      <c r="J925" s="187">
        <v>16943.039850000001</v>
      </c>
      <c r="K925" s="182" t="s">
        <v>2744</v>
      </c>
      <c r="L925" s="182">
        <v>3</v>
      </c>
      <c r="M925" s="182" t="s">
        <v>2751</v>
      </c>
      <c r="N925" s="186">
        <v>1</v>
      </c>
      <c r="O925" s="188">
        <v>5</v>
      </c>
      <c r="P925" s="188">
        <v>1</v>
      </c>
      <c r="Q925" s="188">
        <v>5</v>
      </c>
      <c r="R925" s="189">
        <v>4.09</v>
      </c>
      <c r="S925" s="189" t="s">
        <v>985</v>
      </c>
    </row>
    <row r="926" spans="1:19" ht="14.25" customHeight="1" x14ac:dyDescent="0.3">
      <c r="A926" s="182" t="s">
        <v>2739</v>
      </c>
      <c r="B926" s="182" t="s">
        <v>937</v>
      </c>
      <c r="C926" s="182" t="s">
        <v>938</v>
      </c>
      <c r="D926" s="182" t="s">
        <v>939</v>
      </c>
      <c r="E926" s="183" t="s">
        <v>940</v>
      </c>
      <c r="F926" s="183" t="s">
        <v>941</v>
      </c>
      <c r="G926" s="184">
        <v>1</v>
      </c>
      <c r="H926" s="185">
        <v>0</v>
      </c>
      <c r="I926" s="186">
        <v>60860.580776572002</v>
      </c>
      <c r="J926" s="187">
        <v>60860.580776572002</v>
      </c>
      <c r="K926" s="182" t="s">
        <v>2752</v>
      </c>
      <c r="L926" s="182">
        <v>1</v>
      </c>
      <c r="M926" s="182" t="s">
        <v>2753</v>
      </c>
      <c r="N926" s="186">
        <v>1</v>
      </c>
      <c r="O926" s="188">
        <v>1</v>
      </c>
      <c r="P926" s="188">
        <v>1</v>
      </c>
      <c r="Q926" s="188">
        <v>1</v>
      </c>
      <c r="R926" s="189">
        <v>4.09</v>
      </c>
      <c r="S926" s="189" t="s">
        <v>985</v>
      </c>
    </row>
    <row r="927" spans="1:19" ht="14.25" customHeight="1" x14ac:dyDescent="0.3">
      <c r="A927" s="182" t="s">
        <v>2739</v>
      </c>
      <c r="B927" s="182" t="s">
        <v>937</v>
      </c>
      <c r="C927" s="182" t="s">
        <v>938</v>
      </c>
      <c r="D927" s="190" t="s">
        <v>944</v>
      </c>
      <c r="E927" s="183" t="s">
        <v>945</v>
      </c>
      <c r="F927" s="183" t="s">
        <v>941</v>
      </c>
      <c r="G927" s="184">
        <v>1</v>
      </c>
      <c r="H927" s="185">
        <v>0</v>
      </c>
      <c r="I927" s="186">
        <v>85927.097156571996</v>
      </c>
      <c r="J927" s="187">
        <v>85927.097156571996</v>
      </c>
      <c r="K927" s="182" t="s">
        <v>2752</v>
      </c>
      <c r="L927" s="182">
        <v>2</v>
      </c>
      <c r="M927" s="182" t="s">
        <v>2754</v>
      </c>
      <c r="N927" s="186">
        <v>1</v>
      </c>
      <c r="O927" s="188">
        <v>1</v>
      </c>
      <c r="P927" s="188">
        <v>1</v>
      </c>
      <c r="Q927" s="188">
        <v>1</v>
      </c>
      <c r="R927" s="189">
        <v>4.09</v>
      </c>
      <c r="S927" s="189" t="s">
        <v>985</v>
      </c>
    </row>
    <row r="928" spans="1:19" ht="14.25" customHeight="1" x14ac:dyDescent="0.3">
      <c r="A928" s="182" t="s">
        <v>2755</v>
      </c>
      <c r="B928" s="182" t="s">
        <v>563</v>
      </c>
      <c r="C928" s="182"/>
      <c r="D928" s="182" t="s">
        <v>2756</v>
      </c>
      <c r="E928" s="183" t="s">
        <v>2757</v>
      </c>
      <c r="F928" s="183"/>
      <c r="G928" s="184">
        <v>1</v>
      </c>
      <c r="H928" s="185">
        <v>0</v>
      </c>
      <c r="I928" s="186">
        <v>8884.4798329444802</v>
      </c>
      <c r="J928" s="187">
        <v>8884.4798329444802</v>
      </c>
      <c r="K928" s="182" t="s">
        <v>2758</v>
      </c>
      <c r="L928" s="182">
        <v>1</v>
      </c>
      <c r="M928" s="182" t="s">
        <v>2759</v>
      </c>
      <c r="N928" s="186">
        <v>1</v>
      </c>
      <c r="O928" s="188">
        <v>1</v>
      </c>
      <c r="P928" s="188">
        <v>1</v>
      </c>
      <c r="Q928" s="188">
        <v>1</v>
      </c>
      <c r="R928" s="189">
        <v>4.0999999999999996</v>
      </c>
      <c r="S928" s="189" t="s">
        <v>985</v>
      </c>
    </row>
    <row r="929" spans="1:19" ht="14.25" customHeight="1" x14ac:dyDescent="0.3">
      <c r="A929" s="182" t="s">
        <v>2755</v>
      </c>
      <c r="B929" s="182" t="s">
        <v>908</v>
      </c>
      <c r="C929" s="182" t="s">
        <v>1358</v>
      </c>
      <c r="D929" s="182" t="s">
        <v>976</v>
      </c>
      <c r="E929" s="183" t="s">
        <v>977</v>
      </c>
      <c r="F929" s="183" t="s">
        <v>576</v>
      </c>
      <c r="G929" s="184">
        <v>50645.2072434</v>
      </c>
      <c r="H929" s="185">
        <v>0</v>
      </c>
      <c r="I929" s="186">
        <v>1</v>
      </c>
      <c r="J929" s="187">
        <v>50645.2072434</v>
      </c>
      <c r="K929" s="182" t="s">
        <v>2760</v>
      </c>
      <c r="L929" s="182">
        <v>1</v>
      </c>
      <c r="M929" s="182" t="s">
        <v>2761</v>
      </c>
      <c r="N929" s="186">
        <v>1</v>
      </c>
      <c r="O929" s="188">
        <v>50645.2072434</v>
      </c>
      <c r="P929" s="188">
        <v>1</v>
      </c>
      <c r="Q929" s="188">
        <v>50645.2072434</v>
      </c>
      <c r="R929" s="189">
        <v>4.0999999999999996</v>
      </c>
      <c r="S929" s="189" t="s">
        <v>985</v>
      </c>
    </row>
    <row r="930" spans="1:19" ht="14.25" customHeight="1" x14ac:dyDescent="0.3">
      <c r="A930" s="182" t="s">
        <v>2755</v>
      </c>
      <c r="B930" s="182" t="s">
        <v>908</v>
      </c>
      <c r="C930" s="182" t="s">
        <v>1358</v>
      </c>
      <c r="D930" s="182" t="s">
        <v>2746</v>
      </c>
      <c r="E930" s="183" t="s">
        <v>2747</v>
      </c>
      <c r="F930" s="183" t="s">
        <v>590</v>
      </c>
      <c r="G930" s="184">
        <v>1.2</v>
      </c>
      <c r="H930" s="185">
        <v>0</v>
      </c>
      <c r="I930" s="186">
        <v>67465.638888999994</v>
      </c>
      <c r="J930" s="187">
        <v>80958.766666800002</v>
      </c>
      <c r="K930" s="182" t="s">
        <v>2760</v>
      </c>
      <c r="L930" s="182">
        <v>2</v>
      </c>
      <c r="M930" s="182" t="s">
        <v>2762</v>
      </c>
      <c r="N930" s="186">
        <v>1</v>
      </c>
      <c r="O930" s="188">
        <v>1.2</v>
      </c>
      <c r="P930" s="188">
        <v>1</v>
      </c>
      <c r="Q930" s="188">
        <v>1.2</v>
      </c>
      <c r="R930" s="189">
        <v>4.0999999999999996</v>
      </c>
      <c r="S930" s="189" t="s">
        <v>985</v>
      </c>
    </row>
    <row r="931" spans="1:19" ht="14.25" customHeight="1" x14ac:dyDescent="0.3">
      <c r="A931" s="182" t="s">
        <v>2755</v>
      </c>
      <c r="B931" s="182" t="s">
        <v>908</v>
      </c>
      <c r="C931" s="182" t="s">
        <v>1358</v>
      </c>
      <c r="D931" s="182" t="s">
        <v>2749</v>
      </c>
      <c r="E931" s="183" t="s">
        <v>2750</v>
      </c>
      <c r="F931" s="183" t="s">
        <v>595</v>
      </c>
      <c r="G931" s="184">
        <v>6</v>
      </c>
      <c r="H931" s="185">
        <v>0</v>
      </c>
      <c r="I931" s="186">
        <v>3388.60797</v>
      </c>
      <c r="J931" s="187">
        <v>20331.647819999998</v>
      </c>
      <c r="K931" s="182" t="s">
        <v>2760</v>
      </c>
      <c r="L931" s="182">
        <v>3</v>
      </c>
      <c r="M931" s="182" t="s">
        <v>2763</v>
      </c>
      <c r="N931" s="186">
        <v>1</v>
      </c>
      <c r="O931" s="188">
        <v>6</v>
      </c>
      <c r="P931" s="188">
        <v>1</v>
      </c>
      <c r="Q931" s="188">
        <v>6</v>
      </c>
      <c r="R931" s="189">
        <v>4.0999999999999996</v>
      </c>
      <c r="S931" s="189" t="s">
        <v>985</v>
      </c>
    </row>
    <row r="932" spans="1:19" ht="14.25" customHeight="1" x14ac:dyDescent="0.3">
      <c r="A932" s="182" t="s">
        <v>2755</v>
      </c>
      <c r="B932" s="182" t="s">
        <v>937</v>
      </c>
      <c r="C932" s="182" t="s">
        <v>938</v>
      </c>
      <c r="D932" s="182" t="s">
        <v>939</v>
      </c>
      <c r="E932" s="183" t="s">
        <v>940</v>
      </c>
      <c r="F932" s="183" t="s">
        <v>941</v>
      </c>
      <c r="G932" s="184">
        <v>3</v>
      </c>
      <c r="H932" s="185">
        <v>0</v>
      </c>
      <c r="I932" s="186">
        <v>60860.580776572002</v>
      </c>
      <c r="J932" s="187">
        <v>182581.74232971601</v>
      </c>
      <c r="K932" s="182" t="s">
        <v>2764</v>
      </c>
      <c r="L932" s="182">
        <v>1</v>
      </c>
      <c r="M932" s="182" t="s">
        <v>2765</v>
      </c>
      <c r="N932" s="186">
        <v>1</v>
      </c>
      <c r="O932" s="188">
        <v>3</v>
      </c>
      <c r="P932" s="188">
        <v>1</v>
      </c>
      <c r="Q932" s="188">
        <v>3</v>
      </c>
      <c r="R932" s="189">
        <v>4.0999999999999996</v>
      </c>
      <c r="S932" s="189" t="s">
        <v>985</v>
      </c>
    </row>
    <row r="933" spans="1:19" ht="14.25" customHeight="1" x14ac:dyDescent="0.3">
      <c r="A933" s="182" t="s">
        <v>2755</v>
      </c>
      <c r="B933" s="182" t="s">
        <v>937</v>
      </c>
      <c r="C933" s="182" t="s">
        <v>938</v>
      </c>
      <c r="D933" s="190" t="s">
        <v>944</v>
      </c>
      <c r="E933" s="183" t="s">
        <v>945</v>
      </c>
      <c r="F933" s="183" t="s">
        <v>941</v>
      </c>
      <c r="G933" s="184">
        <v>3</v>
      </c>
      <c r="H933" s="185">
        <v>0</v>
      </c>
      <c r="I933" s="186">
        <v>85927.097156571996</v>
      </c>
      <c r="J933" s="187">
        <v>257781.291469716</v>
      </c>
      <c r="K933" s="182" t="s">
        <v>2764</v>
      </c>
      <c r="L933" s="182">
        <v>2</v>
      </c>
      <c r="M933" s="182" t="s">
        <v>2766</v>
      </c>
      <c r="N933" s="186">
        <v>1</v>
      </c>
      <c r="O933" s="188">
        <v>3</v>
      </c>
      <c r="P933" s="188">
        <v>1</v>
      </c>
      <c r="Q933" s="188">
        <v>3</v>
      </c>
      <c r="R933" s="189">
        <v>4.0999999999999996</v>
      </c>
      <c r="S933" s="189" t="s">
        <v>985</v>
      </c>
    </row>
    <row r="934" spans="1:19" ht="14.25" customHeight="1" x14ac:dyDescent="0.3">
      <c r="A934" s="182" t="s">
        <v>2767</v>
      </c>
      <c r="B934" s="182" t="s">
        <v>563</v>
      </c>
      <c r="C934" s="182"/>
      <c r="D934" s="182" t="s">
        <v>2768</v>
      </c>
      <c r="E934" s="183" t="s">
        <v>2769</v>
      </c>
      <c r="F934" s="183"/>
      <c r="G934" s="184">
        <v>1</v>
      </c>
      <c r="H934" s="185">
        <v>0</v>
      </c>
      <c r="I934" s="186">
        <v>5824.1957555443196</v>
      </c>
      <c r="J934" s="187">
        <v>5824.1957555443196</v>
      </c>
      <c r="K934" s="182" t="s">
        <v>2770</v>
      </c>
      <c r="L934" s="182">
        <v>1</v>
      </c>
      <c r="M934" s="182" t="s">
        <v>2771</v>
      </c>
      <c r="N934" s="186">
        <v>1</v>
      </c>
      <c r="O934" s="188">
        <v>1</v>
      </c>
      <c r="P934" s="188">
        <v>1</v>
      </c>
      <c r="Q934" s="188">
        <v>1</v>
      </c>
      <c r="R934" s="189">
        <v>4.1100000000000003</v>
      </c>
      <c r="S934" s="189" t="s">
        <v>985</v>
      </c>
    </row>
    <row r="935" spans="1:19" ht="14.25" customHeight="1" x14ac:dyDescent="0.3">
      <c r="A935" s="182" t="s">
        <v>2767</v>
      </c>
      <c r="B935" s="182" t="s">
        <v>908</v>
      </c>
      <c r="C935" s="182" t="s">
        <v>1358</v>
      </c>
      <c r="D935" s="182" t="s">
        <v>2772</v>
      </c>
      <c r="E935" s="183" t="s">
        <v>2773</v>
      </c>
      <c r="F935" s="183" t="s">
        <v>590</v>
      </c>
      <c r="G935" s="184">
        <v>0.75</v>
      </c>
      <c r="H935" s="185">
        <v>0</v>
      </c>
      <c r="I935" s="186">
        <v>125000</v>
      </c>
      <c r="J935" s="187">
        <v>93750</v>
      </c>
      <c r="K935" s="182" t="s">
        <v>2774</v>
      </c>
      <c r="L935" s="182">
        <v>1</v>
      </c>
      <c r="M935" s="182" t="s">
        <v>2775</v>
      </c>
      <c r="N935" s="186">
        <v>1</v>
      </c>
      <c r="O935" s="188">
        <v>0.75</v>
      </c>
      <c r="P935" s="188">
        <v>1</v>
      </c>
      <c r="Q935" s="188">
        <v>0.75</v>
      </c>
      <c r="R935" s="189">
        <v>4.1100000000000003</v>
      </c>
      <c r="S935" s="189" t="s">
        <v>985</v>
      </c>
    </row>
    <row r="936" spans="1:19" ht="14.25" customHeight="1" x14ac:dyDescent="0.3">
      <c r="A936" s="182" t="s">
        <v>2767</v>
      </c>
      <c r="B936" s="182" t="s">
        <v>908</v>
      </c>
      <c r="C936" s="182" t="s">
        <v>1358</v>
      </c>
      <c r="D936" s="182" t="s">
        <v>2776</v>
      </c>
      <c r="E936" s="183" t="s">
        <v>2777</v>
      </c>
      <c r="F936" s="183" t="s">
        <v>600</v>
      </c>
      <c r="G936" s="184">
        <v>0.5</v>
      </c>
      <c r="H936" s="185">
        <v>0</v>
      </c>
      <c r="I936" s="186">
        <v>69985.789999999994</v>
      </c>
      <c r="J936" s="187">
        <v>34992.894999999997</v>
      </c>
      <c r="K936" s="182" t="s">
        <v>2774</v>
      </c>
      <c r="L936" s="182">
        <v>2</v>
      </c>
      <c r="M936" s="182" t="s">
        <v>2778</v>
      </c>
      <c r="N936" s="186">
        <v>1</v>
      </c>
      <c r="O936" s="188">
        <v>0.5</v>
      </c>
      <c r="P936" s="188">
        <v>1</v>
      </c>
      <c r="Q936" s="188">
        <v>0.5</v>
      </c>
      <c r="R936" s="189">
        <v>4.1100000000000003</v>
      </c>
      <c r="S936" s="189" t="s">
        <v>985</v>
      </c>
    </row>
    <row r="937" spans="1:19" ht="14.25" customHeight="1" x14ac:dyDescent="0.3">
      <c r="A937" s="182" t="s">
        <v>2767</v>
      </c>
      <c r="B937" s="182" t="s">
        <v>937</v>
      </c>
      <c r="C937" s="182" t="s">
        <v>938</v>
      </c>
      <c r="D937" s="182" t="s">
        <v>939</v>
      </c>
      <c r="E937" s="183" t="s">
        <v>940</v>
      </c>
      <c r="F937" s="183" t="s">
        <v>941</v>
      </c>
      <c r="G937" s="184">
        <v>3</v>
      </c>
      <c r="H937" s="185">
        <v>0</v>
      </c>
      <c r="I937" s="186">
        <v>60860.580776572002</v>
      </c>
      <c r="J937" s="187">
        <v>182581.74232971601</v>
      </c>
      <c r="K937" s="182" t="s">
        <v>2779</v>
      </c>
      <c r="L937" s="182">
        <v>1</v>
      </c>
      <c r="M937" s="182" t="s">
        <v>2780</v>
      </c>
      <c r="N937" s="186">
        <v>1</v>
      </c>
      <c r="O937" s="188">
        <v>3</v>
      </c>
      <c r="P937" s="188">
        <v>1</v>
      </c>
      <c r="Q937" s="188">
        <v>3</v>
      </c>
      <c r="R937" s="189">
        <v>4.1100000000000003</v>
      </c>
      <c r="S937" s="189" t="s">
        <v>985</v>
      </c>
    </row>
    <row r="938" spans="1:19" ht="14.25" customHeight="1" x14ac:dyDescent="0.3">
      <c r="A938" s="182" t="s">
        <v>2767</v>
      </c>
      <c r="B938" s="182" t="s">
        <v>937</v>
      </c>
      <c r="C938" s="182" t="s">
        <v>938</v>
      </c>
      <c r="D938" s="190" t="s">
        <v>1375</v>
      </c>
      <c r="E938" s="183" t="s">
        <v>1376</v>
      </c>
      <c r="F938" s="183" t="s">
        <v>941</v>
      </c>
      <c r="G938" s="184">
        <v>1</v>
      </c>
      <c r="H938" s="185">
        <v>0</v>
      </c>
      <c r="I938" s="186">
        <v>76955.079706571996</v>
      </c>
      <c r="J938" s="187">
        <v>76955.079706571996</v>
      </c>
      <c r="K938" s="182" t="s">
        <v>2779</v>
      </c>
      <c r="L938" s="182">
        <v>2</v>
      </c>
      <c r="M938" s="182" t="s">
        <v>2781</v>
      </c>
      <c r="N938" s="186">
        <v>1</v>
      </c>
      <c r="O938" s="188">
        <v>1</v>
      </c>
      <c r="P938" s="188">
        <v>1</v>
      </c>
      <c r="Q938" s="188">
        <v>1</v>
      </c>
      <c r="R938" s="189">
        <v>4.1100000000000003</v>
      </c>
      <c r="S938" s="189" t="s">
        <v>985</v>
      </c>
    </row>
    <row r="939" spans="1:19" ht="14.25" customHeight="1" x14ac:dyDescent="0.3">
      <c r="A939" s="182" t="s">
        <v>2782</v>
      </c>
      <c r="B939" s="182" t="s">
        <v>563</v>
      </c>
      <c r="C939" s="182"/>
      <c r="D939" s="182" t="s">
        <v>2783</v>
      </c>
      <c r="E939" s="183" t="s">
        <v>2784</v>
      </c>
      <c r="F939" s="183"/>
      <c r="G939" s="184">
        <v>1</v>
      </c>
      <c r="H939" s="185">
        <v>0</v>
      </c>
      <c r="I939" s="186">
        <v>2636.7249339025002</v>
      </c>
      <c r="J939" s="187">
        <v>2636.7249339025002</v>
      </c>
      <c r="K939" s="182" t="s">
        <v>2785</v>
      </c>
      <c r="L939" s="182">
        <v>1</v>
      </c>
      <c r="M939" s="182" t="s">
        <v>2786</v>
      </c>
      <c r="N939" s="186">
        <v>1</v>
      </c>
      <c r="O939" s="188">
        <v>1</v>
      </c>
      <c r="P939" s="188">
        <v>3</v>
      </c>
      <c r="Q939" s="188">
        <v>3</v>
      </c>
      <c r="R939" s="189">
        <v>4.12</v>
      </c>
      <c r="S939" s="189" t="s">
        <v>985</v>
      </c>
    </row>
    <row r="940" spans="1:19" ht="14.25" customHeight="1" x14ac:dyDescent="0.3">
      <c r="A940" s="182" t="s">
        <v>2782</v>
      </c>
      <c r="B940" s="182" t="s">
        <v>908</v>
      </c>
      <c r="C940" s="182" t="s">
        <v>909</v>
      </c>
      <c r="D940" s="182" t="s">
        <v>2787</v>
      </c>
      <c r="E940" s="183" t="s">
        <v>2788</v>
      </c>
      <c r="F940" s="183" t="s">
        <v>600</v>
      </c>
      <c r="G940" s="184">
        <v>1</v>
      </c>
      <c r="H940" s="185">
        <v>0</v>
      </c>
      <c r="I940" s="186">
        <v>121487.603305785</v>
      </c>
      <c r="J940" s="187">
        <v>121487.603305785</v>
      </c>
      <c r="K940" s="182" t="s">
        <v>2789</v>
      </c>
      <c r="L940" s="182">
        <v>1</v>
      </c>
      <c r="M940" s="182" t="s">
        <v>2790</v>
      </c>
      <c r="N940" s="186">
        <v>1</v>
      </c>
      <c r="O940" s="188">
        <v>1</v>
      </c>
      <c r="P940" s="188">
        <v>3</v>
      </c>
      <c r="Q940" s="188">
        <v>3</v>
      </c>
      <c r="R940" s="189">
        <v>4.12</v>
      </c>
      <c r="S940" s="189" t="s">
        <v>985</v>
      </c>
    </row>
    <row r="941" spans="1:19" ht="14.25" customHeight="1" x14ac:dyDescent="0.3">
      <c r="A941" s="182" t="s">
        <v>2782</v>
      </c>
      <c r="B941" s="182" t="s">
        <v>937</v>
      </c>
      <c r="C941" s="182" t="s">
        <v>938</v>
      </c>
      <c r="D941" s="190" t="s">
        <v>944</v>
      </c>
      <c r="E941" s="183" t="s">
        <v>945</v>
      </c>
      <c r="F941" s="183" t="s">
        <v>941</v>
      </c>
      <c r="G941" s="184">
        <v>0.33333333333333298</v>
      </c>
      <c r="H941" s="185">
        <v>0</v>
      </c>
      <c r="I941" s="186">
        <v>85927.097156571996</v>
      </c>
      <c r="J941" s="187">
        <v>28642.365718857302</v>
      </c>
      <c r="K941" s="182" t="s">
        <v>2791</v>
      </c>
      <c r="L941" s="182">
        <v>1</v>
      </c>
      <c r="M941" s="182" t="s">
        <v>2792</v>
      </c>
      <c r="N941" s="186">
        <v>1</v>
      </c>
      <c r="O941" s="188">
        <v>0.33333333333333298</v>
      </c>
      <c r="P941" s="188">
        <v>3</v>
      </c>
      <c r="Q941" s="188">
        <v>0.999999999999999</v>
      </c>
      <c r="R941" s="189">
        <v>4.12</v>
      </c>
      <c r="S941" s="189" t="s">
        <v>985</v>
      </c>
    </row>
    <row r="942" spans="1:19" ht="14.25" customHeight="1" x14ac:dyDescent="0.3">
      <c r="A942" s="182" t="s">
        <v>2782</v>
      </c>
      <c r="B942" s="182" t="s">
        <v>937</v>
      </c>
      <c r="C942" s="182" t="s">
        <v>938</v>
      </c>
      <c r="D942" s="190" t="s">
        <v>1375</v>
      </c>
      <c r="E942" s="183" t="s">
        <v>1376</v>
      </c>
      <c r="F942" s="183" t="s">
        <v>941</v>
      </c>
      <c r="G942" s="184">
        <v>0.33333333333333298</v>
      </c>
      <c r="H942" s="185">
        <v>0</v>
      </c>
      <c r="I942" s="186">
        <v>76955.079706571996</v>
      </c>
      <c r="J942" s="187">
        <v>25651.693235523999</v>
      </c>
      <c r="K942" s="182" t="s">
        <v>2791</v>
      </c>
      <c r="L942" s="182">
        <v>2</v>
      </c>
      <c r="M942" s="182" t="s">
        <v>2793</v>
      </c>
      <c r="N942" s="186">
        <v>1</v>
      </c>
      <c r="O942" s="188">
        <v>0.33333333333333298</v>
      </c>
      <c r="P942" s="188">
        <v>3</v>
      </c>
      <c r="Q942" s="188">
        <v>0.999999999999999</v>
      </c>
      <c r="R942" s="189">
        <v>4.12</v>
      </c>
      <c r="S942" s="189" t="s">
        <v>985</v>
      </c>
    </row>
    <row r="943" spans="1:19" ht="14.25" customHeight="1" x14ac:dyDescent="0.3">
      <c r="A943" s="182" t="s">
        <v>2794</v>
      </c>
      <c r="B943" s="182" t="s">
        <v>563</v>
      </c>
      <c r="C943" s="182"/>
      <c r="D943" s="182" t="s">
        <v>2795</v>
      </c>
      <c r="E943" s="183" t="s">
        <v>2796</v>
      </c>
      <c r="F943" s="183"/>
      <c r="G943" s="184">
        <v>1</v>
      </c>
      <c r="H943" s="185">
        <v>0</v>
      </c>
      <c r="I943" s="186">
        <v>1086.9845825454699</v>
      </c>
      <c r="J943" s="187">
        <v>1086.9845825454699</v>
      </c>
      <c r="K943" s="182" t="s">
        <v>2797</v>
      </c>
      <c r="L943" s="182">
        <v>1</v>
      </c>
      <c r="M943" s="182" t="s">
        <v>2798</v>
      </c>
      <c r="N943" s="186">
        <v>1</v>
      </c>
      <c r="O943" s="188">
        <v>1</v>
      </c>
      <c r="P943" s="188">
        <v>40</v>
      </c>
      <c r="Q943" s="188">
        <v>40</v>
      </c>
      <c r="R943" s="189">
        <v>4.13</v>
      </c>
      <c r="S943" s="189" t="s">
        <v>985</v>
      </c>
    </row>
    <row r="944" spans="1:19" ht="14.25" customHeight="1" x14ac:dyDescent="0.3">
      <c r="A944" s="182" t="s">
        <v>2794</v>
      </c>
      <c r="B944" s="182" t="s">
        <v>908</v>
      </c>
      <c r="C944" s="182" t="s">
        <v>909</v>
      </c>
      <c r="D944" s="182" t="s">
        <v>976</v>
      </c>
      <c r="E944" s="183" t="s">
        <v>977</v>
      </c>
      <c r="F944" s="183" t="s">
        <v>576</v>
      </c>
      <c r="G944" s="184">
        <v>3340.8074999999999</v>
      </c>
      <c r="H944" s="185">
        <v>0</v>
      </c>
      <c r="I944" s="186">
        <v>1</v>
      </c>
      <c r="J944" s="187">
        <v>3340.8074999999999</v>
      </c>
      <c r="K944" s="182" t="s">
        <v>2799</v>
      </c>
      <c r="L944" s="182">
        <v>1</v>
      </c>
      <c r="M944" s="182" t="s">
        <v>2800</v>
      </c>
      <c r="N944" s="186">
        <v>1</v>
      </c>
      <c r="O944" s="188">
        <v>3340.8074999999999</v>
      </c>
      <c r="P944" s="188">
        <v>40</v>
      </c>
      <c r="Q944" s="188">
        <v>133632.29999999999</v>
      </c>
      <c r="R944" s="189">
        <v>4.13</v>
      </c>
      <c r="S944" s="189" t="s">
        <v>985</v>
      </c>
    </row>
    <row r="945" spans="1:19" ht="14.25" customHeight="1" x14ac:dyDescent="0.3">
      <c r="A945" s="182" t="s">
        <v>2794</v>
      </c>
      <c r="B945" s="182" t="s">
        <v>908</v>
      </c>
      <c r="C945" s="182" t="s">
        <v>909</v>
      </c>
      <c r="D945" s="182" t="s">
        <v>2407</v>
      </c>
      <c r="E945" s="183" t="s">
        <v>2408</v>
      </c>
      <c r="F945" s="183" t="s">
        <v>1046</v>
      </c>
      <c r="G945" s="184">
        <v>7.5</v>
      </c>
      <c r="H945" s="185">
        <v>0</v>
      </c>
      <c r="I945" s="186">
        <v>1704.41</v>
      </c>
      <c r="J945" s="187">
        <v>12783.075000000001</v>
      </c>
      <c r="K945" s="182" t="s">
        <v>2799</v>
      </c>
      <c r="L945" s="182">
        <v>2</v>
      </c>
      <c r="M945" s="182" t="s">
        <v>2801</v>
      </c>
      <c r="N945" s="186">
        <v>1</v>
      </c>
      <c r="O945" s="188">
        <v>7.5</v>
      </c>
      <c r="P945" s="188">
        <v>40</v>
      </c>
      <c r="Q945" s="188">
        <v>300</v>
      </c>
      <c r="R945" s="189">
        <v>4.13</v>
      </c>
      <c r="S945" s="189" t="s">
        <v>985</v>
      </c>
    </row>
    <row r="946" spans="1:19" ht="14.25" customHeight="1" x14ac:dyDescent="0.3">
      <c r="A946" s="182" t="s">
        <v>2794</v>
      </c>
      <c r="B946" s="182" t="s">
        <v>908</v>
      </c>
      <c r="C946" s="182" t="s">
        <v>909</v>
      </c>
      <c r="D946" s="182" t="s">
        <v>2730</v>
      </c>
      <c r="E946" s="183" t="s">
        <v>2731</v>
      </c>
      <c r="F946" s="183" t="s">
        <v>590</v>
      </c>
      <c r="G946" s="184">
        <v>0.125</v>
      </c>
      <c r="H946" s="185">
        <v>0</v>
      </c>
      <c r="I946" s="186">
        <v>125000</v>
      </c>
      <c r="J946" s="187">
        <v>15625</v>
      </c>
      <c r="K946" s="182" t="s">
        <v>2799</v>
      </c>
      <c r="L946" s="182">
        <v>3</v>
      </c>
      <c r="M946" s="182" t="s">
        <v>2802</v>
      </c>
      <c r="N946" s="186">
        <v>1</v>
      </c>
      <c r="O946" s="188">
        <v>0.125</v>
      </c>
      <c r="P946" s="188">
        <v>40</v>
      </c>
      <c r="Q946" s="188">
        <v>5</v>
      </c>
      <c r="R946" s="189">
        <v>4.13</v>
      </c>
      <c r="S946" s="189" t="s">
        <v>985</v>
      </c>
    </row>
    <row r="947" spans="1:19" ht="14.25" customHeight="1" x14ac:dyDescent="0.3">
      <c r="A947" s="182" t="s">
        <v>2794</v>
      </c>
      <c r="B947" s="182" t="s">
        <v>908</v>
      </c>
      <c r="C947" s="182" t="s">
        <v>909</v>
      </c>
      <c r="D947" s="182" t="s">
        <v>2803</v>
      </c>
      <c r="E947" s="183" t="s">
        <v>2804</v>
      </c>
      <c r="F947" s="183" t="s">
        <v>600</v>
      </c>
      <c r="G947" s="184">
        <v>0.05</v>
      </c>
      <c r="H947" s="185">
        <v>0</v>
      </c>
      <c r="I947" s="186">
        <v>100000</v>
      </c>
      <c r="J947" s="187">
        <v>5000</v>
      </c>
      <c r="K947" s="182" t="s">
        <v>2799</v>
      </c>
      <c r="L947" s="182">
        <v>4</v>
      </c>
      <c r="M947" s="182" t="s">
        <v>2805</v>
      </c>
      <c r="N947" s="186">
        <v>1</v>
      </c>
      <c r="O947" s="188">
        <v>0.05</v>
      </c>
      <c r="P947" s="188">
        <v>40</v>
      </c>
      <c r="Q947" s="188">
        <v>2</v>
      </c>
      <c r="R947" s="189">
        <v>4.13</v>
      </c>
      <c r="S947" s="189" t="s">
        <v>985</v>
      </c>
    </row>
    <row r="948" spans="1:19" ht="14.25" customHeight="1" x14ac:dyDescent="0.3">
      <c r="A948" s="182" t="s">
        <v>2794</v>
      </c>
      <c r="B948" s="182" t="s">
        <v>937</v>
      </c>
      <c r="C948" s="182" t="s">
        <v>938</v>
      </c>
      <c r="D948" s="182" t="s">
        <v>939</v>
      </c>
      <c r="E948" s="183" t="s">
        <v>940</v>
      </c>
      <c r="F948" s="183" t="s">
        <v>941</v>
      </c>
      <c r="G948" s="184">
        <v>0.375</v>
      </c>
      <c r="H948" s="185">
        <v>0</v>
      </c>
      <c r="I948" s="186">
        <v>60860.580776572002</v>
      </c>
      <c r="J948" s="187">
        <v>22822.717791214502</v>
      </c>
      <c r="K948" s="182" t="s">
        <v>2806</v>
      </c>
      <c r="L948" s="182">
        <v>1</v>
      </c>
      <c r="M948" s="182" t="s">
        <v>2807</v>
      </c>
      <c r="N948" s="186">
        <v>1</v>
      </c>
      <c r="O948" s="188">
        <v>0.375</v>
      </c>
      <c r="P948" s="188">
        <v>40</v>
      </c>
      <c r="Q948" s="188">
        <v>15</v>
      </c>
      <c r="R948" s="189">
        <v>4.13</v>
      </c>
      <c r="S948" s="189" t="s">
        <v>985</v>
      </c>
    </row>
    <row r="949" spans="1:19" ht="14.25" customHeight="1" x14ac:dyDescent="0.3">
      <c r="A949" s="182" t="s">
        <v>2794</v>
      </c>
      <c r="B949" s="182" t="s">
        <v>937</v>
      </c>
      <c r="C949" s="182" t="s">
        <v>938</v>
      </c>
      <c r="D949" s="190" t="s">
        <v>1291</v>
      </c>
      <c r="E949" s="183" t="s">
        <v>1292</v>
      </c>
      <c r="F949" s="183" t="s">
        <v>941</v>
      </c>
      <c r="G949" s="184">
        <v>0.05</v>
      </c>
      <c r="H949" s="185">
        <v>0</v>
      </c>
      <c r="I949" s="186">
        <v>65493.071636572</v>
      </c>
      <c r="J949" s="187">
        <v>3274.6535818286002</v>
      </c>
      <c r="K949" s="182" t="s">
        <v>2806</v>
      </c>
      <c r="L949" s="182">
        <v>2</v>
      </c>
      <c r="M949" s="182" t="s">
        <v>2808</v>
      </c>
      <c r="N949" s="186">
        <v>1</v>
      </c>
      <c r="O949" s="188">
        <v>0.05</v>
      </c>
      <c r="P949" s="188">
        <v>40</v>
      </c>
      <c r="Q949" s="188">
        <v>2</v>
      </c>
      <c r="R949" s="189">
        <v>4.13</v>
      </c>
      <c r="S949" s="189" t="s">
        <v>985</v>
      </c>
    </row>
    <row r="950" spans="1:19" ht="14.25" customHeight="1" x14ac:dyDescent="0.3">
      <c r="A950" s="182" t="s">
        <v>2794</v>
      </c>
      <c r="B950" s="182" t="s">
        <v>937</v>
      </c>
      <c r="C950" s="182" t="s">
        <v>938</v>
      </c>
      <c r="D950" s="190" t="s">
        <v>1375</v>
      </c>
      <c r="E950" s="183" t="s">
        <v>1376</v>
      </c>
      <c r="F950" s="183" t="s">
        <v>941</v>
      </c>
      <c r="G950" s="184">
        <v>0.125</v>
      </c>
      <c r="H950" s="185">
        <v>0</v>
      </c>
      <c r="I950" s="186">
        <v>76955.079706571996</v>
      </c>
      <c r="J950" s="187">
        <v>9619.3849633214995</v>
      </c>
      <c r="K950" s="182" t="s">
        <v>2806</v>
      </c>
      <c r="L950" s="182">
        <v>3</v>
      </c>
      <c r="M950" s="182" t="s">
        <v>2809</v>
      </c>
      <c r="N950" s="186">
        <v>1</v>
      </c>
      <c r="O950" s="188">
        <v>0.125</v>
      </c>
      <c r="P950" s="188">
        <v>40</v>
      </c>
      <c r="Q950" s="188">
        <v>5</v>
      </c>
      <c r="R950" s="189">
        <v>4.13</v>
      </c>
      <c r="S950" s="189" t="s">
        <v>985</v>
      </c>
    </row>
    <row r="951" spans="1:19" ht="14.25" customHeight="1" x14ac:dyDescent="0.3">
      <c r="A951" s="182" t="s">
        <v>2810</v>
      </c>
      <c r="B951" s="182" t="s">
        <v>563</v>
      </c>
      <c r="C951" s="182"/>
      <c r="D951" s="182" t="s">
        <v>2811</v>
      </c>
      <c r="E951" s="183" t="s">
        <v>2812</v>
      </c>
      <c r="F951" s="183"/>
      <c r="G951" s="184">
        <v>1</v>
      </c>
      <c r="H951" s="185">
        <v>0</v>
      </c>
      <c r="I951" s="186">
        <v>1969.9744827858201</v>
      </c>
      <c r="J951" s="187">
        <v>1969.9744827858201</v>
      </c>
      <c r="K951" s="182" t="s">
        <v>2813</v>
      </c>
      <c r="L951" s="182">
        <v>1</v>
      </c>
      <c r="M951" s="182" t="s">
        <v>2814</v>
      </c>
      <c r="N951" s="186">
        <v>1</v>
      </c>
      <c r="O951" s="188">
        <v>1</v>
      </c>
      <c r="P951" s="188">
        <v>8</v>
      </c>
      <c r="Q951" s="188">
        <v>8</v>
      </c>
      <c r="R951" s="189">
        <v>4.1399999999999997</v>
      </c>
      <c r="S951" s="189" t="s">
        <v>985</v>
      </c>
    </row>
    <row r="952" spans="1:19" ht="14.25" customHeight="1" x14ac:dyDescent="0.3">
      <c r="A952" s="182" t="s">
        <v>2810</v>
      </c>
      <c r="B952" s="182" t="s">
        <v>908</v>
      </c>
      <c r="C952" s="182" t="s">
        <v>1358</v>
      </c>
      <c r="D952" s="182" t="s">
        <v>976</v>
      </c>
      <c r="E952" s="183" t="s">
        <v>977</v>
      </c>
      <c r="F952" s="183" t="s">
        <v>576</v>
      </c>
      <c r="G952" s="184">
        <v>2176.93291735</v>
      </c>
      <c r="H952" s="185">
        <v>0</v>
      </c>
      <c r="I952" s="186">
        <v>1</v>
      </c>
      <c r="J952" s="187">
        <v>2176.93291735</v>
      </c>
      <c r="K952" s="182" t="s">
        <v>2815</v>
      </c>
      <c r="L952" s="182">
        <v>1</v>
      </c>
      <c r="M952" s="182" t="s">
        <v>2816</v>
      </c>
      <c r="N952" s="186">
        <v>1</v>
      </c>
      <c r="O952" s="188">
        <v>2176.93291735</v>
      </c>
      <c r="P952" s="188">
        <v>8</v>
      </c>
      <c r="Q952" s="188">
        <v>17415.4633388</v>
      </c>
      <c r="R952" s="189">
        <v>4.1399999999999997</v>
      </c>
      <c r="S952" s="189" t="s">
        <v>985</v>
      </c>
    </row>
    <row r="953" spans="1:19" ht="14.25" customHeight="1" x14ac:dyDescent="0.3">
      <c r="A953" s="182" t="s">
        <v>2810</v>
      </c>
      <c r="B953" s="182" t="s">
        <v>908</v>
      </c>
      <c r="C953" s="182" t="s">
        <v>1358</v>
      </c>
      <c r="D953" s="182" t="s">
        <v>2817</v>
      </c>
      <c r="E953" s="183" t="s">
        <v>2818</v>
      </c>
      <c r="F953" s="183" t="s">
        <v>595</v>
      </c>
      <c r="G953" s="184">
        <v>1.8</v>
      </c>
      <c r="H953" s="185">
        <v>0</v>
      </c>
      <c r="I953" s="186">
        <v>6590.9962250622002</v>
      </c>
      <c r="J953" s="187">
        <v>11863.793205112001</v>
      </c>
      <c r="K953" s="182" t="s">
        <v>2815</v>
      </c>
      <c r="L953" s="182">
        <v>2</v>
      </c>
      <c r="M953" s="182" t="s">
        <v>2819</v>
      </c>
      <c r="N953" s="186">
        <v>1</v>
      </c>
      <c r="O953" s="188">
        <v>1.8</v>
      </c>
      <c r="P953" s="188">
        <v>8</v>
      </c>
      <c r="Q953" s="188">
        <v>14.4</v>
      </c>
      <c r="R953" s="189">
        <v>4.1399999999999997</v>
      </c>
      <c r="S953" s="189" t="s">
        <v>985</v>
      </c>
    </row>
    <row r="954" spans="1:19" ht="14.25" customHeight="1" x14ac:dyDescent="0.3">
      <c r="A954" s="182" t="s">
        <v>2810</v>
      </c>
      <c r="B954" s="182" t="s">
        <v>908</v>
      </c>
      <c r="C954" s="182" t="s">
        <v>1358</v>
      </c>
      <c r="D954" s="182" t="s">
        <v>2820</v>
      </c>
      <c r="E954" s="183" t="s">
        <v>2821</v>
      </c>
      <c r="F954" s="183" t="s">
        <v>595</v>
      </c>
      <c r="G954" s="184">
        <v>0.6</v>
      </c>
      <c r="H954" s="185">
        <v>0</v>
      </c>
      <c r="I954" s="186">
        <v>4009.2266140000002</v>
      </c>
      <c r="J954" s="187">
        <v>2405.5359684</v>
      </c>
      <c r="K954" s="182" t="s">
        <v>2815</v>
      </c>
      <c r="L954" s="182">
        <v>3</v>
      </c>
      <c r="M954" s="182" t="s">
        <v>2822</v>
      </c>
      <c r="N954" s="186">
        <v>1</v>
      </c>
      <c r="O954" s="188">
        <v>0.6</v>
      </c>
      <c r="P954" s="188">
        <v>8</v>
      </c>
      <c r="Q954" s="188">
        <v>4.8</v>
      </c>
      <c r="R954" s="189">
        <v>4.1399999999999997</v>
      </c>
      <c r="S954" s="189" t="s">
        <v>985</v>
      </c>
    </row>
    <row r="955" spans="1:19" ht="14.25" customHeight="1" x14ac:dyDescent="0.3">
      <c r="A955" s="182" t="s">
        <v>2810</v>
      </c>
      <c r="B955" s="182" t="s">
        <v>908</v>
      </c>
      <c r="C955" s="182" t="s">
        <v>909</v>
      </c>
      <c r="D955" s="182" t="s">
        <v>2823</v>
      </c>
      <c r="E955" s="183" t="s">
        <v>2824</v>
      </c>
      <c r="F955" s="183" t="s">
        <v>600</v>
      </c>
      <c r="G955" s="184">
        <v>0.5</v>
      </c>
      <c r="H955" s="185">
        <v>0</v>
      </c>
      <c r="I955" s="186">
        <v>15000</v>
      </c>
      <c r="J955" s="187">
        <v>7500</v>
      </c>
      <c r="K955" s="182" t="s">
        <v>2815</v>
      </c>
      <c r="L955" s="182">
        <v>4</v>
      </c>
      <c r="M955" s="182" t="s">
        <v>2825</v>
      </c>
      <c r="N955" s="186">
        <v>1</v>
      </c>
      <c r="O955" s="188">
        <v>0.5</v>
      </c>
      <c r="P955" s="188">
        <v>8</v>
      </c>
      <c r="Q955" s="188">
        <v>4</v>
      </c>
      <c r="R955" s="189">
        <v>4.1399999999999997</v>
      </c>
      <c r="S955" s="189" t="s">
        <v>985</v>
      </c>
    </row>
    <row r="956" spans="1:19" ht="14.25" customHeight="1" x14ac:dyDescent="0.3">
      <c r="A956" s="182" t="s">
        <v>2810</v>
      </c>
      <c r="B956" s="182" t="s">
        <v>937</v>
      </c>
      <c r="C956" s="182" t="s">
        <v>938</v>
      </c>
      <c r="D956" s="182" t="s">
        <v>939</v>
      </c>
      <c r="E956" s="183" t="s">
        <v>940</v>
      </c>
      <c r="F956" s="183" t="s">
        <v>941</v>
      </c>
      <c r="G956" s="184">
        <v>0.5</v>
      </c>
      <c r="H956" s="185">
        <v>0</v>
      </c>
      <c r="I956" s="186">
        <v>60860.580776572002</v>
      </c>
      <c r="J956" s="187">
        <v>30430.290388286001</v>
      </c>
      <c r="K956" s="182" t="s">
        <v>2826</v>
      </c>
      <c r="L956" s="182">
        <v>1</v>
      </c>
      <c r="M956" s="182" t="s">
        <v>2827</v>
      </c>
      <c r="N956" s="186">
        <v>1</v>
      </c>
      <c r="O956" s="188">
        <v>0.5</v>
      </c>
      <c r="P956" s="188">
        <v>8</v>
      </c>
      <c r="Q956" s="188">
        <v>4</v>
      </c>
      <c r="R956" s="189">
        <v>4.1399999999999997</v>
      </c>
      <c r="S956" s="189" t="s">
        <v>985</v>
      </c>
    </row>
    <row r="957" spans="1:19" ht="14.25" customHeight="1" x14ac:dyDescent="0.3">
      <c r="A957" s="182" t="s">
        <v>2810</v>
      </c>
      <c r="B957" s="182" t="s">
        <v>937</v>
      </c>
      <c r="C957" s="182" t="s">
        <v>938</v>
      </c>
      <c r="D957" s="190" t="s">
        <v>1375</v>
      </c>
      <c r="E957" s="183" t="s">
        <v>1376</v>
      </c>
      <c r="F957" s="183" t="s">
        <v>941</v>
      </c>
      <c r="G957" s="184">
        <v>1</v>
      </c>
      <c r="H957" s="185">
        <v>0</v>
      </c>
      <c r="I957" s="186">
        <v>76955.079706571996</v>
      </c>
      <c r="J957" s="187">
        <v>76955.079706571996</v>
      </c>
      <c r="K957" s="182" t="s">
        <v>2826</v>
      </c>
      <c r="L957" s="182">
        <v>2</v>
      </c>
      <c r="M957" s="182" t="s">
        <v>2828</v>
      </c>
      <c r="N957" s="186">
        <v>1</v>
      </c>
      <c r="O957" s="188">
        <v>1</v>
      </c>
      <c r="P957" s="188">
        <v>8</v>
      </c>
      <c r="Q957" s="188">
        <v>8</v>
      </c>
      <c r="R957" s="189">
        <v>4.1399999999999997</v>
      </c>
      <c r="S957" s="189" t="s">
        <v>985</v>
      </c>
    </row>
    <row r="958" spans="1:19" ht="14.25" customHeight="1" x14ac:dyDescent="0.3">
      <c r="A958" s="182" t="s">
        <v>2829</v>
      </c>
      <c r="B958" s="182" t="s">
        <v>563</v>
      </c>
      <c r="C958" s="182"/>
      <c r="D958" s="182" t="s">
        <v>948</v>
      </c>
      <c r="E958" s="183" t="s">
        <v>949</v>
      </c>
      <c r="F958" s="183"/>
      <c r="G958" s="184">
        <v>0.5</v>
      </c>
      <c r="H958" s="185">
        <v>0</v>
      </c>
      <c r="I958" s="186">
        <v>571.17949098076099</v>
      </c>
      <c r="J958" s="187">
        <v>285.58974549038101</v>
      </c>
      <c r="K958" s="182" t="s">
        <v>2830</v>
      </c>
      <c r="L958" s="182">
        <v>1</v>
      </c>
      <c r="M958" s="182" t="s">
        <v>2831</v>
      </c>
      <c r="N958" s="186">
        <v>28</v>
      </c>
      <c r="O958" s="188">
        <v>0.5</v>
      </c>
      <c r="P958" s="188">
        <v>136</v>
      </c>
      <c r="Q958" s="188">
        <v>68</v>
      </c>
      <c r="R958" s="189">
        <v>5.01</v>
      </c>
      <c r="S958" s="189" t="s">
        <v>985</v>
      </c>
    </row>
    <row r="959" spans="1:19" ht="14.25" customHeight="1" x14ac:dyDescent="0.3">
      <c r="A959" s="182" t="s">
        <v>2829</v>
      </c>
      <c r="B959" s="182" t="s">
        <v>563</v>
      </c>
      <c r="C959" s="182"/>
      <c r="D959" s="182" t="s">
        <v>952</v>
      </c>
      <c r="E959" s="183" t="s">
        <v>953</v>
      </c>
      <c r="F959" s="183"/>
      <c r="G959" s="184">
        <v>1</v>
      </c>
      <c r="H959" s="185">
        <v>0</v>
      </c>
      <c r="I959" s="186">
        <v>2287.1357450968098</v>
      </c>
      <c r="J959" s="187">
        <v>2287.1357450968098</v>
      </c>
      <c r="K959" s="182" t="s">
        <v>2830</v>
      </c>
      <c r="L959" s="182">
        <v>2</v>
      </c>
      <c r="M959" s="182" t="s">
        <v>2832</v>
      </c>
      <c r="N959" s="186">
        <v>28</v>
      </c>
      <c r="O959" s="188">
        <v>1</v>
      </c>
      <c r="P959" s="188">
        <v>136</v>
      </c>
      <c r="Q959" s="188">
        <v>136</v>
      </c>
      <c r="R959" s="189">
        <v>5.01</v>
      </c>
      <c r="S959" s="189" t="s">
        <v>985</v>
      </c>
    </row>
    <row r="960" spans="1:19" ht="14.25" customHeight="1" x14ac:dyDescent="0.3">
      <c r="A960" s="182" t="s">
        <v>2829</v>
      </c>
      <c r="B960" s="182" t="s">
        <v>563</v>
      </c>
      <c r="C960" s="182"/>
      <c r="D960" s="182" t="s">
        <v>955</v>
      </c>
      <c r="E960" s="183" t="s">
        <v>956</v>
      </c>
      <c r="F960" s="183"/>
      <c r="G960" s="184">
        <v>1</v>
      </c>
      <c r="H960" s="185">
        <v>0</v>
      </c>
      <c r="I960" s="186">
        <v>957.25319614994703</v>
      </c>
      <c r="J960" s="187">
        <v>957.25319614994703</v>
      </c>
      <c r="K960" s="182" t="s">
        <v>2830</v>
      </c>
      <c r="L960" s="182">
        <v>3</v>
      </c>
      <c r="M960" s="182" t="s">
        <v>2833</v>
      </c>
      <c r="N960" s="186">
        <v>28</v>
      </c>
      <c r="O960" s="188">
        <v>1</v>
      </c>
      <c r="P960" s="188">
        <v>136</v>
      </c>
      <c r="Q960" s="188">
        <v>136</v>
      </c>
      <c r="R960" s="189">
        <v>5.01</v>
      </c>
      <c r="S960" s="189" t="s">
        <v>985</v>
      </c>
    </row>
    <row r="961" spans="1:19" ht="14.25" customHeight="1" x14ac:dyDescent="0.3">
      <c r="A961" s="182" t="s">
        <v>2829</v>
      </c>
      <c r="B961" s="182" t="s">
        <v>908</v>
      </c>
      <c r="C961" s="182" t="s">
        <v>909</v>
      </c>
      <c r="D961" s="182" t="s">
        <v>962</v>
      </c>
      <c r="E961" s="183" t="s">
        <v>963</v>
      </c>
      <c r="F961" s="183" t="s">
        <v>590</v>
      </c>
      <c r="G961" s="184">
        <v>6.0000000000000001E-3</v>
      </c>
      <c r="H961" s="185">
        <v>0.1</v>
      </c>
      <c r="I961" s="186">
        <v>32399.77</v>
      </c>
      <c r="J961" s="187">
        <v>213.838482</v>
      </c>
      <c r="K961" s="182" t="s">
        <v>2834</v>
      </c>
      <c r="L961" s="182">
        <v>1</v>
      </c>
      <c r="M961" s="182" t="s">
        <v>2835</v>
      </c>
      <c r="N961" s="186">
        <v>28</v>
      </c>
      <c r="O961" s="188">
        <v>6.0000000000000001E-3</v>
      </c>
      <c r="P961" s="188">
        <v>136</v>
      </c>
      <c r="Q961" s="188">
        <v>0.81599999999999995</v>
      </c>
      <c r="R961" s="189">
        <v>5.01</v>
      </c>
      <c r="S961" s="189" t="s">
        <v>985</v>
      </c>
    </row>
    <row r="962" spans="1:19" ht="14.25" customHeight="1" x14ac:dyDescent="0.3">
      <c r="A962" s="182" t="s">
        <v>2829</v>
      </c>
      <c r="B962" s="182" t="s">
        <v>908</v>
      </c>
      <c r="C962" s="182" t="s">
        <v>909</v>
      </c>
      <c r="D962" s="182" t="s">
        <v>965</v>
      </c>
      <c r="E962" s="183" t="s">
        <v>966</v>
      </c>
      <c r="F962" s="183" t="s">
        <v>967</v>
      </c>
      <c r="G962" s="184">
        <v>5.3999999999999999E-2</v>
      </c>
      <c r="H962" s="185">
        <v>0.1</v>
      </c>
      <c r="I962" s="186">
        <v>7809.48</v>
      </c>
      <c r="J962" s="187">
        <v>463.88311199999998</v>
      </c>
      <c r="K962" s="182" t="s">
        <v>2834</v>
      </c>
      <c r="L962" s="182">
        <v>2</v>
      </c>
      <c r="M962" s="182" t="s">
        <v>2836</v>
      </c>
      <c r="N962" s="186">
        <v>28</v>
      </c>
      <c r="O962" s="188">
        <v>5.3999999999999999E-2</v>
      </c>
      <c r="P962" s="188">
        <v>136</v>
      </c>
      <c r="Q962" s="188">
        <v>7.3440000000000003</v>
      </c>
      <c r="R962" s="189">
        <v>5.01</v>
      </c>
      <c r="S962" s="189" t="s">
        <v>985</v>
      </c>
    </row>
    <row r="963" spans="1:19" ht="14.25" customHeight="1" x14ac:dyDescent="0.3">
      <c r="A963" s="182" t="s">
        <v>2829</v>
      </c>
      <c r="B963" s="182" t="s">
        <v>908</v>
      </c>
      <c r="C963" s="182" t="s">
        <v>909</v>
      </c>
      <c r="D963" s="182" t="s">
        <v>1044</v>
      </c>
      <c r="E963" s="183" t="s">
        <v>1045</v>
      </c>
      <c r="F963" s="183" t="s">
        <v>1046</v>
      </c>
      <c r="G963" s="184">
        <v>0.1</v>
      </c>
      <c r="H963" s="185">
        <v>0.05</v>
      </c>
      <c r="I963" s="186">
        <v>1256.1279999999999</v>
      </c>
      <c r="J963" s="187">
        <v>131.89344</v>
      </c>
      <c r="K963" s="182" t="s">
        <v>2834</v>
      </c>
      <c r="L963" s="182">
        <v>3</v>
      </c>
      <c r="M963" s="182" t="s">
        <v>2837</v>
      </c>
      <c r="N963" s="186">
        <v>28</v>
      </c>
      <c r="O963" s="188">
        <v>0.1</v>
      </c>
      <c r="P963" s="188">
        <v>136</v>
      </c>
      <c r="Q963" s="188">
        <v>13.6</v>
      </c>
      <c r="R963" s="189">
        <v>5.01</v>
      </c>
      <c r="S963" s="189" t="s">
        <v>985</v>
      </c>
    </row>
    <row r="964" spans="1:19" ht="14.25" customHeight="1" x14ac:dyDescent="0.3">
      <c r="A964" s="182" t="s">
        <v>2829</v>
      </c>
      <c r="B964" s="182" t="s">
        <v>937</v>
      </c>
      <c r="C964" s="182" t="s">
        <v>938</v>
      </c>
      <c r="D964" s="190" t="s">
        <v>939</v>
      </c>
      <c r="E964" s="183" t="s">
        <v>940</v>
      </c>
      <c r="F964" s="183" t="s">
        <v>941</v>
      </c>
      <c r="G964" s="184">
        <v>0.4</v>
      </c>
      <c r="H964" s="185">
        <v>0</v>
      </c>
      <c r="I964" s="186">
        <v>60860.580776572002</v>
      </c>
      <c r="J964" s="187">
        <v>24344.232310628799</v>
      </c>
      <c r="K964" s="182" t="s">
        <v>2838</v>
      </c>
      <c r="L964" s="182">
        <v>1</v>
      </c>
      <c r="M964" s="182" t="s">
        <v>2839</v>
      </c>
      <c r="N964" s="186">
        <v>28</v>
      </c>
      <c r="O964" s="188">
        <v>1.4285714285714299E-2</v>
      </c>
      <c r="P964" s="188">
        <v>136</v>
      </c>
      <c r="Q964" s="188">
        <v>1.94285714285714</v>
      </c>
      <c r="R964" s="189">
        <v>5.01</v>
      </c>
      <c r="S964" s="189" t="s">
        <v>985</v>
      </c>
    </row>
    <row r="965" spans="1:19" ht="14.25" customHeight="1" x14ac:dyDescent="0.3">
      <c r="A965" s="182" t="s">
        <v>2829</v>
      </c>
      <c r="B965" s="182" t="s">
        <v>937</v>
      </c>
      <c r="C965" s="182" t="s">
        <v>938</v>
      </c>
      <c r="D965" s="190" t="s">
        <v>944</v>
      </c>
      <c r="E965" s="183" t="s">
        <v>945</v>
      </c>
      <c r="F965" s="183" t="s">
        <v>941</v>
      </c>
      <c r="G965" s="184">
        <v>1</v>
      </c>
      <c r="H965" s="185">
        <v>0</v>
      </c>
      <c r="I965" s="186">
        <v>85927.097156571996</v>
      </c>
      <c r="J965" s="187">
        <v>85927.097156571996</v>
      </c>
      <c r="K965" s="182" t="s">
        <v>2838</v>
      </c>
      <c r="L965" s="182">
        <v>2</v>
      </c>
      <c r="M965" s="182" t="s">
        <v>2840</v>
      </c>
      <c r="N965" s="186">
        <v>28</v>
      </c>
      <c r="O965" s="188">
        <v>3.5714285714285698E-2</v>
      </c>
      <c r="P965" s="188">
        <v>136</v>
      </c>
      <c r="Q965" s="188">
        <v>4.8571428571428603</v>
      </c>
      <c r="R965" s="189">
        <v>5.01</v>
      </c>
      <c r="S965" s="189" t="s">
        <v>985</v>
      </c>
    </row>
    <row r="966" spans="1:19" ht="14.25" customHeight="1" x14ac:dyDescent="0.3">
      <c r="A966" s="182" t="s">
        <v>2841</v>
      </c>
      <c r="B966" s="182" t="s">
        <v>563</v>
      </c>
      <c r="C966" s="182"/>
      <c r="D966" s="182" t="s">
        <v>904</v>
      </c>
      <c r="E966" s="183" t="s">
        <v>905</v>
      </c>
      <c r="F966" s="183"/>
      <c r="G966" s="184">
        <v>1</v>
      </c>
      <c r="H966" s="185">
        <v>0</v>
      </c>
      <c r="I966" s="186">
        <v>804.50568716119994</v>
      </c>
      <c r="J966" s="187">
        <v>804.50568716119994</v>
      </c>
      <c r="K966" s="182" t="s">
        <v>2842</v>
      </c>
      <c r="L966" s="182">
        <v>1</v>
      </c>
      <c r="M966" s="182" t="s">
        <v>2843</v>
      </c>
      <c r="N966" s="186">
        <v>25</v>
      </c>
      <c r="O966" s="188">
        <v>1</v>
      </c>
      <c r="P966" s="188">
        <v>77</v>
      </c>
      <c r="Q966" s="188">
        <v>77</v>
      </c>
      <c r="R966" s="189">
        <v>5.0199999999999996</v>
      </c>
      <c r="S966" s="189" t="s">
        <v>985</v>
      </c>
    </row>
    <row r="967" spans="1:19" ht="14.25" customHeight="1" x14ac:dyDescent="0.3">
      <c r="A967" s="182" t="s">
        <v>2841</v>
      </c>
      <c r="B967" s="182" t="s">
        <v>908</v>
      </c>
      <c r="C967" s="182" t="s">
        <v>909</v>
      </c>
      <c r="D967" s="182" t="s">
        <v>934</v>
      </c>
      <c r="E967" s="183" t="s">
        <v>935</v>
      </c>
      <c r="F967" s="183" t="s">
        <v>600</v>
      </c>
      <c r="G967" s="184">
        <v>0.1</v>
      </c>
      <c r="H967" s="185">
        <v>0.1</v>
      </c>
      <c r="I967" s="186">
        <v>70192.210000000006</v>
      </c>
      <c r="J967" s="187">
        <v>7721.1431000000002</v>
      </c>
      <c r="K967" s="182" t="s">
        <v>2844</v>
      </c>
      <c r="L967" s="182">
        <v>1</v>
      </c>
      <c r="M967" s="182" t="s">
        <v>2845</v>
      </c>
      <c r="N967" s="186">
        <v>25</v>
      </c>
      <c r="O967" s="188">
        <v>0.1</v>
      </c>
      <c r="P967" s="188">
        <v>77</v>
      </c>
      <c r="Q967" s="188">
        <v>7.7</v>
      </c>
      <c r="R967" s="189">
        <v>5.0199999999999996</v>
      </c>
      <c r="S967" s="189" t="s">
        <v>985</v>
      </c>
    </row>
    <row r="968" spans="1:19" ht="14.25" customHeight="1" x14ac:dyDescent="0.3">
      <c r="A968" s="182" t="s">
        <v>2841</v>
      </c>
      <c r="B968" s="182" t="s">
        <v>908</v>
      </c>
      <c r="C968" s="182" t="s">
        <v>909</v>
      </c>
      <c r="D968" s="182" t="s">
        <v>910</v>
      </c>
      <c r="E968" s="183" t="s">
        <v>911</v>
      </c>
      <c r="F968" s="183" t="s">
        <v>912</v>
      </c>
      <c r="G968" s="184">
        <v>0.01</v>
      </c>
      <c r="H968" s="185">
        <v>0.05</v>
      </c>
      <c r="I968" s="186">
        <v>26907.33</v>
      </c>
      <c r="J968" s="187">
        <v>282.52696500000002</v>
      </c>
      <c r="K968" s="182" t="s">
        <v>2844</v>
      </c>
      <c r="L968" s="182">
        <v>2</v>
      </c>
      <c r="M968" s="182" t="s">
        <v>2846</v>
      </c>
      <c r="N968" s="186">
        <v>25</v>
      </c>
      <c r="O968" s="188">
        <v>0.01</v>
      </c>
      <c r="P968" s="188">
        <v>77</v>
      </c>
      <c r="Q968" s="188">
        <v>0.77</v>
      </c>
      <c r="R968" s="189">
        <v>5.0199999999999996</v>
      </c>
      <c r="S968" s="189" t="s">
        <v>985</v>
      </c>
    </row>
    <row r="969" spans="1:19" ht="14.25" customHeight="1" x14ac:dyDescent="0.3">
      <c r="A969" s="182" t="s">
        <v>2841</v>
      </c>
      <c r="B969" s="182" t="s">
        <v>908</v>
      </c>
      <c r="C969" s="182" t="s">
        <v>909</v>
      </c>
      <c r="D969" s="182" t="s">
        <v>915</v>
      </c>
      <c r="E969" s="183" t="s">
        <v>916</v>
      </c>
      <c r="F969" s="183" t="s">
        <v>600</v>
      </c>
      <c r="G969" s="184">
        <v>0.02</v>
      </c>
      <c r="H969" s="185">
        <v>0.05</v>
      </c>
      <c r="I969" s="186">
        <v>735.06</v>
      </c>
      <c r="J969" s="187">
        <v>15.436260000000001</v>
      </c>
      <c r="K969" s="182" t="s">
        <v>2844</v>
      </c>
      <c r="L969" s="182">
        <v>3</v>
      </c>
      <c r="M969" s="182" t="s">
        <v>2847</v>
      </c>
      <c r="N969" s="186">
        <v>25</v>
      </c>
      <c r="O969" s="188">
        <v>0.02</v>
      </c>
      <c r="P969" s="188">
        <v>77</v>
      </c>
      <c r="Q969" s="188">
        <v>1.54</v>
      </c>
      <c r="R969" s="189">
        <v>5.0199999999999996</v>
      </c>
      <c r="S969" s="189" t="s">
        <v>985</v>
      </c>
    </row>
    <row r="970" spans="1:19" ht="14.25" customHeight="1" x14ac:dyDescent="0.3">
      <c r="A970" s="182" t="s">
        <v>2841</v>
      </c>
      <c r="B970" s="182" t="s">
        <v>908</v>
      </c>
      <c r="C970" s="182" t="s">
        <v>909</v>
      </c>
      <c r="D970" s="182" t="s">
        <v>918</v>
      </c>
      <c r="E970" s="183" t="s">
        <v>919</v>
      </c>
      <c r="F970" s="183" t="s">
        <v>600</v>
      </c>
      <c r="G970" s="184">
        <v>0.01</v>
      </c>
      <c r="H970" s="185">
        <v>0.05</v>
      </c>
      <c r="I970" s="186">
        <v>6678.36</v>
      </c>
      <c r="J970" s="187">
        <v>70.122780000000006</v>
      </c>
      <c r="K970" s="182" t="s">
        <v>2844</v>
      </c>
      <c r="L970" s="182">
        <v>4</v>
      </c>
      <c r="M970" s="182" t="s">
        <v>2848</v>
      </c>
      <c r="N970" s="186">
        <v>25</v>
      </c>
      <c r="O970" s="188">
        <v>0.01</v>
      </c>
      <c r="P970" s="188">
        <v>77</v>
      </c>
      <c r="Q970" s="188">
        <v>0.77</v>
      </c>
      <c r="R970" s="189">
        <v>5.0199999999999996</v>
      </c>
      <c r="S970" s="189" t="s">
        <v>985</v>
      </c>
    </row>
    <row r="971" spans="1:19" ht="14.25" customHeight="1" x14ac:dyDescent="0.3">
      <c r="A971" s="182" t="s">
        <v>2841</v>
      </c>
      <c r="B971" s="182" t="s">
        <v>908</v>
      </c>
      <c r="C971" s="182" t="s">
        <v>909</v>
      </c>
      <c r="D971" s="182" t="s">
        <v>921</v>
      </c>
      <c r="E971" s="183" t="s">
        <v>922</v>
      </c>
      <c r="F971" s="183" t="s">
        <v>600</v>
      </c>
      <c r="G971" s="184">
        <v>0.02</v>
      </c>
      <c r="H971" s="185">
        <v>0.05</v>
      </c>
      <c r="I971" s="186">
        <v>5282.24</v>
      </c>
      <c r="J971" s="187">
        <v>110.92704000000001</v>
      </c>
      <c r="K971" s="182" t="s">
        <v>2844</v>
      </c>
      <c r="L971" s="182">
        <v>5</v>
      </c>
      <c r="M971" s="182" t="s">
        <v>2849</v>
      </c>
      <c r="N971" s="186">
        <v>25</v>
      </c>
      <c r="O971" s="188">
        <v>0.02</v>
      </c>
      <c r="P971" s="188">
        <v>77</v>
      </c>
      <c r="Q971" s="188">
        <v>1.54</v>
      </c>
      <c r="R971" s="189">
        <v>5.0199999999999996</v>
      </c>
      <c r="S971" s="189" t="s">
        <v>985</v>
      </c>
    </row>
    <row r="972" spans="1:19" ht="14.25" customHeight="1" x14ac:dyDescent="0.3">
      <c r="A972" s="182" t="s">
        <v>2841</v>
      </c>
      <c r="B972" s="182" t="s">
        <v>908</v>
      </c>
      <c r="C972" s="182" t="s">
        <v>909</v>
      </c>
      <c r="D972" s="182" t="s">
        <v>924</v>
      </c>
      <c r="E972" s="183" t="s">
        <v>925</v>
      </c>
      <c r="F972" s="183" t="s">
        <v>926</v>
      </c>
      <c r="G972" s="184">
        <v>0.06</v>
      </c>
      <c r="H972" s="185">
        <v>0.05</v>
      </c>
      <c r="I972" s="186">
        <v>4842</v>
      </c>
      <c r="J972" s="187">
        <v>305.04599999999999</v>
      </c>
      <c r="K972" s="182" t="s">
        <v>2844</v>
      </c>
      <c r="L972" s="182">
        <v>6</v>
      </c>
      <c r="M972" s="182" t="s">
        <v>2850</v>
      </c>
      <c r="N972" s="186">
        <v>25</v>
      </c>
      <c r="O972" s="188">
        <v>0.06</v>
      </c>
      <c r="P972" s="188">
        <v>77</v>
      </c>
      <c r="Q972" s="188">
        <v>4.62</v>
      </c>
      <c r="R972" s="189">
        <v>5.0199999999999996</v>
      </c>
      <c r="S972" s="189" t="s">
        <v>985</v>
      </c>
    </row>
    <row r="973" spans="1:19" ht="14.25" customHeight="1" x14ac:dyDescent="0.3">
      <c r="A973" s="182" t="s">
        <v>2841</v>
      </c>
      <c r="B973" s="182" t="s">
        <v>908</v>
      </c>
      <c r="C973" s="182" t="s">
        <v>909</v>
      </c>
      <c r="D973" s="182" t="s">
        <v>928</v>
      </c>
      <c r="E973" s="183" t="s">
        <v>929</v>
      </c>
      <c r="F973" s="183" t="s">
        <v>600</v>
      </c>
      <c r="G973" s="184">
        <v>0.02</v>
      </c>
      <c r="H973" s="185">
        <v>0.05</v>
      </c>
      <c r="I973" s="186">
        <v>12396.694214876001</v>
      </c>
      <c r="J973" s="187">
        <v>260.33057851239602</v>
      </c>
      <c r="K973" s="182" t="s">
        <v>2844</v>
      </c>
      <c r="L973" s="182">
        <v>7</v>
      </c>
      <c r="M973" s="182" t="s">
        <v>2851</v>
      </c>
      <c r="N973" s="186">
        <v>25</v>
      </c>
      <c r="O973" s="188">
        <v>0.02</v>
      </c>
      <c r="P973" s="188">
        <v>77</v>
      </c>
      <c r="Q973" s="188">
        <v>1.54</v>
      </c>
      <c r="R973" s="189">
        <v>5.0199999999999996</v>
      </c>
      <c r="S973" s="189" t="s">
        <v>985</v>
      </c>
    </row>
    <row r="974" spans="1:19" ht="14.25" customHeight="1" x14ac:dyDescent="0.3">
      <c r="A974" s="182" t="s">
        <v>2841</v>
      </c>
      <c r="B974" s="182" t="s">
        <v>908</v>
      </c>
      <c r="C974" s="182" t="s">
        <v>909</v>
      </c>
      <c r="D974" s="182" t="s">
        <v>2852</v>
      </c>
      <c r="E974" s="183" t="s">
        <v>2853</v>
      </c>
      <c r="F974" s="183" t="s">
        <v>595</v>
      </c>
      <c r="G974" s="184">
        <v>1</v>
      </c>
      <c r="H974" s="185">
        <v>0</v>
      </c>
      <c r="I974" s="186">
        <v>3419.20382267378</v>
      </c>
      <c r="J974" s="187">
        <v>3419.20382267378</v>
      </c>
      <c r="K974" s="182" t="s">
        <v>2844</v>
      </c>
      <c r="L974" s="182">
        <v>8</v>
      </c>
      <c r="M974" s="182" t="s">
        <v>2854</v>
      </c>
      <c r="N974" s="186">
        <v>25</v>
      </c>
      <c r="O974" s="188">
        <v>1</v>
      </c>
      <c r="P974" s="188">
        <v>77</v>
      </c>
      <c r="Q974" s="188">
        <v>77</v>
      </c>
      <c r="R974" s="189">
        <v>5.0199999999999996</v>
      </c>
      <c r="S974" s="189" t="s">
        <v>985</v>
      </c>
    </row>
    <row r="975" spans="1:19" ht="14.25" customHeight="1" x14ac:dyDescent="0.3">
      <c r="A975" s="182" t="s">
        <v>2841</v>
      </c>
      <c r="B975" s="182" t="s">
        <v>908</v>
      </c>
      <c r="C975" s="182" t="s">
        <v>909</v>
      </c>
      <c r="D975" s="182" t="s">
        <v>931</v>
      </c>
      <c r="E975" s="183" t="s">
        <v>932</v>
      </c>
      <c r="F975" s="183" t="s">
        <v>912</v>
      </c>
      <c r="G975" s="184">
        <v>2.7777777777777801E-2</v>
      </c>
      <c r="H975" s="185">
        <v>0.1</v>
      </c>
      <c r="I975" s="186">
        <v>32845.78</v>
      </c>
      <c r="J975" s="187">
        <v>1003.62105555556</v>
      </c>
      <c r="K975" s="182" t="s">
        <v>2844</v>
      </c>
      <c r="L975" s="182">
        <v>9</v>
      </c>
      <c r="M975" s="182" t="s">
        <v>2855</v>
      </c>
      <c r="N975" s="186">
        <v>25</v>
      </c>
      <c r="O975" s="188">
        <v>2.7777777777777801E-2</v>
      </c>
      <c r="P975" s="188">
        <v>77</v>
      </c>
      <c r="Q975" s="188">
        <v>2.1388888888888902</v>
      </c>
      <c r="R975" s="189">
        <v>5.0199999999999996</v>
      </c>
      <c r="S975" s="189" t="s">
        <v>985</v>
      </c>
    </row>
    <row r="976" spans="1:19" ht="14.25" customHeight="1" x14ac:dyDescent="0.3">
      <c r="A976" s="182" t="s">
        <v>2841</v>
      </c>
      <c r="B976" s="182" t="s">
        <v>937</v>
      </c>
      <c r="C976" s="182" t="s">
        <v>938</v>
      </c>
      <c r="D976" s="190" t="s">
        <v>939</v>
      </c>
      <c r="E976" s="183" t="s">
        <v>940</v>
      </c>
      <c r="F976" s="183" t="s">
        <v>941</v>
      </c>
      <c r="G976" s="184">
        <v>1</v>
      </c>
      <c r="H976" s="185">
        <v>0</v>
      </c>
      <c r="I976" s="186">
        <v>60860.580776572002</v>
      </c>
      <c r="J976" s="187">
        <v>60860.580776572002</v>
      </c>
      <c r="K976" s="182" t="s">
        <v>2856</v>
      </c>
      <c r="L976" s="182">
        <v>1</v>
      </c>
      <c r="M976" s="182" t="s">
        <v>2857</v>
      </c>
      <c r="N976" s="186">
        <v>25</v>
      </c>
      <c r="O976" s="188">
        <v>0.04</v>
      </c>
      <c r="P976" s="188">
        <v>77</v>
      </c>
      <c r="Q976" s="188">
        <v>3.08</v>
      </c>
      <c r="R976" s="189">
        <v>5.0199999999999996</v>
      </c>
      <c r="S976" s="189" t="s">
        <v>985</v>
      </c>
    </row>
    <row r="977" spans="1:19" ht="14.25" customHeight="1" x14ac:dyDescent="0.3">
      <c r="A977" s="182" t="s">
        <v>2841</v>
      </c>
      <c r="B977" s="182" t="s">
        <v>937</v>
      </c>
      <c r="C977" s="182" t="s">
        <v>938</v>
      </c>
      <c r="D977" s="190" t="s">
        <v>944</v>
      </c>
      <c r="E977" s="183" t="s">
        <v>945</v>
      </c>
      <c r="F977" s="183" t="s">
        <v>941</v>
      </c>
      <c r="G977" s="184">
        <v>1</v>
      </c>
      <c r="H977" s="185">
        <v>0</v>
      </c>
      <c r="I977" s="186">
        <v>85927.097156571996</v>
      </c>
      <c r="J977" s="187">
        <v>85927.097156571996</v>
      </c>
      <c r="K977" s="182" t="s">
        <v>2856</v>
      </c>
      <c r="L977" s="182">
        <v>2</v>
      </c>
      <c r="M977" s="182" t="s">
        <v>2858</v>
      </c>
      <c r="N977" s="186">
        <v>25</v>
      </c>
      <c r="O977" s="188">
        <v>0.04</v>
      </c>
      <c r="P977" s="188">
        <v>77</v>
      </c>
      <c r="Q977" s="188">
        <v>3.08</v>
      </c>
      <c r="R977" s="189">
        <v>5.0199999999999996</v>
      </c>
      <c r="S977" s="189" t="s">
        <v>985</v>
      </c>
    </row>
    <row r="978" spans="1:19" ht="14.25" customHeight="1" x14ac:dyDescent="0.3">
      <c r="A978" s="182" t="s">
        <v>2841</v>
      </c>
      <c r="B978" s="182" t="s">
        <v>937</v>
      </c>
      <c r="C978" s="182" t="s">
        <v>909</v>
      </c>
      <c r="D978" s="182" t="s">
        <v>2859</v>
      </c>
      <c r="E978" s="183" t="s">
        <v>2860</v>
      </c>
      <c r="F978" s="183" t="s">
        <v>941</v>
      </c>
      <c r="G978" s="184">
        <v>1</v>
      </c>
      <c r="H978" s="185">
        <v>0</v>
      </c>
      <c r="I978" s="186">
        <v>146787.677933144</v>
      </c>
      <c r="J978" s="187">
        <v>146787.677933144</v>
      </c>
      <c r="K978" s="182" t="s">
        <v>2856</v>
      </c>
      <c r="L978" s="182">
        <v>3</v>
      </c>
      <c r="M978" s="182" t="s">
        <v>2861</v>
      </c>
      <c r="N978" s="186">
        <v>25</v>
      </c>
      <c r="O978" s="188">
        <v>1</v>
      </c>
      <c r="P978" s="188">
        <v>77</v>
      </c>
      <c r="Q978" s="188">
        <v>77</v>
      </c>
      <c r="R978" s="189">
        <v>5.0199999999999996</v>
      </c>
      <c r="S978" s="189" t="s">
        <v>985</v>
      </c>
    </row>
    <row r="979" spans="1:19" ht="14.25" customHeight="1" x14ac:dyDescent="0.3">
      <c r="A979" s="182" t="s">
        <v>2862</v>
      </c>
      <c r="B979" s="182" t="s">
        <v>563</v>
      </c>
      <c r="C979" s="182"/>
      <c r="D979" s="182" t="s">
        <v>948</v>
      </c>
      <c r="E979" s="183" t="s">
        <v>949</v>
      </c>
      <c r="F979" s="183"/>
      <c r="G979" s="184">
        <v>0.5</v>
      </c>
      <c r="H979" s="185">
        <v>0</v>
      </c>
      <c r="I979" s="186">
        <v>571.17949098076099</v>
      </c>
      <c r="J979" s="187">
        <v>285.58974549038101</v>
      </c>
      <c r="K979" s="182" t="s">
        <v>2863</v>
      </c>
      <c r="L979" s="182">
        <v>1</v>
      </c>
      <c r="M979" s="182" t="s">
        <v>2864</v>
      </c>
      <c r="N979" s="186">
        <v>28</v>
      </c>
      <c r="O979" s="188">
        <v>0.5</v>
      </c>
      <c r="P979" s="188">
        <v>107</v>
      </c>
      <c r="Q979" s="188">
        <v>53.5</v>
      </c>
      <c r="R979" s="189">
        <v>5.03</v>
      </c>
      <c r="S979" s="189" t="s">
        <v>985</v>
      </c>
    </row>
    <row r="980" spans="1:19" ht="14.25" customHeight="1" x14ac:dyDescent="0.3">
      <c r="A980" s="182" t="s">
        <v>2862</v>
      </c>
      <c r="B980" s="182" t="s">
        <v>563</v>
      </c>
      <c r="C980" s="182"/>
      <c r="D980" s="182" t="s">
        <v>952</v>
      </c>
      <c r="E980" s="183" t="s">
        <v>953</v>
      </c>
      <c r="F980" s="183"/>
      <c r="G980" s="184">
        <v>1</v>
      </c>
      <c r="H980" s="185">
        <v>0</v>
      </c>
      <c r="I980" s="186">
        <v>2287.1357450968098</v>
      </c>
      <c r="J980" s="187">
        <v>2287.1357450968098</v>
      </c>
      <c r="K980" s="182" t="s">
        <v>2863</v>
      </c>
      <c r="L980" s="182">
        <v>2</v>
      </c>
      <c r="M980" s="182" t="s">
        <v>2865</v>
      </c>
      <c r="N980" s="186">
        <v>28</v>
      </c>
      <c r="O980" s="188">
        <v>1</v>
      </c>
      <c r="P980" s="188">
        <v>107</v>
      </c>
      <c r="Q980" s="188">
        <v>107</v>
      </c>
      <c r="R980" s="189">
        <v>5.03</v>
      </c>
      <c r="S980" s="189" t="s">
        <v>985</v>
      </c>
    </row>
    <row r="981" spans="1:19" ht="14.25" customHeight="1" x14ac:dyDescent="0.3">
      <c r="A981" s="182" t="s">
        <v>2862</v>
      </c>
      <c r="B981" s="182" t="s">
        <v>563</v>
      </c>
      <c r="C981" s="182"/>
      <c r="D981" s="182" t="s">
        <v>955</v>
      </c>
      <c r="E981" s="183" t="s">
        <v>956</v>
      </c>
      <c r="F981" s="183"/>
      <c r="G981" s="184">
        <v>1</v>
      </c>
      <c r="H981" s="185">
        <v>0</v>
      </c>
      <c r="I981" s="186">
        <v>957.25319614994703</v>
      </c>
      <c r="J981" s="187">
        <v>957.25319614994703</v>
      </c>
      <c r="K981" s="182" t="s">
        <v>2863</v>
      </c>
      <c r="L981" s="182">
        <v>3</v>
      </c>
      <c r="M981" s="182" t="s">
        <v>2866</v>
      </c>
      <c r="N981" s="186">
        <v>28</v>
      </c>
      <c r="O981" s="188">
        <v>1</v>
      </c>
      <c r="P981" s="188">
        <v>107</v>
      </c>
      <c r="Q981" s="188">
        <v>107</v>
      </c>
      <c r="R981" s="189">
        <v>5.03</v>
      </c>
      <c r="S981" s="189" t="s">
        <v>985</v>
      </c>
    </row>
    <row r="982" spans="1:19" ht="14.25" customHeight="1" x14ac:dyDescent="0.3">
      <c r="A982" s="182" t="s">
        <v>2862</v>
      </c>
      <c r="B982" s="182" t="s">
        <v>908</v>
      </c>
      <c r="C982" s="182" t="s">
        <v>909</v>
      </c>
      <c r="D982" s="182" t="s">
        <v>962</v>
      </c>
      <c r="E982" s="183" t="s">
        <v>963</v>
      </c>
      <c r="F982" s="183" t="s">
        <v>590</v>
      </c>
      <c r="G982" s="184">
        <v>6.0000000000000001E-3</v>
      </c>
      <c r="H982" s="185">
        <v>0.1</v>
      </c>
      <c r="I982" s="186">
        <v>32399.77</v>
      </c>
      <c r="J982" s="187">
        <v>213.838482</v>
      </c>
      <c r="K982" s="182" t="s">
        <v>2867</v>
      </c>
      <c r="L982" s="182">
        <v>1</v>
      </c>
      <c r="M982" s="182" t="s">
        <v>2868</v>
      </c>
      <c r="N982" s="186">
        <v>28</v>
      </c>
      <c r="O982" s="188">
        <v>6.0000000000000001E-3</v>
      </c>
      <c r="P982" s="188">
        <v>107</v>
      </c>
      <c r="Q982" s="188">
        <v>0.64200000000000002</v>
      </c>
      <c r="R982" s="189">
        <v>5.03</v>
      </c>
      <c r="S982" s="189" t="s">
        <v>985</v>
      </c>
    </row>
    <row r="983" spans="1:19" ht="14.25" customHeight="1" x14ac:dyDescent="0.3">
      <c r="A983" s="182" t="s">
        <v>2862</v>
      </c>
      <c r="B983" s="182" t="s">
        <v>908</v>
      </c>
      <c r="C983" s="182" t="s">
        <v>909</v>
      </c>
      <c r="D983" s="182" t="s">
        <v>965</v>
      </c>
      <c r="E983" s="183" t="s">
        <v>966</v>
      </c>
      <c r="F983" s="183" t="s">
        <v>967</v>
      </c>
      <c r="G983" s="184">
        <v>5.3999999999999999E-2</v>
      </c>
      <c r="H983" s="185">
        <v>0.1</v>
      </c>
      <c r="I983" s="186">
        <v>7809.48</v>
      </c>
      <c r="J983" s="187">
        <v>463.88311199999998</v>
      </c>
      <c r="K983" s="182" t="s">
        <v>2867</v>
      </c>
      <c r="L983" s="182">
        <v>2</v>
      </c>
      <c r="M983" s="182" t="s">
        <v>2869</v>
      </c>
      <c r="N983" s="186">
        <v>28</v>
      </c>
      <c r="O983" s="188">
        <v>5.3999999999999999E-2</v>
      </c>
      <c r="P983" s="188">
        <v>107</v>
      </c>
      <c r="Q983" s="188">
        <v>5.7779999999999996</v>
      </c>
      <c r="R983" s="189">
        <v>5.03</v>
      </c>
      <c r="S983" s="189" t="s">
        <v>985</v>
      </c>
    </row>
    <row r="984" spans="1:19" ht="14.25" customHeight="1" x14ac:dyDescent="0.3">
      <c r="A984" s="182" t="s">
        <v>2862</v>
      </c>
      <c r="B984" s="182" t="s">
        <v>908</v>
      </c>
      <c r="C984" s="182" t="s">
        <v>909</v>
      </c>
      <c r="D984" s="182" t="s">
        <v>1044</v>
      </c>
      <c r="E984" s="183" t="s">
        <v>1045</v>
      </c>
      <c r="F984" s="183" t="s">
        <v>1046</v>
      </c>
      <c r="G984" s="184">
        <v>0.1</v>
      </c>
      <c r="H984" s="185">
        <v>0.05</v>
      </c>
      <c r="I984" s="186">
        <v>1256.1279999999999</v>
      </c>
      <c r="J984" s="187">
        <v>131.89344</v>
      </c>
      <c r="K984" s="182" t="s">
        <v>2867</v>
      </c>
      <c r="L984" s="182">
        <v>3</v>
      </c>
      <c r="M984" s="182" t="s">
        <v>2870</v>
      </c>
      <c r="N984" s="186">
        <v>28</v>
      </c>
      <c r="O984" s="188">
        <v>0.1</v>
      </c>
      <c r="P984" s="188">
        <v>107</v>
      </c>
      <c r="Q984" s="188">
        <v>10.7</v>
      </c>
      <c r="R984" s="189">
        <v>5.03</v>
      </c>
      <c r="S984" s="189" t="s">
        <v>985</v>
      </c>
    </row>
    <row r="985" spans="1:19" ht="14.25" customHeight="1" x14ac:dyDescent="0.3">
      <c r="A985" s="182" t="s">
        <v>2862</v>
      </c>
      <c r="B985" s="182" t="s">
        <v>937</v>
      </c>
      <c r="C985" s="182" t="s">
        <v>938</v>
      </c>
      <c r="D985" s="190" t="s">
        <v>939</v>
      </c>
      <c r="E985" s="183" t="s">
        <v>940</v>
      </c>
      <c r="F985" s="183" t="s">
        <v>941</v>
      </c>
      <c r="G985" s="184">
        <v>0.4</v>
      </c>
      <c r="H985" s="185">
        <v>0</v>
      </c>
      <c r="I985" s="186">
        <v>60860.580776572002</v>
      </c>
      <c r="J985" s="187">
        <v>24344.232310628799</v>
      </c>
      <c r="K985" s="182" t="s">
        <v>2871</v>
      </c>
      <c r="L985" s="182">
        <v>1</v>
      </c>
      <c r="M985" s="182" t="s">
        <v>2872</v>
      </c>
      <c r="N985" s="186">
        <v>28</v>
      </c>
      <c r="O985" s="188">
        <v>1.4285714285714299E-2</v>
      </c>
      <c r="P985" s="188">
        <v>107</v>
      </c>
      <c r="Q985" s="188">
        <v>1.52857142857143</v>
      </c>
      <c r="R985" s="189">
        <v>5.03</v>
      </c>
      <c r="S985" s="189" t="s">
        <v>985</v>
      </c>
    </row>
    <row r="986" spans="1:19" ht="14.25" customHeight="1" x14ac:dyDescent="0.3">
      <c r="A986" s="182" t="s">
        <v>2862</v>
      </c>
      <c r="B986" s="182" t="s">
        <v>937</v>
      </c>
      <c r="C986" s="182" t="s">
        <v>938</v>
      </c>
      <c r="D986" s="190" t="s">
        <v>944</v>
      </c>
      <c r="E986" s="183" t="s">
        <v>945</v>
      </c>
      <c r="F986" s="183" t="s">
        <v>941</v>
      </c>
      <c r="G986" s="184">
        <v>1</v>
      </c>
      <c r="H986" s="185">
        <v>0</v>
      </c>
      <c r="I986" s="186">
        <v>85927.097156571996</v>
      </c>
      <c r="J986" s="187">
        <v>85927.097156571996</v>
      </c>
      <c r="K986" s="182" t="s">
        <v>2871</v>
      </c>
      <c r="L986" s="182">
        <v>2</v>
      </c>
      <c r="M986" s="182" t="s">
        <v>2873</v>
      </c>
      <c r="N986" s="186">
        <v>28</v>
      </c>
      <c r="O986" s="188">
        <v>3.5714285714285698E-2</v>
      </c>
      <c r="P986" s="188">
        <v>107</v>
      </c>
      <c r="Q986" s="188">
        <v>3.8214285714285698</v>
      </c>
      <c r="R986" s="189">
        <v>5.03</v>
      </c>
      <c r="S986" s="189" t="s">
        <v>985</v>
      </c>
    </row>
    <row r="987" spans="1:19" ht="14.25" customHeight="1" x14ac:dyDescent="0.3">
      <c r="A987" s="182" t="s">
        <v>2874</v>
      </c>
      <c r="B987" s="182" t="s">
        <v>908</v>
      </c>
      <c r="C987" s="182" t="s">
        <v>909</v>
      </c>
      <c r="D987" s="182" t="s">
        <v>2875</v>
      </c>
      <c r="E987" s="183" t="s">
        <v>2876</v>
      </c>
      <c r="F987" s="183" t="s">
        <v>600</v>
      </c>
      <c r="G987" s="184">
        <v>1</v>
      </c>
      <c r="H987" s="185">
        <v>0</v>
      </c>
      <c r="I987" s="186">
        <v>3625.4</v>
      </c>
      <c r="J987" s="187">
        <v>3625.4</v>
      </c>
      <c r="K987" s="182" t="s">
        <v>2877</v>
      </c>
      <c r="L987" s="182">
        <v>1</v>
      </c>
      <c r="M987" s="182" t="s">
        <v>2878</v>
      </c>
      <c r="N987" s="186">
        <v>1</v>
      </c>
      <c r="O987" s="188">
        <v>1</v>
      </c>
      <c r="P987" s="188">
        <v>186</v>
      </c>
      <c r="Q987" s="188">
        <v>186</v>
      </c>
      <c r="R987" s="189">
        <v>5.04</v>
      </c>
      <c r="S987" s="189" t="s">
        <v>573</v>
      </c>
    </row>
    <row r="988" spans="1:19" ht="14.25" customHeight="1" x14ac:dyDescent="0.3">
      <c r="A988" s="182" t="s">
        <v>2879</v>
      </c>
      <c r="B988" s="182" t="s">
        <v>563</v>
      </c>
      <c r="C988" s="182"/>
      <c r="D988" s="182" t="s">
        <v>904</v>
      </c>
      <c r="E988" s="183" t="s">
        <v>905</v>
      </c>
      <c r="F988" s="183"/>
      <c r="G988" s="184">
        <v>1</v>
      </c>
      <c r="H988" s="185">
        <v>0</v>
      </c>
      <c r="I988" s="186">
        <v>804.50568716119994</v>
      </c>
      <c r="J988" s="187">
        <v>804.50568716119994</v>
      </c>
      <c r="K988" s="182" t="s">
        <v>2880</v>
      </c>
      <c r="L988" s="182">
        <v>1</v>
      </c>
      <c r="M988" s="182" t="s">
        <v>2881</v>
      </c>
      <c r="N988" s="186">
        <v>80</v>
      </c>
      <c r="O988" s="188">
        <v>1</v>
      </c>
      <c r="P988" s="188" t="s">
        <v>573</v>
      </c>
      <c r="Q988" s="188">
        <v>0</v>
      </c>
      <c r="R988" s="189" t="s">
        <v>573</v>
      </c>
      <c r="S988" s="189" t="s">
        <v>573</v>
      </c>
    </row>
    <row r="989" spans="1:19" ht="14.25" customHeight="1" x14ac:dyDescent="0.3">
      <c r="A989" s="182" t="s">
        <v>2879</v>
      </c>
      <c r="B989" s="182" t="s">
        <v>908</v>
      </c>
      <c r="C989" s="182" t="s">
        <v>909</v>
      </c>
      <c r="D989" s="182" t="s">
        <v>910</v>
      </c>
      <c r="E989" s="183" t="s">
        <v>911</v>
      </c>
      <c r="F989" s="183" t="s">
        <v>912</v>
      </c>
      <c r="G989" s="184">
        <v>2E-3</v>
      </c>
      <c r="H989" s="185">
        <v>0.05</v>
      </c>
      <c r="I989" s="186">
        <v>26907.33</v>
      </c>
      <c r="J989" s="187">
        <v>56.505392999999998</v>
      </c>
      <c r="K989" s="182" t="s">
        <v>2882</v>
      </c>
      <c r="L989" s="182">
        <v>1</v>
      </c>
      <c r="M989" s="182" t="s">
        <v>2883</v>
      </c>
      <c r="N989" s="186">
        <v>80</v>
      </c>
      <c r="O989" s="188">
        <v>2E-3</v>
      </c>
      <c r="P989" s="188" t="s">
        <v>573</v>
      </c>
      <c r="Q989" s="188">
        <v>0</v>
      </c>
      <c r="R989" s="189" t="s">
        <v>573</v>
      </c>
      <c r="S989" s="189" t="s">
        <v>573</v>
      </c>
    </row>
    <row r="990" spans="1:19" ht="14.25" customHeight="1" x14ac:dyDescent="0.3">
      <c r="A990" s="182" t="s">
        <v>2879</v>
      </c>
      <c r="B990" s="182" t="s">
        <v>908</v>
      </c>
      <c r="C990" s="182" t="s">
        <v>909</v>
      </c>
      <c r="D990" s="182" t="s">
        <v>915</v>
      </c>
      <c r="E990" s="183" t="s">
        <v>916</v>
      </c>
      <c r="F990" s="183" t="s">
        <v>600</v>
      </c>
      <c r="G990" s="184">
        <v>0.02</v>
      </c>
      <c r="H990" s="185">
        <v>0.05</v>
      </c>
      <c r="I990" s="186">
        <v>735.06</v>
      </c>
      <c r="J990" s="187">
        <v>15.436260000000001</v>
      </c>
      <c r="K990" s="182" t="s">
        <v>2882</v>
      </c>
      <c r="L990" s="182">
        <v>2</v>
      </c>
      <c r="M990" s="182" t="s">
        <v>2884</v>
      </c>
      <c r="N990" s="186">
        <v>80</v>
      </c>
      <c r="O990" s="188">
        <v>0.02</v>
      </c>
      <c r="P990" s="188" t="s">
        <v>573</v>
      </c>
      <c r="Q990" s="188">
        <v>0</v>
      </c>
      <c r="R990" s="189" t="s">
        <v>573</v>
      </c>
      <c r="S990" s="189" t="s">
        <v>573</v>
      </c>
    </row>
    <row r="991" spans="1:19" ht="14.25" customHeight="1" x14ac:dyDescent="0.3">
      <c r="A991" s="182" t="s">
        <v>2879</v>
      </c>
      <c r="B991" s="182" t="s">
        <v>908</v>
      </c>
      <c r="C991" s="182" t="s">
        <v>909</v>
      </c>
      <c r="D991" s="182" t="s">
        <v>918</v>
      </c>
      <c r="E991" s="183" t="s">
        <v>919</v>
      </c>
      <c r="F991" s="183" t="s">
        <v>600</v>
      </c>
      <c r="G991" s="184">
        <v>0.01</v>
      </c>
      <c r="H991" s="185">
        <v>0.05</v>
      </c>
      <c r="I991" s="186">
        <v>6678.36</v>
      </c>
      <c r="J991" s="187">
        <v>70.122780000000006</v>
      </c>
      <c r="K991" s="182" t="s">
        <v>2882</v>
      </c>
      <c r="L991" s="182">
        <v>3</v>
      </c>
      <c r="M991" s="182" t="s">
        <v>2885</v>
      </c>
      <c r="N991" s="186">
        <v>80</v>
      </c>
      <c r="O991" s="188">
        <v>0.01</v>
      </c>
      <c r="P991" s="188" t="s">
        <v>573</v>
      </c>
      <c r="Q991" s="188">
        <v>0</v>
      </c>
      <c r="R991" s="189" t="s">
        <v>573</v>
      </c>
      <c r="S991" s="189" t="s">
        <v>573</v>
      </c>
    </row>
    <row r="992" spans="1:19" ht="14.25" customHeight="1" x14ac:dyDescent="0.3">
      <c r="A992" s="182" t="s">
        <v>2879</v>
      </c>
      <c r="B992" s="182" t="s">
        <v>908</v>
      </c>
      <c r="C992" s="182" t="s">
        <v>909</v>
      </c>
      <c r="D992" s="182" t="s">
        <v>921</v>
      </c>
      <c r="E992" s="183" t="s">
        <v>922</v>
      </c>
      <c r="F992" s="183" t="s">
        <v>600</v>
      </c>
      <c r="G992" s="184">
        <v>0.02</v>
      </c>
      <c r="H992" s="185">
        <v>0.05</v>
      </c>
      <c r="I992" s="186">
        <v>5282.24</v>
      </c>
      <c r="J992" s="187">
        <v>110.92704000000001</v>
      </c>
      <c r="K992" s="182" t="s">
        <v>2882</v>
      </c>
      <c r="L992" s="182">
        <v>4</v>
      </c>
      <c r="M992" s="182" t="s">
        <v>2886</v>
      </c>
      <c r="N992" s="186">
        <v>80</v>
      </c>
      <c r="O992" s="188">
        <v>0.02</v>
      </c>
      <c r="P992" s="188" t="s">
        <v>573</v>
      </c>
      <c r="Q992" s="188">
        <v>0</v>
      </c>
      <c r="R992" s="189" t="s">
        <v>573</v>
      </c>
      <c r="S992" s="189" t="s">
        <v>573</v>
      </c>
    </row>
    <row r="993" spans="1:19" ht="14.25" customHeight="1" x14ac:dyDescent="0.3">
      <c r="A993" s="182" t="s">
        <v>2879</v>
      </c>
      <c r="B993" s="182" t="s">
        <v>908</v>
      </c>
      <c r="C993" s="182" t="s">
        <v>909</v>
      </c>
      <c r="D993" s="182" t="s">
        <v>931</v>
      </c>
      <c r="E993" s="183" t="s">
        <v>932</v>
      </c>
      <c r="F993" s="183" t="s">
        <v>912</v>
      </c>
      <c r="G993" s="184">
        <v>2.7777777777777801E-2</v>
      </c>
      <c r="H993" s="185">
        <v>0.1</v>
      </c>
      <c r="I993" s="186">
        <v>32845.78</v>
      </c>
      <c r="J993" s="187">
        <v>1003.62105555556</v>
      </c>
      <c r="K993" s="182" t="s">
        <v>2882</v>
      </c>
      <c r="L993" s="182">
        <v>5</v>
      </c>
      <c r="M993" s="182" t="s">
        <v>2887</v>
      </c>
      <c r="N993" s="186">
        <v>80</v>
      </c>
      <c r="O993" s="188">
        <v>2.7777777777777801E-2</v>
      </c>
      <c r="P993" s="188" t="s">
        <v>573</v>
      </c>
      <c r="Q993" s="188">
        <v>0</v>
      </c>
      <c r="R993" s="189" t="s">
        <v>573</v>
      </c>
      <c r="S993" s="189" t="s">
        <v>573</v>
      </c>
    </row>
    <row r="994" spans="1:19" ht="14.25" customHeight="1" x14ac:dyDescent="0.3">
      <c r="A994" s="182" t="s">
        <v>2879</v>
      </c>
      <c r="B994" s="182" t="s">
        <v>937</v>
      </c>
      <c r="C994" s="182" t="s">
        <v>938</v>
      </c>
      <c r="D994" s="190" t="s">
        <v>939</v>
      </c>
      <c r="E994" s="183" t="s">
        <v>940</v>
      </c>
      <c r="F994" s="183" t="s">
        <v>941</v>
      </c>
      <c r="G994" s="184">
        <v>1</v>
      </c>
      <c r="H994" s="185">
        <v>0</v>
      </c>
      <c r="I994" s="186">
        <v>60860.580776572002</v>
      </c>
      <c r="J994" s="187">
        <v>60860.580776572002</v>
      </c>
      <c r="K994" s="182" t="s">
        <v>2888</v>
      </c>
      <c r="L994" s="182">
        <v>1</v>
      </c>
      <c r="M994" s="182" t="s">
        <v>2889</v>
      </c>
      <c r="N994" s="186">
        <v>80</v>
      </c>
      <c r="O994" s="188">
        <v>1.2500000000000001E-2</v>
      </c>
      <c r="P994" s="188" t="s">
        <v>573</v>
      </c>
      <c r="Q994" s="188">
        <v>0</v>
      </c>
      <c r="R994" s="189" t="s">
        <v>573</v>
      </c>
      <c r="S994" s="189" t="s">
        <v>573</v>
      </c>
    </row>
    <row r="995" spans="1:19" ht="14.25" customHeight="1" x14ac:dyDescent="0.3">
      <c r="A995" s="182" t="s">
        <v>2879</v>
      </c>
      <c r="B995" s="182" t="s">
        <v>937</v>
      </c>
      <c r="C995" s="182" t="s">
        <v>938</v>
      </c>
      <c r="D995" s="190" t="s">
        <v>1375</v>
      </c>
      <c r="E995" s="183" t="s">
        <v>1376</v>
      </c>
      <c r="F995" s="183" t="s">
        <v>941</v>
      </c>
      <c r="G995" s="184">
        <v>1</v>
      </c>
      <c r="H995" s="185">
        <v>0</v>
      </c>
      <c r="I995" s="186">
        <v>76955.079706571996</v>
      </c>
      <c r="J995" s="187">
        <v>76955.079706571996</v>
      </c>
      <c r="K995" s="182" t="s">
        <v>2888</v>
      </c>
      <c r="L995" s="182">
        <v>2</v>
      </c>
      <c r="M995" s="182" t="s">
        <v>2890</v>
      </c>
      <c r="N995" s="186">
        <v>80</v>
      </c>
      <c r="O995" s="188">
        <v>1.2500000000000001E-2</v>
      </c>
      <c r="P995" s="188" t="s">
        <v>573</v>
      </c>
      <c r="Q995" s="188">
        <v>0</v>
      </c>
      <c r="R995" s="189" t="s">
        <v>573</v>
      </c>
      <c r="S995" s="189" t="s">
        <v>573</v>
      </c>
    </row>
    <row r="996" spans="1:19" ht="14.25" customHeight="1" x14ac:dyDescent="0.3">
      <c r="A996" s="182" t="s">
        <v>2891</v>
      </c>
      <c r="B996" s="182" t="s">
        <v>563</v>
      </c>
      <c r="C996" s="182"/>
      <c r="D996" s="182" t="s">
        <v>904</v>
      </c>
      <c r="E996" s="183" t="s">
        <v>905</v>
      </c>
      <c r="F996" s="183"/>
      <c r="G996" s="184">
        <v>1</v>
      </c>
      <c r="H996" s="185">
        <v>0</v>
      </c>
      <c r="I996" s="186">
        <v>804.50568716119994</v>
      </c>
      <c r="J996" s="187">
        <v>804.50568716119994</v>
      </c>
      <c r="K996" s="182" t="s">
        <v>2892</v>
      </c>
      <c r="L996" s="182">
        <v>1</v>
      </c>
      <c r="M996" s="182" t="s">
        <v>2893</v>
      </c>
      <c r="N996" s="186">
        <v>25</v>
      </c>
      <c r="O996" s="188">
        <v>1</v>
      </c>
      <c r="P996" s="188">
        <v>390</v>
      </c>
      <c r="Q996" s="188">
        <v>390</v>
      </c>
      <c r="R996" s="189">
        <v>5.0599999999999996</v>
      </c>
      <c r="S996" s="189" t="s">
        <v>985</v>
      </c>
    </row>
    <row r="997" spans="1:19" ht="14.25" customHeight="1" x14ac:dyDescent="0.3">
      <c r="A997" s="182" t="s">
        <v>2891</v>
      </c>
      <c r="B997" s="182" t="s">
        <v>908</v>
      </c>
      <c r="C997" s="182" t="s">
        <v>909</v>
      </c>
      <c r="D997" s="182" t="s">
        <v>934</v>
      </c>
      <c r="E997" s="183" t="s">
        <v>935</v>
      </c>
      <c r="F997" s="183" t="s">
        <v>600</v>
      </c>
      <c r="G997" s="184">
        <v>0.1</v>
      </c>
      <c r="H997" s="185">
        <v>0.1</v>
      </c>
      <c r="I997" s="186">
        <v>70192.210000000006</v>
      </c>
      <c r="J997" s="187">
        <v>7721.1431000000002</v>
      </c>
      <c r="K997" s="182" t="s">
        <v>2894</v>
      </c>
      <c r="L997" s="182">
        <v>1</v>
      </c>
      <c r="M997" s="182" t="s">
        <v>2895</v>
      </c>
      <c r="N997" s="186">
        <v>25</v>
      </c>
      <c r="O997" s="188">
        <v>0.1</v>
      </c>
      <c r="P997" s="188">
        <v>390</v>
      </c>
      <c r="Q997" s="188">
        <v>39</v>
      </c>
      <c r="R997" s="189">
        <v>5.0599999999999996</v>
      </c>
      <c r="S997" s="189" t="s">
        <v>985</v>
      </c>
    </row>
    <row r="998" spans="1:19" ht="14.25" customHeight="1" x14ac:dyDescent="0.3">
      <c r="A998" s="182" t="s">
        <v>2891</v>
      </c>
      <c r="B998" s="182" t="s">
        <v>908</v>
      </c>
      <c r="C998" s="182" t="s">
        <v>909</v>
      </c>
      <c r="D998" s="182" t="s">
        <v>910</v>
      </c>
      <c r="E998" s="183" t="s">
        <v>911</v>
      </c>
      <c r="F998" s="183" t="s">
        <v>912</v>
      </c>
      <c r="G998" s="184">
        <v>0.01</v>
      </c>
      <c r="H998" s="185">
        <v>0.05</v>
      </c>
      <c r="I998" s="186">
        <v>26907.33</v>
      </c>
      <c r="J998" s="187">
        <v>282.52696500000002</v>
      </c>
      <c r="K998" s="182" t="s">
        <v>2894</v>
      </c>
      <c r="L998" s="182">
        <v>2</v>
      </c>
      <c r="M998" s="182" t="s">
        <v>2896</v>
      </c>
      <c r="N998" s="186">
        <v>25</v>
      </c>
      <c r="O998" s="188">
        <v>0.01</v>
      </c>
      <c r="P998" s="188">
        <v>390</v>
      </c>
      <c r="Q998" s="188">
        <v>3.9</v>
      </c>
      <c r="R998" s="189">
        <v>5.0599999999999996</v>
      </c>
      <c r="S998" s="189" t="s">
        <v>985</v>
      </c>
    </row>
    <row r="999" spans="1:19" ht="14.25" customHeight="1" x14ac:dyDescent="0.3">
      <c r="A999" s="182" t="s">
        <v>2891</v>
      </c>
      <c r="B999" s="182" t="s">
        <v>908</v>
      </c>
      <c r="C999" s="182" t="s">
        <v>909</v>
      </c>
      <c r="D999" s="182" t="s">
        <v>915</v>
      </c>
      <c r="E999" s="183" t="s">
        <v>916</v>
      </c>
      <c r="F999" s="183" t="s">
        <v>600</v>
      </c>
      <c r="G999" s="184">
        <v>0.02</v>
      </c>
      <c r="H999" s="185">
        <v>0.05</v>
      </c>
      <c r="I999" s="186">
        <v>735.06</v>
      </c>
      <c r="J999" s="187">
        <v>15.436260000000001</v>
      </c>
      <c r="K999" s="182" t="s">
        <v>2894</v>
      </c>
      <c r="L999" s="182">
        <v>3</v>
      </c>
      <c r="M999" s="182" t="s">
        <v>2897</v>
      </c>
      <c r="N999" s="186">
        <v>25</v>
      </c>
      <c r="O999" s="188">
        <v>0.02</v>
      </c>
      <c r="P999" s="188">
        <v>390</v>
      </c>
      <c r="Q999" s="188">
        <v>7.8</v>
      </c>
      <c r="R999" s="189">
        <v>5.0599999999999996</v>
      </c>
      <c r="S999" s="189" t="s">
        <v>985</v>
      </c>
    </row>
    <row r="1000" spans="1:19" ht="14.25" customHeight="1" x14ac:dyDescent="0.3">
      <c r="A1000" s="182" t="s">
        <v>2891</v>
      </c>
      <c r="B1000" s="182" t="s">
        <v>908</v>
      </c>
      <c r="C1000" s="182" t="s">
        <v>909</v>
      </c>
      <c r="D1000" s="182" t="s">
        <v>918</v>
      </c>
      <c r="E1000" s="183" t="s">
        <v>919</v>
      </c>
      <c r="F1000" s="183" t="s">
        <v>600</v>
      </c>
      <c r="G1000" s="184">
        <v>0.01</v>
      </c>
      <c r="H1000" s="185">
        <v>0.05</v>
      </c>
      <c r="I1000" s="186">
        <v>6678.36</v>
      </c>
      <c r="J1000" s="187">
        <v>70.122780000000006</v>
      </c>
      <c r="K1000" s="182" t="s">
        <v>2894</v>
      </c>
      <c r="L1000" s="182">
        <v>4</v>
      </c>
      <c r="M1000" s="182" t="s">
        <v>2898</v>
      </c>
      <c r="N1000" s="186">
        <v>25</v>
      </c>
      <c r="O1000" s="188">
        <v>0.01</v>
      </c>
      <c r="P1000" s="188">
        <v>390</v>
      </c>
      <c r="Q1000" s="188">
        <v>3.9</v>
      </c>
      <c r="R1000" s="189">
        <v>5.0599999999999996</v>
      </c>
      <c r="S1000" s="189" t="s">
        <v>985</v>
      </c>
    </row>
    <row r="1001" spans="1:19" ht="14.25" customHeight="1" x14ac:dyDescent="0.3">
      <c r="A1001" s="182" t="s">
        <v>2891</v>
      </c>
      <c r="B1001" s="182" t="s">
        <v>908</v>
      </c>
      <c r="C1001" s="182" t="s">
        <v>909</v>
      </c>
      <c r="D1001" s="182" t="s">
        <v>921</v>
      </c>
      <c r="E1001" s="183" t="s">
        <v>922</v>
      </c>
      <c r="F1001" s="183" t="s">
        <v>600</v>
      </c>
      <c r="G1001" s="184">
        <v>0.02</v>
      </c>
      <c r="H1001" s="185">
        <v>0.05</v>
      </c>
      <c r="I1001" s="186">
        <v>5282.24</v>
      </c>
      <c r="J1001" s="187">
        <v>110.92704000000001</v>
      </c>
      <c r="K1001" s="182" t="s">
        <v>2894</v>
      </c>
      <c r="L1001" s="182">
        <v>5</v>
      </c>
      <c r="M1001" s="182" t="s">
        <v>2899</v>
      </c>
      <c r="N1001" s="186">
        <v>25</v>
      </c>
      <c r="O1001" s="188">
        <v>0.02</v>
      </c>
      <c r="P1001" s="188">
        <v>390</v>
      </c>
      <c r="Q1001" s="188">
        <v>7.8</v>
      </c>
      <c r="R1001" s="189">
        <v>5.0599999999999996</v>
      </c>
      <c r="S1001" s="189" t="s">
        <v>985</v>
      </c>
    </row>
    <row r="1002" spans="1:19" ht="14.25" customHeight="1" x14ac:dyDescent="0.3">
      <c r="A1002" s="182" t="s">
        <v>2891</v>
      </c>
      <c r="B1002" s="182" t="s">
        <v>908</v>
      </c>
      <c r="C1002" s="182" t="s">
        <v>909</v>
      </c>
      <c r="D1002" s="182" t="s">
        <v>924</v>
      </c>
      <c r="E1002" s="183" t="s">
        <v>925</v>
      </c>
      <c r="F1002" s="183" t="s">
        <v>926</v>
      </c>
      <c r="G1002" s="184">
        <v>0.06</v>
      </c>
      <c r="H1002" s="185">
        <v>0.05</v>
      </c>
      <c r="I1002" s="186">
        <v>4842</v>
      </c>
      <c r="J1002" s="187">
        <v>305.04599999999999</v>
      </c>
      <c r="K1002" s="182" t="s">
        <v>2894</v>
      </c>
      <c r="L1002" s="182">
        <v>6</v>
      </c>
      <c r="M1002" s="182" t="s">
        <v>2900</v>
      </c>
      <c r="N1002" s="186">
        <v>25</v>
      </c>
      <c r="O1002" s="188">
        <v>0.06</v>
      </c>
      <c r="P1002" s="188">
        <v>390</v>
      </c>
      <c r="Q1002" s="188">
        <v>23.4</v>
      </c>
      <c r="R1002" s="189">
        <v>5.0599999999999996</v>
      </c>
      <c r="S1002" s="189" t="s">
        <v>985</v>
      </c>
    </row>
    <row r="1003" spans="1:19" ht="14.25" customHeight="1" x14ac:dyDescent="0.3">
      <c r="A1003" s="182" t="s">
        <v>2891</v>
      </c>
      <c r="B1003" s="182" t="s">
        <v>908</v>
      </c>
      <c r="C1003" s="182" t="s">
        <v>909</v>
      </c>
      <c r="D1003" s="182" t="s">
        <v>928</v>
      </c>
      <c r="E1003" s="183" t="s">
        <v>929</v>
      </c>
      <c r="F1003" s="183" t="s">
        <v>600</v>
      </c>
      <c r="G1003" s="184">
        <v>0.02</v>
      </c>
      <c r="H1003" s="185">
        <v>0.05</v>
      </c>
      <c r="I1003" s="186">
        <v>12396.694214876001</v>
      </c>
      <c r="J1003" s="187">
        <v>260.33057851239602</v>
      </c>
      <c r="K1003" s="182" t="s">
        <v>2894</v>
      </c>
      <c r="L1003" s="182">
        <v>7</v>
      </c>
      <c r="M1003" s="182" t="s">
        <v>2901</v>
      </c>
      <c r="N1003" s="186">
        <v>25</v>
      </c>
      <c r="O1003" s="188">
        <v>0.02</v>
      </c>
      <c r="P1003" s="188">
        <v>390</v>
      </c>
      <c r="Q1003" s="188">
        <v>7.8</v>
      </c>
      <c r="R1003" s="189">
        <v>5.0599999999999996</v>
      </c>
      <c r="S1003" s="189" t="s">
        <v>985</v>
      </c>
    </row>
    <row r="1004" spans="1:19" ht="14.25" customHeight="1" x14ac:dyDescent="0.3">
      <c r="A1004" s="182" t="s">
        <v>2891</v>
      </c>
      <c r="B1004" s="182" t="s">
        <v>908</v>
      </c>
      <c r="C1004" s="182" t="s">
        <v>909</v>
      </c>
      <c r="D1004" s="182" t="s">
        <v>2902</v>
      </c>
      <c r="E1004" s="183" t="s">
        <v>2903</v>
      </c>
      <c r="F1004" s="183" t="s">
        <v>595</v>
      </c>
      <c r="G1004" s="184">
        <v>1</v>
      </c>
      <c r="H1004" s="185">
        <v>0</v>
      </c>
      <c r="I1004" s="186">
        <v>1953.83075581359</v>
      </c>
      <c r="J1004" s="187">
        <v>1953.83075581359</v>
      </c>
      <c r="K1004" s="182" t="s">
        <v>2894</v>
      </c>
      <c r="L1004" s="182">
        <v>8</v>
      </c>
      <c r="M1004" s="182" t="s">
        <v>2904</v>
      </c>
      <c r="N1004" s="186">
        <v>25</v>
      </c>
      <c r="O1004" s="188">
        <v>1</v>
      </c>
      <c r="P1004" s="188">
        <v>390</v>
      </c>
      <c r="Q1004" s="188">
        <v>390</v>
      </c>
      <c r="R1004" s="189">
        <v>5.0599999999999996</v>
      </c>
      <c r="S1004" s="189" t="s">
        <v>985</v>
      </c>
    </row>
    <row r="1005" spans="1:19" ht="14.25" customHeight="1" x14ac:dyDescent="0.3">
      <c r="A1005" s="182" t="s">
        <v>2891</v>
      </c>
      <c r="B1005" s="182" t="s">
        <v>908</v>
      </c>
      <c r="C1005" s="182" t="s">
        <v>909</v>
      </c>
      <c r="D1005" s="182" t="s">
        <v>931</v>
      </c>
      <c r="E1005" s="183" t="s">
        <v>932</v>
      </c>
      <c r="F1005" s="183" t="s">
        <v>912</v>
      </c>
      <c r="G1005" s="184">
        <v>2.7777777777777801E-2</v>
      </c>
      <c r="H1005" s="185">
        <v>0.1</v>
      </c>
      <c r="I1005" s="186">
        <v>32845.78</v>
      </c>
      <c r="J1005" s="187">
        <v>1003.62105555556</v>
      </c>
      <c r="K1005" s="182" t="s">
        <v>2894</v>
      </c>
      <c r="L1005" s="182">
        <v>9</v>
      </c>
      <c r="M1005" s="182" t="s">
        <v>2905</v>
      </c>
      <c r="N1005" s="186">
        <v>25</v>
      </c>
      <c r="O1005" s="188">
        <v>2.7777777777777801E-2</v>
      </c>
      <c r="P1005" s="188">
        <v>390</v>
      </c>
      <c r="Q1005" s="188">
        <v>10.8333333333333</v>
      </c>
      <c r="R1005" s="189">
        <v>5.0599999999999996</v>
      </c>
      <c r="S1005" s="189" t="s">
        <v>985</v>
      </c>
    </row>
    <row r="1006" spans="1:19" ht="14.25" customHeight="1" x14ac:dyDescent="0.3">
      <c r="A1006" s="182" t="s">
        <v>2891</v>
      </c>
      <c r="B1006" s="182" t="s">
        <v>937</v>
      </c>
      <c r="C1006" s="182" t="s">
        <v>938</v>
      </c>
      <c r="D1006" s="190" t="s">
        <v>939</v>
      </c>
      <c r="E1006" s="183" t="s">
        <v>940</v>
      </c>
      <c r="F1006" s="183" t="s">
        <v>941</v>
      </c>
      <c r="G1006" s="184">
        <v>1</v>
      </c>
      <c r="H1006" s="185">
        <v>0</v>
      </c>
      <c r="I1006" s="186">
        <v>60860.580776572002</v>
      </c>
      <c r="J1006" s="187">
        <v>60860.580776572002</v>
      </c>
      <c r="K1006" s="182" t="s">
        <v>2906</v>
      </c>
      <c r="L1006" s="182">
        <v>1</v>
      </c>
      <c r="M1006" s="182" t="s">
        <v>2907</v>
      </c>
      <c r="N1006" s="186">
        <v>25</v>
      </c>
      <c r="O1006" s="188">
        <v>0.04</v>
      </c>
      <c r="P1006" s="188">
        <v>390</v>
      </c>
      <c r="Q1006" s="188">
        <v>15.6</v>
      </c>
      <c r="R1006" s="189">
        <v>5.0599999999999996</v>
      </c>
      <c r="S1006" s="189" t="s">
        <v>985</v>
      </c>
    </row>
    <row r="1007" spans="1:19" ht="13.5" customHeight="1" x14ac:dyDescent="0.3">
      <c r="A1007" s="182" t="s">
        <v>2891</v>
      </c>
      <c r="B1007" s="182" t="s">
        <v>937</v>
      </c>
      <c r="C1007" s="182" t="s">
        <v>938</v>
      </c>
      <c r="D1007" s="190" t="s">
        <v>944</v>
      </c>
      <c r="E1007" s="183" t="s">
        <v>945</v>
      </c>
      <c r="F1007" s="183" t="s">
        <v>941</v>
      </c>
      <c r="G1007" s="184">
        <v>1</v>
      </c>
      <c r="H1007" s="185">
        <v>0</v>
      </c>
      <c r="I1007" s="186">
        <v>85927.097156571996</v>
      </c>
      <c r="J1007" s="187">
        <v>85927.097156571996</v>
      </c>
      <c r="K1007" s="182" t="s">
        <v>2906</v>
      </c>
      <c r="L1007" s="182">
        <v>2</v>
      </c>
      <c r="M1007" s="182" t="s">
        <v>2908</v>
      </c>
      <c r="N1007" s="186">
        <v>25</v>
      </c>
      <c r="O1007" s="188">
        <v>0.04</v>
      </c>
      <c r="P1007" s="188">
        <v>390</v>
      </c>
      <c r="Q1007" s="188">
        <v>15.6</v>
      </c>
      <c r="R1007" s="189">
        <v>5.0599999999999996</v>
      </c>
      <c r="S1007" s="189" t="s">
        <v>985</v>
      </c>
    </row>
    <row r="1008" spans="1:19" ht="14.25" customHeight="1" x14ac:dyDescent="0.3">
      <c r="A1008" s="182" t="s">
        <v>2891</v>
      </c>
      <c r="B1008" s="182" t="s">
        <v>937</v>
      </c>
      <c r="C1008" s="182" t="s">
        <v>909</v>
      </c>
      <c r="D1008" s="182" t="s">
        <v>2909</v>
      </c>
      <c r="E1008" s="183" t="s">
        <v>2910</v>
      </c>
      <c r="F1008" s="183" t="s">
        <v>941</v>
      </c>
      <c r="G1008" s="184">
        <v>1</v>
      </c>
      <c r="H1008" s="185">
        <v>0</v>
      </c>
      <c r="I1008" s="186">
        <v>88072.606759886403</v>
      </c>
      <c r="J1008" s="187">
        <v>88072.606759886403</v>
      </c>
      <c r="K1008" s="182" t="s">
        <v>2906</v>
      </c>
      <c r="L1008" s="182">
        <v>3</v>
      </c>
      <c r="M1008" s="182" t="s">
        <v>2911</v>
      </c>
      <c r="N1008" s="186">
        <v>25</v>
      </c>
      <c r="O1008" s="188">
        <v>1</v>
      </c>
      <c r="P1008" s="188">
        <v>390</v>
      </c>
      <c r="Q1008" s="188">
        <v>390</v>
      </c>
      <c r="R1008" s="189">
        <v>5.0599999999999996</v>
      </c>
      <c r="S1008" s="189" t="s">
        <v>985</v>
      </c>
    </row>
    <row r="1009" spans="1:19" ht="14.25" customHeight="1" x14ac:dyDescent="0.3">
      <c r="A1009" s="182" t="s">
        <v>2912</v>
      </c>
      <c r="B1009" s="182" t="s">
        <v>937</v>
      </c>
      <c r="C1009" s="182" t="s">
        <v>909</v>
      </c>
      <c r="D1009" s="182" t="s">
        <v>2913</v>
      </c>
      <c r="E1009" s="183" t="s">
        <v>2914</v>
      </c>
      <c r="F1009" s="183" t="s">
        <v>941</v>
      </c>
      <c r="G1009" s="184">
        <v>1</v>
      </c>
      <c r="H1009" s="185">
        <v>0</v>
      </c>
      <c r="I1009" s="186">
        <v>1829911.58844288</v>
      </c>
      <c r="J1009" s="187">
        <v>1829911.58844288</v>
      </c>
      <c r="K1009" s="182" t="s">
        <v>2915</v>
      </c>
      <c r="L1009" s="182">
        <v>1</v>
      </c>
      <c r="M1009" s="182" t="s">
        <v>2916</v>
      </c>
      <c r="N1009" s="186">
        <v>1</v>
      </c>
      <c r="O1009" s="188">
        <v>1</v>
      </c>
      <c r="P1009" s="188">
        <v>1</v>
      </c>
      <c r="Q1009" s="188">
        <v>1</v>
      </c>
      <c r="R1009" s="189">
        <v>5.07</v>
      </c>
      <c r="S1009" s="189" t="s">
        <v>573</v>
      </c>
    </row>
    <row r="1010" spans="1:19" ht="14.25" customHeight="1" x14ac:dyDescent="0.3">
      <c r="A1010" s="182" t="s">
        <v>2917</v>
      </c>
      <c r="B1010" s="182" t="s">
        <v>563</v>
      </c>
      <c r="C1010" s="182"/>
      <c r="D1010" s="182" t="s">
        <v>2918</v>
      </c>
      <c r="E1010" s="183" t="s">
        <v>2919</v>
      </c>
      <c r="F1010" s="183"/>
      <c r="G1010" s="184">
        <v>1</v>
      </c>
      <c r="H1010" s="185">
        <v>0</v>
      </c>
      <c r="I1010" s="186">
        <v>347.35203892992803</v>
      </c>
      <c r="J1010" s="187">
        <v>347.35203892992803</v>
      </c>
      <c r="K1010" s="182" t="s">
        <v>2920</v>
      </c>
      <c r="L1010" s="182">
        <v>1</v>
      </c>
      <c r="M1010" s="182" t="s">
        <v>2921</v>
      </c>
      <c r="N1010" s="186">
        <v>1</v>
      </c>
      <c r="O1010" s="188">
        <v>1</v>
      </c>
      <c r="P1010" s="188">
        <v>55</v>
      </c>
      <c r="Q1010" s="188">
        <v>55</v>
      </c>
      <c r="R1010" s="189">
        <v>6.02</v>
      </c>
      <c r="S1010" s="189" t="s">
        <v>985</v>
      </c>
    </row>
    <row r="1011" spans="1:19" ht="14.25" customHeight="1" x14ac:dyDescent="0.3">
      <c r="A1011" s="182" t="s">
        <v>2917</v>
      </c>
      <c r="B1011" s="182" t="s">
        <v>908</v>
      </c>
      <c r="C1011" s="182" t="s">
        <v>909</v>
      </c>
      <c r="D1011" s="182" t="s">
        <v>976</v>
      </c>
      <c r="E1011" s="183" t="s">
        <v>977</v>
      </c>
      <c r="F1011" s="183" t="s">
        <v>576</v>
      </c>
      <c r="G1011" s="184">
        <v>1354.32006011</v>
      </c>
      <c r="H1011" s="185">
        <v>0</v>
      </c>
      <c r="I1011" s="186">
        <v>1</v>
      </c>
      <c r="J1011" s="187">
        <v>1354.32006011</v>
      </c>
      <c r="K1011" s="182" t="s">
        <v>2922</v>
      </c>
      <c r="L1011" s="182">
        <v>1</v>
      </c>
      <c r="M1011" s="182" t="s">
        <v>2923</v>
      </c>
      <c r="N1011" s="186">
        <v>1</v>
      </c>
      <c r="O1011" s="188">
        <v>1354.32006011</v>
      </c>
      <c r="P1011" s="188">
        <v>55</v>
      </c>
      <c r="Q1011" s="188">
        <v>74487.603306050005</v>
      </c>
      <c r="R1011" s="189">
        <v>6.02</v>
      </c>
      <c r="S1011" s="189" t="s">
        <v>985</v>
      </c>
    </row>
    <row r="1012" spans="1:19" ht="14.25" customHeight="1" x14ac:dyDescent="0.3">
      <c r="A1012" s="182" t="s">
        <v>2917</v>
      </c>
      <c r="B1012" s="182" t="s">
        <v>908</v>
      </c>
      <c r="C1012" s="182" t="s">
        <v>909</v>
      </c>
      <c r="D1012" s="182" t="s">
        <v>2924</v>
      </c>
      <c r="E1012" s="183" t="s">
        <v>2925</v>
      </c>
      <c r="F1012" s="183" t="s">
        <v>600</v>
      </c>
      <c r="G1012" s="184">
        <v>0.45454545454545497</v>
      </c>
      <c r="H1012" s="185">
        <v>0</v>
      </c>
      <c r="I1012" s="186">
        <v>18595.0413223141</v>
      </c>
      <c r="J1012" s="187">
        <v>8452.2915101427807</v>
      </c>
      <c r="K1012" s="182" t="s">
        <v>2922</v>
      </c>
      <c r="L1012" s="182">
        <v>2</v>
      </c>
      <c r="M1012" s="182" t="s">
        <v>2926</v>
      </c>
      <c r="N1012" s="186">
        <v>1</v>
      </c>
      <c r="O1012" s="188">
        <v>0.45454545454545497</v>
      </c>
      <c r="P1012" s="188">
        <v>55</v>
      </c>
      <c r="Q1012" s="188">
        <v>25</v>
      </c>
      <c r="R1012" s="189">
        <v>6.02</v>
      </c>
      <c r="S1012" s="189" t="s">
        <v>985</v>
      </c>
    </row>
    <row r="1013" spans="1:19" ht="14.25" customHeight="1" x14ac:dyDescent="0.3">
      <c r="A1013" s="182" t="s">
        <v>2917</v>
      </c>
      <c r="B1013" s="182" t="s">
        <v>908</v>
      </c>
      <c r="C1013" s="182" t="s">
        <v>909</v>
      </c>
      <c r="D1013" s="182" t="s">
        <v>2927</v>
      </c>
      <c r="E1013" s="183" t="s">
        <v>2928</v>
      </c>
      <c r="F1013" s="183" t="s">
        <v>600</v>
      </c>
      <c r="G1013" s="184">
        <v>0.2</v>
      </c>
      <c r="H1013" s="185">
        <v>0</v>
      </c>
      <c r="I1013" s="186">
        <v>25454.5454545455</v>
      </c>
      <c r="J1013" s="187">
        <v>5090.9090909091001</v>
      </c>
      <c r="K1013" s="182" t="s">
        <v>2922</v>
      </c>
      <c r="L1013" s="182">
        <v>3</v>
      </c>
      <c r="M1013" s="182" t="s">
        <v>2929</v>
      </c>
      <c r="N1013" s="186">
        <v>1</v>
      </c>
      <c r="O1013" s="188">
        <v>0.2</v>
      </c>
      <c r="P1013" s="188">
        <v>55</v>
      </c>
      <c r="Q1013" s="188">
        <v>11</v>
      </c>
      <c r="R1013" s="189">
        <v>6.02</v>
      </c>
      <c r="S1013" s="189" t="s">
        <v>985</v>
      </c>
    </row>
    <row r="1014" spans="1:19" ht="14.25" customHeight="1" x14ac:dyDescent="0.3">
      <c r="A1014" s="182" t="s">
        <v>2917</v>
      </c>
      <c r="B1014" s="182" t="s">
        <v>937</v>
      </c>
      <c r="C1014" s="182" t="s">
        <v>938</v>
      </c>
      <c r="D1014" s="190" t="s">
        <v>944</v>
      </c>
      <c r="E1014" s="183" t="s">
        <v>945</v>
      </c>
      <c r="F1014" s="183" t="s">
        <v>941</v>
      </c>
      <c r="G1014" s="184">
        <v>5.4545454545454501E-2</v>
      </c>
      <c r="H1014" s="185">
        <v>0</v>
      </c>
      <c r="I1014" s="186">
        <v>85927.097156571996</v>
      </c>
      <c r="J1014" s="187">
        <v>4686.93257217665</v>
      </c>
      <c r="K1014" s="182" t="s">
        <v>2930</v>
      </c>
      <c r="L1014" s="182">
        <v>1</v>
      </c>
      <c r="M1014" s="182" t="s">
        <v>2931</v>
      </c>
      <c r="N1014" s="186">
        <v>1</v>
      </c>
      <c r="O1014" s="188">
        <v>5.4545454545454501E-2</v>
      </c>
      <c r="P1014" s="188">
        <v>55</v>
      </c>
      <c r="Q1014" s="188">
        <v>3</v>
      </c>
      <c r="R1014" s="189">
        <v>6.02</v>
      </c>
      <c r="S1014" s="189" t="s">
        <v>985</v>
      </c>
    </row>
    <row r="1015" spans="1:19" ht="14.25" customHeight="1" x14ac:dyDescent="0.3">
      <c r="A1015" s="182" t="s">
        <v>2917</v>
      </c>
      <c r="B1015" s="182" t="s">
        <v>937</v>
      </c>
      <c r="C1015" s="182" t="s">
        <v>938</v>
      </c>
      <c r="D1015" s="190" t="s">
        <v>1291</v>
      </c>
      <c r="E1015" s="183" t="s">
        <v>1292</v>
      </c>
      <c r="F1015" s="183" t="s">
        <v>941</v>
      </c>
      <c r="G1015" s="184">
        <v>5.4545454545454501E-2</v>
      </c>
      <c r="H1015" s="185">
        <v>0</v>
      </c>
      <c r="I1015" s="186">
        <v>65493.071636572</v>
      </c>
      <c r="J1015" s="187">
        <v>3572.3493619948299</v>
      </c>
      <c r="K1015" s="182" t="s">
        <v>2930</v>
      </c>
      <c r="L1015" s="182">
        <v>2</v>
      </c>
      <c r="M1015" s="182" t="s">
        <v>2932</v>
      </c>
      <c r="N1015" s="186">
        <v>1</v>
      </c>
      <c r="O1015" s="188">
        <v>5.4545454545454501E-2</v>
      </c>
      <c r="P1015" s="188">
        <v>55</v>
      </c>
      <c r="Q1015" s="188">
        <v>3</v>
      </c>
      <c r="R1015" s="189">
        <v>6.02</v>
      </c>
      <c r="S1015" s="189" t="s">
        <v>985</v>
      </c>
    </row>
    <row r="1016" spans="1:19" ht="14.25" customHeight="1" x14ac:dyDescent="0.3">
      <c r="A1016" s="182" t="s">
        <v>2933</v>
      </c>
      <c r="B1016" s="182" t="s">
        <v>563</v>
      </c>
      <c r="C1016" s="182"/>
      <c r="D1016" s="182" t="s">
        <v>948</v>
      </c>
      <c r="E1016" s="183" t="s">
        <v>949</v>
      </c>
      <c r="F1016" s="183"/>
      <c r="G1016" s="184">
        <v>0.5</v>
      </c>
      <c r="H1016" s="185">
        <v>0</v>
      </c>
      <c r="I1016" s="186">
        <v>571.17949098076099</v>
      </c>
      <c r="J1016" s="187">
        <v>285.58974549038101</v>
      </c>
      <c r="K1016" s="182" t="s">
        <v>2934</v>
      </c>
      <c r="L1016" s="182">
        <v>1</v>
      </c>
      <c r="M1016" s="182" t="s">
        <v>2935</v>
      </c>
      <c r="N1016" s="186">
        <v>11.5</v>
      </c>
      <c r="O1016" s="188">
        <v>0.5</v>
      </c>
      <c r="P1016" s="188" t="s">
        <v>573</v>
      </c>
      <c r="Q1016" s="188">
        <v>0</v>
      </c>
      <c r="R1016" s="189" t="s">
        <v>573</v>
      </c>
      <c r="S1016" s="189" t="s">
        <v>573</v>
      </c>
    </row>
    <row r="1017" spans="1:19" ht="14.25" customHeight="1" x14ac:dyDescent="0.3">
      <c r="A1017" s="182" t="s">
        <v>2933</v>
      </c>
      <c r="B1017" s="182" t="s">
        <v>563</v>
      </c>
      <c r="C1017" s="182"/>
      <c r="D1017" s="182" t="s">
        <v>952</v>
      </c>
      <c r="E1017" s="183" t="s">
        <v>953</v>
      </c>
      <c r="F1017" s="183"/>
      <c r="G1017" s="184">
        <v>1</v>
      </c>
      <c r="H1017" s="185">
        <v>0</v>
      </c>
      <c r="I1017" s="186">
        <v>2287.1357450968098</v>
      </c>
      <c r="J1017" s="187">
        <v>2287.1357450968098</v>
      </c>
      <c r="K1017" s="182" t="s">
        <v>2934</v>
      </c>
      <c r="L1017" s="182">
        <v>2</v>
      </c>
      <c r="M1017" s="182" t="s">
        <v>2936</v>
      </c>
      <c r="N1017" s="186">
        <v>11.5</v>
      </c>
      <c r="O1017" s="188">
        <v>1</v>
      </c>
      <c r="P1017" s="188" t="s">
        <v>573</v>
      </c>
      <c r="Q1017" s="188">
        <v>0</v>
      </c>
      <c r="R1017" s="189" t="s">
        <v>573</v>
      </c>
      <c r="S1017" s="189" t="s">
        <v>573</v>
      </c>
    </row>
    <row r="1018" spans="1:19" ht="14.25" customHeight="1" x14ac:dyDescent="0.3">
      <c r="A1018" s="182" t="s">
        <v>2933</v>
      </c>
      <c r="B1018" s="182" t="s">
        <v>563</v>
      </c>
      <c r="C1018" s="182"/>
      <c r="D1018" s="182" t="s">
        <v>955</v>
      </c>
      <c r="E1018" s="183" t="s">
        <v>956</v>
      </c>
      <c r="F1018" s="183"/>
      <c r="G1018" s="184">
        <v>1</v>
      </c>
      <c r="H1018" s="185">
        <v>0</v>
      </c>
      <c r="I1018" s="186">
        <v>957.25319614994703</v>
      </c>
      <c r="J1018" s="187">
        <v>957.25319614994703</v>
      </c>
      <c r="K1018" s="182" t="s">
        <v>2934</v>
      </c>
      <c r="L1018" s="182">
        <v>3</v>
      </c>
      <c r="M1018" s="182" t="s">
        <v>2937</v>
      </c>
      <c r="N1018" s="186">
        <v>11.5</v>
      </c>
      <c r="O1018" s="188">
        <v>1</v>
      </c>
      <c r="P1018" s="188" t="s">
        <v>573</v>
      </c>
      <c r="Q1018" s="188">
        <v>0</v>
      </c>
      <c r="R1018" s="189" t="s">
        <v>573</v>
      </c>
      <c r="S1018" s="189" t="s">
        <v>573</v>
      </c>
    </row>
    <row r="1019" spans="1:19" ht="14.25" customHeight="1" x14ac:dyDescent="0.3">
      <c r="A1019" s="182" t="s">
        <v>2933</v>
      </c>
      <c r="B1019" s="182" t="s">
        <v>908</v>
      </c>
      <c r="C1019" s="182" t="s">
        <v>909</v>
      </c>
      <c r="D1019" s="182" t="s">
        <v>962</v>
      </c>
      <c r="E1019" s="183" t="s">
        <v>963</v>
      </c>
      <c r="F1019" s="183" t="s">
        <v>590</v>
      </c>
      <c r="G1019" s="184">
        <v>2.5999999999999999E-2</v>
      </c>
      <c r="H1019" s="185">
        <v>0.1</v>
      </c>
      <c r="I1019" s="186">
        <v>32399.77</v>
      </c>
      <c r="J1019" s="187">
        <v>926.633422</v>
      </c>
      <c r="K1019" s="182" t="s">
        <v>2938</v>
      </c>
      <c r="L1019" s="182">
        <v>1</v>
      </c>
      <c r="M1019" s="182" t="s">
        <v>2939</v>
      </c>
      <c r="N1019" s="186">
        <v>11.5</v>
      </c>
      <c r="O1019" s="188">
        <v>2.5999999999999999E-2</v>
      </c>
      <c r="P1019" s="188" t="s">
        <v>573</v>
      </c>
      <c r="Q1019" s="188">
        <v>0</v>
      </c>
      <c r="R1019" s="189" t="s">
        <v>573</v>
      </c>
      <c r="S1019" s="189" t="s">
        <v>573</v>
      </c>
    </row>
    <row r="1020" spans="1:19" ht="14.25" customHeight="1" x14ac:dyDescent="0.3">
      <c r="A1020" s="182" t="s">
        <v>2933</v>
      </c>
      <c r="B1020" s="182" t="s">
        <v>908</v>
      </c>
      <c r="C1020" s="182" t="s">
        <v>909</v>
      </c>
      <c r="D1020" s="182" t="s">
        <v>965</v>
      </c>
      <c r="E1020" s="183" t="s">
        <v>966</v>
      </c>
      <c r="F1020" s="183" t="s">
        <v>967</v>
      </c>
      <c r="G1020" s="184">
        <v>0.314</v>
      </c>
      <c r="H1020" s="185">
        <v>0.1</v>
      </c>
      <c r="I1020" s="186">
        <v>7809.48</v>
      </c>
      <c r="J1020" s="187">
        <v>2697.3943920000002</v>
      </c>
      <c r="K1020" s="182" t="s">
        <v>2938</v>
      </c>
      <c r="L1020" s="182">
        <v>2</v>
      </c>
      <c r="M1020" s="182" t="s">
        <v>2940</v>
      </c>
      <c r="N1020" s="186">
        <v>11.5</v>
      </c>
      <c r="O1020" s="188">
        <v>0.314</v>
      </c>
      <c r="P1020" s="188" t="s">
        <v>573</v>
      </c>
      <c r="Q1020" s="188">
        <v>0</v>
      </c>
      <c r="R1020" s="189" t="s">
        <v>573</v>
      </c>
      <c r="S1020" s="189" t="s">
        <v>573</v>
      </c>
    </row>
    <row r="1021" spans="1:19" ht="14.25" customHeight="1" x14ac:dyDescent="0.3">
      <c r="A1021" s="182" t="s">
        <v>2933</v>
      </c>
      <c r="B1021" s="182" t="s">
        <v>908</v>
      </c>
      <c r="C1021" s="182" t="s">
        <v>909</v>
      </c>
      <c r="D1021" s="182" t="s">
        <v>969</v>
      </c>
      <c r="E1021" s="183" t="s">
        <v>970</v>
      </c>
      <c r="F1021" s="183" t="s">
        <v>971</v>
      </c>
      <c r="G1021" s="184">
        <v>0.06</v>
      </c>
      <c r="H1021" s="185">
        <v>0.1</v>
      </c>
      <c r="I1021" s="186">
        <v>3837.96</v>
      </c>
      <c r="J1021" s="187">
        <v>253.30536000000001</v>
      </c>
      <c r="K1021" s="182" t="s">
        <v>2938</v>
      </c>
      <c r="L1021" s="182">
        <v>3</v>
      </c>
      <c r="M1021" s="182" t="s">
        <v>2941</v>
      </c>
      <c r="N1021" s="186">
        <v>11.5</v>
      </c>
      <c r="O1021" s="188">
        <v>0.06</v>
      </c>
      <c r="P1021" s="188" t="s">
        <v>573</v>
      </c>
      <c r="Q1021" s="188">
        <v>0</v>
      </c>
      <c r="R1021" s="189" t="s">
        <v>573</v>
      </c>
      <c r="S1021" s="189" t="s">
        <v>573</v>
      </c>
    </row>
    <row r="1022" spans="1:19" ht="14.25" customHeight="1" x14ac:dyDescent="0.3">
      <c r="A1022" s="182" t="s">
        <v>2933</v>
      </c>
      <c r="B1022" s="182" t="s">
        <v>908</v>
      </c>
      <c r="C1022" s="182" t="s">
        <v>909</v>
      </c>
      <c r="D1022" s="182" t="s">
        <v>1044</v>
      </c>
      <c r="E1022" s="183" t="s">
        <v>1045</v>
      </c>
      <c r="F1022" s="183" t="s">
        <v>1046</v>
      </c>
      <c r="G1022" s="184">
        <v>0.1</v>
      </c>
      <c r="H1022" s="185">
        <v>0.05</v>
      </c>
      <c r="I1022" s="186">
        <v>1256.1279999999999</v>
      </c>
      <c r="J1022" s="187">
        <v>131.89344</v>
      </c>
      <c r="K1022" s="182" t="s">
        <v>2938</v>
      </c>
      <c r="L1022" s="182">
        <v>4</v>
      </c>
      <c r="M1022" s="182" t="s">
        <v>2942</v>
      </c>
      <c r="N1022" s="186">
        <v>11.5</v>
      </c>
      <c r="O1022" s="188">
        <v>0.1</v>
      </c>
      <c r="P1022" s="188" t="s">
        <v>573</v>
      </c>
      <c r="Q1022" s="188">
        <v>0</v>
      </c>
      <c r="R1022" s="189" t="s">
        <v>573</v>
      </c>
      <c r="S1022" s="189" t="s">
        <v>573</v>
      </c>
    </row>
    <row r="1023" spans="1:19" ht="14.25" customHeight="1" x14ac:dyDescent="0.3">
      <c r="A1023" s="182" t="s">
        <v>2933</v>
      </c>
      <c r="B1023" s="182" t="s">
        <v>937</v>
      </c>
      <c r="C1023" s="182" t="s">
        <v>938</v>
      </c>
      <c r="D1023" s="190" t="s">
        <v>939</v>
      </c>
      <c r="E1023" s="183" t="s">
        <v>940</v>
      </c>
      <c r="F1023" s="183" t="s">
        <v>941</v>
      </c>
      <c r="G1023" s="184">
        <v>0.6</v>
      </c>
      <c r="H1023" s="185">
        <v>0</v>
      </c>
      <c r="I1023" s="186">
        <v>60860.580776572002</v>
      </c>
      <c r="J1023" s="187">
        <v>36516.3484659432</v>
      </c>
      <c r="K1023" s="182" t="s">
        <v>2943</v>
      </c>
      <c r="L1023" s="182">
        <v>1</v>
      </c>
      <c r="M1023" s="182" t="s">
        <v>2944</v>
      </c>
      <c r="N1023" s="186">
        <v>11.5</v>
      </c>
      <c r="O1023" s="188">
        <v>5.21739130434783E-2</v>
      </c>
      <c r="P1023" s="188" t="s">
        <v>573</v>
      </c>
      <c r="Q1023" s="188">
        <v>0</v>
      </c>
      <c r="R1023" s="189" t="s">
        <v>573</v>
      </c>
      <c r="S1023" s="189" t="s">
        <v>573</v>
      </c>
    </row>
    <row r="1024" spans="1:19" ht="14.25" customHeight="1" x14ac:dyDescent="0.3">
      <c r="A1024" s="182" t="s">
        <v>2933</v>
      </c>
      <c r="B1024" s="182" t="s">
        <v>937</v>
      </c>
      <c r="C1024" s="182" t="s">
        <v>938</v>
      </c>
      <c r="D1024" s="190" t="s">
        <v>944</v>
      </c>
      <c r="E1024" s="183" t="s">
        <v>945</v>
      </c>
      <c r="F1024" s="183" t="s">
        <v>941</v>
      </c>
      <c r="G1024" s="184">
        <v>1</v>
      </c>
      <c r="H1024" s="185">
        <v>0</v>
      </c>
      <c r="I1024" s="186">
        <v>85927.097156571996</v>
      </c>
      <c r="J1024" s="187">
        <v>85927.097156571996</v>
      </c>
      <c r="K1024" s="182" t="s">
        <v>2943</v>
      </c>
      <c r="L1024" s="182">
        <v>2</v>
      </c>
      <c r="M1024" s="182" t="s">
        <v>2945</v>
      </c>
      <c r="N1024" s="186">
        <v>11.5</v>
      </c>
      <c r="O1024" s="188">
        <v>8.6956521739130405E-2</v>
      </c>
      <c r="P1024" s="188" t="s">
        <v>573</v>
      </c>
      <c r="Q1024" s="188">
        <v>0</v>
      </c>
      <c r="R1024" s="189" t="s">
        <v>573</v>
      </c>
      <c r="S1024" s="189" t="s">
        <v>573</v>
      </c>
    </row>
    <row r="1025" spans="1:19" ht="14.25" customHeight="1" x14ac:dyDescent="0.3">
      <c r="A1025" s="182" t="s">
        <v>2946</v>
      </c>
      <c r="B1025" s="182" t="s">
        <v>563</v>
      </c>
      <c r="C1025" s="182"/>
      <c r="D1025" s="182" t="s">
        <v>1148</v>
      </c>
      <c r="E1025" s="183" t="s">
        <v>1149</v>
      </c>
      <c r="F1025" s="183"/>
      <c r="G1025" s="184">
        <v>1</v>
      </c>
      <c r="H1025" s="185">
        <v>0</v>
      </c>
      <c r="I1025" s="186">
        <v>2910.1331666666701</v>
      </c>
      <c r="J1025" s="187">
        <v>2910.1331666666701</v>
      </c>
      <c r="K1025" s="182" t="s">
        <v>2947</v>
      </c>
      <c r="L1025" s="182">
        <v>1</v>
      </c>
      <c r="M1025" s="182" t="s">
        <v>2948</v>
      </c>
      <c r="N1025" s="186">
        <v>8</v>
      </c>
      <c r="O1025" s="188">
        <v>1</v>
      </c>
      <c r="P1025" s="188">
        <v>716</v>
      </c>
      <c r="Q1025" s="188">
        <v>716</v>
      </c>
      <c r="R1025" s="189">
        <v>7.02</v>
      </c>
      <c r="S1025" s="189" t="s">
        <v>985</v>
      </c>
    </row>
    <row r="1026" spans="1:19" ht="14.25" customHeight="1" x14ac:dyDescent="0.3">
      <c r="A1026" s="182" t="s">
        <v>2946</v>
      </c>
      <c r="B1026" s="182" t="s">
        <v>563</v>
      </c>
      <c r="C1026" s="182"/>
      <c r="D1026" s="182" t="s">
        <v>952</v>
      </c>
      <c r="E1026" s="183" t="s">
        <v>953</v>
      </c>
      <c r="F1026" s="183"/>
      <c r="G1026" s="184">
        <v>1</v>
      </c>
      <c r="H1026" s="185">
        <v>0</v>
      </c>
      <c r="I1026" s="186">
        <v>2287.1357450968098</v>
      </c>
      <c r="J1026" s="187">
        <v>2287.1357450968098</v>
      </c>
      <c r="K1026" s="182" t="s">
        <v>2947</v>
      </c>
      <c r="L1026" s="182">
        <v>2</v>
      </c>
      <c r="M1026" s="182" t="s">
        <v>2949</v>
      </c>
      <c r="N1026" s="186">
        <v>8</v>
      </c>
      <c r="O1026" s="188">
        <v>1</v>
      </c>
      <c r="P1026" s="188">
        <v>716</v>
      </c>
      <c r="Q1026" s="188">
        <v>716</v>
      </c>
      <c r="R1026" s="189">
        <v>7.02</v>
      </c>
      <c r="S1026" s="189" t="s">
        <v>985</v>
      </c>
    </row>
    <row r="1027" spans="1:19" ht="14.25" customHeight="1" x14ac:dyDescent="0.3">
      <c r="A1027" s="182" t="s">
        <v>2946</v>
      </c>
      <c r="B1027" s="182" t="s">
        <v>563</v>
      </c>
      <c r="C1027" s="182"/>
      <c r="D1027" s="182" t="s">
        <v>955</v>
      </c>
      <c r="E1027" s="183" t="s">
        <v>956</v>
      </c>
      <c r="F1027" s="183"/>
      <c r="G1027" s="184">
        <v>1</v>
      </c>
      <c r="H1027" s="185">
        <v>0</v>
      </c>
      <c r="I1027" s="186">
        <v>957.25319614994703</v>
      </c>
      <c r="J1027" s="187">
        <v>957.25319614994703</v>
      </c>
      <c r="K1027" s="182" t="s">
        <v>2947</v>
      </c>
      <c r="L1027" s="182">
        <v>3</v>
      </c>
      <c r="M1027" s="182" t="s">
        <v>2950</v>
      </c>
      <c r="N1027" s="186">
        <v>8</v>
      </c>
      <c r="O1027" s="188">
        <v>1</v>
      </c>
      <c r="P1027" s="188">
        <v>716</v>
      </c>
      <c r="Q1027" s="188">
        <v>716</v>
      </c>
      <c r="R1027" s="189">
        <v>7.02</v>
      </c>
      <c r="S1027" s="189" t="s">
        <v>985</v>
      </c>
    </row>
    <row r="1028" spans="1:19" ht="14.25" customHeight="1" x14ac:dyDescent="0.3">
      <c r="A1028" s="182" t="s">
        <v>2946</v>
      </c>
      <c r="B1028" s="182" t="s">
        <v>908</v>
      </c>
      <c r="C1028" s="182" t="s">
        <v>909</v>
      </c>
      <c r="D1028" s="182" t="s">
        <v>962</v>
      </c>
      <c r="E1028" s="183" t="s">
        <v>963</v>
      </c>
      <c r="F1028" s="183" t="s">
        <v>590</v>
      </c>
      <c r="G1028" s="184">
        <v>2.5999999999999999E-2</v>
      </c>
      <c r="H1028" s="185">
        <v>0.1</v>
      </c>
      <c r="I1028" s="186">
        <v>32399.77</v>
      </c>
      <c r="J1028" s="187">
        <v>926.633422</v>
      </c>
      <c r="K1028" s="182" t="s">
        <v>2951</v>
      </c>
      <c r="L1028" s="182">
        <v>1</v>
      </c>
      <c r="M1028" s="182" t="s">
        <v>2952</v>
      </c>
      <c r="N1028" s="186">
        <v>8</v>
      </c>
      <c r="O1028" s="188">
        <v>2.5999999999999999E-2</v>
      </c>
      <c r="P1028" s="188">
        <v>716</v>
      </c>
      <c r="Q1028" s="188">
        <v>18.616</v>
      </c>
      <c r="R1028" s="189">
        <v>7.02</v>
      </c>
      <c r="S1028" s="189" t="s">
        <v>985</v>
      </c>
    </row>
    <row r="1029" spans="1:19" ht="14.25" customHeight="1" x14ac:dyDescent="0.3">
      <c r="A1029" s="182" t="s">
        <v>2946</v>
      </c>
      <c r="B1029" s="182" t="s">
        <v>908</v>
      </c>
      <c r="C1029" s="182" t="s">
        <v>909</v>
      </c>
      <c r="D1029" s="182" t="s">
        <v>965</v>
      </c>
      <c r="E1029" s="183" t="s">
        <v>966</v>
      </c>
      <c r="F1029" s="183" t="s">
        <v>967</v>
      </c>
      <c r="G1029" s="184">
        <v>0.314</v>
      </c>
      <c r="H1029" s="185">
        <v>0.1</v>
      </c>
      <c r="I1029" s="186">
        <v>7809.48</v>
      </c>
      <c r="J1029" s="187">
        <v>2697.3943920000002</v>
      </c>
      <c r="K1029" s="182" t="s">
        <v>2951</v>
      </c>
      <c r="L1029" s="182">
        <v>2</v>
      </c>
      <c r="M1029" s="182" t="s">
        <v>2953</v>
      </c>
      <c r="N1029" s="186">
        <v>8</v>
      </c>
      <c r="O1029" s="188">
        <v>0.314</v>
      </c>
      <c r="P1029" s="188">
        <v>716</v>
      </c>
      <c r="Q1029" s="188">
        <v>224.82400000000001</v>
      </c>
      <c r="R1029" s="189">
        <v>7.02</v>
      </c>
      <c r="S1029" s="189" t="s">
        <v>985</v>
      </c>
    </row>
    <row r="1030" spans="1:19" ht="14.25" customHeight="1" x14ac:dyDescent="0.3">
      <c r="A1030" s="182" t="s">
        <v>2946</v>
      </c>
      <c r="B1030" s="182" t="s">
        <v>908</v>
      </c>
      <c r="C1030" s="182" t="s">
        <v>909</v>
      </c>
      <c r="D1030" s="182" t="s">
        <v>969</v>
      </c>
      <c r="E1030" s="183" t="s">
        <v>970</v>
      </c>
      <c r="F1030" s="183" t="s">
        <v>971</v>
      </c>
      <c r="G1030" s="184">
        <v>0.06</v>
      </c>
      <c r="H1030" s="185">
        <v>0.1</v>
      </c>
      <c r="I1030" s="186">
        <v>3837.96</v>
      </c>
      <c r="J1030" s="187">
        <v>253.30536000000001</v>
      </c>
      <c r="K1030" s="182" t="s">
        <v>2951</v>
      </c>
      <c r="L1030" s="182">
        <v>3</v>
      </c>
      <c r="M1030" s="182" t="s">
        <v>2954</v>
      </c>
      <c r="N1030" s="186">
        <v>8</v>
      </c>
      <c r="O1030" s="188">
        <v>0.06</v>
      </c>
      <c r="P1030" s="188">
        <v>716</v>
      </c>
      <c r="Q1030" s="188">
        <v>42.96</v>
      </c>
      <c r="R1030" s="189">
        <v>7.02</v>
      </c>
      <c r="S1030" s="189" t="s">
        <v>985</v>
      </c>
    </row>
    <row r="1031" spans="1:19" ht="14.25" customHeight="1" x14ac:dyDescent="0.3">
      <c r="A1031" s="182" t="s">
        <v>2946</v>
      </c>
      <c r="B1031" s="182" t="s">
        <v>908</v>
      </c>
      <c r="C1031" s="182" t="s">
        <v>909</v>
      </c>
      <c r="D1031" s="182" t="s">
        <v>1044</v>
      </c>
      <c r="E1031" s="183" t="s">
        <v>1045</v>
      </c>
      <c r="F1031" s="183" t="s">
        <v>1046</v>
      </c>
      <c r="G1031" s="184">
        <v>0.1</v>
      </c>
      <c r="H1031" s="185">
        <v>0.05</v>
      </c>
      <c r="I1031" s="186">
        <v>1256.1279999999999</v>
      </c>
      <c r="J1031" s="187">
        <v>131.89344</v>
      </c>
      <c r="K1031" s="182" t="s">
        <v>2951</v>
      </c>
      <c r="L1031" s="182">
        <v>4</v>
      </c>
      <c r="M1031" s="182" t="s">
        <v>2955</v>
      </c>
      <c r="N1031" s="186">
        <v>8</v>
      </c>
      <c r="O1031" s="188">
        <v>0.1</v>
      </c>
      <c r="P1031" s="188">
        <v>716</v>
      </c>
      <c r="Q1031" s="188">
        <v>71.599999999999994</v>
      </c>
      <c r="R1031" s="189">
        <v>7.02</v>
      </c>
      <c r="S1031" s="189" t="s">
        <v>985</v>
      </c>
    </row>
    <row r="1032" spans="1:19" ht="14.25" customHeight="1" x14ac:dyDescent="0.3">
      <c r="A1032" s="182" t="s">
        <v>2946</v>
      </c>
      <c r="B1032" s="182" t="s">
        <v>937</v>
      </c>
      <c r="C1032" s="182" t="s">
        <v>938</v>
      </c>
      <c r="D1032" s="190" t="s">
        <v>939</v>
      </c>
      <c r="E1032" s="183" t="s">
        <v>940</v>
      </c>
      <c r="F1032" s="183" t="s">
        <v>941</v>
      </c>
      <c r="G1032" s="184">
        <v>0.6</v>
      </c>
      <c r="H1032" s="185">
        <v>0</v>
      </c>
      <c r="I1032" s="186">
        <v>60860.580776572002</v>
      </c>
      <c r="J1032" s="187">
        <v>36516.3484659432</v>
      </c>
      <c r="K1032" s="182" t="s">
        <v>2956</v>
      </c>
      <c r="L1032" s="182">
        <v>1</v>
      </c>
      <c r="M1032" s="182" t="s">
        <v>2957</v>
      </c>
      <c r="N1032" s="186">
        <v>8</v>
      </c>
      <c r="O1032" s="188">
        <v>7.4999999999999997E-2</v>
      </c>
      <c r="P1032" s="188">
        <v>716</v>
      </c>
      <c r="Q1032" s="188">
        <v>53.7</v>
      </c>
      <c r="R1032" s="189">
        <v>7.02</v>
      </c>
      <c r="S1032" s="189" t="s">
        <v>985</v>
      </c>
    </row>
    <row r="1033" spans="1:19" ht="14.25" customHeight="1" x14ac:dyDescent="0.3">
      <c r="A1033" s="182" t="s">
        <v>2946</v>
      </c>
      <c r="B1033" s="182" t="s">
        <v>937</v>
      </c>
      <c r="C1033" s="182" t="s">
        <v>938</v>
      </c>
      <c r="D1033" s="190" t="s">
        <v>944</v>
      </c>
      <c r="E1033" s="183" t="s">
        <v>945</v>
      </c>
      <c r="F1033" s="183" t="s">
        <v>941</v>
      </c>
      <c r="G1033" s="184">
        <v>1</v>
      </c>
      <c r="H1033" s="185">
        <v>0</v>
      </c>
      <c r="I1033" s="186">
        <v>85927.097156571996</v>
      </c>
      <c r="J1033" s="187">
        <v>85927.097156571996</v>
      </c>
      <c r="K1033" s="182" t="s">
        <v>2956</v>
      </c>
      <c r="L1033" s="182">
        <v>2</v>
      </c>
      <c r="M1033" s="182" t="s">
        <v>2958</v>
      </c>
      <c r="N1033" s="186">
        <v>8</v>
      </c>
      <c r="O1033" s="188">
        <v>0.125</v>
      </c>
      <c r="P1033" s="188">
        <v>716</v>
      </c>
      <c r="Q1033" s="188">
        <v>89.5</v>
      </c>
      <c r="R1033" s="189">
        <v>7.02</v>
      </c>
      <c r="S1033" s="189" t="s">
        <v>985</v>
      </c>
    </row>
    <row r="1034" spans="1:19" ht="14.25" customHeight="1" x14ac:dyDescent="0.3">
      <c r="A1034" s="182" t="s">
        <v>2959</v>
      </c>
      <c r="B1034" s="182" t="s">
        <v>563</v>
      </c>
      <c r="C1034" s="182"/>
      <c r="D1034" s="182" t="s">
        <v>2960</v>
      </c>
      <c r="E1034" s="183" t="s">
        <v>2961</v>
      </c>
      <c r="F1034" s="183"/>
      <c r="G1034" s="184">
        <v>1</v>
      </c>
      <c r="H1034" s="185">
        <v>0</v>
      </c>
      <c r="I1034" s="186">
        <v>254.63084667573</v>
      </c>
      <c r="J1034" s="187">
        <v>254.63084667573</v>
      </c>
      <c r="K1034" s="182" t="s">
        <v>2962</v>
      </c>
      <c r="L1034" s="182">
        <v>1</v>
      </c>
      <c r="M1034" s="182" t="s">
        <v>2963</v>
      </c>
      <c r="N1034" s="186">
        <v>1</v>
      </c>
      <c r="O1034" s="188">
        <v>1</v>
      </c>
      <c r="P1034" s="188">
        <v>1439</v>
      </c>
      <c r="Q1034" s="188">
        <v>1439</v>
      </c>
      <c r="R1034" s="189">
        <v>7.03</v>
      </c>
      <c r="S1034" s="189" t="s">
        <v>573</v>
      </c>
    </row>
    <row r="1035" spans="1:19" ht="14.25" customHeight="1" x14ac:dyDescent="0.3">
      <c r="A1035" s="182" t="s">
        <v>2959</v>
      </c>
      <c r="B1035" s="182" t="s">
        <v>908</v>
      </c>
      <c r="C1035" s="182" t="s">
        <v>1358</v>
      </c>
      <c r="D1035" s="182" t="s">
        <v>2964</v>
      </c>
      <c r="E1035" s="183" t="s">
        <v>2965</v>
      </c>
      <c r="F1035" s="183" t="s">
        <v>971</v>
      </c>
      <c r="G1035" s="184">
        <v>0.71438498957609498</v>
      </c>
      <c r="H1035" s="185">
        <v>0</v>
      </c>
      <c r="I1035" s="186">
        <v>6965.28</v>
      </c>
      <c r="J1035" s="187">
        <v>4975.8914801945803</v>
      </c>
      <c r="K1035" s="182" t="s">
        <v>2966</v>
      </c>
      <c r="L1035" s="182">
        <v>1</v>
      </c>
      <c r="M1035" s="182" t="s">
        <v>2967</v>
      </c>
      <c r="N1035" s="186">
        <v>1</v>
      </c>
      <c r="O1035" s="188">
        <v>0.71438498957609498</v>
      </c>
      <c r="P1035" s="188">
        <v>1439</v>
      </c>
      <c r="Q1035" s="188">
        <v>1028</v>
      </c>
      <c r="R1035" s="189">
        <v>7.03</v>
      </c>
      <c r="S1035" s="189" t="s">
        <v>573</v>
      </c>
    </row>
    <row r="1036" spans="1:19" ht="14.25" customHeight="1" x14ac:dyDescent="0.3">
      <c r="A1036" s="182" t="s">
        <v>2959</v>
      </c>
      <c r="B1036" s="182" t="s">
        <v>908</v>
      </c>
      <c r="C1036" s="182" t="s">
        <v>1358</v>
      </c>
      <c r="D1036" s="182" t="s">
        <v>2968</v>
      </c>
      <c r="E1036" s="183" t="s">
        <v>2969</v>
      </c>
      <c r="F1036" s="183" t="s">
        <v>2970</v>
      </c>
      <c r="G1036" s="184">
        <v>1.38985406532314E-3</v>
      </c>
      <c r="H1036" s="185">
        <v>0</v>
      </c>
      <c r="I1036" s="186">
        <v>127350</v>
      </c>
      <c r="J1036" s="187">
        <v>176.99791521890199</v>
      </c>
      <c r="K1036" s="182" t="s">
        <v>2966</v>
      </c>
      <c r="L1036" s="182">
        <v>2</v>
      </c>
      <c r="M1036" s="182" t="s">
        <v>2971</v>
      </c>
      <c r="N1036" s="186">
        <v>1</v>
      </c>
      <c r="O1036" s="188">
        <v>1.38985406532314E-3</v>
      </c>
      <c r="P1036" s="188">
        <v>1439</v>
      </c>
      <c r="Q1036" s="188">
        <v>2</v>
      </c>
      <c r="R1036" s="189">
        <v>7.03</v>
      </c>
      <c r="S1036" s="189" t="s">
        <v>573</v>
      </c>
    </row>
    <row r="1037" spans="1:19" ht="14.25" customHeight="1" x14ac:dyDescent="0.3">
      <c r="A1037" s="182" t="s">
        <v>2959</v>
      </c>
      <c r="B1037" s="182" t="s">
        <v>908</v>
      </c>
      <c r="C1037" s="182" t="s">
        <v>1358</v>
      </c>
      <c r="D1037" s="182" t="s">
        <v>2972</v>
      </c>
      <c r="E1037" s="183" t="s">
        <v>2973</v>
      </c>
      <c r="F1037" s="183" t="s">
        <v>2197</v>
      </c>
      <c r="G1037" s="184">
        <v>4.8644892286309896E-3</v>
      </c>
      <c r="H1037" s="185">
        <v>0</v>
      </c>
      <c r="I1037" s="186">
        <v>35210.699999999997</v>
      </c>
      <c r="J1037" s="187">
        <v>171.28207088255701</v>
      </c>
      <c r="K1037" s="182" t="s">
        <v>2966</v>
      </c>
      <c r="L1037" s="182">
        <v>3</v>
      </c>
      <c r="M1037" s="182" t="s">
        <v>2974</v>
      </c>
      <c r="N1037" s="186">
        <v>1</v>
      </c>
      <c r="O1037" s="188">
        <v>4.8644892286309896E-3</v>
      </c>
      <c r="P1037" s="188">
        <v>1439</v>
      </c>
      <c r="Q1037" s="188">
        <v>6.9999999999999902</v>
      </c>
      <c r="R1037" s="189">
        <v>7.03</v>
      </c>
      <c r="S1037" s="189" t="s">
        <v>573</v>
      </c>
    </row>
    <row r="1038" spans="1:19" ht="14.25" customHeight="1" x14ac:dyDescent="0.3">
      <c r="A1038" s="182" t="s">
        <v>2959</v>
      </c>
      <c r="B1038" s="182" t="s">
        <v>937</v>
      </c>
      <c r="C1038" s="182" t="s">
        <v>909</v>
      </c>
      <c r="D1038" s="182" t="s">
        <v>2975</v>
      </c>
      <c r="E1038" s="183" t="s">
        <v>2976</v>
      </c>
      <c r="F1038" s="183" t="s">
        <v>941</v>
      </c>
      <c r="G1038" s="184">
        <v>1</v>
      </c>
      <c r="H1038" s="185">
        <v>0</v>
      </c>
      <c r="I1038" s="186">
        <v>11651.218312086001</v>
      </c>
      <c r="J1038" s="187">
        <v>11651.218312086001</v>
      </c>
      <c r="K1038" s="182" t="s">
        <v>2977</v>
      </c>
      <c r="L1038" s="182">
        <v>1</v>
      </c>
      <c r="M1038" s="182" t="s">
        <v>2978</v>
      </c>
      <c r="N1038" s="186">
        <v>1</v>
      </c>
      <c r="O1038" s="188">
        <v>1</v>
      </c>
      <c r="P1038" s="188">
        <v>1439</v>
      </c>
      <c r="Q1038" s="188">
        <v>1439</v>
      </c>
      <c r="R1038" s="189">
        <v>7.03</v>
      </c>
      <c r="S1038" s="189" t="s">
        <v>573</v>
      </c>
    </row>
    <row r="1039" spans="1:19" ht="14.25" customHeight="1" x14ac:dyDescent="0.3">
      <c r="A1039" s="182" t="s">
        <v>2979</v>
      </c>
      <c r="B1039" s="182" t="s">
        <v>563</v>
      </c>
      <c r="C1039" s="182"/>
      <c r="D1039" s="182" t="s">
        <v>2980</v>
      </c>
      <c r="E1039" s="183" t="s">
        <v>2981</v>
      </c>
      <c r="F1039" s="183"/>
      <c r="G1039" s="184">
        <v>1</v>
      </c>
      <c r="H1039" s="185">
        <v>0</v>
      </c>
      <c r="I1039" s="186">
        <v>187.4920973566</v>
      </c>
      <c r="J1039" s="187">
        <v>187.4920973566</v>
      </c>
      <c r="K1039" s="182" t="s">
        <v>2982</v>
      </c>
      <c r="L1039" s="182">
        <v>1</v>
      </c>
      <c r="M1039" s="182" t="s">
        <v>2983</v>
      </c>
      <c r="N1039" s="186">
        <v>1</v>
      </c>
      <c r="O1039" s="188">
        <v>1</v>
      </c>
      <c r="P1039" s="188">
        <v>347</v>
      </c>
      <c r="Q1039" s="188">
        <v>347</v>
      </c>
      <c r="R1039" s="189">
        <v>7.04</v>
      </c>
      <c r="S1039" s="189" t="s">
        <v>573</v>
      </c>
    </row>
    <row r="1040" spans="1:19" ht="14.25" customHeight="1" x14ac:dyDescent="0.3">
      <c r="A1040" s="182" t="s">
        <v>2979</v>
      </c>
      <c r="B1040" s="182" t="s">
        <v>937</v>
      </c>
      <c r="C1040" s="182" t="s">
        <v>909</v>
      </c>
      <c r="D1040" s="182" t="s">
        <v>2984</v>
      </c>
      <c r="E1040" s="183" t="s">
        <v>650</v>
      </c>
      <c r="F1040" s="183" t="s">
        <v>941</v>
      </c>
      <c r="G1040" s="184">
        <v>1</v>
      </c>
      <c r="H1040" s="185">
        <v>0</v>
      </c>
      <c r="I1040" s="186">
        <v>12499.4731571067</v>
      </c>
      <c r="J1040" s="187">
        <v>12499.4731571067</v>
      </c>
      <c r="K1040" s="182" t="s">
        <v>2985</v>
      </c>
      <c r="L1040" s="182">
        <v>1</v>
      </c>
      <c r="M1040" s="182" t="s">
        <v>2986</v>
      </c>
      <c r="N1040" s="186">
        <v>1</v>
      </c>
      <c r="O1040" s="188">
        <v>1</v>
      </c>
      <c r="P1040" s="188">
        <v>347</v>
      </c>
      <c r="Q1040" s="188">
        <v>347</v>
      </c>
      <c r="R1040" s="189">
        <v>7.04</v>
      </c>
      <c r="S1040" s="189" t="s">
        <v>573</v>
      </c>
    </row>
    <row r="1041" spans="1:19" ht="14.25" customHeight="1" x14ac:dyDescent="0.3">
      <c r="A1041" s="182" t="s">
        <v>2987</v>
      </c>
      <c r="B1041" s="182" t="s">
        <v>563</v>
      </c>
      <c r="C1041" s="182"/>
      <c r="D1041" s="182" t="s">
        <v>2988</v>
      </c>
      <c r="E1041" s="183" t="s">
        <v>2989</v>
      </c>
      <c r="F1041" s="183"/>
      <c r="G1041" s="184">
        <v>1</v>
      </c>
      <c r="H1041" s="185">
        <v>0</v>
      </c>
      <c r="I1041" s="186">
        <v>214.94396350429901</v>
      </c>
      <c r="J1041" s="187">
        <v>214.94396350429901</v>
      </c>
      <c r="K1041" s="182" t="s">
        <v>2990</v>
      </c>
      <c r="L1041" s="182">
        <v>1</v>
      </c>
      <c r="M1041" s="182" t="s">
        <v>2991</v>
      </c>
      <c r="N1041" s="186">
        <v>1</v>
      </c>
      <c r="O1041" s="188">
        <v>1</v>
      </c>
      <c r="P1041" s="188">
        <v>132</v>
      </c>
      <c r="Q1041" s="188">
        <v>132</v>
      </c>
      <c r="R1041" s="189">
        <v>7.05</v>
      </c>
      <c r="S1041" s="189" t="s">
        <v>573</v>
      </c>
    </row>
    <row r="1042" spans="1:19" ht="14.25" customHeight="1" x14ac:dyDescent="0.3">
      <c r="A1042" s="182" t="s">
        <v>2987</v>
      </c>
      <c r="B1042" s="182" t="s">
        <v>908</v>
      </c>
      <c r="C1042" s="182" t="s">
        <v>1358</v>
      </c>
      <c r="D1042" s="182" t="s">
        <v>2992</v>
      </c>
      <c r="E1042" s="183" t="s">
        <v>2993</v>
      </c>
      <c r="F1042" s="183" t="s">
        <v>600</v>
      </c>
      <c r="G1042" s="184">
        <v>1.0530303030303001</v>
      </c>
      <c r="H1042" s="185">
        <v>0</v>
      </c>
      <c r="I1042" s="186">
        <v>1108.49</v>
      </c>
      <c r="J1042" s="187">
        <v>1167.2735606060601</v>
      </c>
      <c r="K1042" s="182" t="s">
        <v>2994</v>
      </c>
      <c r="L1042" s="182">
        <v>1</v>
      </c>
      <c r="M1042" s="182" t="s">
        <v>2995</v>
      </c>
      <c r="N1042" s="186">
        <v>1</v>
      </c>
      <c r="O1042" s="188">
        <v>1.0530303030303001</v>
      </c>
      <c r="P1042" s="188">
        <v>132</v>
      </c>
      <c r="Q1042" s="188">
        <v>139</v>
      </c>
      <c r="R1042" s="189">
        <v>7.05</v>
      </c>
      <c r="S1042" s="189" t="s">
        <v>573</v>
      </c>
    </row>
    <row r="1043" spans="1:19" ht="14.25" customHeight="1" x14ac:dyDescent="0.3">
      <c r="A1043" s="182" t="s">
        <v>2987</v>
      </c>
      <c r="B1043" s="182" t="s">
        <v>937</v>
      </c>
      <c r="C1043" s="182" t="s">
        <v>909</v>
      </c>
      <c r="D1043" s="182" t="s">
        <v>2996</v>
      </c>
      <c r="E1043" s="183" t="s">
        <v>2993</v>
      </c>
      <c r="F1043" s="183" t="s">
        <v>941</v>
      </c>
      <c r="G1043" s="184">
        <v>1.0530303030303001</v>
      </c>
      <c r="H1043" s="185">
        <v>0</v>
      </c>
      <c r="I1043" s="186">
        <v>12499.4731571067</v>
      </c>
      <c r="J1043" s="187">
        <v>13162.3240063472</v>
      </c>
      <c r="K1043" s="182" t="s">
        <v>2997</v>
      </c>
      <c r="L1043" s="182">
        <v>1</v>
      </c>
      <c r="M1043" s="182" t="s">
        <v>2998</v>
      </c>
      <c r="N1043" s="186">
        <v>1</v>
      </c>
      <c r="O1043" s="188">
        <v>1.0530303030303001</v>
      </c>
      <c r="P1043" s="188">
        <v>132</v>
      </c>
      <c r="Q1043" s="188">
        <v>139</v>
      </c>
      <c r="R1043" s="189">
        <v>7.05</v>
      </c>
      <c r="S1043" s="189" t="s">
        <v>573</v>
      </c>
    </row>
    <row r="1044" spans="1:19" ht="14.25" customHeight="1" x14ac:dyDescent="0.3">
      <c r="A1044" s="182" t="s">
        <v>2999</v>
      </c>
      <c r="B1044" s="182" t="s">
        <v>563</v>
      </c>
      <c r="C1044" s="182"/>
      <c r="D1044" s="182" t="s">
        <v>948</v>
      </c>
      <c r="E1044" s="183" t="s">
        <v>949</v>
      </c>
      <c r="F1044" s="183"/>
      <c r="G1044" s="184">
        <v>0.5</v>
      </c>
      <c r="H1044" s="185">
        <v>0</v>
      </c>
      <c r="I1044" s="186">
        <v>571.17949098076099</v>
      </c>
      <c r="J1044" s="187">
        <v>285.58974549038101</v>
      </c>
      <c r="K1044" s="182" t="s">
        <v>3000</v>
      </c>
      <c r="L1044" s="182">
        <v>1</v>
      </c>
      <c r="M1044" s="182" t="s">
        <v>3001</v>
      </c>
      <c r="N1044" s="186">
        <v>11.5</v>
      </c>
      <c r="O1044" s="188">
        <v>0.5</v>
      </c>
      <c r="P1044" s="188" t="s">
        <v>573</v>
      </c>
      <c r="Q1044" s="188">
        <v>0</v>
      </c>
      <c r="R1044" s="189" t="s">
        <v>573</v>
      </c>
      <c r="S1044" s="189" t="s">
        <v>573</v>
      </c>
    </row>
    <row r="1045" spans="1:19" ht="14.25" customHeight="1" x14ac:dyDescent="0.3">
      <c r="A1045" s="182" t="s">
        <v>2999</v>
      </c>
      <c r="B1045" s="182" t="s">
        <v>563</v>
      </c>
      <c r="C1045" s="182"/>
      <c r="D1045" s="182" t="s">
        <v>952</v>
      </c>
      <c r="E1045" s="183" t="s">
        <v>953</v>
      </c>
      <c r="F1045" s="183"/>
      <c r="G1045" s="184">
        <v>1</v>
      </c>
      <c r="H1045" s="185">
        <v>0</v>
      </c>
      <c r="I1045" s="186">
        <v>2287.1357450968098</v>
      </c>
      <c r="J1045" s="187">
        <v>2287.1357450968098</v>
      </c>
      <c r="K1045" s="182" t="s">
        <v>3000</v>
      </c>
      <c r="L1045" s="182">
        <v>2</v>
      </c>
      <c r="M1045" s="182" t="s">
        <v>3002</v>
      </c>
      <c r="N1045" s="186">
        <v>11.5</v>
      </c>
      <c r="O1045" s="188">
        <v>1</v>
      </c>
      <c r="P1045" s="188" t="s">
        <v>573</v>
      </c>
      <c r="Q1045" s="188">
        <v>0</v>
      </c>
      <c r="R1045" s="189" t="s">
        <v>573</v>
      </c>
      <c r="S1045" s="189" t="s">
        <v>573</v>
      </c>
    </row>
    <row r="1046" spans="1:19" ht="14.25" customHeight="1" x14ac:dyDescent="0.3">
      <c r="A1046" s="182" t="s">
        <v>2999</v>
      </c>
      <c r="B1046" s="182" t="s">
        <v>563</v>
      </c>
      <c r="C1046" s="182"/>
      <c r="D1046" s="182" t="s">
        <v>955</v>
      </c>
      <c r="E1046" s="183" t="s">
        <v>956</v>
      </c>
      <c r="F1046" s="183"/>
      <c r="G1046" s="184">
        <v>1</v>
      </c>
      <c r="H1046" s="185">
        <v>0</v>
      </c>
      <c r="I1046" s="186">
        <v>957.25319614994703</v>
      </c>
      <c r="J1046" s="187">
        <v>957.25319614994703</v>
      </c>
      <c r="K1046" s="182" t="s">
        <v>3000</v>
      </c>
      <c r="L1046" s="182">
        <v>3</v>
      </c>
      <c r="M1046" s="182" t="s">
        <v>3003</v>
      </c>
      <c r="N1046" s="186">
        <v>11.5</v>
      </c>
      <c r="O1046" s="188">
        <v>1</v>
      </c>
      <c r="P1046" s="188" t="s">
        <v>573</v>
      </c>
      <c r="Q1046" s="188">
        <v>0</v>
      </c>
      <c r="R1046" s="189" t="s">
        <v>573</v>
      </c>
      <c r="S1046" s="189" t="s">
        <v>573</v>
      </c>
    </row>
    <row r="1047" spans="1:19" ht="14.25" customHeight="1" x14ac:dyDescent="0.3">
      <c r="A1047" s="182" t="s">
        <v>2999</v>
      </c>
      <c r="B1047" s="182" t="s">
        <v>908</v>
      </c>
      <c r="C1047" s="182" t="s">
        <v>909</v>
      </c>
      <c r="D1047" s="182" t="s">
        <v>962</v>
      </c>
      <c r="E1047" s="183" t="s">
        <v>963</v>
      </c>
      <c r="F1047" s="183" t="s">
        <v>590</v>
      </c>
      <c r="G1047" s="184">
        <v>2.5999999999999999E-2</v>
      </c>
      <c r="H1047" s="185">
        <v>0.1</v>
      </c>
      <c r="I1047" s="186">
        <v>32399.77</v>
      </c>
      <c r="J1047" s="187">
        <v>926.633422</v>
      </c>
      <c r="K1047" s="182" t="s">
        <v>3004</v>
      </c>
      <c r="L1047" s="182">
        <v>1</v>
      </c>
      <c r="M1047" s="182" t="s">
        <v>3005</v>
      </c>
      <c r="N1047" s="186">
        <v>11.5</v>
      </c>
      <c r="O1047" s="188">
        <v>2.5999999999999999E-2</v>
      </c>
      <c r="P1047" s="188" t="s">
        <v>573</v>
      </c>
      <c r="Q1047" s="188">
        <v>0</v>
      </c>
      <c r="R1047" s="189" t="s">
        <v>573</v>
      </c>
      <c r="S1047" s="189" t="s">
        <v>573</v>
      </c>
    </row>
    <row r="1048" spans="1:19" ht="14.25" customHeight="1" x14ac:dyDescent="0.3">
      <c r="A1048" s="182" t="s">
        <v>2999</v>
      </c>
      <c r="B1048" s="182" t="s">
        <v>908</v>
      </c>
      <c r="C1048" s="182" t="s">
        <v>909</v>
      </c>
      <c r="D1048" s="182" t="s">
        <v>965</v>
      </c>
      <c r="E1048" s="183" t="s">
        <v>966</v>
      </c>
      <c r="F1048" s="183" t="s">
        <v>967</v>
      </c>
      <c r="G1048" s="184">
        <v>0.314</v>
      </c>
      <c r="H1048" s="185">
        <v>0.1</v>
      </c>
      <c r="I1048" s="186">
        <v>7809.48</v>
      </c>
      <c r="J1048" s="187">
        <v>2697.3943920000002</v>
      </c>
      <c r="K1048" s="182" t="s">
        <v>3004</v>
      </c>
      <c r="L1048" s="182">
        <v>2</v>
      </c>
      <c r="M1048" s="182" t="s">
        <v>3006</v>
      </c>
      <c r="N1048" s="186">
        <v>11.5</v>
      </c>
      <c r="O1048" s="188">
        <v>0.314</v>
      </c>
      <c r="P1048" s="188" t="s">
        <v>573</v>
      </c>
      <c r="Q1048" s="188">
        <v>0</v>
      </c>
      <c r="R1048" s="189" t="s">
        <v>573</v>
      </c>
      <c r="S1048" s="189" t="s">
        <v>573</v>
      </c>
    </row>
    <row r="1049" spans="1:19" ht="14.25" customHeight="1" x14ac:dyDescent="0.3">
      <c r="A1049" s="182" t="s">
        <v>2999</v>
      </c>
      <c r="B1049" s="182" t="s">
        <v>908</v>
      </c>
      <c r="C1049" s="182" t="s">
        <v>909</v>
      </c>
      <c r="D1049" s="182" t="s">
        <v>969</v>
      </c>
      <c r="E1049" s="183" t="s">
        <v>970</v>
      </c>
      <c r="F1049" s="183" t="s">
        <v>971</v>
      </c>
      <c r="G1049" s="184">
        <v>0.06</v>
      </c>
      <c r="H1049" s="185">
        <v>0.1</v>
      </c>
      <c r="I1049" s="186">
        <v>3837.96</v>
      </c>
      <c r="J1049" s="187">
        <v>253.30536000000001</v>
      </c>
      <c r="K1049" s="182" t="s">
        <v>3004</v>
      </c>
      <c r="L1049" s="182">
        <v>3</v>
      </c>
      <c r="M1049" s="182" t="s">
        <v>3007</v>
      </c>
      <c r="N1049" s="186">
        <v>11.5</v>
      </c>
      <c r="O1049" s="188">
        <v>0.06</v>
      </c>
      <c r="P1049" s="188" t="s">
        <v>573</v>
      </c>
      <c r="Q1049" s="188">
        <v>0</v>
      </c>
      <c r="R1049" s="189" t="s">
        <v>573</v>
      </c>
      <c r="S1049" s="189" t="s">
        <v>573</v>
      </c>
    </row>
    <row r="1050" spans="1:19" ht="14.25" customHeight="1" x14ac:dyDescent="0.3">
      <c r="A1050" s="182" t="s">
        <v>2999</v>
      </c>
      <c r="B1050" s="182" t="s">
        <v>908</v>
      </c>
      <c r="C1050" s="182" t="s">
        <v>909</v>
      </c>
      <c r="D1050" s="182" t="s">
        <v>1044</v>
      </c>
      <c r="E1050" s="183" t="s">
        <v>1045</v>
      </c>
      <c r="F1050" s="183" t="s">
        <v>1046</v>
      </c>
      <c r="G1050" s="184">
        <v>0.1</v>
      </c>
      <c r="H1050" s="185">
        <v>0.05</v>
      </c>
      <c r="I1050" s="186">
        <v>1256.1279999999999</v>
      </c>
      <c r="J1050" s="187">
        <v>131.89344</v>
      </c>
      <c r="K1050" s="182" t="s">
        <v>3004</v>
      </c>
      <c r="L1050" s="182">
        <v>4</v>
      </c>
      <c r="M1050" s="182" t="s">
        <v>3008</v>
      </c>
      <c r="N1050" s="186">
        <v>11.5</v>
      </c>
      <c r="O1050" s="188">
        <v>0.1</v>
      </c>
      <c r="P1050" s="188" t="s">
        <v>573</v>
      </c>
      <c r="Q1050" s="188">
        <v>0</v>
      </c>
      <c r="R1050" s="189" t="s">
        <v>573</v>
      </c>
      <c r="S1050" s="189" t="s">
        <v>573</v>
      </c>
    </row>
    <row r="1051" spans="1:19" ht="14.25" customHeight="1" x14ac:dyDescent="0.3">
      <c r="A1051" s="182" t="s">
        <v>2999</v>
      </c>
      <c r="B1051" s="182" t="s">
        <v>937</v>
      </c>
      <c r="C1051" s="182" t="s">
        <v>938</v>
      </c>
      <c r="D1051" s="190" t="s">
        <v>939</v>
      </c>
      <c r="E1051" s="183" t="s">
        <v>940</v>
      </c>
      <c r="F1051" s="183" t="s">
        <v>941</v>
      </c>
      <c r="G1051" s="184">
        <v>0.6</v>
      </c>
      <c r="H1051" s="185">
        <v>0</v>
      </c>
      <c r="I1051" s="186">
        <v>60860.580776572002</v>
      </c>
      <c r="J1051" s="187">
        <v>36516.3484659432</v>
      </c>
      <c r="K1051" s="182" t="s">
        <v>3009</v>
      </c>
      <c r="L1051" s="182">
        <v>1</v>
      </c>
      <c r="M1051" s="182" t="s">
        <v>3010</v>
      </c>
      <c r="N1051" s="186">
        <v>11.5</v>
      </c>
      <c r="O1051" s="188">
        <v>5.21739130434783E-2</v>
      </c>
      <c r="P1051" s="188" t="s">
        <v>573</v>
      </c>
      <c r="Q1051" s="188">
        <v>0</v>
      </c>
      <c r="R1051" s="189" t="s">
        <v>573</v>
      </c>
      <c r="S1051" s="189" t="s">
        <v>573</v>
      </c>
    </row>
    <row r="1052" spans="1:19" ht="14.25" customHeight="1" x14ac:dyDescent="0.3">
      <c r="A1052" s="182" t="s">
        <v>2999</v>
      </c>
      <c r="B1052" s="182" t="s">
        <v>937</v>
      </c>
      <c r="C1052" s="182" t="s">
        <v>938</v>
      </c>
      <c r="D1052" s="190" t="s">
        <v>944</v>
      </c>
      <c r="E1052" s="183" t="s">
        <v>945</v>
      </c>
      <c r="F1052" s="183" t="s">
        <v>941</v>
      </c>
      <c r="G1052" s="184">
        <v>1</v>
      </c>
      <c r="H1052" s="185">
        <v>0</v>
      </c>
      <c r="I1052" s="186">
        <v>85927.097156571996</v>
      </c>
      <c r="J1052" s="187">
        <v>85927.097156571996</v>
      </c>
      <c r="K1052" s="182" t="s">
        <v>3009</v>
      </c>
      <c r="L1052" s="182">
        <v>2</v>
      </c>
      <c r="M1052" s="182" t="s">
        <v>3011</v>
      </c>
      <c r="N1052" s="186">
        <v>11.5</v>
      </c>
      <c r="O1052" s="188">
        <v>8.6956521739130405E-2</v>
      </c>
      <c r="P1052" s="188" t="s">
        <v>573</v>
      </c>
      <c r="Q1052" s="188">
        <v>0</v>
      </c>
      <c r="R1052" s="189" t="s">
        <v>573</v>
      </c>
      <c r="S1052" s="189" t="s">
        <v>573</v>
      </c>
    </row>
    <row r="1053" spans="1:19" ht="14.25" customHeight="1" x14ac:dyDescent="0.3">
      <c r="A1053" s="182" t="s">
        <v>3012</v>
      </c>
      <c r="B1053" s="182" t="s">
        <v>563</v>
      </c>
      <c r="C1053" s="182"/>
      <c r="D1053" s="182" t="s">
        <v>3013</v>
      </c>
      <c r="E1053" s="183" t="s">
        <v>3014</v>
      </c>
      <c r="F1053" s="183"/>
      <c r="G1053" s="184">
        <v>1</v>
      </c>
      <c r="H1053" s="185">
        <v>0</v>
      </c>
      <c r="I1053" s="186">
        <v>649.57350320066905</v>
      </c>
      <c r="J1053" s="187">
        <v>649.57350320066905</v>
      </c>
      <c r="K1053" s="182" t="s">
        <v>3015</v>
      </c>
      <c r="L1053" s="182">
        <v>1</v>
      </c>
      <c r="M1053" s="182" t="s">
        <v>3016</v>
      </c>
      <c r="N1053" s="186">
        <v>1</v>
      </c>
      <c r="O1053" s="188">
        <v>1</v>
      </c>
      <c r="P1053" s="188">
        <v>107</v>
      </c>
      <c r="Q1053" s="188">
        <v>107</v>
      </c>
      <c r="R1053" s="189">
        <v>8.01</v>
      </c>
      <c r="S1053" s="189" t="s">
        <v>985</v>
      </c>
    </row>
    <row r="1054" spans="1:19" ht="14.25" customHeight="1" x14ac:dyDescent="0.3">
      <c r="A1054" s="182" t="s">
        <v>3012</v>
      </c>
      <c r="B1054" s="182" t="s">
        <v>908</v>
      </c>
      <c r="C1054" s="182" t="s">
        <v>1358</v>
      </c>
      <c r="D1054" s="182" t="s">
        <v>976</v>
      </c>
      <c r="E1054" s="183" t="s">
        <v>977</v>
      </c>
      <c r="F1054" s="183" t="s">
        <v>576</v>
      </c>
      <c r="G1054" s="184">
        <v>1212.43102803738</v>
      </c>
      <c r="H1054" s="185">
        <v>0</v>
      </c>
      <c r="I1054" s="186">
        <v>1</v>
      </c>
      <c r="J1054" s="187">
        <v>1212.43102803738</v>
      </c>
      <c r="K1054" s="182" t="s">
        <v>3017</v>
      </c>
      <c r="L1054" s="182">
        <v>1</v>
      </c>
      <c r="M1054" s="182" t="s">
        <v>3018</v>
      </c>
      <c r="N1054" s="186">
        <v>1</v>
      </c>
      <c r="O1054" s="188">
        <v>1212.43102803738</v>
      </c>
      <c r="P1054" s="188">
        <v>107</v>
      </c>
      <c r="Q1054" s="188">
        <v>129730.12</v>
      </c>
      <c r="R1054" s="189">
        <v>8.01</v>
      </c>
      <c r="S1054" s="189" t="s">
        <v>985</v>
      </c>
    </row>
    <row r="1055" spans="1:19" ht="14.25" customHeight="1" x14ac:dyDescent="0.3">
      <c r="A1055" s="182" t="s">
        <v>3012</v>
      </c>
      <c r="B1055" s="182" t="s">
        <v>908</v>
      </c>
      <c r="C1055" s="182" t="s">
        <v>1358</v>
      </c>
      <c r="D1055" s="182" t="s">
        <v>3019</v>
      </c>
      <c r="E1055" s="183" t="s">
        <v>3020</v>
      </c>
      <c r="F1055" s="183" t="s">
        <v>2197</v>
      </c>
      <c r="G1055" s="184">
        <v>6.4999999999999997E-3</v>
      </c>
      <c r="H1055" s="185">
        <v>0</v>
      </c>
      <c r="I1055" s="186">
        <v>27000</v>
      </c>
      <c r="J1055" s="187">
        <v>175.5</v>
      </c>
      <c r="K1055" s="182" t="s">
        <v>3017</v>
      </c>
      <c r="L1055" s="182">
        <v>2</v>
      </c>
      <c r="M1055" s="182" t="s">
        <v>3021</v>
      </c>
      <c r="N1055" s="186">
        <v>1</v>
      </c>
      <c r="O1055" s="188">
        <v>6.4999999999999997E-3</v>
      </c>
      <c r="P1055" s="188">
        <v>107</v>
      </c>
      <c r="Q1055" s="188">
        <v>0.69550000000000001</v>
      </c>
      <c r="R1055" s="189">
        <v>8.01</v>
      </c>
      <c r="S1055" s="189" t="s">
        <v>985</v>
      </c>
    </row>
    <row r="1056" spans="1:19" ht="14.25" customHeight="1" x14ac:dyDescent="0.3">
      <c r="A1056" s="182" t="s">
        <v>3012</v>
      </c>
      <c r="B1056" s="182" t="s">
        <v>908</v>
      </c>
      <c r="C1056" s="182" t="s">
        <v>1358</v>
      </c>
      <c r="D1056" s="182" t="s">
        <v>3022</v>
      </c>
      <c r="E1056" s="183" t="s">
        <v>3023</v>
      </c>
      <c r="F1056" s="183" t="s">
        <v>652</v>
      </c>
      <c r="G1056" s="184">
        <v>8.4112149532710304E-2</v>
      </c>
      <c r="H1056" s="185">
        <v>0</v>
      </c>
      <c r="I1056" s="186">
        <v>69985.789999999994</v>
      </c>
      <c r="J1056" s="187">
        <v>5886.6552336448603</v>
      </c>
      <c r="K1056" s="182" t="s">
        <v>3017</v>
      </c>
      <c r="L1056" s="182">
        <v>3</v>
      </c>
      <c r="M1056" s="182" t="s">
        <v>3024</v>
      </c>
      <c r="N1056" s="186">
        <v>1</v>
      </c>
      <c r="O1056" s="188">
        <v>8.4112149532710304E-2</v>
      </c>
      <c r="P1056" s="188">
        <v>107</v>
      </c>
      <c r="Q1056" s="188">
        <v>9</v>
      </c>
      <c r="R1056" s="189">
        <v>8.01</v>
      </c>
      <c r="S1056" s="189" t="s">
        <v>985</v>
      </c>
    </row>
    <row r="1057" spans="1:19" ht="14.25" customHeight="1" x14ac:dyDescent="0.3">
      <c r="A1057" s="182" t="s">
        <v>3012</v>
      </c>
      <c r="B1057" s="182" t="s">
        <v>908</v>
      </c>
      <c r="C1057" s="182" t="s">
        <v>1358</v>
      </c>
      <c r="D1057" s="182" t="s">
        <v>3025</v>
      </c>
      <c r="E1057" s="183" t="s">
        <v>3026</v>
      </c>
      <c r="F1057" s="183" t="s">
        <v>590</v>
      </c>
      <c r="G1057" s="184">
        <v>0.20560747663551401</v>
      </c>
      <c r="H1057" s="185">
        <v>0</v>
      </c>
      <c r="I1057" s="186">
        <v>115100</v>
      </c>
      <c r="J1057" s="187">
        <v>23665.420560747702</v>
      </c>
      <c r="K1057" s="182" t="s">
        <v>3017</v>
      </c>
      <c r="L1057" s="182">
        <v>4</v>
      </c>
      <c r="M1057" s="182" t="s">
        <v>3027</v>
      </c>
      <c r="N1057" s="186">
        <v>1</v>
      </c>
      <c r="O1057" s="188">
        <v>0.20560747663551401</v>
      </c>
      <c r="P1057" s="188">
        <v>107</v>
      </c>
      <c r="Q1057" s="188">
        <v>22</v>
      </c>
      <c r="R1057" s="189">
        <v>8.01</v>
      </c>
      <c r="S1057" s="189" t="s">
        <v>985</v>
      </c>
    </row>
    <row r="1058" spans="1:19" ht="14.25" customHeight="1" x14ac:dyDescent="0.3">
      <c r="A1058" s="182" t="s">
        <v>3012</v>
      </c>
      <c r="B1058" s="182" t="s">
        <v>937</v>
      </c>
      <c r="C1058" s="182" t="s">
        <v>938</v>
      </c>
      <c r="D1058" s="182" t="s">
        <v>939</v>
      </c>
      <c r="E1058" s="183" t="s">
        <v>940</v>
      </c>
      <c r="F1058" s="183" t="s">
        <v>941</v>
      </c>
      <c r="G1058" s="184">
        <v>0.11214953271028</v>
      </c>
      <c r="H1058" s="185">
        <v>0</v>
      </c>
      <c r="I1058" s="186">
        <v>60860.580776572002</v>
      </c>
      <c r="J1058" s="187">
        <v>6825.4856945687998</v>
      </c>
      <c r="K1058" s="182" t="s">
        <v>3028</v>
      </c>
      <c r="L1058" s="182">
        <v>1</v>
      </c>
      <c r="M1058" s="182" t="s">
        <v>3029</v>
      </c>
      <c r="N1058" s="186">
        <v>1</v>
      </c>
      <c r="O1058" s="188">
        <v>0.11214953271028</v>
      </c>
      <c r="P1058" s="188">
        <v>107</v>
      </c>
      <c r="Q1058" s="188">
        <v>12</v>
      </c>
      <c r="R1058" s="189">
        <v>8.01</v>
      </c>
      <c r="S1058" s="189" t="s">
        <v>985</v>
      </c>
    </row>
    <row r="1059" spans="1:19" ht="14.25" customHeight="1" x14ac:dyDescent="0.3">
      <c r="A1059" s="182" t="s">
        <v>3012</v>
      </c>
      <c r="B1059" s="182" t="s">
        <v>937</v>
      </c>
      <c r="C1059" s="182" t="s">
        <v>938</v>
      </c>
      <c r="D1059" s="190" t="s">
        <v>1291</v>
      </c>
      <c r="E1059" s="183" t="s">
        <v>1292</v>
      </c>
      <c r="F1059" s="183" t="s">
        <v>941</v>
      </c>
      <c r="G1059" s="184">
        <v>1.86915887850467E-2</v>
      </c>
      <c r="H1059" s="185">
        <v>0</v>
      </c>
      <c r="I1059" s="186">
        <v>65493.071636572</v>
      </c>
      <c r="J1059" s="187">
        <v>1224.1695633004099</v>
      </c>
      <c r="K1059" s="182" t="s">
        <v>3028</v>
      </c>
      <c r="L1059" s="182">
        <v>2</v>
      </c>
      <c r="M1059" s="182" t="s">
        <v>3030</v>
      </c>
      <c r="N1059" s="186">
        <v>1</v>
      </c>
      <c r="O1059" s="188">
        <v>1.86915887850467E-2</v>
      </c>
      <c r="P1059" s="188">
        <v>107</v>
      </c>
      <c r="Q1059" s="188">
        <v>2</v>
      </c>
      <c r="R1059" s="189">
        <v>8.01</v>
      </c>
      <c r="S1059" s="189" t="s">
        <v>985</v>
      </c>
    </row>
    <row r="1060" spans="1:19" ht="14.25" customHeight="1" x14ac:dyDescent="0.3">
      <c r="A1060" s="182" t="s">
        <v>3012</v>
      </c>
      <c r="B1060" s="182" t="s">
        <v>937</v>
      </c>
      <c r="C1060" s="182" t="s">
        <v>938</v>
      </c>
      <c r="D1060" s="190" t="s">
        <v>1375</v>
      </c>
      <c r="E1060" s="183" t="s">
        <v>1376</v>
      </c>
      <c r="F1060" s="183" t="s">
        <v>941</v>
      </c>
      <c r="G1060" s="184">
        <v>5.60747663551402E-2</v>
      </c>
      <c r="H1060" s="185">
        <v>0</v>
      </c>
      <c r="I1060" s="186">
        <v>76955.079706571996</v>
      </c>
      <c r="J1060" s="187">
        <v>4315.2381143872199</v>
      </c>
      <c r="K1060" s="182" t="s">
        <v>3028</v>
      </c>
      <c r="L1060" s="182">
        <v>3</v>
      </c>
      <c r="M1060" s="182" t="s">
        <v>3031</v>
      </c>
      <c r="N1060" s="186">
        <v>1</v>
      </c>
      <c r="O1060" s="188">
        <v>5.60747663551402E-2</v>
      </c>
      <c r="P1060" s="188">
        <v>107</v>
      </c>
      <c r="Q1060" s="188">
        <v>6</v>
      </c>
      <c r="R1060" s="189">
        <v>8.01</v>
      </c>
      <c r="S1060" s="189" t="s">
        <v>985</v>
      </c>
    </row>
    <row r="1061" spans="1:19" ht="14.25" customHeight="1" x14ac:dyDescent="0.3">
      <c r="A1061" s="182" t="s">
        <v>3032</v>
      </c>
      <c r="B1061" s="182" t="s">
        <v>563</v>
      </c>
      <c r="C1061" s="182"/>
      <c r="D1061" s="182" t="s">
        <v>3033</v>
      </c>
      <c r="E1061" s="183" t="s">
        <v>3034</v>
      </c>
      <c r="F1061" s="183"/>
      <c r="G1061" s="184">
        <v>1</v>
      </c>
      <c r="H1061" s="185">
        <v>0</v>
      </c>
      <c r="I1061" s="186">
        <v>429.44656213747601</v>
      </c>
      <c r="J1061" s="187">
        <v>429.44656213747601</v>
      </c>
      <c r="K1061" s="182" t="s">
        <v>3035</v>
      </c>
      <c r="L1061" s="182">
        <v>1</v>
      </c>
      <c r="M1061" s="182" t="s">
        <v>3036</v>
      </c>
      <c r="N1061" s="186">
        <v>1</v>
      </c>
      <c r="O1061" s="188">
        <v>1</v>
      </c>
      <c r="P1061" s="188">
        <v>258</v>
      </c>
      <c r="Q1061" s="188">
        <v>258</v>
      </c>
      <c r="R1061" s="189">
        <v>8.02</v>
      </c>
      <c r="S1061" s="189" t="s">
        <v>985</v>
      </c>
    </row>
    <row r="1062" spans="1:19" ht="14.25" customHeight="1" x14ac:dyDescent="0.3">
      <c r="A1062" s="182" t="s">
        <v>3032</v>
      </c>
      <c r="B1062" s="182" t="s">
        <v>908</v>
      </c>
      <c r="C1062" s="182" t="s">
        <v>909</v>
      </c>
      <c r="D1062" s="182" t="s">
        <v>1883</v>
      </c>
      <c r="E1062" s="183" t="s">
        <v>1884</v>
      </c>
      <c r="F1062" s="183" t="s">
        <v>590</v>
      </c>
      <c r="G1062" s="184">
        <v>0.15891472868217099</v>
      </c>
      <c r="H1062" s="185">
        <v>0</v>
      </c>
      <c r="I1062" s="186">
        <v>5330</v>
      </c>
      <c r="J1062" s="187">
        <v>847.01550387597104</v>
      </c>
      <c r="K1062" s="182" t="s">
        <v>3037</v>
      </c>
      <c r="L1062" s="182">
        <v>1</v>
      </c>
      <c r="M1062" s="182" t="s">
        <v>3038</v>
      </c>
      <c r="N1062" s="186">
        <v>1</v>
      </c>
      <c r="O1062" s="188">
        <v>0.15891472868217099</v>
      </c>
      <c r="P1062" s="188">
        <v>258</v>
      </c>
      <c r="Q1062" s="188">
        <v>41.000000000000099</v>
      </c>
      <c r="R1062" s="189">
        <v>8.02</v>
      </c>
      <c r="S1062" s="189" t="s">
        <v>985</v>
      </c>
    </row>
    <row r="1063" spans="1:19" ht="14.25" customHeight="1" x14ac:dyDescent="0.3">
      <c r="A1063" s="182" t="s">
        <v>3032</v>
      </c>
      <c r="B1063" s="182" t="s">
        <v>908</v>
      </c>
      <c r="C1063" s="182" t="s">
        <v>909</v>
      </c>
      <c r="D1063" s="182" t="s">
        <v>2410</v>
      </c>
      <c r="E1063" s="183" t="s">
        <v>2411</v>
      </c>
      <c r="F1063" s="183" t="s">
        <v>971</v>
      </c>
      <c r="G1063" s="184">
        <v>7.7519379844961198E-2</v>
      </c>
      <c r="H1063" s="185">
        <v>0</v>
      </c>
      <c r="I1063" s="186">
        <v>7809.48</v>
      </c>
      <c r="J1063" s="187">
        <v>605.38604651162802</v>
      </c>
      <c r="K1063" s="182" t="s">
        <v>3037</v>
      </c>
      <c r="L1063" s="182">
        <v>2</v>
      </c>
      <c r="M1063" s="182" t="s">
        <v>3039</v>
      </c>
      <c r="N1063" s="186">
        <v>1</v>
      </c>
      <c r="O1063" s="188">
        <v>7.7519379844961198E-2</v>
      </c>
      <c r="P1063" s="188">
        <v>258</v>
      </c>
      <c r="Q1063" s="188">
        <v>20</v>
      </c>
      <c r="R1063" s="189">
        <v>8.02</v>
      </c>
      <c r="S1063" s="189" t="s">
        <v>985</v>
      </c>
    </row>
    <row r="1064" spans="1:19" ht="14.25" customHeight="1" x14ac:dyDescent="0.3">
      <c r="A1064" s="182" t="s">
        <v>3032</v>
      </c>
      <c r="B1064" s="182" t="s">
        <v>908</v>
      </c>
      <c r="C1064" s="182" t="s">
        <v>909</v>
      </c>
      <c r="D1064" s="182" t="s">
        <v>3019</v>
      </c>
      <c r="E1064" s="183" t="s">
        <v>3020</v>
      </c>
      <c r="F1064" s="183" t="s">
        <v>2197</v>
      </c>
      <c r="G1064" s="184">
        <v>5.0000000000000001E-3</v>
      </c>
      <c r="H1064" s="185">
        <v>0</v>
      </c>
      <c r="I1064" s="186">
        <v>27000</v>
      </c>
      <c r="J1064" s="187">
        <v>135</v>
      </c>
      <c r="K1064" s="182" t="s">
        <v>3037</v>
      </c>
      <c r="L1064" s="182">
        <v>3</v>
      </c>
      <c r="M1064" s="182" t="s">
        <v>3040</v>
      </c>
      <c r="N1064" s="186">
        <v>1</v>
      </c>
      <c r="O1064" s="188">
        <v>5.0000000000000001E-3</v>
      </c>
      <c r="P1064" s="188">
        <v>258</v>
      </c>
      <c r="Q1064" s="188">
        <v>1.29</v>
      </c>
      <c r="R1064" s="189">
        <v>8.02</v>
      </c>
      <c r="S1064" s="189" t="s">
        <v>985</v>
      </c>
    </row>
    <row r="1065" spans="1:19" ht="14.25" customHeight="1" x14ac:dyDescent="0.3">
      <c r="A1065" s="182" t="s">
        <v>3032</v>
      </c>
      <c r="B1065" s="182" t="s">
        <v>908</v>
      </c>
      <c r="C1065" s="182" t="s">
        <v>909</v>
      </c>
      <c r="D1065" s="182" t="s">
        <v>3025</v>
      </c>
      <c r="E1065" s="183" t="s">
        <v>3026</v>
      </c>
      <c r="F1065" s="183" t="s">
        <v>590</v>
      </c>
      <c r="G1065" s="184">
        <v>0.15891472868217099</v>
      </c>
      <c r="H1065" s="185">
        <v>0</v>
      </c>
      <c r="I1065" s="186">
        <v>115100</v>
      </c>
      <c r="J1065" s="187">
        <v>18291.085271317901</v>
      </c>
      <c r="K1065" s="182" t="s">
        <v>3037</v>
      </c>
      <c r="L1065" s="182">
        <v>4</v>
      </c>
      <c r="M1065" s="182" t="s">
        <v>3041</v>
      </c>
      <c r="N1065" s="186">
        <v>1</v>
      </c>
      <c r="O1065" s="188">
        <v>0.15891472868217099</v>
      </c>
      <c r="P1065" s="188">
        <v>258</v>
      </c>
      <c r="Q1065" s="188">
        <v>41.000000000000099</v>
      </c>
      <c r="R1065" s="189">
        <v>8.02</v>
      </c>
      <c r="S1065" s="189" t="s">
        <v>985</v>
      </c>
    </row>
    <row r="1066" spans="1:19" ht="14.25" customHeight="1" x14ac:dyDescent="0.3">
      <c r="A1066" s="182" t="s">
        <v>3032</v>
      </c>
      <c r="B1066" s="182" t="s">
        <v>908</v>
      </c>
      <c r="C1066" s="182" t="s">
        <v>909</v>
      </c>
      <c r="D1066" s="182" t="s">
        <v>3042</v>
      </c>
      <c r="E1066" s="183" t="s">
        <v>3043</v>
      </c>
      <c r="F1066" s="183" t="s">
        <v>576</v>
      </c>
      <c r="G1066" s="184">
        <v>3.8759689922480598E-3</v>
      </c>
      <c r="H1066" s="185">
        <v>0</v>
      </c>
      <c r="I1066" s="186">
        <v>533000</v>
      </c>
      <c r="J1066" s="187">
        <v>2065.8914728682198</v>
      </c>
      <c r="K1066" s="182" t="s">
        <v>3037</v>
      </c>
      <c r="L1066" s="182">
        <v>5</v>
      </c>
      <c r="M1066" s="182" t="s">
        <v>3044</v>
      </c>
      <c r="N1066" s="186">
        <v>1</v>
      </c>
      <c r="O1066" s="188">
        <v>3.8759689922480598E-3</v>
      </c>
      <c r="P1066" s="188">
        <v>258</v>
      </c>
      <c r="Q1066" s="188">
        <v>0.999999999999999</v>
      </c>
      <c r="R1066" s="189">
        <v>8.02</v>
      </c>
      <c r="S1066" s="189" t="s">
        <v>985</v>
      </c>
    </row>
    <row r="1067" spans="1:19" ht="14.25" customHeight="1" x14ac:dyDescent="0.3">
      <c r="A1067" s="182" t="s">
        <v>3032</v>
      </c>
      <c r="B1067" s="182" t="s">
        <v>908</v>
      </c>
      <c r="C1067" s="182" t="s">
        <v>909</v>
      </c>
      <c r="D1067" s="182" t="s">
        <v>3045</v>
      </c>
      <c r="E1067" s="183" t="s">
        <v>2365</v>
      </c>
      <c r="F1067" s="183" t="s">
        <v>3046</v>
      </c>
      <c r="G1067" s="184">
        <v>3.8759689922480598E-3</v>
      </c>
      <c r="H1067" s="185">
        <v>0</v>
      </c>
      <c r="I1067" s="186">
        <v>25000</v>
      </c>
      <c r="J1067" s="187">
        <v>96.899224806201502</v>
      </c>
      <c r="K1067" s="182" t="s">
        <v>3037</v>
      </c>
      <c r="L1067" s="182">
        <v>6</v>
      </c>
      <c r="M1067" s="182" t="s">
        <v>3047</v>
      </c>
      <c r="N1067" s="186">
        <v>1</v>
      </c>
      <c r="O1067" s="188">
        <v>3.8759689922480598E-3</v>
      </c>
      <c r="P1067" s="188">
        <v>258</v>
      </c>
      <c r="Q1067" s="188">
        <v>0.999999999999999</v>
      </c>
      <c r="R1067" s="189">
        <v>8.02</v>
      </c>
      <c r="S1067" s="189" t="s">
        <v>985</v>
      </c>
    </row>
    <row r="1068" spans="1:19" ht="14.25" customHeight="1" x14ac:dyDescent="0.3">
      <c r="A1068" s="182" t="s">
        <v>3032</v>
      </c>
      <c r="B1068" s="182" t="s">
        <v>937</v>
      </c>
      <c r="C1068" s="182" t="s">
        <v>938</v>
      </c>
      <c r="D1068" s="182" t="s">
        <v>939</v>
      </c>
      <c r="E1068" s="183" t="s">
        <v>940</v>
      </c>
      <c r="F1068" s="183" t="s">
        <v>941</v>
      </c>
      <c r="G1068" s="184">
        <v>5.0387596899224799E-2</v>
      </c>
      <c r="H1068" s="185">
        <v>0</v>
      </c>
      <c r="I1068" s="186">
        <v>60860.580776572002</v>
      </c>
      <c r="J1068" s="187">
        <v>3066.6184112226201</v>
      </c>
      <c r="K1068" s="182" t="s">
        <v>3048</v>
      </c>
      <c r="L1068" s="182">
        <v>1</v>
      </c>
      <c r="M1068" s="182" t="s">
        <v>3049</v>
      </c>
      <c r="N1068" s="186">
        <v>1</v>
      </c>
      <c r="O1068" s="188">
        <v>5.0387596899224799E-2</v>
      </c>
      <c r="P1068" s="188">
        <v>258</v>
      </c>
      <c r="Q1068" s="188">
        <v>13</v>
      </c>
      <c r="R1068" s="189">
        <v>8.02</v>
      </c>
      <c r="S1068" s="189" t="s">
        <v>985</v>
      </c>
    </row>
    <row r="1069" spans="1:19" ht="14.25" customHeight="1" x14ac:dyDescent="0.3">
      <c r="A1069" s="182" t="s">
        <v>3032</v>
      </c>
      <c r="B1069" s="182" t="s">
        <v>937</v>
      </c>
      <c r="C1069" s="182" t="s">
        <v>938</v>
      </c>
      <c r="D1069" s="190" t="s">
        <v>944</v>
      </c>
      <c r="E1069" s="183" t="s">
        <v>945</v>
      </c>
      <c r="F1069" s="183" t="s">
        <v>941</v>
      </c>
      <c r="G1069" s="184">
        <v>3.8759689922480598E-3</v>
      </c>
      <c r="H1069" s="185">
        <v>0</v>
      </c>
      <c r="I1069" s="186">
        <v>85927.097156571996</v>
      </c>
      <c r="J1069" s="187">
        <v>333.05076417276001</v>
      </c>
      <c r="K1069" s="182" t="s">
        <v>3048</v>
      </c>
      <c r="L1069" s="182">
        <v>2</v>
      </c>
      <c r="M1069" s="182" t="s">
        <v>3050</v>
      </c>
      <c r="N1069" s="186">
        <v>1</v>
      </c>
      <c r="O1069" s="188">
        <v>3.8759689922480598E-3</v>
      </c>
      <c r="P1069" s="188">
        <v>258</v>
      </c>
      <c r="Q1069" s="188">
        <v>0.999999999999999</v>
      </c>
      <c r="R1069" s="189">
        <v>8.02</v>
      </c>
      <c r="S1069" s="189" t="s">
        <v>985</v>
      </c>
    </row>
    <row r="1070" spans="1:19" ht="14.25" customHeight="1" x14ac:dyDescent="0.3">
      <c r="A1070" s="182" t="s">
        <v>3032</v>
      </c>
      <c r="B1070" s="182" t="s">
        <v>937</v>
      </c>
      <c r="C1070" s="182" t="s">
        <v>938</v>
      </c>
      <c r="D1070" s="190" t="s">
        <v>1291</v>
      </c>
      <c r="E1070" s="183" t="s">
        <v>1292</v>
      </c>
      <c r="F1070" s="183" t="s">
        <v>941</v>
      </c>
      <c r="G1070" s="184">
        <v>7.7519379844961196E-3</v>
      </c>
      <c r="H1070" s="185">
        <v>0</v>
      </c>
      <c r="I1070" s="186">
        <v>65493.071636572</v>
      </c>
      <c r="J1070" s="187">
        <v>507.69822974086799</v>
      </c>
      <c r="K1070" s="182" t="s">
        <v>3048</v>
      </c>
      <c r="L1070" s="182">
        <v>3</v>
      </c>
      <c r="M1070" s="182" t="s">
        <v>3051</v>
      </c>
      <c r="N1070" s="186">
        <v>1</v>
      </c>
      <c r="O1070" s="188">
        <v>7.7519379844961196E-3</v>
      </c>
      <c r="P1070" s="188">
        <v>258</v>
      </c>
      <c r="Q1070" s="188">
        <v>2</v>
      </c>
      <c r="R1070" s="189">
        <v>8.02</v>
      </c>
      <c r="S1070" s="189" t="s">
        <v>985</v>
      </c>
    </row>
    <row r="1071" spans="1:19" ht="14.25" customHeight="1" x14ac:dyDescent="0.3">
      <c r="A1071" s="182" t="s">
        <v>3032</v>
      </c>
      <c r="B1071" s="182" t="s">
        <v>937</v>
      </c>
      <c r="C1071" s="182" t="s">
        <v>938</v>
      </c>
      <c r="D1071" s="190" t="s">
        <v>1375</v>
      </c>
      <c r="E1071" s="183" t="s">
        <v>1376</v>
      </c>
      <c r="F1071" s="183" t="s">
        <v>941</v>
      </c>
      <c r="G1071" s="184">
        <v>2.32558139534884E-2</v>
      </c>
      <c r="H1071" s="185">
        <v>0</v>
      </c>
      <c r="I1071" s="186">
        <v>76955.079706571996</v>
      </c>
      <c r="J1071" s="187">
        <v>1789.6530164319099</v>
      </c>
      <c r="K1071" s="182" t="s">
        <v>3048</v>
      </c>
      <c r="L1071" s="182">
        <v>4</v>
      </c>
      <c r="M1071" s="182" t="s">
        <v>3052</v>
      </c>
      <c r="N1071" s="186">
        <v>1</v>
      </c>
      <c r="O1071" s="188">
        <v>2.32558139534884E-2</v>
      </c>
      <c r="P1071" s="188">
        <v>258</v>
      </c>
      <c r="Q1071" s="188">
        <v>6.0000000000000098</v>
      </c>
      <c r="R1071" s="189">
        <v>8.02</v>
      </c>
      <c r="S1071" s="189" t="s">
        <v>985</v>
      </c>
    </row>
    <row r="1072" spans="1:19" ht="14.25" customHeight="1" x14ac:dyDescent="0.3">
      <c r="A1072" s="182" t="s">
        <v>3032</v>
      </c>
      <c r="B1072" s="182" t="s">
        <v>937</v>
      </c>
      <c r="C1072" s="182" t="s">
        <v>909</v>
      </c>
      <c r="D1072" s="182" t="s">
        <v>3053</v>
      </c>
      <c r="E1072" s="183" t="s">
        <v>2365</v>
      </c>
      <c r="F1072" s="183" t="s">
        <v>941</v>
      </c>
      <c r="G1072" s="184">
        <v>3.8759689922480598E-3</v>
      </c>
      <c r="H1072" s="185">
        <v>0</v>
      </c>
      <c r="I1072" s="186">
        <v>230000</v>
      </c>
      <c r="J1072" s="187">
        <v>891.47286821705404</v>
      </c>
      <c r="K1072" s="182" t="s">
        <v>3048</v>
      </c>
      <c r="L1072" s="182">
        <v>5</v>
      </c>
      <c r="M1072" s="182" t="s">
        <v>3054</v>
      </c>
      <c r="N1072" s="186">
        <v>1</v>
      </c>
      <c r="O1072" s="188">
        <v>3.8759689922480598E-3</v>
      </c>
      <c r="P1072" s="188">
        <v>258</v>
      </c>
      <c r="Q1072" s="188">
        <v>0.999999999999999</v>
      </c>
      <c r="R1072" s="189">
        <v>8.02</v>
      </c>
      <c r="S1072" s="189" t="s">
        <v>985</v>
      </c>
    </row>
    <row r="1073" spans="1:19" ht="14.25" customHeight="1" x14ac:dyDescent="0.3">
      <c r="A1073" s="182" t="s">
        <v>3055</v>
      </c>
      <c r="B1073" s="182" t="s">
        <v>563</v>
      </c>
      <c r="C1073" s="182"/>
      <c r="D1073" s="182" t="s">
        <v>952</v>
      </c>
      <c r="E1073" s="183" t="s">
        <v>953</v>
      </c>
      <c r="F1073" s="183"/>
      <c r="G1073" s="184">
        <v>1</v>
      </c>
      <c r="H1073" s="185">
        <v>0</v>
      </c>
      <c r="I1073" s="186">
        <v>2287.1357450968098</v>
      </c>
      <c r="J1073" s="187">
        <v>2287.1357450968098</v>
      </c>
      <c r="K1073" s="182" t="s">
        <v>3056</v>
      </c>
      <c r="L1073" s="182">
        <v>1</v>
      </c>
      <c r="M1073" s="182" t="s">
        <v>3057</v>
      </c>
      <c r="N1073" s="186">
        <v>35</v>
      </c>
      <c r="O1073" s="188">
        <v>1</v>
      </c>
      <c r="P1073" s="188">
        <v>425</v>
      </c>
      <c r="Q1073" s="188">
        <v>425</v>
      </c>
      <c r="R1073" s="189">
        <v>8.0299999999999994</v>
      </c>
      <c r="S1073" s="189" t="s">
        <v>985</v>
      </c>
    </row>
    <row r="1074" spans="1:19" ht="14.25" customHeight="1" x14ac:dyDescent="0.3">
      <c r="A1074" s="182" t="s">
        <v>3055</v>
      </c>
      <c r="B1074" s="182" t="s">
        <v>563</v>
      </c>
      <c r="C1074" s="182"/>
      <c r="D1074" s="182" t="s">
        <v>955</v>
      </c>
      <c r="E1074" s="183" t="s">
        <v>956</v>
      </c>
      <c r="F1074" s="183"/>
      <c r="G1074" s="184">
        <v>2</v>
      </c>
      <c r="H1074" s="185">
        <v>0</v>
      </c>
      <c r="I1074" s="186">
        <v>957.25319614994703</v>
      </c>
      <c r="J1074" s="187">
        <v>1914.5063922999</v>
      </c>
      <c r="K1074" s="182" t="s">
        <v>3056</v>
      </c>
      <c r="L1074" s="182">
        <v>2</v>
      </c>
      <c r="M1074" s="182" t="s">
        <v>3058</v>
      </c>
      <c r="N1074" s="186">
        <v>35</v>
      </c>
      <c r="O1074" s="188">
        <v>2</v>
      </c>
      <c r="P1074" s="188">
        <v>425</v>
      </c>
      <c r="Q1074" s="188">
        <v>850</v>
      </c>
      <c r="R1074" s="189">
        <v>8.0299999999999994</v>
      </c>
      <c r="S1074" s="189" t="s">
        <v>985</v>
      </c>
    </row>
    <row r="1075" spans="1:19" ht="14.25" customHeight="1" x14ac:dyDescent="0.3">
      <c r="A1075" s="182" t="s">
        <v>3055</v>
      </c>
      <c r="B1075" s="182" t="s">
        <v>908</v>
      </c>
      <c r="C1075" s="182" t="s">
        <v>909</v>
      </c>
      <c r="D1075" s="182" t="s">
        <v>1190</v>
      </c>
      <c r="E1075" s="183" t="s">
        <v>1191</v>
      </c>
      <c r="F1075" s="183" t="s">
        <v>912</v>
      </c>
      <c r="G1075" s="184">
        <v>2.4499999999999999E-3</v>
      </c>
      <c r="H1075" s="185">
        <v>0.05</v>
      </c>
      <c r="I1075" s="186">
        <v>252066.115702479</v>
      </c>
      <c r="J1075" s="187">
        <v>648.44008264462695</v>
      </c>
      <c r="K1075" s="182" t="s">
        <v>3059</v>
      </c>
      <c r="L1075" s="182">
        <v>1</v>
      </c>
      <c r="M1075" s="182" t="s">
        <v>3060</v>
      </c>
      <c r="N1075" s="186">
        <v>35</v>
      </c>
      <c r="O1075" s="188">
        <v>2.4499999999999999E-3</v>
      </c>
      <c r="P1075" s="188">
        <v>425</v>
      </c>
      <c r="Q1075" s="188">
        <v>1.04125</v>
      </c>
      <c r="R1075" s="189">
        <v>8.0299999999999994</v>
      </c>
      <c r="S1075" s="189" t="s">
        <v>985</v>
      </c>
    </row>
    <row r="1076" spans="1:19" ht="14.25" customHeight="1" x14ac:dyDescent="0.3">
      <c r="A1076" s="182" t="s">
        <v>3055</v>
      </c>
      <c r="B1076" s="182" t="s">
        <v>908</v>
      </c>
      <c r="C1076" s="182" t="s">
        <v>909</v>
      </c>
      <c r="D1076" s="182" t="s">
        <v>962</v>
      </c>
      <c r="E1076" s="183" t="s">
        <v>963</v>
      </c>
      <c r="F1076" s="183" t="s">
        <v>590</v>
      </c>
      <c r="G1076" s="184">
        <v>5.9499999999999997E-2</v>
      </c>
      <c r="H1076" s="185">
        <v>0.1</v>
      </c>
      <c r="I1076" s="186">
        <v>32399.77</v>
      </c>
      <c r="J1076" s="187">
        <v>2120.5649465000001</v>
      </c>
      <c r="K1076" s="182" t="s">
        <v>3059</v>
      </c>
      <c r="L1076" s="182">
        <v>2</v>
      </c>
      <c r="M1076" s="182" t="s">
        <v>3061</v>
      </c>
      <c r="N1076" s="186">
        <v>35</v>
      </c>
      <c r="O1076" s="188">
        <v>5.9499999999999997E-2</v>
      </c>
      <c r="P1076" s="188">
        <v>425</v>
      </c>
      <c r="Q1076" s="188">
        <v>25.287500000000001</v>
      </c>
      <c r="R1076" s="189">
        <v>8.0299999999999994</v>
      </c>
      <c r="S1076" s="189" t="s">
        <v>985</v>
      </c>
    </row>
    <row r="1077" spans="1:19" ht="14.25" customHeight="1" x14ac:dyDescent="0.3">
      <c r="A1077" s="182" t="s">
        <v>3055</v>
      </c>
      <c r="B1077" s="182" t="s">
        <v>908</v>
      </c>
      <c r="C1077" s="182" t="s">
        <v>909</v>
      </c>
      <c r="D1077" s="182" t="s">
        <v>965</v>
      </c>
      <c r="E1077" s="183" t="s">
        <v>966</v>
      </c>
      <c r="F1077" s="183" t="s">
        <v>967</v>
      </c>
      <c r="G1077" s="184">
        <v>0.42</v>
      </c>
      <c r="H1077" s="185">
        <v>0.1</v>
      </c>
      <c r="I1077" s="186">
        <v>7809.48</v>
      </c>
      <c r="J1077" s="187">
        <v>3607.9797600000002</v>
      </c>
      <c r="K1077" s="182" t="s">
        <v>3059</v>
      </c>
      <c r="L1077" s="182">
        <v>3</v>
      </c>
      <c r="M1077" s="182" t="s">
        <v>3062</v>
      </c>
      <c r="N1077" s="186">
        <v>35</v>
      </c>
      <c r="O1077" s="188">
        <v>0.42</v>
      </c>
      <c r="P1077" s="188">
        <v>425</v>
      </c>
      <c r="Q1077" s="188">
        <v>178.5</v>
      </c>
      <c r="R1077" s="189">
        <v>8.0299999999999994</v>
      </c>
      <c r="S1077" s="189" t="s">
        <v>985</v>
      </c>
    </row>
    <row r="1078" spans="1:19" ht="14.25" customHeight="1" x14ac:dyDescent="0.3">
      <c r="A1078" s="182" t="s">
        <v>3055</v>
      </c>
      <c r="B1078" s="182" t="s">
        <v>908</v>
      </c>
      <c r="C1078" s="182" t="s">
        <v>909</v>
      </c>
      <c r="D1078" s="182" t="s">
        <v>969</v>
      </c>
      <c r="E1078" s="183" t="s">
        <v>970</v>
      </c>
      <c r="F1078" s="183" t="s">
        <v>971</v>
      </c>
      <c r="G1078" s="184">
        <v>0.14000000000000001</v>
      </c>
      <c r="H1078" s="185">
        <v>0.1</v>
      </c>
      <c r="I1078" s="186">
        <v>3837.96</v>
      </c>
      <c r="J1078" s="187">
        <v>591.04584</v>
      </c>
      <c r="K1078" s="182" t="s">
        <v>3059</v>
      </c>
      <c r="L1078" s="182">
        <v>4</v>
      </c>
      <c r="M1078" s="182" t="s">
        <v>3063</v>
      </c>
      <c r="N1078" s="186">
        <v>35</v>
      </c>
      <c r="O1078" s="188">
        <v>0.14000000000000001</v>
      </c>
      <c r="P1078" s="188">
        <v>425</v>
      </c>
      <c r="Q1078" s="188">
        <v>59.5</v>
      </c>
      <c r="R1078" s="189">
        <v>8.0299999999999994</v>
      </c>
      <c r="S1078" s="189" t="s">
        <v>985</v>
      </c>
    </row>
    <row r="1079" spans="1:19" ht="14.25" customHeight="1" x14ac:dyDescent="0.3">
      <c r="A1079" s="182" t="s">
        <v>3055</v>
      </c>
      <c r="B1079" s="182" t="s">
        <v>937</v>
      </c>
      <c r="C1079" s="182" t="s">
        <v>938</v>
      </c>
      <c r="D1079" s="190" t="s">
        <v>939</v>
      </c>
      <c r="E1079" s="183" t="s">
        <v>940</v>
      </c>
      <c r="F1079" s="183" t="s">
        <v>941</v>
      </c>
      <c r="G1079" s="184">
        <v>3</v>
      </c>
      <c r="H1079" s="185">
        <v>0</v>
      </c>
      <c r="I1079" s="186">
        <v>60860.580776572002</v>
      </c>
      <c r="J1079" s="187">
        <v>182581.74232971601</v>
      </c>
      <c r="K1079" s="182" t="s">
        <v>3064</v>
      </c>
      <c r="L1079" s="182">
        <v>1</v>
      </c>
      <c r="M1079" s="182" t="s">
        <v>3065</v>
      </c>
      <c r="N1079" s="186">
        <v>35</v>
      </c>
      <c r="O1079" s="188">
        <v>8.5714285714285701E-2</v>
      </c>
      <c r="P1079" s="188">
        <v>425</v>
      </c>
      <c r="Q1079" s="188">
        <v>36.428571428571402</v>
      </c>
      <c r="R1079" s="189">
        <v>8.0299999999999994</v>
      </c>
      <c r="S1079" s="189" t="s">
        <v>985</v>
      </c>
    </row>
    <row r="1080" spans="1:19" ht="14.25" customHeight="1" x14ac:dyDescent="0.3">
      <c r="A1080" s="182" t="s">
        <v>3055</v>
      </c>
      <c r="B1080" s="182" t="s">
        <v>937</v>
      </c>
      <c r="C1080" s="182" t="s">
        <v>938</v>
      </c>
      <c r="D1080" s="190" t="s">
        <v>944</v>
      </c>
      <c r="E1080" s="183" t="s">
        <v>945</v>
      </c>
      <c r="F1080" s="183" t="s">
        <v>941</v>
      </c>
      <c r="G1080" s="184">
        <v>2</v>
      </c>
      <c r="H1080" s="185">
        <v>0</v>
      </c>
      <c r="I1080" s="186">
        <v>85927.097156571996</v>
      </c>
      <c r="J1080" s="187">
        <v>171854.19431314399</v>
      </c>
      <c r="K1080" s="182" t="s">
        <v>3064</v>
      </c>
      <c r="L1080" s="182">
        <v>2</v>
      </c>
      <c r="M1080" s="182" t="s">
        <v>3066</v>
      </c>
      <c r="N1080" s="186">
        <v>35</v>
      </c>
      <c r="O1080" s="188">
        <v>5.7142857142857099E-2</v>
      </c>
      <c r="P1080" s="188">
        <v>425</v>
      </c>
      <c r="Q1080" s="188">
        <v>24.285714285714299</v>
      </c>
      <c r="R1080" s="189">
        <v>8.0299999999999994</v>
      </c>
      <c r="S1080" s="189" t="s">
        <v>985</v>
      </c>
    </row>
    <row r="1081" spans="1:19" ht="14.25" customHeight="1" x14ac:dyDescent="0.3">
      <c r="A1081" s="182" t="s">
        <v>3067</v>
      </c>
      <c r="B1081" s="182" t="s">
        <v>563</v>
      </c>
      <c r="C1081" s="182"/>
      <c r="D1081" s="182" t="s">
        <v>3068</v>
      </c>
      <c r="E1081" s="183" t="s">
        <v>3069</v>
      </c>
      <c r="F1081" s="183"/>
      <c r="G1081" s="184">
        <v>1</v>
      </c>
      <c r="H1081" s="185">
        <v>0</v>
      </c>
      <c r="I1081" s="186">
        <v>447.47765896838598</v>
      </c>
      <c r="J1081" s="187">
        <v>447.47765896838598</v>
      </c>
      <c r="K1081" s="182" t="s">
        <v>3070</v>
      </c>
      <c r="L1081" s="182">
        <v>1</v>
      </c>
      <c r="M1081" s="182" t="s">
        <v>3071</v>
      </c>
      <c r="N1081" s="186">
        <v>1</v>
      </c>
      <c r="O1081" s="188">
        <v>1</v>
      </c>
      <c r="P1081" s="188">
        <v>200</v>
      </c>
      <c r="Q1081" s="188">
        <v>200</v>
      </c>
      <c r="R1081" s="189">
        <v>8.0399999999999991</v>
      </c>
      <c r="S1081" s="189" t="s">
        <v>985</v>
      </c>
    </row>
    <row r="1082" spans="1:19" ht="14.25" customHeight="1" x14ac:dyDescent="0.3">
      <c r="A1082" s="182" t="s">
        <v>3067</v>
      </c>
      <c r="B1082" s="182" t="s">
        <v>908</v>
      </c>
      <c r="C1082" s="182" t="s">
        <v>1358</v>
      </c>
      <c r="D1082" s="182" t="s">
        <v>3072</v>
      </c>
      <c r="E1082" s="183" t="s">
        <v>3073</v>
      </c>
      <c r="F1082" s="183" t="s">
        <v>2284</v>
      </c>
      <c r="G1082" s="184">
        <v>1.4999999999999999E-2</v>
      </c>
      <c r="H1082" s="185">
        <v>0</v>
      </c>
      <c r="I1082" s="186">
        <v>20000</v>
      </c>
      <c r="J1082" s="187">
        <v>300</v>
      </c>
      <c r="K1082" s="182" t="s">
        <v>3074</v>
      </c>
      <c r="L1082" s="182">
        <v>1</v>
      </c>
      <c r="M1082" s="182" t="s">
        <v>3075</v>
      </c>
      <c r="N1082" s="186">
        <v>1</v>
      </c>
      <c r="O1082" s="188">
        <v>1.4999999999999999E-2</v>
      </c>
      <c r="P1082" s="188">
        <v>200</v>
      </c>
      <c r="Q1082" s="188">
        <v>3</v>
      </c>
      <c r="R1082" s="189">
        <v>8.0399999999999991</v>
      </c>
      <c r="S1082" s="189" t="s">
        <v>985</v>
      </c>
    </row>
    <row r="1083" spans="1:19" ht="14.25" customHeight="1" x14ac:dyDescent="0.3">
      <c r="A1083" s="182" t="s">
        <v>3067</v>
      </c>
      <c r="B1083" s="182" t="s">
        <v>908</v>
      </c>
      <c r="C1083" s="182" t="s">
        <v>909</v>
      </c>
      <c r="D1083" s="182" t="s">
        <v>1883</v>
      </c>
      <c r="E1083" s="183" t="s">
        <v>1884</v>
      </c>
      <c r="F1083" s="183" t="s">
        <v>590</v>
      </c>
      <c r="G1083" s="184">
        <v>0.16500000000000001</v>
      </c>
      <c r="H1083" s="185">
        <v>0</v>
      </c>
      <c r="I1083" s="186">
        <v>5330</v>
      </c>
      <c r="J1083" s="187">
        <v>879.45</v>
      </c>
      <c r="K1083" s="182" t="s">
        <v>3074</v>
      </c>
      <c r="L1083" s="182">
        <v>2</v>
      </c>
      <c r="M1083" s="182" t="s">
        <v>3076</v>
      </c>
      <c r="N1083" s="186">
        <v>1</v>
      </c>
      <c r="O1083" s="188">
        <v>0.16500000000000001</v>
      </c>
      <c r="P1083" s="188">
        <v>200</v>
      </c>
      <c r="Q1083" s="188">
        <v>33</v>
      </c>
      <c r="R1083" s="189">
        <v>8.0399999999999991</v>
      </c>
      <c r="S1083" s="189" t="s">
        <v>985</v>
      </c>
    </row>
    <row r="1084" spans="1:19" ht="14.25" customHeight="1" x14ac:dyDescent="0.3">
      <c r="A1084" s="182" t="s">
        <v>3067</v>
      </c>
      <c r="B1084" s="182" t="s">
        <v>908</v>
      </c>
      <c r="C1084" s="182" t="s">
        <v>909</v>
      </c>
      <c r="D1084" s="182" t="s">
        <v>3042</v>
      </c>
      <c r="E1084" s="183" t="s">
        <v>3043</v>
      </c>
      <c r="F1084" s="183" t="s">
        <v>576</v>
      </c>
      <c r="G1084" s="184">
        <v>5.0000000000000001E-3</v>
      </c>
      <c r="H1084" s="185">
        <v>0</v>
      </c>
      <c r="I1084" s="186">
        <v>533000</v>
      </c>
      <c r="J1084" s="187">
        <v>2665</v>
      </c>
      <c r="K1084" s="182" t="s">
        <v>3074</v>
      </c>
      <c r="L1084" s="182">
        <v>3</v>
      </c>
      <c r="M1084" s="182" t="s">
        <v>3077</v>
      </c>
      <c r="N1084" s="186">
        <v>1</v>
      </c>
      <c r="O1084" s="188">
        <v>5.0000000000000001E-3</v>
      </c>
      <c r="P1084" s="188">
        <v>200</v>
      </c>
      <c r="Q1084" s="188">
        <v>1</v>
      </c>
      <c r="R1084" s="189">
        <v>8.0399999999999991</v>
      </c>
      <c r="S1084" s="189" t="s">
        <v>985</v>
      </c>
    </row>
    <row r="1085" spans="1:19" ht="14.25" customHeight="1" x14ac:dyDescent="0.3">
      <c r="A1085" s="182" t="s">
        <v>3067</v>
      </c>
      <c r="B1085" s="182" t="s">
        <v>908</v>
      </c>
      <c r="C1085" s="182" t="s">
        <v>909</v>
      </c>
      <c r="D1085" s="182" t="s">
        <v>3078</v>
      </c>
      <c r="E1085" s="183" t="s">
        <v>3079</v>
      </c>
      <c r="F1085" s="183" t="s">
        <v>590</v>
      </c>
      <c r="G1085" s="184">
        <v>0.16500000000000001</v>
      </c>
      <c r="H1085" s="185">
        <v>0</v>
      </c>
      <c r="I1085" s="186">
        <v>125000</v>
      </c>
      <c r="J1085" s="187">
        <v>20625</v>
      </c>
      <c r="K1085" s="182" t="s">
        <v>3074</v>
      </c>
      <c r="L1085" s="182">
        <v>4</v>
      </c>
      <c r="M1085" s="182" t="s">
        <v>3080</v>
      </c>
      <c r="N1085" s="186">
        <v>1</v>
      </c>
      <c r="O1085" s="188">
        <v>0.16500000000000001</v>
      </c>
      <c r="P1085" s="188">
        <v>200</v>
      </c>
      <c r="Q1085" s="188">
        <v>33</v>
      </c>
      <c r="R1085" s="189">
        <v>8.0399999999999991</v>
      </c>
      <c r="S1085" s="189" t="s">
        <v>985</v>
      </c>
    </row>
    <row r="1086" spans="1:19" ht="14.25" customHeight="1" x14ac:dyDescent="0.3">
      <c r="A1086" s="182" t="s">
        <v>3067</v>
      </c>
      <c r="B1086" s="182" t="s">
        <v>937</v>
      </c>
      <c r="C1086" s="182" t="s">
        <v>938</v>
      </c>
      <c r="D1086" s="182" t="s">
        <v>939</v>
      </c>
      <c r="E1086" s="183" t="s">
        <v>940</v>
      </c>
      <c r="F1086" s="183" t="s">
        <v>941</v>
      </c>
      <c r="G1086" s="184">
        <v>4.4999999999999998E-2</v>
      </c>
      <c r="H1086" s="185">
        <v>0</v>
      </c>
      <c r="I1086" s="186">
        <v>60860.580776572002</v>
      </c>
      <c r="J1086" s="187">
        <v>2738.7261349457399</v>
      </c>
      <c r="K1086" s="182" t="s">
        <v>3081</v>
      </c>
      <c r="L1086" s="182">
        <v>1</v>
      </c>
      <c r="M1086" s="182" t="s">
        <v>3082</v>
      </c>
      <c r="N1086" s="186">
        <v>1</v>
      </c>
      <c r="O1086" s="188">
        <v>4.4999999999999998E-2</v>
      </c>
      <c r="P1086" s="188">
        <v>200</v>
      </c>
      <c r="Q1086" s="188">
        <v>9</v>
      </c>
      <c r="R1086" s="189">
        <v>8.0399999999999991</v>
      </c>
      <c r="S1086" s="189" t="s">
        <v>985</v>
      </c>
    </row>
    <row r="1087" spans="1:19" ht="14.25" customHeight="1" x14ac:dyDescent="0.3">
      <c r="A1087" s="182" t="s">
        <v>3067</v>
      </c>
      <c r="B1087" s="182" t="s">
        <v>937</v>
      </c>
      <c r="C1087" s="182" t="s">
        <v>938</v>
      </c>
      <c r="D1087" s="190" t="s">
        <v>944</v>
      </c>
      <c r="E1087" s="183" t="s">
        <v>945</v>
      </c>
      <c r="F1087" s="183" t="s">
        <v>941</v>
      </c>
      <c r="G1087" s="184">
        <v>5.0000000000000001E-3</v>
      </c>
      <c r="H1087" s="185">
        <v>0</v>
      </c>
      <c r="I1087" s="186">
        <v>85927.097156571996</v>
      </c>
      <c r="J1087" s="187">
        <v>429.63548578285997</v>
      </c>
      <c r="K1087" s="182" t="s">
        <v>3081</v>
      </c>
      <c r="L1087" s="182">
        <v>2</v>
      </c>
      <c r="M1087" s="182" t="s">
        <v>3083</v>
      </c>
      <c r="N1087" s="186">
        <v>1</v>
      </c>
      <c r="O1087" s="188">
        <v>5.0000000000000001E-3</v>
      </c>
      <c r="P1087" s="188">
        <v>200</v>
      </c>
      <c r="Q1087" s="188">
        <v>1</v>
      </c>
      <c r="R1087" s="189">
        <v>8.0399999999999991</v>
      </c>
      <c r="S1087" s="189" t="s">
        <v>985</v>
      </c>
    </row>
    <row r="1088" spans="1:19" ht="14.25" customHeight="1" x14ac:dyDescent="0.3">
      <c r="A1088" s="182" t="s">
        <v>3067</v>
      </c>
      <c r="B1088" s="182" t="s">
        <v>937</v>
      </c>
      <c r="C1088" s="182" t="s">
        <v>938</v>
      </c>
      <c r="D1088" s="190" t="s">
        <v>1291</v>
      </c>
      <c r="E1088" s="183" t="s">
        <v>1292</v>
      </c>
      <c r="F1088" s="183" t="s">
        <v>941</v>
      </c>
      <c r="G1088" s="184">
        <v>0.01</v>
      </c>
      <c r="H1088" s="185">
        <v>0</v>
      </c>
      <c r="I1088" s="186">
        <v>65493.071636572</v>
      </c>
      <c r="J1088" s="187">
        <v>654.93071636571995</v>
      </c>
      <c r="K1088" s="182" t="s">
        <v>3081</v>
      </c>
      <c r="L1088" s="182">
        <v>3</v>
      </c>
      <c r="M1088" s="182" t="s">
        <v>3084</v>
      </c>
      <c r="N1088" s="186">
        <v>1</v>
      </c>
      <c r="O1088" s="188">
        <v>0.01</v>
      </c>
      <c r="P1088" s="188">
        <v>200</v>
      </c>
      <c r="Q1088" s="188">
        <v>2</v>
      </c>
      <c r="R1088" s="189">
        <v>8.0399999999999991</v>
      </c>
      <c r="S1088" s="189" t="s">
        <v>985</v>
      </c>
    </row>
    <row r="1089" spans="1:19" ht="14.25" customHeight="1" x14ac:dyDescent="0.3">
      <c r="A1089" s="182" t="s">
        <v>3067</v>
      </c>
      <c r="B1089" s="182" t="s">
        <v>937</v>
      </c>
      <c r="C1089" s="182" t="s">
        <v>938</v>
      </c>
      <c r="D1089" s="190" t="s">
        <v>1375</v>
      </c>
      <c r="E1089" s="183" t="s">
        <v>1376</v>
      </c>
      <c r="F1089" s="183" t="s">
        <v>941</v>
      </c>
      <c r="G1089" s="184">
        <v>0.02</v>
      </c>
      <c r="H1089" s="185">
        <v>0</v>
      </c>
      <c r="I1089" s="186">
        <v>76955.079706571996</v>
      </c>
      <c r="J1089" s="187">
        <v>1539.1015941314399</v>
      </c>
      <c r="K1089" s="182" t="s">
        <v>3081</v>
      </c>
      <c r="L1089" s="182">
        <v>4</v>
      </c>
      <c r="M1089" s="182" t="s">
        <v>3085</v>
      </c>
      <c r="N1089" s="186">
        <v>1</v>
      </c>
      <c r="O1089" s="188">
        <v>0.02</v>
      </c>
      <c r="P1089" s="188">
        <v>200</v>
      </c>
      <c r="Q1089" s="188">
        <v>4</v>
      </c>
      <c r="R1089" s="189">
        <v>8.0399999999999991</v>
      </c>
      <c r="S1089" s="189" t="s">
        <v>985</v>
      </c>
    </row>
    <row r="1090" spans="1:19" ht="14.25" customHeight="1" x14ac:dyDescent="0.3">
      <c r="A1090" s="182" t="s">
        <v>3086</v>
      </c>
      <c r="B1090" s="182" t="s">
        <v>563</v>
      </c>
      <c r="C1090" s="182"/>
      <c r="D1090" s="182" t="s">
        <v>3087</v>
      </c>
      <c r="E1090" s="183" t="s">
        <v>3088</v>
      </c>
      <c r="F1090" s="183"/>
      <c r="G1090" s="184">
        <v>1</v>
      </c>
      <c r="H1090" s="185">
        <v>0</v>
      </c>
      <c r="I1090" s="186">
        <v>349.45779149966802</v>
      </c>
      <c r="J1090" s="187">
        <v>349.45779149966802</v>
      </c>
      <c r="K1090" s="182" t="s">
        <v>3089</v>
      </c>
      <c r="L1090" s="182">
        <v>1</v>
      </c>
      <c r="M1090" s="182" t="s">
        <v>3090</v>
      </c>
      <c r="N1090" s="186">
        <v>1</v>
      </c>
      <c r="O1090" s="188">
        <v>1</v>
      </c>
      <c r="P1090" s="188">
        <v>77</v>
      </c>
      <c r="Q1090" s="188">
        <v>77</v>
      </c>
      <c r="R1090" s="189">
        <v>8.0500000000000007</v>
      </c>
      <c r="S1090" s="189" t="s">
        <v>985</v>
      </c>
    </row>
    <row r="1091" spans="1:19" ht="14.25" customHeight="1" x14ac:dyDescent="0.3">
      <c r="A1091" s="182" t="s">
        <v>3086</v>
      </c>
      <c r="B1091" s="182" t="s">
        <v>908</v>
      </c>
      <c r="C1091" s="182" t="s">
        <v>1358</v>
      </c>
      <c r="D1091" s="182" t="s">
        <v>2410</v>
      </c>
      <c r="E1091" s="183" t="s">
        <v>2411</v>
      </c>
      <c r="F1091" s="183" t="s">
        <v>971</v>
      </c>
      <c r="G1091" s="184">
        <v>0.45454545454545497</v>
      </c>
      <c r="H1091" s="185">
        <v>0</v>
      </c>
      <c r="I1091" s="186">
        <v>7809.48</v>
      </c>
      <c r="J1091" s="187">
        <v>3549.7636363636402</v>
      </c>
      <c r="K1091" s="182" t="s">
        <v>3091</v>
      </c>
      <c r="L1091" s="182">
        <v>1</v>
      </c>
      <c r="M1091" s="182" t="s">
        <v>3092</v>
      </c>
      <c r="N1091" s="186">
        <v>1</v>
      </c>
      <c r="O1091" s="188">
        <v>0.45454545454545497</v>
      </c>
      <c r="P1091" s="188">
        <v>77</v>
      </c>
      <c r="Q1091" s="188">
        <v>35</v>
      </c>
      <c r="R1091" s="189">
        <v>8.0500000000000007</v>
      </c>
      <c r="S1091" s="189" t="s">
        <v>985</v>
      </c>
    </row>
    <row r="1092" spans="1:19" ht="14.25" customHeight="1" x14ac:dyDescent="0.3">
      <c r="A1092" s="182" t="s">
        <v>3086</v>
      </c>
      <c r="B1092" s="182" t="s">
        <v>908</v>
      </c>
      <c r="C1092" s="182" t="s">
        <v>1358</v>
      </c>
      <c r="D1092" s="182" t="s">
        <v>3093</v>
      </c>
      <c r="E1092" s="183" t="s">
        <v>3094</v>
      </c>
      <c r="F1092" s="183" t="s">
        <v>576</v>
      </c>
      <c r="G1092" s="184">
        <v>5.1948051948052E-2</v>
      </c>
      <c r="H1092" s="185">
        <v>0</v>
      </c>
      <c r="I1092" s="186">
        <v>57771</v>
      </c>
      <c r="J1092" s="187">
        <v>3001.0909090909099</v>
      </c>
      <c r="K1092" s="182" t="s">
        <v>3091</v>
      </c>
      <c r="L1092" s="182">
        <v>2</v>
      </c>
      <c r="M1092" s="182" t="s">
        <v>3095</v>
      </c>
      <c r="N1092" s="186">
        <v>1</v>
      </c>
      <c r="O1092" s="188">
        <v>5.1948051948052E-2</v>
      </c>
      <c r="P1092" s="188">
        <v>77</v>
      </c>
      <c r="Q1092" s="188">
        <v>4</v>
      </c>
      <c r="R1092" s="189">
        <v>8.0500000000000007</v>
      </c>
      <c r="S1092" s="189" t="s">
        <v>985</v>
      </c>
    </row>
    <row r="1093" spans="1:19" ht="14.25" customHeight="1" x14ac:dyDescent="0.3">
      <c r="A1093" s="182" t="s">
        <v>3086</v>
      </c>
      <c r="B1093" s="182" t="s">
        <v>908</v>
      </c>
      <c r="C1093" s="182" t="s">
        <v>1358</v>
      </c>
      <c r="D1093" s="182" t="s">
        <v>3096</v>
      </c>
      <c r="E1093" s="183" t="s">
        <v>3097</v>
      </c>
      <c r="F1093" s="183" t="s">
        <v>590</v>
      </c>
      <c r="G1093" s="184">
        <v>5.1948051948052E-2</v>
      </c>
      <c r="H1093" s="185">
        <v>0</v>
      </c>
      <c r="I1093" s="186">
        <v>32399.77</v>
      </c>
      <c r="J1093" s="187">
        <v>1683.10493506494</v>
      </c>
      <c r="K1093" s="182" t="s">
        <v>3091</v>
      </c>
      <c r="L1093" s="182">
        <v>3</v>
      </c>
      <c r="M1093" s="182" t="s">
        <v>3098</v>
      </c>
      <c r="N1093" s="186">
        <v>1</v>
      </c>
      <c r="O1093" s="188">
        <v>5.1948051948052E-2</v>
      </c>
      <c r="P1093" s="188">
        <v>77</v>
      </c>
      <c r="Q1093" s="188">
        <v>4</v>
      </c>
      <c r="R1093" s="189">
        <v>8.0500000000000007</v>
      </c>
      <c r="S1093" s="189" t="s">
        <v>985</v>
      </c>
    </row>
    <row r="1094" spans="1:19" ht="14.25" customHeight="1" x14ac:dyDescent="0.3">
      <c r="A1094" s="182" t="s">
        <v>3086</v>
      </c>
      <c r="B1094" s="182" t="s">
        <v>937</v>
      </c>
      <c r="C1094" s="182" t="s">
        <v>938</v>
      </c>
      <c r="D1094" s="182" t="s">
        <v>939</v>
      </c>
      <c r="E1094" s="183" t="s">
        <v>940</v>
      </c>
      <c r="F1094" s="183" t="s">
        <v>941</v>
      </c>
      <c r="G1094" s="184">
        <v>0.18181818181818199</v>
      </c>
      <c r="H1094" s="185">
        <v>0</v>
      </c>
      <c r="I1094" s="186">
        <v>60860.580776572002</v>
      </c>
      <c r="J1094" s="187">
        <v>11065.560141194899</v>
      </c>
      <c r="K1094" s="182" t="s">
        <v>3099</v>
      </c>
      <c r="L1094" s="182">
        <v>1</v>
      </c>
      <c r="M1094" s="182" t="s">
        <v>3100</v>
      </c>
      <c r="N1094" s="186">
        <v>1</v>
      </c>
      <c r="O1094" s="188">
        <v>0.18181818181818199</v>
      </c>
      <c r="P1094" s="188">
        <v>77</v>
      </c>
      <c r="Q1094" s="188">
        <v>14</v>
      </c>
      <c r="R1094" s="189">
        <v>8.0500000000000007</v>
      </c>
      <c r="S1094" s="189" t="s">
        <v>985</v>
      </c>
    </row>
    <row r="1095" spans="1:19" ht="14.25" customHeight="1" x14ac:dyDescent="0.3">
      <c r="A1095" s="182" t="s">
        <v>3086</v>
      </c>
      <c r="B1095" s="182" t="s">
        <v>937</v>
      </c>
      <c r="C1095" s="182" t="s">
        <v>938</v>
      </c>
      <c r="D1095" s="190" t="s">
        <v>1375</v>
      </c>
      <c r="E1095" s="183" t="s">
        <v>1376</v>
      </c>
      <c r="F1095" s="183" t="s">
        <v>941</v>
      </c>
      <c r="G1095" s="184">
        <v>5.1948051948052E-2</v>
      </c>
      <c r="H1095" s="185">
        <v>0</v>
      </c>
      <c r="I1095" s="186">
        <v>76955.079706571996</v>
      </c>
      <c r="J1095" s="187">
        <v>3997.6664782634798</v>
      </c>
      <c r="K1095" s="182" t="s">
        <v>3099</v>
      </c>
      <c r="L1095" s="182">
        <v>2</v>
      </c>
      <c r="M1095" s="182" t="s">
        <v>3101</v>
      </c>
      <c r="N1095" s="186">
        <v>1</v>
      </c>
      <c r="O1095" s="188">
        <v>5.1948051948052E-2</v>
      </c>
      <c r="P1095" s="188">
        <v>77</v>
      </c>
      <c r="Q1095" s="188">
        <v>4</v>
      </c>
      <c r="R1095" s="189">
        <v>8.0500000000000007</v>
      </c>
      <c r="S1095" s="189" t="s">
        <v>985</v>
      </c>
    </row>
    <row r="1096" spans="1:19" ht="14.25" customHeight="1" x14ac:dyDescent="0.3">
      <c r="A1096" s="182" t="s">
        <v>3102</v>
      </c>
      <c r="B1096" s="182" t="s">
        <v>563</v>
      </c>
      <c r="C1096" s="182"/>
      <c r="D1096" s="182" t="s">
        <v>3103</v>
      </c>
      <c r="E1096" s="183" t="s">
        <v>3104</v>
      </c>
      <c r="F1096" s="183"/>
      <c r="G1096" s="184">
        <v>1</v>
      </c>
      <c r="H1096" s="185">
        <v>0</v>
      </c>
      <c r="I1096" s="186">
        <v>218.25069175782201</v>
      </c>
      <c r="J1096" s="187">
        <v>218.25069175782201</v>
      </c>
      <c r="K1096" s="182" t="s">
        <v>3105</v>
      </c>
      <c r="L1096" s="182">
        <v>1</v>
      </c>
      <c r="M1096" s="182" t="s">
        <v>3106</v>
      </c>
      <c r="N1096" s="186">
        <v>1</v>
      </c>
      <c r="O1096" s="188">
        <v>1</v>
      </c>
      <c r="P1096" s="188">
        <v>77</v>
      </c>
      <c r="Q1096" s="188">
        <v>77</v>
      </c>
      <c r="R1096" s="189">
        <v>8.06</v>
      </c>
      <c r="S1096" s="189" t="s">
        <v>985</v>
      </c>
    </row>
    <row r="1097" spans="1:19" ht="14.25" customHeight="1" x14ac:dyDescent="0.3">
      <c r="A1097" s="182" t="s">
        <v>3102</v>
      </c>
      <c r="B1097" s="182" t="s">
        <v>908</v>
      </c>
      <c r="C1097" s="182" t="s">
        <v>1358</v>
      </c>
      <c r="D1097" s="182" t="s">
        <v>976</v>
      </c>
      <c r="E1097" s="183" t="s">
        <v>977</v>
      </c>
      <c r="F1097" s="183" t="s">
        <v>576</v>
      </c>
      <c r="G1097" s="184">
        <v>671.89009338000005</v>
      </c>
      <c r="H1097" s="185">
        <v>0</v>
      </c>
      <c r="I1097" s="186">
        <v>1</v>
      </c>
      <c r="J1097" s="187">
        <v>671.89009338000005</v>
      </c>
      <c r="K1097" s="182" t="s">
        <v>3107</v>
      </c>
      <c r="L1097" s="182">
        <v>1</v>
      </c>
      <c r="M1097" s="182" t="s">
        <v>3108</v>
      </c>
      <c r="N1097" s="186">
        <v>1</v>
      </c>
      <c r="O1097" s="188">
        <v>671.89009338000005</v>
      </c>
      <c r="P1097" s="188">
        <v>77</v>
      </c>
      <c r="Q1097" s="188">
        <v>51735.537190260002</v>
      </c>
      <c r="R1097" s="189">
        <v>8.06</v>
      </c>
      <c r="S1097" s="189" t="s">
        <v>985</v>
      </c>
    </row>
    <row r="1098" spans="1:19" ht="14.25" customHeight="1" x14ac:dyDescent="0.3">
      <c r="A1098" s="182" t="s">
        <v>3102</v>
      </c>
      <c r="B1098" s="182" t="s">
        <v>908</v>
      </c>
      <c r="C1098" s="182" t="s">
        <v>909</v>
      </c>
      <c r="D1098" s="182" t="s">
        <v>3109</v>
      </c>
      <c r="E1098" s="183" t="s">
        <v>3110</v>
      </c>
      <c r="F1098" s="183" t="s">
        <v>971</v>
      </c>
      <c r="G1098" s="184">
        <v>0.662337662337662</v>
      </c>
      <c r="H1098" s="185">
        <v>0</v>
      </c>
      <c r="I1098" s="186">
        <v>4958.6776859504098</v>
      </c>
      <c r="J1098" s="187">
        <v>3284.3189867983201</v>
      </c>
      <c r="K1098" s="182" t="s">
        <v>3107</v>
      </c>
      <c r="L1098" s="182">
        <v>2</v>
      </c>
      <c r="M1098" s="182" t="s">
        <v>3111</v>
      </c>
      <c r="N1098" s="186">
        <v>1</v>
      </c>
      <c r="O1098" s="188">
        <v>0.662337662337662</v>
      </c>
      <c r="P1098" s="188">
        <v>77</v>
      </c>
      <c r="Q1098" s="188">
        <v>51</v>
      </c>
      <c r="R1098" s="189">
        <v>8.06</v>
      </c>
      <c r="S1098" s="189" t="s">
        <v>985</v>
      </c>
    </row>
    <row r="1099" spans="1:19" ht="14.25" customHeight="1" x14ac:dyDescent="0.3">
      <c r="A1099" s="182" t="s">
        <v>3102</v>
      </c>
      <c r="B1099" s="182" t="s">
        <v>908</v>
      </c>
      <c r="C1099" s="182" t="s">
        <v>909</v>
      </c>
      <c r="D1099" s="182" t="s">
        <v>3112</v>
      </c>
      <c r="E1099" s="183" t="s">
        <v>3113</v>
      </c>
      <c r="F1099" s="183" t="s">
        <v>2970</v>
      </c>
      <c r="G1099" s="184">
        <v>5.1948051948052E-2</v>
      </c>
      <c r="H1099" s="185">
        <v>0</v>
      </c>
      <c r="I1099" s="186">
        <v>66115.702479338797</v>
      </c>
      <c r="J1099" s="187">
        <v>3434.5819469786402</v>
      </c>
      <c r="K1099" s="182" t="s">
        <v>3107</v>
      </c>
      <c r="L1099" s="182">
        <v>3</v>
      </c>
      <c r="M1099" s="182" t="s">
        <v>3114</v>
      </c>
      <c r="N1099" s="186">
        <v>1</v>
      </c>
      <c r="O1099" s="188">
        <v>5.1948051948052E-2</v>
      </c>
      <c r="P1099" s="188">
        <v>77</v>
      </c>
      <c r="Q1099" s="188">
        <v>4</v>
      </c>
      <c r="R1099" s="189">
        <v>8.06</v>
      </c>
      <c r="S1099" s="189" t="s">
        <v>985</v>
      </c>
    </row>
    <row r="1100" spans="1:19" ht="14.25" customHeight="1" x14ac:dyDescent="0.3">
      <c r="A1100" s="182" t="s">
        <v>3102</v>
      </c>
      <c r="B1100" s="182" t="s">
        <v>937</v>
      </c>
      <c r="C1100" s="182" t="s">
        <v>938</v>
      </c>
      <c r="D1100" s="182" t="s">
        <v>939</v>
      </c>
      <c r="E1100" s="183" t="s">
        <v>940</v>
      </c>
      <c r="F1100" s="183" t="s">
        <v>941</v>
      </c>
      <c r="G1100" s="184">
        <v>5.1948051948052E-2</v>
      </c>
      <c r="H1100" s="185">
        <v>0</v>
      </c>
      <c r="I1100" s="186">
        <v>60860.580776572002</v>
      </c>
      <c r="J1100" s="187">
        <v>3161.5886117699802</v>
      </c>
      <c r="K1100" s="182" t="s">
        <v>3115</v>
      </c>
      <c r="L1100" s="182">
        <v>1</v>
      </c>
      <c r="M1100" s="182" t="s">
        <v>3116</v>
      </c>
      <c r="N1100" s="186">
        <v>1</v>
      </c>
      <c r="O1100" s="188">
        <v>5.1948051948052E-2</v>
      </c>
      <c r="P1100" s="188">
        <v>77</v>
      </c>
      <c r="Q1100" s="188">
        <v>4</v>
      </c>
      <c r="R1100" s="189">
        <v>8.06</v>
      </c>
      <c r="S1100" s="189" t="s">
        <v>985</v>
      </c>
    </row>
    <row r="1101" spans="1:19" ht="14.25" customHeight="1" x14ac:dyDescent="0.3">
      <c r="A1101" s="182" t="s">
        <v>3102</v>
      </c>
      <c r="B1101" s="182" t="s">
        <v>937</v>
      </c>
      <c r="C1101" s="182" t="s">
        <v>938</v>
      </c>
      <c r="D1101" s="190" t="s">
        <v>1375</v>
      </c>
      <c r="E1101" s="183" t="s">
        <v>1376</v>
      </c>
      <c r="F1101" s="183" t="s">
        <v>941</v>
      </c>
      <c r="G1101" s="184">
        <v>5.1948051948052E-2</v>
      </c>
      <c r="H1101" s="185">
        <v>0</v>
      </c>
      <c r="I1101" s="186">
        <v>76955.079706571996</v>
      </c>
      <c r="J1101" s="187">
        <v>3997.6664782634798</v>
      </c>
      <c r="K1101" s="182" t="s">
        <v>3115</v>
      </c>
      <c r="L1101" s="182">
        <v>2</v>
      </c>
      <c r="M1101" s="182" t="s">
        <v>3117</v>
      </c>
      <c r="N1101" s="186">
        <v>1</v>
      </c>
      <c r="O1101" s="188">
        <v>5.1948051948052E-2</v>
      </c>
      <c r="P1101" s="188">
        <v>77</v>
      </c>
      <c r="Q1101" s="188">
        <v>4</v>
      </c>
      <c r="R1101" s="189">
        <v>8.06</v>
      </c>
      <c r="S1101" s="189" t="s">
        <v>985</v>
      </c>
    </row>
    <row r="1102" spans="1:19" ht="14.25" customHeight="1" x14ac:dyDescent="0.3">
      <c r="A1102" s="182" t="s">
        <v>3118</v>
      </c>
      <c r="B1102" s="182" t="s">
        <v>563</v>
      </c>
      <c r="C1102" s="182"/>
      <c r="D1102" s="182" t="s">
        <v>952</v>
      </c>
      <c r="E1102" s="183" t="s">
        <v>953</v>
      </c>
      <c r="F1102" s="183"/>
      <c r="G1102" s="184">
        <v>1</v>
      </c>
      <c r="H1102" s="185">
        <v>0</v>
      </c>
      <c r="I1102" s="186">
        <v>2287.1357450968098</v>
      </c>
      <c r="J1102" s="187">
        <v>2287.1357450968098</v>
      </c>
      <c r="K1102" s="182" t="s">
        <v>3119</v>
      </c>
      <c r="L1102" s="182">
        <v>1</v>
      </c>
      <c r="M1102" s="182" t="s">
        <v>3120</v>
      </c>
      <c r="N1102" s="186">
        <v>14.5</v>
      </c>
      <c r="O1102" s="188">
        <v>1</v>
      </c>
      <c r="P1102" s="188" t="s">
        <v>573</v>
      </c>
      <c r="Q1102" s="188">
        <v>0</v>
      </c>
      <c r="R1102" s="189" t="s">
        <v>573</v>
      </c>
      <c r="S1102" s="189" t="s">
        <v>573</v>
      </c>
    </row>
    <row r="1103" spans="1:19" ht="14.25" customHeight="1" x14ac:dyDescent="0.3">
      <c r="A1103" s="182" t="s">
        <v>3118</v>
      </c>
      <c r="B1103" s="182" t="s">
        <v>563</v>
      </c>
      <c r="C1103" s="182"/>
      <c r="D1103" s="182" t="s">
        <v>955</v>
      </c>
      <c r="E1103" s="183" t="s">
        <v>956</v>
      </c>
      <c r="F1103" s="183"/>
      <c r="G1103" s="184">
        <v>1</v>
      </c>
      <c r="H1103" s="185">
        <v>0</v>
      </c>
      <c r="I1103" s="186">
        <v>957.25319614994703</v>
      </c>
      <c r="J1103" s="187">
        <v>957.25319614994703</v>
      </c>
      <c r="K1103" s="182" t="s">
        <v>3119</v>
      </c>
      <c r="L1103" s="182">
        <v>2</v>
      </c>
      <c r="M1103" s="182" t="s">
        <v>3121</v>
      </c>
      <c r="N1103" s="186">
        <v>14.5</v>
      </c>
      <c r="O1103" s="188">
        <v>1</v>
      </c>
      <c r="P1103" s="188" t="s">
        <v>573</v>
      </c>
      <c r="Q1103" s="188">
        <v>0</v>
      </c>
      <c r="R1103" s="189" t="s">
        <v>573</v>
      </c>
      <c r="S1103" s="189" t="s">
        <v>573</v>
      </c>
    </row>
    <row r="1104" spans="1:19" ht="14.25" customHeight="1" x14ac:dyDescent="0.3">
      <c r="A1104" s="182" t="s">
        <v>3118</v>
      </c>
      <c r="B1104" s="182" t="s">
        <v>908</v>
      </c>
      <c r="C1104" s="182" t="s">
        <v>909</v>
      </c>
      <c r="D1104" s="182" t="s">
        <v>962</v>
      </c>
      <c r="E1104" s="183" t="s">
        <v>963</v>
      </c>
      <c r="F1104" s="183" t="s">
        <v>590</v>
      </c>
      <c r="G1104" s="184">
        <v>0.03</v>
      </c>
      <c r="H1104" s="185">
        <v>0.1</v>
      </c>
      <c r="I1104" s="186">
        <v>32399.77</v>
      </c>
      <c r="J1104" s="187">
        <v>1069.1924100000001</v>
      </c>
      <c r="K1104" s="182" t="s">
        <v>3122</v>
      </c>
      <c r="L1104" s="182">
        <v>1</v>
      </c>
      <c r="M1104" s="182" t="s">
        <v>3123</v>
      </c>
      <c r="N1104" s="186">
        <v>14.5</v>
      </c>
      <c r="O1104" s="188">
        <v>0.03</v>
      </c>
      <c r="P1104" s="188" t="s">
        <v>573</v>
      </c>
      <c r="Q1104" s="188">
        <v>0</v>
      </c>
      <c r="R1104" s="189" t="s">
        <v>573</v>
      </c>
      <c r="S1104" s="189" t="s">
        <v>573</v>
      </c>
    </row>
    <row r="1105" spans="1:19" ht="14.25" customHeight="1" x14ac:dyDescent="0.3">
      <c r="A1105" s="182" t="s">
        <v>3118</v>
      </c>
      <c r="B1105" s="182" t="s">
        <v>908</v>
      </c>
      <c r="C1105" s="182" t="s">
        <v>909</v>
      </c>
      <c r="D1105" s="182" t="s">
        <v>965</v>
      </c>
      <c r="E1105" s="183" t="s">
        <v>966</v>
      </c>
      <c r="F1105" s="183" t="s">
        <v>967</v>
      </c>
      <c r="G1105" s="184">
        <v>7.0000000000000007E-2</v>
      </c>
      <c r="H1105" s="185">
        <v>0.1</v>
      </c>
      <c r="I1105" s="186">
        <v>7809.48</v>
      </c>
      <c r="J1105" s="187">
        <v>601.32996000000003</v>
      </c>
      <c r="K1105" s="182" t="s">
        <v>3122</v>
      </c>
      <c r="L1105" s="182">
        <v>2</v>
      </c>
      <c r="M1105" s="182" t="s">
        <v>3124</v>
      </c>
      <c r="N1105" s="186">
        <v>14.5</v>
      </c>
      <c r="O1105" s="188">
        <v>7.0000000000000007E-2</v>
      </c>
      <c r="P1105" s="188" t="s">
        <v>573</v>
      </c>
      <c r="Q1105" s="188">
        <v>0</v>
      </c>
      <c r="R1105" s="189" t="s">
        <v>573</v>
      </c>
      <c r="S1105" s="189" t="s">
        <v>573</v>
      </c>
    </row>
    <row r="1106" spans="1:19" ht="14.25" customHeight="1" x14ac:dyDescent="0.3">
      <c r="A1106" s="182" t="s">
        <v>3118</v>
      </c>
      <c r="B1106" s="182" t="s">
        <v>908</v>
      </c>
      <c r="C1106" s="182" t="s">
        <v>909</v>
      </c>
      <c r="D1106" s="182" t="s">
        <v>969</v>
      </c>
      <c r="E1106" s="183" t="s">
        <v>970</v>
      </c>
      <c r="F1106" s="183" t="s">
        <v>971</v>
      </c>
      <c r="G1106" s="184">
        <v>0.248</v>
      </c>
      <c r="H1106" s="185">
        <v>0.1</v>
      </c>
      <c r="I1106" s="186">
        <v>3837.96</v>
      </c>
      <c r="J1106" s="187">
        <v>1046.995488</v>
      </c>
      <c r="K1106" s="182" t="s">
        <v>3122</v>
      </c>
      <c r="L1106" s="182">
        <v>3</v>
      </c>
      <c r="M1106" s="182" t="s">
        <v>3125</v>
      </c>
      <c r="N1106" s="186">
        <v>14.5</v>
      </c>
      <c r="O1106" s="188">
        <v>0.248</v>
      </c>
      <c r="P1106" s="188" t="s">
        <v>573</v>
      </c>
      <c r="Q1106" s="188">
        <v>0</v>
      </c>
      <c r="R1106" s="189" t="s">
        <v>573</v>
      </c>
      <c r="S1106" s="189" t="s">
        <v>573</v>
      </c>
    </row>
    <row r="1107" spans="1:19" ht="14.25" customHeight="1" x14ac:dyDescent="0.3">
      <c r="A1107" s="182" t="s">
        <v>3118</v>
      </c>
      <c r="B1107" s="182" t="s">
        <v>937</v>
      </c>
      <c r="C1107" s="182" t="s">
        <v>938</v>
      </c>
      <c r="D1107" s="190" t="s">
        <v>939</v>
      </c>
      <c r="E1107" s="183" t="s">
        <v>940</v>
      </c>
      <c r="F1107" s="183" t="s">
        <v>941</v>
      </c>
      <c r="G1107" s="184">
        <v>0.45</v>
      </c>
      <c r="H1107" s="185">
        <v>0</v>
      </c>
      <c r="I1107" s="186">
        <v>60860.580776572002</v>
      </c>
      <c r="J1107" s="187">
        <v>27387.2613494574</v>
      </c>
      <c r="K1107" s="182" t="s">
        <v>3126</v>
      </c>
      <c r="L1107" s="182">
        <v>1</v>
      </c>
      <c r="M1107" s="182" t="s">
        <v>3127</v>
      </c>
      <c r="N1107" s="186">
        <v>14.5</v>
      </c>
      <c r="O1107" s="188">
        <v>3.10344827586207E-2</v>
      </c>
      <c r="P1107" s="188" t="s">
        <v>573</v>
      </c>
      <c r="Q1107" s="188">
        <v>0</v>
      </c>
      <c r="R1107" s="189" t="s">
        <v>573</v>
      </c>
      <c r="S1107" s="189" t="s">
        <v>573</v>
      </c>
    </row>
    <row r="1108" spans="1:19" ht="14.25" customHeight="1" x14ac:dyDescent="0.3">
      <c r="A1108" s="182" t="s">
        <v>3118</v>
      </c>
      <c r="B1108" s="182" t="s">
        <v>937</v>
      </c>
      <c r="C1108" s="182" t="s">
        <v>938</v>
      </c>
      <c r="D1108" s="190" t="s">
        <v>944</v>
      </c>
      <c r="E1108" s="183" t="s">
        <v>945</v>
      </c>
      <c r="F1108" s="183" t="s">
        <v>941</v>
      </c>
      <c r="G1108" s="184">
        <v>1</v>
      </c>
      <c r="H1108" s="185">
        <v>0</v>
      </c>
      <c r="I1108" s="186">
        <v>85927.097156571996</v>
      </c>
      <c r="J1108" s="187">
        <v>85927.097156571996</v>
      </c>
      <c r="K1108" s="182" t="s">
        <v>3126</v>
      </c>
      <c r="L1108" s="182">
        <v>2</v>
      </c>
      <c r="M1108" s="182" t="s">
        <v>3128</v>
      </c>
      <c r="N1108" s="186">
        <v>14.5</v>
      </c>
      <c r="O1108" s="188">
        <v>6.8965517241379296E-2</v>
      </c>
      <c r="P1108" s="188" t="s">
        <v>573</v>
      </c>
      <c r="Q1108" s="188">
        <v>0</v>
      </c>
      <c r="R1108" s="189" t="s">
        <v>573</v>
      </c>
      <c r="S1108" s="189" t="s">
        <v>573</v>
      </c>
    </row>
    <row r="1109" spans="1:19" ht="14.25" customHeight="1" x14ac:dyDescent="0.3">
      <c r="A1109" s="182" t="s">
        <v>3129</v>
      </c>
      <c r="B1109" s="182" t="s">
        <v>563</v>
      </c>
      <c r="C1109" s="182"/>
      <c r="D1109" s="182" t="s">
        <v>952</v>
      </c>
      <c r="E1109" s="183" t="s">
        <v>953</v>
      </c>
      <c r="F1109" s="183"/>
      <c r="G1109" s="184">
        <v>1</v>
      </c>
      <c r="H1109" s="185">
        <v>0</v>
      </c>
      <c r="I1109" s="186">
        <v>2287.1357450968098</v>
      </c>
      <c r="J1109" s="187">
        <v>2287.1357450968098</v>
      </c>
      <c r="K1109" s="182" t="s">
        <v>3130</v>
      </c>
      <c r="L1109" s="182">
        <v>1</v>
      </c>
      <c r="M1109" s="182" t="s">
        <v>3131</v>
      </c>
      <c r="N1109" s="186">
        <v>14.5</v>
      </c>
      <c r="O1109" s="188">
        <v>1</v>
      </c>
      <c r="P1109" s="188" t="s">
        <v>573</v>
      </c>
      <c r="Q1109" s="188">
        <v>0</v>
      </c>
      <c r="R1109" s="189" t="s">
        <v>573</v>
      </c>
      <c r="S1109" s="189" t="s">
        <v>573</v>
      </c>
    </row>
    <row r="1110" spans="1:19" ht="14.25" customHeight="1" x14ac:dyDescent="0.3">
      <c r="A1110" s="182" t="s">
        <v>3129</v>
      </c>
      <c r="B1110" s="182" t="s">
        <v>563</v>
      </c>
      <c r="C1110" s="182"/>
      <c r="D1110" s="182" t="s">
        <v>955</v>
      </c>
      <c r="E1110" s="183" t="s">
        <v>956</v>
      </c>
      <c r="F1110" s="183"/>
      <c r="G1110" s="184">
        <v>1</v>
      </c>
      <c r="H1110" s="185">
        <v>0</v>
      </c>
      <c r="I1110" s="186">
        <v>957.25319614994703</v>
      </c>
      <c r="J1110" s="187">
        <v>957.25319614994703</v>
      </c>
      <c r="K1110" s="182" t="s">
        <v>3130</v>
      </c>
      <c r="L1110" s="182">
        <v>2</v>
      </c>
      <c r="M1110" s="182" t="s">
        <v>3132</v>
      </c>
      <c r="N1110" s="186">
        <v>14.5</v>
      </c>
      <c r="O1110" s="188">
        <v>1</v>
      </c>
      <c r="P1110" s="188" t="s">
        <v>573</v>
      </c>
      <c r="Q1110" s="188">
        <v>0</v>
      </c>
      <c r="R1110" s="189" t="s">
        <v>573</v>
      </c>
      <c r="S1110" s="189" t="s">
        <v>573</v>
      </c>
    </row>
    <row r="1111" spans="1:19" ht="14.25" customHeight="1" x14ac:dyDescent="0.3">
      <c r="A1111" s="182" t="s">
        <v>3129</v>
      </c>
      <c r="B1111" s="182" t="s">
        <v>908</v>
      </c>
      <c r="C1111" s="182" t="s">
        <v>909</v>
      </c>
      <c r="D1111" s="182" t="s">
        <v>962</v>
      </c>
      <c r="E1111" s="183" t="s">
        <v>963</v>
      </c>
      <c r="F1111" s="183" t="s">
        <v>590</v>
      </c>
      <c r="G1111" s="184">
        <v>0.03</v>
      </c>
      <c r="H1111" s="185">
        <v>0.1</v>
      </c>
      <c r="I1111" s="186">
        <v>32399.77</v>
      </c>
      <c r="J1111" s="187">
        <v>1069.1924100000001</v>
      </c>
      <c r="K1111" s="182" t="s">
        <v>3133</v>
      </c>
      <c r="L1111" s="182">
        <v>1</v>
      </c>
      <c r="M1111" s="182" t="s">
        <v>3134</v>
      </c>
      <c r="N1111" s="186">
        <v>14.5</v>
      </c>
      <c r="O1111" s="188">
        <v>0.03</v>
      </c>
      <c r="P1111" s="188" t="s">
        <v>573</v>
      </c>
      <c r="Q1111" s="188">
        <v>0</v>
      </c>
      <c r="R1111" s="189" t="s">
        <v>573</v>
      </c>
      <c r="S1111" s="189" t="s">
        <v>573</v>
      </c>
    </row>
    <row r="1112" spans="1:19" ht="14.25" customHeight="1" x14ac:dyDescent="0.3">
      <c r="A1112" s="182" t="s">
        <v>3129</v>
      </c>
      <c r="B1112" s="182" t="s">
        <v>908</v>
      </c>
      <c r="C1112" s="182" t="s">
        <v>909</v>
      </c>
      <c r="D1112" s="182" t="s">
        <v>965</v>
      </c>
      <c r="E1112" s="183" t="s">
        <v>966</v>
      </c>
      <c r="F1112" s="183" t="s">
        <v>967</v>
      </c>
      <c r="G1112" s="184">
        <v>7.0000000000000007E-2</v>
      </c>
      <c r="H1112" s="185">
        <v>0.1</v>
      </c>
      <c r="I1112" s="186">
        <v>7809.48</v>
      </c>
      <c r="J1112" s="187">
        <v>601.32996000000003</v>
      </c>
      <c r="K1112" s="182" t="s">
        <v>3133</v>
      </c>
      <c r="L1112" s="182">
        <v>2</v>
      </c>
      <c r="M1112" s="182" t="s">
        <v>3135</v>
      </c>
      <c r="N1112" s="186">
        <v>14.5</v>
      </c>
      <c r="O1112" s="188">
        <v>7.0000000000000007E-2</v>
      </c>
      <c r="P1112" s="188" t="s">
        <v>573</v>
      </c>
      <c r="Q1112" s="188">
        <v>0</v>
      </c>
      <c r="R1112" s="189" t="s">
        <v>573</v>
      </c>
      <c r="S1112" s="189" t="s">
        <v>573</v>
      </c>
    </row>
    <row r="1113" spans="1:19" ht="14.25" customHeight="1" x14ac:dyDescent="0.3">
      <c r="A1113" s="182" t="s">
        <v>3129</v>
      </c>
      <c r="B1113" s="182" t="s">
        <v>908</v>
      </c>
      <c r="C1113" s="182" t="s">
        <v>909</v>
      </c>
      <c r="D1113" s="182" t="s">
        <v>969</v>
      </c>
      <c r="E1113" s="183" t="s">
        <v>970</v>
      </c>
      <c r="F1113" s="183" t="s">
        <v>971</v>
      </c>
      <c r="G1113" s="184">
        <v>0.248</v>
      </c>
      <c r="H1113" s="185">
        <v>0.1</v>
      </c>
      <c r="I1113" s="186">
        <v>3837.96</v>
      </c>
      <c r="J1113" s="187">
        <v>1046.995488</v>
      </c>
      <c r="K1113" s="182" t="s">
        <v>3133</v>
      </c>
      <c r="L1113" s="182">
        <v>3</v>
      </c>
      <c r="M1113" s="182" t="s">
        <v>3136</v>
      </c>
      <c r="N1113" s="186">
        <v>14.5</v>
      </c>
      <c r="O1113" s="188">
        <v>0.248</v>
      </c>
      <c r="P1113" s="188" t="s">
        <v>573</v>
      </c>
      <c r="Q1113" s="188">
        <v>0</v>
      </c>
      <c r="R1113" s="189" t="s">
        <v>573</v>
      </c>
      <c r="S1113" s="189" t="s">
        <v>573</v>
      </c>
    </row>
    <row r="1114" spans="1:19" ht="14.25" customHeight="1" x14ac:dyDescent="0.3">
      <c r="A1114" s="182" t="s">
        <v>3129</v>
      </c>
      <c r="B1114" s="182" t="s">
        <v>937</v>
      </c>
      <c r="C1114" s="182" t="s">
        <v>938</v>
      </c>
      <c r="D1114" s="190" t="s">
        <v>939</v>
      </c>
      <c r="E1114" s="183" t="s">
        <v>940</v>
      </c>
      <c r="F1114" s="183" t="s">
        <v>941</v>
      </c>
      <c r="G1114" s="184">
        <v>0.45</v>
      </c>
      <c r="H1114" s="185">
        <v>0</v>
      </c>
      <c r="I1114" s="186">
        <v>60860.580776572002</v>
      </c>
      <c r="J1114" s="187">
        <v>27387.2613494574</v>
      </c>
      <c r="K1114" s="182" t="s">
        <v>3137</v>
      </c>
      <c r="L1114" s="182">
        <v>1</v>
      </c>
      <c r="M1114" s="182" t="s">
        <v>3138</v>
      </c>
      <c r="N1114" s="186">
        <v>14.5</v>
      </c>
      <c r="O1114" s="188">
        <v>3.10344827586207E-2</v>
      </c>
      <c r="P1114" s="188" t="s">
        <v>573</v>
      </c>
      <c r="Q1114" s="188">
        <v>0</v>
      </c>
      <c r="R1114" s="189" t="s">
        <v>573</v>
      </c>
      <c r="S1114" s="189" t="s">
        <v>573</v>
      </c>
    </row>
    <row r="1115" spans="1:19" ht="14.25" customHeight="1" x14ac:dyDescent="0.3">
      <c r="A1115" s="182" t="s">
        <v>3129</v>
      </c>
      <c r="B1115" s="182" t="s">
        <v>937</v>
      </c>
      <c r="C1115" s="182" t="s">
        <v>938</v>
      </c>
      <c r="D1115" s="190" t="s">
        <v>944</v>
      </c>
      <c r="E1115" s="183" t="s">
        <v>945</v>
      </c>
      <c r="F1115" s="183" t="s">
        <v>941</v>
      </c>
      <c r="G1115" s="184">
        <v>1</v>
      </c>
      <c r="H1115" s="185">
        <v>0</v>
      </c>
      <c r="I1115" s="186">
        <v>85927.097156571996</v>
      </c>
      <c r="J1115" s="187">
        <v>85927.097156571996</v>
      </c>
      <c r="K1115" s="182" t="s">
        <v>3137</v>
      </c>
      <c r="L1115" s="182">
        <v>2</v>
      </c>
      <c r="M1115" s="182" t="s">
        <v>3139</v>
      </c>
      <c r="N1115" s="186">
        <v>14.5</v>
      </c>
      <c r="O1115" s="188">
        <v>6.8965517241379296E-2</v>
      </c>
      <c r="P1115" s="188" t="s">
        <v>573</v>
      </c>
      <c r="Q1115" s="188">
        <v>0</v>
      </c>
      <c r="R1115" s="189" t="s">
        <v>573</v>
      </c>
      <c r="S1115" s="189" t="s">
        <v>573</v>
      </c>
    </row>
    <row r="1116" spans="1:19" ht="14.25" customHeight="1" x14ac:dyDescent="0.3">
      <c r="A1116" s="182" t="s">
        <v>3140</v>
      </c>
      <c r="B1116" s="182" t="s">
        <v>563</v>
      </c>
      <c r="C1116" s="182"/>
      <c r="D1116" s="182" t="s">
        <v>3141</v>
      </c>
      <c r="E1116" s="183" t="s">
        <v>3142</v>
      </c>
      <c r="F1116" s="183"/>
      <c r="G1116" s="184">
        <v>1</v>
      </c>
      <c r="H1116" s="185">
        <v>0</v>
      </c>
      <c r="I1116" s="186">
        <v>23389.673803614602</v>
      </c>
      <c r="J1116" s="187">
        <v>23389.673803614602</v>
      </c>
      <c r="K1116" s="182" t="s">
        <v>3143</v>
      </c>
      <c r="L1116" s="182">
        <v>1</v>
      </c>
      <c r="M1116" s="182" t="s">
        <v>3144</v>
      </c>
      <c r="N1116" s="186">
        <v>1</v>
      </c>
      <c r="O1116" s="188">
        <v>1</v>
      </c>
      <c r="P1116" s="188">
        <v>1</v>
      </c>
      <c r="Q1116" s="188">
        <v>1</v>
      </c>
      <c r="R1116" s="189">
        <v>9.01</v>
      </c>
      <c r="S1116" s="189" t="s">
        <v>985</v>
      </c>
    </row>
    <row r="1117" spans="1:19" ht="14.25" customHeight="1" x14ac:dyDescent="0.3">
      <c r="A1117" s="182" t="s">
        <v>3140</v>
      </c>
      <c r="B1117" s="182" t="s">
        <v>908</v>
      </c>
      <c r="C1117" s="182" t="s">
        <v>1358</v>
      </c>
      <c r="D1117" s="182" t="s">
        <v>3145</v>
      </c>
      <c r="E1117" s="183" t="s">
        <v>3146</v>
      </c>
      <c r="F1117" s="183" t="s">
        <v>595</v>
      </c>
      <c r="G1117" s="184">
        <v>44.55</v>
      </c>
      <c r="H1117" s="185">
        <v>0</v>
      </c>
      <c r="I1117" s="186">
        <v>4066.3295640000001</v>
      </c>
      <c r="J1117" s="187">
        <v>181154.98207619999</v>
      </c>
      <c r="K1117" s="182" t="s">
        <v>3147</v>
      </c>
      <c r="L1117" s="182">
        <v>1</v>
      </c>
      <c r="M1117" s="182" t="s">
        <v>3148</v>
      </c>
      <c r="N1117" s="186">
        <v>1</v>
      </c>
      <c r="O1117" s="188">
        <v>44.55</v>
      </c>
      <c r="P1117" s="188">
        <v>1</v>
      </c>
      <c r="Q1117" s="188">
        <v>44.55</v>
      </c>
      <c r="R1117" s="189">
        <v>9.01</v>
      </c>
      <c r="S1117" s="189" t="s">
        <v>985</v>
      </c>
    </row>
    <row r="1118" spans="1:19" ht="14.25" customHeight="1" x14ac:dyDescent="0.3">
      <c r="A1118" s="182" t="s">
        <v>3140</v>
      </c>
      <c r="B1118" s="182" t="s">
        <v>937</v>
      </c>
      <c r="C1118" s="182" t="s">
        <v>938</v>
      </c>
      <c r="D1118" s="182" t="s">
        <v>939</v>
      </c>
      <c r="E1118" s="183" t="s">
        <v>940</v>
      </c>
      <c r="F1118" s="183" t="s">
        <v>941</v>
      </c>
      <c r="G1118" s="184">
        <v>10</v>
      </c>
      <c r="H1118" s="185">
        <v>0</v>
      </c>
      <c r="I1118" s="186">
        <v>60860.580776572002</v>
      </c>
      <c r="J1118" s="187">
        <v>608605.80776571995</v>
      </c>
      <c r="K1118" s="182" t="s">
        <v>3149</v>
      </c>
      <c r="L1118" s="182">
        <v>1</v>
      </c>
      <c r="M1118" s="182" t="s">
        <v>3150</v>
      </c>
      <c r="N1118" s="186">
        <v>1</v>
      </c>
      <c r="O1118" s="188">
        <v>10</v>
      </c>
      <c r="P1118" s="188">
        <v>1</v>
      </c>
      <c r="Q1118" s="188">
        <v>10</v>
      </c>
      <c r="R1118" s="189">
        <v>9.01</v>
      </c>
      <c r="S1118" s="189" t="s">
        <v>985</v>
      </c>
    </row>
    <row r="1119" spans="1:19" ht="14.25" customHeight="1" x14ac:dyDescent="0.3">
      <c r="A1119" s="182" t="s">
        <v>3140</v>
      </c>
      <c r="B1119" s="182" t="s">
        <v>937</v>
      </c>
      <c r="C1119" s="182" t="s">
        <v>938</v>
      </c>
      <c r="D1119" s="190" t="s">
        <v>1375</v>
      </c>
      <c r="E1119" s="183" t="s">
        <v>1376</v>
      </c>
      <c r="F1119" s="183" t="s">
        <v>941</v>
      </c>
      <c r="G1119" s="184">
        <v>10</v>
      </c>
      <c r="H1119" s="185">
        <v>0</v>
      </c>
      <c r="I1119" s="186">
        <v>76955.079706571996</v>
      </c>
      <c r="J1119" s="187">
        <v>769550.79706571996</v>
      </c>
      <c r="K1119" s="182" t="s">
        <v>3149</v>
      </c>
      <c r="L1119" s="182">
        <v>2</v>
      </c>
      <c r="M1119" s="182" t="s">
        <v>3151</v>
      </c>
      <c r="N1119" s="186">
        <v>1</v>
      </c>
      <c r="O1119" s="188">
        <v>10</v>
      </c>
      <c r="P1119" s="188">
        <v>1</v>
      </c>
      <c r="Q1119" s="188">
        <v>10</v>
      </c>
      <c r="R1119" s="189">
        <v>9.01</v>
      </c>
      <c r="S1119" s="189" t="s">
        <v>985</v>
      </c>
    </row>
    <row r="1120" spans="1:19" ht="14.25" customHeight="1" x14ac:dyDescent="0.3">
      <c r="A1120" s="182" t="s">
        <v>3152</v>
      </c>
      <c r="B1120" s="182" t="s">
        <v>563</v>
      </c>
      <c r="C1120" s="182"/>
      <c r="D1120" s="182" t="s">
        <v>3153</v>
      </c>
      <c r="E1120" s="183" t="s">
        <v>3154</v>
      </c>
      <c r="F1120" s="183"/>
      <c r="G1120" s="184">
        <v>1</v>
      </c>
      <c r="H1120" s="185">
        <v>0</v>
      </c>
      <c r="I1120" s="186">
        <v>310.723693448277</v>
      </c>
      <c r="J1120" s="187">
        <v>310.723693448277</v>
      </c>
      <c r="K1120" s="182" t="s">
        <v>3155</v>
      </c>
      <c r="L1120" s="182">
        <v>1</v>
      </c>
      <c r="M1120" s="182" t="s">
        <v>3156</v>
      </c>
      <c r="N1120" s="186">
        <v>1</v>
      </c>
      <c r="O1120" s="188">
        <v>1</v>
      </c>
      <c r="P1120" s="188">
        <v>81</v>
      </c>
      <c r="Q1120" s="188">
        <v>81</v>
      </c>
      <c r="R1120" s="189">
        <v>9.02</v>
      </c>
      <c r="S1120" s="189" t="s">
        <v>985</v>
      </c>
    </row>
    <row r="1121" spans="1:19" ht="14.25" customHeight="1" x14ac:dyDescent="0.3">
      <c r="A1121" s="182" t="s">
        <v>3152</v>
      </c>
      <c r="B1121" s="182" t="s">
        <v>908</v>
      </c>
      <c r="C1121" s="182" t="s">
        <v>909</v>
      </c>
      <c r="D1121" s="182" t="s">
        <v>3157</v>
      </c>
      <c r="E1121" s="183" t="s">
        <v>3158</v>
      </c>
      <c r="F1121" s="183" t="s">
        <v>600</v>
      </c>
      <c r="G1121" s="184">
        <v>0.209876543209877</v>
      </c>
      <c r="H1121" s="185">
        <v>0</v>
      </c>
      <c r="I1121" s="186">
        <v>8951.7603305785105</v>
      </c>
      <c r="J1121" s="187">
        <v>1878.76451382512</v>
      </c>
      <c r="K1121" s="182" t="s">
        <v>3159</v>
      </c>
      <c r="L1121" s="182">
        <v>1</v>
      </c>
      <c r="M1121" s="182" t="s">
        <v>3160</v>
      </c>
      <c r="N1121" s="186">
        <v>1</v>
      </c>
      <c r="O1121" s="188">
        <v>0.209876543209877</v>
      </c>
      <c r="P1121" s="188">
        <v>81</v>
      </c>
      <c r="Q1121" s="188">
        <v>17</v>
      </c>
      <c r="R1121" s="189">
        <v>9.02</v>
      </c>
      <c r="S1121" s="189" t="s">
        <v>985</v>
      </c>
    </row>
    <row r="1122" spans="1:19" ht="14.25" customHeight="1" x14ac:dyDescent="0.3">
      <c r="A1122" s="182" t="s">
        <v>3152</v>
      </c>
      <c r="B1122" s="182" t="s">
        <v>908</v>
      </c>
      <c r="C1122" s="182" t="s">
        <v>909</v>
      </c>
      <c r="D1122" s="182" t="s">
        <v>3161</v>
      </c>
      <c r="E1122" s="183" t="s">
        <v>3162</v>
      </c>
      <c r="F1122" s="183" t="s">
        <v>3163</v>
      </c>
      <c r="G1122" s="184">
        <v>2.4691358024691398E-2</v>
      </c>
      <c r="H1122" s="185">
        <v>0</v>
      </c>
      <c r="I1122" s="186">
        <v>12396.694214876001</v>
      </c>
      <c r="J1122" s="187">
        <v>306.09121518212402</v>
      </c>
      <c r="K1122" s="182" t="s">
        <v>3159</v>
      </c>
      <c r="L1122" s="182">
        <v>2</v>
      </c>
      <c r="M1122" s="182" t="s">
        <v>3164</v>
      </c>
      <c r="N1122" s="186">
        <v>1</v>
      </c>
      <c r="O1122" s="188">
        <v>2.4691358024691398E-2</v>
      </c>
      <c r="P1122" s="188">
        <v>81</v>
      </c>
      <c r="Q1122" s="188">
        <v>2</v>
      </c>
      <c r="R1122" s="189">
        <v>9.02</v>
      </c>
      <c r="S1122" s="189" t="s">
        <v>985</v>
      </c>
    </row>
    <row r="1123" spans="1:19" ht="14.25" customHeight="1" x14ac:dyDescent="0.3">
      <c r="A1123" s="182" t="s">
        <v>3152</v>
      </c>
      <c r="B1123" s="182" t="s">
        <v>908</v>
      </c>
      <c r="C1123" s="182" t="s">
        <v>909</v>
      </c>
      <c r="D1123" s="182" t="s">
        <v>3165</v>
      </c>
      <c r="E1123" s="183" t="s">
        <v>3166</v>
      </c>
      <c r="F1123" s="183" t="s">
        <v>1046</v>
      </c>
      <c r="G1123" s="184">
        <v>6.1728395061728399E-2</v>
      </c>
      <c r="H1123" s="185">
        <v>0</v>
      </c>
      <c r="I1123" s="186">
        <v>6611.5702479338797</v>
      </c>
      <c r="J1123" s="187">
        <v>408.12162024283202</v>
      </c>
      <c r="K1123" s="182" t="s">
        <v>3159</v>
      </c>
      <c r="L1123" s="182">
        <v>3</v>
      </c>
      <c r="M1123" s="182" t="s">
        <v>3167</v>
      </c>
      <c r="N1123" s="186">
        <v>1</v>
      </c>
      <c r="O1123" s="188">
        <v>6.1728395061728399E-2</v>
      </c>
      <c r="P1123" s="188">
        <v>81</v>
      </c>
      <c r="Q1123" s="188">
        <v>5</v>
      </c>
      <c r="R1123" s="189">
        <v>9.02</v>
      </c>
      <c r="S1123" s="189" t="s">
        <v>985</v>
      </c>
    </row>
    <row r="1124" spans="1:19" ht="14.25" customHeight="1" x14ac:dyDescent="0.3">
      <c r="A1124" s="182" t="s">
        <v>3152</v>
      </c>
      <c r="B1124" s="182" t="s">
        <v>937</v>
      </c>
      <c r="C1124" s="182" t="s">
        <v>938</v>
      </c>
      <c r="D1124" s="182" t="s">
        <v>939</v>
      </c>
      <c r="E1124" s="183" t="s">
        <v>940</v>
      </c>
      <c r="F1124" s="183" t="s">
        <v>941</v>
      </c>
      <c r="G1124" s="184">
        <v>0.12345679012345701</v>
      </c>
      <c r="H1124" s="185">
        <v>0</v>
      </c>
      <c r="I1124" s="186">
        <v>60860.580776572002</v>
      </c>
      <c r="J1124" s="187">
        <v>7513.6519477249503</v>
      </c>
      <c r="K1124" s="182" t="s">
        <v>3168</v>
      </c>
      <c r="L1124" s="182">
        <v>1</v>
      </c>
      <c r="M1124" s="182" t="s">
        <v>3169</v>
      </c>
      <c r="N1124" s="186">
        <v>1</v>
      </c>
      <c r="O1124" s="188">
        <v>0.12345679012345701</v>
      </c>
      <c r="P1124" s="188">
        <v>81</v>
      </c>
      <c r="Q1124" s="188">
        <v>10</v>
      </c>
      <c r="R1124" s="189">
        <v>9.02</v>
      </c>
      <c r="S1124" s="189" t="s">
        <v>985</v>
      </c>
    </row>
    <row r="1125" spans="1:19" ht="14.25" customHeight="1" x14ac:dyDescent="0.3">
      <c r="A1125" s="182" t="s">
        <v>3152</v>
      </c>
      <c r="B1125" s="182" t="s">
        <v>937</v>
      </c>
      <c r="C1125" s="182" t="s">
        <v>938</v>
      </c>
      <c r="D1125" s="190" t="s">
        <v>944</v>
      </c>
      <c r="E1125" s="183" t="s">
        <v>945</v>
      </c>
      <c r="F1125" s="183" t="s">
        <v>941</v>
      </c>
      <c r="G1125" s="184">
        <v>0.12345679012345701</v>
      </c>
      <c r="H1125" s="185">
        <v>0</v>
      </c>
      <c r="I1125" s="186">
        <v>85927.097156571996</v>
      </c>
      <c r="J1125" s="187">
        <v>10608.2835995768</v>
      </c>
      <c r="K1125" s="182" t="s">
        <v>3168</v>
      </c>
      <c r="L1125" s="182">
        <v>2</v>
      </c>
      <c r="M1125" s="182" t="s">
        <v>3170</v>
      </c>
      <c r="N1125" s="186">
        <v>1</v>
      </c>
      <c r="O1125" s="188">
        <v>0.12345679012345701</v>
      </c>
      <c r="P1125" s="188">
        <v>81</v>
      </c>
      <c r="Q1125" s="188">
        <v>10</v>
      </c>
      <c r="R1125" s="189">
        <v>9.02</v>
      </c>
      <c r="S1125" s="189" t="s">
        <v>985</v>
      </c>
    </row>
    <row r="1126" spans="1:19" ht="14.25" customHeight="1" x14ac:dyDescent="0.3">
      <c r="A1126" s="182" t="s">
        <v>3171</v>
      </c>
      <c r="B1126" s="182" t="s">
        <v>563</v>
      </c>
      <c r="C1126" s="182"/>
      <c r="D1126" s="182" t="s">
        <v>3172</v>
      </c>
      <c r="E1126" s="183" t="s">
        <v>3173</v>
      </c>
      <c r="F1126" s="183"/>
      <c r="G1126" s="184">
        <v>1</v>
      </c>
      <c r="H1126" s="185">
        <v>0</v>
      </c>
      <c r="I1126" s="186">
        <v>114.200147046578</v>
      </c>
      <c r="J1126" s="187">
        <v>114.200147046578</v>
      </c>
      <c r="K1126" s="182" t="s">
        <v>3174</v>
      </c>
      <c r="L1126" s="182">
        <v>1</v>
      </c>
      <c r="M1126" s="182" t="s">
        <v>3175</v>
      </c>
      <c r="N1126" s="186">
        <v>1</v>
      </c>
      <c r="O1126" s="188">
        <v>1</v>
      </c>
      <c r="P1126" s="188">
        <v>46</v>
      </c>
      <c r="Q1126" s="188">
        <v>46</v>
      </c>
      <c r="R1126" s="189">
        <v>9.0299999999999994</v>
      </c>
      <c r="S1126" s="189" t="s">
        <v>985</v>
      </c>
    </row>
    <row r="1127" spans="1:19" ht="14.25" customHeight="1" x14ac:dyDescent="0.3">
      <c r="A1127" s="182" t="s">
        <v>3171</v>
      </c>
      <c r="B1127" s="182" t="s">
        <v>908</v>
      </c>
      <c r="C1127" s="182" t="s">
        <v>1358</v>
      </c>
      <c r="D1127" s="182" t="s">
        <v>3145</v>
      </c>
      <c r="E1127" s="183" t="s">
        <v>3146</v>
      </c>
      <c r="F1127" s="183" t="s">
        <v>595</v>
      </c>
      <c r="G1127" s="184">
        <v>0.15</v>
      </c>
      <c r="H1127" s="185">
        <v>0</v>
      </c>
      <c r="I1127" s="186">
        <v>4066.3295640000001</v>
      </c>
      <c r="J1127" s="187">
        <v>609.94943460000002</v>
      </c>
      <c r="K1127" s="182" t="s">
        <v>3176</v>
      </c>
      <c r="L1127" s="182">
        <v>1</v>
      </c>
      <c r="M1127" s="182" t="s">
        <v>3177</v>
      </c>
      <c r="N1127" s="186">
        <v>1</v>
      </c>
      <c r="O1127" s="188">
        <v>0.15</v>
      </c>
      <c r="P1127" s="188">
        <v>46</v>
      </c>
      <c r="Q1127" s="188">
        <v>6.9</v>
      </c>
      <c r="R1127" s="189">
        <v>9.0299999999999994</v>
      </c>
      <c r="S1127" s="189" t="s">
        <v>985</v>
      </c>
    </row>
    <row r="1128" spans="1:19" ht="14.25" customHeight="1" x14ac:dyDescent="0.3">
      <c r="A1128" s="182" t="s">
        <v>3171</v>
      </c>
      <c r="B1128" s="182" t="s">
        <v>937</v>
      </c>
      <c r="C1128" s="182" t="s">
        <v>938</v>
      </c>
      <c r="D1128" s="182" t="s">
        <v>939</v>
      </c>
      <c r="E1128" s="183" t="s">
        <v>940</v>
      </c>
      <c r="F1128" s="183" t="s">
        <v>941</v>
      </c>
      <c r="G1128" s="184">
        <v>3.2608695652173898E-2</v>
      </c>
      <c r="H1128" s="185">
        <v>0</v>
      </c>
      <c r="I1128" s="186">
        <v>60860.580776572002</v>
      </c>
      <c r="J1128" s="187">
        <v>1984.5841557577801</v>
      </c>
      <c r="K1128" s="182" t="s">
        <v>3178</v>
      </c>
      <c r="L1128" s="182">
        <v>1</v>
      </c>
      <c r="M1128" s="182" t="s">
        <v>3179</v>
      </c>
      <c r="N1128" s="186">
        <v>1</v>
      </c>
      <c r="O1128" s="188">
        <v>3.2608695652173898E-2</v>
      </c>
      <c r="P1128" s="188">
        <v>46</v>
      </c>
      <c r="Q1128" s="188">
        <v>1.5</v>
      </c>
      <c r="R1128" s="189">
        <v>9.0299999999999994</v>
      </c>
      <c r="S1128" s="189" t="s">
        <v>985</v>
      </c>
    </row>
    <row r="1129" spans="1:19" ht="14.25" customHeight="1" x14ac:dyDescent="0.3">
      <c r="A1129" s="182" t="s">
        <v>3171</v>
      </c>
      <c r="B1129" s="182" t="s">
        <v>937</v>
      </c>
      <c r="C1129" s="182" t="s">
        <v>938</v>
      </c>
      <c r="D1129" s="190" t="s">
        <v>1375</v>
      </c>
      <c r="E1129" s="183" t="s">
        <v>1376</v>
      </c>
      <c r="F1129" s="183" t="s">
        <v>941</v>
      </c>
      <c r="G1129" s="184">
        <v>6.5217391304347797E-2</v>
      </c>
      <c r="H1129" s="185">
        <v>0</v>
      </c>
      <c r="I1129" s="186">
        <v>76955.079706571996</v>
      </c>
      <c r="J1129" s="187">
        <v>5018.8095460807799</v>
      </c>
      <c r="K1129" s="182" t="s">
        <v>3178</v>
      </c>
      <c r="L1129" s="182">
        <v>2</v>
      </c>
      <c r="M1129" s="182" t="s">
        <v>3180</v>
      </c>
      <c r="N1129" s="186">
        <v>1</v>
      </c>
      <c r="O1129" s="188">
        <v>6.5217391304347797E-2</v>
      </c>
      <c r="P1129" s="188">
        <v>46</v>
      </c>
      <c r="Q1129" s="188">
        <v>3</v>
      </c>
      <c r="R1129" s="189">
        <v>9.0299999999999994</v>
      </c>
      <c r="S1129" s="189" t="s">
        <v>985</v>
      </c>
    </row>
    <row r="1130" spans="1:19" ht="14.25" customHeight="1" x14ac:dyDescent="0.3">
      <c r="A1130" s="182" t="s">
        <v>3181</v>
      </c>
      <c r="B1130" s="182" t="s">
        <v>563</v>
      </c>
      <c r="C1130" s="182"/>
      <c r="D1130" s="182" t="s">
        <v>3182</v>
      </c>
      <c r="E1130" s="183" t="s">
        <v>3183</v>
      </c>
      <c r="F1130" s="183"/>
      <c r="G1130" s="184">
        <v>1</v>
      </c>
      <c r="H1130" s="185">
        <v>0</v>
      </c>
      <c r="I1130" s="186">
        <v>20453.608131728699</v>
      </c>
      <c r="J1130" s="187">
        <v>20453.608131728699</v>
      </c>
      <c r="K1130" s="182" t="s">
        <v>3184</v>
      </c>
      <c r="L1130" s="182">
        <v>1</v>
      </c>
      <c r="M1130" s="182" t="s">
        <v>3185</v>
      </c>
      <c r="N1130" s="186">
        <v>1</v>
      </c>
      <c r="O1130" s="188">
        <v>1</v>
      </c>
      <c r="P1130" s="188">
        <v>1</v>
      </c>
      <c r="Q1130" s="188">
        <v>1</v>
      </c>
      <c r="R1130" s="189">
        <v>10.01</v>
      </c>
      <c r="S1130" s="189" t="s">
        <v>985</v>
      </c>
    </row>
    <row r="1131" spans="1:19" ht="14.25" customHeight="1" x14ac:dyDescent="0.3">
      <c r="A1131" s="182" t="s">
        <v>3181</v>
      </c>
      <c r="B1131" s="182" t="s">
        <v>908</v>
      </c>
      <c r="C1131" s="182" t="s">
        <v>909</v>
      </c>
      <c r="D1131" s="182" t="s">
        <v>976</v>
      </c>
      <c r="E1131" s="183" t="s">
        <v>977</v>
      </c>
      <c r="F1131" s="183" t="s">
        <v>576</v>
      </c>
      <c r="G1131" s="184">
        <v>200000</v>
      </c>
      <c r="H1131" s="185">
        <v>0</v>
      </c>
      <c r="I1131" s="186">
        <v>1</v>
      </c>
      <c r="J1131" s="187">
        <v>200000</v>
      </c>
      <c r="K1131" s="182" t="s">
        <v>3186</v>
      </c>
      <c r="L1131" s="182">
        <v>1</v>
      </c>
      <c r="M1131" s="182" t="s">
        <v>3187</v>
      </c>
      <c r="N1131" s="186">
        <v>1</v>
      </c>
      <c r="O1131" s="188">
        <v>200000</v>
      </c>
      <c r="P1131" s="188">
        <v>1</v>
      </c>
      <c r="Q1131" s="188">
        <v>200000</v>
      </c>
      <c r="R1131" s="189">
        <v>10.01</v>
      </c>
      <c r="S1131" s="189" t="s">
        <v>985</v>
      </c>
    </row>
    <row r="1132" spans="1:19" ht="14.25" customHeight="1" x14ac:dyDescent="0.3">
      <c r="A1132" s="182" t="s">
        <v>3181</v>
      </c>
      <c r="B1132" s="182" t="s">
        <v>937</v>
      </c>
      <c r="C1132" s="182" t="s">
        <v>938</v>
      </c>
      <c r="D1132" s="182" t="s">
        <v>939</v>
      </c>
      <c r="E1132" s="183" t="s">
        <v>940</v>
      </c>
      <c r="F1132" s="183" t="s">
        <v>941</v>
      </c>
      <c r="G1132" s="184">
        <v>5</v>
      </c>
      <c r="H1132" s="185">
        <v>0</v>
      </c>
      <c r="I1132" s="186">
        <v>60860.580776572002</v>
      </c>
      <c r="J1132" s="187">
        <v>304302.90388285997</v>
      </c>
      <c r="K1132" s="182" t="s">
        <v>3188</v>
      </c>
      <c r="L1132" s="182">
        <v>1</v>
      </c>
      <c r="M1132" s="182" t="s">
        <v>3189</v>
      </c>
      <c r="N1132" s="186">
        <v>1</v>
      </c>
      <c r="O1132" s="188">
        <v>5</v>
      </c>
      <c r="P1132" s="188">
        <v>1</v>
      </c>
      <c r="Q1132" s="188">
        <v>5</v>
      </c>
      <c r="R1132" s="189">
        <v>10.01</v>
      </c>
      <c r="S1132" s="189" t="s">
        <v>985</v>
      </c>
    </row>
    <row r="1133" spans="1:19" ht="14.25" customHeight="1" x14ac:dyDescent="0.3">
      <c r="A1133" s="182" t="s">
        <v>3181</v>
      </c>
      <c r="B1133" s="182" t="s">
        <v>937</v>
      </c>
      <c r="C1133" s="182" t="s">
        <v>938</v>
      </c>
      <c r="D1133" s="190" t="s">
        <v>944</v>
      </c>
      <c r="E1133" s="183" t="s">
        <v>945</v>
      </c>
      <c r="F1133" s="183" t="s">
        <v>941</v>
      </c>
      <c r="G1133" s="184">
        <v>10</v>
      </c>
      <c r="H1133" s="185">
        <v>0</v>
      </c>
      <c r="I1133" s="186">
        <v>85927.097156571996</v>
      </c>
      <c r="J1133" s="187">
        <v>859270.97156572004</v>
      </c>
      <c r="K1133" s="182" t="s">
        <v>3188</v>
      </c>
      <c r="L1133" s="182">
        <v>2</v>
      </c>
      <c r="M1133" s="182" t="s">
        <v>3190</v>
      </c>
      <c r="N1133" s="186">
        <v>1</v>
      </c>
      <c r="O1133" s="188">
        <v>10</v>
      </c>
      <c r="P1133" s="188">
        <v>1</v>
      </c>
      <c r="Q1133" s="188">
        <v>10</v>
      </c>
      <c r="R1133" s="189">
        <v>10.01</v>
      </c>
      <c r="S1133" s="189" t="s">
        <v>985</v>
      </c>
    </row>
    <row r="1134" spans="1:19" ht="14.25" customHeight="1" x14ac:dyDescent="0.3">
      <c r="A1134" s="182" t="s">
        <v>3191</v>
      </c>
      <c r="B1134" s="182" t="s">
        <v>563</v>
      </c>
      <c r="C1134" s="182"/>
      <c r="D1134" s="182" t="s">
        <v>3192</v>
      </c>
      <c r="E1134" s="183" t="s">
        <v>3193</v>
      </c>
      <c r="F1134" s="183"/>
      <c r="G1134" s="184">
        <v>1</v>
      </c>
      <c r="H1134" s="185">
        <v>0</v>
      </c>
      <c r="I1134" s="186">
        <v>13472.1648790372</v>
      </c>
      <c r="J1134" s="187">
        <v>13472.1648790372</v>
      </c>
      <c r="K1134" s="182" t="s">
        <v>3194</v>
      </c>
      <c r="L1134" s="182">
        <v>1</v>
      </c>
      <c r="M1134" s="182" t="s">
        <v>3195</v>
      </c>
      <c r="N1134" s="186">
        <v>1</v>
      </c>
      <c r="O1134" s="188">
        <v>1</v>
      </c>
      <c r="P1134" s="188">
        <v>1</v>
      </c>
      <c r="Q1134" s="188">
        <v>1</v>
      </c>
      <c r="R1134" s="189">
        <v>10.02</v>
      </c>
      <c r="S1134" s="189" t="s">
        <v>985</v>
      </c>
    </row>
    <row r="1135" spans="1:19" ht="14.25" customHeight="1" x14ac:dyDescent="0.3">
      <c r="A1135" s="182" t="s">
        <v>3191</v>
      </c>
      <c r="B1135" s="182" t="s">
        <v>908</v>
      </c>
      <c r="C1135" s="182" t="s">
        <v>909</v>
      </c>
      <c r="D1135" s="182" t="s">
        <v>976</v>
      </c>
      <c r="E1135" s="183" t="s">
        <v>977</v>
      </c>
      <c r="F1135" s="183" t="s">
        <v>576</v>
      </c>
      <c r="G1135" s="184">
        <v>200000</v>
      </c>
      <c r="H1135" s="185">
        <v>0</v>
      </c>
      <c r="I1135" s="186">
        <v>1</v>
      </c>
      <c r="J1135" s="187">
        <v>200000</v>
      </c>
      <c r="K1135" s="182" t="s">
        <v>3196</v>
      </c>
      <c r="L1135" s="182">
        <v>1</v>
      </c>
      <c r="M1135" s="182" t="s">
        <v>3197</v>
      </c>
      <c r="N1135" s="186">
        <v>1</v>
      </c>
      <c r="O1135" s="188">
        <v>200000</v>
      </c>
      <c r="P1135" s="188">
        <v>1</v>
      </c>
      <c r="Q1135" s="188">
        <v>200000</v>
      </c>
      <c r="R1135" s="189">
        <v>10.02</v>
      </c>
      <c r="S1135" s="189" t="s">
        <v>985</v>
      </c>
    </row>
    <row r="1136" spans="1:19" ht="14.25" customHeight="1" x14ac:dyDescent="0.3">
      <c r="A1136" s="182" t="s">
        <v>3191</v>
      </c>
      <c r="B1136" s="182" t="s">
        <v>937</v>
      </c>
      <c r="C1136" s="182" t="s">
        <v>938</v>
      </c>
      <c r="D1136" s="182" t="s">
        <v>939</v>
      </c>
      <c r="E1136" s="183" t="s">
        <v>940</v>
      </c>
      <c r="F1136" s="183" t="s">
        <v>941</v>
      </c>
      <c r="G1136" s="184">
        <v>3</v>
      </c>
      <c r="H1136" s="185">
        <v>0</v>
      </c>
      <c r="I1136" s="186">
        <v>60860.580776572002</v>
      </c>
      <c r="J1136" s="187">
        <v>182581.74232971601</v>
      </c>
      <c r="K1136" s="182" t="s">
        <v>3198</v>
      </c>
      <c r="L1136" s="182">
        <v>1</v>
      </c>
      <c r="M1136" s="182" t="s">
        <v>3199</v>
      </c>
      <c r="N1136" s="186">
        <v>1</v>
      </c>
      <c r="O1136" s="188">
        <v>3</v>
      </c>
      <c r="P1136" s="188">
        <v>1</v>
      </c>
      <c r="Q1136" s="188">
        <v>3</v>
      </c>
      <c r="R1136" s="189">
        <v>10.02</v>
      </c>
      <c r="S1136" s="189" t="s">
        <v>985</v>
      </c>
    </row>
    <row r="1137" spans="1:19" ht="14.25" customHeight="1" x14ac:dyDescent="0.3">
      <c r="A1137" s="182" t="s">
        <v>3191</v>
      </c>
      <c r="B1137" s="182" t="s">
        <v>937</v>
      </c>
      <c r="C1137" s="182" t="s">
        <v>938</v>
      </c>
      <c r="D1137" s="190" t="s">
        <v>944</v>
      </c>
      <c r="E1137" s="183" t="s">
        <v>945</v>
      </c>
      <c r="F1137" s="183" t="s">
        <v>941</v>
      </c>
      <c r="G1137" s="184">
        <v>6</v>
      </c>
      <c r="H1137" s="185">
        <v>0</v>
      </c>
      <c r="I1137" s="186">
        <v>85927.097156571996</v>
      </c>
      <c r="J1137" s="187">
        <v>515562.582939432</v>
      </c>
      <c r="K1137" s="182" t="s">
        <v>3198</v>
      </c>
      <c r="L1137" s="182">
        <v>2</v>
      </c>
      <c r="M1137" s="182" t="s">
        <v>3200</v>
      </c>
      <c r="N1137" s="186">
        <v>1</v>
      </c>
      <c r="O1137" s="188">
        <v>6</v>
      </c>
      <c r="P1137" s="188">
        <v>1</v>
      </c>
      <c r="Q1137" s="188">
        <v>6</v>
      </c>
      <c r="R1137" s="189">
        <v>10.02</v>
      </c>
      <c r="S1137" s="189" t="s">
        <v>985</v>
      </c>
    </row>
    <row r="1138" spans="1:19" ht="14.25" customHeight="1" x14ac:dyDescent="0.3">
      <c r="A1138" s="182" t="s">
        <v>3201</v>
      </c>
      <c r="B1138" s="182" t="s">
        <v>563</v>
      </c>
      <c r="C1138" s="182"/>
      <c r="D1138" s="182" t="s">
        <v>3202</v>
      </c>
      <c r="E1138" s="183" t="s">
        <v>3203</v>
      </c>
      <c r="F1138" s="183"/>
      <c r="G1138" s="184">
        <v>1</v>
      </c>
      <c r="H1138" s="185">
        <v>0</v>
      </c>
      <c r="I1138" s="186">
        <v>5986.08243951861</v>
      </c>
      <c r="J1138" s="187">
        <v>5986.08243951861</v>
      </c>
      <c r="K1138" s="182" t="s">
        <v>3204</v>
      </c>
      <c r="L1138" s="182">
        <v>1</v>
      </c>
      <c r="M1138" s="182" t="s">
        <v>3205</v>
      </c>
      <c r="N1138" s="186">
        <v>1</v>
      </c>
      <c r="O1138" s="188">
        <v>1</v>
      </c>
      <c r="P1138" s="188">
        <v>1</v>
      </c>
      <c r="Q1138" s="188">
        <v>1</v>
      </c>
      <c r="R1138" s="189">
        <v>10.029999999999999</v>
      </c>
      <c r="S1138" s="189" t="s">
        <v>985</v>
      </c>
    </row>
    <row r="1139" spans="1:19" ht="14.25" customHeight="1" x14ac:dyDescent="0.3">
      <c r="A1139" s="182" t="s">
        <v>3201</v>
      </c>
      <c r="B1139" s="182" t="s">
        <v>908</v>
      </c>
      <c r="C1139" s="182" t="s">
        <v>909</v>
      </c>
      <c r="D1139" s="182" t="s">
        <v>976</v>
      </c>
      <c r="E1139" s="183" t="s">
        <v>977</v>
      </c>
      <c r="F1139" s="183" t="s">
        <v>576</v>
      </c>
      <c r="G1139" s="184">
        <v>50000</v>
      </c>
      <c r="H1139" s="185">
        <v>0</v>
      </c>
      <c r="I1139" s="186">
        <v>1</v>
      </c>
      <c r="J1139" s="187">
        <v>50000</v>
      </c>
      <c r="K1139" s="182" t="s">
        <v>3206</v>
      </c>
      <c r="L1139" s="182">
        <v>1</v>
      </c>
      <c r="M1139" s="182" t="s">
        <v>3207</v>
      </c>
      <c r="N1139" s="186">
        <v>1</v>
      </c>
      <c r="O1139" s="188">
        <v>50000</v>
      </c>
      <c r="P1139" s="188">
        <v>1</v>
      </c>
      <c r="Q1139" s="188">
        <v>50000</v>
      </c>
      <c r="R1139" s="189">
        <v>10.029999999999999</v>
      </c>
      <c r="S1139" s="189" t="s">
        <v>985</v>
      </c>
    </row>
    <row r="1140" spans="1:19" ht="14.25" customHeight="1" x14ac:dyDescent="0.3">
      <c r="A1140" s="182" t="s">
        <v>3201</v>
      </c>
      <c r="B1140" s="182" t="s">
        <v>937</v>
      </c>
      <c r="C1140" s="182" t="s">
        <v>938</v>
      </c>
      <c r="D1140" s="182" t="s">
        <v>939</v>
      </c>
      <c r="E1140" s="183" t="s">
        <v>940</v>
      </c>
      <c r="F1140" s="183" t="s">
        <v>941</v>
      </c>
      <c r="G1140" s="184">
        <v>1.5</v>
      </c>
      <c r="H1140" s="185">
        <v>0</v>
      </c>
      <c r="I1140" s="186">
        <v>60860.580776572002</v>
      </c>
      <c r="J1140" s="187">
        <v>91290.871164858007</v>
      </c>
      <c r="K1140" s="182" t="s">
        <v>3208</v>
      </c>
      <c r="L1140" s="182">
        <v>1</v>
      </c>
      <c r="M1140" s="182" t="s">
        <v>3209</v>
      </c>
      <c r="N1140" s="186">
        <v>1</v>
      </c>
      <c r="O1140" s="188">
        <v>1.5</v>
      </c>
      <c r="P1140" s="188">
        <v>1</v>
      </c>
      <c r="Q1140" s="188">
        <v>1.5</v>
      </c>
      <c r="R1140" s="189">
        <v>10.029999999999999</v>
      </c>
      <c r="S1140" s="189" t="s">
        <v>985</v>
      </c>
    </row>
    <row r="1141" spans="1:19" ht="14.25" customHeight="1" x14ac:dyDescent="0.3">
      <c r="A1141" s="182" t="s">
        <v>3201</v>
      </c>
      <c r="B1141" s="182" t="s">
        <v>937</v>
      </c>
      <c r="C1141" s="182" t="s">
        <v>938</v>
      </c>
      <c r="D1141" s="190" t="s">
        <v>944</v>
      </c>
      <c r="E1141" s="183" t="s">
        <v>945</v>
      </c>
      <c r="F1141" s="183" t="s">
        <v>941</v>
      </c>
      <c r="G1141" s="184">
        <v>3</v>
      </c>
      <c r="H1141" s="185">
        <v>0</v>
      </c>
      <c r="I1141" s="186">
        <v>85927.097156571996</v>
      </c>
      <c r="J1141" s="187">
        <v>257781.291469716</v>
      </c>
      <c r="K1141" s="182" t="s">
        <v>3208</v>
      </c>
      <c r="L1141" s="182">
        <v>2</v>
      </c>
      <c r="M1141" s="182" t="s">
        <v>3210</v>
      </c>
      <c r="N1141" s="186">
        <v>1</v>
      </c>
      <c r="O1141" s="188">
        <v>3</v>
      </c>
      <c r="P1141" s="188">
        <v>1</v>
      </c>
      <c r="Q1141" s="188">
        <v>3</v>
      </c>
      <c r="R1141" s="189">
        <v>10.029999999999999</v>
      </c>
      <c r="S1141" s="189" t="s">
        <v>985</v>
      </c>
    </row>
    <row r="1142" spans="1:19" ht="14.25" customHeight="1" x14ac:dyDescent="0.3">
      <c r="A1142" s="182" t="s">
        <v>3211</v>
      </c>
      <c r="B1142" s="182" t="s">
        <v>563</v>
      </c>
      <c r="C1142" s="182"/>
      <c r="D1142" s="182" t="s">
        <v>3212</v>
      </c>
      <c r="E1142" s="183" t="s">
        <v>3213</v>
      </c>
      <c r="F1142" s="183"/>
      <c r="G1142" s="184">
        <v>1</v>
      </c>
      <c r="H1142" s="185">
        <v>0</v>
      </c>
      <c r="I1142" s="186">
        <v>649.07216263457406</v>
      </c>
      <c r="J1142" s="187">
        <v>649.07216263457406</v>
      </c>
      <c r="K1142" s="182" t="s">
        <v>3214</v>
      </c>
      <c r="L1142" s="182">
        <v>1</v>
      </c>
      <c r="M1142" s="182" t="s">
        <v>3215</v>
      </c>
      <c r="N1142" s="186">
        <v>1</v>
      </c>
      <c r="O1142" s="188">
        <v>1</v>
      </c>
      <c r="P1142" s="188">
        <v>10</v>
      </c>
      <c r="Q1142" s="188">
        <v>10</v>
      </c>
      <c r="R1142" s="189">
        <v>10.039999999999999</v>
      </c>
      <c r="S1142" s="189" t="s">
        <v>985</v>
      </c>
    </row>
    <row r="1143" spans="1:19" ht="14.25" customHeight="1" x14ac:dyDescent="0.3">
      <c r="A1143" s="182" t="s">
        <v>3211</v>
      </c>
      <c r="B1143" s="182" t="s">
        <v>908</v>
      </c>
      <c r="C1143" s="182" t="s">
        <v>909</v>
      </c>
      <c r="D1143" s="182" t="s">
        <v>976</v>
      </c>
      <c r="E1143" s="183" t="s">
        <v>977</v>
      </c>
      <c r="F1143" s="183" t="s">
        <v>576</v>
      </c>
      <c r="G1143" s="184">
        <v>20000</v>
      </c>
      <c r="H1143" s="185">
        <v>0</v>
      </c>
      <c r="I1143" s="186">
        <v>1</v>
      </c>
      <c r="J1143" s="187">
        <v>20000</v>
      </c>
      <c r="K1143" s="182" t="s">
        <v>3216</v>
      </c>
      <c r="L1143" s="182">
        <v>1</v>
      </c>
      <c r="M1143" s="182" t="s">
        <v>3217</v>
      </c>
      <c r="N1143" s="186">
        <v>1</v>
      </c>
      <c r="O1143" s="188">
        <v>20000</v>
      </c>
      <c r="P1143" s="188">
        <v>10</v>
      </c>
      <c r="Q1143" s="188">
        <v>200000</v>
      </c>
      <c r="R1143" s="189">
        <v>10.039999999999999</v>
      </c>
      <c r="S1143" s="189" t="s">
        <v>985</v>
      </c>
    </row>
    <row r="1144" spans="1:19" ht="14.25" customHeight="1" x14ac:dyDescent="0.3">
      <c r="A1144" s="182" t="s">
        <v>3211</v>
      </c>
      <c r="B1144" s="182" t="s">
        <v>937</v>
      </c>
      <c r="C1144" s="182" t="s">
        <v>938</v>
      </c>
      <c r="D1144" s="182" t="s">
        <v>939</v>
      </c>
      <c r="E1144" s="183" t="s">
        <v>940</v>
      </c>
      <c r="F1144" s="183" t="s">
        <v>941</v>
      </c>
      <c r="G1144" s="184">
        <v>0.1</v>
      </c>
      <c r="H1144" s="185">
        <v>0</v>
      </c>
      <c r="I1144" s="186">
        <v>60860.580776572002</v>
      </c>
      <c r="J1144" s="187">
        <v>6086.0580776571996</v>
      </c>
      <c r="K1144" s="182" t="s">
        <v>3218</v>
      </c>
      <c r="L1144" s="182">
        <v>1</v>
      </c>
      <c r="M1144" s="182" t="s">
        <v>3219</v>
      </c>
      <c r="N1144" s="186">
        <v>1</v>
      </c>
      <c r="O1144" s="188">
        <v>0.1</v>
      </c>
      <c r="P1144" s="188">
        <v>10</v>
      </c>
      <c r="Q1144" s="188">
        <v>1</v>
      </c>
      <c r="R1144" s="189">
        <v>10.039999999999999</v>
      </c>
      <c r="S1144" s="189" t="s">
        <v>985</v>
      </c>
    </row>
    <row r="1145" spans="1:19" ht="14.25" customHeight="1" x14ac:dyDescent="0.3">
      <c r="A1145" s="182" t="s">
        <v>3211</v>
      </c>
      <c r="B1145" s="182" t="s">
        <v>937</v>
      </c>
      <c r="C1145" s="182" t="s">
        <v>938</v>
      </c>
      <c r="D1145" s="190" t="s">
        <v>944</v>
      </c>
      <c r="E1145" s="183" t="s">
        <v>945</v>
      </c>
      <c r="F1145" s="183" t="s">
        <v>941</v>
      </c>
      <c r="G1145" s="184">
        <v>0.2</v>
      </c>
      <c r="H1145" s="185">
        <v>0</v>
      </c>
      <c r="I1145" s="186">
        <v>85927.097156571996</v>
      </c>
      <c r="J1145" s="187">
        <v>17185.4194313144</v>
      </c>
      <c r="K1145" s="182" t="s">
        <v>3218</v>
      </c>
      <c r="L1145" s="182">
        <v>2</v>
      </c>
      <c r="M1145" s="182" t="s">
        <v>3220</v>
      </c>
      <c r="N1145" s="186">
        <v>1</v>
      </c>
      <c r="O1145" s="188">
        <v>0.2</v>
      </c>
      <c r="P1145" s="188">
        <v>10</v>
      </c>
      <c r="Q1145" s="188">
        <v>2</v>
      </c>
      <c r="R1145" s="189">
        <v>10.039999999999999</v>
      </c>
      <c r="S1145" s="189" t="s">
        <v>985</v>
      </c>
    </row>
    <row r="1146" spans="1:19" ht="14.25" customHeight="1" x14ac:dyDescent="0.3">
      <c r="A1146" s="182" t="s">
        <v>3221</v>
      </c>
      <c r="B1146" s="182" t="s">
        <v>563</v>
      </c>
      <c r="C1146" s="182"/>
      <c r="D1146" s="182" t="s">
        <v>952</v>
      </c>
      <c r="E1146" s="183" t="s">
        <v>953</v>
      </c>
      <c r="F1146" s="183"/>
      <c r="G1146" s="184">
        <v>1</v>
      </c>
      <c r="H1146" s="185">
        <v>0</v>
      </c>
      <c r="I1146" s="186">
        <v>2287.1357450968098</v>
      </c>
      <c r="J1146" s="187">
        <v>2287.1357450968098</v>
      </c>
      <c r="K1146" s="182" t="s">
        <v>3222</v>
      </c>
      <c r="L1146" s="182">
        <v>1</v>
      </c>
      <c r="M1146" s="182" t="s">
        <v>3223</v>
      </c>
      <c r="N1146" s="186">
        <v>11.5</v>
      </c>
      <c r="O1146" s="188">
        <v>1</v>
      </c>
      <c r="P1146" s="188">
        <v>39</v>
      </c>
      <c r="Q1146" s="188">
        <v>39</v>
      </c>
      <c r="R1146" s="189">
        <v>11.02</v>
      </c>
      <c r="S1146" s="189" t="s">
        <v>1354</v>
      </c>
    </row>
    <row r="1147" spans="1:19" ht="14.25" customHeight="1" x14ac:dyDescent="0.3">
      <c r="A1147" s="182" t="s">
        <v>3221</v>
      </c>
      <c r="B1147" s="182" t="s">
        <v>563</v>
      </c>
      <c r="C1147" s="182"/>
      <c r="D1147" s="182" t="s">
        <v>955</v>
      </c>
      <c r="E1147" s="183" t="s">
        <v>956</v>
      </c>
      <c r="F1147" s="183"/>
      <c r="G1147" s="184">
        <v>1</v>
      </c>
      <c r="H1147" s="185">
        <v>0</v>
      </c>
      <c r="I1147" s="186">
        <v>957.25319614994703</v>
      </c>
      <c r="J1147" s="187">
        <v>957.25319614994703</v>
      </c>
      <c r="K1147" s="182" t="s">
        <v>3222</v>
      </c>
      <c r="L1147" s="182">
        <v>2</v>
      </c>
      <c r="M1147" s="182" t="s">
        <v>3224</v>
      </c>
      <c r="N1147" s="186">
        <v>11.5</v>
      </c>
      <c r="O1147" s="188">
        <v>1</v>
      </c>
      <c r="P1147" s="188">
        <v>39</v>
      </c>
      <c r="Q1147" s="188">
        <v>39</v>
      </c>
      <c r="R1147" s="189">
        <v>11.02</v>
      </c>
      <c r="S1147" s="189" t="s">
        <v>1354</v>
      </c>
    </row>
    <row r="1148" spans="1:19" ht="14.25" customHeight="1" x14ac:dyDescent="0.3">
      <c r="A1148" s="182" t="s">
        <v>3221</v>
      </c>
      <c r="B1148" s="182" t="s">
        <v>908</v>
      </c>
      <c r="C1148" s="182" t="s">
        <v>909</v>
      </c>
      <c r="D1148" s="182" t="s">
        <v>962</v>
      </c>
      <c r="E1148" s="183" t="s">
        <v>963</v>
      </c>
      <c r="F1148" s="183" t="s">
        <v>590</v>
      </c>
      <c r="G1148" s="184">
        <v>3.5999999999999997E-2</v>
      </c>
      <c r="H1148" s="185">
        <v>0.1</v>
      </c>
      <c r="I1148" s="186">
        <v>32399.77</v>
      </c>
      <c r="J1148" s="187">
        <v>1283.030892</v>
      </c>
      <c r="K1148" s="182" t="s">
        <v>3225</v>
      </c>
      <c r="L1148" s="182">
        <v>1</v>
      </c>
      <c r="M1148" s="182" t="s">
        <v>3226</v>
      </c>
      <c r="N1148" s="186">
        <v>11.5</v>
      </c>
      <c r="O1148" s="188">
        <v>3.5999999999999997E-2</v>
      </c>
      <c r="P1148" s="188">
        <v>39</v>
      </c>
      <c r="Q1148" s="188">
        <v>1.4039999999999999</v>
      </c>
      <c r="R1148" s="189">
        <v>11.02</v>
      </c>
      <c r="S1148" s="189" t="s">
        <v>1354</v>
      </c>
    </row>
    <row r="1149" spans="1:19" ht="14.25" customHeight="1" x14ac:dyDescent="0.3">
      <c r="A1149" s="182" t="s">
        <v>3221</v>
      </c>
      <c r="B1149" s="182" t="s">
        <v>908</v>
      </c>
      <c r="C1149" s="182" t="s">
        <v>909</v>
      </c>
      <c r="D1149" s="182" t="s">
        <v>965</v>
      </c>
      <c r="E1149" s="183" t="s">
        <v>966</v>
      </c>
      <c r="F1149" s="183" t="s">
        <v>967</v>
      </c>
      <c r="G1149" s="184">
        <v>0.32400000000000001</v>
      </c>
      <c r="H1149" s="185">
        <v>0.1</v>
      </c>
      <c r="I1149" s="186">
        <v>7809.48</v>
      </c>
      <c r="J1149" s="187">
        <v>2783.2986719999999</v>
      </c>
      <c r="K1149" s="182" t="s">
        <v>3225</v>
      </c>
      <c r="L1149" s="182">
        <v>2</v>
      </c>
      <c r="M1149" s="182" t="s">
        <v>3227</v>
      </c>
      <c r="N1149" s="186">
        <v>11.5</v>
      </c>
      <c r="O1149" s="188">
        <v>0.32400000000000001</v>
      </c>
      <c r="P1149" s="188">
        <v>39</v>
      </c>
      <c r="Q1149" s="188">
        <v>12.635999999999999</v>
      </c>
      <c r="R1149" s="189">
        <v>11.02</v>
      </c>
      <c r="S1149" s="189" t="s">
        <v>1354</v>
      </c>
    </row>
    <row r="1150" spans="1:19" ht="14.25" customHeight="1" x14ac:dyDescent="0.3">
      <c r="A1150" s="182" t="s">
        <v>3221</v>
      </c>
      <c r="B1150" s="182" t="s">
        <v>937</v>
      </c>
      <c r="C1150" s="182" t="s">
        <v>938</v>
      </c>
      <c r="D1150" s="190" t="s">
        <v>939</v>
      </c>
      <c r="E1150" s="183" t="s">
        <v>940</v>
      </c>
      <c r="F1150" s="183" t="s">
        <v>941</v>
      </c>
      <c r="G1150" s="184">
        <v>0.5</v>
      </c>
      <c r="H1150" s="185">
        <v>0</v>
      </c>
      <c r="I1150" s="186">
        <v>60860.580776572002</v>
      </c>
      <c r="J1150" s="187">
        <v>30430.290388286001</v>
      </c>
      <c r="K1150" s="182" t="s">
        <v>3228</v>
      </c>
      <c r="L1150" s="182">
        <v>1</v>
      </c>
      <c r="M1150" s="182" t="s">
        <v>3229</v>
      </c>
      <c r="N1150" s="186">
        <v>11.5</v>
      </c>
      <c r="O1150" s="188">
        <v>4.3478260869565202E-2</v>
      </c>
      <c r="P1150" s="188">
        <v>39</v>
      </c>
      <c r="Q1150" s="188">
        <v>1.6956521739130399</v>
      </c>
      <c r="R1150" s="189">
        <v>11.02</v>
      </c>
      <c r="S1150" s="189" t="s">
        <v>1354</v>
      </c>
    </row>
    <row r="1151" spans="1:19" ht="14.25" customHeight="1" x14ac:dyDescent="0.3">
      <c r="A1151" s="182" t="s">
        <v>3221</v>
      </c>
      <c r="B1151" s="182" t="s">
        <v>937</v>
      </c>
      <c r="C1151" s="182" t="s">
        <v>938</v>
      </c>
      <c r="D1151" s="190" t="s">
        <v>944</v>
      </c>
      <c r="E1151" s="183" t="s">
        <v>945</v>
      </c>
      <c r="F1151" s="183" t="s">
        <v>941</v>
      </c>
      <c r="G1151" s="184">
        <v>1</v>
      </c>
      <c r="H1151" s="185">
        <v>0</v>
      </c>
      <c r="I1151" s="186">
        <v>85927.097156571996</v>
      </c>
      <c r="J1151" s="187">
        <v>85927.097156571996</v>
      </c>
      <c r="K1151" s="182" t="s">
        <v>3228</v>
      </c>
      <c r="L1151" s="182">
        <v>2</v>
      </c>
      <c r="M1151" s="182" t="s">
        <v>3230</v>
      </c>
      <c r="N1151" s="186">
        <v>11.5</v>
      </c>
      <c r="O1151" s="188">
        <v>8.6956521739130405E-2</v>
      </c>
      <c r="P1151" s="188">
        <v>39</v>
      </c>
      <c r="Q1151" s="188">
        <v>3.39130434782609</v>
      </c>
      <c r="R1151" s="189">
        <v>11.02</v>
      </c>
      <c r="S1151" s="189" t="s">
        <v>1354</v>
      </c>
    </row>
    <row r="1152" spans="1:19" ht="14.25" customHeight="1" x14ac:dyDescent="0.3">
      <c r="A1152" s="182" t="s">
        <v>3231</v>
      </c>
      <c r="B1152" s="182" t="s">
        <v>563</v>
      </c>
      <c r="C1152" s="182"/>
      <c r="D1152" s="182" t="s">
        <v>1350</v>
      </c>
      <c r="E1152" s="183" t="s">
        <v>1351</v>
      </c>
      <c r="F1152" s="183"/>
      <c r="G1152" s="184">
        <v>1</v>
      </c>
      <c r="H1152" s="185">
        <v>0</v>
      </c>
      <c r="I1152" s="186">
        <v>298.42384358082802</v>
      </c>
      <c r="J1152" s="187">
        <v>298.42384358082802</v>
      </c>
      <c r="K1152" s="182" t="s">
        <v>3232</v>
      </c>
      <c r="L1152" s="182">
        <v>1</v>
      </c>
      <c r="M1152" s="182" t="s">
        <v>3233</v>
      </c>
      <c r="N1152" s="186">
        <v>13</v>
      </c>
      <c r="O1152" s="188">
        <v>1</v>
      </c>
      <c r="P1152" s="188" t="s">
        <v>573</v>
      </c>
      <c r="Q1152" s="188">
        <v>0</v>
      </c>
      <c r="R1152" s="189" t="s">
        <v>573</v>
      </c>
      <c r="S1152" s="189" t="s">
        <v>573</v>
      </c>
    </row>
    <row r="1153" spans="1:19" ht="14.25" customHeight="1" x14ac:dyDescent="0.3">
      <c r="A1153" s="182" t="s">
        <v>3231</v>
      </c>
      <c r="B1153" s="182" t="s">
        <v>563</v>
      </c>
      <c r="C1153" s="182"/>
      <c r="D1153" s="182" t="s">
        <v>1355</v>
      </c>
      <c r="E1153" s="183" t="s">
        <v>1356</v>
      </c>
      <c r="F1153" s="183"/>
      <c r="G1153" s="184">
        <v>1</v>
      </c>
      <c r="H1153" s="185">
        <v>0</v>
      </c>
      <c r="I1153" s="186">
        <v>2637.14184448991</v>
      </c>
      <c r="J1153" s="187">
        <v>2637.14184448991</v>
      </c>
      <c r="K1153" s="182" t="s">
        <v>3232</v>
      </c>
      <c r="L1153" s="182">
        <v>2</v>
      </c>
      <c r="M1153" s="182" t="s">
        <v>3234</v>
      </c>
      <c r="N1153" s="186">
        <v>13</v>
      </c>
      <c r="O1153" s="188">
        <v>1</v>
      </c>
      <c r="P1153" s="188" t="s">
        <v>573</v>
      </c>
      <c r="Q1153" s="188">
        <v>0</v>
      </c>
      <c r="R1153" s="189" t="s">
        <v>573</v>
      </c>
      <c r="S1153" s="189" t="s">
        <v>573</v>
      </c>
    </row>
    <row r="1154" spans="1:19" ht="14.25" customHeight="1" x14ac:dyDescent="0.3">
      <c r="A1154" s="182" t="s">
        <v>3231</v>
      </c>
      <c r="B1154" s="182" t="s">
        <v>908</v>
      </c>
      <c r="C1154" s="182" t="s">
        <v>909</v>
      </c>
      <c r="D1154" s="182" t="s">
        <v>969</v>
      </c>
      <c r="E1154" s="183" t="s">
        <v>970</v>
      </c>
      <c r="F1154" s="183" t="s">
        <v>971</v>
      </c>
      <c r="G1154" s="184">
        <v>0.4</v>
      </c>
      <c r="H1154" s="185">
        <v>0.2</v>
      </c>
      <c r="I1154" s="186">
        <v>3837.96</v>
      </c>
      <c r="J1154" s="187">
        <v>1842.2208000000001</v>
      </c>
      <c r="K1154" s="182" t="s">
        <v>3235</v>
      </c>
      <c r="L1154" s="182">
        <v>1</v>
      </c>
      <c r="M1154" s="182" t="s">
        <v>3236</v>
      </c>
      <c r="N1154" s="186">
        <v>13</v>
      </c>
      <c r="O1154" s="188">
        <v>0.4</v>
      </c>
      <c r="P1154" s="188" t="s">
        <v>573</v>
      </c>
      <c r="Q1154" s="188">
        <v>0</v>
      </c>
      <c r="R1154" s="189" t="s">
        <v>573</v>
      </c>
      <c r="S1154" s="189" t="s">
        <v>573</v>
      </c>
    </row>
    <row r="1155" spans="1:19" ht="14.25" customHeight="1" x14ac:dyDescent="0.3">
      <c r="A1155" s="182" t="s">
        <v>3231</v>
      </c>
      <c r="B1155" s="182" t="s">
        <v>908</v>
      </c>
      <c r="C1155" s="182" t="s">
        <v>909</v>
      </c>
      <c r="D1155" s="182" t="s">
        <v>915</v>
      </c>
      <c r="E1155" s="183" t="s">
        <v>916</v>
      </c>
      <c r="F1155" s="183" t="s">
        <v>600</v>
      </c>
      <c r="G1155" s="184">
        <v>0.01</v>
      </c>
      <c r="H1155" s="185">
        <v>0.03</v>
      </c>
      <c r="I1155" s="186">
        <v>735.06</v>
      </c>
      <c r="J1155" s="187">
        <v>7.5711180000000002</v>
      </c>
      <c r="K1155" s="182" t="s">
        <v>3235</v>
      </c>
      <c r="L1155" s="182">
        <v>2</v>
      </c>
      <c r="M1155" s="182" t="s">
        <v>3237</v>
      </c>
      <c r="N1155" s="186">
        <v>13</v>
      </c>
      <c r="O1155" s="188">
        <v>0.01</v>
      </c>
      <c r="P1155" s="188" t="s">
        <v>573</v>
      </c>
      <c r="Q1155" s="188">
        <v>0</v>
      </c>
      <c r="R1155" s="189" t="s">
        <v>573</v>
      </c>
      <c r="S1155" s="189" t="s">
        <v>573</v>
      </c>
    </row>
    <row r="1156" spans="1:19" ht="14.25" customHeight="1" x14ac:dyDescent="0.3">
      <c r="A1156" s="182" t="s">
        <v>3231</v>
      </c>
      <c r="B1156" s="182" t="s">
        <v>908</v>
      </c>
      <c r="C1156" s="182" t="s">
        <v>909</v>
      </c>
      <c r="D1156" s="182" t="s">
        <v>1367</v>
      </c>
      <c r="E1156" s="183" t="s">
        <v>1368</v>
      </c>
      <c r="F1156" s="183" t="s">
        <v>600</v>
      </c>
      <c r="G1156" s="184">
        <v>4.0000000000000001E-3</v>
      </c>
      <c r="H1156" s="185">
        <v>0.05</v>
      </c>
      <c r="I1156" s="186">
        <v>20237</v>
      </c>
      <c r="J1156" s="187">
        <v>84.995400000000004</v>
      </c>
      <c r="K1156" s="182" t="s">
        <v>3235</v>
      </c>
      <c r="L1156" s="182">
        <v>3</v>
      </c>
      <c r="M1156" s="182" t="s">
        <v>3238</v>
      </c>
      <c r="N1156" s="186">
        <v>13</v>
      </c>
      <c r="O1156" s="188">
        <v>4.0000000000000001E-3</v>
      </c>
      <c r="P1156" s="188" t="s">
        <v>573</v>
      </c>
      <c r="Q1156" s="188">
        <v>0</v>
      </c>
      <c r="R1156" s="189" t="s">
        <v>573</v>
      </c>
      <c r="S1156" s="189" t="s">
        <v>573</v>
      </c>
    </row>
    <row r="1157" spans="1:19" ht="14.25" customHeight="1" x14ac:dyDescent="0.3">
      <c r="A1157" s="182" t="s">
        <v>3231</v>
      </c>
      <c r="B1157" s="182" t="s">
        <v>908</v>
      </c>
      <c r="C1157" s="182" t="s">
        <v>909</v>
      </c>
      <c r="D1157" s="182" t="s">
        <v>1370</v>
      </c>
      <c r="E1157" s="183" t="s">
        <v>1371</v>
      </c>
      <c r="F1157" s="183" t="s">
        <v>912</v>
      </c>
      <c r="G1157" s="184">
        <v>0.04</v>
      </c>
      <c r="H1157" s="185">
        <v>0.05</v>
      </c>
      <c r="I1157" s="186">
        <v>44669.4214876033</v>
      </c>
      <c r="J1157" s="187">
        <v>1876.1157024793399</v>
      </c>
      <c r="K1157" s="182" t="s">
        <v>3235</v>
      </c>
      <c r="L1157" s="182">
        <v>4</v>
      </c>
      <c r="M1157" s="182" t="s">
        <v>3239</v>
      </c>
      <c r="N1157" s="186">
        <v>13</v>
      </c>
      <c r="O1157" s="188">
        <v>0.04</v>
      </c>
      <c r="P1157" s="188" t="s">
        <v>573</v>
      </c>
      <c r="Q1157" s="188">
        <v>0</v>
      </c>
      <c r="R1157" s="189" t="s">
        <v>573</v>
      </c>
      <c r="S1157" s="189" t="s">
        <v>573</v>
      </c>
    </row>
    <row r="1158" spans="1:19" ht="14.25" customHeight="1" x14ac:dyDescent="0.3">
      <c r="A1158" s="182" t="s">
        <v>3231</v>
      </c>
      <c r="B1158" s="182" t="s">
        <v>937</v>
      </c>
      <c r="C1158" s="182" t="s">
        <v>938</v>
      </c>
      <c r="D1158" s="190" t="s">
        <v>944</v>
      </c>
      <c r="E1158" s="183" t="s">
        <v>945</v>
      </c>
      <c r="F1158" s="183" t="s">
        <v>941</v>
      </c>
      <c r="G1158" s="184">
        <v>1</v>
      </c>
      <c r="H1158" s="185">
        <v>0</v>
      </c>
      <c r="I1158" s="186">
        <v>85927.097156571996</v>
      </c>
      <c r="J1158" s="187">
        <v>85927.097156571996</v>
      </c>
      <c r="K1158" s="182" t="s">
        <v>3240</v>
      </c>
      <c r="L1158" s="182">
        <v>1</v>
      </c>
      <c r="M1158" s="182" t="s">
        <v>3241</v>
      </c>
      <c r="N1158" s="186">
        <v>13</v>
      </c>
      <c r="O1158" s="188">
        <v>7.69230769230769E-2</v>
      </c>
      <c r="P1158" s="188" t="s">
        <v>573</v>
      </c>
      <c r="Q1158" s="188">
        <v>0</v>
      </c>
      <c r="R1158" s="189" t="s">
        <v>573</v>
      </c>
      <c r="S1158" s="189" t="s">
        <v>573</v>
      </c>
    </row>
    <row r="1159" spans="1:19" ht="14.25" customHeight="1" x14ac:dyDescent="0.3">
      <c r="A1159" s="182" t="s">
        <v>3231</v>
      </c>
      <c r="B1159" s="182" t="s">
        <v>937</v>
      </c>
      <c r="C1159" s="182" t="s">
        <v>938</v>
      </c>
      <c r="D1159" s="190" t="s">
        <v>1375</v>
      </c>
      <c r="E1159" s="183" t="s">
        <v>1376</v>
      </c>
      <c r="F1159" s="183" t="s">
        <v>941</v>
      </c>
      <c r="G1159" s="184">
        <v>1</v>
      </c>
      <c r="H1159" s="185">
        <v>0</v>
      </c>
      <c r="I1159" s="186">
        <v>76955.079706571996</v>
      </c>
      <c r="J1159" s="187">
        <v>76955.079706571996</v>
      </c>
      <c r="K1159" s="182" t="s">
        <v>3240</v>
      </c>
      <c r="L1159" s="182">
        <v>2</v>
      </c>
      <c r="M1159" s="182" t="s">
        <v>3242</v>
      </c>
      <c r="N1159" s="186">
        <v>13</v>
      </c>
      <c r="O1159" s="188">
        <v>7.69230769230769E-2</v>
      </c>
      <c r="P1159" s="188" t="s">
        <v>573</v>
      </c>
      <c r="Q1159" s="188">
        <v>0</v>
      </c>
      <c r="R1159" s="189" t="s">
        <v>573</v>
      </c>
      <c r="S1159" s="189" t="s">
        <v>573</v>
      </c>
    </row>
    <row r="1160" spans="1:19" ht="14.25" customHeight="1" x14ac:dyDescent="0.3">
      <c r="A1160" s="182" t="s">
        <v>3243</v>
      </c>
      <c r="B1160" s="182" t="s">
        <v>563</v>
      </c>
      <c r="C1160" s="182"/>
      <c r="D1160" s="182" t="s">
        <v>3244</v>
      </c>
      <c r="E1160" s="183" t="s">
        <v>3245</v>
      </c>
      <c r="F1160" s="183"/>
      <c r="G1160" s="184">
        <v>1</v>
      </c>
      <c r="H1160" s="185">
        <v>0</v>
      </c>
      <c r="I1160" s="186">
        <v>212.50168340278501</v>
      </c>
      <c r="J1160" s="187">
        <v>212.50168340278501</v>
      </c>
      <c r="K1160" s="182" t="s">
        <v>3246</v>
      </c>
      <c r="L1160" s="182">
        <v>1</v>
      </c>
      <c r="M1160" s="182" t="s">
        <v>3247</v>
      </c>
      <c r="N1160" s="186">
        <v>1</v>
      </c>
      <c r="O1160" s="188">
        <v>1</v>
      </c>
      <c r="P1160" s="188">
        <v>174</v>
      </c>
      <c r="Q1160" s="188">
        <v>174</v>
      </c>
      <c r="R1160" s="189">
        <v>11.04</v>
      </c>
      <c r="S1160" s="189" t="s">
        <v>1354</v>
      </c>
    </row>
    <row r="1161" spans="1:19" ht="14.25" customHeight="1" x14ac:dyDescent="0.3">
      <c r="A1161" s="182" t="s">
        <v>3243</v>
      </c>
      <c r="B1161" s="182" t="s">
        <v>908</v>
      </c>
      <c r="C1161" s="182" t="s">
        <v>1358</v>
      </c>
      <c r="D1161" s="182" t="s">
        <v>3096</v>
      </c>
      <c r="E1161" s="183" t="s">
        <v>3097</v>
      </c>
      <c r="F1161" s="183" t="s">
        <v>590</v>
      </c>
      <c r="G1161" s="184">
        <v>4.0229885057471299E-2</v>
      </c>
      <c r="H1161" s="185">
        <v>0</v>
      </c>
      <c r="I1161" s="186">
        <v>32399.77</v>
      </c>
      <c r="J1161" s="187">
        <v>1303.43902298851</v>
      </c>
      <c r="K1161" s="182" t="s">
        <v>3248</v>
      </c>
      <c r="L1161" s="182">
        <v>1</v>
      </c>
      <c r="M1161" s="182" t="s">
        <v>3249</v>
      </c>
      <c r="N1161" s="186">
        <v>1</v>
      </c>
      <c r="O1161" s="188">
        <v>4.0229885057471299E-2</v>
      </c>
      <c r="P1161" s="188">
        <v>174</v>
      </c>
      <c r="Q1161" s="188">
        <v>7.0000000000000098</v>
      </c>
      <c r="R1161" s="189">
        <v>11.04</v>
      </c>
      <c r="S1161" s="189" t="s">
        <v>1354</v>
      </c>
    </row>
    <row r="1162" spans="1:19" ht="14.25" customHeight="1" x14ac:dyDescent="0.3">
      <c r="A1162" s="182" t="s">
        <v>3243</v>
      </c>
      <c r="B1162" s="182" t="s">
        <v>937</v>
      </c>
      <c r="C1162" s="182" t="s">
        <v>938</v>
      </c>
      <c r="D1162" s="182" t="s">
        <v>939</v>
      </c>
      <c r="E1162" s="183" t="s">
        <v>940</v>
      </c>
      <c r="F1162" s="183" t="s">
        <v>941</v>
      </c>
      <c r="G1162" s="184">
        <v>8.9080459770114903E-2</v>
      </c>
      <c r="H1162" s="185">
        <v>0</v>
      </c>
      <c r="I1162" s="186">
        <v>60860.580776572002</v>
      </c>
      <c r="J1162" s="187">
        <v>5421.4885174532501</v>
      </c>
      <c r="K1162" s="182" t="s">
        <v>3250</v>
      </c>
      <c r="L1162" s="182">
        <v>1</v>
      </c>
      <c r="M1162" s="182" t="s">
        <v>3251</v>
      </c>
      <c r="N1162" s="186">
        <v>1</v>
      </c>
      <c r="O1162" s="188">
        <v>8.9080459770114903E-2</v>
      </c>
      <c r="P1162" s="188">
        <v>174</v>
      </c>
      <c r="Q1162" s="188">
        <v>15.5</v>
      </c>
      <c r="R1162" s="189">
        <v>11.04</v>
      </c>
      <c r="S1162" s="189" t="s">
        <v>1354</v>
      </c>
    </row>
    <row r="1163" spans="1:19" ht="14.25" customHeight="1" x14ac:dyDescent="0.3">
      <c r="A1163" s="182" t="s">
        <v>3243</v>
      </c>
      <c r="B1163" s="182" t="s">
        <v>937</v>
      </c>
      <c r="C1163" s="182" t="s">
        <v>938</v>
      </c>
      <c r="D1163" s="190" t="s">
        <v>944</v>
      </c>
      <c r="E1163" s="183" t="s">
        <v>945</v>
      </c>
      <c r="F1163" s="183" t="s">
        <v>941</v>
      </c>
      <c r="G1163" s="184">
        <v>4.5977011494252901E-2</v>
      </c>
      <c r="H1163" s="185">
        <v>0</v>
      </c>
      <c r="I1163" s="186">
        <v>85927.097156571996</v>
      </c>
      <c r="J1163" s="187">
        <v>3950.6711336355002</v>
      </c>
      <c r="K1163" s="182" t="s">
        <v>3250</v>
      </c>
      <c r="L1163" s="182">
        <v>2</v>
      </c>
      <c r="M1163" s="182" t="s">
        <v>3252</v>
      </c>
      <c r="N1163" s="186">
        <v>1</v>
      </c>
      <c r="O1163" s="188">
        <v>4.5977011494252901E-2</v>
      </c>
      <c r="P1163" s="188">
        <v>174</v>
      </c>
      <c r="Q1163" s="188">
        <v>8.0000000000000107</v>
      </c>
      <c r="R1163" s="189">
        <v>11.04</v>
      </c>
      <c r="S1163" s="189" t="s">
        <v>1354</v>
      </c>
    </row>
    <row r="1164" spans="1:19" ht="14.25" customHeight="1" x14ac:dyDescent="0.3">
      <c r="A1164" s="182" t="s">
        <v>3243</v>
      </c>
      <c r="B1164" s="182" t="s">
        <v>937</v>
      </c>
      <c r="C1164" s="182" t="s">
        <v>938</v>
      </c>
      <c r="D1164" s="190" t="s">
        <v>1291</v>
      </c>
      <c r="E1164" s="183" t="s">
        <v>1292</v>
      </c>
      <c r="F1164" s="183" t="s">
        <v>941</v>
      </c>
      <c r="G1164" s="184">
        <v>2.8735632183908101E-2</v>
      </c>
      <c r="H1164" s="185">
        <v>0</v>
      </c>
      <c r="I1164" s="186">
        <v>65493.071636572</v>
      </c>
      <c r="J1164" s="187">
        <v>1881.98481714288</v>
      </c>
      <c r="K1164" s="182" t="s">
        <v>3250</v>
      </c>
      <c r="L1164" s="182">
        <v>3</v>
      </c>
      <c r="M1164" s="182" t="s">
        <v>3253</v>
      </c>
      <c r="N1164" s="186">
        <v>1</v>
      </c>
      <c r="O1164" s="188">
        <v>2.8735632183908101E-2</v>
      </c>
      <c r="P1164" s="188">
        <v>174</v>
      </c>
      <c r="Q1164" s="188">
        <v>5.0000000000000098</v>
      </c>
      <c r="R1164" s="189">
        <v>11.04</v>
      </c>
      <c r="S1164" s="189" t="s">
        <v>1354</v>
      </c>
    </row>
    <row r="1165" spans="1:19" ht="14.25" customHeight="1" x14ac:dyDescent="0.3">
      <c r="A1165" s="182" t="s">
        <v>3243</v>
      </c>
      <c r="B1165" s="182" t="s">
        <v>937</v>
      </c>
      <c r="C1165" s="182" t="s">
        <v>909</v>
      </c>
      <c r="D1165" s="182" t="s">
        <v>3254</v>
      </c>
      <c r="E1165" s="183" t="s">
        <v>2365</v>
      </c>
      <c r="F1165" s="183" t="s">
        <v>941</v>
      </c>
      <c r="G1165" s="184">
        <v>5.74712643678161E-3</v>
      </c>
      <c r="H1165" s="185">
        <v>0</v>
      </c>
      <c r="I1165" s="186">
        <v>250000</v>
      </c>
      <c r="J1165" s="187">
        <v>1436.7816091954001</v>
      </c>
      <c r="K1165" s="182" t="s">
        <v>3250</v>
      </c>
      <c r="L1165" s="182">
        <v>4</v>
      </c>
      <c r="M1165" s="182" t="s">
        <v>3255</v>
      </c>
      <c r="N1165" s="186">
        <v>1</v>
      </c>
      <c r="O1165" s="188">
        <v>5.74712643678161E-3</v>
      </c>
      <c r="P1165" s="188">
        <v>174</v>
      </c>
      <c r="Q1165" s="188">
        <v>1</v>
      </c>
      <c r="R1165" s="189">
        <v>11.04</v>
      </c>
      <c r="S1165" s="189" t="s">
        <v>1354</v>
      </c>
    </row>
    <row r="1166" spans="1:19" ht="14.25" customHeight="1" x14ac:dyDescent="0.3">
      <c r="A1166" s="182" t="s">
        <v>3243</v>
      </c>
      <c r="B1166" s="182" t="s">
        <v>937</v>
      </c>
      <c r="C1166" s="182" t="s">
        <v>909</v>
      </c>
      <c r="D1166" s="182" t="s">
        <v>3256</v>
      </c>
      <c r="E1166" s="183" t="s">
        <v>3257</v>
      </c>
      <c r="F1166" s="183" t="s">
        <v>941</v>
      </c>
      <c r="G1166" s="184">
        <v>0.114942528735632</v>
      </c>
      <c r="H1166" s="185">
        <v>0</v>
      </c>
      <c r="I1166" s="186">
        <v>1500</v>
      </c>
      <c r="J1166" s="187">
        <v>172.413793103448</v>
      </c>
      <c r="K1166" s="182" t="s">
        <v>3250</v>
      </c>
      <c r="L1166" s="182">
        <v>5</v>
      </c>
      <c r="M1166" s="182" t="s">
        <v>3258</v>
      </c>
      <c r="N1166" s="186">
        <v>1</v>
      </c>
      <c r="O1166" s="188">
        <v>0.114942528735632</v>
      </c>
      <c r="P1166" s="188">
        <v>174</v>
      </c>
      <c r="Q1166" s="188">
        <v>20</v>
      </c>
      <c r="R1166" s="189">
        <v>11.04</v>
      </c>
      <c r="S1166" s="189" t="s">
        <v>1354</v>
      </c>
    </row>
    <row r="1167" spans="1:19" ht="14.25" customHeight="1" x14ac:dyDescent="0.3">
      <c r="A1167" s="182" t="s">
        <v>3259</v>
      </c>
      <c r="B1167" s="182" t="s">
        <v>563</v>
      </c>
      <c r="C1167" s="182"/>
      <c r="D1167" s="182" t="s">
        <v>3260</v>
      </c>
      <c r="E1167" s="183" t="s">
        <v>3261</v>
      </c>
      <c r="F1167" s="183"/>
      <c r="G1167" s="184">
        <v>1</v>
      </c>
      <c r="H1167" s="185">
        <v>0</v>
      </c>
      <c r="I1167" s="186">
        <v>212.50168340278501</v>
      </c>
      <c r="J1167" s="187">
        <v>212.50168340278501</v>
      </c>
      <c r="K1167" s="182" t="s">
        <v>3262</v>
      </c>
      <c r="L1167" s="182">
        <v>1</v>
      </c>
      <c r="M1167" s="182" t="s">
        <v>3263</v>
      </c>
      <c r="N1167" s="186">
        <v>1</v>
      </c>
      <c r="O1167" s="188">
        <v>1</v>
      </c>
      <c r="P1167" s="188" t="s">
        <v>573</v>
      </c>
      <c r="Q1167" s="188">
        <v>0</v>
      </c>
      <c r="R1167" s="189" t="s">
        <v>573</v>
      </c>
      <c r="S1167" s="189" t="s">
        <v>573</v>
      </c>
    </row>
    <row r="1168" spans="1:19" ht="14.25" customHeight="1" x14ac:dyDescent="0.3">
      <c r="A1168" s="182" t="s">
        <v>3259</v>
      </c>
      <c r="B1168" s="182" t="s">
        <v>908</v>
      </c>
      <c r="C1168" s="182" t="s">
        <v>1358</v>
      </c>
      <c r="D1168" s="182" t="s">
        <v>3096</v>
      </c>
      <c r="E1168" s="183" t="s">
        <v>3097</v>
      </c>
      <c r="F1168" s="183" t="s">
        <v>590</v>
      </c>
      <c r="G1168" s="184">
        <v>4.0229885057471299E-2</v>
      </c>
      <c r="H1168" s="185">
        <v>0</v>
      </c>
      <c r="I1168" s="186">
        <v>32399.77</v>
      </c>
      <c r="J1168" s="187">
        <v>1303.43902298851</v>
      </c>
      <c r="K1168" s="182" t="s">
        <v>3264</v>
      </c>
      <c r="L1168" s="182">
        <v>1</v>
      </c>
      <c r="M1168" s="182" t="s">
        <v>3265</v>
      </c>
      <c r="N1168" s="186">
        <v>1</v>
      </c>
      <c r="O1168" s="188">
        <v>4.0229885057471299E-2</v>
      </c>
      <c r="P1168" s="188" t="s">
        <v>573</v>
      </c>
      <c r="Q1168" s="188">
        <v>0</v>
      </c>
      <c r="R1168" s="189" t="s">
        <v>573</v>
      </c>
      <c r="S1168" s="189" t="s">
        <v>573</v>
      </c>
    </row>
    <row r="1169" spans="1:19" ht="14.25" customHeight="1" x14ac:dyDescent="0.3">
      <c r="A1169" s="182" t="s">
        <v>3259</v>
      </c>
      <c r="B1169" s="182" t="s">
        <v>937</v>
      </c>
      <c r="C1169" s="182" t="s">
        <v>938</v>
      </c>
      <c r="D1169" s="182" t="s">
        <v>939</v>
      </c>
      <c r="E1169" s="183" t="s">
        <v>940</v>
      </c>
      <c r="F1169" s="183" t="s">
        <v>941</v>
      </c>
      <c r="G1169" s="184">
        <v>8.9080459770114903E-2</v>
      </c>
      <c r="H1169" s="185">
        <v>0</v>
      </c>
      <c r="I1169" s="186">
        <v>60860.580776572002</v>
      </c>
      <c r="J1169" s="187">
        <v>5421.4885174532501</v>
      </c>
      <c r="K1169" s="182" t="s">
        <v>3266</v>
      </c>
      <c r="L1169" s="182">
        <v>1</v>
      </c>
      <c r="M1169" s="182" t="s">
        <v>3267</v>
      </c>
      <c r="N1169" s="186">
        <v>1</v>
      </c>
      <c r="O1169" s="188">
        <v>8.9080459770114903E-2</v>
      </c>
      <c r="P1169" s="188" t="s">
        <v>573</v>
      </c>
      <c r="Q1169" s="188">
        <v>0</v>
      </c>
      <c r="R1169" s="189" t="s">
        <v>573</v>
      </c>
      <c r="S1169" s="189" t="s">
        <v>573</v>
      </c>
    </row>
    <row r="1170" spans="1:19" ht="14.25" customHeight="1" x14ac:dyDescent="0.3">
      <c r="A1170" s="182" t="s">
        <v>3259</v>
      </c>
      <c r="B1170" s="182" t="s">
        <v>937</v>
      </c>
      <c r="C1170" s="182" t="s">
        <v>938</v>
      </c>
      <c r="D1170" s="190" t="s">
        <v>944</v>
      </c>
      <c r="E1170" s="183" t="s">
        <v>945</v>
      </c>
      <c r="F1170" s="183" t="s">
        <v>941</v>
      </c>
      <c r="G1170" s="184">
        <v>4.5977011494252901E-2</v>
      </c>
      <c r="H1170" s="185">
        <v>0</v>
      </c>
      <c r="I1170" s="186">
        <v>85927.097156571996</v>
      </c>
      <c r="J1170" s="187">
        <v>3950.6711336355002</v>
      </c>
      <c r="K1170" s="182" t="s">
        <v>3266</v>
      </c>
      <c r="L1170" s="182">
        <v>2</v>
      </c>
      <c r="M1170" s="182" t="s">
        <v>3268</v>
      </c>
      <c r="N1170" s="186">
        <v>1</v>
      </c>
      <c r="O1170" s="188">
        <v>4.5977011494252901E-2</v>
      </c>
      <c r="P1170" s="188" t="s">
        <v>573</v>
      </c>
      <c r="Q1170" s="188">
        <v>0</v>
      </c>
      <c r="R1170" s="189" t="s">
        <v>573</v>
      </c>
      <c r="S1170" s="189" t="s">
        <v>573</v>
      </c>
    </row>
    <row r="1171" spans="1:19" ht="14.25" customHeight="1" x14ac:dyDescent="0.3">
      <c r="A1171" s="182" t="s">
        <v>3259</v>
      </c>
      <c r="B1171" s="182" t="s">
        <v>937</v>
      </c>
      <c r="C1171" s="182" t="s">
        <v>938</v>
      </c>
      <c r="D1171" s="190" t="s">
        <v>1291</v>
      </c>
      <c r="E1171" s="183" t="s">
        <v>1292</v>
      </c>
      <c r="F1171" s="183" t="s">
        <v>941</v>
      </c>
      <c r="G1171" s="184">
        <v>2.8735632183908101E-2</v>
      </c>
      <c r="H1171" s="185">
        <v>0</v>
      </c>
      <c r="I1171" s="186">
        <v>65493.071636572</v>
      </c>
      <c r="J1171" s="187">
        <v>1881.98481714288</v>
      </c>
      <c r="K1171" s="182" t="s">
        <v>3266</v>
      </c>
      <c r="L1171" s="182">
        <v>3</v>
      </c>
      <c r="M1171" s="182" t="s">
        <v>3269</v>
      </c>
      <c r="N1171" s="186">
        <v>1</v>
      </c>
      <c r="O1171" s="188">
        <v>2.8735632183908101E-2</v>
      </c>
      <c r="P1171" s="188" t="s">
        <v>573</v>
      </c>
      <c r="Q1171" s="188">
        <v>0</v>
      </c>
      <c r="R1171" s="189" t="s">
        <v>573</v>
      </c>
      <c r="S1171" s="189" t="s">
        <v>573</v>
      </c>
    </row>
    <row r="1172" spans="1:19" ht="14.25" customHeight="1" x14ac:dyDescent="0.3">
      <c r="A1172" s="182" t="s">
        <v>3259</v>
      </c>
      <c r="B1172" s="182" t="s">
        <v>937</v>
      </c>
      <c r="C1172" s="182" t="s">
        <v>909</v>
      </c>
      <c r="D1172" s="182" t="s">
        <v>3254</v>
      </c>
      <c r="E1172" s="183" t="s">
        <v>2365</v>
      </c>
      <c r="F1172" s="183" t="s">
        <v>941</v>
      </c>
      <c r="G1172" s="184">
        <v>5.74712643678161E-3</v>
      </c>
      <c r="H1172" s="185">
        <v>0</v>
      </c>
      <c r="I1172" s="186">
        <v>250000</v>
      </c>
      <c r="J1172" s="187">
        <v>1436.7816091954001</v>
      </c>
      <c r="K1172" s="182" t="s">
        <v>3266</v>
      </c>
      <c r="L1172" s="182">
        <v>4</v>
      </c>
      <c r="M1172" s="182" t="s">
        <v>3270</v>
      </c>
      <c r="N1172" s="186">
        <v>1</v>
      </c>
      <c r="O1172" s="188">
        <v>5.74712643678161E-3</v>
      </c>
      <c r="P1172" s="188" t="s">
        <v>573</v>
      </c>
      <c r="Q1172" s="188">
        <v>0</v>
      </c>
      <c r="R1172" s="189" t="s">
        <v>573</v>
      </c>
      <c r="S1172" s="189" t="s">
        <v>573</v>
      </c>
    </row>
    <row r="1173" spans="1:19" ht="14.25" customHeight="1" x14ac:dyDescent="0.3">
      <c r="A1173" s="182" t="s">
        <v>3259</v>
      </c>
      <c r="B1173" s="182" t="s">
        <v>937</v>
      </c>
      <c r="C1173" s="182" t="s">
        <v>909</v>
      </c>
      <c r="D1173" s="182" t="s">
        <v>3256</v>
      </c>
      <c r="E1173" s="183" t="s">
        <v>3257</v>
      </c>
      <c r="F1173" s="183" t="s">
        <v>941</v>
      </c>
      <c r="G1173" s="184">
        <v>0.114942528735632</v>
      </c>
      <c r="H1173" s="185">
        <v>0</v>
      </c>
      <c r="I1173" s="186">
        <v>1500</v>
      </c>
      <c r="J1173" s="187">
        <v>172.413793103448</v>
      </c>
      <c r="K1173" s="182" t="s">
        <v>3266</v>
      </c>
      <c r="L1173" s="182">
        <v>5</v>
      </c>
      <c r="M1173" s="182" t="s">
        <v>3271</v>
      </c>
      <c r="N1173" s="186">
        <v>1</v>
      </c>
      <c r="O1173" s="188">
        <v>0.114942528735632</v>
      </c>
      <c r="P1173" s="188" t="s">
        <v>573</v>
      </c>
      <c r="Q1173" s="188">
        <v>0</v>
      </c>
      <c r="R1173" s="189" t="s">
        <v>573</v>
      </c>
      <c r="S1173" s="189" t="s">
        <v>573</v>
      </c>
    </row>
    <row r="1174" spans="1:19" ht="14.25" customHeight="1" x14ac:dyDescent="0.3">
      <c r="A1174" s="182" t="s">
        <v>3272</v>
      </c>
      <c r="B1174" s="182" t="s">
        <v>563</v>
      </c>
      <c r="C1174" s="182"/>
      <c r="D1174" s="182" t="s">
        <v>3273</v>
      </c>
      <c r="E1174" s="183" t="s">
        <v>3274</v>
      </c>
      <c r="F1174" s="183"/>
      <c r="G1174" s="184">
        <v>1</v>
      </c>
      <c r="H1174" s="185">
        <v>0</v>
      </c>
      <c r="I1174" s="186">
        <v>155.708708956072</v>
      </c>
      <c r="J1174" s="187">
        <v>155.708708956072</v>
      </c>
      <c r="K1174" s="182" t="s">
        <v>3275</v>
      </c>
      <c r="L1174" s="182">
        <v>1</v>
      </c>
      <c r="M1174" s="182" t="s">
        <v>3276</v>
      </c>
      <c r="N1174" s="186">
        <v>1</v>
      </c>
      <c r="O1174" s="188">
        <v>1</v>
      </c>
      <c r="P1174" s="188">
        <v>8</v>
      </c>
      <c r="Q1174" s="188">
        <v>8</v>
      </c>
      <c r="R1174" s="189">
        <v>11.06</v>
      </c>
      <c r="S1174" s="189" t="s">
        <v>1354</v>
      </c>
    </row>
    <row r="1175" spans="1:19" ht="14.25" customHeight="1" x14ac:dyDescent="0.3">
      <c r="A1175" s="182" t="s">
        <v>3272</v>
      </c>
      <c r="B1175" s="182" t="s">
        <v>908</v>
      </c>
      <c r="C1175" s="182" t="s">
        <v>1358</v>
      </c>
      <c r="D1175" s="182" t="s">
        <v>3093</v>
      </c>
      <c r="E1175" s="183" t="s">
        <v>3094</v>
      </c>
      <c r="F1175" s="183" t="s">
        <v>576</v>
      </c>
      <c r="G1175" s="184">
        <v>4.8000000000000001E-2</v>
      </c>
      <c r="H1175" s="185">
        <v>0</v>
      </c>
      <c r="I1175" s="186">
        <v>57771</v>
      </c>
      <c r="J1175" s="187">
        <v>2773.0079999999998</v>
      </c>
      <c r="K1175" s="182" t="s">
        <v>3277</v>
      </c>
      <c r="L1175" s="182">
        <v>1</v>
      </c>
      <c r="M1175" s="182" t="s">
        <v>3278</v>
      </c>
      <c r="N1175" s="186">
        <v>1</v>
      </c>
      <c r="O1175" s="188">
        <v>4.8000000000000001E-2</v>
      </c>
      <c r="P1175" s="188">
        <v>8</v>
      </c>
      <c r="Q1175" s="188">
        <v>0.38400000000000001</v>
      </c>
      <c r="R1175" s="189">
        <v>11.06</v>
      </c>
      <c r="S1175" s="189" t="s">
        <v>1354</v>
      </c>
    </row>
    <row r="1176" spans="1:19" ht="14.25" customHeight="1" x14ac:dyDescent="0.3">
      <c r="A1176" s="182" t="s">
        <v>3272</v>
      </c>
      <c r="B1176" s="182" t="s">
        <v>937</v>
      </c>
      <c r="C1176" s="182" t="s">
        <v>938</v>
      </c>
      <c r="D1176" s="182" t="s">
        <v>939</v>
      </c>
      <c r="E1176" s="183" t="s">
        <v>940</v>
      </c>
      <c r="F1176" s="183" t="s">
        <v>941</v>
      </c>
      <c r="G1176" s="184">
        <v>0.125</v>
      </c>
      <c r="H1176" s="185">
        <v>0</v>
      </c>
      <c r="I1176" s="186">
        <v>60860.580776572002</v>
      </c>
      <c r="J1176" s="187">
        <v>7607.5725970715002</v>
      </c>
      <c r="K1176" s="182" t="s">
        <v>3279</v>
      </c>
      <c r="L1176" s="182">
        <v>1</v>
      </c>
      <c r="M1176" s="182" t="s">
        <v>3280</v>
      </c>
      <c r="N1176" s="186">
        <v>1</v>
      </c>
      <c r="O1176" s="188">
        <v>0.125</v>
      </c>
      <c r="P1176" s="188">
        <v>8</v>
      </c>
      <c r="Q1176" s="188">
        <v>1</v>
      </c>
      <c r="R1176" s="189">
        <v>11.06</v>
      </c>
      <c r="S1176" s="189" t="s">
        <v>1354</v>
      </c>
    </row>
    <row r="1177" spans="1:19" ht="14.25" customHeight="1" x14ac:dyDescent="0.3">
      <c r="A1177" s="182" t="s">
        <v>3281</v>
      </c>
      <c r="B1177" s="182" t="s">
        <v>563</v>
      </c>
      <c r="C1177" s="182"/>
      <c r="D1177" s="182" t="s">
        <v>3282</v>
      </c>
      <c r="E1177" s="183" t="s">
        <v>3283</v>
      </c>
      <c r="F1177" s="183"/>
      <c r="G1177" s="184">
        <v>1</v>
      </c>
      <c r="H1177" s="185">
        <v>0</v>
      </c>
      <c r="I1177" s="186">
        <v>295.286480531927</v>
      </c>
      <c r="J1177" s="187">
        <v>295.286480531927</v>
      </c>
      <c r="K1177" s="182" t="s">
        <v>3284</v>
      </c>
      <c r="L1177" s="182">
        <v>1</v>
      </c>
      <c r="M1177" s="182" t="s">
        <v>3285</v>
      </c>
      <c r="N1177" s="186">
        <v>1</v>
      </c>
      <c r="O1177" s="188">
        <v>1</v>
      </c>
      <c r="P1177" s="188">
        <v>46</v>
      </c>
      <c r="Q1177" s="188">
        <v>46</v>
      </c>
      <c r="R1177" s="189">
        <v>11.07</v>
      </c>
      <c r="S1177" s="189" t="s">
        <v>1354</v>
      </c>
    </row>
    <row r="1178" spans="1:19" ht="14.25" customHeight="1" x14ac:dyDescent="0.3">
      <c r="A1178" s="182" t="s">
        <v>3281</v>
      </c>
      <c r="B1178" s="182" t="s">
        <v>908</v>
      </c>
      <c r="C1178" s="182" t="s">
        <v>1358</v>
      </c>
      <c r="D1178" s="182" t="s">
        <v>976</v>
      </c>
      <c r="E1178" s="183" t="s">
        <v>977</v>
      </c>
      <c r="F1178" s="183" t="s">
        <v>576</v>
      </c>
      <c r="G1178" s="184">
        <v>1283.632482</v>
      </c>
      <c r="H1178" s="185">
        <v>0</v>
      </c>
      <c r="I1178" s="186">
        <v>1</v>
      </c>
      <c r="J1178" s="187">
        <v>1283.632482</v>
      </c>
      <c r="K1178" s="182" t="s">
        <v>3286</v>
      </c>
      <c r="L1178" s="182">
        <v>1</v>
      </c>
      <c r="M1178" s="182" t="s">
        <v>3287</v>
      </c>
      <c r="N1178" s="186">
        <v>1</v>
      </c>
      <c r="O1178" s="188">
        <v>1283.632482</v>
      </c>
      <c r="P1178" s="188">
        <v>46</v>
      </c>
      <c r="Q1178" s="188">
        <v>59047.094171999997</v>
      </c>
      <c r="R1178" s="189">
        <v>11.07</v>
      </c>
      <c r="S1178" s="189" t="s">
        <v>1354</v>
      </c>
    </row>
    <row r="1179" spans="1:19" ht="14.25" customHeight="1" x14ac:dyDescent="0.3">
      <c r="A1179" s="182" t="s">
        <v>3281</v>
      </c>
      <c r="B1179" s="182" t="s">
        <v>908</v>
      </c>
      <c r="C1179" s="182" t="s">
        <v>1358</v>
      </c>
      <c r="D1179" s="182" t="s">
        <v>2410</v>
      </c>
      <c r="E1179" s="183" t="s">
        <v>2411</v>
      </c>
      <c r="F1179" s="183" t="s">
        <v>971</v>
      </c>
      <c r="G1179" s="184">
        <v>8.6956521739130405E-2</v>
      </c>
      <c r="H1179" s="185">
        <v>0</v>
      </c>
      <c r="I1179" s="186">
        <v>7809.48</v>
      </c>
      <c r="J1179" s="187">
        <v>679.08521739130401</v>
      </c>
      <c r="K1179" s="182" t="s">
        <v>3286</v>
      </c>
      <c r="L1179" s="182">
        <v>2</v>
      </c>
      <c r="M1179" s="182" t="s">
        <v>3288</v>
      </c>
      <c r="N1179" s="186">
        <v>1</v>
      </c>
      <c r="O1179" s="188">
        <v>8.6956521739130405E-2</v>
      </c>
      <c r="P1179" s="188">
        <v>46</v>
      </c>
      <c r="Q1179" s="188">
        <v>4</v>
      </c>
      <c r="R1179" s="189">
        <v>11.07</v>
      </c>
      <c r="S1179" s="189" t="s">
        <v>1354</v>
      </c>
    </row>
    <row r="1180" spans="1:19" ht="14.25" customHeight="1" x14ac:dyDescent="0.3">
      <c r="A1180" s="182" t="s">
        <v>3281</v>
      </c>
      <c r="B1180" s="182" t="s">
        <v>908</v>
      </c>
      <c r="C1180" s="182" t="s">
        <v>1358</v>
      </c>
      <c r="D1180" s="182" t="s">
        <v>3096</v>
      </c>
      <c r="E1180" s="183" t="s">
        <v>3097</v>
      </c>
      <c r="F1180" s="183" t="s">
        <v>590</v>
      </c>
      <c r="G1180" s="184">
        <v>3.3000000000000002E-2</v>
      </c>
      <c r="H1180" s="185">
        <v>0</v>
      </c>
      <c r="I1180" s="186">
        <v>32399.77</v>
      </c>
      <c r="J1180" s="187">
        <v>1069.1924100000001</v>
      </c>
      <c r="K1180" s="182" t="s">
        <v>3286</v>
      </c>
      <c r="L1180" s="182">
        <v>3</v>
      </c>
      <c r="M1180" s="182" t="s">
        <v>3289</v>
      </c>
      <c r="N1180" s="186">
        <v>1</v>
      </c>
      <c r="O1180" s="188">
        <v>3.3000000000000002E-2</v>
      </c>
      <c r="P1180" s="188">
        <v>46</v>
      </c>
      <c r="Q1180" s="188">
        <v>1.518</v>
      </c>
      <c r="R1180" s="189">
        <v>11.07</v>
      </c>
      <c r="S1180" s="189" t="s">
        <v>1354</v>
      </c>
    </row>
    <row r="1181" spans="1:19" ht="14.25" customHeight="1" x14ac:dyDescent="0.3">
      <c r="A1181" s="182" t="s">
        <v>3281</v>
      </c>
      <c r="B1181" s="182" t="s">
        <v>908</v>
      </c>
      <c r="C1181" s="182" t="s">
        <v>1358</v>
      </c>
      <c r="D1181" s="182" t="s">
        <v>3290</v>
      </c>
      <c r="E1181" s="183" t="s">
        <v>3291</v>
      </c>
      <c r="F1181" s="183" t="s">
        <v>971</v>
      </c>
      <c r="G1181" s="184">
        <v>0.26086956521739102</v>
      </c>
      <c r="H1181" s="185">
        <v>0</v>
      </c>
      <c r="I1181" s="186">
        <v>10936.8</v>
      </c>
      <c r="J1181" s="187">
        <v>2853.0782608695599</v>
      </c>
      <c r="K1181" s="182" t="s">
        <v>3286</v>
      </c>
      <c r="L1181" s="182">
        <v>4</v>
      </c>
      <c r="M1181" s="182" t="s">
        <v>3292</v>
      </c>
      <c r="N1181" s="186">
        <v>1</v>
      </c>
      <c r="O1181" s="188">
        <v>0.26086956521739102</v>
      </c>
      <c r="P1181" s="188">
        <v>46</v>
      </c>
      <c r="Q1181" s="188">
        <v>12</v>
      </c>
      <c r="R1181" s="189">
        <v>11.07</v>
      </c>
      <c r="S1181" s="189" t="s">
        <v>1354</v>
      </c>
    </row>
    <row r="1182" spans="1:19" ht="14.25" customHeight="1" x14ac:dyDescent="0.3">
      <c r="A1182" s="182" t="s">
        <v>3281</v>
      </c>
      <c r="B1182" s="182" t="s">
        <v>908</v>
      </c>
      <c r="C1182" s="182" t="s">
        <v>1358</v>
      </c>
      <c r="D1182" s="182" t="s">
        <v>3293</v>
      </c>
      <c r="E1182" s="183" t="s">
        <v>3294</v>
      </c>
      <c r="F1182" s="183" t="s">
        <v>971</v>
      </c>
      <c r="G1182" s="184">
        <v>0.282608695652174</v>
      </c>
      <c r="H1182" s="185">
        <v>0</v>
      </c>
      <c r="I1182" s="186">
        <v>6428.7</v>
      </c>
      <c r="J1182" s="187">
        <v>1816.8065217391299</v>
      </c>
      <c r="K1182" s="182" t="s">
        <v>3286</v>
      </c>
      <c r="L1182" s="182">
        <v>5</v>
      </c>
      <c r="M1182" s="182" t="s">
        <v>3295</v>
      </c>
      <c r="N1182" s="186">
        <v>1</v>
      </c>
      <c r="O1182" s="188">
        <v>0.282608695652174</v>
      </c>
      <c r="P1182" s="188">
        <v>46</v>
      </c>
      <c r="Q1182" s="188">
        <v>13</v>
      </c>
      <c r="R1182" s="189">
        <v>11.07</v>
      </c>
      <c r="S1182" s="189" t="s">
        <v>1354</v>
      </c>
    </row>
    <row r="1183" spans="1:19" ht="14.25" customHeight="1" x14ac:dyDescent="0.3">
      <c r="A1183" s="182" t="s">
        <v>3281</v>
      </c>
      <c r="B1183" s="182" t="s">
        <v>937</v>
      </c>
      <c r="C1183" s="182" t="s">
        <v>938</v>
      </c>
      <c r="D1183" s="182" t="s">
        <v>939</v>
      </c>
      <c r="E1183" s="183" t="s">
        <v>940</v>
      </c>
      <c r="F1183" s="183" t="s">
        <v>941</v>
      </c>
      <c r="G1183" s="184">
        <v>8.6956521739130405E-2</v>
      </c>
      <c r="H1183" s="185">
        <v>0</v>
      </c>
      <c r="I1183" s="186">
        <v>60860.580776572002</v>
      </c>
      <c r="J1183" s="187">
        <v>5292.2244153540896</v>
      </c>
      <c r="K1183" s="182" t="s">
        <v>3296</v>
      </c>
      <c r="L1183" s="182">
        <v>1</v>
      </c>
      <c r="M1183" s="182" t="s">
        <v>3297</v>
      </c>
      <c r="N1183" s="186">
        <v>1</v>
      </c>
      <c r="O1183" s="188">
        <v>8.6956521739130405E-2</v>
      </c>
      <c r="P1183" s="188">
        <v>46</v>
      </c>
      <c r="Q1183" s="188">
        <v>4</v>
      </c>
      <c r="R1183" s="189">
        <v>11.07</v>
      </c>
      <c r="S1183" s="189" t="s">
        <v>1354</v>
      </c>
    </row>
    <row r="1184" spans="1:19" ht="14.25" customHeight="1" x14ac:dyDescent="0.3">
      <c r="A1184" s="182" t="s">
        <v>3281</v>
      </c>
      <c r="B1184" s="182" t="s">
        <v>937</v>
      </c>
      <c r="C1184" s="182" t="s">
        <v>938</v>
      </c>
      <c r="D1184" s="190" t="s">
        <v>1375</v>
      </c>
      <c r="E1184" s="183" t="s">
        <v>1376</v>
      </c>
      <c r="F1184" s="183" t="s">
        <v>941</v>
      </c>
      <c r="G1184" s="184">
        <v>8.6956521739130405E-2</v>
      </c>
      <c r="H1184" s="185">
        <v>0</v>
      </c>
      <c r="I1184" s="186">
        <v>76955.079706571996</v>
      </c>
      <c r="J1184" s="187">
        <v>6691.7460614410402</v>
      </c>
      <c r="K1184" s="182" t="s">
        <v>3296</v>
      </c>
      <c r="L1184" s="182">
        <v>2</v>
      </c>
      <c r="M1184" s="182" t="s">
        <v>3298</v>
      </c>
      <c r="N1184" s="186">
        <v>1</v>
      </c>
      <c r="O1184" s="188">
        <v>8.6956521739130405E-2</v>
      </c>
      <c r="P1184" s="188">
        <v>46</v>
      </c>
      <c r="Q1184" s="188">
        <v>4</v>
      </c>
      <c r="R1184" s="189">
        <v>11.07</v>
      </c>
      <c r="S1184" s="189" t="s">
        <v>1354</v>
      </c>
    </row>
    <row r="1185" spans="1:19" ht="14.25" customHeight="1" x14ac:dyDescent="0.3">
      <c r="A1185" s="182" t="s">
        <v>3299</v>
      </c>
      <c r="B1185" s="182" t="s">
        <v>563</v>
      </c>
      <c r="C1185" s="182"/>
      <c r="D1185" s="182" t="s">
        <v>1350</v>
      </c>
      <c r="E1185" s="183" t="s">
        <v>1351</v>
      </c>
      <c r="F1185" s="183"/>
      <c r="G1185" s="184">
        <v>1</v>
      </c>
      <c r="H1185" s="185">
        <v>0</v>
      </c>
      <c r="I1185" s="186">
        <v>298.42384358082802</v>
      </c>
      <c r="J1185" s="187">
        <v>298.42384358082802</v>
      </c>
      <c r="K1185" s="182" t="s">
        <v>3300</v>
      </c>
      <c r="L1185" s="182">
        <v>1</v>
      </c>
      <c r="M1185" s="182" t="s">
        <v>3301</v>
      </c>
      <c r="N1185" s="186">
        <v>13</v>
      </c>
      <c r="O1185" s="188">
        <v>1</v>
      </c>
      <c r="P1185" s="188" t="s">
        <v>573</v>
      </c>
      <c r="Q1185" s="188">
        <v>0</v>
      </c>
      <c r="R1185" s="189" t="s">
        <v>573</v>
      </c>
      <c r="S1185" s="189" t="s">
        <v>573</v>
      </c>
    </row>
    <row r="1186" spans="1:19" ht="14.25" customHeight="1" x14ac:dyDescent="0.3">
      <c r="A1186" s="182" t="s">
        <v>3299</v>
      </c>
      <c r="B1186" s="182" t="s">
        <v>563</v>
      </c>
      <c r="C1186" s="182"/>
      <c r="D1186" s="182" t="s">
        <v>1355</v>
      </c>
      <c r="E1186" s="183" t="s">
        <v>1356</v>
      </c>
      <c r="F1186" s="183"/>
      <c r="G1186" s="184">
        <v>1</v>
      </c>
      <c r="H1186" s="185">
        <v>0</v>
      </c>
      <c r="I1186" s="186">
        <v>2637.14184448991</v>
      </c>
      <c r="J1186" s="187">
        <v>2637.14184448991</v>
      </c>
      <c r="K1186" s="182" t="s">
        <v>3300</v>
      </c>
      <c r="L1186" s="182">
        <v>2</v>
      </c>
      <c r="M1186" s="182" t="s">
        <v>3302</v>
      </c>
      <c r="N1186" s="186">
        <v>13</v>
      </c>
      <c r="O1186" s="188">
        <v>1</v>
      </c>
      <c r="P1186" s="188" t="s">
        <v>573</v>
      </c>
      <c r="Q1186" s="188">
        <v>0</v>
      </c>
      <c r="R1186" s="189" t="s">
        <v>573</v>
      </c>
      <c r="S1186" s="189" t="s">
        <v>573</v>
      </c>
    </row>
    <row r="1187" spans="1:19" ht="14.25" customHeight="1" x14ac:dyDescent="0.3">
      <c r="A1187" s="182" t="s">
        <v>3299</v>
      </c>
      <c r="B1187" s="182" t="s">
        <v>908</v>
      </c>
      <c r="C1187" s="182" t="s">
        <v>909</v>
      </c>
      <c r="D1187" s="182" t="s">
        <v>969</v>
      </c>
      <c r="E1187" s="183" t="s">
        <v>970</v>
      </c>
      <c r="F1187" s="183" t="s">
        <v>971</v>
      </c>
      <c r="G1187" s="184">
        <v>0.4</v>
      </c>
      <c r="H1187" s="185">
        <v>0.2</v>
      </c>
      <c r="I1187" s="186">
        <v>3837.96</v>
      </c>
      <c r="J1187" s="187">
        <v>1842.2208000000001</v>
      </c>
      <c r="K1187" s="182" t="s">
        <v>3303</v>
      </c>
      <c r="L1187" s="182">
        <v>1</v>
      </c>
      <c r="M1187" s="182" t="s">
        <v>3304</v>
      </c>
      <c r="N1187" s="186">
        <v>13</v>
      </c>
      <c r="O1187" s="188">
        <v>0.4</v>
      </c>
      <c r="P1187" s="188" t="s">
        <v>573</v>
      </c>
      <c r="Q1187" s="188">
        <v>0</v>
      </c>
      <c r="R1187" s="189" t="s">
        <v>573</v>
      </c>
      <c r="S1187" s="189" t="s">
        <v>573</v>
      </c>
    </row>
    <row r="1188" spans="1:19" ht="14.25" customHeight="1" x14ac:dyDescent="0.3">
      <c r="A1188" s="182" t="s">
        <v>3299</v>
      </c>
      <c r="B1188" s="182" t="s">
        <v>908</v>
      </c>
      <c r="C1188" s="182" t="s">
        <v>909</v>
      </c>
      <c r="D1188" s="182" t="s">
        <v>915</v>
      </c>
      <c r="E1188" s="183" t="s">
        <v>916</v>
      </c>
      <c r="F1188" s="183" t="s">
        <v>600</v>
      </c>
      <c r="G1188" s="184">
        <v>0.01</v>
      </c>
      <c r="H1188" s="185">
        <v>0.03</v>
      </c>
      <c r="I1188" s="186">
        <v>735.06</v>
      </c>
      <c r="J1188" s="187">
        <v>7.5711180000000002</v>
      </c>
      <c r="K1188" s="182" t="s">
        <v>3303</v>
      </c>
      <c r="L1188" s="182">
        <v>2</v>
      </c>
      <c r="M1188" s="182" t="s">
        <v>3305</v>
      </c>
      <c r="N1188" s="186">
        <v>13</v>
      </c>
      <c r="O1188" s="188">
        <v>0.01</v>
      </c>
      <c r="P1188" s="188" t="s">
        <v>573</v>
      </c>
      <c r="Q1188" s="188">
        <v>0</v>
      </c>
      <c r="R1188" s="189" t="s">
        <v>573</v>
      </c>
      <c r="S1188" s="189" t="s">
        <v>573</v>
      </c>
    </row>
    <row r="1189" spans="1:19" ht="14.25" customHeight="1" x14ac:dyDescent="0.3">
      <c r="A1189" s="182" t="s">
        <v>3299</v>
      </c>
      <c r="B1189" s="182" t="s">
        <v>908</v>
      </c>
      <c r="C1189" s="182" t="s">
        <v>909</v>
      </c>
      <c r="D1189" s="182" t="s">
        <v>1367</v>
      </c>
      <c r="E1189" s="183" t="s">
        <v>1368</v>
      </c>
      <c r="F1189" s="183" t="s">
        <v>600</v>
      </c>
      <c r="G1189" s="184">
        <v>4.0000000000000001E-3</v>
      </c>
      <c r="H1189" s="185">
        <v>0.05</v>
      </c>
      <c r="I1189" s="186">
        <v>20237</v>
      </c>
      <c r="J1189" s="187">
        <v>84.995400000000004</v>
      </c>
      <c r="K1189" s="182" t="s">
        <v>3303</v>
      </c>
      <c r="L1189" s="182">
        <v>3</v>
      </c>
      <c r="M1189" s="182" t="s">
        <v>3306</v>
      </c>
      <c r="N1189" s="186">
        <v>13</v>
      </c>
      <c r="O1189" s="188">
        <v>4.0000000000000001E-3</v>
      </c>
      <c r="P1189" s="188" t="s">
        <v>573</v>
      </c>
      <c r="Q1189" s="188">
        <v>0</v>
      </c>
      <c r="R1189" s="189" t="s">
        <v>573</v>
      </c>
      <c r="S1189" s="189" t="s">
        <v>573</v>
      </c>
    </row>
    <row r="1190" spans="1:19" ht="14.25" customHeight="1" x14ac:dyDescent="0.3">
      <c r="A1190" s="182" t="s">
        <v>3299</v>
      </c>
      <c r="B1190" s="182" t="s">
        <v>908</v>
      </c>
      <c r="C1190" s="182" t="s">
        <v>909</v>
      </c>
      <c r="D1190" s="182" t="s">
        <v>1370</v>
      </c>
      <c r="E1190" s="183" t="s">
        <v>1371</v>
      </c>
      <c r="F1190" s="183" t="s">
        <v>912</v>
      </c>
      <c r="G1190" s="184">
        <v>0.04</v>
      </c>
      <c r="H1190" s="185">
        <v>0.05</v>
      </c>
      <c r="I1190" s="186">
        <v>44669.4214876033</v>
      </c>
      <c r="J1190" s="187">
        <v>1876.1157024793399</v>
      </c>
      <c r="K1190" s="182" t="s">
        <v>3303</v>
      </c>
      <c r="L1190" s="182">
        <v>4</v>
      </c>
      <c r="M1190" s="182" t="s">
        <v>3307</v>
      </c>
      <c r="N1190" s="186">
        <v>13</v>
      </c>
      <c r="O1190" s="188">
        <v>0.04</v>
      </c>
      <c r="P1190" s="188" t="s">
        <v>573</v>
      </c>
      <c r="Q1190" s="188">
        <v>0</v>
      </c>
      <c r="R1190" s="189" t="s">
        <v>573</v>
      </c>
      <c r="S1190" s="189" t="s">
        <v>573</v>
      </c>
    </row>
    <row r="1191" spans="1:19" ht="14.25" customHeight="1" x14ac:dyDescent="0.3">
      <c r="A1191" s="182" t="s">
        <v>3299</v>
      </c>
      <c r="B1191" s="182" t="s">
        <v>937</v>
      </c>
      <c r="C1191" s="182" t="s">
        <v>938</v>
      </c>
      <c r="D1191" s="190" t="s">
        <v>944</v>
      </c>
      <c r="E1191" s="183" t="s">
        <v>945</v>
      </c>
      <c r="F1191" s="183" t="s">
        <v>941</v>
      </c>
      <c r="G1191" s="184">
        <v>1</v>
      </c>
      <c r="H1191" s="185">
        <v>0</v>
      </c>
      <c r="I1191" s="186">
        <v>85927.097156571996</v>
      </c>
      <c r="J1191" s="187">
        <v>85927.097156571996</v>
      </c>
      <c r="K1191" s="182" t="s">
        <v>3308</v>
      </c>
      <c r="L1191" s="182">
        <v>1</v>
      </c>
      <c r="M1191" s="182" t="s">
        <v>3309</v>
      </c>
      <c r="N1191" s="186">
        <v>13</v>
      </c>
      <c r="O1191" s="188">
        <v>7.69230769230769E-2</v>
      </c>
      <c r="P1191" s="188" t="s">
        <v>573</v>
      </c>
      <c r="Q1191" s="188">
        <v>0</v>
      </c>
      <c r="R1191" s="189" t="s">
        <v>573</v>
      </c>
      <c r="S1191" s="189" t="s">
        <v>573</v>
      </c>
    </row>
    <row r="1192" spans="1:19" ht="14.25" customHeight="1" x14ac:dyDescent="0.3">
      <c r="A1192" s="182" t="s">
        <v>3299</v>
      </c>
      <c r="B1192" s="182" t="s">
        <v>937</v>
      </c>
      <c r="C1192" s="182" t="s">
        <v>938</v>
      </c>
      <c r="D1192" s="190" t="s">
        <v>1375</v>
      </c>
      <c r="E1192" s="183" t="s">
        <v>1376</v>
      </c>
      <c r="F1192" s="183" t="s">
        <v>941</v>
      </c>
      <c r="G1192" s="184">
        <v>1</v>
      </c>
      <c r="H1192" s="185">
        <v>0</v>
      </c>
      <c r="I1192" s="186">
        <v>76955.079706571996</v>
      </c>
      <c r="J1192" s="187">
        <v>76955.079706571996</v>
      </c>
      <c r="K1192" s="182" t="s">
        <v>3308</v>
      </c>
      <c r="L1192" s="182">
        <v>2</v>
      </c>
      <c r="M1192" s="182" t="s">
        <v>3310</v>
      </c>
      <c r="N1192" s="186">
        <v>13</v>
      </c>
      <c r="O1192" s="188">
        <v>7.69230769230769E-2</v>
      </c>
      <c r="P1192" s="188" t="s">
        <v>573</v>
      </c>
      <c r="Q1192" s="188">
        <v>0</v>
      </c>
      <c r="R1192" s="189" t="s">
        <v>573</v>
      </c>
      <c r="S1192" s="189" t="s">
        <v>573</v>
      </c>
    </row>
    <row r="1193" spans="1:19" ht="14.25" customHeight="1" x14ac:dyDescent="0.3">
      <c r="A1193" s="182" t="s">
        <v>3311</v>
      </c>
      <c r="B1193" s="182" t="s">
        <v>563</v>
      </c>
      <c r="C1193" s="182"/>
      <c r="D1193" s="182" t="s">
        <v>1350</v>
      </c>
      <c r="E1193" s="183" t="s">
        <v>1351</v>
      </c>
      <c r="F1193" s="183"/>
      <c r="G1193" s="184">
        <v>1</v>
      </c>
      <c r="H1193" s="185">
        <v>0</v>
      </c>
      <c r="I1193" s="186">
        <v>298.42384358082802</v>
      </c>
      <c r="J1193" s="187">
        <v>298.42384358082802</v>
      </c>
      <c r="K1193" s="182" t="s">
        <v>3312</v>
      </c>
      <c r="L1193" s="182">
        <v>1</v>
      </c>
      <c r="M1193" s="182" t="s">
        <v>3313</v>
      </c>
      <c r="N1193" s="186">
        <v>10</v>
      </c>
      <c r="O1193" s="188">
        <v>1</v>
      </c>
      <c r="P1193" s="188" t="s">
        <v>573</v>
      </c>
      <c r="Q1193" s="188">
        <v>0</v>
      </c>
      <c r="R1193" s="189" t="s">
        <v>573</v>
      </c>
      <c r="S1193" s="189" t="s">
        <v>573</v>
      </c>
    </row>
    <row r="1194" spans="1:19" ht="14.25" customHeight="1" x14ac:dyDescent="0.3">
      <c r="A1194" s="182" t="s">
        <v>3311</v>
      </c>
      <c r="B1194" s="182" t="s">
        <v>563</v>
      </c>
      <c r="C1194" s="182"/>
      <c r="D1194" s="182" t="s">
        <v>1355</v>
      </c>
      <c r="E1194" s="183" t="s">
        <v>1356</v>
      </c>
      <c r="F1194" s="183"/>
      <c r="G1194" s="184">
        <v>1</v>
      </c>
      <c r="H1194" s="185">
        <v>0</v>
      </c>
      <c r="I1194" s="186">
        <v>2637.14184448991</v>
      </c>
      <c r="J1194" s="187">
        <v>2637.14184448991</v>
      </c>
      <c r="K1194" s="182" t="s">
        <v>3312</v>
      </c>
      <c r="L1194" s="182">
        <v>2</v>
      </c>
      <c r="M1194" s="182" t="s">
        <v>3314</v>
      </c>
      <c r="N1194" s="186">
        <v>10</v>
      </c>
      <c r="O1194" s="188">
        <v>1</v>
      </c>
      <c r="P1194" s="188" t="s">
        <v>573</v>
      </c>
      <c r="Q1194" s="188">
        <v>0</v>
      </c>
      <c r="R1194" s="189" t="s">
        <v>573</v>
      </c>
      <c r="S1194" s="189" t="s">
        <v>573</v>
      </c>
    </row>
    <row r="1195" spans="1:19" ht="14.25" customHeight="1" x14ac:dyDescent="0.3">
      <c r="A1195" s="182" t="s">
        <v>3311</v>
      </c>
      <c r="B1195" s="182" t="s">
        <v>908</v>
      </c>
      <c r="C1195" s="182" t="s">
        <v>909</v>
      </c>
      <c r="D1195" s="182" t="s">
        <v>969</v>
      </c>
      <c r="E1195" s="183" t="s">
        <v>970</v>
      </c>
      <c r="F1195" s="183" t="s">
        <v>971</v>
      </c>
      <c r="G1195" s="184">
        <v>0.4</v>
      </c>
      <c r="H1195" s="185">
        <v>0.2</v>
      </c>
      <c r="I1195" s="186">
        <v>3837.96</v>
      </c>
      <c r="J1195" s="187">
        <v>1842.2208000000001</v>
      </c>
      <c r="K1195" s="182" t="s">
        <v>3315</v>
      </c>
      <c r="L1195" s="182">
        <v>1</v>
      </c>
      <c r="M1195" s="182" t="s">
        <v>3316</v>
      </c>
      <c r="N1195" s="186">
        <v>10</v>
      </c>
      <c r="O1195" s="188">
        <v>0.4</v>
      </c>
      <c r="P1195" s="188" t="s">
        <v>573</v>
      </c>
      <c r="Q1195" s="188">
        <v>0</v>
      </c>
      <c r="R1195" s="189" t="s">
        <v>573</v>
      </c>
      <c r="S1195" s="189" t="s">
        <v>573</v>
      </c>
    </row>
    <row r="1196" spans="1:19" ht="14.25" customHeight="1" x14ac:dyDescent="0.3">
      <c r="A1196" s="182" t="s">
        <v>3311</v>
      </c>
      <c r="B1196" s="182" t="s">
        <v>908</v>
      </c>
      <c r="C1196" s="182" t="s">
        <v>909</v>
      </c>
      <c r="D1196" s="182" t="s">
        <v>915</v>
      </c>
      <c r="E1196" s="183" t="s">
        <v>916</v>
      </c>
      <c r="F1196" s="183" t="s">
        <v>600</v>
      </c>
      <c r="G1196" s="184">
        <v>0.01</v>
      </c>
      <c r="H1196" s="185">
        <v>0.03</v>
      </c>
      <c r="I1196" s="186">
        <v>735.06</v>
      </c>
      <c r="J1196" s="187">
        <v>7.5711180000000002</v>
      </c>
      <c r="K1196" s="182" t="s">
        <v>3315</v>
      </c>
      <c r="L1196" s="182">
        <v>2</v>
      </c>
      <c r="M1196" s="182" t="s">
        <v>3317</v>
      </c>
      <c r="N1196" s="186">
        <v>10</v>
      </c>
      <c r="O1196" s="188">
        <v>0.01</v>
      </c>
      <c r="P1196" s="188" t="s">
        <v>573</v>
      </c>
      <c r="Q1196" s="188">
        <v>0</v>
      </c>
      <c r="R1196" s="189" t="s">
        <v>573</v>
      </c>
      <c r="S1196" s="189" t="s">
        <v>573</v>
      </c>
    </row>
    <row r="1197" spans="1:19" ht="14.25" customHeight="1" x14ac:dyDescent="0.3">
      <c r="A1197" s="182" t="s">
        <v>3311</v>
      </c>
      <c r="B1197" s="182" t="s">
        <v>908</v>
      </c>
      <c r="C1197" s="182" t="s">
        <v>909</v>
      </c>
      <c r="D1197" s="182" t="s">
        <v>1367</v>
      </c>
      <c r="E1197" s="183" t="s">
        <v>1368</v>
      </c>
      <c r="F1197" s="183" t="s">
        <v>600</v>
      </c>
      <c r="G1197" s="184">
        <v>4.0000000000000001E-3</v>
      </c>
      <c r="H1197" s="185">
        <v>0.05</v>
      </c>
      <c r="I1197" s="186">
        <v>20237</v>
      </c>
      <c r="J1197" s="187">
        <v>84.995400000000004</v>
      </c>
      <c r="K1197" s="182" t="s">
        <v>3315</v>
      </c>
      <c r="L1197" s="182">
        <v>3</v>
      </c>
      <c r="M1197" s="182" t="s">
        <v>3318</v>
      </c>
      <c r="N1197" s="186">
        <v>10</v>
      </c>
      <c r="O1197" s="188">
        <v>4.0000000000000001E-3</v>
      </c>
      <c r="P1197" s="188" t="s">
        <v>573</v>
      </c>
      <c r="Q1197" s="188">
        <v>0</v>
      </c>
      <c r="R1197" s="189" t="s">
        <v>573</v>
      </c>
      <c r="S1197" s="189" t="s">
        <v>573</v>
      </c>
    </row>
    <row r="1198" spans="1:19" ht="14.25" customHeight="1" x14ac:dyDescent="0.3">
      <c r="A1198" s="182" t="s">
        <v>3311</v>
      </c>
      <c r="B1198" s="182" t="s">
        <v>908</v>
      </c>
      <c r="C1198" s="182" t="s">
        <v>909</v>
      </c>
      <c r="D1198" s="182" t="s">
        <v>1370</v>
      </c>
      <c r="E1198" s="183" t="s">
        <v>1371</v>
      </c>
      <c r="F1198" s="183" t="s">
        <v>912</v>
      </c>
      <c r="G1198" s="184">
        <v>0.04</v>
      </c>
      <c r="H1198" s="185">
        <v>0.05</v>
      </c>
      <c r="I1198" s="186">
        <v>44669.4214876033</v>
      </c>
      <c r="J1198" s="187">
        <v>1876.1157024793399</v>
      </c>
      <c r="K1198" s="182" t="s">
        <v>3315</v>
      </c>
      <c r="L1198" s="182">
        <v>4</v>
      </c>
      <c r="M1198" s="182" t="s">
        <v>3319</v>
      </c>
      <c r="N1198" s="186">
        <v>10</v>
      </c>
      <c r="O1198" s="188">
        <v>0.04</v>
      </c>
      <c r="P1198" s="188" t="s">
        <v>573</v>
      </c>
      <c r="Q1198" s="188">
        <v>0</v>
      </c>
      <c r="R1198" s="189" t="s">
        <v>573</v>
      </c>
      <c r="S1198" s="189" t="s">
        <v>573</v>
      </c>
    </row>
    <row r="1199" spans="1:19" ht="14.25" customHeight="1" x14ac:dyDescent="0.3">
      <c r="A1199" s="182" t="s">
        <v>3311</v>
      </c>
      <c r="B1199" s="182" t="s">
        <v>937</v>
      </c>
      <c r="C1199" s="182" t="s">
        <v>938</v>
      </c>
      <c r="D1199" s="190" t="s">
        <v>944</v>
      </c>
      <c r="E1199" s="183" t="s">
        <v>945</v>
      </c>
      <c r="F1199" s="183" t="s">
        <v>941</v>
      </c>
      <c r="G1199" s="184">
        <v>1</v>
      </c>
      <c r="H1199" s="185">
        <v>0</v>
      </c>
      <c r="I1199" s="186">
        <v>85927.097156571996</v>
      </c>
      <c r="J1199" s="187">
        <v>85927.097156571996</v>
      </c>
      <c r="K1199" s="182" t="s">
        <v>3320</v>
      </c>
      <c r="L1199" s="182">
        <v>1</v>
      </c>
      <c r="M1199" s="182" t="s">
        <v>3321</v>
      </c>
      <c r="N1199" s="186">
        <v>10</v>
      </c>
      <c r="O1199" s="188">
        <v>0.1</v>
      </c>
      <c r="P1199" s="188" t="s">
        <v>573</v>
      </c>
      <c r="Q1199" s="188">
        <v>0</v>
      </c>
      <c r="R1199" s="189" t="s">
        <v>573</v>
      </c>
      <c r="S1199" s="189" t="s">
        <v>573</v>
      </c>
    </row>
    <row r="1200" spans="1:19" ht="14.25" customHeight="1" x14ac:dyDescent="0.3">
      <c r="A1200" s="182" t="s">
        <v>3311</v>
      </c>
      <c r="B1200" s="182" t="s">
        <v>937</v>
      </c>
      <c r="C1200" s="182" t="s">
        <v>938</v>
      </c>
      <c r="D1200" s="190" t="s">
        <v>1375</v>
      </c>
      <c r="E1200" s="183" t="s">
        <v>1376</v>
      </c>
      <c r="F1200" s="183" t="s">
        <v>941</v>
      </c>
      <c r="G1200" s="184">
        <v>1</v>
      </c>
      <c r="H1200" s="185">
        <v>0</v>
      </c>
      <c r="I1200" s="186">
        <v>76955.079706571996</v>
      </c>
      <c r="J1200" s="187">
        <v>76955.079706571996</v>
      </c>
      <c r="K1200" s="182" t="s">
        <v>3320</v>
      </c>
      <c r="L1200" s="182">
        <v>2</v>
      </c>
      <c r="M1200" s="182" t="s">
        <v>3322</v>
      </c>
      <c r="N1200" s="186">
        <v>10</v>
      </c>
      <c r="O1200" s="188">
        <v>0.1</v>
      </c>
      <c r="P1200" s="188" t="s">
        <v>573</v>
      </c>
      <c r="Q1200" s="188">
        <v>0</v>
      </c>
      <c r="R1200" s="189" t="s">
        <v>573</v>
      </c>
      <c r="S1200" s="189" t="s">
        <v>573</v>
      </c>
    </row>
    <row r="1201" spans="1:19" ht="14.25" customHeight="1" x14ac:dyDescent="0.3">
      <c r="A1201" s="182" t="s">
        <v>3323</v>
      </c>
      <c r="B1201" s="182" t="s">
        <v>563</v>
      </c>
      <c r="C1201" s="182"/>
      <c r="D1201" s="182" t="s">
        <v>1350</v>
      </c>
      <c r="E1201" s="183" t="s">
        <v>1351</v>
      </c>
      <c r="F1201" s="183"/>
      <c r="G1201" s="184">
        <v>1</v>
      </c>
      <c r="H1201" s="185">
        <v>0</v>
      </c>
      <c r="I1201" s="186">
        <v>298.42384358082802</v>
      </c>
      <c r="J1201" s="187">
        <v>298.42384358082802</v>
      </c>
      <c r="K1201" s="182" t="s">
        <v>3324</v>
      </c>
      <c r="L1201" s="182">
        <v>1</v>
      </c>
      <c r="M1201" s="182" t="s">
        <v>3325</v>
      </c>
      <c r="N1201" s="186">
        <v>13</v>
      </c>
      <c r="O1201" s="188">
        <v>1</v>
      </c>
      <c r="P1201" s="188" t="s">
        <v>573</v>
      </c>
      <c r="Q1201" s="188">
        <v>0</v>
      </c>
      <c r="R1201" s="189" t="s">
        <v>573</v>
      </c>
      <c r="S1201" s="189" t="s">
        <v>573</v>
      </c>
    </row>
    <row r="1202" spans="1:19" ht="14.25" customHeight="1" x14ac:dyDescent="0.3">
      <c r="A1202" s="182" t="s">
        <v>3323</v>
      </c>
      <c r="B1202" s="182" t="s">
        <v>563</v>
      </c>
      <c r="C1202" s="182"/>
      <c r="D1202" s="182" t="s">
        <v>1355</v>
      </c>
      <c r="E1202" s="183" t="s">
        <v>1356</v>
      </c>
      <c r="F1202" s="183"/>
      <c r="G1202" s="184">
        <v>1</v>
      </c>
      <c r="H1202" s="185">
        <v>0</v>
      </c>
      <c r="I1202" s="186">
        <v>2637.14184448991</v>
      </c>
      <c r="J1202" s="187">
        <v>2637.14184448991</v>
      </c>
      <c r="K1202" s="182" t="s">
        <v>3324</v>
      </c>
      <c r="L1202" s="182">
        <v>2</v>
      </c>
      <c r="M1202" s="182" t="s">
        <v>3326</v>
      </c>
      <c r="N1202" s="186">
        <v>13</v>
      </c>
      <c r="O1202" s="188">
        <v>1</v>
      </c>
      <c r="P1202" s="188" t="s">
        <v>573</v>
      </c>
      <c r="Q1202" s="188">
        <v>0</v>
      </c>
      <c r="R1202" s="189" t="s">
        <v>573</v>
      </c>
      <c r="S1202" s="189" t="s">
        <v>573</v>
      </c>
    </row>
    <row r="1203" spans="1:19" ht="14.25" customHeight="1" x14ac:dyDescent="0.3">
      <c r="A1203" s="182" t="s">
        <v>3323</v>
      </c>
      <c r="B1203" s="182" t="s">
        <v>908</v>
      </c>
      <c r="C1203" s="182" t="s">
        <v>909</v>
      </c>
      <c r="D1203" s="182" t="s">
        <v>969</v>
      </c>
      <c r="E1203" s="183" t="s">
        <v>970</v>
      </c>
      <c r="F1203" s="183" t="s">
        <v>971</v>
      </c>
      <c r="G1203" s="184">
        <v>0.4</v>
      </c>
      <c r="H1203" s="185">
        <v>0.2</v>
      </c>
      <c r="I1203" s="186">
        <v>3837.96</v>
      </c>
      <c r="J1203" s="187">
        <v>1842.2208000000001</v>
      </c>
      <c r="K1203" s="182" t="s">
        <v>3327</v>
      </c>
      <c r="L1203" s="182">
        <v>1</v>
      </c>
      <c r="M1203" s="182" t="s">
        <v>3328</v>
      </c>
      <c r="N1203" s="186">
        <v>13</v>
      </c>
      <c r="O1203" s="188">
        <v>0.4</v>
      </c>
      <c r="P1203" s="188" t="s">
        <v>573</v>
      </c>
      <c r="Q1203" s="188">
        <v>0</v>
      </c>
      <c r="R1203" s="189" t="s">
        <v>573</v>
      </c>
      <c r="S1203" s="189" t="s">
        <v>573</v>
      </c>
    </row>
    <row r="1204" spans="1:19" ht="14.25" customHeight="1" x14ac:dyDescent="0.3">
      <c r="A1204" s="182" t="s">
        <v>3323</v>
      </c>
      <c r="B1204" s="182" t="s">
        <v>908</v>
      </c>
      <c r="C1204" s="182" t="s">
        <v>909</v>
      </c>
      <c r="D1204" s="182" t="s">
        <v>915</v>
      </c>
      <c r="E1204" s="183" t="s">
        <v>916</v>
      </c>
      <c r="F1204" s="183" t="s">
        <v>600</v>
      </c>
      <c r="G1204" s="184">
        <v>0.01</v>
      </c>
      <c r="H1204" s="185">
        <v>0.03</v>
      </c>
      <c r="I1204" s="186">
        <v>735.06</v>
      </c>
      <c r="J1204" s="187">
        <v>7.5711180000000002</v>
      </c>
      <c r="K1204" s="182" t="s">
        <v>3327</v>
      </c>
      <c r="L1204" s="182">
        <v>2</v>
      </c>
      <c r="M1204" s="182" t="s">
        <v>3329</v>
      </c>
      <c r="N1204" s="186">
        <v>13</v>
      </c>
      <c r="O1204" s="188">
        <v>0.01</v>
      </c>
      <c r="P1204" s="188" t="s">
        <v>573</v>
      </c>
      <c r="Q1204" s="188">
        <v>0</v>
      </c>
      <c r="R1204" s="189" t="s">
        <v>573</v>
      </c>
      <c r="S1204" s="189" t="s">
        <v>573</v>
      </c>
    </row>
    <row r="1205" spans="1:19" ht="14.25" customHeight="1" x14ac:dyDescent="0.3">
      <c r="A1205" s="182" t="s">
        <v>3323</v>
      </c>
      <c r="B1205" s="182" t="s">
        <v>908</v>
      </c>
      <c r="C1205" s="182" t="s">
        <v>909</v>
      </c>
      <c r="D1205" s="182" t="s">
        <v>1367</v>
      </c>
      <c r="E1205" s="183" t="s">
        <v>1368</v>
      </c>
      <c r="F1205" s="183" t="s">
        <v>600</v>
      </c>
      <c r="G1205" s="184">
        <v>4.0000000000000001E-3</v>
      </c>
      <c r="H1205" s="185">
        <v>0.05</v>
      </c>
      <c r="I1205" s="186">
        <v>20237</v>
      </c>
      <c r="J1205" s="187">
        <v>84.995400000000004</v>
      </c>
      <c r="K1205" s="182" t="s">
        <v>3327</v>
      </c>
      <c r="L1205" s="182">
        <v>3</v>
      </c>
      <c r="M1205" s="182" t="s">
        <v>3330</v>
      </c>
      <c r="N1205" s="186">
        <v>13</v>
      </c>
      <c r="O1205" s="188">
        <v>4.0000000000000001E-3</v>
      </c>
      <c r="P1205" s="188" t="s">
        <v>573</v>
      </c>
      <c r="Q1205" s="188">
        <v>0</v>
      </c>
      <c r="R1205" s="189" t="s">
        <v>573</v>
      </c>
      <c r="S1205" s="189" t="s">
        <v>573</v>
      </c>
    </row>
    <row r="1206" spans="1:19" ht="14.25" customHeight="1" x14ac:dyDescent="0.3">
      <c r="A1206" s="182" t="s">
        <v>3323</v>
      </c>
      <c r="B1206" s="182" t="s">
        <v>908</v>
      </c>
      <c r="C1206" s="182" t="s">
        <v>909</v>
      </c>
      <c r="D1206" s="182" t="s">
        <v>1370</v>
      </c>
      <c r="E1206" s="183" t="s">
        <v>1371</v>
      </c>
      <c r="F1206" s="183" t="s">
        <v>912</v>
      </c>
      <c r="G1206" s="184">
        <v>0.04</v>
      </c>
      <c r="H1206" s="185">
        <v>0.05</v>
      </c>
      <c r="I1206" s="186">
        <v>44669.4214876033</v>
      </c>
      <c r="J1206" s="187">
        <v>1876.1157024793399</v>
      </c>
      <c r="K1206" s="182" t="s">
        <v>3327</v>
      </c>
      <c r="L1206" s="182">
        <v>4</v>
      </c>
      <c r="M1206" s="182" t="s">
        <v>3331</v>
      </c>
      <c r="N1206" s="186">
        <v>13</v>
      </c>
      <c r="O1206" s="188">
        <v>0.04</v>
      </c>
      <c r="P1206" s="188" t="s">
        <v>573</v>
      </c>
      <c r="Q1206" s="188">
        <v>0</v>
      </c>
      <c r="R1206" s="189" t="s">
        <v>573</v>
      </c>
      <c r="S1206" s="189" t="s">
        <v>573</v>
      </c>
    </row>
    <row r="1207" spans="1:19" ht="14.25" customHeight="1" x14ac:dyDescent="0.3">
      <c r="A1207" s="182" t="s">
        <v>3323</v>
      </c>
      <c r="B1207" s="182" t="s">
        <v>937</v>
      </c>
      <c r="C1207" s="182" t="s">
        <v>938</v>
      </c>
      <c r="D1207" s="190" t="s">
        <v>944</v>
      </c>
      <c r="E1207" s="183" t="s">
        <v>945</v>
      </c>
      <c r="F1207" s="183" t="s">
        <v>941</v>
      </c>
      <c r="G1207" s="184">
        <v>1</v>
      </c>
      <c r="H1207" s="185">
        <v>0</v>
      </c>
      <c r="I1207" s="186">
        <v>85927.097156571996</v>
      </c>
      <c r="J1207" s="187">
        <v>85927.097156571996</v>
      </c>
      <c r="K1207" s="182" t="s">
        <v>3332</v>
      </c>
      <c r="L1207" s="182">
        <v>1</v>
      </c>
      <c r="M1207" s="182" t="s">
        <v>3333</v>
      </c>
      <c r="N1207" s="186">
        <v>13</v>
      </c>
      <c r="O1207" s="188">
        <v>7.69230769230769E-2</v>
      </c>
      <c r="P1207" s="188" t="s">
        <v>573</v>
      </c>
      <c r="Q1207" s="188">
        <v>0</v>
      </c>
      <c r="R1207" s="189" t="s">
        <v>573</v>
      </c>
      <c r="S1207" s="189" t="s">
        <v>573</v>
      </c>
    </row>
    <row r="1208" spans="1:19" ht="14.25" customHeight="1" x14ac:dyDescent="0.3">
      <c r="A1208" s="182" t="s">
        <v>3323</v>
      </c>
      <c r="B1208" s="182" t="s">
        <v>937</v>
      </c>
      <c r="C1208" s="182" t="s">
        <v>938</v>
      </c>
      <c r="D1208" s="190" t="s">
        <v>1375</v>
      </c>
      <c r="E1208" s="183" t="s">
        <v>1376</v>
      </c>
      <c r="F1208" s="183" t="s">
        <v>941</v>
      </c>
      <c r="G1208" s="184">
        <v>1</v>
      </c>
      <c r="H1208" s="185">
        <v>0</v>
      </c>
      <c r="I1208" s="186">
        <v>76955.079706571996</v>
      </c>
      <c r="J1208" s="187">
        <v>76955.079706571996</v>
      </c>
      <c r="K1208" s="182" t="s">
        <v>3332</v>
      </c>
      <c r="L1208" s="182">
        <v>2</v>
      </c>
      <c r="M1208" s="182" t="s">
        <v>3334</v>
      </c>
      <c r="N1208" s="186">
        <v>13</v>
      </c>
      <c r="O1208" s="188">
        <v>7.69230769230769E-2</v>
      </c>
      <c r="P1208" s="188" t="s">
        <v>573</v>
      </c>
      <c r="Q1208" s="188">
        <v>0</v>
      </c>
      <c r="R1208" s="189" t="s">
        <v>573</v>
      </c>
      <c r="S1208" s="189" t="s">
        <v>573</v>
      </c>
    </row>
    <row r="1209" spans="1:19" ht="14.25" customHeight="1" x14ac:dyDescent="0.3">
      <c r="A1209" s="182" t="s">
        <v>3335</v>
      </c>
      <c r="B1209" s="182" t="s">
        <v>563</v>
      </c>
      <c r="C1209" s="182"/>
      <c r="D1209" s="182" t="s">
        <v>1350</v>
      </c>
      <c r="E1209" s="183" t="s">
        <v>1351</v>
      </c>
      <c r="F1209" s="183"/>
      <c r="G1209" s="184">
        <v>1</v>
      </c>
      <c r="H1209" s="185">
        <v>0</v>
      </c>
      <c r="I1209" s="186">
        <v>298.42384358082802</v>
      </c>
      <c r="J1209" s="187">
        <v>298.42384358082802</v>
      </c>
      <c r="K1209" s="182" t="s">
        <v>3336</v>
      </c>
      <c r="L1209" s="182">
        <v>1</v>
      </c>
      <c r="M1209" s="182" t="s">
        <v>3337</v>
      </c>
      <c r="N1209" s="186">
        <v>13</v>
      </c>
      <c r="O1209" s="188">
        <v>1</v>
      </c>
      <c r="P1209" s="188" t="s">
        <v>573</v>
      </c>
      <c r="Q1209" s="188">
        <v>0</v>
      </c>
      <c r="R1209" s="189" t="s">
        <v>573</v>
      </c>
      <c r="S1209" s="189" t="s">
        <v>573</v>
      </c>
    </row>
    <row r="1210" spans="1:19" ht="14.25" customHeight="1" x14ac:dyDescent="0.3">
      <c r="A1210" s="182" t="s">
        <v>3335</v>
      </c>
      <c r="B1210" s="182" t="s">
        <v>563</v>
      </c>
      <c r="C1210" s="182"/>
      <c r="D1210" s="182" t="s">
        <v>1355</v>
      </c>
      <c r="E1210" s="183" t="s">
        <v>1356</v>
      </c>
      <c r="F1210" s="183"/>
      <c r="G1210" s="184">
        <v>1</v>
      </c>
      <c r="H1210" s="185">
        <v>0</v>
      </c>
      <c r="I1210" s="186">
        <v>2637.14184448991</v>
      </c>
      <c r="J1210" s="187">
        <v>2637.14184448991</v>
      </c>
      <c r="K1210" s="182" t="s">
        <v>3336</v>
      </c>
      <c r="L1210" s="182">
        <v>2</v>
      </c>
      <c r="M1210" s="182" t="s">
        <v>3338</v>
      </c>
      <c r="N1210" s="186">
        <v>13</v>
      </c>
      <c r="O1210" s="188">
        <v>1</v>
      </c>
      <c r="P1210" s="188" t="s">
        <v>573</v>
      </c>
      <c r="Q1210" s="188">
        <v>0</v>
      </c>
      <c r="R1210" s="189" t="s">
        <v>573</v>
      </c>
      <c r="S1210" s="189" t="s">
        <v>573</v>
      </c>
    </row>
    <row r="1211" spans="1:19" ht="14.25" customHeight="1" x14ac:dyDescent="0.3">
      <c r="A1211" s="182" t="s">
        <v>3335</v>
      </c>
      <c r="B1211" s="182" t="s">
        <v>908</v>
      </c>
      <c r="C1211" s="182" t="s">
        <v>909</v>
      </c>
      <c r="D1211" s="182" t="s">
        <v>969</v>
      </c>
      <c r="E1211" s="183" t="s">
        <v>970</v>
      </c>
      <c r="F1211" s="183" t="s">
        <v>971</v>
      </c>
      <c r="G1211" s="184">
        <v>0.4</v>
      </c>
      <c r="H1211" s="185">
        <v>0.2</v>
      </c>
      <c r="I1211" s="186">
        <v>3837.96</v>
      </c>
      <c r="J1211" s="187">
        <v>1842.2208000000001</v>
      </c>
      <c r="K1211" s="182" t="s">
        <v>3339</v>
      </c>
      <c r="L1211" s="182">
        <v>1</v>
      </c>
      <c r="M1211" s="182" t="s">
        <v>3340</v>
      </c>
      <c r="N1211" s="186">
        <v>13</v>
      </c>
      <c r="O1211" s="188">
        <v>0.4</v>
      </c>
      <c r="P1211" s="188" t="s">
        <v>573</v>
      </c>
      <c r="Q1211" s="188">
        <v>0</v>
      </c>
      <c r="R1211" s="189" t="s">
        <v>573</v>
      </c>
      <c r="S1211" s="189" t="s">
        <v>573</v>
      </c>
    </row>
    <row r="1212" spans="1:19" ht="14.25" customHeight="1" x14ac:dyDescent="0.3">
      <c r="A1212" s="182" t="s">
        <v>3335</v>
      </c>
      <c r="B1212" s="182" t="s">
        <v>908</v>
      </c>
      <c r="C1212" s="182" t="s">
        <v>909</v>
      </c>
      <c r="D1212" s="182" t="s">
        <v>915</v>
      </c>
      <c r="E1212" s="183" t="s">
        <v>916</v>
      </c>
      <c r="F1212" s="183" t="s">
        <v>600</v>
      </c>
      <c r="G1212" s="184">
        <v>0.01</v>
      </c>
      <c r="H1212" s="185">
        <v>0.03</v>
      </c>
      <c r="I1212" s="186">
        <v>735.06</v>
      </c>
      <c r="J1212" s="187">
        <v>7.5711180000000002</v>
      </c>
      <c r="K1212" s="182" t="s">
        <v>3339</v>
      </c>
      <c r="L1212" s="182">
        <v>2</v>
      </c>
      <c r="M1212" s="182" t="s">
        <v>3341</v>
      </c>
      <c r="N1212" s="186">
        <v>13</v>
      </c>
      <c r="O1212" s="188">
        <v>0.01</v>
      </c>
      <c r="P1212" s="188" t="s">
        <v>573</v>
      </c>
      <c r="Q1212" s="188">
        <v>0</v>
      </c>
      <c r="R1212" s="189" t="s">
        <v>573</v>
      </c>
      <c r="S1212" s="189" t="s">
        <v>573</v>
      </c>
    </row>
    <row r="1213" spans="1:19" ht="14.25" customHeight="1" x14ac:dyDescent="0.3">
      <c r="A1213" s="182" t="s">
        <v>3335</v>
      </c>
      <c r="B1213" s="182" t="s">
        <v>908</v>
      </c>
      <c r="C1213" s="182" t="s">
        <v>909</v>
      </c>
      <c r="D1213" s="182" t="s">
        <v>1367</v>
      </c>
      <c r="E1213" s="183" t="s">
        <v>1368</v>
      </c>
      <c r="F1213" s="183" t="s">
        <v>600</v>
      </c>
      <c r="G1213" s="184">
        <v>4.0000000000000001E-3</v>
      </c>
      <c r="H1213" s="185">
        <v>0.05</v>
      </c>
      <c r="I1213" s="186">
        <v>20237</v>
      </c>
      <c r="J1213" s="187">
        <v>84.995400000000004</v>
      </c>
      <c r="K1213" s="182" t="s">
        <v>3339</v>
      </c>
      <c r="L1213" s="182">
        <v>3</v>
      </c>
      <c r="M1213" s="182" t="s">
        <v>3342</v>
      </c>
      <c r="N1213" s="186">
        <v>13</v>
      </c>
      <c r="O1213" s="188">
        <v>4.0000000000000001E-3</v>
      </c>
      <c r="P1213" s="188" t="s">
        <v>573</v>
      </c>
      <c r="Q1213" s="188">
        <v>0</v>
      </c>
      <c r="R1213" s="189" t="s">
        <v>573</v>
      </c>
      <c r="S1213" s="189" t="s">
        <v>573</v>
      </c>
    </row>
    <row r="1214" spans="1:19" ht="14.25" customHeight="1" x14ac:dyDescent="0.3">
      <c r="A1214" s="182" t="s">
        <v>3335</v>
      </c>
      <c r="B1214" s="182" t="s">
        <v>908</v>
      </c>
      <c r="C1214" s="182" t="s">
        <v>909</v>
      </c>
      <c r="D1214" s="182" t="s">
        <v>1370</v>
      </c>
      <c r="E1214" s="183" t="s">
        <v>1371</v>
      </c>
      <c r="F1214" s="183" t="s">
        <v>912</v>
      </c>
      <c r="G1214" s="184">
        <v>0.04</v>
      </c>
      <c r="H1214" s="185">
        <v>0.05</v>
      </c>
      <c r="I1214" s="186">
        <v>44669.4214876033</v>
      </c>
      <c r="J1214" s="187">
        <v>1876.1157024793399</v>
      </c>
      <c r="K1214" s="182" t="s">
        <v>3339</v>
      </c>
      <c r="L1214" s="182">
        <v>4</v>
      </c>
      <c r="M1214" s="182" t="s">
        <v>3343</v>
      </c>
      <c r="N1214" s="186">
        <v>13</v>
      </c>
      <c r="O1214" s="188">
        <v>0.04</v>
      </c>
      <c r="P1214" s="188" t="s">
        <v>573</v>
      </c>
      <c r="Q1214" s="188">
        <v>0</v>
      </c>
      <c r="R1214" s="189" t="s">
        <v>573</v>
      </c>
      <c r="S1214" s="189" t="s">
        <v>573</v>
      </c>
    </row>
    <row r="1215" spans="1:19" ht="14.25" customHeight="1" x14ac:dyDescent="0.3">
      <c r="A1215" s="182" t="s">
        <v>3335</v>
      </c>
      <c r="B1215" s="182" t="s">
        <v>937</v>
      </c>
      <c r="C1215" s="182" t="s">
        <v>938</v>
      </c>
      <c r="D1215" s="190" t="s">
        <v>944</v>
      </c>
      <c r="E1215" s="183" t="s">
        <v>945</v>
      </c>
      <c r="F1215" s="183" t="s">
        <v>941</v>
      </c>
      <c r="G1215" s="184">
        <v>1</v>
      </c>
      <c r="H1215" s="185">
        <v>0</v>
      </c>
      <c r="I1215" s="186">
        <v>85927.097156571996</v>
      </c>
      <c r="J1215" s="187">
        <v>85927.097156571996</v>
      </c>
      <c r="K1215" s="182" t="s">
        <v>3344</v>
      </c>
      <c r="L1215" s="182">
        <v>1</v>
      </c>
      <c r="M1215" s="182" t="s">
        <v>3345</v>
      </c>
      <c r="N1215" s="186">
        <v>13</v>
      </c>
      <c r="O1215" s="188">
        <v>7.69230769230769E-2</v>
      </c>
      <c r="P1215" s="188" t="s">
        <v>573</v>
      </c>
      <c r="Q1215" s="188">
        <v>0</v>
      </c>
      <c r="R1215" s="189" t="s">
        <v>573</v>
      </c>
      <c r="S1215" s="189" t="s">
        <v>573</v>
      </c>
    </row>
    <row r="1216" spans="1:19" ht="14.25" customHeight="1" x14ac:dyDescent="0.3">
      <c r="A1216" s="182" t="s">
        <v>3335</v>
      </c>
      <c r="B1216" s="182" t="s">
        <v>937</v>
      </c>
      <c r="C1216" s="182" t="s">
        <v>938</v>
      </c>
      <c r="D1216" s="190" t="s">
        <v>1375</v>
      </c>
      <c r="E1216" s="183" t="s">
        <v>1376</v>
      </c>
      <c r="F1216" s="183" t="s">
        <v>941</v>
      </c>
      <c r="G1216" s="184">
        <v>1</v>
      </c>
      <c r="H1216" s="185">
        <v>0</v>
      </c>
      <c r="I1216" s="186">
        <v>76955.079706571996</v>
      </c>
      <c r="J1216" s="187">
        <v>76955.079706571996</v>
      </c>
      <c r="K1216" s="182" t="s">
        <v>3344</v>
      </c>
      <c r="L1216" s="182">
        <v>2</v>
      </c>
      <c r="M1216" s="182" t="s">
        <v>3346</v>
      </c>
      <c r="N1216" s="186">
        <v>13</v>
      </c>
      <c r="O1216" s="188">
        <v>7.69230769230769E-2</v>
      </c>
      <c r="P1216" s="188" t="s">
        <v>573</v>
      </c>
      <c r="Q1216" s="188">
        <v>0</v>
      </c>
      <c r="R1216" s="189" t="s">
        <v>573</v>
      </c>
      <c r="S1216" s="189" t="s">
        <v>573</v>
      </c>
    </row>
    <row r="1217" spans="1:19" ht="14.25" customHeight="1" x14ac:dyDescent="0.3">
      <c r="A1217" s="182" t="s">
        <v>3347</v>
      </c>
      <c r="B1217" s="182" t="s">
        <v>563</v>
      </c>
      <c r="C1217" s="182"/>
      <c r="D1217" s="182" t="s">
        <v>948</v>
      </c>
      <c r="E1217" s="183" t="s">
        <v>949</v>
      </c>
      <c r="F1217" s="183"/>
      <c r="G1217" s="184">
        <v>0.5</v>
      </c>
      <c r="H1217" s="185">
        <v>0</v>
      </c>
      <c r="I1217" s="186">
        <v>571.17949098076099</v>
      </c>
      <c r="J1217" s="187">
        <v>285.58974549038101</v>
      </c>
      <c r="K1217" s="182" t="s">
        <v>3348</v>
      </c>
      <c r="L1217" s="182">
        <v>1</v>
      </c>
      <c r="M1217" s="182" t="s">
        <v>3349</v>
      </c>
      <c r="N1217" s="186">
        <v>28</v>
      </c>
      <c r="O1217" s="188">
        <v>0.5</v>
      </c>
      <c r="P1217" s="188">
        <v>19</v>
      </c>
      <c r="Q1217" s="188">
        <v>9.5</v>
      </c>
      <c r="R1217" s="189">
        <v>12.01</v>
      </c>
      <c r="S1217" s="189" t="s">
        <v>1354</v>
      </c>
    </row>
    <row r="1218" spans="1:19" ht="14.25" customHeight="1" x14ac:dyDescent="0.3">
      <c r="A1218" s="182" t="s">
        <v>3347</v>
      </c>
      <c r="B1218" s="182" t="s">
        <v>563</v>
      </c>
      <c r="C1218" s="182"/>
      <c r="D1218" s="182" t="s">
        <v>952</v>
      </c>
      <c r="E1218" s="183" t="s">
        <v>953</v>
      </c>
      <c r="F1218" s="183"/>
      <c r="G1218" s="184">
        <v>1</v>
      </c>
      <c r="H1218" s="185">
        <v>0</v>
      </c>
      <c r="I1218" s="186">
        <v>2287.1357450968098</v>
      </c>
      <c r="J1218" s="187">
        <v>2287.1357450968098</v>
      </c>
      <c r="K1218" s="182" t="s">
        <v>3348</v>
      </c>
      <c r="L1218" s="182">
        <v>2</v>
      </c>
      <c r="M1218" s="182" t="s">
        <v>3350</v>
      </c>
      <c r="N1218" s="186">
        <v>28</v>
      </c>
      <c r="O1218" s="188">
        <v>1</v>
      </c>
      <c r="P1218" s="188">
        <v>19</v>
      </c>
      <c r="Q1218" s="188">
        <v>19</v>
      </c>
      <c r="R1218" s="189">
        <v>12.01</v>
      </c>
      <c r="S1218" s="189" t="s">
        <v>1354</v>
      </c>
    </row>
    <row r="1219" spans="1:19" ht="14.25" customHeight="1" x14ac:dyDescent="0.3">
      <c r="A1219" s="182" t="s">
        <v>3347</v>
      </c>
      <c r="B1219" s="182" t="s">
        <v>563</v>
      </c>
      <c r="C1219" s="182"/>
      <c r="D1219" s="182" t="s">
        <v>955</v>
      </c>
      <c r="E1219" s="183" t="s">
        <v>956</v>
      </c>
      <c r="F1219" s="183"/>
      <c r="G1219" s="184">
        <v>1</v>
      </c>
      <c r="H1219" s="185">
        <v>0</v>
      </c>
      <c r="I1219" s="186">
        <v>957.25319614994703</v>
      </c>
      <c r="J1219" s="187">
        <v>957.25319614994703</v>
      </c>
      <c r="K1219" s="182" t="s">
        <v>3348</v>
      </c>
      <c r="L1219" s="182">
        <v>3</v>
      </c>
      <c r="M1219" s="182" t="s">
        <v>3351</v>
      </c>
      <c r="N1219" s="186">
        <v>28</v>
      </c>
      <c r="O1219" s="188">
        <v>1</v>
      </c>
      <c r="P1219" s="188">
        <v>19</v>
      </c>
      <c r="Q1219" s="188">
        <v>19</v>
      </c>
      <c r="R1219" s="189">
        <v>12.01</v>
      </c>
      <c r="S1219" s="189" t="s">
        <v>1354</v>
      </c>
    </row>
    <row r="1220" spans="1:19" ht="14.25" customHeight="1" x14ac:dyDescent="0.3">
      <c r="A1220" s="182" t="s">
        <v>3347</v>
      </c>
      <c r="B1220" s="182" t="s">
        <v>908</v>
      </c>
      <c r="C1220" s="182" t="s">
        <v>909</v>
      </c>
      <c r="D1220" s="182" t="s">
        <v>962</v>
      </c>
      <c r="E1220" s="183" t="s">
        <v>963</v>
      </c>
      <c r="F1220" s="183" t="s">
        <v>590</v>
      </c>
      <c r="G1220" s="184">
        <v>6.0000000000000001E-3</v>
      </c>
      <c r="H1220" s="185">
        <v>0.1</v>
      </c>
      <c r="I1220" s="186">
        <v>32399.77</v>
      </c>
      <c r="J1220" s="187">
        <v>213.838482</v>
      </c>
      <c r="K1220" s="182" t="s">
        <v>3352</v>
      </c>
      <c r="L1220" s="182">
        <v>1</v>
      </c>
      <c r="M1220" s="182" t="s">
        <v>3353</v>
      </c>
      <c r="N1220" s="186">
        <v>28</v>
      </c>
      <c r="O1220" s="188">
        <v>6.0000000000000001E-3</v>
      </c>
      <c r="P1220" s="188">
        <v>19</v>
      </c>
      <c r="Q1220" s="188">
        <v>0.114</v>
      </c>
      <c r="R1220" s="189">
        <v>12.01</v>
      </c>
      <c r="S1220" s="189" t="s">
        <v>1354</v>
      </c>
    </row>
    <row r="1221" spans="1:19" ht="14.25" customHeight="1" x14ac:dyDescent="0.3">
      <c r="A1221" s="182" t="s">
        <v>3347</v>
      </c>
      <c r="B1221" s="182" t="s">
        <v>908</v>
      </c>
      <c r="C1221" s="182" t="s">
        <v>909</v>
      </c>
      <c r="D1221" s="182" t="s">
        <v>965</v>
      </c>
      <c r="E1221" s="183" t="s">
        <v>966</v>
      </c>
      <c r="F1221" s="183" t="s">
        <v>967</v>
      </c>
      <c r="G1221" s="184">
        <v>5.3999999999999999E-2</v>
      </c>
      <c r="H1221" s="185">
        <v>0.1</v>
      </c>
      <c r="I1221" s="186">
        <v>7809.48</v>
      </c>
      <c r="J1221" s="187">
        <v>463.88311199999998</v>
      </c>
      <c r="K1221" s="182" t="s">
        <v>3352</v>
      </c>
      <c r="L1221" s="182">
        <v>2</v>
      </c>
      <c r="M1221" s="182" t="s">
        <v>3354</v>
      </c>
      <c r="N1221" s="186">
        <v>28</v>
      </c>
      <c r="O1221" s="188">
        <v>5.3999999999999999E-2</v>
      </c>
      <c r="P1221" s="188">
        <v>19</v>
      </c>
      <c r="Q1221" s="188">
        <v>1.026</v>
      </c>
      <c r="R1221" s="189">
        <v>12.01</v>
      </c>
      <c r="S1221" s="189" t="s">
        <v>1354</v>
      </c>
    </row>
    <row r="1222" spans="1:19" ht="14.25" customHeight="1" x14ac:dyDescent="0.3">
      <c r="A1222" s="182" t="s">
        <v>3347</v>
      </c>
      <c r="B1222" s="182" t="s">
        <v>908</v>
      </c>
      <c r="C1222" s="182" t="s">
        <v>909</v>
      </c>
      <c r="D1222" s="182" t="s">
        <v>1044</v>
      </c>
      <c r="E1222" s="183" t="s">
        <v>1045</v>
      </c>
      <c r="F1222" s="183" t="s">
        <v>1046</v>
      </c>
      <c r="G1222" s="184">
        <v>0.1</v>
      </c>
      <c r="H1222" s="185">
        <v>0.05</v>
      </c>
      <c r="I1222" s="186">
        <v>1256.1279999999999</v>
      </c>
      <c r="J1222" s="187">
        <v>131.89344</v>
      </c>
      <c r="K1222" s="182" t="s">
        <v>3352</v>
      </c>
      <c r="L1222" s="182">
        <v>3</v>
      </c>
      <c r="M1222" s="182" t="s">
        <v>3355</v>
      </c>
      <c r="N1222" s="186">
        <v>28</v>
      </c>
      <c r="O1222" s="188">
        <v>0.1</v>
      </c>
      <c r="P1222" s="188">
        <v>19</v>
      </c>
      <c r="Q1222" s="188">
        <v>1.9</v>
      </c>
      <c r="R1222" s="189">
        <v>12.01</v>
      </c>
      <c r="S1222" s="189" t="s">
        <v>1354</v>
      </c>
    </row>
    <row r="1223" spans="1:19" ht="14.25" customHeight="1" x14ac:dyDescent="0.3">
      <c r="A1223" s="182" t="s">
        <v>3347</v>
      </c>
      <c r="B1223" s="182" t="s">
        <v>937</v>
      </c>
      <c r="C1223" s="182" t="s">
        <v>938</v>
      </c>
      <c r="D1223" s="190" t="s">
        <v>939</v>
      </c>
      <c r="E1223" s="183" t="s">
        <v>940</v>
      </c>
      <c r="F1223" s="183" t="s">
        <v>941</v>
      </c>
      <c r="G1223" s="184">
        <v>0.4</v>
      </c>
      <c r="H1223" s="185">
        <v>0</v>
      </c>
      <c r="I1223" s="186">
        <v>60860.580776572002</v>
      </c>
      <c r="J1223" s="187">
        <v>24344.232310628799</v>
      </c>
      <c r="K1223" s="182" t="s">
        <v>3356</v>
      </c>
      <c r="L1223" s="182">
        <v>1</v>
      </c>
      <c r="M1223" s="182" t="s">
        <v>3357</v>
      </c>
      <c r="N1223" s="186">
        <v>28</v>
      </c>
      <c r="O1223" s="188">
        <v>1.4285714285714299E-2</v>
      </c>
      <c r="P1223" s="188">
        <v>19</v>
      </c>
      <c r="Q1223" s="188">
        <v>0.27142857142857202</v>
      </c>
      <c r="R1223" s="189">
        <v>12.01</v>
      </c>
      <c r="S1223" s="189" t="s">
        <v>1354</v>
      </c>
    </row>
    <row r="1224" spans="1:19" ht="14.25" customHeight="1" x14ac:dyDescent="0.3">
      <c r="A1224" s="182" t="s">
        <v>3347</v>
      </c>
      <c r="B1224" s="182" t="s">
        <v>937</v>
      </c>
      <c r="C1224" s="182" t="s">
        <v>938</v>
      </c>
      <c r="D1224" s="190" t="s">
        <v>944</v>
      </c>
      <c r="E1224" s="183" t="s">
        <v>945</v>
      </c>
      <c r="F1224" s="183" t="s">
        <v>941</v>
      </c>
      <c r="G1224" s="184">
        <v>1</v>
      </c>
      <c r="H1224" s="185">
        <v>0</v>
      </c>
      <c r="I1224" s="186">
        <v>85927.097156571996</v>
      </c>
      <c r="J1224" s="187">
        <v>85927.097156571996</v>
      </c>
      <c r="K1224" s="182" t="s">
        <v>3356</v>
      </c>
      <c r="L1224" s="182">
        <v>2</v>
      </c>
      <c r="M1224" s="182" t="s">
        <v>3358</v>
      </c>
      <c r="N1224" s="186">
        <v>28</v>
      </c>
      <c r="O1224" s="188">
        <v>3.5714285714285698E-2</v>
      </c>
      <c r="P1224" s="188">
        <v>19</v>
      </c>
      <c r="Q1224" s="188">
        <v>0.67857142857142905</v>
      </c>
      <c r="R1224" s="189">
        <v>12.01</v>
      </c>
      <c r="S1224" s="189" t="s">
        <v>1354</v>
      </c>
    </row>
    <row r="1225" spans="1:19" ht="14.25" customHeight="1" x14ac:dyDescent="0.3">
      <c r="A1225" s="182" t="s">
        <v>3359</v>
      </c>
      <c r="B1225" s="182" t="s">
        <v>563</v>
      </c>
      <c r="C1225" s="182"/>
      <c r="D1225" s="182" t="s">
        <v>3360</v>
      </c>
      <c r="E1225" s="183" t="s">
        <v>3361</v>
      </c>
      <c r="F1225" s="183"/>
      <c r="G1225" s="184">
        <v>1</v>
      </c>
      <c r="H1225" s="185">
        <v>0</v>
      </c>
      <c r="I1225" s="186">
        <v>100.443260520069</v>
      </c>
      <c r="J1225" s="187">
        <v>100.443260520069</v>
      </c>
      <c r="K1225" s="182" t="s">
        <v>3362</v>
      </c>
      <c r="L1225" s="182">
        <v>1</v>
      </c>
      <c r="M1225" s="182" t="s">
        <v>3363</v>
      </c>
      <c r="N1225" s="186">
        <v>1</v>
      </c>
      <c r="O1225" s="188">
        <v>1</v>
      </c>
      <c r="P1225" s="188">
        <v>626</v>
      </c>
      <c r="Q1225" s="188">
        <v>626</v>
      </c>
      <c r="R1225" s="189">
        <v>12.02</v>
      </c>
      <c r="S1225" s="189" t="s">
        <v>1354</v>
      </c>
    </row>
    <row r="1226" spans="1:19" ht="14.25" customHeight="1" x14ac:dyDescent="0.3">
      <c r="A1226" s="182" t="s">
        <v>3359</v>
      </c>
      <c r="B1226" s="182" t="s">
        <v>908</v>
      </c>
      <c r="C1226" s="182" t="s">
        <v>909</v>
      </c>
      <c r="D1226" s="182" t="s">
        <v>2927</v>
      </c>
      <c r="E1226" s="183" t="s">
        <v>2928</v>
      </c>
      <c r="F1226" s="183" t="s">
        <v>600</v>
      </c>
      <c r="G1226" s="184">
        <v>0.2</v>
      </c>
      <c r="H1226" s="185">
        <v>0</v>
      </c>
      <c r="I1226" s="186">
        <v>25454.5454545455</v>
      </c>
      <c r="J1226" s="187">
        <v>5090.9090909091001</v>
      </c>
      <c r="K1226" s="182" t="s">
        <v>3364</v>
      </c>
      <c r="L1226" s="182">
        <v>1</v>
      </c>
      <c r="M1226" s="182" t="s">
        <v>3365</v>
      </c>
      <c r="N1226" s="186">
        <v>1</v>
      </c>
      <c r="O1226" s="188">
        <v>0.2</v>
      </c>
      <c r="P1226" s="188">
        <v>626</v>
      </c>
      <c r="Q1226" s="188">
        <v>125.2</v>
      </c>
      <c r="R1226" s="189">
        <v>12.02</v>
      </c>
      <c r="S1226" s="189" t="s">
        <v>1354</v>
      </c>
    </row>
    <row r="1227" spans="1:19" ht="14.25" customHeight="1" x14ac:dyDescent="0.3">
      <c r="A1227" s="182" t="s">
        <v>3359</v>
      </c>
      <c r="B1227" s="182" t="s">
        <v>908</v>
      </c>
      <c r="C1227" s="182" t="s">
        <v>909</v>
      </c>
      <c r="D1227" s="182" t="s">
        <v>3366</v>
      </c>
      <c r="E1227" s="183" t="s">
        <v>3367</v>
      </c>
      <c r="F1227" s="183" t="s">
        <v>581</v>
      </c>
      <c r="G1227" s="184">
        <v>1</v>
      </c>
      <c r="H1227" s="185">
        <v>0</v>
      </c>
      <c r="I1227" s="186">
        <v>2000</v>
      </c>
      <c r="J1227" s="187">
        <v>2000</v>
      </c>
      <c r="K1227" s="182" t="s">
        <v>3364</v>
      </c>
      <c r="L1227" s="182">
        <v>2</v>
      </c>
      <c r="M1227" s="182" t="s">
        <v>3368</v>
      </c>
      <c r="N1227" s="186">
        <v>1</v>
      </c>
      <c r="O1227" s="188">
        <v>1</v>
      </c>
      <c r="P1227" s="188">
        <v>626</v>
      </c>
      <c r="Q1227" s="188">
        <v>626</v>
      </c>
      <c r="R1227" s="189">
        <v>12.02</v>
      </c>
      <c r="S1227" s="189" t="s">
        <v>1354</v>
      </c>
    </row>
    <row r="1228" spans="1:19" ht="14.25" customHeight="1" x14ac:dyDescent="0.3">
      <c r="A1228" s="182" t="s">
        <v>3359</v>
      </c>
      <c r="B1228" s="182" t="s">
        <v>937</v>
      </c>
      <c r="C1228" s="182" t="s">
        <v>938</v>
      </c>
      <c r="D1228" s="190" t="s">
        <v>1375</v>
      </c>
      <c r="E1228" s="183" t="s">
        <v>1376</v>
      </c>
      <c r="F1228" s="183" t="s">
        <v>941</v>
      </c>
      <c r="G1228" s="184">
        <v>4.1533546325878599E-2</v>
      </c>
      <c r="H1228" s="185">
        <v>0</v>
      </c>
      <c r="I1228" s="186">
        <v>76955.079706571996</v>
      </c>
      <c r="J1228" s="187">
        <v>3196.2173680045898</v>
      </c>
      <c r="K1228" s="182" t="s">
        <v>3369</v>
      </c>
      <c r="L1228" s="182">
        <v>1</v>
      </c>
      <c r="M1228" s="182" t="s">
        <v>3370</v>
      </c>
      <c r="N1228" s="186">
        <v>1</v>
      </c>
      <c r="O1228" s="188">
        <v>4.1533546325878599E-2</v>
      </c>
      <c r="P1228" s="188">
        <v>626</v>
      </c>
      <c r="Q1228" s="188">
        <v>26</v>
      </c>
      <c r="R1228" s="189">
        <v>12.02</v>
      </c>
      <c r="S1228" s="189" t="s">
        <v>1354</v>
      </c>
    </row>
    <row r="1229" spans="1:19" ht="14.25" customHeight="1" x14ac:dyDescent="0.3">
      <c r="A1229" s="182" t="s">
        <v>3371</v>
      </c>
      <c r="B1229" s="182" t="s">
        <v>563</v>
      </c>
      <c r="C1229" s="182"/>
      <c r="D1229" s="182" t="s">
        <v>1350</v>
      </c>
      <c r="E1229" s="183" t="s">
        <v>1351</v>
      </c>
      <c r="F1229" s="183"/>
      <c r="G1229" s="184">
        <v>1</v>
      </c>
      <c r="H1229" s="185">
        <v>0</v>
      </c>
      <c r="I1229" s="186">
        <v>298.42384358082802</v>
      </c>
      <c r="J1229" s="187">
        <v>298.42384358082802</v>
      </c>
      <c r="K1229" s="182" t="s">
        <v>3372</v>
      </c>
      <c r="L1229" s="182">
        <v>1</v>
      </c>
      <c r="M1229" s="182" t="s">
        <v>3373</v>
      </c>
      <c r="N1229" s="186">
        <v>30</v>
      </c>
      <c r="O1229" s="188">
        <v>1</v>
      </c>
      <c r="P1229" s="188" t="s">
        <v>573</v>
      </c>
      <c r="Q1229" s="188">
        <v>0</v>
      </c>
      <c r="R1229" s="189" t="s">
        <v>573</v>
      </c>
      <c r="S1229" s="189" t="s">
        <v>573</v>
      </c>
    </row>
    <row r="1230" spans="1:19" ht="14.25" customHeight="1" x14ac:dyDescent="0.3">
      <c r="A1230" s="182" t="s">
        <v>3371</v>
      </c>
      <c r="B1230" s="182" t="s">
        <v>563</v>
      </c>
      <c r="C1230" s="182"/>
      <c r="D1230" s="182" t="s">
        <v>1355</v>
      </c>
      <c r="E1230" s="183" t="s">
        <v>1356</v>
      </c>
      <c r="F1230" s="183"/>
      <c r="G1230" s="184">
        <v>1</v>
      </c>
      <c r="H1230" s="185">
        <v>0</v>
      </c>
      <c r="I1230" s="186">
        <v>2637.14184448991</v>
      </c>
      <c r="J1230" s="187">
        <v>2637.14184448991</v>
      </c>
      <c r="K1230" s="182" t="s">
        <v>3372</v>
      </c>
      <c r="L1230" s="182">
        <v>2</v>
      </c>
      <c r="M1230" s="182" t="s">
        <v>3374</v>
      </c>
      <c r="N1230" s="186">
        <v>30</v>
      </c>
      <c r="O1230" s="188">
        <v>1</v>
      </c>
      <c r="P1230" s="188" t="s">
        <v>573</v>
      </c>
      <c r="Q1230" s="188">
        <v>0</v>
      </c>
      <c r="R1230" s="189" t="s">
        <v>573</v>
      </c>
      <c r="S1230" s="189" t="s">
        <v>573</v>
      </c>
    </row>
    <row r="1231" spans="1:19" ht="14.25" customHeight="1" x14ac:dyDescent="0.3">
      <c r="A1231" s="182" t="s">
        <v>3371</v>
      </c>
      <c r="B1231" s="182" t="s">
        <v>908</v>
      </c>
      <c r="C1231" s="182" t="s">
        <v>909</v>
      </c>
      <c r="D1231" s="182" t="s">
        <v>969</v>
      </c>
      <c r="E1231" s="183" t="s">
        <v>970</v>
      </c>
      <c r="F1231" s="183" t="s">
        <v>971</v>
      </c>
      <c r="G1231" s="184">
        <v>0.08</v>
      </c>
      <c r="H1231" s="185">
        <v>0.2</v>
      </c>
      <c r="I1231" s="186">
        <v>3837.96</v>
      </c>
      <c r="J1231" s="187">
        <v>368.44416000000001</v>
      </c>
      <c r="K1231" s="182" t="s">
        <v>3375</v>
      </c>
      <c r="L1231" s="182">
        <v>1</v>
      </c>
      <c r="M1231" s="182" t="s">
        <v>3376</v>
      </c>
      <c r="N1231" s="186">
        <v>30</v>
      </c>
      <c r="O1231" s="188">
        <v>0.08</v>
      </c>
      <c r="P1231" s="188" t="s">
        <v>573</v>
      </c>
      <c r="Q1231" s="188">
        <v>0</v>
      </c>
      <c r="R1231" s="189" t="s">
        <v>573</v>
      </c>
      <c r="S1231" s="189" t="s">
        <v>573</v>
      </c>
    </row>
    <row r="1232" spans="1:19" ht="14.25" customHeight="1" x14ac:dyDescent="0.3">
      <c r="A1232" s="182" t="s">
        <v>3371</v>
      </c>
      <c r="B1232" s="182" t="s">
        <v>908</v>
      </c>
      <c r="C1232" s="182" t="s">
        <v>909</v>
      </c>
      <c r="D1232" s="182" t="s">
        <v>915</v>
      </c>
      <c r="E1232" s="183" t="s">
        <v>916</v>
      </c>
      <c r="F1232" s="183" t="s">
        <v>600</v>
      </c>
      <c r="G1232" s="184">
        <v>0.01</v>
      </c>
      <c r="H1232" s="185">
        <v>0.03</v>
      </c>
      <c r="I1232" s="186">
        <v>735.06</v>
      </c>
      <c r="J1232" s="187">
        <v>7.5711180000000002</v>
      </c>
      <c r="K1232" s="182" t="s">
        <v>3375</v>
      </c>
      <c r="L1232" s="182">
        <v>2</v>
      </c>
      <c r="M1232" s="182" t="s">
        <v>3377</v>
      </c>
      <c r="N1232" s="186">
        <v>30</v>
      </c>
      <c r="O1232" s="188">
        <v>0.01</v>
      </c>
      <c r="P1232" s="188" t="s">
        <v>573</v>
      </c>
      <c r="Q1232" s="188">
        <v>0</v>
      </c>
      <c r="R1232" s="189" t="s">
        <v>573</v>
      </c>
      <c r="S1232" s="189" t="s">
        <v>573</v>
      </c>
    </row>
    <row r="1233" spans="1:19" ht="14.25" customHeight="1" x14ac:dyDescent="0.3">
      <c r="A1233" s="182" t="s">
        <v>3371</v>
      </c>
      <c r="B1233" s="182" t="s">
        <v>908</v>
      </c>
      <c r="C1233" s="182" t="s">
        <v>909</v>
      </c>
      <c r="D1233" s="182" t="s">
        <v>1367</v>
      </c>
      <c r="E1233" s="183" t="s">
        <v>1368</v>
      </c>
      <c r="F1233" s="183" t="s">
        <v>600</v>
      </c>
      <c r="G1233" s="184">
        <v>1E-3</v>
      </c>
      <c r="H1233" s="185">
        <v>0.05</v>
      </c>
      <c r="I1233" s="186">
        <v>20237</v>
      </c>
      <c r="J1233" s="187">
        <v>21.248850000000001</v>
      </c>
      <c r="K1233" s="182" t="s">
        <v>3375</v>
      </c>
      <c r="L1233" s="182">
        <v>3</v>
      </c>
      <c r="M1233" s="182" t="s">
        <v>3378</v>
      </c>
      <c r="N1233" s="186">
        <v>30</v>
      </c>
      <c r="O1233" s="188">
        <v>1E-3</v>
      </c>
      <c r="P1233" s="188" t="s">
        <v>573</v>
      </c>
      <c r="Q1233" s="188">
        <v>0</v>
      </c>
      <c r="R1233" s="189" t="s">
        <v>573</v>
      </c>
      <c r="S1233" s="189" t="s">
        <v>573</v>
      </c>
    </row>
    <row r="1234" spans="1:19" ht="14.25" customHeight="1" x14ac:dyDescent="0.3">
      <c r="A1234" s="182" t="s">
        <v>3371</v>
      </c>
      <c r="B1234" s="182" t="s">
        <v>937</v>
      </c>
      <c r="C1234" s="182" t="s">
        <v>938</v>
      </c>
      <c r="D1234" s="190" t="s">
        <v>944</v>
      </c>
      <c r="E1234" s="183" t="s">
        <v>945</v>
      </c>
      <c r="F1234" s="183" t="s">
        <v>941</v>
      </c>
      <c r="G1234" s="184">
        <v>1</v>
      </c>
      <c r="H1234" s="185">
        <v>0</v>
      </c>
      <c r="I1234" s="186">
        <v>85927.097156571996</v>
      </c>
      <c r="J1234" s="187">
        <v>85927.097156571996</v>
      </c>
      <c r="K1234" s="182" t="s">
        <v>3379</v>
      </c>
      <c r="L1234" s="182">
        <v>1</v>
      </c>
      <c r="M1234" s="182" t="s">
        <v>3380</v>
      </c>
      <c r="N1234" s="186">
        <v>30</v>
      </c>
      <c r="O1234" s="188">
        <v>3.3333333333333298E-2</v>
      </c>
      <c r="P1234" s="188" t="s">
        <v>573</v>
      </c>
      <c r="Q1234" s="188">
        <v>0</v>
      </c>
      <c r="R1234" s="189" t="s">
        <v>573</v>
      </c>
      <c r="S1234" s="189" t="s">
        <v>573</v>
      </c>
    </row>
    <row r="1235" spans="1:19" ht="14.25" customHeight="1" x14ac:dyDescent="0.3">
      <c r="A1235" s="182" t="s">
        <v>3371</v>
      </c>
      <c r="B1235" s="182" t="s">
        <v>937</v>
      </c>
      <c r="C1235" s="182" t="s">
        <v>938</v>
      </c>
      <c r="D1235" s="190" t="s">
        <v>1375</v>
      </c>
      <c r="E1235" s="183" t="s">
        <v>1376</v>
      </c>
      <c r="F1235" s="183" t="s">
        <v>941</v>
      </c>
      <c r="G1235" s="184">
        <v>1</v>
      </c>
      <c r="H1235" s="185">
        <v>0</v>
      </c>
      <c r="I1235" s="186">
        <v>76955.079706571996</v>
      </c>
      <c r="J1235" s="187">
        <v>76955.079706571996</v>
      </c>
      <c r="K1235" s="182" t="s">
        <v>3379</v>
      </c>
      <c r="L1235" s="182">
        <v>2</v>
      </c>
      <c r="M1235" s="182" t="s">
        <v>3381</v>
      </c>
      <c r="N1235" s="186">
        <v>30</v>
      </c>
      <c r="O1235" s="188">
        <v>3.3333333333333298E-2</v>
      </c>
      <c r="P1235" s="188" t="s">
        <v>573</v>
      </c>
      <c r="Q1235" s="188">
        <v>0</v>
      </c>
      <c r="R1235" s="189" t="s">
        <v>573</v>
      </c>
      <c r="S1235" s="189" t="s">
        <v>573</v>
      </c>
    </row>
    <row r="1236" spans="1:19" ht="14.25" customHeight="1" x14ac:dyDescent="0.3">
      <c r="A1236" s="182" t="s">
        <v>3382</v>
      </c>
      <c r="B1236" s="182" t="s">
        <v>563</v>
      </c>
      <c r="C1236" s="182"/>
      <c r="D1236" s="182" t="s">
        <v>1350</v>
      </c>
      <c r="E1236" s="183" t="s">
        <v>1351</v>
      </c>
      <c r="F1236" s="183"/>
      <c r="G1236" s="184">
        <v>1</v>
      </c>
      <c r="H1236" s="185">
        <v>0</v>
      </c>
      <c r="I1236" s="186">
        <v>298.42384358082802</v>
      </c>
      <c r="J1236" s="187">
        <v>298.42384358082802</v>
      </c>
      <c r="K1236" s="182" t="s">
        <v>3383</v>
      </c>
      <c r="L1236" s="182">
        <v>1</v>
      </c>
      <c r="M1236" s="182" t="s">
        <v>3384</v>
      </c>
      <c r="N1236" s="186">
        <v>10</v>
      </c>
      <c r="O1236" s="188">
        <v>1</v>
      </c>
      <c r="P1236" s="188" t="s">
        <v>573</v>
      </c>
      <c r="Q1236" s="188">
        <v>0</v>
      </c>
      <c r="R1236" s="189" t="s">
        <v>573</v>
      </c>
      <c r="S1236" s="189" t="s">
        <v>573</v>
      </c>
    </row>
    <row r="1237" spans="1:19" ht="14.25" customHeight="1" x14ac:dyDescent="0.3">
      <c r="A1237" s="182" t="s">
        <v>3382</v>
      </c>
      <c r="B1237" s="182" t="s">
        <v>563</v>
      </c>
      <c r="C1237" s="182"/>
      <c r="D1237" s="182" t="s">
        <v>1355</v>
      </c>
      <c r="E1237" s="183" t="s">
        <v>1356</v>
      </c>
      <c r="F1237" s="183"/>
      <c r="G1237" s="184">
        <v>1</v>
      </c>
      <c r="H1237" s="185">
        <v>0</v>
      </c>
      <c r="I1237" s="186">
        <v>2637.14184448991</v>
      </c>
      <c r="J1237" s="187">
        <v>2637.14184448991</v>
      </c>
      <c r="K1237" s="182" t="s">
        <v>3383</v>
      </c>
      <c r="L1237" s="182">
        <v>2</v>
      </c>
      <c r="M1237" s="182" t="s">
        <v>3385</v>
      </c>
      <c r="N1237" s="186">
        <v>10</v>
      </c>
      <c r="O1237" s="188">
        <v>1</v>
      </c>
      <c r="P1237" s="188" t="s">
        <v>573</v>
      </c>
      <c r="Q1237" s="188">
        <v>0</v>
      </c>
      <c r="R1237" s="189" t="s">
        <v>573</v>
      </c>
      <c r="S1237" s="189" t="s">
        <v>573</v>
      </c>
    </row>
    <row r="1238" spans="1:19" ht="14.25" customHeight="1" x14ac:dyDescent="0.3">
      <c r="A1238" s="182" t="s">
        <v>3382</v>
      </c>
      <c r="B1238" s="182" t="s">
        <v>908</v>
      </c>
      <c r="C1238" s="182" t="s">
        <v>909</v>
      </c>
      <c r="D1238" s="182" t="s">
        <v>969</v>
      </c>
      <c r="E1238" s="183" t="s">
        <v>970</v>
      </c>
      <c r="F1238" s="183" t="s">
        <v>971</v>
      </c>
      <c r="G1238" s="184">
        <v>0.4</v>
      </c>
      <c r="H1238" s="185">
        <v>0.2</v>
      </c>
      <c r="I1238" s="186">
        <v>3837.96</v>
      </c>
      <c r="J1238" s="187">
        <v>1842.2208000000001</v>
      </c>
      <c r="K1238" s="182" t="s">
        <v>3386</v>
      </c>
      <c r="L1238" s="182">
        <v>1</v>
      </c>
      <c r="M1238" s="182" t="s">
        <v>3387</v>
      </c>
      <c r="N1238" s="186">
        <v>10</v>
      </c>
      <c r="O1238" s="188">
        <v>0.4</v>
      </c>
      <c r="P1238" s="188" t="s">
        <v>573</v>
      </c>
      <c r="Q1238" s="188">
        <v>0</v>
      </c>
      <c r="R1238" s="189" t="s">
        <v>573</v>
      </c>
      <c r="S1238" s="189" t="s">
        <v>573</v>
      </c>
    </row>
    <row r="1239" spans="1:19" ht="14.25" customHeight="1" x14ac:dyDescent="0.3">
      <c r="A1239" s="182" t="s">
        <v>3382</v>
      </c>
      <c r="B1239" s="182" t="s">
        <v>908</v>
      </c>
      <c r="C1239" s="182" t="s">
        <v>909</v>
      </c>
      <c r="D1239" s="182" t="s">
        <v>915</v>
      </c>
      <c r="E1239" s="183" t="s">
        <v>916</v>
      </c>
      <c r="F1239" s="183" t="s">
        <v>600</v>
      </c>
      <c r="G1239" s="184">
        <v>0.01</v>
      </c>
      <c r="H1239" s="185">
        <v>0.03</v>
      </c>
      <c r="I1239" s="186">
        <v>735.06</v>
      </c>
      <c r="J1239" s="187">
        <v>7.5711180000000002</v>
      </c>
      <c r="K1239" s="182" t="s">
        <v>3386</v>
      </c>
      <c r="L1239" s="182">
        <v>2</v>
      </c>
      <c r="M1239" s="182" t="s">
        <v>3388</v>
      </c>
      <c r="N1239" s="186">
        <v>10</v>
      </c>
      <c r="O1239" s="188">
        <v>0.01</v>
      </c>
      <c r="P1239" s="188" t="s">
        <v>573</v>
      </c>
      <c r="Q1239" s="188">
        <v>0</v>
      </c>
      <c r="R1239" s="189" t="s">
        <v>573</v>
      </c>
      <c r="S1239" s="189" t="s">
        <v>573</v>
      </c>
    </row>
    <row r="1240" spans="1:19" ht="14.25" customHeight="1" x14ac:dyDescent="0.3">
      <c r="A1240" s="182" t="s">
        <v>3382</v>
      </c>
      <c r="B1240" s="182" t="s">
        <v>908</v>
      </c>
      <c r="C1240" s="182" t="s">
        <v>909</v>
      </c>
      <c r="D1240" s="182" t="s">
        <v>1367</v>
      </c>
      <c r="E1240" s="183" t="s">
        <v>1368</v>
      </c>
      <c r="F1240" s="183" t="s">
        <v>600</v>
      </c>
      <c r="G1240" s="184">
        <v>4.0000000000000001E-3</v>
      </c>
      <c r="H1240" s="185">
        <v>0.05</v>
      </c>
      <c r="I1240" s="186">
        <v>20237</v>
      </c>
      <c r="J1240" s="187">
        <v>84.995400000000004</v>
      </c>
      <c r="K1240" s="182" t="s">
        <v>3386</v>
      </c>
      <c r="L1240" s="182">
        <v>3</v>
      </c>
      <c r="M1240" s="182" t="s">
        <v>3389</v>
      </c>
      <c r="N1240" s="186">
        <v>10</v>
      </c>
      <c r="O1240" s="188">
        <v>4.0000000000000001E-3</v>
      </c>
      <c r="P1240" s="188" t="s">
        <v>573</v>
      </c>
      <c r="Q1240" s="188">
        <v>0</v>
      </c>
      <c r="R1240" s="189" t="s">
        <v>573</v>
      </c>
      <c r="S1240" s="189" t="s">
        <v>573</v>
      </c>
    </row>
    <row r="1241" spans="1:19" ht="14.25" customHeight="1" x14ac:dyDescent="0.3">
      <c r="A1241" s="182" t="s">
        <v>3382</v>
      </c>
      <c r="B1241" s="182" t="s">
        <v>908</v>
      </c>
      <c r="C1241" s="182" t="s">
        <v>909</v>
      </c>
      <c r="D1241" s="182" t="s">
        <v>1370</v>
      </c>
      <c r="E1241" s="183" t="s">
        <v>1371</v>
      </c>
      <c r="F1241" s="183" t="s">
        <v>912</v>
      </c>
      <c r="G1241" s="184">
        <v>0.04</v>
      </c>
      <c r="H1241" s="185">
        <v>0.05</v>
      </c>
      <c r="I1241" s="186">
        <v>44669.4214876033</v>
      </c>
      <c r="J1241" s="187">
        <v>1876.1157024793399</v>
      </c>
      <c r="K1241" s="182" t="s">
        <v>3386</v>
      </c>
      <c r="L1241" s="182">
        <v>4</v>
      </c>
      <c r="M1241" s="182" t="s">
        <v>3390</v>
      </c>
      <c r="N1241" s="186">
        <v>10</v>
      </c>
      <c r="O1241" s="188">
        <v>0.04</v>
      </c>
      <c r="P1241" s="188" t="s">
        <v>573</v>
      </c>
      <c r="Q1241" s="188">
        <v>0</v>
      </c>
      <c r="R1241" s="189" t="s">
        <v>573</v>
      </c>
      <c r="S1241" s="189" t="s">
        <v>573</v>
      </c>
    </row>
    <row r="1242" spans="1:19" ht="14.25" customHeight="1" x14ac:dyDescent="0.3">
      <c r="A1242" s="182" t="s">
        <v>3382</v>
      </c>
      <c r="B1242" s="182" t="s">
        <v>937</v>
      </c>
      <c r="C1242" s="182" t="s">
        <v>938</v>
      </c>
      <c r="D1242" s="190" t="s">
        <v>944</v>
      </c>
      <c r="E1242" s="183" t="s">
        <v>945</v>
      </c>
      <c r="F1242" s="183" t="s">
        <v>941</v>
      </c>
      <c r="G1242" s="184">
        <v>1</v>
      </c>
      <c r="H1242" s="185">
        <v>0</v>
      </c>
      <c r="I1242" s="186">
        <v>85927.097156571996</v>
      </c>
      <c r="J1242" s="187">
        <v>85927.097156571996</v>
      </c>
      <c r="K1242" s="182" t="s">
        <v>3391</v>
      </c>
      <c r="L1242" s="182">
        <v>1</v>
      </c>
      <c r="M1242" s="182" t="s">
        <v>3392</v>
      </c>
      <c r="N1242" s="186">
        <v>10</v>
      </c>
      <c r="O1242" s="188">
        <v>0.1</v>
      </c>
      <c r="P1242" s="188" t="s">
        <v>573</v>
      </c>
      <c r="Q1242" s="188">
        <v>0</v>
      </c>
      <c r="R1242" s="189" t="s">
        <v>573</v>
      </c>
      <c r="S1242" s="189" t="s">
        <v>573</v>
      </c>
    </row>
    <row r="1243" spans="1:19" ht="14.25" customHeight="1" x14ac:dyDescent="0.3">
      <c r="A1243" s="182" t="s">
        <v>3382</v>
      </c>
      <c r="B1243" s="182" t="s">
        <v>937</v>
      </c>
      <c r="C1243" s="182" t="s">
        <v>938</v>
      </c>
      <c r="D1243" s="190" t="s">
        <v>1375</v>
      </c>
      <c r="E1243" s="183" t="s">
        <v>1376</v>
      </c>
      <c r="F1243" s="183" t="s">
        <v>941</v>
      </c>
      <c r="G1243" s="184">
        <v>1</v>
      </c>
      <c r="H1243" s="185">
        <v>0</v>
      </c>
      <c r="I1243" s="186">
        <v>76955.079706571996</v>
      </c>
      <c r="J1243" s="187">
        <v>76955.079706571996</v>
      </c>
      <c r="K1243" s="182" t="s">
        <v>3391</v>
      </c>
      <c r="L1243" s="182">
        <v>2</v>
      </c>
      <c r="M1243" s="182" t="s">
        <v>3393</v>
      </c>
      <c r="N1243" s="186">
        <v>10</v>
      </c>
      <c r="O1243" s="188">
        <v>0.1</v>
      </c>
      <c r="P1243" s="188" t="s">
        <v>573</v>
      </c>
      <c r="Q1243" s="188">
        <v>0</v>
      </c>
      <c r="R1243" s="189" t="s">
        <v>573</v>
      </c>
      <c r="S1243" s="189" t="s">
        <v>573</v>
      </c>
    </row>
    <row r="1244" spans="1:19" ht="14.25" customHeight="1" x14ac:dyDescent="0.3">
      <c r="A1244" s="182" t="s">
        <v>3394</v>
      </c>
      <c r="B1244" s="182" t="s">
        <v>563</v>
      </c>
      <c r="C1244" s="182"/>
      <c r="D1244" s="182" t="s">
        <v>1350</v>
      </c>
      <c r="E1244" s="183" t="s">
        <v>1351</v>
      </c>
      <c r="F1244" s="183"/>
      <c r="G1244" s="184">
        <v>1</v>
      </c>
      <c r="H1244" s="185">
        <v>0</v>
      </c>
      <c r="I1244" s="186">
        <v>298.42384358082802</v>
      </c>
      <c r="J1244" s="187">
        <v>298.42384358082802</v>
      </c>
      <c r="K1244" s="182" t="s">
        <v>3395</v>
      </c>
      <c r="L1244" s="182">
        <v>1</v>
      </c>
      <c r="M1244" s="182" t="s">
        <v>3396</v>
      </c>
      <c r="N1244" s="186">
        <v>10</v>
      </c>
      <c r="O1244" s="188">
        <v>1</v>
      </c>
      <c r="P1244" s="188" t="s">
        <v>573</v>
      </c>
      <c r="Q1244" s="188">
        <v>0</v>
      </c>
      <c r="R1244" s="189" t="s">
        <v>573</v>
      </c>
      <c r="S1244" s="189" t="s">
        <v>573</v>
      </c>
    </row>
    <row r="1245" spans="1:19" ht="14.25" customHeight="1" x14ac:dyDescent="0.3">
      <c r="A1245" s="182" t="s">
        <v>3394</v>
      </c>
      <c r="B1245" s="182" t="s">
        <v>563</v>
      </c>
      <c r="C1245" s="182"/>
      <c r="D1245" s="182" t="s">
        <v>1355</v>
      </c>
      <c r="E1245" s="183" t="s">
        <v>1356</v>
      </c>
      <c r="F1245" s="183"/>
      <c r="G1245" s="184">
        <v>1</v>
      </c>
      <c r="H1245" s="185">
        <v>0</v>
      </c>
      <c r="I1245" s="186">
        <v>2637.14184448991</v>
      </c>
      <c r="J1245" s="187">
        <v>2637.14184448991</v>
      </c>
      <c r="K1245" s="182" t="s">
        <v>3395</v>
      </c>
      <c r="L1245" s="182">
        <v>2</v>
      </c>
      <c r="M1245" s="182" t="s">
        <v>3397</v>
      </c>
      <c r="N1245" s="186">
        <v>10</v>
      </c>
      <c r="O1245" s="188">
        <v>1</v>
      </c>
      <c r="P1245" s="188" t="s">
        <v>573</v>
      </c>
      <c r="Q1245" s="188">
        <v>0</v>
      </c>
      <c r="R1245" s="189" t="s">
        <v>573</v>
      </c>
      <c r="S1245" s="189" t="s">
        <v>573</v>
      </c>
    </row>
    <row r="1246" spans="1:19" ht="14.25" customHeight="1" x14ac:dyDescent="0.3">
      <c r="A1246" s="182" t="s">
        <v>3394</v>
      </c>
      <c r="B1246" s="182" t="s">
        <v>908</v>
      </c>
      <c r="C1246" s="182" t="s">
        <v>909</v>
      </c>
      <c r="D1246" s="182" t="s">
        <v>969</v>
      </c>
      <c r="E1246" s="183" t="s">
        <v>970</v>
      </c>
      <c r="F1246" s="183" t="s">
        <v>971</v>
      </c>
      <c r="G1246" s="184">
        <v>0.4</v>
      </c>
      <c r="H1246" s="185">
        <v>0.2</v>
      </c>
      <c r="I1246" s="186">
        <v>3837.96</v>
      </c>
      <c r="J1246" s="187">
        <v>1842.2208000000001</v>
      </c>
      <c r="K1246" s="182" t="s">
        <v>3398</v>
      </c>
      <c r="L1246" s="182">
        <v>1</v>
      </c>
      <c r="M1246" s="182" t="s">
        <v>3399</v>
      </c>
      <c r="N1246" s="186">
        <v>10</v>
      </c>
      <c r="O1246" s="188">
        <v>0.4</v>
      </c>
      <c r="P1246" s="188" t="s">
        <v>573</v>
      </c>
      <c r="Q1246" s="188">
        <v>0</v>
      </c>
      <c r="R1246" s="189" t="s">
        <v>573</v>
      </c>
      <c r="S1246" s="189" t="s">
        <v>573</v>
      </c>
    </row>
    <row r="1247" spans="1:19" ht="14.25" customHeight="1" x14ac:dyDescent="0.3">
      <c r="A1247" s="182" t="s">
        <v>3394</v>
      </c>
      <c r="B1247" s="182" t="s">
        <v>908</v>
      </c>
      <c r="C1247" s="182" t="s">
        <v>909</v>
      </c>
      <c r="D1247" s="182" t="s">
        <v>915</v>
      </c>
      <c r="E1247" s="183" t="s">
        <v>916</v>
      </c>
      <c r="F1247" s="183" t="s">
        <v>600</v>
      </c>
      <c r="G1247" s="184">
        <v>0.01</v>
      </c>
      <c r="H1247" s="185">
        <v>0.03</v>
      </c>
      <c r="I1247" s="186">
        <v>735.06</v>
      </c>
      <c r="J1247" s="187">
        <v>7.5711180000000002</v>
      </c>
      <c r="K1247" s="182" t="s">
        <v>3398</v>
      </c>
      <c r="L1247" s="182">
        <v>2</v>
      </c>
      <c r="M1247" s="182" t="s">
        <v>3400</v>
      </c>
      <c r="N1247" s="186">
        <v>10</v>
      </c>
      <c r="O1247" s="188">
        <v>0.01</v>
      </c>
      <c r="P1247" s="188" t="s">
        <v>573</v>
      </c>
      <c r="Q1247" s="188">
        <v>0</v>
      </c>
      <c r="R1247" s="189" t="s">
        <v>573</v>
      </c>
      <c r="S1247" s="189" t="s">
        <v>573</v>
      </c>
    </row>
    <row r="1248" spans="1:19" ht="14.25" customHeight="1" x14ac:dyDescent="0.3">
      <c r="A1248" s="182" t="s">
        <v>3394</v>
      </c>
      <c r="B1248" s="182" t="s">
        <v>908</v>
      </c>
      <c r="C1248" s="182" t="s">
        <v>909</v>
      </c>
      <c r="D1248" s="182" t="s">
        <v>1367</v>
      </c>
      <c r="E1248" s="183" t="s">
        <v>1368</v>
      </c>
      <c r="F1248" s="183" t="s">
        <v>600</v>
      </c>
      <c r="G1248" s="184">
        <v>4.0000000000000001E-3</v>
      </c>
      <c r="H1248" s="185">
        <v>0.05</v>
      </c>
      <c r="I1248" s="186">
        <v>20237</v>
      </c>
      <c r="J1248" s="187">
        <v>84.995400000000004</v>
      </c>
      <c r="K1248" s="182" t="s">
        <v>3398</v>
      </c>
      <c r="L1248" s="182">
        <v>3</v>
      </c>
      <c r="M1248" s="182" t="s">
        <v>3401</v>
      </c>
      <c r="N1248" s="186">
        <v>10</v>
      </c>
      <c r="O1248" s="188">
        <v>4.0000000000000001E-3</v>
      </c>
      <c r="P1248" s="188" t="s">
        <v>573</v>
      </c>
      <c r="Q1248" s="188">
        <v>0</v>
      </c>
      <c r="R1248" s="189" t="s">
        <v>573</v>
      </c>
      <c r="S1248" s="189" t="s">
        <v>573</v>
      </c>
    </row>
    <row r="1249" spans="1:19" ht="14.25" customHeight="1" x14ac:dyDescent="0.3">
      <c r="A1249" s="182" t="s">
        <v>3394</v>
      </c>
      <c r="B1249" s="182" t="s">
        <v>908</v>
      </c>
      <c r="C1249" s="182" t="s">
        <v>909</v>
      </c>
      <c r="D1249" s="182" t="s">
        <v>1370</v>
      </c>
      <c r="E1249" s="183" t="s">
        <v>1371</v>
      </c>
      <c r="F1249" s="183" t="s">
        <v>912</v>
      </c>
      <c r="G1249" s="184">
        <v>0.04</v>
      </c>
      <c r="H1249" s="185">
        <v>0.05</v>
      </c>
      <c r="I1249" s="186">
        <v>44669.4214876033</v>
      </c>
      <c r="J1249" s="187">
        <v>1876.1157024793399</v>
      </c>
      <c r="K1249" s="182" t="s">
        <v>3398</v>
      </c>
      <c r="L1249" s="182">
        <v>4</v>
      </c>
      <c r="M1249" s="182" t="s">
        <v>3402</v>
      </c>
      <c r="N1249" s="186">
        <v>10</v>
      </c>
      <c r="O1249" s="188">
        <v>0.04</v>
      </c>
      <c r="P1249" s="188" t="s">
        <v>573</v>
      </c>
      <c r="Q1249" s="188">
        <v>0</v>
      </c>
      <c r="R1249" s="189" t="s">
        <v>573</v>
      </c>
      <c r="S1249" s="189" t="s">
        <v>573</v>
      </c>
    </row>
    <row r="1250" spans="1:19" ht="14.25" customHeight="1" x14ac:dyDescent="0.3">
      <c r="A1250" s="182" t="s">
        <v>3394</v>
      </c>
      <c r="B1250" s="182" t="s">
        <v>937</v>
      </c>
      <c r="C1250" s="182" t="s">
        <v>938</v>
      </c>
      <c r="D1250" s="190" t="s">
        <v>944</v>
      </c>
      <c r="E1250" s="183" t="s">
        <v>945</v>
      </c>
      <c r="F1250" s="183" t="s">
        <v>941</v>
      </c>
      <c r="G1250" s="184">
        <v>1</v>
      </c>
      <c r="H1250" s="185">
        <v>0</v>
      </c>
      <c r="I1250" s="186">
        <v>85927.097156571996</v>
      </c>
      <c r="J1250" s="187">
        <v>85927.097156571996</v>
      </c>
      <c r="K1250" s="182" t="s">
        <v>3403</v>
      </c>
      <c r="L1250" s="182">
        <v>1</v>
      </c>
      <c r="M1250" s="182" t="s">
        <v>3404</v>
      </c>
      <c r="N1250" s="186">
        <v>10</v>
      </c>
      <c r="O1250" s="188">
        <v>0.1</v>
      </c>
      <c r="P1250" s="188" t="s">
        <v>573</v>
      </c>
      <c r="Q1250" s="188">
        <v>0</v>
      </c>
      <c r="R1250" s="189" t="s">
        <v>573</v>
      </c>
      <c r="S1250" s="189" t="s">
        <v>573</v>
      </c>
    </row>
    <row r="1251" spans="1:19" ht="14.25" customHeight="1" x14ac:dyDescent="0.3">
      <c r="A1251" s="182" t="s">
        <v>3394</v>
      </c>
      <c r="B1251" s="182" t="s">
        <v>937</v>
      </c>
      <c r="C1251" s="182" t="s">
        <v>938</v>
      </c>
      <c r="D1251" s="190" t="s">
        <v>1375</v>
      </c>
      <c r="E1251" s="183" t="s">
        <v>1376</v>
      </c>
      <c r="F1251" s="183" t="s">
        <v>941</v>
      </c>
      <c r="G1251" s="184">
        <v>1</v>
      </c>
      <c r="H1251" s="185">
        <v>0</v>
      </c>
      <c r="I1251" s="186">
        <v>76955.079706571996</v>
      </c>
      <c r="J1251" s="187">
        <v>76955.079706571996</v>
      </c>
      <c r="K1251" s="182" t="s">
        <v>3403</v>
      </c>
      <c r="L1251" s="182">
        <v>2</v>
      </c>
      <c r="M1251" s="182" t="s">
        <v>3405</v>
      </c>
      <c r="N1251" s="186">
        <v>10</v>
      </c>
      <c r="O1251" s="188">
        <v>0.1</v>
      </c>
      <c r="P1251" s="188" t="s">
        <v>573</v>
      </c>
      <c r="Q1251" s="188">
        <v>0</v>
      </c>
      <c r="R1251" s="189" t="s">
        <v>573</v>
      </c>
      <c r="S1251" s="189" t="s">
        <v>573</v>
      </c>
    </row>
    <row r="1252" spans="1:19" ht="14.25" customHeight="1" x14ac:dyDescent="0.3">
      <c r="A1252" s="182" t="s">
        <v>3406</v>
      </c>
      <c r="B1252" s="182" t="s">
        <v>563</v>
      </c>
      <c r="C1252" s="182"/>
      <c r="D1252" s="182" t="s">
        <v>3407</v>
      </c>
      <c r="E1252" s="183" t="s">
        <v>3408</v>
      </c>
      <c r="F1252" s="183"/>
      <c r="G1252" s="184">
        <v>1</v>
      </c>
      <c r="H1252" s="185">
        <v>0</v>
      </c>
      <c r="I1252" s="186">
        <v>1030.8586054268601</v>
      </c>
      <c r="J1252" s="187">
        <v>1030.8586054268601</v>
      </c>
      <c r="K1252" s="182" t="s">
        <v>3409</v>
      </c>
      <c r="L1252" s="182">
        <v>1</v>
      </c>
      <c r="M1252" s="182" t="s">
        <v>3410</v>
      </c>
      <c r="N1252" s="186">
        <v>1</v>
      </c>
      <c r="O1252" s="188">
        <v>1</v>
      </c>
      <c r="P1252" s="188">
        <v>20</v>
      </c>
      <c r="Q1252" s="188">
        <v>20</v>
      </c>
      <c r="R1252" s="189">
        <v>13.03</v>
      </c>
      <c r="S1252" s="189" t="s">
        <v>1354</v>
      </c>
    </row>
    <row r="1253" spans="1:19" ht="14.25" customHeight="1" x14ac:dyDescent="0.3">
      <c r="A1253" s="182" t="s">
        <v>3406</v>
      </c>
      <c r="B1253" s="182" t="s">
        <v>908</v>
      </c>
      <c r="C1253" s="182" t="s">
        <v>1358</v>
      </c>
      <c r="D1253" s="182" t="s">
        <v>3411</v>
      </c>
      <c r="E1253" s="183" t="s">
        <v>3412</v>
      </c>
      <c r="F1253" s="183" t="s">
        <v>971</v>
      </c>
      <c r="G1253" s="184">
        <v>2</v>
      </c>
      <c r="H1253" s="185">
        <v>0</v>
      </c>
      <c r="I1253" s="186">
        <v>16594.68</v>
      </c>
      <c r="J1253" s="187">
        <v>33189.360000000001</v>
      </c>
      <c r="K1253" s="182" t="s">
        <v>3413</v>
      </c>
      <c r="L1253" s="182">
        <v>1</v>
      </c>
      <c r="M1253" s="182" t="s">
        <v>3414</v>
      </c>
      <c r="N1253" s="186">
        <v>1</v>
      </c>
      <c r="O1253" s="188">
        <v>2</v>
      </c>
      <c r="P1253" s="188">
        <v>20</v>
      </c>
      <c r="Q1253" s="188">
        <v>40</v>
      </c>
      <c r="R1253" s="189">
        <v>13.03</v>
      </c>
      <c r="S1253" s="189" t="s">
        <v>1354</v>
      </c>
    </row>
    <row r="1254" spans="1:19" ht="14.25" customHeight="1" x14ac:dyDescent="0.3">
      <c r="A1254" s="182" t="s">
        <v>3406</v>
      </c>
      <c r="B1254" s="182" t="s">
        <v>908</v>
      </c>
      <c r="C1254" s="182" t="s">
        <v>909</v>
      </c>
      <c r="D1254" s="182" t="s">
        <v>976</v>
      </c>
      <c r="E1254" s="183" t="s">
        <v>977</v>
      </c>
      <c r="F1254" s="183" t="s">
        <v>576</v>
      </c>
      <c r="G1254" s="184">
        <v>3318.9360000000001</v>
      </c>
      <c r="H1254" s="185">
        <v>0</v>
      </c>
      <c r="I1254" s="186">
        <v>1</v>
      </c>
      <c r="J1254" s="187">
        <v>3318.9360000000001</v>
      </c>
      <c r="K1254" s="182" t="s">
        <v>3413</v>
      </c>
      <c r="L1254" s="182">
        <v>2</v>
      </c>
      <c r="M1254" s="182" t="s">
        <v>3415</v>
      </c>
      <c r="N1254" s="186">
        <v>1</v>
      </c>
      <c r="O1254" s="188">
        <v>3318.9360000000001</v>
      </c>
      <c r="P1254" s="188">
        <v>20</v>
      </c>
      <c r="Q1254" s="188">
        <v>66378.720000000001</v>
      </c>
      <c r="R1254" s="189">
        <v>13.03</v>
      </c>
      <c r="S1254" s="189" t="s">
        <v>1354</v>
      </c>
    </row>
    <row r="1255" spans="1:19" ht="14.25" customHeight="1" x14ac:dyDescent="0.3">
      <c r="A1255" s="182" t="s">
        <v>3406</v>
      </c>
      <c r="B1255" s="182" t="s">
        <v>937</v>
      </c>
      <c r="C1255" s="182" t="s">
        <v>938</v>
      </c>
      <c r="D1255" s="182" t="s">
        <v>939</v>
      </c>
      <c r="E1255" s="183" t="s">
        <v>940</v>
      </c>
      <c r="F1255" s="183" t="s">
        <v>941</v>
      </c>
      <c r="G1255" s="184">
        <v>0.15</v>
      </c>
      <c r="H1255" s="185">
        <v>0</v>
      </c>
      <c r="I1255" s="186">
        <v>60860.580776572002</v>
      </c>
      <c r="J1255" s="187">
        <v>9129.0871164857999</v>
      </c>
      <c r="K1255" s="182" t="s">
        <v>3416</v>
      </c>
      <c r="L1255" s="182">
        <v>1</v>
      </c>
      <c r="M1255" s="182" t="s">
        <v>3417</v>
      </c>
      <c r="N1255" s="186">
        <v>1</v>
      </c>
      <c r="O1255" s="188">
        <v>0.15</v>
      </c>
      <c r="P1255" s="188">
        <v>20</v>
      </c>
      <c r="Q1255" s="188">
        <v>3</v>
      </c>
      <c r="R1255" s="189">
        <v>13.03</v>
      </c>
      <c r="S1255" s="189" t="s">
        <v>1354</v>
      </c>
    </row>
    <row r="1256" spans="1:19" ht="14.25" customHeight="1" x14ac:dyDescent="0.3">
      <c r="A1256" s="182" t="s">
        <v>3406</v>
      </c>
      <c r="B1256" s="182" t="s">
        <v>937</v>
      </c>
      <c r="C1256" s="182" t="s">
        <v>938</v>
      </c>
      <c r="D1256" s="190" t="s">
        <v>1375</v>
      </c>
      <c r="E1256" s="183" t="s">
        <v>1376</v>
      </c>
      <c r="F1256" s="183" t="s">
        <v>941</v>
      </c>
      <c r="G1256" s="184">
        <v>0.3</v>
      </c>
      <c r="H1256" s="185">
        <v>0</v>
      </c>
      <c r="I1256" s="186">
        <v>76955.079706571996</v>
      </c>
      <c r="J1256" s="187">
        <v>23086.523911971599</v>
      </c>
      <c r="K1256" s="182" t="s">
        <v>3416</v>
      </c>
      <c r="L1256" s="182">
        <v>2</v>
      </c>
      <c r="M1256" s="182" t="s">
        <v>3418</v>
      </c>
      <c r="N1256" s="186">
        <v>1</v>
      </c>
      <c r="O1256" s="188">
        <v>0.3</v>
      </c>
      <c r="P1256" s="188">
        <v>20</v>
      </c>
      <c r="Q1256" s="188">
        <v>6</v>
      </c>
      <c r="R1256" s="189">
        <v>13.03</v>
      </c>
      <c r="S1256" s="189" t="s">
        <v>1354</v>
      </c>
    </row>
    <row r="1257" spans="1:19" ht="14.25" customHeight="1" x14ac:dyDescent="0.3">
      <c r="A1257" s="182" t="s">
        <v>3419</v>
      </c>
      <c r="B1257" s="182" t="s">
        <v>563</v>
      </c>
      <c r="C1257" s="182"/>
      <c r="D1257" s="182" t="s">
        <v>3420</v>
      </c>
      <c r="E1257" s="183" t="s">
        <v>3421</v>
      </c>
      <c r="F1257" s="183"/>
      <c r="G1257" s="184">
        <v>1</v>
      </c>
      <c r="H1257" s="185">
        <v>0</v>
      </c>
      <c r="I1257" s="186">
        <v>261.95176772476799</v>
      </c>
      <c r="J1257" s="187">
        <v>261.95176772476799</v>
      </c>
      <c r="K1257" s="182" t="s">
        <v>3422</v>
      </c>
      <c r="L1257" s="182">
        <v>1</v>
      </c>
      <c r="M1257" s="182" t="s">
        <v>3423</v>
      </c>
      <c r="N1257" s="186">
        <v>1</v>
      </c>
      <c r="O1257" s="188">
        <v>1</v>
      </c>
      <c r="P1257" s="188">
        <v>460</v>
      </c>
      <c r="Q1257" s="188">
        <v>460</v>
      </c>
      <c r="R1257" s="189">
        <v>14.01</v>
      </c>
      <c r="S1257" s="189" t="s">
        <v>573</v>
      </c>
    </row>
    <row r="1258" spans="1:19" ht="14.25" customHeight="1" x14ac:dyDescent="0.3">
      <c r="A1258" s="182" t="s">
        <v>3419</v>
      </c>
      <c r="B1258" s="182" t="s">
        <v>908</v>
      </c>
      <c r="C1258" s="182" t="s">
        <v>1358</v>
      </c>
      <c r="D1258" s="182" t="s">
        <v>2964</v>
      </c>
      <c r="E1258" s="183" t="s">
        <v>2965</v>
      </c>
      <c r="F1258" s="183" t="s">
        <v>971</v>
      </c>
      <c r="G1258" s="184">
        <v>0.71521739130434803</v>
      </c>
      <c r="H1258" s="185">
        <v>0</v>
      </c>
      <c r="I1258" s="186">
        <v>6965.28</v>
      </c>
      <c r="J1258" s="187">
        <v>4981.6893913043496</v>
      </c>
      <c r="K1258" s="182" t="s">
        <v>3424</v>
      </c>
      <c r="L1258" s="182">
        <v>1</v>
      </c>
      <c r="M1258" s="182" t="s">
        <v>3425</v>
      </c>
      <c r="N1258" s="186">
        <v>1</v>
      </c>
      <c r="O1258" s="188">
        <v>0.71521739130434803</v>
      </c>
      <c r="P1258" s="188">
        <v>460</v>
      </c>
      <c r="Q1258" s="188">
        <v>329</v>
      </c>
      <c r="R1258" s="189">
        <v>14.01</v>
      </c>
      <c r="S1258" s="189" t="s">
        <v>573</v>
      </c>
    </row>
    <row r="1259" spans="1:19" ht="14.25" customHeight="1" x14ac:dyDescent="0.3">
      <c r="A1259" s="182" t="s">
        <v>3419</v>
      </c>
      <c r="B1259" s="182" t="s">
        <v>908</v>
      </c>
      <c r="C1259" s="182" t="s">
        <v>1358</v>
      </c>
      <c r="D1259" s="182" t="s">
        <v>3426</v>
      </c>
      <c r="E1259" s="183" t="s">
        <v>3427</v>
      </c>
      <c r="F1259" s="183" t="s">
        <v>2970</v>
      </c>
      <c r="G1259" s="184">
        <v>6.5217391304347797E-3</v>
      </c>
      <c r="H1259" s="185">
        <v>0</v>
      </c>
      <c r="I1259" s="186">
        <v>127350</v>
      </c>
      <c r="J1259" s="187">
        <v>830.54347826086905</v>
      </c>
      <c r="K1259" s="182" t="s">
        <v>3424</v>
      </c>
      <c r="L1259" s="182">
        <v>2</v>
      </c>
      <c r="M1259" s="182" t="s">
        <v>3428</v>
      </c>
      <c r="N1259" s="186">
        <v>1</v>
      </c>
      <c r="O1259" s="188">
        <v>6.5217391304347797E-3</v>
      </c>
      <c r="P1259" s="188">
        <v>460</v>
      </c>
      <c r="Q1259" s="188">
        <v>3</v>
      </c>
      <c r="R1259" s="189">
        <v>14.01</v>
      </c>
      <c r="S1259" s="189" t="s">
        <v>573</v>
      </c>
    </row>
    <row r="1260" spans="1:19" ht="14.25" customHeight="1" x14ac:dyDescent="0.3">
      <c r="A1260" s="182" t="s">
        <v>3419</v>
      </c>
      <c r="B1260" s="182" t="s">
        <v>937</v>
      </c>
      <c r="C1260" s="182" t="s">
        <v>909</v>
      </c>
      <c r="D1260" s="182" t="s">
        <v>2975</v>
      </c>
      <c r="E1260" s="183" t="s">
        <v>2976</v>
      </c>
      <c r="F1260" s="183" t="s">
        <v>941</v>
      </c>
      <c r="G1260" s="184">
        <v>1</v>
      </c>
      <c r="H1260" s="185">
        <v>0</v>
      </c>
      <c r="I1260" s="186">
        <v>11651.218312086001</v>
      </c>
      <c r="J1260" s="187">
        <v>11651.218312086001</v>
      </c>
      <c r="K1260" s="182" t="s">
        <v>3429</v>
      </c>
      <c r="L1260" s="182">
        <v>1</v>
      </c>
      <c r="M1260" s="182" t="s">
        <v>3430</v>
      </c>
      <c r="N1260" s="186">
        <v>1</v>
      </c>
      <c r="O1260" s="188">
        <v>1</v>
      </c>
      <c r="P1260" s="188">
        <v>460</v>
      </c>
      <c r="Q1260" s="188">
        <v>460</v>
      </c>
      <c r="R1260" s="189">
        <v>14.01</v>
      </c>
      <c r="S1260" s="189" t="s">
        <v>573</v>
      </c>
    </row>
    <row r="1261" spans="1:19" ht="14.25" customHeight="1" x14ac:dyDescent="0.3">
      <c r="A1261" s="182" t="s">
        <v>3431</v>
      </c>
      <c r="B1261" s="182" t="s">
        <v>937</v>
      </c>
      <c r="C1261" s="182" t="s">
        <v>909</v>
      </c>
      <c r="D1261" s="182" t="s">
        <v>3432</v>
      </c>
      <c r="E1261" s="183" t="s">
        <v>3433</v>
      </c>
      <c r="F1261" s="183" t="s">
        <v>941</v>
      </c>
      <c r="G1261" s="184">
        <v>1</v>
      </c>
      <c r="H1261" s="185">
        <v>0</v>
      </c>
      <c r="I1261" s="186">
        <v>12499.4731571067</v>
      </c>
      <c r="J1261" s="187">
        <v>12499.4731571067</v>
      </c>
      <c r="K1261" s="182" t="s">
        <v>3434</v>
      </c>
      <c r="L1261" s="182">
        <v>1</v>
      </c>
      <c r="M1261" s="182" t="s">
        <v>3435</v>
      </c>
      <c r="N1261" s="186">
        <v>1</v>
      </c>
      <c r="O1261" s="188">
        <v>1</v>
      </c>
      <c r="P1261" s="188">
        <v>434</v>
      </c>
      <c r="Q1261" s="188">
        <v>434</v>
      </c>
      <c r="R1261" s="189">
        <v>14.02</v>
      </c>
      <c r="S1261" s="189" t="s">
        <v>573</v>
      </c>
    </row>
    <row r="1262" spans="1:19" ht="14.25" customHeight="1" x14ac:dyDescent="0.3">
      <c r="A1262" s="182" t="s">
        <v>3436</v>
      </c>
      <c r="B1262" s="182" t="s">
        <v>563</v>
      </c>
      <c r="C1262" s="182"/>
      <c r="D1262" s="182" t="s">
        <v>1456</v>
      </c>
      <c r="E1262" s="183" t="s">
        <v>1457</v>
      </c>
      <c r="F1262" s="183"/>
      <c r="G1262" s="184">
        <v>1</v>
      </c>
      <c r="H1262" s="185">
        <v>0</v>
      </c>
      <c r="I1262" s="186">
        <v>140.198092594309</v>
      </c>
      <c r="J1262" s="187">
        <v>140.198092594309</v>
      </c>
      <c r="K1262" s="182" t="s">
        <v>3437</v>
      </c>
      <c r="L1262" s="182">
        <v>1</v>
      </c>
      <c r="M1262" s="182" t="s">
        <v>3438</v>
      </c>
      <c r="N1262" s="186">
        <v>9.5</v>
      </c>
      <c r="O1262" s="188">
        <v>1</v>
      </c>
      <c r="P1262" s="188">
        <v>115</v>
      </c>
      <c r="Q1262" s="188">
        <v>115</v>
      </c>
      <c r="R1262" s="189">
        <v>14.03</v>
      </c>
      <c r="S1262" s="189" t="s">
        <v>573</v>
      </c>
    </row>
    <row r="1263" spans="1:19" ht="14.25" customHeight="1" x14ac:dyDescent="0.3">
      <c r="A1263" s="182" t="s">
        <v>3436</v>
      </c>
      <c r="B1263" s="182" t="s">
        <v>563</v>
      </c>
      <c r="C1263" s="182"/>
      <c r="D1263" s="182" t="s">
        <v>1460</v>
      </c>
      <c r="E1263" s="183" t="s">
        <v>1461</v>
      </c>
      <c r="F1263" s="183"/>
      <c r="G1263" s="184">
        <v>1</v>
      </c>
      <c r="H1263" s="185">
        <v>0</v>
      </c>
      <c r="I1263" s="186">
        <v>2365.2381485799501</v>
      </c>
      <c r="J1263" s="187">
        <v>2365.2381485799501</v>
      </c>
      <c r="K1263" s="182" t="s">
        <v>3437</v>
      </c>
      <c r="L1263" s="182">
        <v>2</v>
      </c>
      <c r="M1263" s="182" t="s">
        <v>3439</v>
      </c>
      <c r="N1263" s="186">
        <v>9.5</v>
      </c>
      <c r="O1263" s="188">
        <v>1</v>
      </c>
      <c r="P1263" s="188">
        <v>115</v>
      </c>
      <c r="Q1263" s="188">
        <v>115</v>
      </c>
      <c r="R1263" s="189">
        <v>14.03</v>
      </c>
      <c r="S1263" s="189" t="s">
        <v>573</v>
      </c>
    </row>
    <row r="1264" spans="1:19" ht="14.25" customHeight="1" x14ac:dyDescent="0.3">
      <c r="A1264" s="182" t="s">
        <v>3436</v>
      </c>
      <c r="B1264" s="182" t="s">
        <v>908</v>
      </c>
      <c r="C1264" s="182" t="s">
        <v>909</v>
      </c>
      <c r="D1264" s="182" t="s">
        <v>1463</v>
      </c>
      <c r="E1264" s="183" t="s">
        <v>1464</v>
      </c>
      <c r="F1264" s="183" t="s">
        <v>600</v>
      </c>
      <c r="G1264" s="184">
        <v>0.507692307692308</v>
      </c>
      <c r="H1264" s="185">
        <v>0.1</v>
      </c>
      <c r="I1264" s="186">
        <v>2147.85</v>
      </c>
      <c r="J1264" s="187">
        <v>1199.49161538462</v>
      </c>
      <c r="K1264" s="182" t="s">
        <v>3440</v>
      </c>
      <c r="L1264" s="182">
        <v>1</v>
      </c>
      <c r="M1264" s="182" t="s">
        <v>3441</v>
      </c>
      <c r="N1264" s="186">
        <v>9.5</v>
      </c>
      <c r="O1264" s="188">
        <v>0.507692307692308</v>
      </c>
      <c r="P1264" s="188">
        <v>115</v>
      </c>
      <c r="Q1264" s="188">
        <v>58.384615384615401</v>
      </c>
      <c r="R1264" s="189">
        <v>14.03</v>
      </c>
      <c r="S1264" s="189" t="s">
        <v>573</v>
      </c>
    </row>
    <row r="1265" spans="1:19" ht="14.25" customHeight="1" x14ac:dyDescent="0.3">
      <c r="A1265" s="182" t="s">
        <v>3436</v>
      </c>
      <c r="B1265" s="182" t="s">
        <v>908</v>
      </c>
      <c r="C1265" s="182" t="s">
        <v>909</v>
      </c>
      <c r="D1265" s="182" t="s">
        <v>1467</v>
      </c>
      <c r="E1265" s="183" t="s">
        <v>1468</v>
      </c>
      <c r="F1265" s="183" t="s">
        <v>600</v>
      </c>
      <c r="G1265" s="184">
        <v>1.2307692307692299</v>
      </c>
      <c r="H1265" s="185">
        <v>0.1</v>
      </c>
      <c r="I1265" s="186">
        <v>2468.66</v>
      </c>
      <c r="J1265" s="187">
        <v>3342.18584615384</v>
      </c>
      <c r="K1265" s="182" t="s">
        <v>3440</v>
      </c>
      <c r="L1265" s="182">
        <v>2</v>
      </c>
      <c r="M1265" s="182" t="s">
        <v>3442</v>
      </c>
      <c r="N1265" s="186">
        <v>9.5</v>
      </c>
      <c r="O1265" s="188">
        <v>1.2307692307692299</v>
      </c>
      <c r="P1265" s="188">
        <v>115</v>
      </c>
      <c r="Q1265" s="188">
        <v>141.53846153846101</v>
      </c>
      <c r="R1265" s="189">
        <v>14.03</v>
      </c>
      <c r="S1265" s="189" t="s">
        <v>573</v>
      </c>
    </row>
    <row r="1266" spans="1:19" ht="14.25" customHeight="1" x14ac:dyDescent="0.3">
      <c r="A1266" s="182" t="s">
        <v>3436</v>
      </c>
      <c r="B1266" s="182" t="s">
        <v>908</v>
      </c>
      <c r="C1266" s="182" t="s">
        <v>909</v>
      </c>
      <c r="D1266" s="182" t="s">
        <v>1470</v>
      </c>
      <c r="E1266" s="183" t="s">
        <v>1471</v>
      </c>
      <c r="F1266" s="183" t="s">
        <v>600</v>
      </c>
      <c r="G1266" s="184">
        <v>2.8125000000000001E-2</v>
      </c>
      <c r="H1266" s="185">
        <v>0.05</v>
      </c>
      <c r="I1266" s="186">
        <v>26872.02</v>
      </c>
      <c r="J1266" s="187">
        <v>793.564340625</v>
      </c>
      <c r="K1266" s="182" t="s">
        <v>3440</v>
      </c>
      <c r="L1266" s="182">
        <v>3</v>
      </c>
      <c r="M1266" s="182" t="s">
        <v>3443</v>
      </c>
      <c r="N1266" s="186">
        <v>9.5</v>
      </c>
      <c r="O1266" s="188">
        <v>2.8125000000000001E-2</v>
      </c>
      <c r="P1266" s="188">
        <v>115</v>
      </c>
      <c r="Q1266" s="188">
        <v>3.234375</v>
      </c>
      <c r="R1266" s="189">
        <v>14.03</v>
      </c>
      <c r="S1266" s="189" t="s">
        <v>573</v>
      </c>
    </row>
    <row r="1267" spans="1:19" ht="14.25" customHeight="1" x14ac:dyDescent="0.3">
      <c r="A1267" s="182" t="s">
        <v>3436</v>
      </c>
      <c r="B1267" s="182" t="s">
        <v>908</v>
      </c>
      <c r="C1267" s="182" t="s">
        <v>909</v>
      </c>
      <c r="D1267" s="182" t="s">
        <v>1473</v>
      </c>
      <c r="E1267" s="183" t="s">
        <v>1474</v>
      </c>
      <c r="F1267" s="183" t="s">
        <v>600</v>
      </c>
      <c r="G1267" s="184">
        <v>16</v>
      </c>
      <c r="H1267" s="185">
        <v>0.05</v>
      </c>
      <c r="I1267" s="186">
        <v>32.707173553719002</v>
      </c>
      <c r="J1267" s="187">
        <v>549.48051570247901</v>
      </c>
      <c r="K1267" s="182" t="s">
        <v>3440</v>
      </c>
      <c r="L1267" s="182">
        <v>4</v>
      </c>
      <c r="M1267" s="182" t="s">
        <v>3444</v>
      </c>
      <c r="N1267" s="186">
        <v>9.5</v>
      </c>
      <c r="O1267" s="188">
        <v>16</v>
      </c>
      <c r="P1267" s="188">
        <v>115</v>
      </c>
      <c r="Q1267" s="188">
        <v>1840</v>
      </c>
      <c r="R1267" s="189">
        <v>14.03</v>
      </c>
      <c r="S1267" s="189" t="s">
        <v>573</v>
      </c>
    </row>
    <row r="1268" spans="1:19" ht="14.25" customHeight="1" x14ac:dyDescent="0.3">
      <c r="A1268" s="182" t="s">
        <v>3436</v>
      </c>
      <c r="B1268" s="182" t="s">
        <v>908</v>
      </c>
      <c r="C1268" s="182" t="s">
        <v>909</v>
      </c>
      <c r="D1268" s="182" t="s">
        <v>1476</v>
      </c>
      <c r="E1268" s="183" t="s">
        <v>1477</v>
      </c>
      <c r="F1268" s="183" t="s">
        <v>600</v>
      </c>
      <c r="G1268" s="184">
        <v>18</v>
      </c>
      <c r="H1268" s="185">
        <v>0.05</v>
      </c>
      <c r="I1268" s="186">
        <v>17.1963177226814</v>
      </c>
      <c r="J1268" s="187">
        <v>325.01040495867898</v>
      </c>
      <c r="K1268" s="182" t="s">
        <v>3440</v>
      </c>
      <c r="L1268" s="182">
        <v>5</v>
      </c>
      <c r="M1268" s="182" t="s">
        <v>3445</v>
      </c>
      <c r="N1268" s="186">
        <v>9.5</v>
      </c>
      <c r="O1268" s="188">
        <v>18</v>
      </c>
      <c r="P1268" s="188">
        <v>115</v>
      </c>
      <c r="Q1268" s="188">
        <v>2070</v>
      </c>
      <c r="R1268" s="189">
        <v>14.03</v>
      </c>
      <c r="S1268" s="189" t="s">
        <v>573</v>
      </c>
    </row>
    <row r="1269" spans="1:19" ht="14.25" customHeight="1" x14ac:dyDescent="0.3">
      <c r="A1269" s="182" t="s">
        <v>3436</v>
      </c>
      <c r="B1269" s="182" t="s">
        <v>908</v>
      </c>
      <c r="C1269" s="182" t="s">
        <v>909</v>
      </c>
      <c r="D1269" s="182" t="s">
        <v>1479</v>
      </c>
      <c r="E1269" s="183" t="s">
        <v>1480</v>
      </c>
      <c r="F1269" s="183" t="s">
        <v>600</v>
      </c>
      <c r="G1269" s="184">
        <v>6</v>
      </c>
      <c r="H1269" s="185">
        <v>0.05</v>
      </c>
      <c r="I1269" s="186">
        <v>65.919008264462803</v>
      </c>
      <c r="J1269" s="187">
        <v>415.28975206611602</v>
      </c>
      <c r="K1269" s="182" t="s">
        <v>3440</v>
      </c>
      <c r="L1269" s="182">
        <v>6</v>
      </c>
      <c r="M1269" s="182" t="s">
        <v>3446</v>
      </c>
      <c r="N1269" s="186">
        <v>9.5</v>
      </c>
      <c r="O1269" s="188">
        <v>6</v>
      </c>
      <c r="P1269" s="188">
        <v>115</v>
      </c>
      <c r="Q1269" s="188">
        <v>690</v>
      </c>
      <c r="R1269" s="189">
        <v>14.03</v>
      </c>
      <c r="S1269" s="189" t="s">
        <v>573</v>
      </c>
    </row>
    <row r="1270" spans="1:19" ht="14.25" customHeight="1" x14ac:dyDescent="0.3">
      <c r="A1270" s="182" t="s">
        <v>3436</v>
      </c>
      <c r="B1270" s="182" t="s">
        <v>908</v>
      </c>
      <c r="C1270" s="182" t="s">
        <v>909</v>
      </c>
      <c r="D1270" s="182" t="s">
        <v>1482</v>
      </c>
      <c r="E1270" s="183" t="s">
        <v>1483</v>
      </c>
      <c r="F1270" s="183" t="s">
        <v>600</v>
      </c>
      <c r="G1270" s="184">
        <v>1.8333333333333299E-2</v>
      </c>
      <c r="H1270" s="185">
        <v>0.05</v>
      </c>
      <c r="I1270" s="186">
        <v>4042.71</v>
      </c>
      <c r="J1270" s="187">
        <v>77.822167499999907</v>
      </c>
      <c r="K1270" s="182" t="s">
        <v>3440</v>
      </c>
      <c r="L1270" s="182">
        <v>7</v>
      </c>
      <c r="M1270" s="182" t="s">
        <v>3447</v>
      </c>
      <c r="N1270" s="186">
        <v>9.5</v>
      </c>
      <c r="O1270" s="188">
        <v>1.8333333333333299E-2</v>
      </c>
      <c r="P1270" s="188">
        <v>115</v>
      </c>
      <c r="Q1270" s="188">
        <v>2.1083333333333298</v>
      </c>
      <c r="R1270" s="189">
        <v>14.03</v>
      </c>
      <c r="S1270" s="189" t="s">
        <v>573</v>
      </c>
    </row>
    <row r="1271" spans="1:19" ht="14.25" customHeight="1" x14ac:dyDescent="0.3">
      <c r="A1271" s="182" t="s">
        <v>3436</v>
      </c>
      <c r="B1271" s="182" t="s">
        <v>908</v>
      </c>
      <c r="C1271" s="182" t="s">
        <v>909</v>
      </c>
      <c r="D1271" s="182" t="s">
        <v>1485</v>
      </c>
      <c r="E1271" s="183" t="s">
        <v>1486</v>
      </c>
      <c r="F1271" s="183" t="s">
        <v>600</v>
      </c>
      <c r="G1271" s="184">
        <v>0.36</v>
      </c>
      <c r="H1271" s="185">
        <v>0.1</v>
      </c>
      <c r="I1271" s="186">
        <v>10022.959999999999</v>
      </c>
      <c r="J1271" s="187">
        <v>3969.0921600000001</v>
      </c>
      <c r="K1271" s="182" t="s">
        <v>3440</v>
      </c>
      <c r="L1271" s="182">
        <v>8</v>
      </c>
      <c r="M1271" s="182" t="s">
        <v>3448</v>
      </c>
      <c r="N1271" s="186">
        <v>9.5</v>
      </c>
      <c r="O1271" s="188">
        <v>0.36</v>
      </c>
      <c r="P1271" s="188">
        <v>115</v>
      </c>
      <c r="Q1271" s="188">
        <v>41.4</v>
      </c>
      <c r="R1271" s="189">
        <v>14.03</v>
      </c>
      <c r="S1271" s="189" t="s">
        <v>573</v>
      </c>
    </row>
    <row r="1272" spans="1:19" ht="14.25" customHeight="1" x14ac:dyDescent="0.3">
      <c r="A1272" s="182" t="s">
        <v>3436</v>
      </c>
      <c r="B1272" s="182" t="s">
        <v>937</v>
      </c>
      <c r="C1272" s="182" t="s">
        <v>938</v>
      </c>
      <c r="D1272" s="190" t="s">
        <v>1291</v>
      </c>
      <c r="E1272" s="183" t="s">
        <v>1292</v>
      </c>
      <c r="F1272" s="183" t="s">
        <v>941</v>
      </c>
      <c r="G1272" s="184">
        <v>1</v>
      </c>
      <c r="H1272" s="185">
        <v>0</v>
      </c>
      <c r="I1272" s="186">
        <v>65493.071636572</v>
      </c>
      <c r="J1272" s="187">
        <v>65493.071636572</v>
      </c>
      <c r="K1272" s="182" t="s">
        <v>3449</v>
      </c>
      <c r="L1272" s="182">
        <v>1</v>
      </c>
      <c r="M1272" s="182" t="s">
        <v>3450</v>
      </c>
      <c r="N1272" s="186">
        <v>9.5</v>
      </c>
      <c r="O1272" s="188">
        <v>0.105263157894737</v>
      </c>
      <c r="P1272" s="188">
        <v>115</v>
      </c>
      <c r="Q1272" s="188">
        <v>12.105263157894701</v>
      </c>
      <c r="R1272" s="189">
        <v>14.03</v>
      </c>
      <c r="S1272" s="189" t="s">
        <v>573</v>
      </c>
    </row>
    <row r="1273" spans="1:19" ht="14.25" customHeight="1" x14ac:dyDescent="0.3">
      <c r="A1273" s="182" t="s">
        <v>3436</v>
      </c>
      <c r="B1273" s="182" t="s">
        <v>937</v>
      </c>
      <c r="C1273" s="182" t="s">
        <v>938</v>
      </c>
      <c r="D1273" s="190" t="s">
        <v>944</v>
      </c>
      <c r="E1273" s="183" t="s">
        <v>945</v>
      </c>
      <c r="F1273" s="183" t="s">
        <v>941</v>
      </c>
      <c r="G1273" s="184">
        <v>1</v>
      </c>
      <c r="H1273" s="185">
        <v>0</v>
      </c>
      <c r="I1273" s="186">
        <v>85927.097156571996</v>
      </c>
      <c r="J1273" s="187">
        <v>85927.097156571996</v>
      </c>
      <c r="K1273" s="182" t="s">
        <v>3449</v>
      </c>
      <c r="L1273" s="182">
        <v>2</v>
      </c>
      <c r="M1273" s="182" t="s">
        <v>3451</v>
      </c>
      <c r="N1273" s="186">
        <v>9.5</v>
      </c>
      <c r="O1273" s="188">
        <v>0.105263157894737</v>
      </c>
      <c r="P1273" s="188">
        <v>115</v>
      </c>
      <c r="Q1273" s="188">
        <v>12.105263157894701</v>
      </c>
      <c r="R1273" s="189">
        <v>14.03</v>
      </c>
      <c r="S1273" s="189" t="s">
        <v>573</v>
      </c>
    </row>
    <row r="1274" spans="1:19" ht="14.25" customHeight="1" x14ac:dyDescent="0.3">
      <c r="A1274" s="182" t="s">
        <v>3452</v>
      </c>
      <c r="B1274" s="182" t="s">
        <v>563</v>
      </c>
      <c r="C1274" s="182"/>
      <c r="D1274" s="182" t="s">
        <v>1456</v>
      </c>
      <c r="E1274" s="183" t="s">
        <v>1457</v>
      </c>
      <c r="F1274" s="183"/>
      <c r="G1274" s="184">
        <v>1</v>
      </c>
      <c r="H1274" s="185">
        <v>0</v>
      </c>
      <c r="I1274" s="186">
        <v>140.198092594309</v>
      </c>
      <c r="J1274" s="187">
        <v>140.198092594309</v>
      </c>
      <c r="K1274" s="182" t="s">
        <v>3453</v>
      </c>
      <c r="L1274" s="182">
        <v>1</v>
      </c>
      <c r="M1274" s="182" t="s">
        <v>3454</v>
      </c>
      <c r="N1274" s="186">
        <v>9.5</v>
      </c>
      <c r="O1274" s="188">
        <v>1</v>
      </c>
      <c r="P1274" s="188">
        <v>89</v>
      </c>
      <c r="Q1274" s="188">
        <v>89</v>
      </c>
      <c r="R1274" s="189">
        <v>14.04</v>
      </c>
      <c r="S1274" s="189" t="s">
        <v>573</v>
      </c>
    </row>
    <row r="1275" spans="1:19" ht="14.25" customHeight="1" x14ac:dyDescent="0.3">
      <c r="A1275" s="182" t="s">
        <v>3452</v>
      </c>
      <c r="B1275" s="182" t="s">
        <v>563</v>
      </c>
      <c r="C1275" s="182"/>
      <c r="D1275" s="182" t="s">
        <v>1460</v>
      </c>
      <c r="E1275" s="183" t="s">
        <v>1461</v>
      </c>
      <c r="F1275" s="183"/>
      <c r="G1275" s="184">
        <v>1</v>
      </c>
      <c r="H1275" s="185">
        <v>0</v>
      </c>
      <c r="I1275" s="186">
        <v>2365.2381485799501</v>
      </c>
      <c r="J1275" s="187">
        <v>2365.2381485799501</v>
      </c>
      <c r="K1275" s="182" t="s">
        <v>3453</v>
      </c>
      <c r="L1275" s="182">
        <v>2</v>
      </c>
      <c r="M1275" s="182" t="s">
        <v>3455</v>
      </c>
      <c r="N1275" s="186">
        <v>9.5</v>
      </c>
      <c r="O1275" s="188">
        <v>1</v>
      </c>
      <c r="P1275" s="188">
        <v>89</v>
      </c>
      <c r="Q1275" s="188">
        <v>89</v>
      </c>
      <c r="R1275" s="189">
        <v>14.04</v>
      </c>
      <c r="S1275" s="189" t="s">
        <v>573</v>
      </c>
    </row>
    <row r="1276" spans="1:19" ht="14.25" customHeight="1" x14ac:dyDescent="0.3">
      <c r="A1276" s="182" t="s">
        <v>3452</v>
      </c>
      <c r="B1276" s="182" t="s">
        <v>908</v>
      </c>
      <c r="C1276" s="182" t="s">
        <v>909</v>
      </c>
      <c r="D1276" s="182" t="s">
        <v>1495</v>
      </c>
      <c r="E1276" s="183" t="s">
        <v>1496</v>
      </c>
      <c r="F1276" s="183" t="s">
        <v>600</v>
      </c>
      <c r="G1276" s="184">
        <v>0.507692307692308</v>
      </c>
      <c r="H1276" s="185">
        <v>0.1</v>
      </c>
      <c r="I1276" s="186">
        <v>2932.93</v>
      </c>
      <c r="J1276" s="187">
        <v>1637.9286</v>
      </c>
      <c r="K1276" s="182" t="s">
        <v>3456</v>
      </c>
      <c r="L1276" s="182">
        <v>1</v>
      </c>
      <c r="M1276" s="182" t="s">
        <v>3457</v>
      </c>
      <c r="N1276" s="186">
        <v>9.5</v>
      </c>
      <c r="O1276" s="188">
        <v>0.507692307692308</v>
      </c>
      <c r="P1276" s="188">
        <v>89</v>
      </c>
      <c r="Q1276" s="188">
        <v>45.184615384615398</v>
      </c>
      <c r="R1276" s="189">
        <v>14.04</v>
      </c>
      <c r="S1276" s="189" t="s">
        <v>573</v>
      </c>
    </row>
    <row r="1277" spans="1:19" ht="14.25" customHeight="1" x14ac:dyDescent="0.3">
      <c r="A1277" s="182" t="s">
        <v>3452</v>
      </c>
      <c r="B1277" s="182" t="s">
        <v>908</v>
      </c>
      <c r="C1277" s="182" t="s">
        <v>909</v>
      </c>
      <c r="D1277" s="182" t="s">
        <v>1499</v>
      </c>
      <c r="E1277" s="183" t="s">
        <v>1500</v>
      </c>
      <c r="F1277" s="183" t="s">
        <v>600</v>
      </c>
      <c r="G1277" s="184">
        <v>1.2307692307692299</v>
      </c>
      <c r="H1277" s="185">
        <v>0.1</v>
      </c>
      <c r="I1277" s="186">
        <v>3295.47</v>
      </c>
      <c r="J1277" s="187">
        <v>4461.5593846153797</v>
      </c>
      <c r="K1277" s="182" t="s">
        <v>3456</v>
      </c>
      <c r="L1277" s="182">
        <v>2</v>
      </c>
      <c r="M1277" s="182" t="s">
        <v>3458</v>
      </c>
      <c r="N1277" s="186">
        <v>9.5</v>
      </c>
      <c r="O1277" s="188">
        <v>1.2307692307692299</v>
      </c>
      <c r="P1277" s="188">
        <v>89</v>
      </c>
      <c r="Q1277" s="188">
        <v>109.538461538462</v>
      </c>
      <c r="R1277" s="189">
        <v>14.04</v>
      </c>
      <c r="S1277" s="189" t="s">
        <v>573</v>
      </c>
    </row>
    <row r="1278" spans="1:19" ht="14.25" customHeight="1" x14ac:dyDescent="0.3">
      <c r="A1278" s="182" t="s">
        <v>3452</v>
      </c>
      <c r="B1278" s="182" t="s">
        <v>908</v>
      </c>
      <c r="C1278" s="182" t="s">
        <v>909</v>
      </c>
      <c r="D1278" s="182" t="s">
        <v>1470</v>
      </c>
      <c r="E1278" s="183" t="s">
        <v>1471</v>
      </c>
      <c r="F1278" s="183" t="s">
        <v>600</v>
      </c>
      <c r="G1278" s="184">
        <v>2.8125000000000001E-2</v>
      </c>
      <c r="H1278" s="185">
        <v>0.05</v>
      </c>
      <c r="I1278" s="186">
        <v>26872.02</v>
      </c>
      <c r="J1278" s="187">
        <v>793.564340625</v>
      </c>
      <c r="K1278" s="182" t="s">
        <v>3456</v>
      </c>
      <c r="L1278" s="182">
        <v>3</v>
      </c>
      <c r="M1278" s="182" t="s">
        <v>3459</v>
      </c>
      <c r="N1278" s="186">
        <v>9.5</v>
      </c>
      <c r="O1278" s="188">
        <v>2.8125000000000001E-2</v>
      </c>
      <c r="P1278" s="188">
        <v>89</v>
      </c>
      <c r="Q1278" s="188">
        <v>2.5031249999999998</v>
      </c>
      <c r="R1278" s="189">
        <v>14.04</v>
      </c>
      <c r="S1278" s="189" t="s">
        <v>573</v>
      </c>
    </row>
    <row r="1279" spans="1:19" ht="14.25" customHeight="1" x14ac:dyDescent="0.3">
      <c r="A1279" s="182" t="s">
        <v>3452</v>
      </c>
      <c r="B1279" s="182" t="s">
        <v>908</v>
      </c>
      <c r="C1279" s="182" t="s">
        <v>909</v>
      </c>
      <c r="D1279" s="182" t="s">
        <v>1473</v>
      </c>
      <c r="E1279" s="183" t="s">
        <v>1474</v>
      </c>
      <c r="F1279" s="183" t="s">
        <v>600</v>
      </c>
      <c r="G1279" s="184">
        <v>16</v>
      </c>
      <c r="H1279" s="185">
        <v>0.05</v>
      </c>
      <c r="I1279" s="186">
        <v>32.707173553719002</v>
      </c>
      <c r="J1279" s="187">
        <v>549.48051570247901</v>
      </c>
      <c r="K1279" s="182" t="s">
        <v>3456</v>
      </c>
      <c r="L1279" s="182">
        <v>4</v>
      </c>
      <c r="M1279" s="182" t="s">
        <v>3460</v>
      </c>
      <c r="N1279" s="186">
        <v>9.5</v>
      </c>
      <c r="O1279" s="188">
        <v>16</v>
      </c>
      <c r="P1279" s="188">
        <v>89</v>
      </c>
      <c r="Q1279" s="188">
        <v>1424</v>
      </c>
      <c r="R1279" s="189">
        <v>14.04</v>
      </c>
      <c r="S1279" s="189" t="s">
        <v>573</v>
      </c>
    </row>
    <row r="1280" spans="1:19" ht="14.25" customHeight="1" x14ac:dyDescent="0.3">
      <c r="A1280" s="182" t="s">
        <v>3452</v>
      </c>
      <c r="B1280" s="182" t="s">
        <v>908</v>
      </c>
      <c r="C1280" s="182" t="s">
        <v>909</v>
      </c>
      <c r="D1280" s="182" t="s">
        <v>1476</v>
      </c>
      <c r="E1280" s="183" t="s">
        <v>1477</v>
      </c>
      <c r="F1280" s="183" t="s">
        <v>600</v>
      </c>
      <c r="G1280" s="184">
        <v>18</v>
      </c>
      <c r="H1280" s="185">
        <v>0.05</v>
      </c>
      <c r="I1280" s="186">
        <v>17.1963177226814</v>
      </c>
      <c r="J1280" s="187">
        <v>325.01040495867898</v>
      </c>
      <c r="K1280" s="182" t="s">
        <v>3456</v>
      </c>
      <c r="L1280" s="182">
        <v>5</v>
      </c>
      <c r="M1280" s="182" t="s">
        <v>3461</v>
      </c>
      <c r="N1280" s="186">
        <v>9.5</v>
      </c>
      <c r="O1280" s="188">
        <v>18</v>
      </c>
      <c r="P1280" s="188">
        <v>89</v>
      </c>
      <c r="Q1280" s="188">
        <v>1602</v>
      </c>
      <c r="R1280" s="189">
        <v>14.04</v>
      </c>
      <c r="S1280" s="189" t="s">
        <v>573</v>
      </c>
    </row>
    <row r="1281" spans="1:19" ht="14.25" customHeight="1" x14ac:dyDescent="0.3">
      <c r="A1281" s="182" t="s">
        <v>3452</v>
      </c>
      <c r="B1281" s="182" t="s">
        <v>908</v>
      </c>
      <c r="C1281" s="182" t="s">
        <v>909</v>
      </c>
      <c r="D1281" s="182" t="s">
        <v>1479</v>
      </c>
      <c r="E1281" s="183" t="s">
        <v>1480</v>
      </c>
      <c r="F1281" s="183" t="s">
        <v>600</v>
      </c>
      <c r="G1281" s="184">
        <v>6</v>
      </c>
      <c r="H1281" s="185">
        <v>0.05</v>
      </c>
      <c r="I1281" s="186">
        <v>65.919008264462803</v>
      </c>
      <c r="J1281" s="187">
        <v>415.28975206611602</v>
      </c>
      <c r="K1281" s="182" t="s">
        <v>3456</v>
      </c>
      <c r="L1281" s="182">
        <v>6</v>
      </c>
      <c r="M1281" s="182" t="s">
        <v>3462</v>
      </c>
      <c r="N1281" s="186">
        <v>9.5</v>
      </c>
      <c r="O1281" s="188">
        <v>6</v>
      </c>
      <c r="P1281" s="188">
        <v>89</v>
      </c>
      <c r="Q1281" s="188">
        <v>534</v>
      </c>
      <c r="R1281" s="189">
        <v>14.04</v>
      </c>
      <c r="S1281" s="189" t="s">
        <v>573</v>
      </c>
    </row>
    <row r="1282" spans="1:19" ht="14.25" customHeight="1" x14ac:dyDescent="0.3">
      <c r="A1282" s="182" t="s">
        <v>3452</v>
      </c>
      <c r="B1282" s="182" t="s">
        <v>908</v>
      </c>
      <c r="C1282" s="182" t="s">
        <v>909</v>
      </c>
      <c r="D1282" s="182" t="s">
        <v>1482</v>
      </c>
      <c r="E1282" s="183" t="s">
        <v>1483</v>
      </c>
      <c r="F1282" s="183" t="s">
        <v>600</v>
      </c>
      <c r="G1282" s="184">
        <v>1.8333333333333299E-2</v>
      </c>
      <c r="H1282" s="185">
        <v>0.05</v>
      </c>
      <c r="I1282" s="186">
        <v>4042.71</v>
      </c>
      <c r="J1282" s="187">
        <v>77.822167499999907</v>
      </c>
      <c r="K1282" s="182" t="s">
        <v>3456</v>
      </c>
      <c r="L1282" s="182">
        <v>7</v>
      </c>
      <c r="M1282" s="182" t="s">
        <v>3463</v>
      </c>
      <c r="N1282" s="186">
        <v>9.5</v>
      </c>
      <c r="O1282" s="188">
        <v>1.8333333333333299E-2</v>
      </c>
      <c r="P1282" s="188">
        <v>89</v>
      </c>
      <c r="Q1282" s="188">
        <v>1.6316666666666599</v>
      </c>
      <c r="R1282" s="189">
        <v>14.04</v>
      </c>
      <c r="S1282" s="189" t="s">
        <v>573</v>
      </c>
    </row>
    <row r="1283" spans="1:19" ht="14.25" customHeight="1" x14ac:dyDescent="0.3">
      <c r="A1283" s="182" t="s">
        <v>3452</v>
      </c>
      <c r="B1283" s="182" t="s">
        <v>908</v>
      </c>
      <c r="C1283" s="182" t="s">
        <v>909</v>
      </c>
      <c r="D1283" s="182" t="s">
        <v>1507</v>
      </c>
      <c r="E1283" s="183" t="s">
        <v>1508</v>
      </c>
      <c r="F1283" s="183" t="s">
        <v>600</v>
      </c>
      <c r="G1283" s="184">
        <v>0.36</v>
      </c>
      <c r="H1283" s="185">
        <v>0.1</v>
      </c>
      <c r="I1283" s="186">
        <v>16160.1</v>
      </c>
      <c r="J1283" s="187">
        <v>6399.3995999999997</v>
      </c>
      <c r="K1283" s="182" t="s">
        <v>3456</v>
      </c>
      <c r="L1283" s="182">
        <v>8</v>
      </c>
      <c r="M1283" s="182" t="s">
        <v>3464</v>
      </c>
      <c r="N1283" s="186">
        <v>9.5</v>
      </c>
      <c r="O1283" s="188">
        <v>0.36</v>
      </c>
      <c r="P1283" s="188">
        <v>89</v>
      </c>
      <c r="Q1283" s="188">
        <v>32.04</v>
      </c>
      <c r="R1283" s="189">
        <v>14.04</v>
      </c>
      <c r="S1283" s="189" t="s">
        <v>573</v>
      </c>
    </row>
    <row r="1284" spans="1:19" ht="14.25" customHeight="1" x14ac:dyDescent="0.3">
      <c r="A1284" s="182" t="s">
        <v>3452</v>
      </c>
      <c r="B1284" s="182" t="s">
        <v>937</v>
      </c>
      <c r="C1284" s="182" t="s">
        <v>938</v>
      </c>
      <c r="D1284" s="190" t="s">
        <v>1291</v>
      </c>
      <c r="E1284" s="183" t="s">
        <v>1292</v>
      </c>
      <c r="F1284" s="183" t="s">
        <v>941</v>
      </c>
      <c r="G1284" s="184">
        <v>1</v>
      </c>
      <c r="H1284" s="185">
        <v>0</v>
      </c>
      <c r="I1284" s="186">
        <v>65493.071636572</v>
      </c>
      <c r="J1284" s="187">
        <v>65493.071636572</v>
      </c>
      <c r="K1284" s="182" t="s">
        <v>3465</v>
      </c>
      <c r="L1284" s="182">
        <v>1</v>
      </c>
      <c r="M1284" s="182" t="s">
        <v>3466</v>
      </c>
      <c r="N1284" s="186">
        <v>9.5</v>
      </c>
      <c r="O1284" s="188">
        <v>0.105263157894737</v>
      </c>
      <c r="P1284" s="188">
        <v>89</v>
      </c>
      <c r="Q1284" s="188">
        <v>9.3684210526315805</v>
      </c>
      <c r="R1284" s="189">
        <v>14.04</v>
      </c>
      <c r="S1284" s="189" t="s">
        <v>573</v>
      </c>
    </row>
    <row r="1285" spans="1:19" ht="14.25" customHeight="1" x14ac:dyDescent="0.3">
      <c r="A1285" s="182" t="s">
        <v>3452</v>
      </c>
      <c r="B1285" s="182" t="s">
        <v>937</v>
      </c>
      <c r="C1285" s="182" t="s">
        <v>938</v>
      </c>
      <c r="D1285" s="190" t="s">
        <v>944</v>
      </c>
      <c r="E1285" s="183" t="s">
        <v>945</v>
      </c>
      <c r="F1285" s="183" t="s">
        <v>941</v>
      </c>
      <c r="G1285" s="184">
        <v>1</v>
      </c>
      <c r="H1285" s="185">
        <v>0</v>
      </c>
      <c r="I1285" s="186">
        <v>85927.097156571996</v>
      </c>
      <c r="J1285" s="187">
        <v>85927.097156571996</v>
      </c>
      <c r="K1285" s="182" t="s">
        <v>3465</v>
      </c>
      <c r="L1285" s="182">
        <v>2</v>
      </c>
      <c r="M1285" s="182" t="s">
        <v>3467</v>
      </c>
      <c r="N1285" s="186">
        <v>9.5</v>
      </c>
      <c r="O1285" s="188">
        <v>0.105263157894737</v>
      </c>
      <c r="P1285" s="188">
        <v>89</v>
      </c>
      <c r="Q1285" s="188">
        <v>9.3684210526315805</v>
      </c>
      <c r="R1285" s="189">
        <v>14.04</v>
      </c>
      <c r="S1285" s="189" t="s">
        <v>573</v>
      </c>
    </row>
    <row r="1286" spans="1:19" ht="14.25" customHeight="1" x14ac:dyDescent="0.3">
      <c r="A1286" s="182" t="s">
        <v>3468</v>
      </c>
      <c r="B1286" s="182" t="s">
        <v>563</v>
      </c>
      <c r="C1286" s="182"/>
      <c r="D1286" s="182" t="s">
        <v>1456</v>
      </c>
      <c r="E1286" s="183" t="s">
        <v>1457</v>
      </c>
      <c r="F1286" s="183"/>
      <c r="G1286" s="184">
        <v>1</v>
      </c>
      <c r="H1286" s="185">
        <v>0</v>
      </c>
      <c r="I1286" s="186">
        <v>140.198092594309</v>
      </c>
      <c r="J1286" s="187">
        <v>140.198092594309</v>
      </c>
      <c r="K1286" s="182" t="s">
        <v>3469</v>
      </c>
      <c r="L1286" s="182">
        <v>1</v>
      </c>
      <c r="M1286" s="182" t="s">
        <v>3470</v>
      </c>
      <c r="N1286" s="186">
        <v>15</v>
      </c>
      <c r="O1286" s="188">
        <v>1</v>
      </c>
      <c r="P1286" s="188">
        <v>530</v>
      </c>
      <c r="Q1286" s="188">
        <v>530</v>
      </c>
      <c r="R1286" s="189">
        <v>14.05</v>
      </c>
      <c r="S1286" s="189" t="s">
        <v>573</v>
      </c>
    </row>
    <row r="1287" spans="1:19" ht="14.25" customHeight="1" x14ac:dyDescent="0.3">
      <c r="A1287" s="182" t="s">
        <v>3468</v>
      </c>
      <c r="B1287" s="182" t="s">
        <v>563</v>
      </c>
      <c r="C1287" s="182"/>
      <c r="D1287" s="182" t="s">
        <v>1460</v>
      </c>
      <c r="E1287" s="183" t="s">
        <v>1461</v>
      </c>
      <c r="F1287" s="183"/>
      <c r="G1287" s="184">
        <v>1</v>
      </c>
      <c r="H1287" s="185">
        <v>0</v>
      </c>
      <c r="I1287" s="186">
        <v>2365.2381485799501</v>
      </c>
      <c r="J1287" s="187">
        <v>2365.2381485799501</v>
      </c>
      <c r="K1287" s="182" t="s">
        <v>3469</v>
      </c>
      <c r="L1287" s="182">
        <v>2</v>
      </c>
      <c r="M1287" s="182" t="s">
        <v>3471</v>
      </c>
      <c r="N1287" s="186">
        <v>15</v>
      </c>
      <c r="O1287" s="188">
        <v>1</v>
      </c>
      <c r="P1287" s="188">
        <v>530</v>
      </c>
      <c r="Q1287" s="188">
        <v>530</v>
      </c>
      <c r="R1287" s="189">
        <v>14.05</v>
      </c>
      <c r="S1287" s="189" t="s">
        <v>573</v>
      </c>
    </row>
    <row r="1288" spans="1:19" ht="14.25" customHeight="1" x14ac:dyDescent="0.3">
      <c r="A1288" s="182" t="s">
        <v>3468</v>
      </c>
      <c r="B1288" s="182" t="s">
        <v>908</v>
      </c>
      <c r="C1288" s="182" t="s">
        <v>909</v>
      </c>
      <c r="D1288" s="182" t="s">
        <v>1476</v>
      </c>
      <c r="E1288" s="183" t="s">
        <v>1477</v>
      </c>
      <c r="F1288" s="183" t="s">
        <v>600</v>
      </c>
      <c r="G1288" s="184">
        <v>3</v>
      </c>
      <c r="H1288" s="185">
        <v>0.05</v>
      </c>
      <c r="I1288" s="186">
        <v>17.1963177226814</v>
      </c>
      <c r="J1288" s="187">
        <v>54.168400826446401</v>
      </c>
      <c r="K1288" s="182" t="s">
        <v>3472</v>
      </c>
      <c r="L1288" s="182">
        <v>1</v>
      </c>
      <c r="M1288" s="182" t="s">
        <v>3473</v>
      </c>
      <c r="N1288" s="186">
        <v>15</v>
      </c>
      <c r="O1288" s="188">
        <v>3</v>
      </c>
      <c r="P1288" s="188">
        <v>530</v>
      </c>
      <c r="Q1288" s="188">
        <v>1590</v>
      </c>
      <c r="R1288" s="189">
        <v>14.05</v>
      </c>
      <c r="S1288" s="189" t="s">
        <v>573</v>
      </c>
    </row>
    <row r="1289" spans="1:19" ht="14.25" customHeight="1" x14ac:dyDescent="0.3">
      <c r="A1289" s="182" t="s">
        <v>3468</v>
      </c>
      <c r="B1289" s="182" t="s">
        <v>908</v>
      </c>
      <c r="C1289" s="182" t="s">
        <v>909</v>
      </c>
      <c r="D1289" s="182" t="s">
        <v>3474</v>
      </c>
      <c r="E1289" s="183" t="s">
        <v>3475</v>
      </c>
      <c r="F1289" s="183" t="s">
        <v>600</v>
      </c>
      <c r="G1289" s="184">
        <v>0.39</v>
      </c>
      <c r="H1289" s="185">
        <v>0.1</v>
      </c>
      <c r="I1289" s="186">
        <v>2351.29</v>
      </c>
      <c r="J1289" s="187">
        <v>1008.70341</v>
      </c>
      <c r="K1289" s="182" t="s">
        <v>3472</v>
      </c>
      <c r="L1289" s="182">
        <v>2</v>
      </c>
      <c r="M1289" s="182" t="s">
        <v>3476</v>
      </c>
      <c r="N1289" s="186">
        <v>15</v>
      </c>
      <c r="O1289" s="188">
        <v>0.39</v>
      </c>
      <c r="P1289" s="188">
        <v>530</v>
      </c>
      <c r="Q1289" s="188">
        <v>206.7</v>
      </c>
      <c r="R1289" s="189">
        <v>14.05</v>
      </c>
      <c r="S1289" s="189" t="s">
        <v>573</v>
      </c>
    </row>
    <row r="1290" spans="1:19" ht="14.25" customHeight="1" x14ac:dyDescent="0.3">
      <c r="A1290" s="182" t="s">
        <v>3468</v>
      </c>
      <c r="B1290" s="182" t="s">
        <v>937</v>
      </c>
      <c r="C1290" s="182" t="s">
        <v>938</v>
      </c>
      <c r="D1290" s="190" t="s">
        <v>944</v>
      </c>
      <c r="E1290" s="183" t="s">
        <v>945</v>
      </c>
      <c r="F1290" s="183" t="s">
        <v>941</v>
      </c>
      <c r="G1290" s="184">
        <v>1</v>
      </c>
      <c r="H1290" s="185">
        <v>0</v>
      </c>
      <c r="I1290" s="186">
        <v>85927.097156571996</v>
      </c>
      <c r="J1290" s="187">
        <v>85927.097156571996</v>
      </c>
      <c r="K1290" s="182" t="s">
        <v>3477</v>
      </c>
      <c r="L1290" s="182">
        <v>1</v>
      </c>
      <c r="M1290" s="182" t="s">
        <v>3478</v>
      </c>
      <c r="N1290" s="186">
        <v>15</v>
      </c>
      <c r="O1290" s="188">
        <v>6.6666666666666693E-2</v>
      </c>
      <c r="P1290" s="188">
        <v>530</v>
      </c>
      <c r="Q1290" s="188">
        <v>35.3333333333333</v>
      </c>
      <c r="R1290" s="189">
        <v>14.05</v>
      </c>
      <c r="S1290" s="189" t="s">
        <v>573</v>
      </c>
    </row>
    <row r="1291" spans="1:19" ht="14.25" customHeight="1" x14ac:dyDescent="0.3">
      <c r="A1291" s="182" t="s">
        <v>3479</v>
      </c>
      <c r="B1291" s="182" t="s">
        <v>563</v>
      </c>
      <c r="C1291" s="182"/>
      <c r="D1291" s="182" t="s">
        <v>3480</v>
      </c>
      <c r="E1291" s="183" t="s">
        <v>3481</v>
      </c>
      <c r="F1291" s="183"/>
      <c r="G1291" s="184">
        <v>1</v>
      </c>
      <c r="H1291" s="185">
        <v>0</v>
      </c>
      <c r="I1291" s="186">
        <v>167.02908274495101</v>
      </c>
      <c r="J1291" s="187">
        <v>167.02908274495101</v>
      </c>
      <c r="K1291" s="182" t="s">
        <v>3482</v>
      </c>
      <c r="L1291" s="182">
        <v>1</v>
      </c>
      <c r="M1291" s="182" t="s">
        <v>3483</v>
      </c>
      <c r="N1291" s="186">
        <v>15</v>
      </c>
      <c r="O1291" s="188">
        <v>1</v>
      </c>
      <c r="P1291" s="188" t="s">
        <v>573</v>
      </c>
      <c r="Q1291" s="188">
        <v>0</v>
      </c>
      <c r="R1291" s="189" t="s">
        <v>573</v>
      </c>
      <c r="S1291" s="189" t="s">
        <v>573</v>
      </c>
    </row>
    <row r="1292" spans="1:19" ht="14.25" customHeight="1" x14ac:dyDescent="0.3">
      <c r="A1292" s="182" t="s">
        <v>3484</v>
      </c>
      <c r="B1292" s="182" t="s">
        <v>563</v>
      </c>
      <c r="C1292" s="182"/>
      <c r="D1292" s="182" t="s">
        <v>3485</v>
      </c>
      <c r="E1292" s="183" t="s">
        <v>3486</v>
      </c>
      <c r="F1292" s="183"/>
      <c r="G1292" s="184">
        <v>1</v>
      </c>
      <c r="H1292" s="185">
        <v>0</v>
      </c>
      <c r="I1292" s="186">
        <v>59.159286192318298</v>
      </c>
      <c r="J1292" s="187">
        <v>59.159286192318298</v>
      </c>
      <c r="K1292" s="182" t="s">
        <v>3487</v>
      </c>
      <c r="L1292" s="182">
        <v>1</v>
      </c>
      <c r="M1292" s="182" t="s">
        <v>3488</v>
      </c>
      <c r="N1292" s="186">
        <v>1</v>
      </c>
      <c r="O1292" s="188">
        <v>1</v>
      </c>
      <c r="P1292" s="188">
        <v>469</v>
      </c>
      <c r="Q1292" s="188">
        <v>469</v>
      </c>
      <c r="R1292" s="189">
        <v>14.07</v>
      </c>
      <c r="S1292" s="189" t="s">
        <v>985</v>
      </c>
    </row>
    <row r="1293" spans="1:19" ht="14.25" customHeight="1" x14ac:dyDescent="0.3">
      <c r="A1293" s="182" t="s">
        <v>3484</v>
      </c>
      <c r="B1293" s="182" t="s">
        <v>908</v>
      </c>
      <c r="C1293" s="182" t="s">
        <v>1358</v>
      </c>
      <c r="D1293" s="182" t="s">
        <v>2208</v>
      </c>
      <c r="E1293" s="183" t="s">
        <v>2209</v>
      </c>
      <c r="F1293" s="183" t="s">
        <v>576</v>
      </c>
      <c r="G1293" s="184">
        <v>533.04904051172696</v>
      </c>
      <c r="H1293" s="185">
        <v>0</v>
      </c>
      <c r="I1293" s="186">
        <v>1</v>
      </c>
      <c r="J1293" s="187">
        <v>533.04904051172696</v>
      </c>
      <c r="K1293" s="182" t="s">
        <v>3489</v>
      </c>
      <c r="L1293" s="182">
        <v>1</v>
      </c>
      <c r="M1293" s="182" t="s">
        <v>3490</v>
      </c>
      <c r="N1293" s="186">
        <v>1</v>
      </c>
      <c r="O1293" s="188">
        <v>533.04904051172696</v>
      </c>
      <c r="P1293" s="188">
        <v>469</v>
      </c>
      <c r="Q1293" s="188">
        <v>250000</v>
      </c>
      <c r="R1293" s="189">
        <v>14.07</v>
      </c>
      <c r="S1293" s="189" t="s">
        <v>985</v>
      </c>
    </row>
    <row r="1294" spans="1:19" ht="14.25" customHeight="1" x14ac:dyDescent="0.3">
      <c r="A1294" s="182" t="s">
        <v>3484</v>
      </c>
      <c r="B1294" s="182" t="s">
        <v>908</v>
      </c>
      <c r="C1294" s="182" t="s">
        <v>909</v>
      </c>
      <c r="D1294" s="182" t="s">
        <v>2208</v>
      </c>
      <c r="E1294" s="183" t="s">
        <v>2209</v>
      </c>
      <c r="F1294" s="183" t="s">
        <v>576</v>
      </c>
      <c r="G1294" s="184">
        <v>533.04904051172696</v>
      </c>
      <c r="H1294" s="185">
        <v>0</v>
      </c>
      <c r="I1294" s="186">
        <v>1</v>
      </c>
      <c r="J1294" s="187">
        <v>533.04904051172696</v>
      </c>
      <c r="K1294" s="182" t="s">
        <v>3489</v>
      </c>
      <c r="L1294" s="182">
        <v>2</v>
      </c>
      <c r="M1294" s="182" t="s">
        <v>3491</v>
      </c>
      <c r="N1294" s="186">
        <v>1</v>
      </c>
      <c r="O1294" s="188">
        <v>533.04904051172696</v>
      </c>
      <c r="P1294" s="188">
        <v>469</v>
      </c>
      <c r="Q1294" s="188">
        <v>250000</v>
      </c>
      <c r="R1294" s="189">
        <v>14.07</v>
      </c>
      <c r="S1294" s="189" t="s">
        <v>985</v>
      </c>
    </row>
    <row r="1295" spans="1:19" ht="14.25" customHeight="1" x14ac:dyDescent="0.3">
      <c r="A1295" s="182" t="s">
        <v>3484</v>
      </c>
      <c r="B1295" s="182" t="s">
        <v>937</v>
      </c>
      <c r="C1295" s="182" t="s">
        <v>938</v>
      </c>
      <c r="D1295" s="182" t="s">
        <v>939</v>
      </c>
      <c r="E1295" s="183" t="s">
        <v>940</v>
      </c>
      <c r="F1295" s="183" t="s">
        <v>941</v>
      </c>
      <c r="G1295" s="184">
        <v>2.7718550106609799E-2</v>
      </c>
      <c r="H1295" s="185">
        <v>0</v>
      </c>
      <c r="I1295" s="186">
        <v>60860.580776572002</v>
      </c>
      <c r="J1295" s="187">
        <v>1686.96705777278</v>
      </c>
      <c r="K1295" s="182" t="s">
        <v>3492</v>
      </c>
      <c r="L1295" s="182">
        <v>1</v>
      </c>
      <c r="M1295" s="182" t="s">
        <v>3493</v>
      </c>
      <c r="N1295" s="186">
        <v>1</v>
      </c>
      <c r="O1295" s="188">
        <v>2.7718550106609799E-2</v>
      </c>
      <c r="P1295" s="188">
        <v>469</v>
      </c>
      <c r="Q1295" s="188">
        <v>13</v>
      </c>
      <c r="R1295" s="189">
        <v>14.07</v>
      </c>
      <c r="S1295" s="189" t="s">
        <v>985</v>
      </c>
    </row>
    <row r="1296" spans="1:19" ht="14.25" customHeight="1" x14ac:dyDescent="0.3">
      <c r="A1296" s="182" t="s">
        <v>3484</v>
      </c>
      <c r="B1296" s="182" t="s">
        <v>937</v>
      </c>
      <c r="C1296" s="182" t="s">
        <v>938</v>
      </c>
      <c r="D1296" s="190" t="s">
        <v>944</v>
      </c>
      <c r="E1296" s="183" t="s">
        <v>945</v>
      </c>
      <c r="F1296" s="183" t="s">
        <v>941</v>
      </c>
      <c r="G1296" s="184">
        <v>1.3859275053304899E-2</v>
      </c>
      <c r="H1296" s="185">
        <v>0</v>
      </c>
      <c r="I1296" s="186">
        <v>85927.097156571996</v>
      </c>
      <c r="J1296" s="187">
        <v>1190.8872740249899</v>
      </c>
      <c r="K1296" s="182" t="s">
        <v>3492</v>
      </c>
      <c r="L1296" s="182">
        <v>2</v>
      </c>
      <c r="M1296" s="182" t="s">
        <v>3494</v>
      </c>
      <c r="N1296" s="186">
        <v>1</v>
      </c>
      <c r="O1296" s="188">
        <v>1.3859275053304899E-2</v>
      </c>
      <c r="P1296" s="188">
        <v>469</v>
      </c>
      <c r="Q1296" s="188">
        <v>6.5</v>
      </c>
      <c r="R1296" s="189">
        <v>14.07</v>
      </c>
      <c r="S1296" s="189" t="s">
        <v>985</v>
      </c>
    </row>
    <row r="1297" spans="1:19" ht="14.25" customHeight="1" x14ac:dyDescent="0.3">
      <c r="A1297" s="182" t="s">
        <v>3495</v>
      </c>
      <c r="B1297" s="182" t="s">
        <v>563</v>
      </c>
      <c r="C1297" s="182"/>
      <c r="D1297" s="182" t="s">
        <v>3496</v>
      </c>
      <c r="E1297" s="183" t="s">
        <v>3497</v>
      </c>
      <c r="F1297" s="183"/>
      <c r="G1297" s="184">
        <v>1</v>
      </c>
      <c r="H1297" s="185">
        <v>0</v>
      </c>
      <c r="I1297" s="186">
        <v>234.442307493812</v>
      </c>
      <c r="J1297" s="187">
        <v>234.442307493812</v>
      </c>
      <c r="K1297" s="182" t="s">
        <v>3498</v>
      </c>
      <c r="L1297" s="182">
        <v>1</v>
      </c>
      <c r="M1297" s="182" t="s">
        <v>3499</v>
      </c>
      <c r="N1297" s="186">
        <v>1</v>
      </c>
      <c r="O1297" s="188">
        <v>1</v>
      </c>
      <c r="P1297" s="188" t="s">
        <v>573</v>
      </c>
      <c r="Q1297" s="188">
        <v>0</v>
      </c>
      <c r="R1297" s="189" t="s">
        <v>573</v>
      </c>
      <c r="S1297" s="189" t="s">
        <v>573</v>
      </c>
    </row>
    <row r="1298" spans="1:19" ht="14.25" customHeight="1" x14ac:dyDescent="0.3">
      <c r="A1298" s="182" t="s">
        <v>3495</v>
      </c>
      <c r="B1298" s="182" t="s">
        <v>908</v>
      </c>
      <c r="C1298" s="182" t="s">
        <v>909</v>
      </c>
      <c r="D1298" s="182" t="s">
        <v>3500</v>
      </c>
      <c r="E1298" s="183" t="s">
        <v>3501</v>
      </c>
      <c r="F1298" s="183" t="s">
        <v>595</v>
      </c>
      <c r="G1298" s="184">
        <v>1</v>
      </c>
      <c r="H1298" s="185">
        <v>0</v>
      </c>
      <c r="I1298" s="186">
        <v>1824.926273</v>
      </c>
      <c r="J1298" s="187">
        <v>1824.926273</v>
      </c>
      <c r="K1298" s="182" t="s">
        <v>3502</v>
      </c>
      <c r="L1298" s="182">
        <v>1</v>
      </c>
      <c r="M1298" s="182" t="s">
        <v>3503</v>
      </c>
      <c r="N1298" s="186">
        <v>1</v>
      </c>
      <c r="O1298" s="188">
        <v>1</v>
      </c>
      <c r="P1298" s="188" t="s">
        <v>573</v>
      </c>
      <c r="Q1298" s="188">
        <v>0</v>
      </c>
      <c r="R1298" s="189" t="s">
        <v>573</v>
      </c>
      <c r="S1298" s="189" t="s">
        <v>573</v>
      </c>
    </row>
    <row r="1299" spans="1:19" ht="14.25" customHeight="1" x14ac:dyDescent="0.3">
      <c r="A1299" s="182" t="s">
        <v>3495</v>
      </c>
      <c r="B1299" s="182" t="s">
        <v>937</v>
      </c>
      <c r="C1299" s="182" t="s">
        <v>909</v>
      </c>
      <c r="D1299" s="182" t="s">
        <v>3504</v>
      </c>
      <c r="E1299" s="183" t="s">
        <v>3505</v>
      </c>
      <c r="F1299" s="183" t="s">
        <v>941</v>
      </c>
      <c r="G1299" s="184">
        <v>1</v>
      </c>
      <c r="H1299" s="185">
        <v>0</v>
      </c>
      <c r="I1299" s="186">
        <v>14504.129532884899</v>
      </c>
      <c r="J1299" s="187">
        <v>14504.129532884899</v>
      </c>
      <c r="K1299" s="182" t="s">
        <v>3506</v>
      </c>
      <c r="L1299" s="182">
        <v>1</v>
      </c>
      <c r="M1299" s="182" t="s">
        <v>3507</v>
      </c>
      <c r="N1299" s="186">
        <v>1</v>
      </c>
      <c r="O1299" s="188">
        <v>1</v>
      </c>
      <c r="P1299" s="188" t="s">
        <v>573</v>
      </c>
      <c r="Q1299" s="188">
        <v>0</v>
      </c>
      <c r="R1299" s="189" t="s">
        <v>573</v>
      </c>
      <c r="S1299" s="189" t="s">
        <v>573</v>
      </c>
    </row>
    <row r="1300" spans="1:19" ht="14.25" customHeight="1" x14ac:dyDescent="0.3">
      <c r="A1300" s="182" t="s">
        <v>3508</v>
      </c>
      <c r="B1300" s="182" t="s">
        <v>563</v>
      </c>
      <c r="C1300" s="182"/>
      <c r="D1300" s="182" t="s">
        <v>1251</v>
      </c>
      <c r="E1300" s="183" t="s">
        <v>1252</v>
      </c>
      <c r="F1300" s="183"/>
      <c r="G1300" s="184">
        <v>1</v>
      </c>
      <c r="H1300" s="185">
        <v>0</v>
      </c>
      <c r="I1300" s="186">
        <v>1723.6259595547101</v>
      </c>
      <c r="J1300" s="187">
        <v>1723.6259595547101</v>
      </c>
      <c r="K1300" s="182" t="s">
        <v>3509</v>
      </c>
      <c r="L1300" s="182">
        <v>1</v>
      </c>
      <c r="M1300" s="182" t="s">
        <v>3510</v>
      </c>
      <c r="N1300" s="186">
        <v>20</v>
      </c>
      <c r="O1300" s="188">
        <v>1</v>
      </c>
      <c r="P1300" s="188" t="s">
        <v>573</v>
      </c>
      <c r="Q1300" s="188">
        <v>0</v>
      </c>
      <c r="R1300" s="189" t="s">
        <v>573</v>
      </c>
      <c r="S1300" s="189" t="s">
        <v>573</v>
      </c>
    </row>
    <row r="1301" spans="1:19" ht="14.25" customHeight="1" x14ac:dyDescent="0.3">
      <c r="A1301" s="182" t="s">
        <v>3508</v>
      </c>
      <c r="B1301" s="182" t="s">
        <v>563</v>
      </c>
      <c r="C1301" s="182"/>
      <c r="D1301" s="182" t="s">
        <v>1255</v>
      </c>
      <c r="E1301" s="183" t="s">
        <v>1256</v>
      </c>
      <c r="F1301" s="183"/>
      <c r="G1301" s="184">
        <v>1</v>
      </c>
      <c r="H1301" s="185">
        <v>0</v>
      </c>
      <c r="I1301" s="186">
        <v>200.25307946474501</v>
      </c>
      <c r="J1301" s="187">
        <v>200.25307946474501</v>
      </c>
      <c r="K1301" s="182" t="s">
        <v>3509</v>
      </c>
      <c r="L1301" s="182">
        <v>2</v>
      </c>
      <c r="M1301" s="182" t="s">
        <v>3511</v>
      </c>
      <c r="N1301" s="186">
        <v>20</v>
      </c>
      <c r="O1301" s="188">
        <v>1</v>
      </c>
      <c r="P1301" s="188" t="s">
        <v>573</v>
      </c>
      <c r="Q1301" s="188">
        <v>0</v>
      </c>
      <c r="R1301" s="189" t="s">
        <v>573</v>
      </c>
      <c r="S1301" s="189" t="s">
        <v>573</v>
      </c>
    </row>
    <row r="1302" spans="1:19" ht="14.25" customHeight="1" x14ac:dyDescent="0.3">
      <c r="A1302" s="182" t="s">
        <v>3508</v>
      </c>
      <c r="B1302" s="182" t="s">
        <v>908</v>
      </c>
      <c r="C1302" s="182" t="s">
        <v>909</v>
      </c>
      <c r="D1302" s="182" t="s">
        <v>1258</v>
      </c>
      <c r="E1302" s="183" t="s">
        <v>1259</v>
      </c>
      <c r="F1302" s="183" t="s">
        <v>912</v>
      </c>
      <c r="G1302" s="184">
        <v>4.0000000000000001E-3</v>
      </c>
      <c r="H1302" s="185">
        <v>0.05</v>
      </c>
      <c r="I1302" s="186">
        <v>30467.49</v>
      </c>
      <c r="J1302" s="187">
        <v>127.963458</v>
      </c>
      <c r="K1302" s="182" t="s">
        <v>3512</v>
      </c>
      <c r="L1302" s="182">
        <v>1</v>
      </c>
      <c r="M1302" s="182" t="s">
        <v>3513</v>
      </c>
      <c r="N1302" s="186">
        <v>20</v>
      </c>
      <c r="O1302" s="188">
        <v>4.0000000000000001E-3</v>
      </c>
      <c r="P1302" s="188" t="s">
        <v>573</v>
      </c>
      <c r="Q1302" s="188">
        <v>0</v>
      </c>
      <c r="R1302" s="189" t="s">
        <v>573</v>
      </c>
      <c r="S1302" s="189" t="s">
        <v>573</v>
      </c>
    </row>
    <row r="1303" spans="1:19" ht="14.25" customHeight="1" x14ac:dyDescent="0.3">
      <c r="A1303" s="182" t="s">
        <v>3508</v>
      </c>
      <c r="B1303" s="182" t="s">
        <v>908</v>
      </c>
      <c r="C1303" s="182" t="s">
        <v>909</v>
      </c>
      <c r="D1303" s="182" t="s">
        <v>1262</v>
      </c>
      <c r="E1303" s="183" t="s">
        <v>1263</v>
      </c>
      <c r="F1303" s="183" t="s">
        <v>600</v>
      </c>
      <c r="G1303" s="184">
        <v>1.4999999999999999E-2</v>
      </c>
      <c r="H1303" s="185">
        <v>0.05</v>
      </c>
      <c r="I1303" s="186">
        <v>5661.4</v>
      </c>
      <c r="J1303" s="187">
        <v>89.167050000000003</v>
      </c>
      <c r="K1303" s="182" t="s">
        <v>3512</v>
      </c>
      <c r="L1303" s="182">
        <v>2</v>
      </c>
      <c r="M1303" s="182" t="s">
        <v>3514</v>
      </c>
      <c r="N1303" s="186">
        <v>20</v>
      </c>
      <c r="O1303" s="188">
        <v>1.4999999999999999E-2</v>
      </c>
      <c r="P1303" s="188" t="s">
        <v>573</v>
      </c>
      <c r="Q1303" s="188">
        <v>0</v>
      </c>
      <c r="R1303" s="189" t="s">
        <v>573</v>
      </c>
      <c r="S1303" s="189" t="s">
        <v>573</v>
      </c>
    </row>
    <row r="1304" spans="1:19" ht="14.25" customHeight="1" x14ac:dyDescent="0.3">
      <c r="A1304" s="182" t="s">
        <v>3508</v>
      </c>
      <c r="B1304" s="182" t="s">
        <v>908</v>
      </c>
      <c r="C1304" s="182" t="s">
        <v>909</v>
      </c>
      <c r="D1304" s="182" t="s">
        <v>1265</v>
      </c>
      <c r="E1304" s="183" t="s">
        <v>1266</v>
      </c>
      <c r="F1304" s="183" t="s">
        <v>600</v>
      </c>
      <c r="G1304" s="184">
        <v>0.05</v>
      </c>
      <c r="H1304" s="185">
        <v>0.1</v>
      </c>
      <c r="I1304" s="186">
        <v>3293.01</v>
      </c>
      <c r="J1304" s="187">
        <v>181.11555000000001</v>
      </c>
      <c r="K1304" s="182" t="s">
        <v>3512</v>
      </c>
      <c r="L1304" s="182">
        <v>3</v>
      </c>
      <c r="M1304" s="182" t="s">
        <v>3515</v>
      </c>
      <c r="N1304" s="186">
        <v>20</v>
      </c>
      <c r="O1304" s="188">
        <v>0.05</v>
      </c>
      <c r="P1304" s="188" t="s">
        <v>573</v>
      </c>
      <c r="Q1304" s="188">
        <v>0</v>
      </c>
      <c r="R1304" s="189" t="s">
        <v>573</v>
      </c>
      <c r="S1304" s="189" t="s">
        <v>573</v>
      </c>
    </row>
    <row r="1305" spans="1:19" ht="14.25" customHeight="1" x14ac:dyDescent="0.3">
      <c r="A1305" s="182" t="s">
        <v>3508</v>
      </c>
      <c r="B1305" s="182" t="s">
        <v>908</v>
      </c>
      <c r="C1305" s="182" t="s">
        <v>909</v>
      </c>
      <c r="D1305" s="182" t="s">
        <v>915</v>
      </c>
      <c r="E1305" s="183" t="s">
        <v>916</v>
      </c>
      <c r="F1305" s="183" t="s">
        <v>600</v>
      </c>
      <c r="G1305" s="184">
        <v>0.03</v>
      </c>
      <c r="H1305" s="185">
        <v>0.05</v>
      </c>
      <c r="I1305" s="186">
        <v>735.06</v>
      </c>
      <c r="J1305" s="187">
        <v>23.154389999999999</v>
      </c>
      <c r="K1305" s="182" t="s">
        <v>3512</v>
      </c>
      <c r="L1305" s="182">
        <v>4</v>
      </c>
      <c r="M1305" s="182" t="s">
        <v>3516</v>
      </c>
      <c r="N1305" s="186">
        <v>20</v>
      </c>
      <c r="O1305" s="188">
        <v>0.03</v>
      </c>
      <c r="P1305" s="188" t="s">
        <v>573</v>
      </c>
      <c r="Q1305" s="188">
        <v>0</v>
      </c>
      <c r="R1305" s="189" t="s">
        <v>573</v>
      </c>
      <c r="S1305" s="189" t="s">
        <v>573</v>
      </c>
    </row>
    <row r="1306" spans="1:19" ht="14.25" customHeight="1" x14ac:dyDescent="0.3">
      <c r="A1306" s="182" t="s">
        <v>3508</v>
      </c>
      <c r="B1306" s="182" t="s">
        <v>908</v>
      </c>
      <c r="C1306" s="182" t="s">
        <v>909</v>
      </c>
      <c r="D1306" s="182" t="s">
        <v>1898</v>
      </c>
      <c r="E1306" s="183" t="s">
        <v>1899</v>
      </c>
      <c r="F1306" s="183" t="s">
        <v>600</v>
      </c>
      <c r="G1306" s="184">
        <v>5.0000000000000001E-3</v>
      </c>
      <c r="H1306" s="185">
        <v>0.05</v>
      </c>
      <c r="I1306" s="186">
        <v>6678.36</v>
      </c>
      <c r="J1306" s="187">
        <v>35.061390000000003</v>
      </c>
      <c r="K1306" s="182" t="s">
        <v>3512</v>
      </c>
      <c r="L1306" s="182">
        <v>5</v>
      </c>
      <c r="M1306" s="182" t="s">
        <v>3517</v>
      </c>
      <c r="N1306" s="186">
        <v>20</v>
      </c>
      <c r="O1306" s="188">
        <v>5.0000000000000001E-3</v>
      </c>
      <c r="P1306" s="188" t="s">
        <v>573</v>
      </c>
      <c r="Q1306" s="188">
        <v>0</v>
      </c>
      <c r="R1306" s="189" t="s">
        <v>573</v>
      </c>
      <c r="S1306" s="189" t="s">
        <v>573</v>
      </c>
    </row>
    <row r="1307" spans="1:19" ht="14.25" customHeight="1" x14ac:dyDescent="0.3">
      <c r="A1307" s="182" t="s">
        <v>3508</v>
      </c>
      <c r="B1307" s="182" t="s">
        <v>908</v>
      </c>
      <c r="C1307" s="182" t="s">
        <v>909</v>
      </c>
      <c r="D1307" s="182" t="s">
        <v>921</v>
      </c>
      <c r="E1307" s="183" t="s">
        <v>922</v>
      </c>
      <c r="F1307" s="183" t="s">
        <v>600</v>
      </c>
      <c r="G1307" s="184">
        <v>5.0000000000000001E-3</v>
      </c>
      <c r="H1307" s="185">
        <v>0.05</v>
      </c>
      <c r="I1307" s="186">
        <v>5282.24</v>
      </c>
      <c r="J1307" s="187">
        <v>27.731760000000001</v>
      </c>
      <c r="K1307" s="182" t="s">
        <v>3512</v>
      </c>
      <c r="L1307" s="182">
        <v>6</v>
      </c>
      <c r="M1307" s="182" t="s">
        <v>3518</v>
      </c>
      <c r="N1307" s="186">
        <v>20</v>
      </c>
      <c r="O1307" s="188">
        <v>5.0000000000000001E-3</v>
      </c>
      <c r="P1307" s="188" t="s">
        <v>573</v>
      </c>
      <c r="Q1307" s="188">
        <v>0</v>
      </c>
      <c r="R1307" s="189" t="s">
        <v>573</v>
      </c>
      <c r="S1307" s="189" t="s">
        <v>573</v>
      </c>
    </row>
    <row r="1308" spans="1:19" ht="14.25" customHeight="1" x14ac:dyDescent="0.3">
      <c r="A1308" s="182" t="s">
        <v>3508</v>
      </c>
      <c r="B1308" s="182" t="s">
        <v>908</v>
      </c>
      <c r="C1308" s="182" t="s">
        <v>909</v>
      </c>
      <c r="D1308" s="182" t="s">
        <v>1271</v>
      </c>
      <c r="E1308" s="183" t="s">
        <v>1272</v>
      </c>
      <c r="F1308" s="183" t="s">
        <v>600</v>
      </c>
      <c r="G1308" s="184">
        <v>0.01</v>
      </c>
      <c r="H1308" s="185">
        <v>0.05</v>
      </c>
      <c r="I1308" s="186">
        <v>7427.6</v>
      </c>
      <c r="J1308" s="187">
        <v>77.989800000000002</v>
      </c>
      <c r="K1308" s="182" t="s">
        <v>3512</v>
      </c>
      <c r="L1308" s="182">
        <v>7</v>
      </c>
      <c r="M1308" s="182" t="s">
        <v>3519</v>
      </c>
      <c r="N1308" s="186">
        <v>20</v>
      </c>
      <c r="O1308" s="188">
        <v>0.01</v>
      </c>
      <c r="P1308" s="188" t="s">
        <v>573</v>
      </c>
      <c r="Q1308" s="188">
        <v>0</v>
      </c>
      <c r="R1308" s="189" t="s">
        <v>573</v>
      </c>
      <c r="S1308" s="189" t="s">
        <v>573</v>
      </c>
    </row>
    <row r="1309" spans="1:19" ht="14.25" customHeight="1" x14ac:dyDescent="0.3">
      <c r="A1309" s="182" t="s">
        <v>3508</v>
      </c>
      <c r="B1309" s="182" t="s">
        <v>908</v>
      </c>
      <c r="C1309" s="182" t="s">
        <v>909</v>
      </c>
      <c r="D1309" s="182" t="s">
        <v>1274</v>
      </c>
      <c r="E1309" s="183" t="s">
        <v>1275</v>
      </c>
      <c r="F1309" s="183" t="s">
        <v>884</v>
      </c>
      <c r="G1309" s="184">
        <v>1.2500000000000001E-2</v>
      </c>
      <c r="H1309" s="185">
        <v>0.1</v>
      </c>
      <c r="I1309" s="186">
        <v>120622.23</v>
      </c>
      <c r="J1309" s="187">
        <v>1658.5556624999999</v>
      </c>
      <c r="K1309" s="182" t="s">
        <v>3512</v>
      </c>
      <c r="L1309" s="182">
        <v>8</v>
      </c>
      <c r="M1309" s="182" t="s">
        <v>3520</v>
      </c>
      <c r="N1309" s="186">
        <v>20</v>
      </c>
      <c r="O1309" s="188">
        <v>1.2500000000000001E-2</v>
      </c>
      <c r="P1309" s="188" t="s">
        <v>573</v>
      </c>
      <c r="Q1309" s="188">
        <v>0</v>
      </c>
      <c r="R1309" s="189" t="s">
        <v>573</v>
      </c>
      <c r="S1309" s="189" t="s">
        <v>573</v>
      </c>
    </row>
    <row r="1310" spans="1:19" ht="14.25" customHeight="1" x14ac:dyDescent="0.3">
      <c r="A1310" s="182" t="s">
        <v>3508</v>
      </c>
      <c r="B1310" s="182" t="s">
        <v>908</v>
      </c>
      <c r="C1310" s="182" t="s">
        <v>909</v>
      </c>
      <c r="D1310" s="182" t="s">
        <v>1904</v>
      </c>
      <c r="E1310" s="183" t="s">
        <v>1905</v>
      </c>
      <c r="F1310" s="183" t="s">
        <v>884</v>
      </c>
      <c r="G1310" s="184">
        <v>2E-3</v>
      </c>
      <c r="H1310" s="185">
        <v>0.1</v>
      </c>
      <c r="I1310" s="186">
        <v>18735.77</v>
      </c>
      <c r="J1310" s="187">
        <v>41.218693999999999</v>
      </c>
      <c r="K1310" s="182" t="s">
        <v>3512</v>
      </c>
      <c r="L1310" s="182">
        <v>9</v>
      </c>
      <c r="M1310" s="182" t="s">
        <v>3521</v>
      </c>
      <c r="N1310" s="186">
        <v>20</v>
      </c>
      <c r="O1310" s="188">
        <v>2E-3</v>
      </c>
      <c r="P1310" s="188" t="s">
        <v>573</v>
      </c>
      <c r="Q1310" s="188">
        <v>0</v>
      </c>
      <c r="R1310" s="189" t="s">
        <v>573</v>
      </c>
      <c r="S1310" s="189" t="s">
        <v>573</v>
      </c>
    </row>
    <row r="1311" spans="1:19" ht="14.25" customHeight="1" x14ac:dyDescent="0.3">
      <c r="A1311" s="182" t="s">
        <v>3508</v>
      </c>
      <c r="B1311" s="182" t="s">
        <v>908</v>
      </c>
      <c r="C1311" s="182" t="s">
        <v>909</v>
      </c>
      <c r="D1311" s="182" t="s">
        <v>1907</v>
      </c>
      <c r="E1311" s="183" t="s">
        <v>1908</v>
      </c>
      <c r="F1311" s="183" t="s">
        <v>912</v>
      </c>
      <c r="G1311" s="184">
        <v>1E-3</v>
      </c>
      <c r="H1311" s="185">
        <v>0.05</v>
      </c>
      <c r="I1311" s="186">
        <v>9639</v>
      </c>
      <c r="J1311" s="187">
        <v>10.120950000000001</v>
      </c>
      <c r="K1311" s="182" t="s">
        <v>3512</v>
      </c>
      <c r="L1311" s="182">
        <v>10</v>
      </c>
      <c r="M1311" s="182" t="s">
        <v>3522</v>
      </c>
      <c r="N1311" s="186">
        <v>20</v>
      </c>
      <c r="O1311" s="188">
        <v>1E-3</v>
      </c>
      <c r="P1311" s="188" t="s">
        <v>573</v>
      </c>
      <c r="Q1311" s="188">
        <v>0</v>
      </c>
      <c r="R1311" s="189" t="s">
        <v>573</v>
      </c>
      <c r="S1311" s="189" t="s">
        <v>573</v>
      </c>
    </row>
    <row r="1312" spans="1:19" ht="14.25" customHeight="1" x14ac:dyDescent="0.3">
      <c r="A1312" s="182" t="s">
        <v>3508</v>
      </c>
      <c r="B1312" s="182" t="s">
        <v>937</v>
      </c>
      <c r="C1312" s="182" t="s">
        <v>938</v>
      </c>
      <c r="D1312" s="190" t="s">
        <v>944</v>
      </c>
      <c r="E1312" s="183" t="s">
        <v>945</v>
      </c>
      <c r="F1312" s="183" t="s">
        <v>941</v>
      </c>
      <c r="G1312" s="184">
        <v>1</v>
      </c>
      <c r="H1312" s="185">
        <v>0</v>
      </c>
      <c r="I1312" s="186">
        <v>85927.097156571996</v>
      </c>
      <c r="J1312" s="187">
        <v>85927.097156571996</v>
      </c>
      <c r="K1312" s="182" t="s">
        <v>3523</v>
      </c>
      <c r="L1312" s="182">
        <v>1</v>
      </c>
      <c r="M1312" s="182" t="s">
        <v>3524</v>
      </c>
      <c r="N1312" s="186">
        <v>20</v>
      </c>
      <c r="O1312" s="188">
        <v>0.05</v>
      </c>
      <c r="P1312" s="188" t="s">
        <v>573</v>
      </c>
      <c r="Q1312" s="188">
        <v>0</v>
      </c>
      <c r="R1312" s="189" t="s">
        <v>573</v>
      </c>
      <c r="S1312" s="189" t="s">
        <v>573</v>
      </c>
    </row>
    <row r="1313" spans="1:19" ht="14.25" customHeight="1" x14ac:dyDescent="0.3">
      <c r="A1313" s="182" t="s">
        <v>3525</v>
      </c>
      <c r="B1313" s="182" t="s">
        <v>563</v>
      </c>
      <c r="C1313" s="182"/>
      <c r="D1313" s="182" t="s">
        <v>1251</v>
      </c>
      <c r="E1313" s="183" t="s">
        <v>1252</v>
      </c>
      <c r="F1313" s="183"/>
      <c r="G1313" s="184">
        <v>2</v>
      </c>
      <c r="H1313" s="185">
        <v>0</v>
      </c>
      <c r="I1313" s="186">
        <v>1723.6259595547101</v>
      </c>
      <c r="J1313" s="187">
        <v>3447.2519191094202</v>
      </c>
      <c r="K1313" s="182" t="s">
        <v>3526</v>
      </c>
      <c r="L1313" s="182">
        <v>1</v>
      </c>
      <c r="M1313" s="182" t="s">
        <v>3527</v>
      </c>
      <c r="N1313" s="186">
        <v>22</v>
      </c>
      <c r="O1313" s="188">
        <v>2</v>
      </c>
      <c r="P1313" s="188">
        <v>462</v>
      </c>
      <c r="Q1313" s="188">
        <v>924</v>
      </c>
      <c r="R1313" s="189">
        <v>15.03</v>
      </c>
      <c r="S1313" s="189" t="s">
        <v>573</v>
      </c>
    </row>
    <row r="1314" spans="1:19" ht="14.25" customHeight="1" x14ac:dyDescent="0.3">
      <c r="A1314" s="182" t="s">
        <v>3525</v>
      </c>
      <c r="B1314" s="182" t="s">
        <v>563</v>
      </c>
      <c r="C1314" s="182"/>
      <c r="D1314" s="182" t="s">
        <v>1255</v>
      </c>
      <c r="E1314" s="183" t="s">
        <v>1256</v>
      </c>
      <c r="F1314" s="183"/>
      <c r="G1314" s="184">
        <v>2</v>
      </c>
      <c r="H1314" s="185">
        <v>0</v>
      </c>
      <c r="I1314" s="186">
        <v>200.25307946474501</v>
      </c>
      <c r="J1314" s="187">
        <v>400.50615892949003</v>
      </c>
      <c r="K1314" s="182" t="s">
        <v>3526</v>
      </c>
      <c r="L1314" s="182">
        <v>2</v>
      </c>
      <c r="M1314" s="182" t="s">
        <v>3528</v>
      </c>
      <c r="N1314" s="186">
        <v>22</v>
      </c>
      <c r="O1314" s="188">
        <v>2</v>
      </c>
      <c r="P1314" s="188">
        <v>462</v>
      </c>
      <c r="Q1314" s="188">
        <v>924</v>
      </c>
      <c r="R1314" s="189">
        <v>15.03</v>
      </c>
      <c r="S1314" s="189" t="s">
        <v>573</v>
      </c>
    </row>
    <row r="1315" spans="1:19" ht="14.25" customHeight="1" x14ac:dyDescent="0.3">
      <c r="A1315" s="182" t="s">
        <v>3525</v>
      </c>
      <c r="B1315" s="182" t="s">
        <v>908</v>
      </c>
      <c r="C1315" s="182" t="s">
        <v>909</v>
      </c>
      <c r="D1315" s="182" t="s">
        <v>1258</v>
      </c>
      <c r="E1315" s="183" t="s">
        <v>1259</v>
      </c>
      <c r="F1315" s="183" t="s">
        <v>912</v>
      </c>
      <c r="G1315" s="184">
        <v>4.0000000000000001E-3</v>
      </c>
      <c r="H1315" s="185">
        <v>0.05</v>
      </c>
      <c r="I1315" s="186">
        <v>30467.49</v>
      </c>
      <c r="J1315" s="187">
        <v>127.963458</v>
      </c>
      <c r="K1315" s="182" t="s">
        <v>3529</v>
      </c>
      <c r="L1315" s="182">
        <v>1</v>
      </c>
      <c r="M1315" s="182" t="s">
        <v>3530</v>
      </c>
      <c r="N1315" s="186">
        <v>22</v>
      </c>
      <c r="O1315" s="188">
        <v>4.0000000000000001E-3</v>
      </c>
      <c r="P1315" s="188">
        <v>462</v>
      </c>
      <c r="Q1315" s="188">
        <v>1.8480000000000001</v>
      </c>
      <c r="R1315" s="189">
        <v>15.03</v>
      </c>
      <c r="S1315" s="189" t="s">
        <v>573</v>
      </c>
    </row>
    <row r="1316" spans="1:19" ht="14.25" customHeight="1" x14ac:dyDescent="0.3">
      <c r="A1316" s="182" t="s">
        <v>3525</v>
      </c>
      <c r="B1316" s="182" t="s">
        <v>908</v>
      </c>
      <c r="C1316" s="182" t="s">
        <v>909</v>
      </c>
      <c r="D1316" s="182" t="s">
        <v>1262</v>
      </c>
      <c r="E1316" s="183" t="s">
        <v>1263</v>
      </c>
      <c r="F1316" s="183" t="s">
        <v>600</v>
      </c>
      <c r="G1316" s="184">
        <v>2.5000000000000001E-2</v>
      </c>
      <c r="H1316" s="185">
        <v>0.05</v>
      </c>
      <c r="I1316" s="186">
        <v>5661.4</v>
      </c>
      <c r="J1316" s="187">
        <v>148.61175</v>
      </c>
      <c r="K1316" s="182" t="s">
        <v>3529</v>
      </c>
      <c r="L1316" s="182">
        <v>2</v>
      </c>
      <c r="M1316" s="182" t="s">
        <v>3531</v>
      </c>
      <c r="N1316" s="186">
        <v>22</v>
      </c>
      <c r="O1316" s="188">
        <v>2.5000000000000001E-2</v>
      </c>
      <c r="P1316" s="188">
        <v>462</v>
      </c>
      <c r="Q1316" s="188">
        <v>11.55</v>
      </c>
      <c r="R1316" s="189">
        <v>15.03</v>
      </c>
      <c r="S1316" s="189" t="s">
        <v>573</v>
      </c>
    </row>
    <row r="1317" spans="1:19" ht="14.25" customHeight="1" x14ac:dyDescent="0.3">
      <c r="A1317" s="182" t="s">
        <v>3525</v>
      </c>
      <c r="B1317" s="182" t="s">
        <v>908</v>
      </c>
      <c r="C1317" s="182" t="s">
        <v>909</v>
      </c>
      <c r="D1317" s="182" t="s">
        <v>1265</v>
      </c>
      <c r="E1317" s="183" t="s">
        <v>1266</v>
      </c>
      <c r="F1317" s="183" t="s">
        <v>600</v>
      </c>
      <c r="G1317" s="184">
        <v>0.05</v>
      </c>
      <c r="H1317" s="185">
        <v>0.1</v>
      </c>
      <c r="I1317" s="186">
        <v>3293.01</v>
      </c>
      <c r="J1317" s="187">
        <v>181.11555000000001</v>
      </c>
      <c r="K1317" s="182" t="s">
        <v>3529</v>
      </c>
      <c r="L1317" s="182">
        <v>3</v>
      </c>
      <c r="M1317" s="182" t="s">
        <v>3532</v>
      </c>
      <c r="N1317" s="186">
        <v>22</v>
      </c>
      <c r="O1317" s="188">
        <v>0.05</v>
      </c>
      <c r="P1317" s="188">
        <v>462</v>
      </c>
      <c r="Q1317" s="188">
        <v>23.1</v>
      </c>
      <c r="R1317" s="189">
        <v>15.03</v>
      </c>
      <c r="S1317" s="189" t="s">
        <v>573</v>
      </c>
    </row>
    <row r="1318" spans="1:19" ht="14.25" customHeight="1" x14ac:dyDescent="0.3">
      <c r="A1318" s="182" t="s">
        <v>3525</v>
      </c>
      <c r="B1318" s="182" t="s">
        <v>908</v>
      </c>
      <c r="C1318" s="182" t="s">
        <v>909</v>
      </c>
      <c r="D1318" s="182" t="s">
        <v>915</v>
      </c>
      <c r="E1318" s="183" t="s">
        <v>916</v>
      </c>
      <c r="F1318" s="183" t="s">
        <v>600</v>
      </c>
      <c r="G1318" s="184">
        <v>0.03</v>
      </c>
      <c r="H1318" s="185">
        <v>0.05</v>
      </c>
      <c r="I1318" s="186">
        <v>735.06</v>
      </c>
      <c r="J1318" s="187">
        <v>23.154389999999999</v>
      </c>
      <c r="K1318" s="182" t="s">
        <v>3529</v>
      </c>
      <c r="L1318" s="182">
        <v>4</v>
      </c>
      <c r="M1318" s="182" t="s">
        <v>3533</v>
      </c>
      <c r="N1318" s="186">
        <v>22</v>
      </c>
      <c r="O1318" s="188">
        <v>0.03</v>
      </c>
      <c r="P1318" s="188">
        <v>462</v>
      </c>
      <c r="Q1318" s="188">
        <v>13.86</v>
      </c>
      <c r="R1318" s="189">
        <v>15.03</v>
      </c>
      <c r="S1318" s="189" t="s">
        <v>573</v>
      </c>
    </row>
    <row r="1319" spans="1:19" ht="14.25" customHeight="1" x14ac:dyDescent="0.3">
      <c r="A1319" s="182" t="s">
        <v>3525</v>
      </c>
      <c r="B1319" s="182" t="s">
        <v>908</v>
      </c>
      <c r="C1319" s="182" t="s">
        <v>909</v>
      </c>
      <c r="D1319" s="182" t="s">
        <v>1898</v>
      </c>
      <c r="E1319" s="183" t="s">
        <v>1899</v>
      </c>
      <c r="F1319" s="183" t="s">
        <v>600</v>
      </c>
      <c r="G1319" s="184">
        <v>5.0000000000000001E-3</v>
      </c>
      <c r="H1319" s="185">
        <v>0.05</v>
      </c>
      <c r="I1319" s="186">
        <v>6678.36</v>
      </c>
      <c r="J1319" s="187">
        <v>35.061390000000003</v>
      </c>
      <c r="K1319" s="182" t="s">
        <v>3529</v>
      </c>
      <c r="L1319" s="182">
        <v>5</v>
      </c>
      <c r="M1319" s="182" t="s">
        <v>3534</v>
      </c>
      <c r="N1319" s="186">
        <v>22</v>
      </c>
      <c r="O1319" s="188">
        <v>5.0000000000000001E-3</v>
      </c>
      <c r="P1319" s="188">
        <v>462</v>
      </c>
      <c r="Q1319" s="188">
        <v>2.31</v>
      </c>
      <c r="R1319" s="189">
        <v>15.03</v>
      </c>
      <c r="S1319" s="189" t="s">
        <v>573</v>
      </c>
    </row>
    <row r="1320" spans="1:19" ht="14.25" customHeight="1" x14ac:dyDescent="0.3">
      <c r="A1320" s="182" t="s">
        <v>3525</v>
      </c>
      <c r="B1320" s="182" t="s">
        <v>908</v>
      </c>
      <c r="C1320" s="182" t="s">
        <v>909</v>
      </c>
      <c r="D1320" s="182" t="s">
        <v>921</v>
      </c>
      <c r="E1320" s="183" t="s">
        <v>922</v>
      </c>
      <c r="F1320" s="183" t="s">
        <v>600</v>
      </c>
      <c r="G1320" s="184">
        <v>5.0000000000000001E-3</v>
      </c>
      <c r="H1320" s="185">
        <v>0.05</v>
      </c>
      <c r="I1320" s="186">
        <v>5282.24</v>
      </c>
      <c r="J1320" s="187">
        <v>27.731760000000001</v>
      </c>
      <c r="K1320" s="182" t="s">
        <v>3529</v>
      </c>
      <c r="L1320" s="182">
        <v>6</v>
      </c>
      <c r="M1320" s="182" t="s">
        <v>3535</v>
      </c>
      <c r="N1320" s="186">
        <v>22</v>
      </c>
      <c r="O1320" s="188">
        <v>5.0000000000000001E-3</v>
      </c>
      <c r="P1320" s="188">
        <v>462</v>
      </c>
      <c r="Q1320" s="188">
        <v>2.31</v>
      </c>
      <c r="R1320" s="189">
        <v>15.03</v>
      </c>
      <c r="S1320" s="189" t="s">
        <v>573</v>
      </c>
    </row>
    <row r="1321" spans="1:19" ht="14.25" customHeight="1" x14ac:dyDescent="0.3">
      <c r="A1321" s="182" t="s">
        <v>3525</v>
      </c>
      <c r="B1321" s="182" t="s">
        <v>908</v>
      </c>
      <c r="C1321" s="182" t="s">
        <v>909</v>
      </c>
      <c r="D1321" s="182" t="s">
        <v>1271</v>
      </c>
      <c r="E1321" s="183" t="s">
        <v>1272</v>
      </c>
      <c r="F1321" s="183" t="s">
        <v>600</v>
      </c>
      <c r="G1321" s="184">
        <v>0.01</v>
      </c>
      <c r="H1321" s="185">
        <v>0.05</v>
      </c>
      <c r="I1321" s="186">
        <v>7427.6</v>
      </c>
      <c r="J1321" s="187">
        <v>77.989800000000002</v>
      </c>
      <c r="K1321" s="182" t="s">
        <v>3529</v>
      </c>
      <c r="L1321" s="182">
        <v>7</v>
      </c>
      <c r="M1321" s="182" t="s">
        <v>3536</v>
      </c>
      <c r="N1321" s="186">
        <v>22</v>
      </c>
      <c r="O1321" s="188">
        <v>0.01</v>
      </c>
      <c r="P1321" s="188">
        <v>462</v>
      </c>
      <c r="Q1321" s="188">
        <v>4.62</v>
      </c>
      <c r="R1321" s="189">
        <v>15.03</v>
      </c>
      <c r="S1321" s="189" t="s">
        <v>573</v>
      </c>
    </row>
    <row r="1322" spans="1:19" ht="14.25" customHeight="1" x14ac:dyDescent="0.3">
      <c r="A1322" s="182" t="s">
        <v>3525</v>
      </c>
      <c r="B1322" s="182" t="s">
        <v>908</v>
      </c>
      <c r="C1322" s="182" t="s">
        <v>909</v>
      </c>
      <c r="D1322" s="182" t="s">
        <v>1274</v>
      </c>
      <c r="E1322" s="183" t="s">
        <v>1275</v>
      </c>
      <c r="F1322" s="183" t="s">
        <v>884</v>
      </c>
      <c r="G1322" s="184">
        <v>1.2500000000000001E-2</v>
      </c>
      <c r="H1322" s="185">
        <v>0.1</v>
      </c>
      <c r="I1322" s="186">
        <v>120622.23</v>
      </c>
      <c r="J1322" s="187">
        <v>1658.5556624999999</v>
      </c>
      <c r="K1322" s="182" t="s">
        <v>3529</v>
      </c>
      <c r="L1322" s="182">
        <v>8</v>
      </c>
      <c r="M1322" s="182" t="s">
        <v>3537</v>
      </c>
      <c r="N1322" s="186">
        <v>22</v>
      </c>
      <c r="O1322" s="188">
        <v>1.2500000000000001E-2</v>
      </c>
      <c r="P1322" s="188">
        <v>462</v>
      </c>
      <c r="Q1322" s="188">
        <v>5.7750000000000004</v>
      </c>
      <c r="R1322" s="189">
        <v>15.03</v>
      </c>
      <c r="S1322" s="189" t="s">
        <v>573</v>
      </c>
    </row>
    <row r="1323" spans="1:19" ht="14.25" customHeight="1" x14ac:dyDescent="0.3">
      <c r="A1323" s="182" t="s">
        <v>3525</v>
      </c>
      <c r="B1323" s="182" t="s">
        <v>908</v>
      </c>
      <c r="C1323" s="182" t="s">
        <v>909</v>
      </c>
      <c r="D1323" s="182" t="s">
        <v>1904</v>
      </c>
      <c r="E1323" s="183" t="s">
        <v>1905</v>
      </c>
      <c r="F1323" s="183" t="s">
        <v>884</v>
      </c>
      <c r="G1323" s="184">
        <v>0.03</v>
      </c>
      <c r="H1323" s="185">
        <v>0.1</v>
      </c>
      <c r="I1323" s="186">
        <v>18735.77</v>
      </c>
      <c r="J1323" s="187">
        <v>618.28040999999996</v>
      </c>
      <c r="K1323" s="182" t="s">
        <v>3529</v>
      </c>
      <c r="L1323" s="182">
        <v>9</v>
      </c>
      <c r="M1323" s="182" t="s">
        <v>3538</v>
      </c>
      <c r="N1323" s="186">
        <v>22</v>
      </c>
      <c r="O1323" s="188">
        <v>0.03</v>
      </c>
      <c r="P1323" s="188">
        <v>462</v>
      </c>
      <c r="Q1323" s="188">
        <v>13.86</v>
      </c>
      <c r="R1323" s="189">
        <v>15.03</v>
      </c>
      <c r="S1323" s="189" t="s">
        <v>573</v>
      </c>
    </row>
    <row r="1324" spans="1:19" ht="14.25" customHeight="1" x14ac:dyDescent="0.3">
      <c r="A1324" s="182" t="s">
        <v>3525</v>
      </c>
      <c r="B1324" s="182" t="s">
        <v>908</v>
      </c>
      <c r="C1324" s="182" t="s">
        <v>909</v>
      </c>
      <c r="D1324" s="182" t="s">
        <v>1907</v>
      </c>
      <c r="E1324" s="183" t="s">
        <v>1908</v>
      </c>
      <c r="F1324" s="183" t="s">
        <v>912</v>
      </c>
      <c r="G1324" s="184">
        <v>2.5000000000000001E-3</v>
      </c>
      <c r="H1324" s="185">
        <v>0.05</v>
      </c>
      <c r="I1324" s="186">
        <v>9639</v>
      </c>
      <c r="J1324" s="187">
        <v>25.302375000000001</v>
      </c>
      <c r="K1324" s="182" t="s">
        <v>3529</v>
      </c>
      <c r="L1324" s="182">
        <v>10</v>
      </c>
      <c r="M1324" s="182" t="s">
        <v>3539</v>
      </c>
      <c r="N1324" s="186">
        <v>22</v>
      </c>
      <c r="O1324" s="188">
        <v>2.5000000000000001E-3</v>
      </c>
      <c r="P1324" s="188">
        <v>462</v>
      </c>
      <c r="Q1324" s="188">
        <v>1.155</v>
      </c>
      <c r="R1324" s="189">
        <v>15.03</v>
      </c>
      <c r="S1324" s="189" t="s">
        <v>573</v>
      </c>
    </row>
    <row r="1325" spans="1:19" ht="14.25" customHeight="1" x14ac:dyDescent="0.3">
      <c r="A1325" s="182" t="s">
        <v>3525</v>
      </c>
      <c r="B1325" s="182" t="s">
        <v>937</v>
      </c>
      <c r="C1325" s="182" t="s">
        <v>938</v>
      </c>
      <c r="D1325" s="190" t="s">
        <v>1291</v>
      </c>
      <c r="E1325" s="183" t="s">
        <v>1292</v>
      </c>
      <c r="F1325" s="183" t="s">
        <v>941</v>
      </c>
      <c r="G1325" s="184">
        <v>1.25</v>
      </c>
      <c r="H1325" s="185">
        <v>0</v>
      </c>
      <c r="I1325" s="186">
        <v>65493.071636572</v>
      </c>
      <c r="J1325" s="187">
        <v>81866.339545715004</v>
      </c>
      <c r="K1325" s="182" t="s">
        <v>3540</v>
      </c>
      <c r="L1325" s="182">
        <v>1</v>
      </c>
      <c r="M1325" s="182" t="s">
        <v>3541</v>
      </c>
      <c r="N1325" s="186">
        <v>22</v>
      </c>
      <c r="O1325" s="188">
        <v>5.6818181818181802E-2</v>
      </c>
      <c r="P1325" s="188">
        <v>462</v>
      </c>
      <c r="Q1325" s="188">
        <v>26.25</v>
      </c>
      <c r="R1325" s="189">
        <v>15.03</v>
      </c>
      <c r="S1325" s="189" t="s">
        <v>573</v>
      </c>
    </row>
    <row r="1326" spans="1:19" ht="14.25" customHeight="1" x14ac:dyDescent="0.3">
      <c r="A1326" s="182" t="s">
        <v>3525</v>
      </c>
      <c r="B1326" s="182" t="s">
        <v>937</v>
      </c>
      <c r="C1326" s="182" t="s">
        <v>938</v>
      </c>
      <c r="D1326" s="190" t="s">
        <v>944</v>
      </c>
      <c r="E1326" s="183" t="s">
        <v>945</v>
      </c>
      <c r="F1326" s="183" t="s">
        <v>941</v>
      </c>
      <c r="G1326" s="184">
        <v>1</v>
      </c>
      <c r="H1326" s="185">
        <v>0</v>
      </c>
      <c r="I1326" s="186">
        <v>85927.097156571996</v>
      </c>
      <c r="J1326" s="187">
        <v>85927.097156571996</v>
      </c>
      <c r="K1326" s="182" t="s">
        <v>3540</v>
      </c>
      <c r="L1326" s="182">
        <v>2</v>
      </c>
      <c r="M1326" s="182" t="s">
        <v>3542</v>
      </c>
      <c r="N1326" s="186">
        <v>22</v>
      </c>
      <c r="O1326" s="188">
        <v>4.5454545454545497E-2</v>
      </c>
      <c r="P1326" s="188">
        <v>462</v>
      </c>
      <c r="Q1326" s="188">
        <v>21</v>
      </c>
      <c r="R1326" s="189">
        <v>15.03</v>
      </c>
      <c r="S1326" s="189" t="s">
        <v>573</v>
      </c>
    </row>
    <row r="1327" spans="1:19" ht="14.25" customHeight="1" x14ac:dyDescent="0.3">
      <c r="A1327" s="182" t="s">
        <v>3543</v>
      </c>
      <c r="B1327" s="182" t="s">
        <v>563</v>
      </c>
      <c r="C1327" s="182"/>
      <c r="D1327" s="182" t="s">
        <v>1251</v>
      </c>
      <c r="E1327" s="183" t="s">
        <v>1252</v>
      </c>
      <c r="F1327" s="183"/>
      <c r="G1327" s="184">
        <v>1</v>
      </c>
      <c r="H1327" s="185">
        <v>0</v>
      </c>
      <c r="I1327" s="186">
        <v>1723.6259595547101</v>
      </c>
      <c r="J1327" s="187">
        <v>1723.6259595547101</v>
      </c>
      <c r="K1327" s="182" t="s">
        <v>3544</v>
      </c>
      <c r="L1327" s="182">
        <v>1</v>
      </c>
      <c r="M1327" s="182" t="s">
        <v>3545</v>
      </c>
      <c r="N1327" s="186">
        <v>25</v>
      </c>
      <c r="O1327" s="188">
        <v>1</v>
      </c>
      <c r="P1327" s="188">
        <v>144</v>
      </c>
      <c r="Q1327" s="188">
        <v>144</v>
      </c>
      <c r="R1327" s="189">
        <v>15.04</v>
      </c>
      <c r="S1327" s="189" t="s">
        <v>573</v>
      </c>
    </row>
    <row r="1328" spans="1:19" ht="14.25" customHeight="1" x14ac:dyDescent="0.3">
      <c r="A1328" s="182" t="s">
        <v>3543</v>
      </c>
      <c r="B1328" s="182" t="s">
        <v>563</v>
      </c>
      <c r="C1328" s="182"/>
      <c r="D1328" s="182" t="s">
        <v>1255</v>
      </c>
      <c r="E1328" s="183" t="s">
        <v>1256</v>
      </c>
      <c r="F1328" s="183"/>
      <c r="G1328" s="184">
        <v>1</v>
      </c>
      <c r="H1328" s="185">
        <v>0</v>
      </c>
      <c r="I1328" s="186">
        <v>200.25307946474501</v>
      </c>
      <c r="J1328" s="187">
        <v>200.25307946474501</v>
      </c>
      <c r="K1328" s="182" t="s">
        <v>3544</v>
      </c>
      <c r="L1328" s="182">
        <v>2</v>
      </c>
      <c r="M1328" s="182" t="s">
        <v>3546</v>
      </c>
      <c r="N1328" s="186">
        <v>25</v>
      </c>
      <c r="O1328" s="188">
        <v>1</v>
      </c>
      <c r="P1328" s="188">
        <v>144</v>
      </c>
      <c r="Q1328" s="188">
        <v>144</v>
      </c>
      <c r="R1328" s="189">
        <v>15.04</v>
      </c>
      <c r="S1328" s="189" t="s">
        <v>573</v>
      </c>
    </row>
    <row r="1329" spans="1:19" ht="14.25" customHeight="1" x14ac:dyDescent="0.3">
      <c r="A1329" s="182" t="s">
        <v>3543</v>
      </c>
      <c r="B1329" s="182" t="s">
        <v>908</v>
      </c>
      <c r="C1329" s="182" t="s">
        <v>909</v>
      </c>
      <c r="D1329" s="182" t="s">
        <v>1258</v>
      </c>
      <c r="E1329" s="183" t="s">
        <v>1259</v>
      </c>
      <c r="F1329" s="183" t="s">
        <v>912</v>
      </c>
      <c r="G1329" s="184">
        <v>4.0000000000000001E-3</v>
      </c>
      <c r="H1329" s="185">
        <v>0.05</v>
      </c>
      <c r="I1329" s="186">
        <v>30467.49</v>
      </c>
      <c r="J1329" s="187">
        <v>127.963458</v>
      </c>
      <c r="K1329" s="182" t="s">
        <v>3547</v>
      </c>
      <c r="L1329" s="182">
        <v>1</v>
      </c>
      <c r="M1329" s="182" t="s">
        <v>3548</v>
      </c>
      <c r="N1329" s="186">
        <v>25</v>
      </c>
      <c r="O1329" s="188">
        <v>4.0000000000000001E-3</v>
      </c>
      <c r="P1329" s="188">
        <v>144</v>
      </c>
      <c r="Q1329" s="188">
        <v>0.57599999999999996</v>
      </c>
      <c r="R1329" s="189">
        <v>15.04</v>
      </c>
      <c r="S1329" s="189" t="s">
        <v>573</v>
      </c>
    </row>
    <row r="1330" spans="1:19" ht="14.25" customHeight="1" x14ac:dyDescent="0.3">
      <c r="A1330" s="182" t="s">
        <v>3543</v>
      </c>
      <c r="B1330" s="182" t="s">
        <v>908</v>
      </c>
      <c r="C1330" s="182" t="s">
        <v>909</v>
      </c>
      <c r="D1330" s="182" t="s">
        <v>1265</v>
      </c>
      <c r="E1330" s="183" t="s">
        <v>1266</v>
      </c>
      <c r="F1330" s="183" t="s">
        <v>600</v>
      </c>
      <c r="G1330" s="184">
        <v>0.05</v>
      </c>
      <c r="H1330" s="185">
        <v>0.1</v>
      </c>
      <c r="I1330" s="186">
        <v>3293.01</v>
      </c>
      <c r="J1330" s="187">
        <v>181.11555000000001</v>
      </c>
      <c r="K1330" s="182" t="s">
        <v>3547</v>
      </c>
      <c r="L1330" s="182">
        <v>2</v>
      </c>
      <c r="M1330" s="182" t="s">
        <v>3549</v>
      </c>
      <c r="N1330" s="186">
        <v>25</v>
      </c>
      <c r="O1330" s="188">
        <v>0.05</v>
      </c>
      <c r="P1330" s="188">
        <v>144</v>
      </c>
      <c r="Q1330" s="188">
        <v>7.2</v>
      </c>
      <c r="R1330" s="189">
        <v>15.04</v>
      </c>
      <c r="S1330" s="189" t="s">
        <v>573</v>
      </c>
    </row>
    <row r="1331" spans="1:19" ht="14.25" customHeight="1" x14ac:dyDescent="0.3">
      <c r="A1331" s="182" t="s">
        <v>3543</v>
      </c>
      <c r="B1331" s="182" t="s">
        <v>908</v>
      </c>
      <c r="C1331" s="182" t="s">
        <v>909</v>
      </c>
      <c r="D1331" s="182" t="s">
        <v>915</v>
      </c>
      <c r="E1331" s="183" t="s">
        <v>916</v>
      </c>
      <c r="F1331" s="183" t="s">
        <v>600</v>
      </c>
      <c r="G1331" s="184">
        <v>0.03</v>
      </c>
      <c r="H1331" s="185">
        <v>0.05</v>
      </c>
      <c r="I1331" s="186">
        <v>735.06</v>
      </c>
      <c r="J1331" s="187">
        <v>23.154389999999999</v>
      </c>
      <c r="K1331" s="182" t="s">
        <v>3547</v>
      </c>
      <c r="L1331" s="182">
        <v>3</v>
      </c>
      <c r="M1331" s="182" t="s">
        <v>3550</v>
      </c>
      <c r="N1331" s="186">
        <v>25</v>
      </c>
      <c r="O1331" s="188">
        <v>0.03</v>
      </c>
      <c r="P1331" s="188">
        <v>144</v>
      </c>
      <c r="Q1331" s="188">
        <v>4.32</v>
      </c>
      <c r="R1331" s="189">
        <v>15.04</v>
      </c>
      <c r="S1331" s="189" t="s">
        <v>573</v>
      </c>
    </row>
    <row r="1332" spans="1:19" ht="14.25" customHeight="1" x14ac:dyDescent="0.3">
      <c r="A1332" s="182" t="s">
        <v>3543</v>
      </c>
      <c r="B1332" s="182" t="s">
        <v>908</v>
      </c>
      <c r="C1332" s="182" t="s">
        <v>909</v>
      </c>
      <c r="D1332" s="182" t="s">
        <v>1898</v>
      </c>
      <c r="E1332" s="183" t="s">
        <v>1899</v>
      </c>
      <c r="F1332" s="183" t="s">
        <v>600</v>
      </c>
      <c r="G1332" s="184">
        <v>5.0000000000000001E-3</v>
      </c>
      <c r="H1332" s="185">
        <v>0.05</v>
      </c>
      <c r="I1332" s="186">
        <v>6678.36</v>
      </c>
      <c r="J1332" s="187">
        <v>35.061390000000003</v>
      </c>
      <c r="K1332" s="182" t="s">
        <v>3547</v>
      </c>
      <c r="L1332" s="182">
        <v>4</v>
      </c>
      <c r="M1332" s="182" t="s">
        <v>3551</v>
      </c>
      <c r="N1332" s="186">
        <v>25</v>
      </c>
      <c r="O1332" s="188">
        <v>5.0000000000000001E-3</v>
      </c>
      <c r="P1332" s="188">
        <v>144</v>
      </c>
      <c r="Q1332" s="188">
        <v>0.72</v>
      </c>
      <c r="R1332" s="189">
        <v>15.04</v>
      </c>
      <c r="S1332" s="189" t="s">
        <v>573</v>
      </c>
    </row>
    <row r="1333" spans="1:19" ht="14.25" customHeight="1" x14ac:dyDescent="0.3">
      <c r="A1333" s="182" t="s">
        <v>3543</v>
      </c>
      <c r="B1333" s="182" t="s">
        <v>908</v>
      </c>
      <c r="C1333" s="182" t="s">
        <v>909</v>
      </c>
      <c r="D1333" s="182" t="s">
        <v>921</v>
      </c>
      <c r="E1333" s="183" t="s">
        <v>922</v>
      </c>
      <c r="F1333" s="183" t="s">
        <v>600</v>
      </c>
      <c r="G1333" s="184">
        <v>5.0000000000000001E-3</v>
      </c>
      <c r="H1333" s="185">
        <v>0.05</v>
      </c>
      <c r="I1333" s="186">
        <v>5282.24</v>
      </c>
      <c r="J1333" s="187">
        <v>27.731760000000001</v>
      </c>
      <c r="K1333" s="182" t="s">
        <v>3547</v>
      </c>
      <c r="L1333" s="182">
        <v>5</v>
      </c>
      <c r="M1333" s="182" t="s">
        <v>3552</v>
      </c>
      <c r="N1333" s="186">
        <v>25</v>
      </c>
      <c r="O1333" s="188">
        <v>5.0000000000000001E-3</v>
      </c>
      <c r="P1333" s="188">
        <v>144</v>
      </c>
      <c r="Q1333" s="188">
        <v>0.72</v>
      </c>
      <c r="R1333" s="189">
        <v>15.04</v>
      </c>
      <c r="S1333" s="189" t="s">
        <v>573</v>
      </c>
    </row>
    <row r="1334" spans="1:19" ht="14.25" customHeight="1" x14ac:dyDescent="0.3">
      <c r="A1334" s="182" t="s">
        <v>3543</v>
      </c>
      <c r="B1334" s="182" t="s">
        <v>908</v>
      </c>
      <c r="C1334" s="182" t="s">
        <v>909</v>
      </c>
      <c r="D1334" s="182" t="s">
        <v>1271</v>
      </c>
      <c r="E1334" s="183" t="s">
        <v>1272</v>
      </c>
      <c r="F1334" s="183" t="s">
        <v>600</v>
      </c>
      <c r="G1334" s="184">
        <v>0.01</v>
      </c>
      <c r="H1334" s="185">
        <v>0.05</v>
      </c>
      <c r="I1334" s="186">
        <v>7427.6</v>
      </c>
      <c r="J1334" s="187">
        <v>77.989800000000002</v>
      </c>
      <c r="K1334" s="182" t="s">
        <v>3547</v>
      </c>
      <c r="L1334" s="182">
        <v>6</v>
      </c>
      <c r="M1334" s="182" t="s">
        <v>3553</v>
      </c>
      <c r="N1334" s="186">
        <v>25</v>
      </c>
      <c r="O1334" s="188">
        <v>0.01</v>
      </c>
      <c r="P1334" s="188">
        <v>144</v>
      </c>
      <c r="Q1334" s="188">
        <v>1.44</v>
      </c>
      <c r="R1334" s="189">
        <v>15.04</v>
      </c>
      <c r="S1334" s="189" t="s">
        <v>573</v>
      </c>
    </row>
    <row r="1335" spans="1:19" ht="14.25" customHeight="1" x14ac:dyDescent="0.3">
      <c r="A1335" s="182" t="s">
        <v>3543</v>
      </c>
      <c r="B1335" s="182" t="s">
        <v>908</v>
      </c>
      <c r="C1335" s="182" t="s">
        <v>909</v>
      </c>
      <c r="D1335" s="182" t="s">
        <v>1274</v>
      </c>
      <c r="E1335" s="183" t="s">
        <v>1275</v>
      </c>
      <c r="F1335" s="183" t="s">
        <v>884</v>
      </c>
      <c r="G1335" s="184">
        <v>1.2500000000000001E-2</v>
      </c>
      <c r="H1335" s="185">
        <v>0.1</v>
      </c>
      <c r="I1335" s="186">
        <v>120622.23</v>
      </c>
      <c r="J1335" s="187">
        <v>1658.5556624999999</v>
      </c>
      <c r="K1335" s="182" t="s">
        <v>3547</v>
      </c>
      <c r="L1335" s="182">
        <v>7</v>
      </c>
      <c r="M1335" s="182" t="s">
        <v>3554</v>
      </c>
      <c r="N1335" s="186">
        <v>25</v>
      </c>
      <c r="O1335" s="188">
        <v>1.2500000000000001E-2</v>
      </c>
      <c r="P1335" s="188">
        <v>144</v>
      </c>
      <c r="Q1335" s="188">
        <v>1.8</v>
      </c>
      <c r="R1335" s="189">
        <v>15.04</v>
      </c>
      <c r="S1335" s="189" t="s">
        <v>573</v>
      </c>
    </row>
    <row r="1336" spans="1:19" ht="14.25" customHeight="1" x14ac:dyDescent="0.3">
      <c r="A1336" s="182" t="s">
        <v>3543</v>
      </c>
      <c r="B1336" s="182" t="s">
        <v>908</v>
      </c>
      <c r="C1336" s="182" t="s">
        <v>909</v>
      </c>
      <c r="D1336" s="182" t="s">
        <v>1907</v>
      </c>
      <c r="E1336" s="183" t="s">
        <v>1908</v>
      </c>
      <c r="F1336" s="183" t="s">
        <v>912</v>
      </c>
      <c r="G1336" s="184">
        <v>1E-3</v>
      </c>
      <c r="H1336" s="185">
        <v>0.05</v>
      </c>
      <c r="I1336" s="186">
        <v>9639</v>
      </c>
      <c r="J1336" s="187">
        <v>10.120950000000001</v>
      </c>
      <c r="K1336" s="182" t="s">
        <v>3547</v>
      </c>
      <c r="L1336" s="182">
        <v>8</v>
      </c>
      <c r="M1336" s="182" t="s">
        <v>3555</v>
      </c>
      <c r="N1336" s="186">
        <v>25</v>
      </c>
      <c r="O1336" s="188">
        <v>1E-3</v>
      </c>
      <c r="P1336" s="188">
        <v>144</v>
      </c>
      <c r="Q1336" s="188">
        <v>0.14399999999999999</v>
      </c>
      <c r="R1336" s="189">
        <v>15.04</v>
      </c>
      <c r="S1336" s="189" t="s">
        <v>573</v>
      </c>
    </row>
    <row r="1337" spans="1:19" ht="14.25" customHeight="1" x14ac:dyDescent="0.3">
      <c r="A1337" s="182" t="s">
        <v>3543</v>
      </c>
      <c r="B1337" s="182" t="s">
        <v>937</v>
      </c>
      <c r="C1337" s="182" t="s">
        <v>938</v>
      </c>
      <c r="D1337" s="190" t="s">
        <v>944</v>
      </c>
      <c r="E1337" s="183" t="s">
        <v>945</v>
      </c>
      <c r="F1337" s="183" t="s">
        <v>941</v>
      </c>
      <c r="G1337" s="184">
        <v>1</v>
      </c>
      <c r="H1337" s="185">
        <v>0</v>
      </c>
      <c r="I1337" s="186">
        <v>85927.097156571996</v>
      </c>
      <c r="J1337" s="187">
        <v>85927.097156571996</v>
      </c>
      <c r="K1337" s="182" t="s">
        <v>3556</v>
      </c>
      <c r="L1337" s="182">
        <v>1</v>
      </c>
      <c r="M1337" s="182" t="s">
        <v>3557</v>
      </c>
      <c r="N1337" s="186">
        <v>25</v>
      </c>
      <c r="O1337" s="188">
        <v>0.04</v>
      </c>
      <c r="P1337" s="188">
        <v>144</v>
      </c>
      <c r="Q1337" s="188">
        <v>5.76</v>
      </c>
      <c r="R1337" s="189">
        <v>15.04</v>
      </c>
      <c r="S1337" s="189" t="s">
        <v>573</v>
      </c>
    </row>
    <row r="1338" spans="1:19" ht="14.25" customHeight="1" x14ac:dyDescent="0.3">
      <c r="A1338" s="182" t="s">
        <v>3558</v>
      </c>
      <c r="B1338" s="182" t="s">
        <v>563</v>
      </c>
      <c r="C1338" s="182"/>
      <c r="D1338" s="182" t="s">
        <v>1251</v>
      </c>
      <c r="E1338" s="183" t="s">
        <v>1252</v>
      </c>
      <c r="F1338" s="183"/>
      <c r="G1338" s="184">
        <v>1</v>
      </c>
      <c r="H1338" s="185">
        <v>0</v>
      </c>
      <c r="I1338" s="186">
        <v>1723.6259595547101</v>
      </c>
      <c r="J1338" s="187">
        <v>1723.6259595547101</v>
      </c>
      <c r="K1338" s="182" t="s">
        <v>3559</v>
      </c>
      <c r="L1338" s="182">
        <v>1</v>
      </c>
      <c r="M1338" s="182" t="s">
        <v>3560</v>
      </c>
      <c r="N1338" s="186">
        <v>20</v>
      </c>
      <c r="O1338" s="188">
        <v>1</v>
      </c>
      <c r="P1338" s="188" t="s">
        <v>573</v>
      </c>
      <c r="Q1338" s="188">
        <v>0</v>
      </c>
      <c r="R1338" s="189" t="s">
        <v>573</v>
      </c>
      <c r="S1338" s="189" t="s">
        <v>573</v>
      </c>
    </row>
    <row r="1339" spans="1:19" ht="14.25" customHeight="1" x14ac:dyDescent="0.3">
      <c r="A1339" s="182" t="s">
        <v>3558</v>
      </c>
      <c r="B1339" s="182" t="s">
        <v>563</v>
      </c>
      <c r="C1339" s="182"/>
      <c r="D1339" s="182" t="s">
        <v>1255</v>
      </c>
      <c r="E1339" s="183" t="s">
        <v>1256</v>
      </c>
      <c r="F1339" s="183"/>
      <c r="G1339" s="184">
        <v>1</v>
      </c>
      <c r="H1339" s="185">
        <v>0</v>
      </c>
      <c r="I1339" s="186">
        <v>200.25307946474501</v>
      </c>
      <c r="J1339" s="187">
        <v>200.25307946474501</v>
      </c>
      <c r="K1339" s="182" t="s">
        <v>3559</v>
      </c>
      <c r="L1339" s="182">
        <v>2</v>
      </c>
      <c r="M1339" s="182" t="s">
        <v>3561</v>
      </c>
      <c r="N1339" s="186">
        <v>20</v>
      </c>
      <c r="O1339" s="188">
        <v>1</v>
      </c>
      <c r="P1339" s="188" t="s">
        <v>573</v>
      </c>
      <c r="Q1339" s="188">
        <v>0</v>
      </c>
      <c r="R1339" s="189" t="s">
        <v>573</v>
      </c>
      <c r="S1339" s="189" t="s">
        <v>573</v>
      </c>
    </row>
    <row r="1340" spans="1:19" ht="14.25" customHeight="1" x14ac:dyDescent="0.3">
      <c r="A1340" s="182" t="s">
        <v>3558</v>
      </c>
      <c r="B1340" s="182" t="s">
        <v>908</v>
      </c>
      <c r="C1340" s="182" t="s">
        <v>909</v>
      </c>
      <c r="D1340" s="182" t="s">
        <v>1258</v>
      </c>
      <c r="E1340" s="183" t="s">
        <v>1259</v>
      </c>
      <c r="F1340" s="183" t="s">
        <v>912</v>
      </c>
      <c r="G1340" s="184">
        <v>4.0000000000000001E-3</v>
      </c>
      <c r="H1340" s="185">
        <v>0.05</v>
      </c>
      <c r="I1340" s="186">
        <v>30467.49</v>
      </c>
      <c r="J1340" s="187">
        <v>127.963458</v>
      </c>
      <c r="K1340" s="182" t="s">
        <v>3562</v>
      </c>
      <c r="L1340" s="182">
        <v>1</v>
      </c>
      <c r="M1340" s="182" t="s">
        <v>3563</v>
      </c>
      <c r="N1340" s="186">
        <v>20</v>
      </c>
      <c r="O1340" s="188">
        <v>4.0000000000000001E-3</v>
      </c>
      <c r="P1340" s="188" t="s">
        <v>573</v>
      </c>
      <c r="Q1340" s="188">
        <v>0</v>
      </c>
      <c r="R1340" s="189" t="s">
        <v>573</v>
      </c>
      <c r="S1340" s="189" t="s">
        <v>573</v>
      </c>
    </row>
    <row r="1341" spans="1:19" ht="14.25" customHeight="1" x14ac:dyDescent="0.3">
      <c r="A1341" s="182" t="s">
        <v>3558</v>
      </c>
      <c r="B1341" s="182" t="s">
        <v>908</v>
      </c>
      <c r="C1341" s="182" t="s">
        <v>909</v>
      </c>
      <c r="D1341" s="182" t="s">
        <v>1262</v>
      </c>
      <c r="E1341" s="183" t="s">
        <v>1263</v>
      </c>
      <c r="F1341" s="183" t="s">
        <v>600</v>
      </c>
      <c r="G1341" s="184">
        <v>1.4999999999999999E-2</v>
      </c>
      <c r="H1341" s="185">
        <v>0.05</v>
      </c>
      <c r="I1341" s="186">
        <v>5661.4</v>
      </c>
      <c r="J1341" s="187">
        <v>89.167050000000003</v>
      </c>
      <c r="K1341" s="182" t="s">
        <v>3562</v>
      </c>
      <c r="L1341" s="182">
        <v>2</v>
      </c>
      <c r="M1341" s="182" t="s">
        <v>3564</v>
      </c>
      <c r="N1341" s="186">
        <v>20</v>
      </c>
      <c r="O1341" s="188">
        <v>1.4999999999999999E-2</v>
      </c>
      <c r="P1341" s="188" t="s">
        <v>573</v>
      </c>
      <c r="Q1341" s="188">
        <v>0</v>
      </c>
      <c r="R1341" s="189" t="s">
        <v>573</v>
      </c>
      <c r="S1341" s="189" t="s">
        <v>573</v>
      </c>
    </row>
    <row r="1342" spans="1:19" ht="14.25" customHeight="1" x14ac:dyDescent="0.3">
      <c r="A1342" s="182" t="s">
        <v>3558</v>
      </c>
      <c r="B1342" s="182" t="s">
        <v>908</v>
      </c>
      <c r="C1342" s="182" t="s">
        <v>909</v>
      </c>
      <c r="D1342" s="182" t="s">
        <v>1265</v>
      </c>
      <c r="E1342" s="183" t="s">
        <v>1266</v>
      </c>
      <c r="F1342" s="183" t="s">
        <v>600</v>
      </c>
      <c r="G1342" s="184">
        <v>0.05</v>
      </c>
      <c r="H1342" s="185">
        <v>0.1</v>
      </c>
      <c r="I1342" s="186">
        <v>3293.01</v>
      </c>
      <c r="J1342" s="187">
        <v>181.11555000000001</v>
      </c>
      <c r="K1342" s="182" t="s">
        <v>3562</v>
      </c>
      <c r="L1342" s="182">
        <v>3</v>
      </c>
      <c r="M1342" s="182" t="s">
        <v>3565</v>
      </c>
      <c r="N1342" s="186">
        <v>20</v>
      </c>
      <c r="O1342" s="188">
        <v>0.05</v>
      </c>
      <c r="P1342" s="188" t="s">
        <v>573</v>
      </c>
      <c r="Q1342" s="188">
        <v>0</v>
      </c>
      <c r="R1342" s="189" t="s">
        <v>573</v>
      </c>
      <c r="S1342" s="189" t="s">
        <v>573</v>
      </c>
    </row>
    <row r="1343" spans="1:19" ht="14.25" customHeight="1" x14ac:dyDescent="0.3">
      <c r="A1343" s="182" t="s">
        <v>3558</v>
      </c>
      <c r="B1343" s="182" t="s">
        <v>908</v>
      </c>
      <c r="C1343" s="182" t="s">
        <v>909</v>
      </c>
      <c r="D1343" s="182" t="s">
        <v>915</v>
      </c>
      <c r="E1343" s="183" t="s">
        <v>916</v>
      </c>
      <c r="F1343" s="183" t="s">
        <v>600</v>
      </c>
      <c r="G1343" s="184">
        <v>0.03</v>
      </c>
      <c r="H1343" s="185">
        <v>0.05</v>
      </c>
      <c r="I1343" s="186">
        <v>735.06</v>
      </c>
      <c r="J1343" s="187">
        <v>23.154389999999999</v>
      </c>
      <c r="K1343" s="182" t="s">
        <v>3562</v>
      </c>
      <c r="L1343" s="182">
        <v>4</v>
      </c>
      <c r="M1343" s="182" t="s">
        <v>3566</v>
      </c>
      <c r="N1343" s="186">
        <v>20</v>
      </c>
      <c r="O1343" s="188">
        <v>0.03</v>
      </c>
      <c r="P1343" s="188" t="s">
        <v>573</v>
      </c>
      <c r="Q1343" s="188">
        <v>0</v>
      </c>
      <c r="R1343" s="189" t="s">
        <v>573</v>
      </c>
      <c r="S1343" s="189" t="s">
        <v>573</v>
      </c>
    </row>
    <row r="1344" spans="1:19" ht="14.25" customHeight="1" x14ac:dyDescent="0.3">
      <c r="A1344" s="182" t="s">
        <v>3558</v>
      </c>
      <c r="B1344" s="182" t="s">
        <v>908</v>
      </c>
      <c r="C1344" s="182" t="s">
        <v>909</v>
      </c>
      <c r="D1344" s="182" t="s">
        <v>1898</v>
      </c>
      <c r="E1344" s="183" t="s">
        <v>1899</v>
      </c>
      <c r="F1344" s="183" t="s">
        <v>600</v>
      </c>
      <c r="G1344" s="184">
        <v>5.0000000000000001E-3</v>
      </c>
      <c r="H1344" s="185">
        <v>0.05</v>
      </c>
      <c r="I1344" s="186">
        <v>6678.36</v>
      </c>
      <c r="J1344" s="187">
        <v>35.061390000000003</v>
      </c>
      <c r="K1344" s="182" t="s">
        <v>3562</v>
      </c>
      <c r="L1344" s="182">
        <v>5</v>
      </c>
      <c r="M1344" s="182" t="s">
        <v>3567</v>
      </c>
      <c r="N1344" s="186">
        <v>20</v>
      </c>
      <c r="O1344" s="188">
        <v>5.0000000000000001E-3</v>
      </c>
      <c r="P1344" s="188" t="s">
        <v>573</v>
      </c>
      <c r="Q1344" s="188">
        <v>0</v>
      </c>
      <c r="R1344" s="189" t="s">
        <v>573</v>
      </c>
      <c r="S1344" s="189" t="s">
        <v>573</v>
      </c>
    </row>
    <row r="1345" spans="1:19" ht="14.25" customHeight="1" x14ac:dyDescent="0.3">
      <c r="A1345" s="182" t="s">
        <v>3558</v>
      </c>
      <c r="B1345" s="182" t="s">
        <v>908</v>
      </c>
      <c r="C1345" s="182" t="s">
        <v>909</v>
      </c>
      <c r="D1345" s="182" t="s">
        <v>921</v>
      </c>
      <c r="E1345" s="183" t="s">
        <v>922</v>
      </c>
      <c r="F1345" s="183" t="s">
        <v>600</v>
      </c>
      <c r="G1345" s="184">
        <v>5.0000000000000001E-3</v>
      </c>
      <c r="H1345" s="185">
        <v>0.05</v>
      </c>
      <c r="I1345" s="186">
        <v>5282.24</v>
      </c>
      <c r="J1345" s="187">
        <v>27.731760000000001</v>
      </c>
      <c r="K1345" s="182" t="s">
        <v>3562</v>
      </c>
      <c r="L1345" s="182">
        <v>6</v>
      </c>
      <c r="M1345" s="182" t="s">
        <v>3568</v>
      </c>
      <c r="N1345" s="186">
        <v>20</v>
      </c>
      <c r="O1345" s="188">
        <v>5.0000000000000001E-3</v>
      </c>
      <c r="P1345" s="188" t="s">
        <v>573</v>
      </c>
      <c r="Q1345" s="188">
        <v>0</v>
      </c>
      <c r="R1345" s="189" t="s">
        <v>573</v>
      </c>
      <c r="S1345" s="189" t="s">
        <v>573</v>
      </c>
    </row>
    <row r="1346" spans="1:19" ht="14.25" customHeight="1" x14ac:dyDescent="0.3">
      <c r="A1346" s="182" t="s">
        <v>3558</v>
      </c>
      <c r="B1346" s="182" t="s">
        <v>908</v>
      </c>
      <c r="C1346" s="182" t="s">
        <v>909</v>
      </c>
      <c r="D1346" s="182" t="s">
        <v>1271</v>
      </c>
      <c r="E1346" s="183" t="s">
        <v>1272</v>
      </c>
      <c r="F1346" s="183" t="s">
        <v>600</v>
      </c>
      <c r="G1346" s="184">
        <v>0.01</v>
      </c>
      <c r="H1346" s="185">
        <v>0.05</v>
      </c>
      <c r="I1346" s="186">
        <v>7427.6</v>
      </c>
      <c r="J1346" s="187">
        <v>77.989800000000002</v>
      </c>
      <c r="K1346" s="182" t="s">
        <v>3562</v>
      </c>
      <c r="L1346" s="182">
        <v>7</v>
      </c>
      <c r="M1346" s="182" t="s">
        <v>3569</v>
      </c>
      <c r="N1346" s="186">
        <v>20</v>
      </c>
      <c r="O1346" s="188">
        <v>0.01</v>
      </c>
      <c r="P1346" s="188" t="s">
        <v>573</v>
      </c>
      <c r="Q1346" s="188">
        <v>0</v>
      </c>
      <c r="R1346" s="189" t="s">
        <v>573</v>
      </c>
      <c r="S1346" s="189" t="s">
        <v>573</v>
      </c>
    </row>
    <row r="1347" spans="1:19" ht="14.25" customHeight="1" x14ac:dyDescent="0.3">
      <c r="A1347" s="182" t="s">
        <v>3558</v>
      </c>
      <c r="B1347" s="182" t="s">
        <v>908</v>
      </c>
      <c r="C1347" s="182" t="s">
        <v>909</v>
      </c>
      <c r="D1347" s="182" t="s">
        <v>1274</v>
      </c>
      <c r="E1347" s="183" t="s">
        <v>1275</v>
      </c>
      <c r="F1347" s="183" t="s">
        <v>884</v>
      </c>
      <c r="G1347" s="184">
        <v>1.2500000000000001E-2</v>
      </c>
      <c r="H1347" s="185">
        <v>0.1</v>
      </c>
      <c r="I1347" s="186">
        <v>120622.23</v>
      </c>
      <c r="J1347" s="187">
        <v>1658.5556624999999</v>
      </c>
      <c r="K1347" s="182" t="s">
        <v>3562</v>
      </c>
      <c r="L1347" s="182">
        <v>8</v>
      </c>
      <c r="M1347" s="182" t="s">
        <v>3570</v>
      </c>
      <c r="N1347" s="186">
        <v>20</v>
      </c>
      <c r="O1347" s="188">
        <v>1.2500000000000001E-2</v>
      </c>
      <c r="P1347" s="188" t="s">
        <v>573</v>
      </c>
      <c r="Q1347" s="188">
        <v>0</v>
      </c>
      <c r="R1347" s="189" t="s">
        <v>573</v>
      </c>
      <c r="S1347" s="189" t="s">
        <v>573</v>
      </c>
    </row>
    <row r="1348" spans="1:19" ht="14.25" customHeight="1" x14ac:dyDescent="0.3">
      <c r="A1348" s="182" t="s">
        <v>3558</v>
      </c>
      <c r="B1348" s="182" t="s">
        <v>908</v>
      </c>
      <c r="C1348" s="182" t="s">
        <v>909</v>
      </c>
      <c r="D1348" s="182" t="s">
        <v>1904</v>
      </c>
      <c r="E1348" s="183" t="s">
        <v>1905</v>
      </c>
      <c r="F1348" s="183" t="s">
        <v>884</v>
      </c>
      <c r="G1348" s="184">
        <v>2E-3</v>
      </c>
      <c r="H1348" s="185">
        <v>0.1</v>
      </c>
      <c r="I1348" s="186">
        <v>18735.77</v>
      </c>
      <c r="J1348" s="187">
        <v>41.218693999999999</v>
      </c>
      <c r="K1348" s="182" t="s">
        <v>3562</v>
      </c>
      <c r="L1348" s="182">
        <v>9</v>
      </c>
      <c r="M1348" s="182" t="s">
        <v>3571</v>
      </c>
      <c r="N1348" s="186">
        <v>20</v>
      </c>
      <c r="O1348" s="188">
        <v>2E-3</v>
      </c>
      <c r="P1348" s="188" t="s">
        <v>573</v>
      </c>
      <c r="Q1348" s="188">
        <v>0</v>
      </c>
      <c r="R1348" s="189" t="s">
        <v>573</v>
      </c>
      <c r="S1348" s="189" t="s">
        <v>573</v>
      </c>
    </row>
    <row r="1349" spans="1:19" ht="14.25" customHeight="1" x14ac:dyDescent="0.3">
      <c r="A1349" s="182" t="s">
        <v>3558</v>
      </c>
      <c r="B1349" s="182" t="s">
        <v>908</v>
      </c>
      <c r="C1349" s="182" t="s">
        <v>909</v>
      </c>
      <c r="D1349" s="182" t="s">
        <v>1907</v>
      </c>
      <c r="E1349" s="183" t="s">
        <v>1908</v>
      </c>
      <c r="F1349" s="183" t="s">
        <v>912</v>
      </c>
      <c r="G1349" s="184">
        <v>1E-3</v>
      </c>
      <c r="H1349" s="185">
        <v>0.05</v>
      </c>
      <c r="I1349" s="186">
        <v>9639</v>
      </c>
      <c r="J1349" s="187">
        <v>10.120950000000001</v>
      </c>
      <c r="K1349" s="182" t="s">
        <v>3562</v>
      </c>
      <c r="L1349" s="182">
        <v>10</v>
      </c>
      <c r="M1349" s="182" t="s">
        <v>3572</v>
      </c>
      <c r="N1349" s="186">
        <v>20</v>
      </c>
      <c r="O1349" s="188">
        <v>1E-3</v>
      </c>
      <c r="P1349" s="188" t="s">
        <v>573</v>
      </c>
      <c r="Q1349" s="188">
        <v>0</v>
      </c>
      <c r="R1349" s="189" t="s">
        <v>573</v>
      </c>
      <c r="S1349" s="189" t="s">
        <v>573</v>
      </c>
    </row>
    <row r="1350" spans="1:19" ht="14.25" customHeight="1" x14ac:dyDescent="0.3">
      <c r="A1350" s="182" t="s">
        <v>3558</v>
      </c>
      <c r="B1350" s="182" t="s">
        <v>937</v>
      </c>
      <c r="C1350" s="182" t="s">
        <v>938</v>
      </c>
      <c r="D1350" s="190" t="s">
        <v>944</v>
      </c>
      <c r="E1350" s="183" t="s">
        <v>945</v>
      </c>
      <c r="F1350" s="183" t="s">
        <v>941</v>
      </c>
      <c r="G1350" s="184">
        <v>1</v>
      </c>
      <c r="H1350" s="185">
        <v>0</v>
      </c>
      <c r="I1350" s="186">
        <v>85927.097156571996</v>
      </c>
      <c r="J1350" s="187">
        <v>85927.097156571996</v>
      </c>
      <c r="K1350" s="182" t="s">
        <v>3573</v>
      </c>
      <c r="L1350" s="182">
        <v>1</v>
      </c>
      <c r="M1350" s="182" t="s">
        <v>3574</v>
      </c>
      <c r="N1350" s="186">
        <v>20</v>
      </c>
      <c r="O1350" s="188">
        <v>0.05</v>
      </c>
      <c r="P1350" s="188" t="s">
        <v>573</v>
      </c>
      <c r="Q1350" s="188">
        <v>0</v>
      </c>
      <c r="R1350" s="189" t="s">
        <v>573</v>
      </c>
      <c r="S1350" s="189" t="s">
        <v>573</v>
      </c>
    </row>
    <row r="1351" spans="1:19" ht="14.25" customHeight="1" x14ac:dyDescent="0.3">
      <c r="A1351" s="182" t="s">
        <v>3575</v>
      </c>
      <c r="B1351" s="182" t="s">
        <v>563</v>
      </c>
      <c r="C1351" s="182"/>
      <c r="D1351" s="182" t="s">
        <v>948</v>
      </c>
      <c r="E1351" s="183" t="s">
        <v>949</v>
      </c>
      <c r="F1351" s="183"/>
      <c r="G1351" s="184">
        <v>1</v>
      </c>
      <c r="H1351" s="185">
        <v>0</v>
      </c>
      <c r="I1351" s="186">
        <v>571.17949098076099</v>
      </c>
      <c r="J1351" s="187">
        <v>571.17949098076099</v>
      </c>
      <c r="K1351" s="182" t="s">
        <v>3576</v>
      </c>
      <c r="L1351" s="182">
        <v>1</v>
      </c>
      <c r="M1351" s="182" t="s">
        <v>3577</v>
      </c>
      <c r="N1351" s="186">
        <v>17.5</v>
      </c>
      <c r="O1351" s="188">
        <v>1</v>
      </c>
      <c r="P1351" s="188">
        <v>204</v>
      </c>
      <c r="Q1351" s="188">
        <v>204</v>
      </c>
      <c r="R1351" s="189">
        <v>15.06</v>
      </c>
      <c r="S1351" s="189" t="s">
        <v>573</v>
      </c>
    </row>
    <row r="1352" spans="1:19" ht="14.25" customHeight="1" x14ac:dyDescent="0.3">
      <c r="A1352" s="182" t="s">
        <v>3575</v>
      </c>
      <c r="B1352" s="182" t="s">
        <v>563</v>
      </c>
      <c r="C1352" s="182"/>
      <c r="D1352" s="182" t="s">
        <v>1251</v>
      </c>
      <c r="E1352" s="183" t="s">
        <v>1252</v>
      </c>
      <c r="F1352" s="183"/>
      <c r="G1352" s="184">
        <v>2</v>
      </c>
      <c r="H1352" s="185">
        <v>0</v>
      </c>
      <c r="I1352" s="186">
        <v>1723.6259595547101</v>
      </c>
      <c r="J1352" s="187">
        <v>3447.2519191094202</v>
      </c>
      <c r="K1352" s="182" t="s">
        <v>3576</v>
      </c>
      <c r="L1352" s="182">
        <v>2</v>
      </c>
      <c r="M1352" s="182" t="s">
        <v>3578</v>
      </c>
      <c r="N1352" s="186">
        <v>17.5</v>
      </c>
      <c r="O1352" s="188">
        <v>2</v>
      </c>
      <c r="P1352" s="188">
        <v>204</v>
      </c>
      <c r="Q1352" s="188">
        <v>408</v>
      </c>
      <c r="R1352" s="189">
        <v>15.06</v>
      </c>
      <c r="S1352" s="189" t="s">
        <v>573</v>
      </c>
    </row>
    <row r="1353" spans="1:19" ht="14.25" customHeight="1" x14ac:dyDescent="0.3">
      <c r="A1353" s="182" t="s">
        <v>3575</v>
      </c>
      <c r="B1353" s="182" t="s">
        <v>563</v>
      </c>
      <c r="C1353" s="182"/>
      <c r="D1353" s="182" t="s">
        <v>1255</v>
      </c>
      <c r="E1353" s="183" t="s">
        <v>1256</v>
      </c>
      <c r="F1353" s="183"/>
      <c r="G1353" s="184">
        <v>1</v>
      </c>
      <c r="H1353" s="185">
        <v>0</v>
      </c>
      <c r="I1353" s="186">
        <v>200.25307946474501</v>
      </c>
      <c r="J1353" s="187">
        <v>200.25307946474501</v>
      </c>
      <c r="K1353" s="182" t="s">
        <v>3576</v>
      </c>
      <c r="L1353" s="182">
        <v>3</v>
      </c>
      <c r="M1353" s="182" t="s">
        <v>3579</v>
      </c>
      <c r="N1353" s="186">
        <v>17.5</v>
      </c>
      <c r="O1353" s="188">
        <v>1</v>
      </c>
      <c r="P1353" s="188">
        <v>204</v>
      </c>
      <c r="Q1353" s="188">
        <v>204</v>
      </c>
      <c r="R1353" s="189">
        <v>15.06</v>
      </c>
      <c r="S1353" s="189" t="s">
        <v>573</v>
      </c>
    </row>
    <row r="1354" spans="1:19" ht="14.25" customHeight="1" x14ac:dyDescent="0.3">
      <c r="A1354" s="182" t="s">
        <v>3575</v>
      </c>
      <c r="B1354" s="182" t="s">
        <v>908</v>
      </c>
      <c r="C1354" s="182" t="s">
        <v>909</v>
      </c>
      <c r="D1354" s="182" t="s">
        <v>1258</v>
      </c>
      <c r="E1354" s="183" t="s">
        <v>1259</v>
      </c>
      <c r="F1354" s="183" t="s">
        <v>912</v>
      </c>
      <c r="G1354" s="184">
        <v>4.0000000000000001E-3</v>
      </c>
      <c r="H1354" s="185">
        <v>0.05</v>
      </c>
      <c r="I1354" s="186">
        <v>30467.49</v>
      </c>
      <c r="J1354" s="187">
        <v>127.963458</v>
      </c>
      <c r="K1354" s="182" t="s">
        <v>3580</v>
      </c>
      <c r="L1354" s="182">
        <v>1</v>
      </c>
      <c r="M1354" s="182" t="s">
        <v>3581</v>
      </c>
      <c r="N1354" s="186">
        <v>17.5</v>
      </c>
      <c r="O1354" s="188">
        <v>4.0000000000000001E-3</v>
      </c>
      <c r="P1354" s="188">
        <v>204</v>
      </c>
      <c r="Q1354" s="188">
        <v>0.81599999999999995</v>
      </c>
      <c r="R1354" s="189">
        <v>15.06</v>
      </c>
      <c r="S1354" s="189" t="s">
        <v>573</v>
      </c>
    </row>
    <row r="1355" spans="1:19" ht="14.25" customHeight="1" x14ac:dyDescent="0.3">
      <c r="A1355" s="182" t="s">
        <v>3575</v>
      </c>
      <c r="B1355" s="182" t="s">
        <v>908</v>
      </c>
      <c r="C1355" s="182" t="s">
        <v>909</v>
      </c>
      <c r="D1355" s="182" t="s">
        <v>1262</v>
      </c>
      <c r="E1355" s="183" t="s">
        <v>1263</v>
      </c>
      <c r="F1355" s="183" t="s">
        <v>600</v>
      </c>
      <c r="G1355" s="184">
        <v>2.5000000000000001E-2</v>
      </c>
      <c r="H1355" s="185">
        <v>0.05</v>
      </c>
      <c r="I1355" s="186">
        <v>5661.4</v>
      </c>
      <c r="J1355" s="187">
        <v>148.61175</v>
      </c>
      <c r="K1355" s="182" t="s">
        <v>3580</v>
      </c>
      <c r="L1355" s="182">
        <v>2</v>
      </c>
      <c r="M1355" s="182" t="s">
        <v>3582</v>
      </c>
      <c r="N1355" s="186">
        <v>17.5</v>
      </c>
      <c r="O1355" s="188">
        <v>2.5000000000000001E-2</v>
      </c>
      <c r="P1355" s="188">
        <v>204</v>
      </c>
      <c r="Q1355" s="188">
        <v>5.0999999999999996</v>
      </c>
      <c r="R1355" s="189">
        <v>15.06</v>
      </c>
      <c r="S1355" s="189" t="s">
        <v>573</v>
      </c>
    </row>
    <row r="1356" spans="1:19" ht="14.25" customHeight="1" x14ac:dyDescent="0.3">
      <c r="A1356" s="182" t="s">
        <v>3575</v>
      </c>
      <c r="B1356" s="182" t="s">
        <v>908</v>
      </c>
      <c r="C1356" s="182" t="s">
        <v>909</v>
      </c>
      <c r="D1356" s="182" t="s">
        <v>1265</v>
      </c>
      <c r="E1356" s="183" t="s">
        <v>1266</v>
      </c>
      <c r="F1356" s="183" t="s">
        <v>600</v>
      </c>
      <c r="G1356" s="184">
        <v>0.05</v>
      </c>
      <c r="H1356" s="185">
        <v>0.1</v>
      </c>
      <c r="I1356" s="186">
        <v>3293.01</v>
      </c>
      <c r="J1356" s="187">
        <v>181.11555000000001</v>
      </c>
      <c r="K1356" s="182" t="s">
        <v>3580</v>
      </c>
      <c r="L1356" s="182">
        <v>3</v>
      </c>
      <c r="M1356" s="182" t="s">
        <v>3583</v>
      </c>
      <c r="N1356" s="186">
        <v>17.5</v>
      </c>
      <c r="O1356" s="188">
        <v>0.05</v>
      </c>
      <c r="P1356" s="188">
        <v>204</v>
      </c>
      <c r="Q1356" s="188">
        <v>10.199999999999999</v>
      </c>
      <c r="R1356" s="189">
        <v>15.06</v>
      </c>
      <c r="S1356" s="189" t="s">
        <v>573</v>
      </c>
    </row>
    <row r="1357" spans="1:19" ht="14.25" customHeight="1" x14ac:dyDescent="0.3">
      <c r="A1357" s="182" t="s">
        <v>3575</v>
      </c>
      <c r="B1357" s="182" t="s">
        <v>908</v>
      </c>
      <c r="C1357" s="182" t="s">
        <v>909</v>
      </c>
      <c r="D1357" s="182" t="s">
        <v>915</v>
      </c>
      <c r="E1357" s="183" t="s">
        <v>916</v>
      </c>
      <c r="F1357" s="183" t="s">
        <v>600</v>
      </c>
      <c r="G1357" s="184">
        <v>0.03</v>
      </c>
      <c r="H1357" s="185">
        <v>0.05</v>
      </c>
      <c r="I1357" s="186">
        <v>735.06</v>
      </c>
      <c r="J1357" s="187">
        <v>23.154389999999999</v>
      </c>
      <c r="K1357" s="182" t="s">
        <v>3580</v>
      </c>
      <c r="L1357" s="182">
        <v>4</v>
      </c>
      <c r="M1357" s="182" t="s">
        <v>3584</v>
      </c>
      <c r="N1357" s="186">
        <v>17.5</v>
      </c>
      <c r="O1357" s="188">
        <v>0.03</v>
      </c>
      <c r="P1357" s="188">
        <v>204</v>
      </c>
      <c r="Q1357" s="188">
        <v>6.12</v>
      </c>
      <c r="R1357" s="189">
        <v>15.06</v>
      </c>
      <c r="S1357" s="189" t="s">
        <v>573</v>
      </c>
    </row>
    <row r="1358" spans="1:19" ht="14.25" customHeight="1" x14ac:dyDescent="0.3">
      <c r="A1358" s="182" t="s">
        <v>3575</v>
      </c>
      <c r="B1358" s="182" t="s">
        <v>908</v>
      </c>
      <c r="C1358" s="182" t="s">
        <v>909</v>
      </c>
      <c r="D1358" s="182" t="s">
        <v>1898</v>
      </c>
      <c r="E1358" s="183" t="s">
        <v>1899</v>
      </c>
      <c r="F1358" s="183" t="s">
        <v>600</v>
      </c>
      <c r="G1358" s="184">
        <v>5.0000000000000001E-3</v>
      </c>
      <c r="H1358" s="185">
        <v>0.05</v>
      </c>
      <c r="I1358" s="186">
        <v>6678.36</v>
      </c>
      <c r="J1358" s="187">
        <v>35.061390000000003</v>
      </c>
      <c r="K1358" s="182" t="s">
        <v>3580</v>
      </c>
      <c r="L1358" s="182">
        <v>5</v>
      </c>
      <c r="M1358" s="182" t="s">
        <v>3585</v>
      </c>
      <c r="N1358" s="186">
        <v>17.5</v>
      </c>
      <c r="O1358" s="188">
        <v>5.0000000000000001E-3</v>
      </c>
      <c r="P1358" s="188">
        <v>204</v>
      </c>
      <c r="Q1358" s="188">
        <v>1.02</v>
      </c>
      <c r="R1358" s="189">
        <v>15.06</v>
      </c>
      <c r="S1358" s="189" t="s">
        <v>573</v>
      </c>
    </row>
    <row r="1359" spans="1:19" ht="14.25" customHeight="1" x14ac:dyDescent="0.3">
      <c r="A1359" s="182" t="s">
        <v>3575</v>
      </c>
      <c r="B1359" s="182" t="s">
        <v>908</v>
      </c>
      <c r="C1359" s="182" t="s">
        <v>909</v>
      </c>
      <c r="D1359" s="182" t="s">
        <v>921</v>
      </c>
      <c r="E1359" s="183" t="s">
        <v>922</v>
      </c>
      <c r="F1359" s="183" t="s">
        <v>600</v>
      </c>
      <c r="G1359" s="184">
        <v>5.0000000000000001E-3</v>
      </c>
      <c r="H1359" s="185">
        <v>0.05</v>
      </c>
      <c r="I1359" s="186">
        <v>5282.24</v>
      </c>
      <c r="J1359" s="187">
        <v>27.731760000000001</v>
      </c>
      <c r="K1359" s="182" t="s">
        <v>3580</v>
      </c>
      <c r="L1359" s="182">
        <v>6</v>
      </c>
      <c r="M1359" s="182" t="s">
        <v>3586</v>
      </c>
      <c r="N1359" s="186">
        <v>17.5</v>
      </c>
      <c r="O1359" s="188">
        <v>5.0000000000000001E-3</v>
      </c>
      <c r="P1359" s="188">
        <v>204</v>
      </c>
      <c r="Q1359" s="188">
        <v>1.02</v>
      </c>
      <c r="R1359" s="189">
        <v>15.06</v>
      </c>
      <c r="S1359" s="189" t="s">
        <v>573</v>
      </c>
    </row>
    <row r="1360" spans="1:19" ht="14.25" customHeight="1" x14ac:dyDescent="0.3">
      <c r="A1360" s="182" t="s">
        <v>3575</v>
      </c>
      <c r="B1360" s="182" t="s">
        <v>908</v>
      </c>
      <c r="C1360" s="182" t="s">
        <v>909</v>
      </c>
      <c r="D1360" s="182" t="s">
        <v>1271</v>
      </c>
      <c r="E1360" s="183" t="s">
        <v>1272</v>
      </c>
      <c r="F1360" s="183" t="s">
        <v>600</v>
      </c>
      <c r="G1360" s="184">
        <v>0.01</v>
      </c>
      <c r="H1360" s="185">
        <v>0.05</v>
      </c>
      <c r="I1360" s="186">
        <v>7427.6</v>
      </c>
      <c r="J1360" s="187">
        <v>77.989800000000002</v>
      </c>
      <c r="K1360" s="182" t="s">
        <v>3580</v>
      </c>
      <c r="L1360" s="182">
        <v>7</v>
      </c>
      <c r="M1360" s="182" t="s">
        <v>3587</v>
      </c>
      <c r="N1360" s="186">
        <v>17.5</v>
      </c>
      <c r="O1360" s="188">
        <v>0.01</v>
      </c>
      <c r="P1360" s="188">
        <v>204</v>
      </c>
      <c r="Q1360" s="188">
        <v>2.04</v>
      </c>
      <c r="R1360" s="189">
        <v>15.06</v>
      </c>
      <c r="S1360" s="189" t="s">
        <v>573</v>
      </c>
    </row>
    <row r="1361" spans="1:19" ht="14.25" customHeight="1" x14ac:dyDescent="0.3">
      <c r="A1361" s="182" t="s">
        <v>3575</v>
      </c>
      <c r="B1361" s="182" t="s">
        <v>908</v>
      </c>
      <c r="C1361" s="182" t="s">
        <v>909</v>
      </c>
      <c r="D1361" s="182" t="s">
        <v>1274</v>
      </c>
      <c r="E1361" s="183" t="s">
        <v>1275</v>
      </c>
      <c r="F1361" s="183" t="s">
        <v>884</v>
      </c>
      <c r="G1361" s="184">
        <v>1.2500000000000001E-2</v>
      </c>
      <c r="H1361" s="185">
        <v>0.1</v>
      </c>
      <c r="I1361" s="186">
        <v>120622.23</v>
      </c>
      <c r="J1361" s="187">
        <v>1658.5556624999999</v>
      </c>
      <c r="K1361" s="182" t="s">
        <v>3580</v>
      </c>
      <c r="L1361" s="182">
        <v>8</v>
      </c>
      <c r="M1361" s="182" t="s">
        <v>3588</v>
      </c>
      <c r="N1361" s="186">
        <v>17.5</v>
      </c>
      <c r="O1361" s="188">
        <v>1.2500000000000001E-2</v>
      </c>
      <c r="P1361" s="188">
        <v>204</v>
      </c>
      <c r="Q1361" s="188">
        <v>2.5499999999999998</v>
      </c>
      <c r="R1361" s="189">
        <v>15.06</v>
      </c>
      <c r="S1361" s="189" t="s">
        <v>573</v>
      </c>
    </row>
    <row r="1362" spans="1:19" ht="14.25" customHeight="1" x14ac:dyDescent="0.3">
      <c r="A1362" s="182" t="s">
        <v>3575</v>
      </c>
      <c r="B1362" s="182" t="s">
        <v>908</v>
      </c>
      <c r="C1362" s="182" t="s">
        <v>909</v>
      </c>
      <c r="D1362" s="182" t="s">
        <v>1904</v>
      </c>
      <c r="E1362" s="183" t="s">
        <v>1905</v>
      </c>
      <c r="F1362" s="183" t="s">
        <v>884</v>
      </c>
      <c r="G1362" s="184">
        <v>0.03</v>
      </c>
      <c r="H1362" s="185">
        <v>0.1</v>
      </c>
      <c r="I1362" s="186">
        <v>18735.77</v>
      </c>
      <c r="J1362" s="187">
        <v>618.28040999999996</v>
      </c>
      <c r="K1362" s="182" t="s">
        <v>3580</v>
      </c>
      <c r="L1362" s="182">
        <v>9</v>
      </c>
      <c r="M1362" s="182" t="s">
        <v>3589</v>
      </c>
      <c r="N1362" s="186">
        <v>17.5</v>
      </c>
      <c r="O1362" s="188">
        <v>0.03</v>
      </c>
      <c r="P1362" s="188">
        <v>204</v>
      </c>
      <c r="Q1362" s="188">
        <v>6.12</v>
      </c>
      <c r="R1362" s="189">
        <v>15.06</v>
      </c>
      <c r="S1362" s="189" t="s">
        <v>573</v>
      </c>
    </row>
    <row r="1363" spans="1:19" ht="14.25" customHeight="1" x14ac:dyDescent="0.3">
      <c r="A1363" s="182" t="s">
        <v>3575</v>
      </c>
      <c r="B1363" s="182" t="s">
        <v>908</v>
      </c>
      <c r="C1363" s="182" t="s">
        <v>909</v>
      </c>
      <c r="D1363" s="182" t="s">
        <v>1907</v>
      </c>
      <c r="E1363" s="183" t="s">
        <v>1908</v>
      </c>
      <c r="F1363" s="183" t="s">
        <v>912</v>
      </c>
      <c r="G1363" s="184">
        <v>2.5000000000000001E-3</v>
      </c>
      <c r="H1363" s="185">
        <v>0.05</v>
      </c>
      <c r="I1363" s="186">
        <v>9639</v>
      </c>
      <c r="J1363" s="187">
        <v>25.302375000000001</v>
      </c>
      <c r="K1363" s="182" t="s">
        <v>3580</v>
      </c>
      <c r="L1363" s="182">
        <v>10</v>
      </c>
      <c r="M1363" s="182" t="s">
        <v>3590</v>
      </c>
      <c r="N1363" s="186">
        <v>17.5</v>
      </c>
      <c r="O1363" s="188">
        <v>2.5000000000000001E-3</v>
      </c>
      <c r="P1363" s="188">
        <v>204</v>
      </c>
      <c r="Q1363" s="188">
        <v>0.51</v>
      </c>
      <c r="R1363" s="189">
        <v>15.06</v>
      </c>
      <c r="S1363" s="189" t="s">
        <v>573</v>
      </c>
    </row>
    <row r="1364" spans="1:19" ht="14.25" customHeight="1" x14ac:dyDescent="0.3">
      <c r="A1364" s="182" t="s">
        <v>3575</v>
      </c>
      <c r="B1364" s="182" t="s">
        <v>937</v>
      </c>
      <c r="C1364" s="182" t="s">
        <v>938</v>
      </c>
      <c r="D1364" s="190" t="s">
        <v>1291</v>
      </c>
      <c r="E1364" s="183" t="s">
        <v>1292</v>
      </c>
      <c r="F1364" s="183" t="s">
        <v>941</v>
      </c>
      <c r="G1364" s="184">
        <v>1</v>
      </c>
      <c r="H1364" s="185">
        <v>0</v>
      </c>
      <c r="I1364" s="186">
        <v>65493.071636572</v>
      </c>
      <c r="J1364" s="187">
        <v>65493.071636572</v>
      </c>
      <c r="K1364" s="182" t="s">
        <v>3591</v>
      </c>
      <c r="L1364" s="182">
        <v>1</v>
      </c>
      <c r="M1364" s="182" t="s">
        <v>3592</v>
      </c>
      <c r="N1364" s="186">
        <v>17.5</v>
      </c>
      <c r="O1364" s="188">
        <v>5.7142857142857099E-2</v>
      </c>
      <c r="P1364" s="188">
        <v>204</v>
      </c>
      <c r="Q1364" s="188">
        <v>11.657142857142899</v>
      </c>
      <c r="R1364" s="189">
        <v>15.06</v>
      </c>
      <c r="S1364" s="189" t="s">
        <v>573</v>
      </c>
    </row>
    <row r="1365" spans="1:19" ht="14.25" customHeight="1" x14ac:dyDescent="0.3">
      <c r="A1365" s="182" t="s">
        <v>3575</v>
      </c>
      <c r="B1365" s="182" t="s">
        <v>937</v>
      </c>
      <c r="C1365" s="182" t="s">
        <v>938</v>
      </c>
      <c r="D1365" s="190" t="s">
        <v>944</v>
      </c>
      <c r="E1365" s="183" t="s">
        <v>945</v>
      </c>
      <c r="F1365" s="183" t="s">
        <v>941</v>
      </c>
      <c r="G1365" s="184">
        <v>1</v>
      </c>
      <c r="H1365" s="185">
        <v>0</v>
      </c>
      <c r="I1365" s="186">
        <v>85927.097156571996</v>
      </c>
      <c r="J1365" s="187">
        <v>85927.097156571996</v>
      </c>
      <c r="K1365" s="182" t="s">
        <v>3591</v>
      </c>
      <c r="L1365" s="182">
        <v>2</v>
      </c>
      <c r="M1365" s="182" t="s">
        <v>3593</v>
      </c>
      <c r="N1365" s="186">
        <v>17.5</v>
      </c>
      <c r="O1365" s="188">
        <v>5.7142857142857099E-2</v>
      </c>
      <c r="P1365" s="188">
        <v>204</v>
      </c>
      <c r="Q1365" s="188">
        <v>11.657142857142899</v>
      </c>
      <c r="R1365" s="189">
        <v>15.06</v>
      </c>
      <c r="S1365" s="189" t="s">
        <v>573</v>
      </c>
    </row>
    <row r="1366" spans="1:19" ht="14.25" customHeight="1" x14ac:dyDescent="0.3">
      <c r="A1366" s="182" t="s">
        <v>3594</v>
      </c>
      <c r="B1366" s="182" t="s">
        <v>563</v>
      </c>
      <c r="C1366" s="182"/>
      <c r="D1366" s="182" t="s">
        <v>3595</v>
      </c>
      <c r="E1366" s="183" t="s">
        <v>3596</v>
      </c>
      <c r="F1366" s="183"/>
      <c r="G1366" s="184">
        <v>30</v>
      </c>
      <c r="H1366" s="185">
        <v>0</v>
      </c>
      <c r="I1366" s="186">
        <v>190.21390119046501</v>
      </c>
      <c r="J1366" s="187">
        <v>5706.4170357139501</v>
      </c>
      <c r="K1366" s="182" t="s">
        <v>3597</v>
      </c>
      <c r="L1366" s="182">
        <v>1</v>
      </c>
      <c r="M1366" s="182" t="s">
        <v>3598</v>
      </c>
      <c r="N1366" s="186">
        <v>30</v>
      </c>
      <c r="O1366" s="188">
        <v>30</v>
      </c>
      <c r="P1366" s="188">
        <v>262</v>
      </c>
      <c r="Q1366" s="188">
        <v>7860</v>
      </c>
      <c r="R1366" s="189">
        <v>15.07</v>
      </c>
      <c r="S1366" s="189" t="s">
        <v>573</v>
      </c>
    </row>
    <row r="1367" spans="1:19" ht="14.25" customHeight="1" x14ac:dyDescent="0.3">
      <c r="A1367" s="182" t="s">
        <v>3594</v>
      </c>
      <c r="B1367" s="182" t="s">
        <v>908</v>
      </c>
      <c r="C1367" s="182" t="s">
        <v>909</v>
      </c>
      <c r="D1367" s="182" t="s">
        <v>3599</v>
      </c>
      <c r="E1367" s="183" t="s">
        <v>3600</v>
      </c>
      <c r="F1367" s="183" t="s">
        <v>2970</v>
      </c>
      <c r="G1367" s="184">
        <v>3.8167938931297697E-2</v>
      </c>
      <c r="H1367" s="185">
        <v>0</v>
      </c>
      <c r="I1367" s="186">
        <v>200000</v>
      </c>
      <c r="J1367" s="187">
        <v>7633.5877862595398</v>
      </c>
      <c r="K1367" s="182" t="s">
        <v>3601</v>
      </c>
      <c r="L1367" s="182">
        <v>1</v>
      </c>
      <c r="M1367" s="182" t="s">
        <v>3602</v>
      </c>
      <c r="N1367" s="186">
        <v>30</v>
      </c>
      <c r="O1367" s="188">
        <v>3.8167938931297697E-2</v>
      </c>
      <c r="P1367" s="188">
        <v>262</v>
      </c>
      <c r="Q1367" s="188">
        <v>10</v>
      </c>
      <c r="R1367" s="189">
        <v>15.07</v>
      </c>
      <c r="S1367" s="189" t="s">
        <v>573</v>
      </c>
    </row>
    <row r="1368" spans="1:19" ht="14.25" customHeight="1" x14ac:dyDescent="0.3">
      <c r="A1368" s="182" t="s">
        <v>3594</v>
      </c>
      <c r="B1368" s="182" t="s">
        <v>937</v>
      </c>
      <c r="C1368" s="182" t="s">
        <v>938</v>
      </c>
      <c r="D1368" s="190" t="s">
        <v>1291</v>
      </c>
      <c r="E1368" s="183" t="s">
        <v>1292</v>
      </c>
      <c r="F1368" s="183" t="s">
        <v>941</v>
      </c>
      <c r="G1368" s="184">
        <v>1</v>
      </c>
      <c r="H1368" s="185">
        <v>0</v>
      </c>
      <c r="I1368" s="186">
        <v>65493.071636572</v>
      </c>
      <c r="J1368" s="187">
        <v>65493.071636572</v>
      </c>
      <c r="K1368" s="182" t="s">
        <v>3603</v>
      </c>
      <c r="L1368" s="182">
        <v>1</v>
      </c>
      <c r="M1368" s="182" t="s">
        <v>3604</v>
      </c>
      <c r="N1368" s="186">
        <v>30</v>
      </c>
      <c r="O1368" s="188">
        <v>3.3333333333333298E-2</v>
      </c>
      <c r="P1368" s="188">
        <v>262</v>
      </c>
      <c r="Q1368" s="188">
        <v>8.7333333333333307</v>
      </c>
      <c r="R1368" s="189">
        <v>15.07</v>
      </c>
      <c r="S1368" s="189" t="s">
        <v>573</v>
      </c>
    </row>
    <row r="1369" spans="1:19" ht="14.25" customHeight="1" x14ac:dyDescent="0.3">
      <c r="A1369" s="182" t="s">
        <v>3594</v>
      </c>
      <c r="B1369" s="182" t="s">
        <v>937</v>
      </c>
      <c r="C1369" s="182" t="s">
        <v>938</v>
      </c>
      <c r="D1369" s="190" t="s">
        <v>944</v>
      </c>
      <c r="E1369" s="183" t="s">
        <v>945</v>
      </c>
      <c r="F1369" s="183" t="s">
        <v>941</v>
      </c>
      <c r="G1369" s="184">
        <v>1</v>
      </c>
      <c r="H1369" s="185">
        <v>0</v>
      </c>
      <c r="I1369" s="186">
        <v>85927.097156571996</v>
      </c>
      <c r="J1369" s="187">
        <v>85927.097156571996</v>
      </c>
      <c r="K1369" s="182" t="s">
        <v>3603</v>
      </c>
      <c r="L1369" s="182">
        <v>2</v>
      </c>
      <c r="M1369" s="182" t="s">
        <v>3605</v>
      </c>
      <c r="N1369" s="186">
        <v>30</v>
      </c>
      <c r="O1369" s="188">
        <v>3.3333333333333298E-2</v>
      </c>
      <c r="P1369" s="188">
        <v>262</v>
      </c>
      <c r="Q1369" s="188">
        <v>8.7333333333333307</v>
      </c>
      <c r="R1369" s="189">
        <v>15.07</v>
      </c>
      <c r="S1369" s="189" t="s">
        <v>573</v>
      </c>
    </row>
    <row r="1370" spans="1:19" ht="14.25" customHeight="1" x14ac:dyDescent="0.3">
      <c r="A1370" s="182" t="s">
        <v>3606</v>
      </c>
      <c r="B1370" s="182" t="s">
        <v>563</v>
      </c>
      <c r="C1370" s="182"/>
      <c r="D1370" s="182" t="s">
        <v>3607</v>
      </c>
      <c r="E1370" s="183" t="s">
        <v>3608</v>
      </c>
      <c r="F1370" s="183"/>
      <c r="G1370" s="184">
        <v>1</v>
      </c>
      <c r="H1370" s="185">
        <v>0</v>
      </c>
      <c r="I1370" s="186">
        <v>294.22469027430799</v>
      </c>
      <c r="J1370" s="187">
        <v>294.22469027430799</v>
      </c>
      <c r="K1370" s="182" t="s">
        <v>3609</v>
      </c>
      <c r="L1370" s="182">
        <v>1</v>
      </c>
      <c r="M1370" s="182" t="s">
        <v>3610</v>
      </c>
      <c r="N1370" s="186">
        <v>1</v>
      </c>
      <c r="O1370" s="188">
        <v>1</v>
      </c>
      <c r="P1370" s="188">
        <v>756</v>
      </c>
      <c r="Q1370" s="188">
        <v>756</v>
      </c>
      <c r="R1370" s="189">
        <v>15.08</v>
      </c>
      <c r="S1370" s="189" t="s">
        <v>573</v>
      </c>
    </row>
    <row r="1371" spans="1:19" ht="14.25" customHeight="1" x14ac:dyDescent="0.3">
      <c r="A1371" s="182" t="s">
        <v>3606</v>
      </c>
      <c r="B1371" s="182" t="s">
        <v>908</v>
      </c>
      <c r="C1371" s="182" t="s">
        <v>909</v>
      </c>
      <c r="D1371" s="182" t="s">
        <v>3611</v>
      </c>
      <c r="E1371" s="183" t="s">
        <v>3612</v>
      </c>
      <c r="F1371" s="183" t="s">
        <v>600</v>
      </c>
      <c r="G1371" s="184">
        <v>1</v>
      </c>
      <c r="H1371" s="185">
        <v>0</v>
      </c>
      <c r="I1371" s="186">
        <v>10000</v>
      </c>
      <c r="J1371" s="187">
        <v>10000</v>
      </c>
      <c r="K1371" s="182" t="s">
        <v>3613</v>
      </c>
      <c r="L1371" s="182">
        <v>1</v>
      </c>
      <c r="M1371" s="182" t="s">
        <v>3614</v>
      </c>
      <c r="N1371" s="186">
        <v>1</v>
      </c>
      <c r="O1371" s="188">
        <v>1</v>
      </c>
      <c r="P1371" s="188">
        <v>756</v>
      </c>
      <c r="Q1371" s="188">
        <v>756</v>
      </c>
      <c r="R1371" s="189">
        <v>15.08</v>
      </c>
      <c r="S1371" s="189" t="s">
        <v>573</v>
      </c>
    </row>
    <row r="1372" spans="1:19" ht="14.25" customHeight="1" x14ac:dyDescent="0.3">
      <c r="A1372" s="182" t="s">
        <v>3606</v>
      </c>
      <c r="B1372" s="182" t="s">
        <v>937</v>
      </c>
      <c r="C1372" s="182" t="s">
        <v>909</v>
      </c>
      <c r="D1372" s="182" t="s">
        <v>3615</v>
      </c>
      <c r="E1372" s="183" t="s">
        <v>3616</v>
      </c>
      <c r="F1372" s="183" t="s">
        <v>941</v>
      </c>
      <c r="G1372" s="184">
        <v>1</v>
      </c>
      <c r="H1372" s="185">
        <v>0</v>
      </c>
      <c r="I1372" s="186">
        <v>9614.97935162053</v>
      </c>
      <c r="J1372" s="187">
        <v>9614.97935162053</v>
      </c>
      <c r="K1372" s="182" t="s">
        <v>3617</v>
      </c>
      <c r="L1372" s="182">
        <v>1</v>
      </c>
      <c r="M1372" s="182" t="s">
        <v>3618</v>
      </c>
      <c r="N1372" s="186">
        <v>1</v>
      </c>
      <c r="O1372" s="188">
        <v>1</v>
      </c>
      <c r="P1372" s="188">
        <v>756</v>
      </c>
      <c r="Q1372" s="188">
        <v>756</v>
      </c>
      <c r="R1372" s="189">
        <v>15.08</v>
      </c>
      <c r="S1372" s="189" t="s">
        <v>573</v>
      </c>
    </row>
    <row r="1373" spans="1:19" ht="14.25" customHeight="1" x14ac:dyDescent="0.3">
      <c r="A1373" s="182" t="s">
        <v>3619</v>
      </c>
      <c r="B1373" s="182" t="s">
        <v>563</v>
      </c>
      <c r="C1373" s="182"/>
      <c r="D1373" s="182" t="s">
        <v>3620</v>
      </c>
      <c r="E1373" s="183" t="s">
        <v>3621</v>
      </c>
      <c r="F1373" s="183"/>
      <c r="G1373" s="184">
        <v>1</v>
      </c>
      <c r="H1373" s="185">
        <v>0</v>
      </c>
      <c r="I1373" s="186">
        <v>351.91456638403099</v>
      </c>
      <c r="J1373" s="187">
        <v>351.91456638403099</v>
      </c>
      <c r="K1373" s="182" t="s">
        <v>3622</v>
      </c>
      <c r="L1373" s="182">
        <v>1</v>
      </c>
      <c r="M1373" s="182" t="s">
        <v>3623</v>
      </c>
      <c r="N1373" s="186">
        <v>1</v>
      </c>
      <c r="O1373" s="188">
        <v>1</v>
      </c>
      <c r="P1373" s="188">
        <v>56</v>
      </c>
      <c r="Q1373" s="188">
        <v>56</v>
      </c>
      <c r="R1373" s="189">
        <v>15.09</v>
      </c>
      <c r="S1373" s="189" t="s">
        <v>573</v>
      </c>
    </row>
    <row r="1374" spans="1:19" ht="14.25" customHeight="1" x14ac:dyDescent="0.3">
      <c r="A1374" s="182" t="s">
        <v>3619</v>
      </c>
      <c r="B1374" s="182" t="s">
        <v>908</v>
      </c>
      <c r="C1374" s="182" t="s">
        <v>909</v>
      </c>
      <c r="D1374" s="182" t="s">
        <v>3611</v>
      </c>
      <c r="E1374" s="183" t="s">
        <v>3612</v>
      </c>
      <c r="F1374" s="183" t="s">
        <v>600</v>
      </c>
      <c r="G1374" s="184">
        <v>1</v>
      </c>
      <c r="H1374" s="185">
        <v>0</v>
      </c>
      <c r="I1374" s="186">
        <v>10000</v>
      </c>
      <c r="J1374" s="187">
        <v>10000</v>
      </c>
      <c r="K1374" s="182" t="s">
        <v>3624</v>
      </c>
      <c r="L1374" s="182">
        <v>1</v>
      </c>
      <c r="M1374" s="182" t="s">
        <v>3625</v>
      </c>
      <c r="N1374" s="186">
        <v>1</v>
      </c>
      <c r="O1374" s="188">
        <v>1</v>
      </c>
      <c r="P1374" s="188">
        <v>56</v>
      </c>
      <c r="Q1374" s="188">
        <v>56</v>
      </c>
      <c r="R1374" s="189">
        <v>15.09</v>
      </c>
      <c r="S1374" s="189" t="s">
        <v>573</v>
      </c>
    </row>
    <row r="1375" spans="1:19" ht="14.25" customHeight="1" x14ac:dyDescent="0.3">
      <c r="A1375" s="182" t="s">
        <v>3619</v>
      </c>
      <c r="B1375" s="182" t="s">
        <v>937</v>
      </c>
      <c r="C1375" s="182" t="s">
        <v>909</v>
      </c>
      <c r="D1375" s="182" t="s">
        <v>3626</v>
      </c>
      <c r="E1375" s="183" t="s">
        <v>3627</v>
      </c>
      <c r="F1375" s="183" t="s">
        <v>941</v>
      </c>
      <c r="G1375" s="184">
        <v>1</v>
      </c>
      <c r="H1375" s="185">
        <v>0</v>
      </c>
      <c r="I1375" s="186">
        <v>13460.971092268701</v>
      </c>
      <c r="J1375" s="187">
        <v>13460.971092268701</v>
      </c>
      <c r="K1375" s="182" t="s">
        <v>3628</v>
      </c>
      <c r="L1375" s="182">
        <v>1</v>
      </c>
      <c r="M1375" s="182" t="s">
        <v>3629</v>
      </c>
      <c r="N1375" s="186">
        <v>1</v>
      </c>
      <c r="O1375" s="188">
        <v>1</v>
      </c>
      <c r="P1375" s="188">
        <v>56</v>
      </c>
      <c r="Q1375" s="188">
        <v>56</v>
      </c>
      <c r="R1375" s="189">
        <v>15.09</v>
      </c>
      <c r="S1375" s="189" t="s">
        <v>573</v>
      </c>
    </row>
    <row r="1376" spans="1:19" ht="14.25" customHeight="1" x14ac:dyDescent="0.3">
      <c r="A1376" s="182" t="s">
        <v>3630</v>
      </c>
      <c r="B1376" s="182" t="s">
        <v>563</v>
      </c>
      <c r="C1376" s="182"/>
      <c r="D1376" s="182" t="s">
        <v>3631</v>
      </c>
      <c r="E1376" s="183" t="s">
        <v>3632</v>
      </c>
      <c r="F1376" s="183"/>
      <c r="G1376" s="184">
        <v>1</v>
      </c>
      <c r="H1376" s="185">
        <v>0</v>
      </c>
      <c r="I1376" s="186">
        <v>9813.9075956914803</v>
      </c>
      <c r="J1376" s="187">
        <v>9813.9075956914803</v>
      </c>
      <c r="K1376" s="182" t="s">
        <v>3633</v>
      </c>
      <c r="L1376" s="182">
        <v>1</v>
      </c>
      <c r="M1376" s="182" t="s">
        <v>3634</v>
      </c>
      <c r="N1376" s="186">
        <v>1</v>
      </c>
      <c r="O1376" s="188">
        <v>1</v>
      </c>
      <c r="P1376" s="188">
        <v>1</v>
      </c>
      <c r="Q1376" s="188">
        <v>1</v>
      </c>
      <c r="R1376" s="189">
        <v>15.1</v>
      </c>
      <c r="S1376" s="189" t="s">
        <v>844</v>
      </c>
    </row>
    <row r="1377" spans="1:19" ht="14.25" customHeight="1" x14ac:dyDescent="0.3">
      <c r="A1377" s="182" t="s">
        <v>3630</v>
      </c>
      <c r="B1377" s="182" t="s">
        <v>908</v>
      </c>
      <c r="C1377" s="182" t="s">
        <v>909</v>
      </c>
      <c r="D1377" s="182" t="s">
        <v>976</v>
      </c>
      <c r="E1377" s="183" t="s">
        <v>977</v>
      </c>
      <c r="F1377" s="183" t="s">
        <v>576</v>
      </c>
      <c r="G1377" s="184">
        <v>150000</v>
      </c>
      <c r="H1377" s="185">
        <v>0</v>
      </c>
      <c r="I1377" s="186">
        <v>1</v>
      </c>
      <c r="J1377" s="187">
        <v>150000</v>
      </c>
      <c r="K1377" s="182" t="s">
        <v>3635</v>
      </c>
      <c r="L1377" s="182">
        <v>1</v>
      </c>
      <c r="M1377" s="182" t="s">
        <v>3636</v>
      </c>
      <c r="N1377" s="186">
        <v>1</v>
      </c>
      <c r="O1377" s="188">
        <v>150000</v>
      </c>
      <c r="P1377" s="188">
        <v>1</v>
      </c>
      <c r="Q1377" s="188">
        <v>150000</v>
      </c>
      <c r="R1377" s="189">
        <v>15.1</v>
      </c>
      <c r="S1377" s="189" t="s">
        <v>844</v>
      </c>
    </row>
    <row r="1378" spans="1:19" ht="14.25" customHeight="1" x14ac:dyDescent="0.3">
      <c r="A1378" s="182" t="s">
        <v>3630</v>
      </c>
      <c r="B1378" s="182" t="s">
        <v>908</v>
      </c>
      <c r="C1378" s="182" t="s">
        <v>909</v>
      </c>
      <c r="D1378" s="182" t="s">
        <v>3637</v>
      </c>
      <c r="E1378" s="183" t="s">
        <v>3638</v>
      </c>
      <c r="F1378" s="183" t="s">
        <v>2970</v>
      </c>
      <c r="G1378" s="184">
        <v>1</v>
      </c>
      <c r="H1378" s="185">
        <v>0</v>
      </c>
      <c r="I1378" s="186">
        <v>50000</v>
      </c>
      <c r="J1378" s="187">
        <v>50000</v>
      </c>
      <c r="K1378" s="182" t="s">
        <v>3635</v>
      </c>
      <c r="L1378" s="182">
        <v>2</v>
      </c>
      <c r="M1378" s="182" t="s">
        <v>3639</v>
      </c>
      <c r="N1378" s="186">
        <v>1</v>
      </c>
      <c r="O1378" s="188">
        <v>1</v>
      </c>
      <c r="P1378" s="188">
        <v>1</v>
      </c>
      <c r="Q1378" s="188">
        <v>1</v>
      </c>
      <c r="R1378" s="189">
        <v>15.1</v>
      </c>
      <c r="S1378" s="189" t="s">
        <v>844</v>
      </c>
    </row>
    <row r="1379" spans="1:19" ht="14.25" customHeight="1" x14ac:dyDescent="0.3">
      <c r="A1379" s="182" t="s">
        <v>3630</v>
      </c>
      <c r="B1379" s="182" t="s">
        <v>937</v>
      </c>
      <c r="C1379" s="182" t="s">
        <v>938</v>
      </c>
      <c r="D1379" s="190" t="s">
        <v>944</v>
      </c>
      <c r="E1379" s="183" t="s">
        <v>945</v>
      </c>
      <c r="F1379" s="183" t="s">
        <v>941</v>
      </c>
      <c r="G1379" s="184">
        <v>3</v>
      </c>
      <c r="H1379" s="185">
        <v>0</v>
      </c>
      <c r="I1379" s="186">
        <v>85927.097156571996</v>
      </c>
      <c r="J1379" s="187">
        <v>257781.291469716</v>
      </c>
      <c r="K1379" s="182" t="s">
        <v>3640</v>
      </c>
      <c r="L1379" s="182">
        <v>1</v>
      </c>
      <c r="M1379" s="182" t="s">
        <v>3641</v>
      </c>
      <c r="N1379" s="186">
        <v>1</v>
      </c>
      <c r="O1379" s="188">
        <v>3</v>
      </c>
      <c r="P1379" s="188">
        <v>1</v>
      </c>
      <c r="Q1379" s="188">
        <v>3</v>
      </c>
      <c r="R1379" s="189">
        <v>15.1</v>
      </c>
      <c r="S1379" s="189" t="s">
        <v>844</v>
      </c>
    </row>
    <row r="1380" spans="1:19" ht="14.25" customHeight="1" x14ac:dyDescent="0.3">
      <c r="A1380" s="182" t="s">
        <v>3630</v>
      </c>
      <c r="B1380" s="182" t="s">
        <v>937</v>
      </c>
      <c r="C1380" s="182" t="s">
        <v>938</v>
      </c>
      <c r="D1380" s="190" t="s">
        <v>1291</v>
      </c>
      <c r="E1380" s="183" t="s">
        <v>1292</v>
      </c>
      <c r="F1380" s="183" t="s">
        <v>941</v>
      </c>
      <c r="G1380" s="184">
        <v>3</v>
      </c>
      <c r="H1380" s="185">
        <v>0</v>
      </c>
      <c r="I1380" s="186">
        <v>65493.071636572</v>
      </c>
      <c r="J1380" s="187">
        <v>196479.21490971601</v>
      </c>
      <c r="K1380" s="182" t="s">
        <v>3640</v>
      </c>
      <c r="L1380" s="182">
        <v>2</v>
      </c>
      <c r="M1380" s="182" t="s">
        <v>3642</v>
      </c>
      <c r="N1380" s="186">
        <v>1</v>
      </c>
      <c r="O1380" s="188">
        <v>3</v>
      </c>
      <c r="P1380" s="188">
        <v>1</v>
      </c>
      <c r="Q1380" s="188">
        <v>3</v>
      </c>
      <c r="R1380" s="189">
        <v>15.1</v>
      </c>
      <c r="S1380" s="189" t="s">
        <v>844</v>
      </c>
    </row>
    <row r="1381" spans="1:19" ht="14.25" customHeight="1" x14ac:dyDescent="0.3">
      <c r="A1381" s="182" t="s">
        <v>3643</v>
      </c>
      <c r="B1381" s="182" t="s">
        <v>908</v>
      </c>
      <c r="C1381" s="182" t="s">
        <v>909</v>
      </c>
      <c r="D1381" s="182" t="s">
        <v>910</v>
      </c>
      <c r="E1381" s="183" t="s">
        <v>911</v>
      </c>
      <c r="F1381" s="183" t="s">
        <v>912</v>
      </c>
      <c r="G1381" s="184">
        <v>2.27188356164384E-2</v>
      </c>
      <c r="H1381" s="185">
        <v>0.1</v>
      </c>
      <c r="I1381" s="186">
        <v>26907.33</v>
      </c>
      <c r="J1381" s="187">
        <v>672.43352786198795</v>
      </c>
      <c r="K1381" s="182" t="s">
        <v>3644</v>
      </c>
      <c r="L1381" s="182">
        <v>1</v>
      </c>
      <c r="M1381" s="182" t="s">
        <v>3645</v>
      </c>
      <c r="N1381" s="186">
        <v>1</v>
      </c>
      <c r="O1381" s="188">
        <v>2.27188356164384E-2</v>
      </c>
      <c r="P1381" s="188">
        <v>73</v>
      </c>
      <c r="Q1381" s="188">
        <v>1.6584749999999999</v>
      </c>
      <c r="R1381" s="189">
        <v>15.11</v>
      </c>
      <c r="S1381" s="189" t="s">
        <v>573</v>
      </c>
    </row>
    <row r="1382" spans="1:19" ht="14.25" customHeight="1" x14ac:dyDescent="0.3">
      <c r="A1382" s="182" t="s">
        <v>3643</v>
      </c>
      <c r="B1382" s="182" t="s">
        <v>908</v>
      </c>
      <c r="C1382" s="182" t="s">
        <v>909</v>
      </c>
      <c r="D1382" s="182" t="s">
        <v>1262</v>
      </c>
      <c r="E1382" s="183" t="s">
        <v>1263</v>
      </c>
      <c r="F1382" s="183" t="s">
        <v>600</v>
      </c>
      <c r="G1382" s="184">
        <v>9.0875342465753406E-2</v>
      </c>
      <c r="H1382" s="185">
        <v>0.05</v>
      </c>
      <c r="I1382" s="186">
        <v>5661.4</v>
      </c>
      <c r="J1382" s="187">
        <v>540.20574702739702</v>
      </c>
      <c r="K1382" s="182" t="s">
        <v>3644</v>
      </c>
      <c r="L1382" s="182">
        <v>2</v>
      </c>
      <c r="M1382" s="182" t="s">
        <v>3646</v>
      </c>
      <c r="N1382" s="186">
        <v>1</v>
      </c>
      <c r="O1382" s="188">
        <v>9.0875342465753406E-2</v>
      </c>
      <c r="P1382" s="188">
        <v>73</v>
      </c>
      <c r="Q1382" s="188">
        <v>6.6338999999999997</v>
      </c>
      <c r="R1382" s="189">
        <v>15.11</v>
      </c>
      <c r="S1382" s="189" t="s">
        <v>573</v>
      </c>
    </row>
    <row r="1383" spans="1:19" ht="14.25" customHeight="1" x14ac:dyDescent="0.3">
      <c r="A1383" s="182" t="s">
        <v>3643</v>
      </c>
      <c r="B1383" s="182" t="s">
        <v>908</v>
      </c>
      <c r="C1383" s="182" t="s">
        <v>909</v>
      </c>
      <c r="D1383" s="182" t="s">
        <v>1265</v>
      </c>
      <c r="E1383" s="183" t="s">
        <v>1266</v>
      </c>
      <c r="F1383" s="183" t="s">
        <v>600</v>
      </c>
      <c r="G1383" s="184">
        <v>0.22718835616438399</v>
      </c>
      <c r="H1383" s="185">
        <v>0.1</v>
      </c>
      <c r="I1383" s="186">
        <v>3293.01</v>
      </c>
      <c r="J1383" s="187">
        <v>822.94688160616602</v>
      </c>
      <c r="K1383" s="182" t="s">
        <v>3644</v>
      </c>
      <c r="L1383" s="182">
        <v>3</v>
      </c>
      <c r="M1383" s="182" t="s">
        <v>3647</v>
      </c>
      <c r="N1383" s="186">
        <v>1</v>
      </c>
      <c r="O1383" s="188">
        <v>0.22718835616438399</v>
      </c>
      <c r="P1383" s="188">
        <v>73</v>
      </c>
      <c r="Q1383" s="188">
        <v>16.58475</v>
      </c>
      <c r="R1383" s="189">
        <v>15.11</v>
      </c>
      <c r="S1383" s="189" t="s">
        <v>573</v>
      </c>
    </row>
    <row r="1384" spans="1:19" ht="14.25" customHeight="1" x14ac:dyDescent="0.3">
      <c r="A1384" s="182" t="s">
        <v>3643</v>
      </c>
      <c r="B1384" s="182" t="s">
        <v>908</v>
      </c>
      <c r="C1384" s="182" t="s">
        <v>909</v>
      </c>
      <c r="D1384" s="182" t="s">
        <v>915</v>
      </c>
      <c r="E1384" s="183" t="s">
        <v>916</v>
      </c>
      <c r="F1384" s="183" t="s">
        <v>600</v>
      </c>
      <c r="G1384" s="184">
        <v>4.5437671232876703E-2</v>
      </c>
      <c r="H1384" s="185">
        <v>0.05</v>
      </c>
      <c r="I1384" s="186">
        <v>735.06</v>
      </c>
      <c r="J1384" s="187">
        <v>35.069385347260301</v>
      </c>
      <c r="K1384" s="182" t="s">
        <v>3644</v>
      </c>
      <c r="L1384" s="182">
        <v>4</v>
      </c>
      <c r="M1384" s="182" t="s">
        <v>3648</v>
      </c>
      <c r="N1384" s="186">
        <v>1</v>
      </c>
      <c r="O1384" s="188">
        <v>4.5437671232876703E-2</v>
      </c>
      <c r="P1384" s="188">
        <v>73</v>
      </c>
      <c r="Q1384" s="188">
        <v>3.3169499999999998</v>
      </c>
      <c r="R1384" s="189">
        <v>15.11</v>
      </c>
      <c r="S1384" s="189" t="s">
        <v>573</v>
      </c>
    </row>
    <row r="1385" spans="1:19" ht="14.25" customHeight="1" x14ac:dyDescent="0.3">
      <c r="A1385" s="182" t="s">
        <v>3643</v>
      </c>
      <c r="B1385" s="182" t="s">
        <v>908</v>
      </c>
      <c r="C1385" s="182" t="s">
        <v>909</v>
      </c>
      <c r="D1385" s="182" t="s">
        <v>918</v>
      </c>
      <c r="E1385" s="183" t="s">
        <v>919</v>
      </c>
      <c r="F1385" s="183" t="s">
        <v>600</v>
      </c>
      <c r="G1385" s="184">
        <v>4.5437671232876703E-2</v>
      </c>
      <c r="H1385" s="185">
        <v>0.05</v>
      </c>
      <c r="I1385" s="186">
        <v>6678.36</v>
      </c>
      <c r="J1385" s="187">
        <v>318.62158235753401</v>
      </c>
      <c r="K1385" s="182" t="s">
        <v>3644</v>
      </c>
      <c r="L1385" s="182">
        <v>5</v>
      </c>
      <c r="M1385" s="182" t="s">
        <v>3649</v>
      </c>
      <c r="N1385" s="186">
        <v>1</v>
      </c>
      <c r="O1385" s="188">
        <v>4.5437671232876703E-2</v>
      </c>
      <c r="P1385" s="188">
        <v>73</v>
      </c>
      <c r="Q1385" s="188">
        <v>3.3169499999999998</v>
      </c>
      <c r="R1385" s="189">
        <v>15.11</v>
      </c>
      <c r="S1385" s="189" t="s">
        <v>573</v>
      </c>
    </row>
    <row r="1386" spans="1:19" ht="14.25" customHeight="1" x14ac:dyDescent="0.3">
      <c r="A1386" s="182" t="s">
        <v>3643</v>
      </c>
      <c r="B1386" s="182" t="s">
        <v>908</v>
      </c>
      <c r="C1386" s="182" t="s">
        <v>909</v>
      </c>
      <c r="D1386" s="182" t="s">
        <v>921</v>
      </c>
      <c r="E1386" s="183" t="s">
        <v>922</v>
      </c>
      <c r="F1386" s="183" t="s">
        <v>600</v>
      </c>
      <c r="G1386" s="184">
        <v>4.5437671232876703E-2</v>
      </c>
      <c r="H1386" s="185">
        <v>0.05</v>
      </c>
      <c r="I1386" s="186">
        <v>5282.24</v>
      </c>
      <c r="J1386" s="187">
        <v>252.013318717808</v>
      </c>
      <c r="K1386" s="182" t="s">
        <v>3644</v>
      </c>
      <c r="L1386" s="182">
        <v>6</v>
      </c>
      <c r="M1386" s="182" t="s">
        <v>3650</v>
      </c>
      <c r="N1386" s="186">
        <v>1</v>
      </c>
      <c r="O1386" s="188">
        <v>4.5437671232876703E-2</v>
      </c>
      <c r="P1386" s="188">
        <v>73</v>
      </c>
      <c r="Q1386" s="188">
        <v>3.3169499999999998</v>
      </c>
      <c r="R1386" s="189">
        <v>15.11</v>
      </c>
      <c r="S1386" s="189" t="s">
        <v>573</v>
      </c>
    </row>
    <row r="1387" spans="1:19" ht="14.25" customHeight="1" x14ac:dyDescent="0.3">
      <c r="A1387" s="182" t="s">
        <v>3643</v>
      </c>
      <c r="B1387" s="182" t="s">
        <v>908</v>
      </c>
      <c r="C1387" s="182" t="s">
        <v>909</v>
      </c>
      <c r="D1387" s="182" t="s">
        <v>1271</v>
      </c>
      <c r="E1387" s="183" t="s">
        <v>1272</v>
      </c>
      <c r="F1387" s="183" t="s">
        <v>600</v>
      </c>
      <c r="G1387" s="184">
        <v>4.5437671232876703E-2</v>
      </c>
      <c r="H1387" s="185">
        <v>0.05</v>
      </c>
      <c r="I1387" s="186">
        <v>7427.6</v>
      </c>
      <c r="J1387" s="187">
        <v>354.36748919178098</v>
      </c>
      <c r="K1387" s="182" t="s">
        <v>3644</v>
      </c>
      <c r="L1387" s="182">
        <v>7</v>
      </c>
      <c r="M1387" s="182" t="s">
        <v>3651</v>
      </c>
      <c r="N1387" s="186">
        <v>1</v>
      </c>
      <c r="O1387" s="188">
        <v>4.5437671232876703E-2</v>
      </c>
      <c r="P1387" s="188">
        <v>73</v>
      </c>
      <c r="Q1387" s="188">
        <v>3.3169499999999998</v>
      </c>
      <c r="R1387" s="189">
        <v>15.11</v>
      </c>
      <c r="S1387" s="189" t="s">
        <v>573</v>
      </c>
    </row>
    <row r="1388" spans="1:19" ht="14.25" customHeight="1" x14ac:dyDescent="0.3">
      <c r="A1388" s="182" t="s">
        <v>3643</v>
      </c>
      <c r="B1388" s="182" t="s">
        <v>908</v>
      </c>
      <c r="C1388" s="182" t="s">
        <v>909</v>
      </c>
      <c r="D1388" s="182" t="s">
        <v>1976</v>
      </c>
      <c r="E1388" s="183" t="s">
        <v>1977</v>
      </c>
      <c r="F1388" s="183" t="s">
        <v>912</v>
      </c>
      <c r="G1388" s="184">
        <v>0.28398544520548002</v>
      </c>
      <c r="H1388" s="185">
        <v>0.1</v>
      </c>
      <c r="I1388" s="186">
        <v>28011.57</v>
      </c>
      <c r="J1388" s="187">
        <v>8750.36599508992</v>
      </c>
      <c r="K1388" s="182" t="s">
        <v>3644</v>
      </c>
      <c r="L1388" s="182">
        <v>8</v>
      </c>
      <c r="M1388" s="182" t="s">
        <v>3652</v>
      </c>
      <c r="N1388" s="186">
        <v>1</v>
      </c>
      <c r="O1388" s="188">
        <v>0.28398544520548002</v>
      </c>
      <c r="P1388" s="188">
        <v>73</v>
      </c>
      <c r="Q1388" s="188">
        <v>20.7309375</v>
      </c>
      <c r="R1388" s="189">
        <v>15.11</v>
      </c>
      <c r="S1388" s="189" t="s">
        <v>573</v>
      </c>
    </row>
    <row r="1389" spans="1:19" ht="14.25" customHeight="1" x14ac:dyDescent="0.3">
      <c r="A1389" s="182" t="s">
        <v>3643</v>
      </c>
      <c r="B1389" s="182" t="s">
        <v>563</v>
      </c>
      <c r="C1389" s="182"/>
      <c r="D1389" s="182" t="s">
        <v>3653</v>
      </c>
      <c r="E1389" s="183" t="s">
        <v>3654</v>
      </c>
      <c r="F1389" s="183"/>
      <c r="G1389" s="184">
        <v>1</v>
      </c>
      <c r="H1389" s="185">
        <v>0</v>
      </c>
      <c r="I1389" s="186">
        <v>924.64231650722797</v>
      </c>
      <c r="J1389" s="187">
        <v>924.64231650722797</v>
      </c>
      <c r="K1389" s="182" t="s">
        <v>3655</v>
      </c>
      <c r="L1389" s="182">
        <v>1</v>
      </c>
      <c r="M1389" s="182" t="s">
        <v>3656</v>
      </c>
      <c r="N1389" s="186">
        <v>1</v>
      </c>
      <c r="O1389" s="188">
        <v>1</v>
      </c>
      <c r="P1389" s="188">
        <v>73</v>
      </c>
      <c r="Q1389" s="188">
        <v>73</v>
      </c>
      <c r="R1389" s="189">
        <v>15.11</v>
      </c>
      <c r="S1389" s="189" t="s">
        <v>573</v>
      </c>
    </row>
    <row r="1390" spans="1:19" ht="14.25" customHeight="1" x14ac:dyDescent="0.3">
      <c r="A1390" s="182" t="s">
        <v>3643</v>
      </c>
      <c r="B1390" s="182" t="s">
        <v>937</v>
      </c>
      <c r="C1390" s="182" t="s">
        <v>909</v>
      </c>
      <c r="D1390" s="182" t="s">
        <v>3657</v>
      </c>
      <c r="E1390" s="183" t="s">
        <v>3162</v>
      </c>
      <c r="F1390" s="183" t="s">
        <v>941</v>
      </c>
      <c r="G1390" s="184">
        <v>4.5437671232876697</v>
      </c>
      <c r="H1390" s="185">
        <v>0</v>
      </c>
      <c r="I1390" s="186">
        <v>10981.3720244489</v>
      </c>
      <c r="J1390" s="187">
        <v>49896.797173281899</v>
      </c>
      <c r="K1390" s="182" t="s">
        <v>3658</v>
      </c>
      <c r="L1390" s="182">
        <v>1</v>
      </c>
      <c r="M1390" s="182" t="s">
        <v>3659</v>
      </c>
      <c r="N1390" s="186">
        <v>1</v>
      </c>
      <c r="O1390" s="188">
        <v>4.5437671232876697</v>
      </c>
      <c r="P1390" s="188">
        <v>73</v>
      </c>
      <c r="Q1390" s="188">
        <v>331.69499999999999</v>
      </c>
      <c r="R1390" s="189">
        <v>15.11</v>
      </c>
      <c r="S1390" s="189" t="s">
        <v>573</v>
      </c>
    </row>
    <row r="1391" spans="1:19" ht="14.25" customHeight="1" x14ac:dyDescent="0.3">
      <c r="A1391" s="182" t="s">
        <v>3660</v>
      </c>
      <c r="B1391" s="182" t="s">
        <v>563</v>
      </c>
      <c r="C1391" s="182"/>
      <c r="D1391" s="182" t="s">
        <v>3661</v>
      </c>
      <c r="E1391" s="183" t="s">
        <v>3662</v>
      </c>
      <c r="F1391" s="183"/>
      <c r="G1391" s="184">
        <v>1</v>
      </c>
      <c r="H1391" s="185">
        <v>0</v>
      </c>
      <c r="I1391" s="186">
        <v>47531.971299682802</v>
      </c>
      <c r="J1391" s="187">
        <v>47531.971299682802</v>
      </c>
      <c r="K1391" s="182" t="s">
        <v>3663</v>
      </c>
      <c r="L1391" s="182">
        <v>1</v>
      </c>
      <c r="M1391" s="182" t="s">
        <v>3664</v>
      </c>
      <c r="N1391" s="186">
        <v>1</v>
      </c>
      <c r="O1391" s="188">
        <v>1</v>
      </c>
      <c r="P1391" s="188">
        <v>1</v>
      </c>
      <c r="Q1391" s="188">
        <v>1</v>
      </c>
      <c r="R1391" s="189">
        <v>15.12</v>
      </c>
      <c r="S1391" s="189" t="s">
        <v>573</v>
      </c>
    </row>
    <row r="1392" spans="1:19" ht="14.25" customHeight="1" x14ac:dyDescent="0.3">
      <c r="A1392" s="182" t="s">
        <v>3660</v>
      </c>
      <c r="B1392" s="182" t="s">
        <v>908</v>
      </c>
      <c r="C1392" s="182" t="s">
        <v>909</v>
      </c>
      <c r="D1392" s="182" t="s">
        <v>910</v>
      </c>
      <c r="E1392" s="183" t="s">
        <v>911</v>
      </c>
      <c r="F1392" s="183" t="s">
        <v>912</v>
      </c>
      <c r="G1392" s="184">
        <v>0.758544</v>
      </c>
      <c r="H1392" s="185">
        <v>0.1</v>
      </c>
      <c r="I1392" s="186">
        <v>26907.33</v>
      </c>
      <c r="J1392" s="187">
        <v>22451.433100271999</v>
      </c>
      <c r="K1392" s="182" t="s">
        <v>3665</v>
      </c>
      <c r="L1392" s="182">
        <v>1</v>
      </c>
      <c r="M1392" s="182" t="s">
        <v>3666</v>
      </c>
      <c r="N1392" s="186">
        <v>1</v>
      </c>
      <c r="O1392" s="188">
        <v>0.758544</v>
      </c>
      <c r="P1392" s="188">
        <v>1</v>
      </c>
      <c r="Q1392" s="188">
        <v>0.758544</v>
      </c>
      <c r="R1392" s="189">
        <v>15.12</v>
      </c>
      <c r="S1392" s="189" t="s">
        <v>573</v>
      </c>
    </row>
    <row r="1393" spans="1:19" ht="14.25" customHeight="1" x14ac:dyDescent="0.3">
      <c r="A1393" s="182" t="s">
        <v>3660</v>
      </c>
      <c r="B1393" s="182" t="s">
        <v>908</v>
      </c>
      <c r="C1393" s="182" t="s">
        <v>909</v>
      </c>
      <c r="D1393" s="182" t="s">
        <v>1262</v>
      </c>
      <c r="E1393" s="183" t="s">
        <v>1263</v>
      </c>
      <c r="F1393" s="183" t="s">
        <v>600</v>
      </c>
      <c r="G1393" s="184">
        <v>3.034176</v>
      </c>
      <c r="H1393" s="185">
        <v>0.05</v>
      </c>
      <c r="I1393" s="186">
        <v>5661.4</v>
      </c>
      <c r="J1393" s="187">
        <v>18036.56820672</v>
      </c>
      <c r="K1393" s="182" t="s">
        <v>3665</v>
      </c>
      <c r="L1393" s="182">
        <v>2</v>
      </c>
      <c r="M1393" s="182" t="s">
        <v>3667</v>
      </c>
      <c r="N1393" s="186">
        <v>1</v>
      </c>
      <c r="O1393" s="188">
        <v>3.034176</v>
      </c>
      <c r="P1393" s="188">
        <v>1</v>
      </c>
      <c r="Q1393" s="188">
        <v>3.034176</v>
      </c>
      <c r="R1393" s="189">
        <v>15.12</v>
      </c>
      <c r="S1393" s="189" t="s">
        <v>573</v>
      </c>
    </row>
    <row r="1394" spans="1:19" ht="14.25" customHeight="1" x14ac:dyDescent="0.3">
      <c r="A1394" s="182" t="s">
        <v>3660</v>
      </c>
      <c r="B1394" s="182" t="s">
        <v>908</v>
      </c>
      <c r="C1394" s="182" t="s">
        <v>909</v>
      </c>
      <c r="D1394" s="182" t="s">
        <v>1265</v>
      </c>
      <c r="E1394" s="183" t="s">
        <v>1266</v>
      </c>
      <c r="F1394" s="183" t="s">
        <v>600</v>
      </c>
      <c r="G1394" s="184">
        <v>7.5854400000000002</v>
      </c>
      <c r="H1394" s="185">
        <v>0.1</v>
      </c>
      <c r="I1394" s="186">
        <v>3293.01</v>
      </c>
      <c r="J1394" s="187">
        <v>27476.822751840002</v>
      </c>
      <c r="K1394" s="182" t="s">
        <v>3665</v>
      </c>
      <c r="L1394" s="182">
        <v>3</v>
      </c>
      <c r="M1394" s="182" t="s">
        <v>3668</v>
      </c>
      <c r="N1394" s="186">
        <v>1</v>
      </c>
      <c r="O1394" s="188">
        <v>7.5854400000000002</v>
      </c>
      <c r="P1394" s="188">
        <v>1</v>
      </c>
      <c r="Q1394" s="188">
        <v>7.5854400000000002</v>
      </c>
      <c r="R1394" s="189">
        <v>15.12</v>
      </c>
      <c r="S1394" s="189" t="s">
        <v>573</v>
      </c>
    </row>
    <row r="1395" spans="1:19" ht="14.25" customHeight="1" x14ac:dyDescent="0.3">
      <c r="A1395" s="182" t="s">
        <v>3660</v>
      </c>
      <c r="B1395" s="182" t="s">
        <v>908</v>
      </c>
      <c r="C1395" s="182" t="s">
        <v>909</v>
      </c>
      <c r="D1395" s="182" t="s">
        <v>915</v>
      </c>
      <c r="E1395" s="183" t="s">
        <v>916</v>
      </c>
      <c r="F1395" s="183" t="s">
        <v>600</v>
      </c>
      <c r="G1395" s="184">
        <v>1.517088</v>
      </c>
      <c r="H1395" s="185">
        <v>0.05</v>
      </c>
      <c r="I1395" s="186">
        <v>735.06</v>
      </c>
      <c r="J1395" s="187">
        <v>1170.9082405439999</v>
      </c>
      <c r="K1395" s="182" t="s">
        <v>3665</v>
      </c>
      <c r="L1395" s="182">
        <v>4</v>
      </c>
      <c r="M1395" s="182" t="s">
        <v>3669</v>
      </c>
      <c r="N1395" s="186">
        <v>1</v>
      </c>
      <c r="O1395" s="188">
        <v>1.517088</v>
      </c>
      <c r="P1395" s="188">
        <v>1</v>
      </c>
      <c r="Q1395" s="188">
        <v>1.517088</v>
      </c>
      <c r="R1395" s="189">
        <v>15.12</v>
      </c>
      <c r="S1395" s="189" t="s">
        <v>573</v>
      </c>
    </row>
    <row r="1396" spans="1:19" ht="14.25" customHeight="1" x14ac:dyDescent="0.3">
      <c r="A1396" s="182" t="s">
        <v>3660</v>
      </c>
      <c r="B1396" s="182" t="s">
        <v>908</v>
      </c>
      <c r="C1396" s="182" t="s">
        <v>909</v>
      </c>
      <c r="D1396" s="182" t="s">
        <v>918</v>
      </c>
      <c r="E1396" s="183" t="s">
        <v>919</v>
      </c>
      <c r="F1396" s="183" t="s">
        <v>600</v>
      </c>
      <c r="G1396" s="184">
        <v>1.517088</v>
      </c>
      <c r="H1396" s="185">
        <v>0.05</v>
      </c>
      <c r="I1396" s="186">
        <v>6678.36</v>
      </c>
      <c r="J1396" s="187">
        <v>10638.242806464001</v>
      </c>
      <c r="K1396" s="182" t="s">
        <v>3665</v>
      </c>
      <c r="L1396" s="182">
        <v>5</v>
      </c>
      <c r="M1396" s="182" t="s">
        <v>3670</v>
      </c>
      <c r="N1396" s="186">
        <v>1</v>
      </c>
      <c r="O1396" s="188">
        <v>1.517088</v>
      </c>
      <c r="P1396" s="188">
        <v>1</v>
      </c>
      <c r="Q1396" s="188">
        <v>1.517088</v>
      </c>
      <c r="R1396" s="189">
        <v>15.12</v>
      </c>
      <c r="S1396" s="189" t="s">
        <v>573</v>
      </c>
    </row>
    <row r="1397" spans="1:19" ht="14.25" customHeight="1" x14ac:dyDescent="0.3">
      <c r="A1397" s="182" t="s">
        <v>3660</v>
      </c>
      <c r="B1397" s="182" t="s">
        <v>908</v>
      </c>
      <c r="C1397" s="182" t="s">
        <v>909</v>
      </c>
      <c r="D1397" s="182" t="s">
        <v>921</v>
      </c>
      <c r="E1397" s="183" t="s">
        <v>922</v>
      </c>
      <c r="F1397" s="183" t="s">
        <v>600</v>
      </c>
      <c r="G1397" s="184">
        <v>1.517088</v>
      </c>
      <c r="H1397" s="185">
        <v>0.05</v>
      </c>
      <c r="I1397" s="186">
        <v>5282.24</v>
      </c>
      <c r="J1397" s="187">
        <v>8414.3040629759998</v>
      </c>
      <c r="K1397" s="182" t="s">
        <v>3665</v>
      </c>
      <c r="L1397" s="182">
        <v>6</v>
      </c>
      <c r="M1397" s="182" t="s">
        <v>3671</v>
      </c>
      <c r="N1397" s="186">
        <v>1</v>
      </c>
      <c r="O1397" s="188">
        <v>1.517088</v>
      </c>
      <c r="P1397" s="188">
        <v>1</v>
      </c>
      <c r="Q1397" s="188">
        <v>1.517088</v>
      </c>
      <c r="R1397" s="189">
        <v>15.12</v>
      </c>
      <c r="S1397" s="189" t="s">
        <v>573</v>
      </c>
    </row>
    <row r="1398" spans="1:19" ht="14.25" customHeight="1" x14ac:dyDescent="0.3">
      <c r="A1398" s="182" t="s">
        <v>3660</v>
      </c>
      <c r="B1398" s="182" t="s">
        <v>908</v>
      </c>
      <c r="C1398" s="182" t="s">
        <v>909</v>
      </c>
      <c r="D1398" s="182" t="s">
        <v>1271</v>
      </c>
      <c r="E1398" s="183" t="s">
        <v>1272</v>
      </c>
      <c r="F1398" s="183" t="s">
        <v>600</v>
      </c>
      <c r="G1398" s="184">
        <v>1.517088</v>
      </c>
      <c r="H1398" s="185">
        <v>0.05</v>
      </c>
      <c r="I1398" s="186">
        <v>7427.6</v>
      </c>
      <c r="J1398" s="187">
        <v>11831.73897024</v>
      </c>
      <c r="K1398" s="182" t="s">
        <v>3665</v>
      </c>
      <c r="L1398" s="182">
        <v>7</v>
      </c>
      <c r="M1398" s="182" t="s">
        <v>3672</v>
      </c>
      <c r="N1398" s="186">
        <v>1</v>
      </c>
      <c r="O1398" s="188">
        <v>1.517088</v>
      </c>
      <c r="P1398" s="188">
        <v>1</v>
      </c>
      <c r="Q1398" s="188">
        <v>1.517088</v>
      </c>
      <c r="R1398" s="189">
        <v>15.12</v>
      </c>
      <c r="S1398" s="189" t="s">
        <v>573</v>
      </c>
    </row>
    <row r="1399" spans="1:19" ht="14.25" customHeight="1" x14ac:dyDescent="0.3">
      <c r="A1399" s="182" t="s">
        <v>3660</v>
      </c>
      <c r="B1399" s="182" t="s">
        <v>908</v>
      </c>
      <c r="C1399" s="182" t="s">
        <v>909</v>
      </c>
      <c r="D1399" s="182" t="s">
        <v>1976</v>
      </c>
      <c r="E1399" s="183" t="s">
        <v>1977</v>
      </c>
      <c r="F1399" s="183" t="s">
        <v>912</v>
      </c>
      <c r="G1399" s="184">
        <v>9.4817999999999998</v>
      </c>
      <c r="H1399" s="185">
        <v>0.1</v>
      </c>
      <c r="I1399" s="186">
        <v>28011.57</v>
      </c>
      <c r="J1399" s="187">
        <v>292160.11486859998</v>
      </c>
      <c r="K1399" s="182" t="s">
        <v>3665</v>
      </c>
      <c r="L1399" s="182">
        <v>8</v>
      </c>
      <c r="M1399" s="182" t="s">
        <v>3673</v>
      </c>
      <c r="N1399" s="186">
        <v>1</v>
      </c>
      <c r="O1399" s="188">
        <v>9.4817999999999998</v>
      </c>
      <c r="P1399" s="188">
        <v>1</v>
      </c>
      <c r="Q1399" s="188">
        <v>9.4817999999999998</v>
      </c>
      <c r="R1399" s="189">
        <v>15.12</v>
      </c>
      <c r="S1399" s="189" t="s">
        <v>573</v>
      </c>
    </row>
    <row r="1400" spans="1:19" ht="14.25" customHeight="1" x14ac:dyDescent="0.3">
      <c r="A1400" s="182" t="s">
        <v>3660</v>
      </c>
      <c r="B1400" s="182" t="s">
        <v>937</v>
      </c>
      <c r="C1400" s="182" t="s">
        <v>909</v>
      </c>
      <c r="D1400" s="182" t="s">
        <v>3674</v>
      </c>
      <c r="E1400" s="183" t="s">
        <v>3675</v>
      </c>
      <c r="F1400" s="183" t="s">
        <v>941</v>
      </c>
      <c r="G1400" s="184">
        <v>252.84800000000001</v>
      </c>
      <c r="H1400" s="185">
        <v>0</v>
      </c>
      <c r="I1400" s="186">
        <v>10981.3720244489</v>
      </c>
      <c r="J1400" s="187">
        <v>2776617.9536378598</v>
      </c>
      <c r="K1400" s="182" t="s">
        <v>3676</v>
      </c>
      <c r="L1400" s="182">
        <v>1</v>
      </c>
      <c r="M1400" s="182" t="s">
        <v>3677</v>
      </c>
      <c r="N1400" s="186">
        <v>1</v>
      </c>
      <c r="O1400" s="188">
        <v>252.84800000000001</v>
      </c>
      <c r="P1400" s="188">
        <v>1</v>
      </c>
      <c r="Q1400" s="188">
        <v>252.84800000000001</v>
      </c>
      <c r="R1400" s="189">
        <v>15.12</v>
      </c>
      <c r="S1400" s="189" t="s">
        <v>573</v>
      </c>
    </row>
    <row r="1401" spans="1:19" ht="14.25" customHeight="1" x14ac:dyDescent="0.3">
      <c r="A1401" s="182" t="s">
        <v>3678</v>
      </c>
      <c r="B1401" s="182" t="s">
        <v>563</v>
      </c>
      <c r="C1401" s="182"/>
      <c r="D1401" s="182" t="s">
        <v>952</v>
      </c>
      <c r="E1401" s="183" t="s">
        <v>953</v>
      </c>
      <c r="F1401" s="183"/>
      <c r="G1401" s="184">
        <v>0.25</v>
      </c>
      <c r="H1401" s="185">
        <v>0</v>
      </c>
      <c r="I1401" s="186">
        <v>2287.1357450968098</v>
      </c>
      <c r="J1401" s="187">
        <v>571.78393627420098</v>
      </c>
      <c r="K1401" s="182" t="s">
        <v>3679</v>
      </c>
      <c r="L1401" s="182">
        <v>1</v>
      </c>
      <c r="M1401" s="182" t="s">
        <v>3680</v>
      </c>
      <c r="N1401" s="186">
        <v>2</v>
      </c>
      <c r="O1401" s="188">
        <v>0.25</v>
      </c>
      <c r="P1401" s="188">
        <v>57</v>
      </c>
      <c r="Q1401" s="188">
        <v>14.25</v>
      </c>
      <c r="R1401" s="189">
        <v>17.010000000000002</v>
      </c>
      <c r="S1401" s="189" t="s">
        <v>985</v>
      </c>
    </row>
    <row r="1402" spans="1:19" ht="14.25" customHeight="1" x14ac:dyDescent="0.3">
      <c r="A1402" s="182" t="s">
        <v>3678</v>
      </c>
      <c r="B1402" s="182" t="s">
        <v>563</v>
      </c>
      <c r="C1402" s="182"/>
      <c r="D1402" s="182" t="s">
        <v>955</v>
      </c>
      <c r="E1402" s="183" t="s">
        <v>956</v>
      </c>
      <c r="F1402" s="183"/>
      <c r="G1402" s="184">
        <v>0.25</v>
      </c>
      <c r="H1402" s="185">
        <v>0</v>
      </c>
      <c r="I1402" s="186">
        <v>957.25319614994703</v>
      </c>
      <c r="J1402" s="187">
        <v>239.31329903748701</v>
      </c>
      <c r="K1402" s="182" t="s">
        <v>3679</v>
      </c>
      <c r="L1402" s="182">
        <v>2</v>
      </c>
      <c r="M1402" s="182" t="s">
        <v>3681</v>
      </c>
      <c r="N1402" s="186">
        <v>2</v>
      </c>
      <c r="O1402" s="188">
        <v>0.25</v>
      </c>
      <c r="P1402" s="188">
        <v>57</v>
      </c>
      <c r="Q1402" s="188">
        <v>14.25</v>
      </c>
      <c r="R1402" s="189">
        <v>17.010000000000002</v>
      </c>
      <c r="S1402" s="189" t="s">
        <v>985</v>
      </c>
    </row>
    <row r="1403" spans="1:19" ht="14.25" customHeight="1" x14ac:dyDescent="0.3">
      <c r="A1403" s="182" t="s">
        <v>3678</v>
      </c>
      <c r="B1403" s="182" t="s">
        <v>908</v>
      </c>
      <c r="C1403" s="182" t="s">
        <v>909</v>
      </c>
      <c r="D1403" s="182" t="s">
        <v>962</v>
      </c>
      <c r="E1403" s="183" t="s">
        <v>963</v>
      </c>
      <c r="F1403" s="183" t="s">
        <v>590</v>
      </c>
      <c r="G1403" s="184">
        <v>3.5999999999999997E-2</v>
      </c>
      <c r="H1403" s="185">
        <v>0.1</v>
      </c>
      <c r="I1403" s="186">
        <v>32399.77</v>
      </c>
      <c r="J1403" s="187">
        <v>1283.030892</v>
      </c>
      <c r="K1403" s="182" t="s">
        <v>3682</v>
      </c>
      <c r="L1403" s="182">
        <v>1</v>
      </c>
      <c r="M1403" s="182" t="s">
        <v>3683</v>
      </c>
      <c r="N1403" s="186">
        <v>2</v>
      </c>
      <c r="O1403" s="188">
        <v>3.5999999999999997E-2</v>
      </c>
      <c r="P1403" s="188">
        <v>57</v>
      </c>
      <c r="Q1403" s="188">
        <v>2.052</v>
      </c>
      <c r="R1403" s="189">
        <v>17.010000000000002</v>
      </c>
      <c r="S1403" s="189" t="s">
        <v>985</v>
      </c>
    </row>
    <row r="1404" spans="1:19" ht="14.25" customHeight="1" x14ac:dyDescent="0.3">
      <c r="A1404" s="182" t="s">
        <v>3678</v>
      </c>
      <c r="B1404" s="182" t="s">
        <v>908</v>
      </c>
      <c r="C1404" s="182" t="s">
        <v>909</v>
      </c>
      <c r="D1404" s="182" t="s">
        <v>965</v>
      </c>
      <c r="E1404" s="183" t="s">
        <v>966</v>
      </c>
      <c r="F1404" s="183" t="s">
        <v>967</v>
      </c>
      <c r="G1404" s="184">
        <v>0.32400000000000001</v>
      </c>
      <c r="H1404" s="185">
        <v>0.1</v>
      </c>
      <c r="I1404" s="186">
        <v>7809.48</v>
      </c>
      <c r="J1404" s="187">
        <v>2783.2986719999999</v>
      </c>
      <c r="K1404" s="182" t="s">
        <v>3682</v>
      </c>
      <c r="L1404" s="182">
        <v>2</v>
      </c>
      <c r="M1404" s="182" t="s">
        <v>3684</v>
      </c>
      <c r="N1404" s="186">
        <v>2</v>
      </c>
      <c r="O1404" s="188">
        <v>0.32400000000000001</v>
      </c>
      <c r="P1404" s="188">
        <v>57</v>
      </c>
      <c r="Q1404" s="188">
        <v>18.468</v>
      </c>
      <c r="R1404" s="189">
        <v>17.010000000000002</v>
      </c>
      <c r="S1404" s="189" t="s">
        <v>985</v>
      </c>
    </row>
    <row r="1405" spans="1:19" ht="14.25" customHeight="1" x14ac:dyDescent="0.3">
      <c r="A1405" s="182" t="s">
        <v>3678</v>
      </c>
      <c r="B1405" s="182" t="s">
        <v>937</v>
      </c>
      <c r="C1405" s="182" t="s">
        <v>938</v>
      </c>
      <c r="D1405" s="190" t="s">
        <v>939</v>
      </c>
      <c r="E1405" s="183" t="s">
        <v>940</v>
      </c>
      <c r="F1405" s="183" t="s">
        <v>941</v>
      </c>
      <c r="G1405" s="184">
        <v>0.75</v>
      </c>
      <c r="H1405" s="185">
        <v>0</v>
      </c>
      <c r="I1405" s="186">
        <v>60860.580776572002</v>
      </c>
      <c r="J1405" s="187">
        <v>45645.435582429003</v>
      </c>
      <c r="K1405" s="182" t="s">
        <v>3685</v>
      </c>
      <c r="L1405" s="182">
        <v>1</v>
      </c>
      <c r="M1405" s="182" t="s">
        <v>3686</v>
      </c>
      <c r="N1405" s="186">
        <v>2</v>
      </c>
      <c r="O1405" s="188">
        <v>0.375</v>
      </c>
      <c r="P1405" s="188">
        <v>57</v>
      </c>
      <c r="Q1405" s="188">
        <v>21.375</v>
      </c>
      <c r="R1405" s="189">
        <v>17.010000000000002</v>
      </c>
      <c r="S1405" s="189" t="s">
        <v>985</v>
      </c>
    </row>
    <row r="1406" spans="1:19" ht="14.25" customHeight="1" x14ac:dyDescent="0.3">
      <c r="A1406" s="182" t="s">
        <v>3678</v>
      </c>
      <c r="B1406" s="182" t="s">
        <v>937</v>
      </c>
      <c r="C1406" s="182" t="s">
        <v>938</v>
      </c>
      <c r="D1406" s="190" t="s">
        <v>944</v>
      </c>
      <c r="E1406" s="183" t="s">
        <v>945</v>
      </c>
      <c r="F1406" s="183" t="s">
        <v>941</v>
      </c>
      <c r="G1406" s="184">
        <v>0.75</v>
      </c>
      <c r="H1406" s="185">
        <v>0</v>
      </c>
      <c r="I1406" s="186">
        <v>85927.097156571996</v>
      </c>
      <c r="J1406" s="187">
        <v>64445.322867429</v>
      </c>
      <c r="K1406" s="182" t="s">
        <v>3685</v>
      </c>
      <c r="L1406" s="182">
        <v>2</v>
      </c>
      <c r="M1406" s="182" t="s">
        <v>3687</v>
      </c>
      <c r="N1406" s="186">
        <v>2</v>
      </c>
      <c r="O1406" s="188">
        <v>0.375</v>
      </c>
      <c r="P1406" s="188">
        <v>57</v>
      </c>
      <c r="Q1406" s="188">
        <v>21.375</v>
      </c>
      <c r="R1406" s="189">
        <v>17.010000000000002</v>
      </c>
      <c r="S1406" s="189" t="s">
        <v>985</v>
      </c>
    </row>
    <row r="1407" spans="1:19" ht="14.25" customHeight="1" x14ac:dyDescent="0.3">
      <c r="A1407" s="182" t="s">
        <v>3688</v>
      </c>
      <c r="B1407" s="182" t="s">
        <v>563</v>
      </c>
      <c r="C1407" s="182"/>
      <c r="D1407" s="182" t="s">
        <v>952</v>
      </c>
      <c r="E1407" s="183" t="s">
        <v>953</v>
      </c>
      <c r="F1407" s="183"/>
      <c r="G1407" s="184">
        <v>0.25</v>
      </c>
      <c r="H1407" s="185">
        <v>0</v>
      </c>
      <c r="I1407" s="186">
        <v>2287.1357450968098</v>
      </c>
      <c r="J1407" s="187">
        <v>571.78393627420098</v>
      </c>
      <c r="K1407" s="182" t="s">
        <v>3689</v>
      </c>
      <c r="L1407" s="182">
        <v>1</v>
      </c>
      <c r="M1407" s="182" t="s">
        <v>3690</v>
      </c>
      <c r="N1407" s="186">
        <v>2</v>
      </c>
      <c r="O1407" s="188">
        <v>0.25</v>
      </c>
      <c r="P1407" s="188">
        <v>11</v>
      </c>
      <c r="Q1407" s="188">
        <v>2.75</v>
      </c>
      <c r="R1407" s="189">
        <v>17.02</v>
      </c>
      <c r="S1407" s="189" t="s">
        <v>985</v>
      </c>
    </row>
    <row r="1408" spans="1:19" ht="14.25" customHeight="1" x14ac:dyDescent="0.3">
      <c r="A1408" s="182" t="s">
        <v>3688</v>
      </c>
      <c r="B1408" s="182" t="s">
        <v>563</v>
      </c>
      <c r="C1408" s="182"/>
      <c r="D1408" s="182" t="s">
        <v>955</v>
      </c>
      <c r="E1408" s="183" t="s">
        <v>956</v>
      </c>
      <c r="F1408" s="183"/>
      <c r="G1408" s="184">
        <v>0.25</v>
      </c>
      <c r="H1408" s="185">
        <v>0</v>
      </c>
      <c r="I1408" s="186">
        <v>957.25319614994703</v>
      </c>
      <c r="J1408" s="187">
        <v>239.31329903748701</v>
      </c>
      <c r="K1408" s="182" t="s">
        <v>3689</v>
      </c>
      <c r="L1408" s="182">
        <v>2</v>
      </c>
      <c r="M1408" s="182" t="s">
        <v>3691</v>
      </c>
      <c r="N1408" s="186">
        <v>2</v>
      </c>
      <c r="O1408" s="188">
        <v>0.25</v>
      </c>
      <c r="P1408" s="188">
        <v>11</v>
      </c>
      <c r="Q1408" s="188">
        <v>2.75</v>
      </c>
      <c r="R1408" s="189">
        <v>17.02</v>
      </c>
      <c r="S1408" s="189" t="s">
        <v>985</v>
      </c>
    </row>
    <row r="1409" spans="1:19" ht="14.25" customHeight="1" x14ac:dyDescent="0.3">
      <c r="A1409" s="182" t="s">
        <v>3688</v>
      </c>
      <c r="B1409" s="182" t="s">
        <v>908</v>
      </c>
      <c r="C1409" s="182" t="s">
        <v>909</v>
      </c>
      <c r="D1409" s="182" t="s">
        <v>962</v>
      </c>
      <c r="E1409" s="183" t="s">
        <v>963</v>
      </c>
      <c r="F1409" s="183" t="s">
        <v>590</v>
      </c>
      <c r="G1409" s="184">
        <v>3.5999999999999997E-2</v>
      </c>
      <c r="H1409" s="185">
        <v>0.1</v>
      </c>
      <c r="I1409" s="186">
        <v>32399.77</v>
      </c>
      <c r="J1409" s="187">
        <v>1283.030892</v>
      </c>
      <c r="K1409" s="182" t="s">
        <v>3692</v>
      </c>
      <c r="L1409" s="182">
        <v>1</v>
      </c>
      <c r="M1409" s="182" t="s">
        <v>3693</v>
      </c>
      <c r="N1409" s="186">
        <v>2</v>
      </c>
      <c r="O1409" s="188">
        <v>3.5999999999999997E-2</v>
      </c>
      <c r="P1409" s="188">
        <v>11</v>
      </c>
      <c r="Q1409" s="188">
        <v>0.39600000000000002</v>
      </c>
      <c r="R1409" s="189">
        <v>17.02</v>
      </c>
      <c r="S1409" s="189" t="s">
        <v>985</v>
      </c>
    </row>
    <row r="1410" spans="1:19" ht="14.25" customHeight="1" x14ac:dyDescent="0.3">
      <c r="A1410" s="182" t="s">
        <v>3688</v>
      </c>
      <c r="B1410" s="182" t="s">
        <v>908</v>
      </c>
      <c r="C1410" s="182" t="s">
        <v>909</v>
      </c>
      <c r="D1410" s="182" t="s">
        <v>965</v>
      </c>
      <c r="E1410" s="183" t="s">
        <v>966</v>
      </c>
      <c r="F1410" s="183" t="s">
        <v>967</v>
      </c>
      <c r="G1410" s="184">
        <v>0.32400000000000001</v>
      </c>
      <c r="H1410" s="185">
        <v>0.1</v>
      </c>
      <c r="I1410" s="186">
        <v>7809.48</v>
      </c>
      <c r="J1410" s="187">
        <v>2783.2986719999999</v>
      </c>
      <c r="K1410" s="182" t="s">
        <v>3692</v>
      </c>
      <c r="L1410" s="182">
        <v>2</v>
      </c>
      <c r="M1410" s="182" t="s">
        <v>3694</v>
      </c>
      <c r="N1410" s="186">
        <v>2</v>
      </c>
      <c r="O1410" s="188">
        <v>0.32400000000000001</v>
      </c>
      <c r="P1410" s="188">
        <v>11</v>
      </c>
      <c r="Q1410" s="188">
        <v>3.5640000000000001</v>
      </c>
      <c r="R1410" s="189">
        <v>17.02</v>
      </c>
      <c r="S1410" s="189" t="s">
        <v>985</v>
      </c>
    </row>
    <row r="1411" spans="1:19" ht="14.25" customHeight="1" x14ac:dyDescent="0.3">
      <c r="A1411" s="182" t="s">
        <v>3688</v>
      </c>
      <c r="B1411" s="182" t="s">
        <v>937</v>
      </c>
      <c r="C1411" s="182" t="s">
        <v>938</v>
      </c>
      <c r="D1411" s="190" t="s">
        <v>939</v>
      </c>
      <c r="E1411" s="183" t="s">
        <v>940</v>
      </c>
      <c r="F1411" s="183" t="s">
        <v>941</v>
      </c>
      <c r="G1411" s="184">
        <v>0.75</v>
      </c>
      <c r="H1411" s="185">
        <v>0</v>
      </c>
      <c r="I1411" s="186">
        <v>60860.580776572002</v>
      </c>
      <c r="J1411" s="187">
        <v>45645.435582429003</v>
      </c>
      <c r="K1411" s="182" t="s">
        <v>3695</v>
      </c>
      <c r="L1411" s="182">
        <v>1</v>
      </c>
      <c r="M1411" s="182" t="s">
        <v>3696</v>
      </c>
      <c r="N1411" s="186">
        <v>2</v>
      </c>
      <c r="O1411" s="188">
        <v>0.375</v>
      </c>
      <c r="P1411" s="188">
        <v>11</v>
      </c>
      <c r="Q1411" s="188">
        <v>4.125</v>
      </c>
      <c r="R1411" s="189">
        <v>17.02</v>
      </c>
      <c r="S1411" s="189" t="s">
        <v>985</v>
      </c>
    </row>
    <row r="1412" spans="1:19" ht="14.25" customHeight="1" x14ac:dyDescent="0.3">
      <c r="A1412" s="182" t="s">
        <v>3688</v>
      </c>
      <c r="B1412" s="182" t="s">
        <v>937</v>
      </c>
      <c r="C1412" s="182" t="s">
        <v>938</v>
      </c>
      <c r="D1412" s="190" t="s">
        <v>944</v>
      </c>
      <c r="E1412" s="183" t="s">
        <v>945</v>
      </c>
      <c r="F1412" s="183" t="s">
        <v>941</v>
      </c>
      <c r="G1412" s="184">
        <v>0.75</v>
      </c>
      <c r="H1412" s="185">
        <v>0</v>
      </c>
      <c r="I1412" s="186">
        <v>85927.097156571996</v>
      </c>
      <c r="J1412" s="187">
        <v>64445.322867429</v>
      </c>
      <c r="K1412" s="182" t="s">
        <v>3695</v>
      </c>
      <c r="L1412" s="182">
        <v>2</v>
      </c>
      <c r="M1412" s="182" t="s">
        <v>3697</v>
      </c>
      <c r="N1412" s="186">
        <v>2</v>
      </c>
      <c r="O1412" s="188">
        <v>0.375</v>
      </c>
      <c r="P1412" s="188">
        <v>11</v>
      </c>
      <c r="Q1412" s="188">
        <v>4.125</v>
      </c>
      <c r="R1412" s="189">
        <v>17.02</v>
      </c>
      <c r="S1412" s="189" t="s">
        <v>985</v>
      </c>
    </row>
    <row r="1413" spans="1:19" ht="14.25" customHeight="1" x14ac:dyDescent="0.3">
      <c r="A1413" s="182" t="s">
        <v>3698</v>
      </c>
      <c r="B1413" s="182" t="s">
        <v>563</v>
      </c>
      <c r="C1413" s="182"/>
      <c r="D1413" s="182" t="s">
        <v>952</v>
      </c>
      <c r="E1413" s="183" t="s">
        <v>953</v>
      </c>
      <c r="F1413" s="183"/>
      <c r="G1413" s="184">
        <v>0.25</v>
      </c>
      <c r="H1413" s="185">
        <v>0</v>
      </c>
      <c r="I1413" s="186">
        <v>2287.1357450968098</v>
      </c>
      <c r="J1413" s="187">
        <v>571.78393627420098</v>
      </c>
      <c r="K1413" s="182" t="s">
        <v>3699</v>
      </c>
      <c r="L1413" s="182">
        <v>1</v>
      </c>
      <c r="M1413" s="182" t="s">
        <v>3700</v>
      </c>
      <c r="N1413" s="186">
        <v>4</v>
      </c>
      <c r="O1413" s="188">
        <v>0.25</v>
      </c>
      <c r="P1413" s="188">
        <v>65</v>
      </c>
      <c r="Q1413" s="188">
        <v>16.25</v>
      </c>
      <c r="R1413" s="189">
        <v>17.03</v>
      </c>
      <c r="S1413" s="189" t="s">
        <v>985</v>
      </c>
    </row>
    <row r="1414" spans="1:19" ht="14.25" customHeight="1" x14ac:dyDescent="0.3">
      <c r="A1414" s="182" t="s">
        <v>3698</v>
      </c>
      <c r="B1414" s="182" t="s">
        <v>563</v>
      </c>
      <c r="C1414" s="182"/>
      <c r="D1414" s="182" t="s">
        <v>955</v>
      </c>
      <c r="E1414" s="183" t="s">
        <v>956</v>
      </c>
      <c r="F1414" s="183"/>
      <c r="G1414" s="184">
        <v>0.25</v>
      </c>
      <c r="H1414" s="185">
        <v>0</v>
      </c>
      <c r="I1414" s="186">
        <v>957.25319614994703</v>
      </c>
      <c r="J1414" s="187">
        <v>239.31329903748701</v>
      </c>
      <c r="K1414" s="182" t="s">
        <v>3699</v>
      </c>
      <c r="L1414" s="182">
        <v>2</v>
      </c>
      <c r="M1414" s="182" t="s">
        <v>3701</v>
      </c>
      <c r="N1414" s="186">
        <v>4</v>
      </c>
      <c r="O1414" s="188">
        <v>0.25</v>
      </c>
      <c r="P1414" s="188">
        <v>65</v>
      </c>
      <c r="Q1414" s="188">
        <v>16.25</v>
      </c>
      <c r="R1414" s="189">
        <v>17.03</v>
      </c>
      <c r="S1414" s="189" t="s">
        <v>985</v>
      </c>
    </row>
    <row r="1415" spans="1:19" ht="14.25" customHeight="1" x14ac:dyDescent="0.3">
      <c r="A1415" s="182" t="s">
        <v>3698</v>
      </c>
      <c r="B1415" s="182" t="s">
        <v>908</v>
      </c>
      <c r="C1415" s="182" t="s">
        <v>909</v>
      </c>
      <c r="D1415" s="182" t="s">
        <v>962</v>
      </c>
      <c r="E1415" s="183" t="s">
        <v>963</v>
      </c>
      <c r="F1415" s="183" t="s">
        <v>590</v>
      </c>
      <c r="G1415" s="184">
        <v>1.38E-2</v>
      </c>
      <c r="H1415" s="185">
        <v>0.05</v>
      </c>
      <c r="I1415" s="186">
        <v>32399.77</v>
      </c>
      <c r="J1415" s="187">
        <v>469.47266730000001</v>
      </c>
      <c r="K1415" s="182" t="s">
        <v>3702</v>
      </c>
      <c r="L1415" s="182">
        <v>1</v>
      </c>
      <c r="M1415" s="182" t="s">
        <v>3703</v>
      </c>
      <c r="N1415" s="186">
        <v>4</v>
      </c>
      <c r="O1415" s="188">
        <v>1.38E-2</v>
      </c>
      <c r="P1415" s="188">
        <v>65</v>
      </c>
      <c r="Q1415" s="188">
        <v>0.89700000000000002</v>
      </c>
      <c r="R1415" s="189">
        <v>17.03</v>
      </c>
      <c r="S1415" s="189" t="s">
        <v>985</v>
      </c>
    </row>
    <row r="1416" spans="1:19" ht="14.25" customHeight="1" x14ac:dyDescent="0.3">
      <c r="A1416" s="182" t="s">
        <v>3698</v>
      </c>
      <c r="B1416" s="182" t="s">
        <v>908</v>
      </c>
      <c r="C1416" s="182" t="s">
        <v>909</v>
      </c>
      <c r="D1416" s="182" t="s">
        <v>965</v>
      </c>
      <c r="E1416" s="183" t="s">
        <v>966</v>
      </c>
      <c r="F1416" s="183" t="s">
        <v>967</v>
      </c>
      <c r="G1416" s="184">
        <v>0.1242</v>
      </c>
      <c r="H1416" s="185">
        <v>0.05</v>
      </c>
      <c r="I1416" s="186">
        <v>7809.48</v>
      </c>
      <c r="J1416" s="187">
        <v>1018.4342868</v>
      </c>
      <c r="K1416" s="182" t="s">
        <v>3702</v>
      </c>
      <c r="L1416" s="182">
        <v>2</v>
      </c>
      <c r="M1416" s="182" t="s">
        <v>3704</v>
      </c>
      <c r="N1416" s="186">
        <v>4</v>
      </c>
      <c r="O1416" s="188">
        <v>0.1242</v>
      </c>
      <c r="P1416" s="188">
        <v>65</v>
      </c>
      <c r="Q1416" s="188">
        <v>8.0730000000000004</v>
      </c>
      <c r="R1416" s="189">
        <v>17.03</v>
      </c>
      <c r="S1416" s="189" t="s">
        <v>985</v>
      </c>
    </row>
    <row r="1417" spans="1:19" ht="14.25" customHeight="1" x14ac:dyDescent="0.3">
      <c r="A1417" s="182" t="s">
        <v>3698</v>
      </c>
      <c r="B1417" s="182" t="s">
        <v>937</v>
      </c>
      <c r="C1417" s="182" t="s">
        <v>938</v>
      </c>
      <c r="D1417" s="190" t="s">
        <v>939</v>
      </c>
      <c r="E1417" s="183" t="s">
        <v>940</v>
      </c>
      <c r="F1417" s="183" t="s">
        <v>941</v>
      </c>
      <c r="G1417" s="184">
        <v>1</v>
      </c>
      <c r="H1417" s="185">
        <v>0</v>
      </c>
      <c r="I1417" s="186">
        <v>60860.580776572002</v>
      </c>
      <c r="J1417" s="187">
        <v>60860.580776572002</v>
      </c>
      <c r="K1417" s="182" t="s">
        <v>3705</v>
      </c>
      <c r="L1417" s="182">
        <v>1</v>
      </c>
      <c r="M1417" s="182" t="s">
        <v>3706</v>
      </c>
      <c r="N1417" s="186">
        <v>4</v>
      </c>
      <c r="O1417" s="188">
        <v>0.25</v>
      </c>
      <c r="P1417" s="188">
        <v>65</v>
      </c>
      <c r="Q1417" s="188">
        <v>16.25</v>
      </c>
      <c r="R1417" s="189">
        <v>17.03</v>
      </c>
      <c r="S1417" s="189" t="s">
        <v>985</v>
      </c>
    </row>
    <row r="1418" spans="1:19" ht="14.25" customHeight="1" x14ac:dyDescent="0.3">
      <c r="A1418" s="182" t="s">
        <v>3698</v>
      </c>
      <c r="B1418" s="182" t="s">
        <v>937</v>
      </c>
      <c r="C1418" s="182" t="s">
        <v>938</v>
      </c>
      <c r="D1418" s="190" t="s">
        <v>944</v>
      </c>
      <c r="E1418" s="183" t="s">
        <v>945</v>
      </c>
      <c r="F1418" s="183" t="s">
        <v>941</v>
      </c>
      <c r="G1418" s="184">
        <v>1</v>
      </c>
      <c r="H1418" s="185">
        <v>0</v>
      </c>
      <c r="I1418" s="186">
        <v>85927.097156571996</v>
      </c>
      <c r="J1418" s="187">
        <v>85927.097156571996</v>
      </c>
      <c r="K1418" s="182" t="s">
        <v>3705</v>
      </c>
      <c r="L1418" s="182">
        <v>2</v>
      </c>
      <c r="M1418" s="182" t="s">
        <v>3707</v>
      </c>
      <c r="N1418" s="186">
        <v>4</v>
      </c>
      <c r="O1418" s="188">
        <v>0.25</v>
      </c>
      <c r="P1418" s="188">
        <v>65</v>
      </c>
      <c r="Q1418" s="188">
        <v>16.25</v>
      </c>
      <c r="R1418" s="189">
        <v>17.03</v>
      </c>
      <c r="S1418" s="189" t="s">
        <v>985</v>
      </c>
    </row>
    <row r="1419" spans="1:19" ht="14.25" customHeight="1" x14ac:dyDescent="0.3">
      <c r="A1419" s="182" t="s">
        <v>3708</v>
      </c>
      <c r="B1419" s="182" t="s">
        <v>563</v>
      </c>
      <c r="C1419" s="182"/>
      <c r="D1419" s="182" t="s">
        <v>952</v>
      </c>
      <c r="E1419" s="183" t="s">
        <v>953</v>
      </c>
      <c r="F1419" s="183"/>
      <c r="G1419" s="184">
        <v>0.25</v>
      </c>
      <c r="H1419" s="185">
        <v>0</v>
      </c>
      <c r="I1419" s="186">
        <v>2287.1357450968098</v>
      </c>
      <c r="J1419" s="187">
        <v>571.78393627420098</v>
      </c>
      <c r="K1419" s="182" t="s">
        <v>3709</v>
      </c>
      <c r="L1419" s="182">
        <v>1</v>
      </c>
      <c r="M1419" s="182" t="s">
        <v>3710</v>
      </c>
      <c r="N1419" s="186">
        <v>2</v>
      </c>
      <c r="O1419" s="188">
        <v>0.25</v>
      </c>
      <c r="P1419" s="188">
        <v>6</v>
      </c>
      <c r="Q1419" s="188">
        <v>1.5</v>
      </c>
      <c r="R1419" s="189">
        <v>17.04</v>
      </c>
      <c r="S1419" s="189" t="s">
        <v>985</v>
      </c>
    </row>
    <row r="1420" spans="1:19" ht="14.25" customHeight="1" x14ac:dyDescent="0.3">
      <c r="A1420" s="182" t="s">
        <v>3708</v>
      </c>
      <c r="B1420" s="182" t="s">
        <v>563</v>
      </c>
      <c r="C1420" s="182"/>
      <c r="D1420" s="182" t="s">
        <v>955</v>
      </c>
      <c r="E1420" s="183" t="s">
        <v>956</v>
      </c>
      <c r="F1420" s="183"/>
      <c r="G1420" s="184">
        <v>0.25</v>
      </c>
      <c r="H1420" s="185">
        <v>0</v>
      </c>
      <c r="I1420" s="186">
        <v>957.25319614994703</v>
      </c>
      <c r="J1420" s="187">
        <v>239.31329903748701</v>
      </c>
      <c r="K1420" s="182" t="s">
        <v>3709</v>
      </c>
      <c r="L1420" s="182">
        <v>2</v>
      </c>
      <c r="M1420" s="182" t="s">
        <v>3711</v>
      </c>
      <c r="N1420" s="186">
        <v>2</v>
      </c>
      <c r="O1420" s="188">
        <v>0.25</v>
      </c>
      <c r="P1420" s="188">
        <v>6</v>
      </c>
      <c r="Q1420" s="188">
        <v>1.5</v>
      </c>
      <c r="R1420" s="189">
        <v>17.04</v>
      </c>
      <c r="S1420" s="189" t="s">
        <v>985</v>
      </c>
    </row>
    <row r="1421" spans="1:19" ht="14.25" customHeight="1" x14ac:dyDescent="0.3">
      <c r="A1421" s="182" t="s">
        <v>3708</v>
      </c>
      <c r="B1421" s="182" t="s">
        <v>908</v>
      </c>
      <c r="C1421" s="182" t="s">
        <v>909</v>
      </c>
      <c r="D1421" s="182" t="s">
        <v>962</v>
      </c>
      <c r="E1421" s="183" t="s">
        <v>963</v>
      </c>
      <c r="F1421" s="183" t="s">
        <v>590</v>
      </c>
      <c r="G1421" s="184">
        <v>3.5999999999999997E-2</v>
      </c>
      <c r="H1421" s="185">
        <v>0.1</v>
      </c>
      <c r="I1421" s="186">
        <v>32399.77</v>
      </c>
      <c r="J1421" s="187">
        <v>1283.030892</v>
      </c>
      <c r="K1421" s="182" t="s">
        <v>3712</v>
      </c>
      <c r="L1421" s="182">
        <v>1</v>
      </c>
      <c r="M1421" s="182" t="s">
        <v>3713</v>
      </c>
      <c r="N1421" s="186">
        <v>2</v>
      </c>
      <c r="O1421" s="188">
        <v>3.5999999999999997E-2</v>
      </c>
      <c r="P1421" s="188">
        <v>6</v>
      </c>
      <c r="Q1421" s="188">
        <v>0.216</v>
      </c>
      <c r="R1421" s="189">
        <v>17.04</v>
      </c>
      <c r="S1421" s="189" t="s">
        <v>985</v>
      </c>
    </row>
    <row r="1422" spans="1:19" ht="14.25" customHeight="1" x14ac:dyDescent="0.3">
      <c r="A1422" s="182" t="s">
        <v>3708</v>
      </c>
      <c r="B1422" s="182" t="s">
        <v>908</v>
      </c>
      <c r="C1422" s="182" t="s">
        <v>909</v>
      </c>
      <c r="D1422" s="182" t="s">
        <v>965</v>
      </c>
      <c r="E1422" s="183" t="s">
        <v>966</v>
      </c>
      <c r="F1422" s="183" t="s">
        <v>967</v>
      </c>
      <c r="G1422" s="184">
        <v>0.32400000000000001</v>
      </c>
      <c r="H1422" s="185">
        <v>0.1</v>
      </c>
      <c r="I1422" s="186">
        <v>7809.48</v>
      </c>
      <c r="J1422" s="187">
        <v>2783.2986719999999</v>
      </c>
      <c r="K1422" s="182" t="s">
        <v>3712</v>
      </c>
      <c r="L1422" s="182">
        <v>2</v>
      </c>
      <c r="M1422" s="182" t="s">
        <v>3714</v>
      </c>
      <c r="N1422" s="186">
        <v>2</v>
      </c>
      <c r="O1422" s="188">
        <v>0.32400000000000001</v>
      </c>
      <c r="P1422" s="188">
        <v>6</v>
      </c>
      <c r="Q1422" s="188">
        <v>1.944</v>
      </c>
      <c r="R1422" s="189">
        <v>17.04</v>
      </c>
      <c r="S1422" s="189" t="s">
        <v>985</v>
      </c>
    </row>
    <row r="1423" spans="1:19" ht="14.25" customHeight="1" x14ac:dyDescent="0.3">
      <c r="A1423" s="182" t="s">
        <v>3708</v>
      </c>
      <c r="B1423" s="182" t="s">
        <v>937</v>
      </c>
      <c r="C1423" s="182" t="s">
        <v>909</v>
      </c>
      <c r="D1423" s="182" t="s">
        <v>3715</v>
      </c>
      <c r="E1423" s="183" t="s">
        <v>3716</v>
      </c>
      <c r="F1423" s="183" t="s">
        <v>941</v>
      </c>
      <c r="G1423" s="184">
        <v>2</v>
      </c>
      <c r="H1423" s="185">
        <v>0</v>
      </c>
      <c r="I1423" s="186">
        <v>27522.689612464499</v>
      </c>
      <c r="J1423" s="187">
        <v>55045.379224928998</v>
      </c>
      <c r="K1423" s="182" t="s">
        <v>3717</v>
      </c>
      <c r="L1423" s="182">
        <v>1</v>
      </c>
      <c r="M1423" s="182" t="s">
        <v>3718</v>
      </c>
      <c r="N1423" s="186">
        <v>2</v>
      </c>
      <c r="O1423" s="188">
        <v>2</v>
      </c>
      <c r="P1423" s="188">
        <v>6</v>
      </c>
      <c r="Q1423" s="188">
        <v>12</v>
      </c>
      <c r="R1423" s="189">
        <v>17.04</v>
      </c>
      <c r="S1423" s="189" t="s">
        <v>985</v>
      </c>
    </row>
    <row r="1424" spans="1:19" ht="14.25" customHeight="1" x14ac:dyDescent="0.3">
      <c r="A1424" s="182" t="s">
        <v>3708</v>
      </c>
      <c r="B1424" s="182" t="s">
        <v>937</v>
      </c>
      <c r="C1424" s="182" t="s">
        <v>938</v>
      </c>
      <c r="D1424" s="190" t="s">
        <v>939</v>
      </c>
      <c r="E1424" s="183" t="s">
        <v>940</v>
      </c>
      <c r="F1424" s="183" t="s">
        <v>941</v>
      </c>
      <c r="G1424" s="184">
        <v>0.75</v>
      </c>
      <c r="H1424" s="185">
        <v>0</v>
      </c>
      <c r="I1424" s="186">
        <v>60860.580776572002</v>
      </c>
      <c r="J1424" s="187">
        <v>45645.435582429003</v>
      </c>
      <c r="K1424" s="182" t="s">
        <v>3717</v>
      </c>
      <c r="L1424" s="182">
        <v>2</v>
      </c>
      <c r="M1424" s="182" t="s">
        <v>3719</v>
      </c>
      <c r="N1424" s="186">
        <v>2</v>
      </c>
      <c r="O1424" s="188">
        <v>0.375</v>
      </c>
      <c r="P1424" s="188">
        <v>6</v>
      </c>
      <c r="Q1424" s="188">
        <v>2.25</v>
      </c>
      <c r="R1424" s="189">
        <v>17.04</v>
      </c>
      <c r="S1424" s="189" t="s">
        <v>985</v>
      </c>
    </row>
    <row r="1425" spans="1:19" ht="14.25" customHeight="1" x14ac:dyDescent="0.3">
      <c r="A1425" s="182" t="s">
        <v>3708</v>
      </c>
      <c r="B1425" s="182" t="s">
        <v>937</v>
      </c>
      <c r="C1425" s="182" t="s">
        <v>938</v>
      </c>
      <c r="D1425" s="190" t="s">
        <v>944</v>
      </c>
      <c r="E1425" s="183" t="s">
        <v>945</v>
      </c>
      <c r="F1425" s="183" t="s">
        <v>941</v>
      </c>
      <c r="G1425" s="184">
        <v>0.75</v>
      </c>
      <c r="H1425" s="185">
        <v>0</v>
      </c>
      <c r="I1425" s="186">
        <v>85927.097156571996</v>
      </c>
      <c r="J1425" s="187">
        <v>64445.322867429</v>
      </c>
      <c r="K1425" s="182" t="s">
        <v>3717</v>
      </c>
      <c r="L1425" s="182">
        <v>3</v>
      </c>
      <c r="M1425" s="182" t="s">
        <v>3720</v>
      </c>
      <c r="N1425" s="186">
        <v>2</v>
      </c>
      <c r="O1425" s="188">
        <v>0.375</v>
      </c>
      <c r="P1425" s="188">
        <v>6</v>
      </c>
      <c r="Q1425" s="188">
        <v>2.25</v>
      </c>
      <c r="R1425" s="189">
        <v>17.04</v>
      </c>
      <c r="S1425" s="189" t="s">
        <v>985</v>
      </c>
    </row>
    <row r="1426" spans="1:19" ht="14.25" customHeight="1" x14ac:dyDescent="0.3">
      <c r="A1426" s="182" t="s">
        <v>3721</v>
      </c>
      <c r="B1426" s="182" t="s">
        <v>563</v>
      </c>
      <c r="C1426" s="182"/>
      <c r="D1426" s="182" t="s">
        <v>948</v>
      </c>
      <c r="E1426" s="183" t="s">
        <v>949</v>
      </c>
      <c r="F1426" s="183"/>
      <c r="G1426" s="184">
        <v>0.5</v>
      </c>
      <c r="H1426" s="185">
        <v>0</v>
      </c>
      <c r="I1426" s="186">
        <v>571.17949098076099</v>
      </c>
      <c r="J1426" s="187">
        <v>285.58974549038101</v>
      </c>
      <c r="K1426" s="182" t="s">
        <v>3722</v>
      </c>
      <c r="L1426" s="182">
        <v>1</v>
      </c>
      <c r="M1426" s="182" t="s">
        <v>3723</v>
      </c>
      <c r="N1426" s="186">
        <v>3.25</v>
      </c>
      <c r="O1426" s="188">
        <v>0.5</v>
      </c>
      <c r="P1426" s="188">
        <v>260</v>
      </c>
      <c r="Q1426" s="188">
        <v>130</v>
      </c>
      <c r="R1426" s="189">
        <v>18.010000000000002</v>
      </c>
      <c r="S1426" s="189" t="s">
        <v>573</v>
      </c>
    </row>
    <row r="1427" spans="1:19" ht="14.25" customHeight="1" x14ac:dyDescent="0.3">
      <c r="A1427" s="182" t="s">
        <v>3721</v>
      </c>
      <c r="B1427" s="182" t="s">
        <v>563</v>
      </c>
      <c r="C1427" s="182"/>
      <c r="D1427" s="182" t="s">
        <v>1651</v>
      </c>
      <c r="E1427" s="183" t="s">
        <v>1652</v>
      </c>
      <c r="F1427" s="183"/>
      <c r="G1427" s="184">
        <v>1</v>
      </c>
      <c r="H1427" s="185">
        <v>0</v>
      </c>
      <c r="I1427" s="186">
        <v>5063.0947914732396</v>
      </c>
      <c r="J1427" s="187">
        <v>5063.0947914732396</v>
      </c>
      <c r="K1427" s="182" t="s">
        <v>3722</v>
      </c>
      <c r="L1427" s="182">
        <v>2</v>
      </c>
      <c r="M1427" s="182" t="s">
        <v>3724</v>
      </c>
      <c r="N1427" s="186">
        <v>3.25</v>
      </c>
      <c r="O1427" s="188">
        <v>1</v>
      </c>
      <c r="P1427" s="188">
        <v>260</v>
      </c>
      <c r="Q1427" s="188">
        <v>260</v>
      </c>
      <c r="R1427" s="189">
        <v>18.010000000000002</v>
      </c>
      <c r="S1427" s="189" t="s">
        <v>573</v>
      </c>
    </row>
    <row r="1428" spans="1:19" ht="14.25" customHeight="1" x14ac:dyDescent="0.3">
      <c r="A1428" s="182" t="s">
        <v>3721</v>
      </c>
      <c r="B1428" s="182" t="s">
        <v>563</v>
      </c>
      <c r="C1428" s="182"/>
      <c r="D1428" s="182" t="s">
        <v>1456</v>
      </c>
      <c r="E1428" s="183" t="s">
        <v>1457</v>
      </c>
      <c r="F1428" s="183"/>
      <c r="G1428" s="184">
        <v>0.5</v>
      </c>
      <c r="H1428" s="185">
        <v>0</v>
      </c>
      <c r="I1428" s="186">
        <v>140.198092594309</v>
      </c>
      <c r="J1428" s="187">
        <v>70.099046297154501</v>
      </c>
      <c r="K1428" s="182" t="s">
        <v>3722</v>
      </c>
      <c r="L1428" s="182">
        <v>3</v>
      </c>
      <c r="M1428" s="182" t="s">
        <v>3725</v>
      </c>
      <c r="N1428" s="186">
        <v>3.25</v>
      </c>
      <c r="O1428" s="188">
        <v>0.5</v>
      </c>
      <c r="P1428" s="188">
        <v>260</v>
      </c>
      <c r="Q1428" s="188">
        <v>130</v>
      </c>
      <c r="R1428" s="189">
        <v>18.010000000000002</v>
      </c>
      <c r="S1428" s="189" t="s">
        <v>573</v>
      </c>
    </row>
    <row r="1429" spans="1:19" ht="14.25" customHeight="1" x14ac:dyDescent="0.3">
      <c r="A1429" s="182" t="s">
        <v>3721</v>
      </c>
      <c r="B1429" s="182" t="s">
        <v>908</v>
      </c>
      <c r="C1429" s="182" t="s">
        <v>909</v>
      </c>
      <c r="D1429" s="182" t="s">
        <v>976</v>
      </c>
      <c r="E1429" s="183" t="s">
        <v>977</v>
      </c>
      <c r="F1429" s="183" t="s">
        <v>576</v>
      </c>
      <c r="G1429" s="184">
        <v>3530.1140378925602</v>
      </c>
      <c r="H1429" s="185">
        <v>0</v>
      </c>
      <c r="I1429" s="186">
        <v>1</v>
      </c>
      <c r="J1429" s="187">
        <v>3530.1140378925602</v>
      </c>
      <c r="K1429" s="182" t="s">
        <v>3726</v>
      </c>
      <c r="L1429" s="182">
        <v>1</v>
      </c>
      <c r="M1429" s="182" t="s">
        <v>3727</v>
      </c>
      <c r="N1429" s="186">
        <v>3.25</v>
      </c>
      <c r="O1429" s="188">
        <v>3530.1140378925602</v>
      </c>
      <c r="P1429" s="188">
        <v>260</v>
      </c>
      <c r="Q1429" s="188">
        <v>917829.64985206595</v>
      </c>
      <c r="R1429" s="189">
        <v>18.010000000000002</v>
      </c>
      <c r="S1429" s="189" t="s">
        <v>573</v>
      </c>
    </row>
    <row r="1430" spans="1:19" ht="14.25" customHeight="1" x14ac:dyDescent="0.3">
      <c r="A1430" s="182" t="s">
        <v>3721</v>
      </c>
      <c r="B1430" s="182" t="s">
        <v>908</v>
      </c>
      <c r="C1430" s="182" t="s">
        <v>909</v>
      </c>
      <c r="D1430" s="182" t="s">
        <v>1655</v>
      </c>
      <c r="E1430" s="183" t="s">
        <v>1656</v>
      </c>
      <c r="F1430" s="183" t="s">
        <v>600</v>
      </c>
      <c r="G1430" s="184">
        <v>3</v>
      </c>
      <c r="H1430" s="185">
        <v>0.1</v>
      </c>
      <c r="I1430" s="186">
        <v>282.29000000000002</v>
      </c>
      <c r="J1430" s="187">
        <v>931.55700000000002</v>
      </c>
      <c r="K1430" s="182" t="s">
        <v>3726</v>
      </c>
      <c r="L1430" s="182">
        <v>2</v>
      </c>
      <c r="M1430" s="182" t="s">
        <v>3728</v>
      </c>
      <c r="N1430" s="186">
        <v>3.25</v>
      </c>
      <c r="O1430" s="188">
        <v>3</v>
      </c>
      <c r="P1430" s="188">
        <v>260</v>
      </c>
      <c r="Q1430" s="188">
        <v>780</v>
      </c>
      <c r="R1430" s="189">
        <v>18.010000000000002</v>
      </c>
      <c r="S1430" s="189" t="s">
        <v>573</v>
      </c>
    </row>
    <row r="1431" spans="1:19" ht="14.25" customHeight="1" x14ac:dyDescent="0.3">
      <c r="A1431" s="182" t="s">
        <v>3721</v>
      </c>
      <c r="B1431" s="182" t="s">
        <v>908</v>
      </c>
      <c r="C1431" s="182" t="s">
        <v>909</v>
      </c>
      <c r="D1431" s="182" t="s">
        <v>1659</v>
      </c>
      <c r="E1431" s="183" t="s">
        <v>1660</v>
      </c>
      <c r="F1431" s="183" t="s">
        <v>581</v>
      </c>
      <c r="G1431" s="184">
        <v>5</v>
      </c>
      <c r="H1431" s="185">
        <v>0.1</v>
      </c>
      <c r="I1431" s="186">
        <v>635.55999999999995</v>
      </c>
      <c r="J1431" s="187">
        <v>3495.58</v>
      </c>
      <c r="K1431" s="182" t="s">
        <v>3726</v>
      </c>
      <c r="L1431" s="182">
        <v>3</v>
      </c>
      <c r="M1431" s="182" t="s">
        <v>3729</v>
      </c>
      <c r="N1431" s="186">
        <v>3.25</v>
      </c>
      <c r="O1431" s="188">
        <v>5</v>
      </c>
      <c r="P1431" s="188">
        <v>260</v>
      </c>
      <c r="Q1431" s="188">
        <v>1300</v>
      </c>
      <c r="R1431" s="189">
        <v>18.010000000000002</v>
      </c>
      <c r="S1431" s="189" t="s">
        <v>573</v>
      </c>
    </row>
    <row r="1432" spans="1:19" ht="14.25" customHeight="1" x14ac:dyDescent="0.3">
      <c r="A1432" s="182" t="s">
        <v>3721</v>
      </c>
      <c r="B1432" s="182" t="s">
        <v>908</v>
      </c>
      <c r="C1432" s="182" t="s">
        <v>909</v>
      </c>
      <c r="D1432" s="182" t="s">
        <v>1662</v>
      </c>
      <c r="E1432" s="183" t="s">
        <v>1663</v>
      </c>
      <c r="F1432" s="183" t="s">
        <v>600</v>
      </c>
      <c r="G1432" s="184">
        <v>2</v>
      </c>
      <c r="H1432" s="185">
        <v>0.1</v>
      </c>
      <c r="I1432" s="186">
        <v>184.87</v>
      </c>
      <c r="J1432" s="187">
        <v>406.714</v>
      </c>
      <c r="K1432" s="182" t="s">
        <v>3726</v>
      </c>
      <c r="L1432" s="182">
        <v>4</v>
      </c>
      <c r="M1432" s="182" t="s">
        <v>3730</v>
      </c>
      <c r="N1432" s="186">
        <v>3.25</v>
      </c>
      <c r="O1432" s="188">
        <v>2</v>
      </c>
      <c r="P1432" s="188">
        <v>260</v>
      </c>
      <c r="Q1432" s="188">
        <v>520</v>
      </c>
      <c r="R1432" s="189">
        <v>18.010000000000002</v>
      </c>
      <c r="S1432" s="189" t="s">
        <v>573</v>
      </c>
    </row>
    <row r="1433" spans="1:19" ht="14.25" customHeight="1" x14ac:dyDescent="0.3">
      <c r="A1433" s="182" t="s">
        <v>3721</v>
      </c>
      <c r="B1433" s="182" t="s">
        <v>908</v>
      </c>
      <c r="C1433" s="182" t="s">
        <v>909</v>
      </c>
      <c r="D1433" s="182" t="s">
        <v>1665</v>
      </c>
      <c r="E1433" s="183" t="s">
        <v>1666</v>
      </c>
      <c r="F1433" s="183" t="s">
        <v>581</v>
      </c>
      <c r="G1433" s="184">
        <v>7.5</v>
      </c>
      <c r="H1433" s="185">
        <v>0.1</v>
      </c>
      <c r="I1433" s="186">
        <v>316.44450000000001</v>
      </c>
      <c r="J1433" s="187">
        <v>2610.6671249999999</v>
      </c>
      <c r="K1433" s="182" t="s">
        <v>3726</v>
      </c>
      <c r="L1433" s="182">
        <v>5</v>
      </c>
      <c r="M1433" s="182" t="s">
        <v>3731</v>
      </c>
      <c r="N1433" s="186">
        <v>3.25</v>
      </c>
      <c r="O1433" s="188">
        <v>7.5</v>
      </c>
      <c r="P1433" s="188">
        <v>260</v>
      </c>
      <c r="Q1433" s="188">
        <v>1950</v>
      </c>
      <c r="R1433" s="189">
        <v>18.010000000000002</v>
      </c>
      <c r="S1433" s="189" t="s">
        <v>573</v>
      </c>
    </row>
    <row r="1434" spans="1:19" ht="14.25" customHeight="1" x14ac:dyDescent="0.3">
      <c r="A1434" s="182" t="s">
        <v>3721</v>
      </c>
      <c r="B1434" s="182" t="s">
        <v>908</v>
      </c>
      <c r="C1434" s="182" t="s">
        <v>909</v>
      </c>
      <c r="D1434" s="182" t="s">
        <v>1668</v>
      </c>
      <c r="E1434" s="183" t="s">
        <v>1669</v>
      </c>
      <c r="F1434" s="183" t="s">
        <v>581</v>
      </c>
      <c r="G1434" s="184">
        <v>5</v>
      </c>
      <c r="H1434" s="185">
        <v>0.1</v>
      </c>
      <c r="I1434" s="186">
        <v>509.31490000000002</v>
      </c>
      <c r="J1434" s="187">
        <v>2801.2319499999999</v>
      </c>
      <c r="K1434" s="182" t="s">
        <v>3726</v>
      </c>
      <c r="L1434" s="182">
        <v>6</v>
      </c>
      <c r="M1434" s="182" t="s">
        <v>3732</v>
      </c>
      <c r="N1434" s="186">
        <v>3.25</v>
      </c>
      <c r="O1434" s="188">
        <v>5</v>
      </c>
      <c r="P1434" s="188">
        <v>260</v>
      </c>
      <c r="Q1434" s="188">
        <v>1300</v>
      </c>
      <c r="R1434" s="189">
        <v>18.010000000000002</v>
      </c>
      <c r="S1434" s="189" t="s">
        <v>573</v>
      </c>
    </row>
    <row r="1435" spans="1:19" ht="14.25" customHeight="1" x14ac:dyDescent="0.3">
      <c r="A1435" s="182" t="s">
        <v>3721</v>
      </c>
      <c r="B1435" s="182" t="s">
        <v>908</v>
      </c>
      <c r="C1435" s="182" t="s">
        <v>909</v>
      </c>
      <c r="D1435" s="182" t="s">
        <v>1671</v>
      </c>
      <c r="E1435" s="183" t="s">
        <v>1672</v>
      </c>
      <c r="F1435" s="183" t="s">
        <v>581</v>
      </c>
      <c r="G1435" s="184">
        <v>7.5</v>
      </c>
      <c r="H1435" s="185">
        <v>0.1</v>
      </c>
      <c r="I1435" s="186">
        <v>509.31490000000002</v>
      </c>
      <c r="J1435" s="187">
        <v>4201.847925</v>
      </c>
      <c r="K1435" s="182" t="s">
        <v>3726</v>
      </c>
      <c r="L1435" s="182">
        <v>7</v>
      </c>
      <c r="M1435" s="182" t="s">
        <v>3733</v>
      </c>
      <c r="N1435" s="186">
        <v>3.25</v>
      </c>
      <c r="O1435" s="188">
        <v>7.5</v>
      </c>
      <c r="P1435" s="188">
        <v>260</v>
      </c>
      <c r="Q1435" s="188">
        <v>1950</v>
      </c>
      <c r="R1435" s="189">
        <v>18.010000000000002</v>
      </c>
      <c r="S1435" s="189" t="s">
        <v>573</v>
      </c>
    </row>
    <row r="1436" spans="1:19" ht="14.25" customHeight="1" x14ac:dyDescent="0.3">
      <c r="A1436" s="182" t="s">
        <v>3721</v>
      </c>
      <c r="B1436" s="182" t="s">
        <v>908</v>
      </c>
      <c r="C1436" s="182" t="s">
        <v>909</v>
      </c>
      <c r="D1436" s="182" t="s">
        <v>1750</v>
      </c>
      <c r="E1436" s="183" t="s">
        <v>1751</v>
      </c>
      <c r="F1436" s="183" t="s">
        <v>600</v>
      </c>
      <c r="G1436" s="184">
        <v>1</v>
      </c>
      <c r="H1436" s="185">
        <v>0.05</v>
      </c>
      <c r="I1436" s="186">
        <v>2148.7603305785101</v>
      </c>
      <c r="J1436" s="187">
        <v>2256.19834710744</v>
      </c>
      <c r="K1436" s="182" t="s">
        <v>3726</v>
      </c>
      <c r="L1436" s="182">
        <v>8</v>
      </c>
      <c r="M1436" s="182" t="s">
        <v>3734</v>
      </c>
      <c r="N1436" s="186">
        <v>3.25</v>
      </c>
      <c r="O1436" s="188">
        <v>1</v>
      </c>
      <c r="P1436" s="188">
        <v>260</v>
      </c>
      <c r="Q1436" s="188">
        <v>260</v>
      </c>
      <c r="R1436" s="189">
        <v>18.010000000000002</v>
      </c>
      <c r="S1436" s="189" t="s">
        <v>573</v>
      </c>
    </row>
    <row r="1437" spans="1:19" ht="14.25" customHeight="1" x14ac:dyDescent="0.3">
      <c r="A1437" s="182" t="s">
        <v>3721</v>
      </c>
      <c r="B1437" s="182" t="s">
        <v>908</v>
      </c>
      <c r="C1437" s="182" t="s">
        <v>909</v>
      </c>
      <c r="D1437" s="182" t="s">
        <v>1677</v>
      </c>
      <c r="E1437" s="183" t="s">
        <v>1678</v>
      </c>
      <c r="F1437" s="183" t="s">
        <v>600</v>
      </c>
      <c r="G1437" s="184">
        <v>0.5</v>
      </c>
      <c r="H1437" s="185">
        <v>0.05</v>
      </c>
      <c r="I1437" s="186">
        <v>202.42</v>
      </c>
      <c r="J1437" s="187">
        <v>106.2705</v>
      </c>
      <c r="K1437" s="182" t="s">
        <v>3726</v>
      </c>
      <c r="L1437" s="182">
        <v>9</v>
      </c>
      <c r="M1437" s="182" t="s">
        <v>3735</v>
      </c>
      <c r="N1437" s="186">
        <v>3.25</v>
      </c>
      <c r="O1437" s="188">
        <v>0.5</v>
      </c>
      <c r="P1437" s="188">
        <v>260</v>
      </c>
      <c r="Q1437" s="188">
        <v>130</v>
      </c>
      <c r="R1437" s="189">
        <v>18.010000000000002</v>
      </c>
      <c r="S1437" s="189" t="s">
        <v>573</v>
      </c>
    </row>
    <row r="1438" spans="1:19" ht="14.25" customHeight="1" x14ac:dyDescent="0.3">
      <c r="A1438" s="182" t="s">
        <v>3721</v>
      </c>
      <c r="B1438" s="182" t="s">
        <v>937</v>
      </c>
      <c r="C1438" s="182" t="s">
        <v>909</v>
      </c>
      <c r="D1438" s="182" t="s">
        <v>3736</v>
      </c>
      <c r="E1438" s="183" t="s">
        <v>3737</v>
      </c>
      <c r="F1438" s="183" t="s">
        <v>941</v>
      </c>
      <c r="G1438" s="184">
        <v>3.25</v>
      </c>
      <c r="H1438" s="185">
        <v>0</v>
      </c>
      <c r="I1438" s="186">
        <v>35416.5</v>
      </c>
      <c r="J1438" s="187">
        <v>115103.625</v>
      </c>
      <c r="K1438" s="182" t="s">
        <v>3738</v>
      </c>
      <c r="L1438" s="182">
        <v>1</v>
      </c>
      <c r="M1438" s="182" t="s">
        <v>3739</v>
      </c>
      <c r="N1438" s="186">
        <v>3.25</v>
      </c>
      <c r="O1438" s="188">
        <v>3.25</v>
      </c>
      <c r="P1438" s="188">
        <v>260</v>
      </c>
      <c r="Q1438" s="188">
        <v>845</v>
      </c>
      <c r="R1438" s="189">
        <v>18.010000000000002</v>
      </c>
      <c r="S1438" s="189" t="s">
        <v>573</v>
      </c>
    </row>
    <row r="1439" spans="1:19" ht="14.25" customHeight="1" x14ac:dyDescent="0.3">
      <c r="A1439" s="182" t="s">
        <v>3740</v>
      </c>
      <c r="B1439" s="182" t="s">
        <v>937</v>
      </c>
      <c r="C1439" s="182" t="s">
        <v>909</v>
      </c>
      <c r="D1439" s="182" t="s">
        <v>3736</v>
      </c>
      <c r="E1439" s="183" t="s">
        <v>3737</v>
      </c>
      <c r="F1439" s="183" t="s">
        <v>941</v>
      </c>
      <c r="G1439" s="184">
        <v>3.25</v>
      </c>
      <c r="H1439" s="185">
        <v>0</v>
      </c>
      <c r="I1439" s="186">
        <v>35416.5</v>
      </c>
      <c r="J1439" s="187">
        <v>115103.625</v>
      </c>
      <c r="K1439" s="182" t="s">
        <v>3741</v>
      </c>
      <c r="L1439" s="182">
        <v>1</v>
      </c>
      <c r="M1439" s="182" t="s">
        <v>3742</v>
      </c>
      <c r="N1439" s="186">
        <v>3.25</v>
      </c>
      <c r="O1439" s="188">
        <v>3.25</v>
      </c>
      <c r="P1439" s="188">
        <v>62</v>
      </c>
      <c r="Q1439" s="188">
        <v>201.5</v>
      </c>
      <c r="R1439" s="189">
        <v>18.02</v>
      </c>
      <c r="S1439" s="189" t="s">
        <v>573</v>
      </c>
    </row>
    <row r="1440" spans="1:19" ht="14.25" customHeight="1" x14ac:dyDescent="0.3">
      <c r="A1440" s="182" t="s">
        <v>3740</v>
      </c>
      <c r="B1440" s="182" t="s">
        <v>563</v>
      </c>
      <c r="C1440" s="182"/>
      <c r="D1440" s="182" t="s">
        <v>948</v>
      </c>
      <c r="E1440" s="183" t="s">
        <v>949</v>
      </c>
      <c r="F1440" s="183"/>
      <c r="G1440" s="184">
        <v>0.5</v>
      </c>
      <c r="H1440" s="185">
        <v>0</v>
      </c>
      <c r="I1440" s="186">
        <v>571.17949098076099</v>
      </c>
      <c r="J1440" s="187">
        <v>285.58974549038101</v>
      </c>
      <c r="K1440" s="182" t="s">
        <v>3743</v>
      </c>
      <c r="L1440" s="182">
        <v>1</v>
      </c>
      <c r="M1440" s="182" t="s">
        <v>3744</v>
      </c>
      <c r="N1440" s="186">
        <v>3.25</v>
      </c>
      <c r="O1440" s="188">
        <v>0.5</v>
      </c>
      <c r="P1440" s="188">
        <v>62</v>
      </c>
      <c r="Q1440" s="188">
        <v>31</v>
      </c>
      <c r="R1440" s="189">
        <v>18.02</v>
      </c>
      <c r="S1440" s="189" t="s">
        <v>573</v>
      </c>
    </row>
    <row r="1441" spans="1:19" ht="14.25" customHeight="1" x14ac:dyDescent="0.3">
      <c r="A1441" s="182" t="s">
        <v>3740</v>
      </c>
      <c r="B1441" s="182" t="s">
        <v>563</v>
      </c>
      <c r="C1441" s="182"/>
      <c r="D1441" s="182" t="s">
        <v>1651</v>
      </c>
      <c r="E1441" s="183" t="s">
        <v>1652</v>
      </c>
      <c r="F1441" s="183"/>
      <c r="G1441" s="184">
        <v>1</v>
      </c>
      <c r="H1441" s="185">
        <v>0</v>
      </c>
      <c r="I1441" s="186">
        <v>5063.0947914732396</v>
      </c>
      <c r="J1441" s="187">
        <v>5063.0947914732396</v>
      </c>
      <c r="K1441" s="182" t="s">
        <v>3743</v>
      </c>
      <c r="L1441" s="182">
        <v>2</v>
      </c>
      <c r="M1441" s="182" t="s">
        <v>3745</v>
      </c>
      <c r="N1441" s="186">
        <v>3.25</v>
      </c>
      <c r="O1441" s="188">
        <v>1</v>
      </c>
      <c r="P1441" s="188">
        <v>62</v>
      </c>
      <c r="Q1441" s="188">
        <v>62</v>
      </c>
      <c r="R1441" s="189">
        <v>18.02</v>
      </c>
      <c r="S1441" s="189" t="s">
        <v>573</v>
      </c>
    </row>
    <row r="1442" spans="1:19" ht="14.25" customHeight="1" x14ac:dyDescent="0.3">
      <c r="A1442" s="182" t="s">
        <v>3740</v>
      </c>
      <c r="B1442" s="182" t="s">
        <v>563</v>
      </c>
      <c r="C1442" s="182"/>
      <c r="D1442" s="182" t="s">
        <v>1456</v>
      </c>
      <c r="E1442" s="183" t="s">
        <v>1457</v>
      </c>
      <c r="F1442" s="183"/>
      <c r="G1442" s="184">
        <v>0.5</v>
      </c>
      <c r="H1442" s="185">
        <v>0</v>
      </c>
      <c r="I1442" s="186">
        <v>140.198092594309</v>
      </c>
      <c r="J1442" s="187">
        <v>70.099046297154501</v>
      </c>
      <c r="K1442" s="182" t="s">
        <v>3743</v>
      </c>
      <c r="L1442" s="182">
        <v>3</v>
      </c>
      <c r="M1442" s="182" t="s">
        <v>3746</v>
      </c>
      <c r="N1442" s="186">
        <v>3.25</v>
      </c>
      <c r="O1442" s="188">
        <v>0.5</v>
      </c>
      <c r="P1442" s="188">
        <v>62</v>
      </c>
      <c r="Q1442" s="188">
        <v>31</v>
      </c>
      <c r="R1442" s="189">
        <v>18.02</v>
      </c>
      <c r="S1442" s="189" t="s">
        <v>573</v>
      </c>
    </row>
    <row r="1443" spans="1:19" ht="14.25" customHeight="1" x14ac:dyDescent="0.3">
      <c r="A1443" s="182" t="s">
        <v>3740</v>
      </c>
      <c r="B1443" s="182" t="s">
        <v>908</v>
      </c>
      <c r="C1443" s="182" t="s">
        <v>909</v>
      </c>
      <c r="D1443" s="182" t="s">
        <v>976</v>
      </c>
      <c r="E1443" s="183" t="s">
        <v>977</v>
      </c>
      <c r="F1443" s="183" t="s">
        <v>576</v>
      </c>
      <c r="G1443" s="184">
        <v>3100.945995</v>
      </c>
      <c r="H1443" s="185">
        <v>0</v>
      </c>
      <c r="I1443" s="186">
        <v>1</v>
      </c>
      <c r="J1443" s="187">
        <v>3100.945995</v>
      </c>
      <c r="K1443" s="182" t="s">
        <v>3747</v>
      </c>
      <c r="L1443" s="182">
        <v>1</v>
      </c>
      <c r="M1443" s="182" t="s">
        <v>3748</v>
      </c>
      <c r="N1443" s="186">
        <v>3.25</v>
      </c>
      <c r="O1443" s="188">
        <v>3100.945995</v>
      </c>
      <c r="P1443" s="188">
        <v>62</v>
      </c>
      <c r="Q1443" s="188">
        <v>192258.65169</v>
      </c>
      <c r="R1443" s="189">
        <v>18.02</v>
      </c>
      <c r="S1443" s="189" t="s">
        <v>573</v>
      </c>
    </row>
    <row r="1444" spans="1:19" ht="14.25" customHeight="1" x14ac:dyDescent="0.3">
      <c r="A1444" s="182" t="s">
        <v>3740</v>
      </c>
      <c r="B1444" s="182" t="s">
        <v>908</v>
      </c>
      <c r="C1444" s="182" t="s">
        <v>909</v>
      </c>
      <c r="D1444" s="182" t="s">
        <v>1655</v>
      </c>
      <c r="E1444" s="183" t="s">
        <v>1656</v>
      </c>
      <c r="F1444" s="183" t="s">
        <v>600</v>
      </c>
      <c r="G1444" s="184">
        <v>3</v>
      </c>
      <c r="H1444" s="185">
        <v>0.1</v>
      </c>
      <c r="I1444" s="186">
        <v>282.29000000000002</v>
      </c>
      <c r="J1444" s="187">
        <v>931.55700000000002</v>
      </c>
      <c r="K1444" s="182" t="s">
        <v>3747</v>
      </c>
      <c r="L1444" s="182">
        <v>2</v>
      </c>
      <c r="M1444" s="182" t="s">
        <v>3749</v>
      </c>
      <c r="N1444" s="186">
        <v>3.25</v>
      </c>
      <c r="O1444" s="188">
        <v>3</v>
      </c>
      <c r="P1444" s="188">
        <v>62</v>
      </c>
      <c r="Q1444" s="188">
        <v>186</v>
      </c>
      <c r="R1444" s="189">
        <v>18.02</v>
      </c>
      <c r="S1444" s="189" t="s">
        <v>573</v>
      </c>
    </row>
    <row r="1445" spans="1:19" ht="14.25" customHeight="1" x14ac:dyDescent="0.3">
      <c r="A1445" s="182" t="s">
        <v>3740</v>
      </c>
      <c r="B1445" s="182" t="s">
        <v>908</v>
      </c>
      <c r="C1445" s="182" t="s">
        <v>909</v>
      </c>
      <c r="D1445" s="182" t="s">
        <v>1659</v>
      </c>
      <c r="E1445" s="183" t="s">
        <v>1660</v>
      </c>
      <c r="F1445" s="183" t="s">
        <v>581</v>
      </c>
      <c r="G1445" s="184">
        <v>5</v>
      </c>
      <c r="H1445" s="185">
        <v>0.1</v>
      </c>
      <c r="I1445" s="186">
        <v>635.55999999999995</v>
      </c>
      <c r="J1445" s="187">
        <v>3495.58</v>
      </c>
      <c r="K1445" s="182" t="s">
        <v>3747</v>
      </c>
      <c r="L1445" s="182">
        <v>3</v>
      </c>
      <c r="M1445" s="182" t="s">
        <v>3750</v>
      </c>
      <c r="N1445" s="186">
        <v>3.25</v>
      </c>
      <c r="O1445" s="188">
        <v>5</v>
      </c>
      <c r="P1445" s="188">
        <v>62</v>
      </c>
      <c r="Q1445" s="188">
        <v>310</v>
      </c>
      <c r="R1445" s="189">
        <v>18.02</v>
      </c>
      <c r="S1445" s="189" t="s">
        <v>573</v>
      </c>
    </row>
    <row r="1446" spans="1:19" ht="14.25" customHeight="1" x14ac:dyDescent="0.3">
      <c r="A1446" s="182" t="s">
        <v>3740</v>
      </c>
      <c r="B1446" s="182" t="s">
        <v>908</v>
      </c>
      <c r="C1446" s="182" t="s">
        <v>909</v>
      </c>
      <c r="D1446" s="182" t="s">
        <v>1662</v>
      </c>
      <c r="E1446" s="183" t="s">
        <v>1663</v>
      </c>
      <c r="F1446" s="183" t="s">
        <v>600</v>
      </c>
      <c r="G1446" s="184">
        <v>2</v>
      </c>
      <c r="H1446" s="185">
        <v>0.1</v>
      </c>
      <c r="I1446" s="186">
        <v>184.87</v>
      </c>
      <c r="J1446" s="187">
        <v>406.714</v>
      </c>
      <c r="K1446" s="182" t="s">
        <v>3747</v>
      </c>
      <c r="L1446" s="182">
        <v>4</v>
      </c>
      <c r="M1446" s="182" t="s">
        <v>3751</v>
      </c>
      <c r="N1446" s="186">
        <v>3.25</v>
      </c>
      <c r="O1446" s="188">
        <v>2</v>
      </c>
      <c r="P1446" s="188">
        <v>62</v>
      </c>
      <c r="Q1446" s="188">
        <v>124</v>
      </c>
      <c r="R1446" s="189">
        <v>18.02</v>
      </c>
      <c r="S1446" s="189" t="s">
        <v>573</v>
      </c>
    </row>
    <row r="1447" spans="1:19" ht="14.25" customHeight="1" x14ac:dyDescent="0.3">
      <c r="A1447" s="182" t="s">
        <v>3740</v>
      </c>
      <c r="B1447" s="182" t="s">
        <v>908</v>
      </c>
      <c r="C1447" s="182" t="s">
        <v>909</v>
      </c>
      <c r="D1447" s="182" t="s">
        <v>1665</v>
      </c>
      <c r="E1447" s="183" t="s">
        <v>1666</v>
      </c>
      <c r="F1447" s="183" t="s">
        <v>581</v>
      </c>
      <c r="G1447" s="184">
        <v>7.5</v>
      </c>
      <c r="H1447" s="185">
        <v>0.1</v>
      </c>
      <c r="I1447" s="186">
        <v>316.44450000000001</v>
      </c>
      <c r="J1447" s="187">
        <v>2610.6671249999999</v>
      </c>
      <c r="K1447" s="182" t="s">
        <v>3747</v>
      </c>
      <c r="L1447" s="182">
        <v>5</v>
      </c>
      <c r="M1447" s="182" t="s">
        <v>3752</v>
      </c>
      <c r="N1447" s="186">
        <v>3.25</v>
      </c>
      <c r="O1447" s="188">
        <v>7.5</v>
      </c>
      <c r="P1447" s="188">
        <v>62</v>
      </c>
      <c r="Q1447" s="188">
        <v>465</v>
      </c>
      <c r="R1447" s="189">
        <v>18.02</v>
      </c>
      <c r="S1447" s="189" t="s">
        <v>573</v>
      </c>
    </row>
    <row r="1448" spans="1:19" ht="14.25" customHeight="1" x14ac:dyDescent="0.3">
      <c r="A1448" s="182" t="s">
        <v>3740</v>
      </c>
      <c r="B1448" s="182" t="s">
        <v>908</v>
      </c>
      <c r="C1448" s="182" t="s">
        <v>909</v>
      </c>
      <c r="D1448" s="182" t="s">
        <v>1668</v>
      </c>
      <c r="E1448" s="183" t="s">
        <v>1669</v>
      </c>
      <c r="F1448" s="183" t="s">
        <v>581</v>
      </c>
      <c r="G1448" s="184">
        <v>5</v>
      </c>
      <c r="H1448" s="185">
        <v>0.1</v>
      </c>
      <c r="I1448" s="186">
        <v>509.31490000000002</v>
      </c>
      <c r="J1448" s="187">
        <v>2801.2319499999999</v>
      </c>
      <c r="K1448" s="182" t="s">
        <v>3747</v>
      </c>
      <c r="L1448" s="182">
        <v>6</v>
      </c>
      <c r="M1448" s="182" t="s">
        <v>3753</v>
      </c>
      <c r="N1448" s="186">
        <v>3.25</v>
      </c>
      <c r="O1448" s="188">
        <v>5</v>
      </c>
      <c r="P1448" s="188">
        <v>62</v>
      </c>
      <c r="Q1448" s="188">
        <v>310</v>
      </c>
      <c r="R1448" s="189">
        <v>18.02</v>
      </c>
      <c r="S1448" s="189" t="s">
        <v>573</v>
      </c>
    </row>
    <row r="1449" spans="1:19" ht="14.25" customHeight="1" x14ac:dyDescent="0.3">
      <c r="A1449" s="182" t="s">
        <v>3740</v>
      </c>
      <c r="B1449" s="182" t="s">
        <v>908</v>
      </c>
      <c r="C1449" s="182" t="s">
        <v>909</v>
      </c>
      <c r="D1449" s="182" t="s">
        <v>1671</v>
      </c>
      <c r="E1449" s="183" t="s">
        <v>1672</v>
      </c>
      <c r="F1449" s="183" t="s">
        <v>581</v>
      </c>
      <c r="G1449" s="184">
        <v>7.5</v>
      </c>
      <c r="H1449" s="185">
        <v>0.1</v>
      </c>
      <c r="I1449" s="186">
        <v>509.31490000000002</v>
      </c>
      <c r="J1449" s="187">
        <v>4201.847925</v>
      </c>
      <c r="K1449" s="182" t="s">
        <v>3747</v>
      </c>
      <c r="L1449" s="182">
        <v>7</v>
      </c>
      <c r="M1449" s="182" t="s">
        <v>3754</v>
      </c>
      <c r="N1449" s="186">
        <v>3.25</v>
      </c>
      <c r="O1449" s="188">
        <v>7.5</v>
      </c>
      <c r="P1449" s="188">
        <v>62</v>
      </c>
      <c r="Q1449" s="188">
        <v>465</v>
      </c>
      <c r="R1449" s="189">
        <v>18.02</v>
      </c>
      <c r="S1449" s="189" t="s">
        <v>573</v>
      </c>
    </row>
    <row r="1450" spans="1:19" ht="14.25" customHeight="1" x14ac:dyDescent="0.3">
      <c r="A1450" s="182" t="s">
        <v>3740</v>
      </c>
      <c r="B1450" s="182" t="s">
        <v>908</v>
      </c>
      <c r="C1450" s="182" t="s">
        <v>909</v>
      </c>
      <c r="D1450" s="182" t="s">
        <v>1674</v>
      </c>
      <c r="E1450" s="183" t="s">
        <v>1675</v>
      </c>
      <c r="F1450" s="183" t="s">
        <v>600</v>
      </c>
      <c r="G1450" s="184">
        <v>1</v>
      </c>
      <c r="H1450" s="185">
        <v>0.05</v>
      </c>
      <c r="I1450" s="186">
        <v>202.42</v>
      </c>
      <c r="J1450" s="187">
        <v>212.541</v>
      </c>
      <c r="K1450" s="182" t="s">
        <v>3747</v>
      </c>
      <c r="L1450" s="182">
        <v>8</v>
      </c>
      <c r="M1450" s="182" t="s">
        <v>3755</v>
      </c>
      <c r="N1450" s="186">
        <v>3.25</v>
      </c>
      <c r="O1450" s="188">
        <v>1</v>
      </c>
      <c r="P1450" s="188">
        <v>62</v>
      </c>
      <c r="Q1450" s="188">
        <v>62</v>
      </c>
      <c r="R1450" s="189">
        <v>18.02</v>
      </c>
      <c r="S1450" s="189" t="s">
        <v>573</v>
      </c>
    </row>
    <row r="1451" spans="1:19" ht="14.25" customHeight="1" x14ac:dyDescent="0.3">
      <c r="A1451" s="182" t="s">
        <v>3740</v>
      </c>
      <c r="B1451" s="182" t="s">
        <v>908</v>
      </c>
      <c r="C1451" s="182" t="s">
        <v>909</v>
      </c>
      <c r="D1451" s="182" t="s">
        <v>1677</v>
      </c>
      <c r="E1451" s="183" t="s">
        <v>1678</v>
      </c>
      <c r="F1451" s="183" t="s">
        <v>600</v>
      </c>
      <c r="G1451" s="184">
        <v>0.5</v>
      </c>
      <c r="H1451" s="185">
        <v>0.05</v>
      </c>
      <c r="I1451" s="186">
        <v>202.42</v>
      </c>
      <c r="J1451" s="187">
        <v>106.2705</v>
      </c>
      <c r="K1451" s="182" t="s">
        <v>3747</v>
      </c>
      <c r="L1451" s="182">
        <v>9</v>
      </c>
      <c r="M1451" s="182" t="s">
        <v>3756</v>
      </c>
      <c r="N1451" s="186">
        <v>3.25</v>
      </c>
      <c r="O1451" s="188">
        <v>0.5</v>
      </c>
      <c r="P1451" s="188">
        <v>62</v>
      </c>
      <c r="Q1451" s="188">
        <v>31</v>
      </c>
      <c r="R1451" s="189">
        <v>18.02</v>
      </c>
      <c r="S1451" s="189" t="s">
        <v>573</v>
      </c>
    </row>
    <row r="1452" spans="1:19" ht="14.25" customHeight="1" x14ac:dyDescent="0.3">
      <c r="A1452" s="182" t="s">
        <v>3757</v>
      </c>
      <c r="B1452" s="182" t="s">
        <v>937</v>
      </c>
      <c r="C1452" s="182" t="s">
        <v>909</v>
      </c>
      <c r="D1452" s="182" t="s">
        <v>3736</v>
      </c>
      <c r="E1452" s="183" t="s">
        <v>3737</v>
      </c>
      <c r="F1452" s="183" t="s">
        <v>941</v>
      </c>
      <c r="G1452" s="184">
        <v>3.25</v>
      </c>
      <c r="H1452" s="185">
        <v>0</v>
      </c>
      <c r="I1452" s="186">
        <v>35416.5</v>
      </c>
      <c r="J1452" s="187">
        <v>115103.625</v>
      </c>
      <c r="K1452" s="182" t="s">
        <v>3758</v>
      </c>
      <c r="L1452" s="182">
        <v>1</v>
      </c>
      <c r="M1452" s="182" t="s">
        <v>3759</v>
      </c>
      <c r="N1452" s="186">
        <v>3.25</v>
      </c>
      <c r="O1452" s="188">
        <v>3.25</v>
      </c>
      <c r="P1452" s="188" t="s">
        <v>573</v>
      </c>
      <c r="Q1452" s="188">
        <v>0</v>
      </c>
      <c r="R1452" s="189" t="s">
        <v>573</v>
      </c>
      <c r="S1452" s="189" t="s">
        <v>573</v>
      </c>
    </row>
    <row r="1453" spans="1:19" ht="14.25" customHeight="1" x14ac:dyDescent="0.3">
      <c r="A1453" s="182" t="s">
        <v>3760</v>
      </c>
      <c r="B1453" s="182" t="s">
        <v>937</v>
      </c>
      <c r="C1453" s="182" t="s">
        <v>909</v>
      </c>
      <c r="D1453" s="182" t="s">
        <v>3736</v>
      </c>
      <c r="E1453" s="183" t="s">
        <v>3737</v>
      </c>
      <c r="F1453" s="183" t="s">
        <v>941</v>
      </c>
      <c r="G1453" s="184">
        <v>3.25</v>
      </c>
      <c r="H1453" s="185">
        <v>0</v>
      </c>
      <c r="I1453" s="186">
        <v>35416.5</v>
      </c>
      <c r="J1453" s="187">
        <v>115103.625</v>
      </c>
      <c r="K1453" s="182" t="s">
        <v>3761</v>
      </c>
      <c r="L1453" s="182">
        <v>1</v>
      </c>
      <c r="M1453" s="182" t="s">
        <v>3762</v>
      </c>
      <c r="N1453" s="186">
        <v>3.25</v>
      </c>
      <c r="O1453" s="188">
        <v>3.25</v>
      </c>
      <c r="P1453" s="188" t="s">
        <v>573</v>
      </c>
      <c r="Q1453" s="188">
        <v>0</v>
      </c>
      <c r="R1453" s="189" t="s">
        <v>573</v>
      </c>
      <c r="S1453" s="189" t="s">
        <v>573</v>
      </c>
    </row>
    <row r="1454" spans="1:19" ht="14.25" customHeight="1" x14ac:dyDescent="0.3">
      <c r="A1454" s="182" t="s">
        <v>3757</v>
      </c>
      <c r="B1454" s="182" t="s">
        <v>563</v>
      </c>
      <c r="C1454" s="182"/>
      <c r="D1454" s="182" t="s">
        <v>948</v>
      </c>
      <c r="E1454" s="183" t="s">
        <v>949</v>
      </c>
      <c r="F1454" s="183"/>
      <c r="G1454" s="184">
        <v>0.5</v>
      </c>
      <c r="H1454" s="185">
        <v>0</v>
      </c>
      <c r="I1454" s="186">
        <v>571.17949098076099</v>
      </c>
      <c r="J1454" s="187">
        <v>285.58974549038101</v>
      </c>
      <c r="K1454" s="182" t="s">
        <v>3763</v>
      </c>
      <c r="L1454" s="182">
        <v>1</v>
      </c>
      <c r="M1454" s="182" t="s">
        <v>3764</v>
      </c>
      <c r="N1454" s="186">
        <v>3.25</v>
      </c>
      <c r="O1454" s="188">
        <v>0.5</v>
      </c>
      <c r="P1454" s="188" t="s">
        <v>573</v>
      </c>
      <c r="Q1454" s="188">
        <v>0</v>
      </c>
      <c r="R1454" s="189" t="s">
        <v>573</v>
      </c>
      <c r="S1454" s="189" t="s">
        <v>573</v>
      </c>
    </row>
    <row r="1455" spans="1:19" ht="14.25" customHeight="1" x14ac:dyDescent="0.3">
      <c r="A1455" s="182" t="s">
        <v>3757</v>
      </c>
      <c r="B1455" s="182" t="s">
        <v>563</v>
      </c>
      <c r="C1455" s="182"/>
      <c r="D1455" s="182" t="s">
        <v>1651</v>
      </c>
      <c r="E1455" s="183" t="s">
        <v>1652</v>
      </c>
      <c r="F1455" s="183"/>
      <c r="G1455" s="184">
        <v>1</v>
      </c>
      <c r="H1455" s="185">
        <v>0</v>
      </c>
      <c r="I1455" s="186">
        <v>5063.0947914732396</v>
      </c>
      <c r="J1455" s="187">
        <v>5063.0947914732396</v>
      </c>
      <c r="K1455" s="182" t="s">
        <v>3763</v>
      </c>
      <c r="L1455" s="182">
        <v>2</v>
      </c>
      <c r="M1455" s="182" t="s">
        <v>3765</v>
      </c>
      <c r="N1455" s="186">
        <v>3.25</v>
      </c>
      <c r="O1455" s="188">
        <v>1</v>
      </c>
      <c r="P1455" s="188" t="s">
        <v>573</v>
      </c>
      <c r="Q1455" s="188">
        <v>0</v>
      </c>
      <c r="R1455" s="189" t="s">
        <v>573</v>
      </c>
      <c r="S1455" s="189" t="s">
        <v>573</v>
      </c>
    </row>
    <row r="1456" spans="1:19" ht="14.25" customHeight="1" x14ac:dyDescent="0.3">
      <c r="A1456" s="182" t="s">
        <v>3757</v>
      </c>
      <c r="B1456" s="182" t="s">
        <v>563</v>
      </c>
      <c r="C1456" s="182"/>
      <c r="D1456" s="182" t="s">
        <v>1456</v>
      </c>
      <c r="E1456" s="183" t="s">
        <v>1457</v>
      </c>
      <c r="F1456" s="183"/>
      <c r="G1456" s="184">
        <v>0.5</v>
      </c>
      <c r="H1456" s="185">
        <v>0</v>
      </c>
      <c r="I1456" s="186">
        <v>140.198092594309</v>
      </c>
      <c r="J1456" s="187">
        <v>70.099046297154501</v>
      </c>
      <c r="K1456" s="182" t="s">
        <v>3763</v>
      </c>
      <c r="L1456" s="182">
        <v>3</v>
      </c>
      <c r="M1456" s="182" t="s">
        <v>3766</v>
      </c>
      <c r="N1456" s="186">
        <v>3.25</v>
      </c>
      <c r="O1456" s="188">
        <v>0.5</v>
      </c>
      <c r="P1456" s="188" t="s">
        <v>573</v>
      </c>
      <c r="Q1456" s="188">
        <v>0</v>
      </c>
      <c r="R1456" s="189" t="s">
        <v>573</v>
      </c>
      <c r="S1456" s="189" t="s">
        <v>573</v>
      </c>
    </row>
    <row r="1457" spans="1:19" ht="14.25" customHeight="1" x14ac:dyDescent="0.3">
      <c r="A1457" s="182" t="s">
        <v>3757</v>
      </c>
      <c r="B1457" s="182" t="s">
        <v>908</v>
      </c>
      <c r="C1457" s="182" t="s">
        <v>909</v>
      </c>
      <c r="D1457" s="182" t="s">
        <v>1655</v>
      </c>
      <c r="E1457" s="183" t="s">
        <v>1656</v>
      </c>
      <c r="F1457" s="183" t="s">
        <v>600</v>
      </c>
      <c r="G1457" s="184">
        <v>3</v>
      </c>
      <c r="H1457" s="185">
        <v>0.1</v>
      </c>
      <c r="I1457" s="186">
        <v>282.29000000000002</v>
      </c>
      <c r="J1457" s="187">
        <v>931.55700000000002</v>
      </c>
      <c r="K1457" s="182" t="s">
        <v>3767</v>
      </c>
      <c r="L1457" s="182">
        <v>1</v>
      </c>
      <c r="M1457" s="182" t="s">
        <v>3768</v>
      </c>
      <c r="N1457" s="186">
        <v>3.25</v>
      </c>
      <c r="O1457" s="188">
        <v>3</v>
      </c>
      <c r="P1457" s="188" t="s">
        <v>573</v>
      </c>
      <c r="Q1457" s="188">
        <v>0</v>
      </c>
      <c r="R1457" s="189" t="s">
        <v>573</v>
      </c>
      <c r="S1457" s="189" t="s">
        <v>573</v>
      </c>
    </row>
    <row r="1458" spans="1:19" ht="14.25" customHeight="1" x14ac:dyDescent="0.3">
      <c r="A1458" s="182" t="s">
        <v>3757</v>
      </c>
      <c r="B1458" s="182" t="s">
        <v>908</v>
      </c>
      <c r="C1458" s="182" t="s">
        <v>909</v>
      </c>
      <c r="D1458" s="182" t="s">
        <v>1659</v>
      </c>
      <c r="E1458" s="183" t="s">
        <v>1660</v>
      </c>
      <c r="F1458" s="183" t="s">
        <v>581</v>
      </c>
      <c r="G1458" s="184">
        <v>5</v>
      </c>
      <c r="H1458" s="185">
        <v>0.1</v>
      </c>
      <c r="I1458" s="186">
        <v>635.55999999999995</v>
      </c>
      <c r="J1458" s="187">
        <v>3495.58</v>
      </c>
      <c r="K1458" s="182" t="s">
        <v>3767</v>
      </c>
      <c r="L1458" s="182">
        <v>2</v>
      </c>
      <c r="M1458" s="182" t="s">
        <v>3769</v>
      </c>
      <c r="N1458" s="186">
        <v>3.25</v>
      </c>
      <c r="O1458" s="188">
        <v>5</v>
      </c>
      <c r="P1458" s="188" t="s">
        <v>573</v>
      </c>
      <c r="Q1458" s="188">
        <v>0</v>
      </c>
      <c r="R1458" s="189" t="s">
        <v>573</v>
      </c>
      <c r="S1458" s="189" t="s">
        <v>573</v>
      </c>
    </row>
    <row r="1459" spans="1:19" ht="14.25" customHeight="1" x14ac:dyDescent="0.3">
      <c r="A1459" s="182" t="s">
        <v>3757</v>
      </c>
      <c r="B1459" s="182" t="s">
        <v>908</v>
      </c>
      <c r="C1459" s="182" t="s">
        <v>909</v>
      </c>
      <c r="D1459" s="182" t="s">
        <v>1662</v>
      </c>
      <c r="E1459" s="183" t="s">
        <v>1663</v>
      </c>
      <c r="F1459" s="183" t="s">
        <v>600</v>
      </c>
      <c r="G1459" s="184">
        <v>2</v>
      </c>
      <c r="H1459" s="185">
        <v>0.1</v>
      </c>
      <c r="I1459" s="186">
        <v>184.87</v>
      </c>
      <c r="J1459" s="187">
        <v>406.714</v>
      </c>
      <c r="K1459" s="182" t="s">
        <v>3767</v>
      </c>
      <c r="L1459" s="182">
        <v>3</v>
      </c>
      <c r="M1459" s="182" t="s">
        <v>3770</v>
      </c>
      <c r="N1459" s="186">
        <v>3.25</v>
      </c>
      <c r="O1459" s="188">
        <v>2</v>
      </c>
      <c r="P1459" s="188" t="s">
        <v>573</v>
      </c>
      <c r="Q1459" s="188">
        <v>0</v>
      </c>
      <c r="R1459" s="189" t="s">
        <v>573</v>
      </c>
      <c r="S1459" s="189" t="s">
        <v>573</v>
      </c>
    </row>
    <row r="1460" spans="1:19" ht="14.25" customHeight="1" x14ac:dyDescent="0.3">
      <c r="A1460" s="182" t="s">
        <v>3757</v>
      </c>
      <c r="B1460" s="182" t="s">
        <v>908</v>
      </c>
      <c r="C1460" s="182" t="s">
        <v>909</v>
      </c>
      <c r="D1460" s="182" t="s">
        <v>1665</v>
      </c>
      <c r="E1460" s="183" t="s">
        <v>1666</v>
      </c>
      <c r="F1460" s="183" t="s">
        <v>581</v>
      </c>
      <c r="G1460" s="184">
        <v>7.5</v>
      </c>
      <c r="H1460" s="185">
        <v>0.1</v>
      </c>
      <c r="I1460" s="186">
        <v>316.44450000000001</v>
      </c>
      <c r="J1460" s="187">
        <v>2610.6671249999999</v>
      </c>
      <c r="K1460" s="182" t="s">
        <v>3767</v>
      </c>
      <c r="L1460" s="182">
        <v>4</v>
      </c>
      <c r="M1460" s="182" t="s">
        <v>3771</v>
      </c>
      <c r="N1460" s="186">
        <v>3.25</v>
      </c>
      <c r="O1460" s="188">
        <v>7.5</v>
      </c>
      <c r="P1460" s="188" t="s">
        <v>573</v>
      </c>
      <c r="Q1460" s="188">
        <v>0</v>
      </c>
      <c r="R1460" s="189" t="s">
        <v>573</v>
      </c>
      <c r="S1460" s="189" t="s">
        <v>573</v>
      </c>
    </row>
    <row r="1461" spans="1:19" ht="14.25" customHeight="1" x14ac:dyDescent="0.3">
      <c r="A1461" s="182" t="s">
        <v>3757</v>
      </c>
      <c r="B1461" s="182" t="s">
        <v>908</v>
      </c>
      <c r="C1461" s="182" t="s">
        <v>909</v>
      </c>
      <c r="D1461" s="182" t="s">
        <v>1668</v>
      </c>
      <c r="E1461" s="183" t="s">
        <v>1669</v>
      </c>
      <c r="F1461" s="183" t="s">
        <v>581</v>
      </c>
      <c r="G1461" s="184">
        <v>5</v>
      </c>
      <c r="H1461" s="185">
        <v>0.1</v>
      </c>
      <c r="I1461" s="186">
        <v>509.31490000000002</v>
      </c>
      <c r="J1461" s="187">
        <v>2801.2319499999999</v>
      </c>
      <c r="K1461" s="182" t="s">
        <v>3767</v>
      </c>
      <c r="L1461" s="182">
        <v>5</v>
      </c>
      <c r="M1461" s="182" t="s">
        <v>3772</v>
      </c>
      <c r="N1461" s="186">
        <v>3.25</v>
      </c>
      <c r="O1461" s="188">
        <v>5</v>
      </c>
      <c r="P1461" s="188" t="s">
        <v>573</v>
      </c>
      <c r="Q1461" s="188">
        <v>0</v>
      </c>
      <c r="R1461" s="189" t="s">
        <v>573</v>
      </c>
      <c r="S1461" s="189" t="s">
        <v>573</v>
      </c>
    </row>
    <row r="1462" spans="1:19" ht="14.25" customHeight="1" x14ac:dyDescent="0.3">
      <c r="A1462" s="182" t="s">
        <v>3757</v>
      </c>
      <c r="B1462" s="182" t="s">
        <v>908</v>
      </c>
      <c r="C1462" s="182" t="s">
        <v>909</v>
      </c>
      <c r="D1462" s="182" t="s">
        <v>1671</v>
      </c>
      <c r="E1462" s="183" t="s">
        <v>1672</v>
      </c>
      <c r="F1462" s="183" t="s">
        <v>581</v>
      </c>
      <c r="G1462" s="184">
        <v>7.5</v>
      </c>
      <c r="H1462" s="185">
        <v>0.1</v>
      </c>
      <c r="I1462" s="186">
        <v>509.31490000000002</v>
      </c>
      <c r="J1462" s="187">
        <v>4201.847925</v>
      </c>
      <c r="K1462" s="182" t="s">
        <v>3767</v>
      </c>
      <c r="L1462" s="182">
        <v>6</v>
      </c>
      <c r="M1462" s="182" t="s">
        <v>3773</v>
      </c>
      <c r="N1462" s="186">
        <v>3.25</v>
      </c>
      <c r="O1462" s="188">
        <v>7.5</v>
      </c>
      <c r="P1462" s="188" t="s">
        <v>573</v>
      </c>
      <c r="Q1462" s="188">
        <v>0</v>
      </c>
      <c r="R1462" s="189" t="s">
        <v>573</v>
      </c>
      <c r="S1462" s="189" t="s">
        <v>573</v>
      </c>
    </row>
    <row r="1463" spans="1:19" ht="14.25" customHeight="1" x14ac:dyDescent="0.3">
      <c r="A1463" s="182" t="s">
        <v>3757</v>
      </c>
      <c r="B1463" s="182" t="s">
        <v>908</v>
      </c>
      <c r="C1463" s="182" t="s">
        <v>909</v>
      </c>
      <c r="D1463" s="182" t="s">
        <v>1674</v>
      </c>
      <c r="E1463" s="183" t="s">
        <v>1675</v>
      </c>
      <c r="F1463" s="183" t="s">
        <v>600</v>
      </c>
      <c r="G1463" s="184">
        <v>1</v>
      </c>
      <c r="H1463" s="185">
        <v>0.05</v>
      </c>
      <c r="I1463" s="186">
        <v>202.42</v>
      </c>
      <c r="J1463" s="187">
        <v>212.541</v>
      </c>
      <c r="K1463" s="182" t="s">
        <v>3767</v>
      </c>
      <c r="L1463" s="182">
        <v>7</v>
      </c>
      <c r="M1463" s="182" t="s">
        <v>3774</v>
      </c>
      <c r="N1463" s="186">
        <v>3.25</v>
      </c>
      <c r="O1463" s="188">
        <v>1</v>
      </c>
      <c r="P1463" s="188" t="s">
        <v>573</v>
      </c>
      <c r="Q1463" s="188">
        <v>0</v>
      </c>
      <c r="R1463" s="189" t="s">
        <v>573</v>
      </c>
      <c r="S1463" s="189" t="s">
        <v>573</v>
      </c>
    </row>
    <row r="1464" spans="1:19" ht="14.25" customHeight="1" x14ac:dyDescent="0.3">
      <c r="A1464" s="182" t="s">
        <v>3757</v>
      </c>
      <c r="B1464" s="182" t="s">
        <v>908</v>
      </c>
      <c r="C1464" s="182" t="s">
        <v>909</v>
      </c>
      <c r="D1464" s="182" t="s">
        <v>1677</v>
      </c>
      <c r="E1464" s="183" t="s">
        <v>1678</v>
      </c>
      <c r="F1464" s="183" t="s">
        <v>600</v>
      </c>
      <c r="G1464" s="184">
        <v>0.5</v>
      </c>
      <c r="H1464" s="185">
        <v>0.05</v>
      </c>
      <c r="I1464" s="186">
        <v>202.42</v>
      </c>
      <c r="J1464" s="187">
        <v>106.2705</v>
      </c>
      <c r="K1464" s="182" t="s">
        <v>3767</v>
      </c>
      <c r="L1464" s="182">
        <v>8</v>
      </c>
      <c r="M1464" s="182" t="s">
        <v>3775</v>
      </c>
      <c r="N1464" s="186">
        <v>3.25</v>
      </c>
      <c r="O1464" s="188">
        <v>0.5</v>
      </c>
      <c r="P1464" s="188" t="s">
        <v>573</v>
      </c>
      <c r="Q1464" s="188">
        <v>0</v>
      </c>
      <c r="R1464" s="189" t="s">
        <v>573</v>
      </c>
      <c r="S1464" s="189" t="s">
        <v>573</v>
      </c>
    </row>
    <row r="1465" spans="1:19" ht="14.25" customHeight="1" x14ac:dyDescent="0.3">
      <c r="A1465" s="182" t="s">
        <v>3776</v>
      </c>
      <c r="B1465" s="182" t="s">
        <v>937</v>
      </c>
      <c r="C1465" s="182" t="s">
        <v>909</v>
      </c>
      <c r="D1465" s="182" t="s">
        <v>3736</v>
      </c>
      <c r="E1465" s="183" t="s">
        <v>3737</v>
      </c>
      <c r="F1465" s="183" t="s">
        <v>941</v>
      </c>
      <c r="G1465" s="184">
        <v>3.25</v>
      </c>
      <c r="H1465" s="185">
        <v>0</v>
      </c>
      <c r="I1465" s="186">
        <v>35416.5</v>
      </c>
      <c r="J1465" s="187">
        <v>115103.625</v>
      </c>
      <c r="K1465" s="182" t="s">
        <v>3777</v>
      </c>
      <c r="L1465" s="182">
        <v>1</v>
      </c>
      <c r="M1465" s="182" t="s">
        <v>3778</v>
      </c>
      <c r="N1465" s="186">
        <v>3.25</v>
      </c>
      <c r="O1465" s="188">
        <v>3.25</v>
      </c>
      <c r="P1465" s="188" t="s">
        <v>573</v>
      </c>
      <c r="Q1465" s="188">
        <v>0</v>
      </c>
      <c r="R1465" s="189" t="s">
        <v>573</v>
      </c>
      <c r="S1465" s="189" t="s">
        <v>573</v>
      </c>
    </row>
    <row r="1466" spans="1:19" ht="14.25" customHeight="1" x14ac:dyDescent="0.3">
      <c r="A1466" s="182" t="s">
        <v>3779</v>
      </c>
      <c r="B1466" s="182" t="s">
        <v>937</v>
      </c>
      <c r="C1466" s="182" t="s">
        <v>909</v>
      </c>
      <c r="D1466" s="182" t="s">
        <v>3736</v>
      </c>
      <c r="E1466" s="183" t="s">
        <v>3737</v>
      </c>
      <c r="F1466" s="183" t="s">
        <v>941</v>
      </c>
      <c r="G1466" s="184">
        <v>3.25</v>
      </c>
      <c r="H1466" s="185">
        <v>0</v>
      </c>
      <c r="I1466" s="186">
        <v>35416.5</v>
      </c>
      <c r="J1466" s="187">
        <v>115103.625</v>
      </c>
      <c r="K1466" s="182" t="s">
        <v>3780</v>
      </c>
      <c r="L1466" s="182">
        <v>1</v>
      </c>
      <c r="M1466" s="182" t="s">
        <v>3781</v>
      </c>
      <c r="N1466" s="186">
        <v>3.25</v>
      </c>
      <c r="O1466" s="188">
        <v>3.25</v>
      </c>
      <c r="P1466" s="188" t="s">
        <v>573</v>
      </c>
      <c r="Q1466" s="188">
        <v>0</v>
      </c>
      <c r="R1466" s="189" t="s">
        <v>573</v>
      </c>
      <c r="S1466" s="189" t="s">
        <v>573</v>
      </c>
    </row>
    <row r="1467" spans="1:19" ht="14.25" customHeight="1" x14ac:dyDescent="0.3">
      <c r="A1467" s="182" t="s">
        <v>3760</v>
      </c>
      <c r="B1467" s="182" t="s">
        <v>563</v>
      </c>
      <c r="C1467" s="182"/>
      <c r="D1467" s="182" t="s">
        <v>948</v>
      </c>
      <c r="E1467" s="183" t="s">
        <v>949</v>
      </c>
      <c r="F1467" s="183"/>
      <c r="G1467" s="184">
        <v>0.5</v>
      </c>
      <c r="H1467" s="185">
        <v>0</v>
      </c>
      <c r="I1467" s="186">
        <v>571.17949098076099</v>
      </c>
      <c r="J1467" s="187">
        <v>285.58974549038101</v>
      </c>
      <c r="K1467" s="182" t="s">
        <v>3782</v>
      </c>
      <c r="L1467" s="182">
        <v>1</v>
      </c>
      <c r="M1467" s="182" t="s">
        <v>3783</v>
      </c>
      <c r="N1467" s="186">
        <v>3.25</v>
      </c>
      <c r="O1467" s="188">
        <v>0.5</v>
      </c>
      <c r="P1467" s="188" t="s">
        <v>573</v>
      </c>
      <c r="Q1467" s="188">
        <v>0</v>
      </c>
      <c r="R1467" s="189" t="s">
        <v>573</v>
      </c>
      <c r="S1467" s="189" t="s">
        <v>573</v>
      </c>
    </row>
    <row r="1468" spans="1:19" ht="14.25" customHeight="1" x14ac:dyDescent="0.3">
      <c r="A1468" s="182" t="s">
        <v>3760</v>
      </c>
      <c r="B1468" s="182" t="s">
        <v>563</v>
      </c>
      <c r="C1468" s="182"/>
      <c r="D1468" s="182" t="s">
        <v>1651</v>
      </c>
      <c r="E1468" s="183" t="s">
        <v>1652</v>
      </c>
      <c r="F1468" s="183"/>
      <c r="G1468" s="184">
        <v>1</v>
      </c>
      <c r="H1468" s="185">
        <v>0</v>
      </c>
      <c r="I1468" s="186">
        <v>5063.0947914732396</v>
      </c>
      <c r="J1468" s="187">
        <v>5063.0947914732396</v>
      </c>
      <c r="K1468" s="182" t="s">
        <v>3782</v>
      </c>
      <c r="L1468" s="182">
        <v>2</v>
      </c>
      <c r="M1468" s="182" t="s">
        <v>3784</v>
      </c>
      <c r="N1468" s="186">
        <v>3.25</v>
      </c>
      <c r="O1468" s="188">
        <v>1</v>
      </c>
      <c r="P1468" s="188" t="s">
        <v>573</v>
      </c>
      <c r="Q1468" s="188">
        <v>0</v>
      </c>
      <c r="R1468" s="189" t="s">
        <v>573</v>
      </c>
      <c r="S1468" s="189" t="s">
        <v>573</v>
      </c>
    </row>
    <row r="1469" spans="1:19" ht="14.25" customHeight="1" x14ac:dyDescent="0.3">
      <c r="A1469" s="182" t="s">
        <v>3760</v>
      </c>
      <c r="B1469" s="182" t="s">
        <v>563</v>
      </c>
      <c r="C1469" s="182"/>
      <c r="D1469" s="182" t="s">
        <v>1456</v>
      </c>
      <c r="E1469" s="183" t="s">
        <v>1457</v>
      </c>
      <c r="F1469" s="183"/>
      <c r="G1469" s="184">
        <v>0.5</v>
      </c>
      <c r="H1469" s="185">
        <v>0</v>
      </c>
      <c r="I1469" s="186">
        <v>140.198092594309</v>
      </c>
      <c r="J1469" s="187">
        <v>70.099046297154501</v>
      </c>
      <c r="K1469" s="182" t="s">
        <v>3782</v>
      </c>
      <c r="L1469" s="182">
        <v>3</v>
      </c>
      <c r="M1469" s="182" t="s">
        <v>3785</v>
      </c>
      <c r="N1469" s="186">
        <v>3.25</v>
      </c>
      <c r="O1469" s="188">
        <v>0.5</v>
      </c>
      <c r="P1469" s="188" t="s">
        <v>573</v>
      </c>
      <c r="Q1469" s="188">
        <v>0</v>
      </c>
      <c r="R1469" s="189" t="s">
        <v>573</v>
      </c>
      <c r="S1469" s="189" t="s">
        <v>573</v>
      </c>
    </row>
    <row r="1470" spans="1:19" ht="14.25" customHeight="1" x14ac:dyDescent="0.3">
      <c r="A1470" s="182" t="s">
        <v>3760</v>
      </c>
      <c r="B1470" s="182" t="s">
        <v>908</v>
      </c>
      <c r="C1470" s="182" t="s">
        <v>909</v>
      </c>
      <c r="D1470" s="182" t="s">
        <v>1655</v>
      </c>
      <c r="E1470" s="183" t="s">
        <v>1656</v>
      </c>
      <c r="F1470" s="183" t="s">
        <v>600</v>
      </c>
      <c r="G1470" s="184">
        <v>3</v>
      </c>
      <c r="H1470" s="185">
        <v>0.1</v>
      </c>
      <c r="I1470" s="186">
        <v>282.29000000000002</v>
      </c>
      <c r="J1470" s="187">
        <v>931.55700000000002</v>
      </c>
      <c r="K1470" s="182" t="s">
        <v>3786</v>
      </c>
      <c r="L1470" s="182">
        <v>1</v>
      </c>
      <c r="M1470" s="182" t="s">
        <v>3787</v>
      </c>
      <c r="N1470" s="186">
        <v>3.25</v>
      </c>
      <c r="O1470" s="188">
        <v>3</v>
      </c>
      <c r="P1470" s="188" t="s">
        <v>573</v>
      </c>
      <c r="Q1470" s="188">
        <v>0</v>
      </c>
      <c r="R1470" s="189" t="s">
        <v>573</v>
      </c>
      <c r="S1470" s="189" t="s">
        <v>573</v>
      </c>
    </row>
    <row r="1471" spans="1:19" ht="14.25" customHeight="1" x14ac:dyDescent="0.3">
      <c r="A1471" s="182" t="s">
        <v>3760</v>
      </c>
      <c r="B1471" s="182" t="s">
        <v>908</v>
      </c>
      <c r="C1471" s="182" t="s">
        <v>909</v>
      </c>
      <c r="D1471" s="182" t="s">
        <v>1659</v>
      </c>
      <c r="E1471" s="183" t="s">
        <v>1660</v>
      </c>
      <c r="F1471" s="183" t="s">
        <v>581</v>
      </c>
      <c r="G1471" s="184">
        <v>5</v>
      </c>
      <c r="H1471" s="185">
        <v>0.1</v>
      </c>
      <c r="I1471" s="186">
        <v>635.55999999999995</v>
      </c>
      <c r="J1471" s="187">
        <v>3495.58</v>
      </c>
      <c r="K1471" s="182" t="s">
        <v>3786</v>
      </c>
      <c r="L1471" s="182">
        <v>2</v>
      </c>
      <c r="M1471" s="182" t="s">
        <v>3788</v>
      </c>
      <c r="N1471" s="186">
        <v>3.25</v>
      </c>
      <c r="O1471" s="188">
        <v>5</v>
      </c>
      <c r="P1471" s="188" t="s">
        <v>573</v>
      </c>
      <c r="Q1471" s="188">
        <v>0</v>
      </c>
      <c r="R1471" s="189" t="s">
        <v>573</v>
      </c>
      <c r="S1471" s="189" t="s">
        <v>573</v>
      </c>
    </row>
    <row r="1472" spans="1:19" ht="14.25" customHeight="1" x14ac:dyDescent="0.3">
      <c r="A1472" s="182" t="s">
        <v>3760</v>
      </c>
      <c r="B1472" s="182" t="s">
        <v>908</v>
      </c>
      <c r="C1472" s="182" t="s">
        <v>909</v>
      </c>
      <c r="D1472" s="182" t="s">
        <v>1662</v>
      </c>
      <c r="E1472" s="183" t="s">
        <v>1663</v>
      </c>
      <c r="F1472" s="183" t="s">
        <v>600</v>
      </c>
      <c r="G1472" s="184">
        <v>2</v>
      </c>
      <c r="H1472" s="185">
        <v>0.1</v>
      </c>
      <c r="I1472" s="186">
        <v>184.87</v>
      </c>
      <c r="J1472" s="187">
        <v>406.714</v>
      </c>
      <c r="K1472" s="182" t="s">
        <v>3786</v>
      </c>
      <c r="L1472" s="182">
        <v>3</v>
      </c>
      <c r="M1472" s="182" t="s">
        <v>3789</v>
      </c>
      <c r="N1472" s="186">
        <v>3.25</v>
      </c>
      <c r="O1472" s="188">
        <v>2</v>
      </c>
      <c r="P1472" s="188" t="s">
        <v>573</v>
      </c>
      <c r="Q1472" s="188">
        <v>0</v>
      </c>
      <c r="R1472" s="189" t="s">
        <v>573</v>
      </c>
      <c r="S1472" s="189" t="s">
        <v>573</v>
      </c>
    </row>
    <row r="1473" spans="1:19" ht="14.25" customHeight="1" x14ac:dyDescent="0.3">
      <c r="A1473" s="182" t="s">
        <v>3760</v>
      </c>
      <c r="B1473" s="182" t="s">
        <v>908</v>
      </c>
      <c r="C1473" s="182" t="s">
        <v>909</v>
      </c>
      <c r="D1473" s="182" t="s">
        <v>1665</v>
      </c>
      <c r="E1473" s="183" t="s">
        <v>1666</v>
      </c>
      <c r="F1473" s="183" t="s">
        <v>581</v>
      </c>
      <c r="G1473" s="184">
        <v>7.5</v>
      </c>
      <c r="H1473" s="185">
        <v>0.1</v>
      </c>
      <c r="I1473" s="186">
        <v>316.44450000000001</v>
      </c>
      <c r="J1473" s="187">
        <v>2610.6671249999999</v>
      </c>
      <c r="K1473" s="182" t="s">
        <v>3786</v>
      </c>
      <c r="L1473" s="182">
        <v>4</v>
      </c>
      <c r="M1473" s="182" t="s">
        <v>3790</v>
      </c>
      <c r="N1473" s="186">
        <v>3.25</v>
      </c>
      <c r="O1473" s="188">
        <v>7.5</v>
      </c>
      <c r="P1473" s="188" t="s">
        <v>573</v>
      </c>
      <c r="Q1473" s="188">
        <v>0</v>
      </c>
      <c r="R1473" s="189" t="s">
        <v>573</v>
      </c>
      <c r="S1473" s="189" t="s">
        <v>573</v>
      </c>
    </row>
    <row r="1474" spans="1:19" ht="14.25" customHeight="1" x14ac:dyDescent="0.3">
      <c r="A1474" s="182" t="s">
        <v>3760</v>
      </c>
      <c r="B1474" s="182" t="s">
        <v>908</v>
      </c>
      <c r="C1474" s="182" t="s">
        <v>909</v>
      </c>
      <c r="D1474" s="182" t="s">
        <v>1668</v>
      </c>
      <c r="E1474" s="183" t="s">
        <v>1669</v>
      </c>
      <c r="F1474" s="183" t="s">
        <v>581</v>
      </c>
      <c r="G1474" s="184">
        <v>5</v>
      </c>
      <c r="H1474" s="185">
        <v>0.1</v>
      </c>
      <c r="I1474" s="186">
        <v>509.31490000000002</v>
      </c>
      <c r="J1474" s="187">
        <v>2801.2319499999999</v>
      </c>
      <c r="K1474" s="182" t="s">
        <v>3786</v>
      </c>
      <c r="L1474" s="182">
        <v>5</v>
      </c>
      <c r="M1474" s="182" t="s">
        <v>3791</v>
      </c>
      <c r="N1474" s="186">
        <v>3.25</v>
      </c>
      <c r="O1474" s="188">
        <v>5</v>
      </c>
      <c r="P1474" s="188" t="s">
        <v>573</v>
      </c>
      <c r="Q1474" s="188">
        <v>0</v>
      </c>
      <c r="R1474" s="189" t="s">
        <v>573</v>
      </c>
      <c r="S1474" s="189" t="s">
        <v>573</v>
      </c>
    </row>
    <row r="1475" spans="1:19" ht="14.25" customHeight="1" x14ac:dyDescent="0.3">
      <c r="A1475" s="182" t="s">
        <v>3760</v>
      </c>
      <c r="B1475" s="182" t="s">
        <v>908</v>
      </c>
      <c r="C1475" s="182" t="s">
        <v>909</v>
      </c>
      <c r="D1475" s="182" t="s">
        <v>1671</v>
      </c>
      <c r="E1475" s="183" t="s">
        <v>1672</v>
      </c>
      <c r="F1475" s="183" t="s">
        <v>581</v>
      </c>
      <c r="G1475" s="184">
        <v>7.5</v>
      </c>
      <c r="H1475" s="185">
        <v>0.1</v>
      </c>
      <c r="I1475" s="186">
        <v>509.31490000000002</v>
      </c>
      <c r="J1475" s="187">
        <v>4201.847925</v>
      </c>
      <c r="K1475" s="182" t="s">
        <v>3786</v>
      </c>
      <c r="L1475" s="182">
        <v>6</v>
      </c>
      <c r="M1475" s="182" t="s">
        <v>3792</v>
      </c>
      <c r="N1475" s="186">
        <v>3.25</v>
      </c>
      <c r="O1475" s="188">
        <v>7.5</v>
      </c>
      <c r="P1475" s="188" t="s">
        <v>573</v>
      </c>
      <c r="Q1475" s="188">
        <v>0</v>
      </c>
      <c r="R1475" s="189" t="s">
        <v>573</v>
      </c>
      <c r="S1475" s="189" t="s">
        <v>573</v>
      </c>
    </row>
    <row r="1476" spans="1:19" ht="14.25" customHeight="1" x14ac:dyDescent="0.3">
      <c r="A1476" s="182" t="s">
        <v>3760</v>
      </c>
      <c r="B1476" s="182" t="s">
        <v>908</v>
      </c>
      <c r="C1476" s="182" t="s">
        <v>909</v>
      </c>
      <c r="D1476" s="182" t="s">
        <v>1674</v>
      </c>
      <c r="E1476" s="183" t="s">
        <v>1675</v>
      </c>
      <c r="F1476" s="183" t="s">
        <v>600</v>
      </c>
      <c r="G1476" s="184">
        <v>1</v>
      </c>
      <c r="H1476" s="185">
        <v>0.05</v>
      </c>
      <c r="I1476" s="186">
        <v>202.42</v>
      </c>
      <c r="J1476" s="187">
        <v>212.541</v>
      </c>
      <c r="K1476" s="182" t="s">
        <v>3786</v>
      </c>
      <c r="L1476" s="182">
        <v>7</v>
      </c>
      <c r="M1476" s="182" t="s">
        <v>3793</v>
      </c>
      <c r="N1476" s="186">
        <v>3.25</v>
      </c>
      <c r="O1476" s="188">
        <v>1</v>
      </c>
      <c r="P1476" s="188" t="s">
        <v>573</v>
      </c>
      <c r="Q1476" s="188">
        <v>0</v>
      </c>
      <c r="R1476" s="189" t="s">
        <v>573</v>
      </c>
      <c r="S1476" s="189" t="s">
        <v>573</v>
      </c>
    </row>
    <row r="1477" spans="1:19" ht="14.25" customHeight="1" x14ac:dyDescent="0.3">
      <c r="A1477" s="182" t="s">
        <v>3760</v>
      </c>
      <c r="B1477" s="182" t="s">
        <v>908</v>
      </c>
      <c r="C1477" s="182" t="s">
        <v>909</v>
      </c>
      <c r="D1477" s="182" t="s">
        <v>1677</v>
      </c>
      <c r="E1477" s="183" t="s">
        <v>1678</v>
      </c>
      <c r="F1477" s="183" t="s">
        <v>600</v>
      </c>
      <c r="G1477" s="184">
        <v>0.5</v>
      </c>
      <c r="H1477" s="185">
        <v>0.05</v>
      </c>
      <c r="I1477" s="186">
        <v>202.42</v>
      </c>
      <c r="J1477" s="187">
        <v>106.2705</v>
      </c>
      <c r="K1477" s="182" t="s">
        <v>3786</v>
      </c>
      <c r="L1477" s="182">
        <v>8</v>
      </c>
      <c r="M1477" s="182" t="s">
        <v>3794</v>
      </c>
      <c r="N1477" s="186">
        <v>3.25</v>
      </c>
      <c r="O1477" s="188">
        <v>0.5</v>
      </c>
      <c r="P1477" s="188" t="s">
        <v>573</v>
      </c>
      <c r="Q1477" s="188">
        <v>0</v>
      </c>
      <c r="R1477" s="189" t="s">
        <v>573</v>
      </c>
      <c r="S1477" s="189" t="s">
        <v>573</v>
      </c>
    </row>
    <row r="1478" spans="1:19" ht="14.25" customHeight="1" x14ac:dyDescent="0.3">
      <c r="A1478" s="182" t="s">
        <v>3795</v>
      </c>
      <c r="B1478" s="182" t="s">
        <v>937</v>
      </c>
      <c r="C1478" s="182" t="s">
        <v>909</v>
      </c>
      <c r="D1478" s="182" t="s">
        <v>3736</v>
      </c>
      <c r="E1478" s="183" t="s">
        <v>3737</v>
      </c>
      <c r="F1478" s="183" t="s">
        <v>941</v>
      </c>
      <c r="G1478" s="184">
        <v>3.25</v>
      </c>
      <c r="H1478" s="185">
        <v>0</v>
      </c>
      <c r="I1478" s="186">
        <v>35416.5</v>
      </c>
      <c r="J1478" s="187">
        <v>115103.625</v>
      </c>
      <c r="K1478" s="182" t="s">
        <v>3796</v>
      </c>
      <c r="L1478" s="182">
        <v>1</v>
      </c>
      <c r="M1478" s="182" t="s">
        <v>3797</v>
      </c>
      <c r="N1478" s="186">
        <v>3.25</v>
      </c>
      <c r="O1478" s="188">
        <v>3.25</v>
      </c>
      <c r="P1478" s="188">
        <v>226</v>
      </c>
      <c r="Q1478" s="188">
        <v>734.5</v>
      </c>
      <c r="R1478" s="189">
        <v>18.07</v>
      </c>
      <c r="S1478" s="189" t="s">
        <v>573</v>
      </c>
    </row>
    <row r="1479" spans="1:19" ht="14.25" customHeight="1" x14ac:dyDescent="0.3">
      <c r="A1479" s="182" t="s">
        <v>3798</v>
      </c>
      <c r="B1479" s="182" t="s">
        <v>937</v>
      </c>
      <c r="C1479" s="182" t="s">
        <v>909</v>
      </c>
      <c r="D1479" s="182" t="s">
        <v>3736</v>
      </c>
      <c r="E1479" s="183" t="s">
        <v>3737</v>
      </c>
      <c r="F1479" s="183" t="s">
        <v>941</v>
      </c>
      <c r="G1479" s="184">
        <v>3.25</v>
      </c>
      <c r="H1479" s="185">
        <v>0</v>
      </c>
      <c r="I1479" s="186">
        <v>35416.5</v>
      </c>
      <c r="J1479" s="187">
        <v>115103.625</v>
      </c>
      <c r="K1479" s="182" t="s">
        <v>3799</v>
      </c>
      <c r="L1479" s="182">
        <v>1</v>
      </c>
      <c r="M1479" s="182" t="s">
        <v>3800</v>
      </c>
      <c r="N1479" s="186">
        <v>3.25</v>
      </c>
      <c r="O1479" s="188">
        <v>3.25</v>
      </c>
      <c r="P1479" s="188">
        <v>32</v>
      </c>
      <c r="Q1479" s="188">
        <v>104</v>
      </c>
      <c r="R1479" s="189">
        <v>18.079999999999998</v>
      </c>
      <c r="S1479" s="189" t="s">
        <v>573</v>
      </c>
    </row>
    <row r="1480" spans="1:19" ht="14.25" customHeight="1" x14ac:dyDescent="0.3">
      <c r="A1480" s="182" t="s">
        <v>3776</v>
      </c>
      <c r="B1480" s="182" t="s">
        <v>563</v>
      </c>
      <c r="C1480" s="182"/>
      <c r="D1480" s="182" t="s">
        <v>948</v>
      </c>
      <c r="E1480" s="183" t="s">
        <v>949</v>
      </c>
      <c r="F1480" s="183"/>
      <c r="G1480" s="184">
        <v>0.5</v>
      </c>
      <c r="H1480" s="185">
        <v>0</v>
      </c>
      <c r="I1480" s="186">
        <v>571.17949098076099</v>
      </c>
      <c r="J1480" s="187">
        <v>285.58974549038101</v>
      </c>
      <c r="K1480" s="182" t="s">
        <v>3801</v>
      </c>
      <c r="L1480" s="182">
        <v>1</v>
      </c>
      <c r="M1480" s="182" t="s">
        <v>3802</v>
      </c>
      <c r="N1480" s="186">
        <v>3.25</v>
      </c>
      <c r="O1480" s="188">
        <v>0.5</v>
      </c>
      <c r="P1480" s="188" t="s">
        <v>573</v>
      </c>
      <c r="Q1480" s="188">
        <v>0</v>
      </c>
      <c r="R1480" s="189" t="s">
        <v>573</v>
      </c>
      <c r="S1480" s="189" t="s">
        <v>573</v>
      </c>
    </row>
    <row r="1481" spans="1:19" ht="14.25" customHeight="1" x14ac:dyDescent="0.3">
      <c r="A1481" s="182" t="s">
        <v>3776</v>
      </c>
      <c r="B1481" s="182" t="s">
        <v>563</v>
      </c>
      <c r="C1481" s="182"/>
      <c r="D1481" s="182" t="s">
        <v>1651</v>
      </c>
      <c r="E1481" s="183" t="s">
        <v>1652</v>
      </c>
      <c r="F1481" s="183"/>
      <c r="G1481" s="184">
        <v>1</v>
      </c>
      <c r="H1481" s="185">
        <v>0</v>
      </c>
      <c r="I1481" s="186">
        <v>5063.0947914732396</v>
      </c>
      <c r="J1481" s="187">
        <v>5063.0947914732396</v>
      </c>
      <c r="K1481" s="182" t="s">
        <v>3801</v>
      </c>
      <c r="L1481" s="182">
        <v>2</v>
      </c>
      <c r="M1481" s="182" t="s">
        <v>3803</v>
      </c>
      <c r="N1481" s="186">
        <v>3.25</v>
      </c>
      <c r="O1481" s="188">
        <v>1</v>
      </c>
      <c r="P1481" s="188" t="s">
        <v>573</v>
      </c>
      <c r="Q1481" s="188">
        <v>0</v>
      </c>
      <c r="R1481" s="189" t="s">
        <v>573</v>
      </c>
      <c r="S1481" s="189" t="s">
        <v>573</v>
      </c>
    </row>
    <row r="1482" spans="1:19" ht="14.25" customHeight="1" x14ac:dyDescent="0.3">
      <c r="A1482" s="182" t="s">
        <v>3776</v>
      </c>
      <c r="B1482" s="182" t="s">
        <v>563</v>
      </c>
      <c r="C1482" s="182"/>
      <c r="D1482" s="182" t="s">
        <v>1456</v>
      </c>
      <c r="E1482" s="183" t="s">
        <v>1457</v>
      </c>
      <c r="F1482" s="183"/>
      <c r="G1482" s="184">
        <v>0.5</v>
      </c>
      <c r="H1482" s="185">
        <v>0</v>
      </c>
      <c r="I1482" s="186">
        <v>140.198092594309</v>
      </c>
      <c r="J1482" s="187">
        <v>70.099046297154501</v>
      </c>
      <c r="K1482" s="182" t="s">
        <v>3801</v>
      </c>
      <c r="L1482" s="182">
        <v>3</v>
      </c>
      <c r="M1482" s="182" t="s">
        <v>3804</v>
      </c>
      <c r="N1482" s="186">
        <v>3.25</v>
      </c>
      <c r="O1482" s="188">
        <v>0.5</v>
      </c>
      <c r="P1482" s="188" t="s">
        <v>573</v>
      </c>
      <c r="Q1482" s="188">
        <v>0</v>
      </c>
      <c r="R1482" s="189" t="s">
        <v>573</v>
      </c>
      <c r="S1482" s="189" t="s">
        <v>573</v>
      </c>
    </row>
    <row r="1483" spans="1:19" ht="14.25" customHeight="1" x14ac:dyDescent="0.3">
      <c r="A1483" s="182" t="s">
        <v>3776</v>
      </c>
      <c r="B1483" s="182" t="s">
        <v>908</v>
      </c>
      <c r="C1483" s="182" t="s">
        <v>909</v>
      </c>
      <c r="D1483" s="182" t="s">
        <v>1655</v>
      </c>
      <c r="E1483" s="183" t="s">
        <v>1656</v>
      </c>
      <c r="F1483" s="183" t="s">
        <v>600</v>
      </c>
      <c r="G1483" s="184">
        <v>3</v>
      </c>
      <c r="H1483" s="185">
        <v>0.1</v>
      </c>
      <c r="I1483" s="186">
        <v>282.29000000000002</v>
      </c>
      <c r="J1483" s="187">
        <v>931.55700000000002</v>
      </c>
      <c r="K1483" s="182" t="s">
        <v>3805</v>
      </c>
      <c r="L1483" s="182">
        <v>1</v>
      </c>
      <c r="M1483" s="182" t="s">
        <v>3806</v>
      </c>
      <c r="N1483" s="186">
        <v>3.25</v>
      </c>
      <c r="O1483" s="188">
        <v>3</v>
      </c>
      <c r="P1483" s="188" t="s">
        <v>573</v>
      </c>
      <c r="Q1483" s="188">
        <v>0</v>
      </c>
      <c r="R1483" s="189" t="s">
        <v>573</v>
      </c>
      <c r="S1483" s="189" t="s">
        <v>573</v>
      </c>
    </row>
    <row r="1484" spans="1:19" ht="14.25" customHeight="1" x14ac:dyDescent="0.3">
      <c r="A1484" s="182" t="s">
        <v>3776</v>
      </c>
      <c r="B1484" s="182" t="s">
        <v>908</v>
      </c>
      <c r="C1484" s="182" t="s">
        <v>909</v>
      </c>
      <c r="D1484" s="182" t="s">
        <v>1659</v>
      </c>
      <c r="E1484" s="183" t="s">
        <v>1660</v>
      </c>
      <c r="F1484" s="183" t="s">
        <v>581</v>
      </c>
      <c r="G1484" s="184">
        <v>5</v>
      </c>
      <c r="H1484" s="185">
        <v>0.1</v>
      </c>
      <c r="I1484" s="186">
        <v>635.55999999999995</v>
      </c>
      <c r="J1484" s="187">
        <v>3495.58</v>
      </c>
      <c r="K1484" s="182" t="s">
        <v>3805</v>
      </c>
      <c r="L1484" s="182">
        <v>2</v>
      </c>
      <c r="M1484" s="182" t="s">
        <v>3807</v>
      </c>
      <c r="N1484" s="186">
        <v>3.25</v>
      </c>
      <c r="O1484" s="188">
        <v>5</v>
      </c>
      <c r="P1484" s="188" t="s">
        <v>573</v>
      </c>
      <c r="Q1484" s="188">
        <v>0</v>
      </c>
      <c r="R1484" s="189" t="s">
        <v>573</v>
      </c>
      <c r="S1484" s="189" t="s">
        <v>573</v>
      </c>
    </row>
    <row r="1485" spans="1:19" ht="14.25" customHeight="1" x14ac:dyDescent="0.3">
      <c r="A1485" s="182" t="s">
        <v>3776</v>
      </c>
      <c r="B1485" s="182" t="s">
        <v>908</v>
      </c>
      <c r="C1485" s="182" t="s">
        <v>909</v>
      </c>
      <c r="D1485" s="182" t="s">
        <v>1662</v>
      </c>
      <c r="E1485" s="183" t="s">
        <v>1663</v>
      </c>
      <c r="F1485" s="183" t="s">
        <v>600</v>
      </c>
      <c r="G1485" s="184">
        <v>2</v>
      </c>
      <c r="H1485" s="185">
        <v>0.1</v>
      </c>
      <c r="I1485" s="186">
        <v>184.87</v>
      </c>
      <c r="J1485" s="187">
        <v>406.714</v>
      </c>
      <c r="K1485" s="182" t="s">
        <v>3805</v>
      </c>
      <c r="L1485" s="182">
        <v>3</v>
      </c>
      <c r="M1485" s="182" t="s">
        <v>3808</v>
      </c>
      <c r="N1485" s="186">
        <v>3.25</v>
      </c>
      <c r="O1485" s="188">
        <v>2</v>
      </c>
      <c r="P1485" s="188" t="s">
        <v>573</v>
      </c>
      <c r="Q1485" s="188">
        <v>0</v>
      </c>
      <c r="R1485" s="189" t="s">
        <v>573</v>
      </c>
      <c r="S1485" s="189" t="s">
        <v>573</v>
      </c>
    </row>
    <row r="1486" spans="1:19" ht="14.25" customHeight="1" x14ac:dyDescent="0.3">
      <c r="A1486" s="182" t="s">
        <v>3776</v>
      </c>
      <c r="B1486" s="182" t="s">
        <v>908</v>
      </c>
      <c r="C1486" s="182" t="s">
        <v>909</v>
      </c>
      <c r="D1486" s="182" t="s">
        <v>1665</v>
      </c>
      <c r="E1486" s="183" t="s">
        <v>1666</v>
      </c>
      <c r="F1486" s="183" t="s">
        <v>581</v>
      </c>
      <c r="G1486" s="184">
        <v>7.5</v>
      </c>
      <c r="H1486" s="185">
        <v>0.1</v>
      </c>
      <c r="I1486" s="186">
        <v>316.44450000000001</v>
      </c>
      <c r="J1486" s="187">
        <v>2610.6671249999999</v>
      </c>
      <c r="K1486" s="182" t="s">
        <v>3805</v>
      </c>
      <c r="L1486" s="182">
        <v>4</v>
      </c>
      <c r="M1486" s="182" t="s">
        <v>3809</v>
      </c>
      <c r="N1486" s="186">
        <v>3.25</v>
      </c>
      <c r="O1486" s="188">
        <v>7.5</v>
      </c>
      <c r="P1486" s="188" t="s">
        <v>573</v>
      </c>
      <c r="Q1486" s="188">
        <v>0</v>
      </c>
      <c r="R1486" s="189" t="s">
        <v>573</v>
      </c>
      <c r="S1486" s="189" t="s">
        <v>573</v>
      </c>
    </row>
    <row r="1487" spans="1:19" ht="14.25" customHeight="1" x14ac:dyDescent="0.3">
      <c r="A1487" s="182" t="s">
        <v>3776</v>
      </c>
      <c r="B1487" s="182" t="s">
        <v>908</v>
      </c>
      <c r="C1487" s="182" t="s">
        <v>909</v>
      </c>
      <c r="D1487" s="182" t="s">
        <v>1668</v>
      </c>
      <c r="E1487" s="183" t="s">
        <v>1669</v>
      </c>
      <c r="F1487" s="183" t="s">
        <v>581</v>
      </c>
      <c r="G1487" s="184">
        <v>5</v>
      </c>
      <c r="H1487" s="185">
        <v>0.1</v>
      </c>
      <c r="I1487" s="186">
        <v>509.31490000000002</v>
      </c>
      <c r="J1487" s="187">
        <v>2801.2319499999999</v>
      </c>
      <c r="K1487" s="182" t="s">
        <v>3805</v>
      </c>
      <c r="L1487" s="182">
        <v>5</v>
      </c>
      <c r="M1487" s="182" t="s">
        <v>3810</v>
      </c>
      <c r="N1487" s="186">
        <v>3.25</v>
      </c>
      <c r="O1487" s="188">
        <v>5</v>
      </c>
      <c r="P1487" s="188" t="s">
        <v>573</v>
      </c>
      <c r="Q1487" s="188">
        <v>0</v>
      </c>
      <c r="R1487" s="189" t="s">
        <v>573</v>
      </c>
      <c r="S1487" s="189" t="s">
        <v>573</v>
      </c>
    </row>
    <row r="1488" spans="1:19" ht="14.25" customHeight="1" x14ac:dyDescent="0.3">
      <c r="A1488" s="182" t="s">
        <v>3776</v>
      </c>
      <c r="B1488" s="182" t="s">
        <v>908</v>
      </c>
      <c r="C1488" s="182" t="s">
        <v>909</v>
      </c>
      <c r="D1488" s="182" t="s">
        <v>1671</v>
      </c>
      <c r="E1488" s="183" t="s">
        <v>1672</v>
      </c>
      <c r="F1488" s="183" t="s">
        <v>581</v>
      </c>
      <c r="G1488" s="184">
        <v>7.5</v>
      </c>
      <c r="H1488" s="185">
        <v>0.1</v>
      </c>
      <c r="I1488" s="186">
        <v>509.31490000000002</v>
      </c>
      <c r="J1488" s="187">
        <v>4201.847925</v>
      </c>
      <c r="K1488" s="182" t="s">
        <v>3805</v>
      </c>
      <c r="L1488" s="182">
        <v>6</v>
      </c>
      <c r="M1488" s="182" t="s">
        <v>3811</v>
      </c>
      <c r="N1488" s="186">
        <v>3.25</v>
      </c>
      <c r="O1488" s="188">
        <v>7.5</v>
      </c>
      <c r="P1488" s="188" t="s">
        <v>573</v>
      </c>
      <c r="Q1488" s="188">
        <v>0</v>
      </c>
      <c r="R1488" s="189" t="s">
        <v>573</v>
      </c>
      <c r="S1488" s="189" t="s">
        <v>573</v>
      </c>
    </row>
    <row r="1489" spans="1:19" ht="14.25" customHeight="1" x14ac:dyDescent="0.3">
      <c r="A1489" s="182" t="s">
        <v>3776</v>
      </c>
      <c r="B1489" s="182" t="s">
        <v>908</v>
      </c>
      <c r="C1489" s="182" t="s">
        <v>909</v>
      </c>
      <c r="D1489" s="182" t="s">
        <v>1674</v>
      </c>
      <c r="E1489" s="183" t="s">
        <v>1675</v>
      </c>
      <c r="F1489" s="183" t="s">
        <v>600</v>
      </c>
      <c r="G1489" s="184">
        <v>1</v>
      </c>
      <c r="H1489" s="185">
        <v>0.05</v>
      </c>
      <c r="I1489" s="186">
        <v>202.42</v>
      </c>
      <c r="J1489" s="187">
        <v>212.541</v>
      </c>
      <c r="K1489" s="182" t="s">
        <v>3805</v>
      </c>
      <c r="L1489" s="182">
        <v>7</v>
      </c>
      <c r="M1489" s="182" t="s">
        <v>3812</v>
      </c>
      <c r="N1489" s="186">
        <v>3.25</v>
      </c>
      <c r="O1489" s="188">
        <v>1</v>
      </c>
      <c r="P1489" s="188" t="s">
        <v>573</v>
      </c>
      <c r="Q1489" s="188">
        <v>0</v>
      </c>
      <c r="R1489" s="189" t="s">
        <v>573</v>
      </c>
      <c r="S1489" s="189" t="s">
        <v>573</v>
      </c>
    </row>
    <row r="1490" spans="1:19" ht="14.25" customHeight="1" x14ac:dyDescent="0.3">
      <c r="A1490" s="182" t="s">
        <v>3776</v>
      </c>
      <c r="B1490" s="182" t="s">
        <v>908</v>
      </c>
      <c r="C1490" s="182" t="s">
        <v>909</v>
      </c>
      <c r="D1490" s="182" t="s">
        <v>1677</v>
      </c>
      <c r="E1490" s="183" t="s">
        <v>1678</v>
      </c>
      <c r="F1490" s="183" t="s">
        <v>600</v>
      </c>
      <c r="G1490" s="184">
        <v>0.5</v>
      </c>
      <c r="H1490" s="185">
        <v>0.05</v>
      </c>
      <c r="I1490" s="186">
        <v>202.42</v>
      </c>
      <c r="J1490" s="187">
        <v>106.2705</v>
      </c>
      <c r="K1490" s="182" t="s">
        <v>3805</v>
      </c>
      <c r="L1490" s="182">
        <v>8</v>
      </c>
      <c r="M1490" s="182" t="s">
        <v>3813</v>
      </c>
      <c r="N1490" s="186">
        <v>3.25</v>
      </c>
      <c r="O1490" s="188">
        <v>0.5</v>
      </c>
      <c r="P1490" s="188" t="s">
        <v>573</v>
      </c>
      <c r="Q1490" s="188">
        <v>0</v>
      </c>
      <c r="R1490" s="189" t="s">
        <v>573</v>
      </c>
      <c r="S1490" s="189" t="s">
        <v>573</v>
      </c>
    </row>
    <row r="1491" spans="1:19" ht="14.25" customHeight="1" x14ac:dyDescent="0.3">
      <c r="A1491" s="182" t="s">
        <v>3814</v>
      </c>
      <c r="B1491" s="182" t="s">
        <v>937</v>
      </c>
      <c r="C1491" s="182" t="s">
        <v>909</v>
      </c>
      <c r="D1491" s="182" t="s">
        <v>3736</v>
      </c>
      <c r="E1491" s="183" t="s">
        <v>3737</v>
      </c>
      <c r="F1491" s="183" t="s">
        <v>941</v>
      </c>
      <c r="G1491" s="184">
        <v>3.25</v>
      </c>
      <c r="H1491" s="185">
        <v>0</v>
      </c>
      <c r="I1491" s="186">
        <v>35416.5</v>
      </c>
      <c r="J1491" s="187">
        <v>115103.625</v>
      </c>
      <c r="K1491" s="182" t="s">
        <v>3815</v>
      </c>
      <c r="L1491" s="182">
        <v>1</v>
      </c>
      <c r="M1491" s="182" t="s">
        <v>3816</v>
      </c>
      <c r="N1491" s="186">
        <v>3.25</v>
      </c>
      <c r="O1491" s="188">
        <v>3.25</v>
      </c>
      <c r="P1491" s="188" t="s">
        <v>573</v>
      </c>
      <c r="Q1491" s="188">
        <v>0</v>
      </c>
      <c r="R1491" s="189" t="s">
        <v>573</v>
      </c>
      <c r="S1491" s="189" t="s">
        <v>573</v>
      </c>
    </row>
    <row r="1492" spans="1:19" ht="14.25" customHeight="1" x14ac:dyDescent="0.3">
      <c r="A1492" s="182" t="s">
        <v>3817</v>
      </c>
      <c r="B1492" s="182" t="s">
        <v>937</v>
      </c>
      <c r="C1492" s="182" t="s">
        <v>909</v>
      </c>
      <c r="D1492" s="182" t="s">
        <v>3736</v>
      </c>
      <c r="E1492" s="183" t="s">
        <v>3737</v>
      </c>
      <c r="F1492" s="183" t="s">
        <v>941</v>
      </c>
      <c r="G1492" s="184">
        <v>3.25</v>
      </c>
      <c r="H1492" s="185">
        <v>0</v>
      </c>
      <c r="I1492" s="186">
        <v>35416.5</v>
      </c>
      <c r="J1492" s="187">
        <v>115103.625</v>
      </c>
      <c r="K1492" s="182" t="s">
        <v>3818</v>
      </c>
      <c r="L1492" s="182">
        <v>1</v>
      </c>
      <c r="M1492" s="182" t="s">
        <v>3819</v>
      </c>
      <c r="N1492" s="186">
        <v>3.25</v>
      </c>
      <c r="O1492" s="188">
        <v>3.25</v>
      </c>
      <c r="P1492" s="188" t="s">
        <v>573</v>
      </c>
      <c r="Q1492" s="188">
        <v>0</v>
      </c>
      <c r="R1492" s="189" t="s">
        <v>573</v>
      </c>
      <c r="S1492" s="189" t="s">
        <v>573</v>
      </c>
    </row>
    <row r="1493" spans="1:19" ht="14.25" customHeight="1" x14ac:dyDescent="0.3">
      <c r="A1493" s="182" t="s">
        <v>3779</v>
      </c>
      <c r="B1493" s="182" t="s">
        <v>563</v>
      </c>
      <c r="C1493" s="182"/>
      <c r="D1493" s="182" t="s">
        <v>948</v>
      </c>
      <c r="E1493" s="183" t="s">
        <v>949</v>
      </c>
      <c r="F1493" s="183"/>
      <c r="G1493" s="184">
        <v>0.5</v>
      </c>
      <c r="H1493" s="185">
        <v>0</v>
      </c>
      <c r="I1493" s="186">
        <v>571.17949098076099</v>
      </c>
      <c r="J1493" s="187">
        <v>285.58974549038101</v>
      </c>
      <c r="K1493" s="182" t="s">
        <v>3820</v>
      </c>
      <c r="L1493" s="182">
        <v>1</v>
      </c>
      <c r="M1493" s="182" t="s">
        <v>3821</v>
      </c>
      <c r="N1493" s="186">
        <v>3.25</v>
      </c>
      <c r="O1493" s="188">
        <v>0.5</v>
      </c>
      <c r="P1493" s="188" t="s">
        <v>573</v>
      </c>
      <c r="Q1493" s="188">
        <v>0</v>
      </c>
      <c r="R1493" s="189" t="s">
        <v>573</v>
      </c>
      <c r="S1493" s="189" t="s">
        <v>573</v>
      </c>
    </row>
    <row r="1494" spans="1:19" ht="14.25" customHeight="1" x14ac:dyDescent="0.3">
      <c r="A1494" s="182" t="s">
        <v>3779</v>
      </c>
      <c r="B1494" s="182" t="s">
        <v>563</v>
      </c>
      <c r="C1494" s="182"/>
      <c r="D1494" s="182" t="s">
        <v>1651</v>
      </c>
      <c r="E1494" s="183" t="s">
        <v>1652</v>
      </c>
      <c r="F1494" s="183"/>
      <c r="G1494" s="184">
        <v>1</v>
      </c>
      <c r="H1494" s="185">
        <v>0</v>
      </c>
      <c r="I1494" s="186">
        <v>5063.0947914732396</v>
      </c>
      <c r="J1494" s="187">
        <v>5063.0947914732396</v>
      </c>
      <c r="K1494" s="182" t="s">
        <v>3820</v>
      </c>
      <c r="L1494" s="182">
        <v>2</v>
      </c>
      <c r="M1494" s="182" t="s">
        <v>3822</v>
      </c>
      <c r="N1494" s="186">
        <v>3.25</v>
      </c>
      <c r="O1494" s="188">
        <v>1</v>
      </c>
      <c r="P1494" s="188" t="s">
        <v>573</v>
      </c>
      <c r="Q1494" s="188">
        <v>0</v>
      </c>
      <c r="R1494" s="189" t="s">
        <v>573</v>
      </c>
      <c r="S1494" s="189" t="s">
        <v>573</v>
      </c>
    </row>
    <row r="1495" spans="1:19" ht="14.25" customHeight="1" x14ac:dyDescent="0.3">
      <c r="A1495" s="182" t="s">
        <v>3779</v>
      </c>
      <c r="B1495" s="182" t="s">
        <v>563</v>
      </c>
      <c r="C1495" s="182"/>
      <c r="D1495" s="182" t="s">
        <v>1456</v>
      </c>
      <c r="E1495" s="183" t="s">
        <v>1457</v>
      </c>
      <c r="F1495" s="183"/>
      <c r="G1495" s="184">
        <v>0.5</v>
      </c>
      <c r="H1495" s="185">
        <v>0</v>
      </c>
      <c r="I1495" s="186">
        <v>140.198092594309</v>
      </c>
      <c r="J1495" s="187">
        <v>70.099046297154501</v>
      </c>
      <c r="K1495" s="182" t="s">
        <v>3820</v>
      </c>
      <c r="L1495" s="182">
        <v>3</v>
      </c>
      <c r="M1495" s="182" t="s">
        <v>3823</v>
      </c>
      <c r="N1495" s="186">
        <v>3.25</v>
      </c>
      <c r="O1495" s="188">
        <v>0.5</v>
      </c>
      <c r="P1495" s="188" t="s">
        <v>573</v>
      </c>
      <c r="Q1495" s="188">
        <v>0</v>
      </c>
      <c r="R1495" s="189" t="s">
        <v>573</v>
      </c>
      <c r="S1495" s="189" t="s">
        <v>573</v>
      </c>
    </row>
    <row r="1496" spans="1:19" ht="14.25" customHeight="1" x14ac:dyDescent="0.3">
      <c r="A1496" s="182" t="s">
        <v>3779</v>
      </c>
      <c r="B1496" s="182" t="s">
        <v>908</v>
      </c>
      <c r="C1496" s="182" t="s">
        <v>909</v>
      </c>
      <c r="D1496" s="182" t="s">
        <v>1655</v>
      </c>
      <c r="E1496" s="183" t="s">
        <v>1656</v>
      </c>
      <c r="F1496" s="183" t="s">
        <v>600</v>
      </c>
      <c r="G1496" s="184">
        <v>3</v>
      </c>
      <c r="H1496" s="185">
        <v>0.1</v>
      </c>
      <c r="I1496" s="186">
        <v>282.29000000000002</v>
      </c>
      <c r="J1496" s="187">
        <v>931.55700000000002</v>
      </c>
      <c r="K1496" s="182" t="s">
        <v>3824</v>
      </c>
      <c r="L1496" s="182">
        <v>1</v>
      </c>
      <c r="M1496" s="182" t="s">
        <v>3825</v>
      </c>
      <c r="N1496" s="186">
        <v>3.25</v>
      </c>
      <c r="O1496" s="188">
        <v>3</v>
      </c>
      <c r="P1496" s="188" t="s">
        <v>573</v>
      </c>
      <c r="Q1496" s="188">
        <v>0</v>
      </c>
      <c r="R1496" s="189" t="s">
        <v>573</v>
      </c>
      <c r="S1496" s="189" t="s">
        <v>573</v>
      </c>
    </row>
    <row r="1497" spans="1:19" ht="14.25" customHeight="1" x14ac:dyDescent="0.3">
      <c r="A1497" s="182" t="s">
        <v>3779</v>
      </c>
      <c r="B1497" s="182" t="s">
        <v>908</v>
      </c>
      <c r="C1497" s="182" t="s">
        <v>909</v>
      </c>
      <c r="D1497" s="182" t="s">
        <v>1659</v>
      </c>
      <c r="E1497" s="183" t="s">
        <v>1660</v>
      </c>
      <c r="F1497" s="183" t="s">
        <v>581</v>
      </c>
      <c r="G1497" s="184">
        <v>5</v>
      </c>
      <c r="H1497" s="185">
        <v>0.1</v>
      </c>
      <c r="I1497" s="186">
        <v>635.55999999999995</v>
      </c>
      <c r="J1497" s="187">
        <v>3495.58</v>
      </c>
      <c r="K1497" s="182" t="s">
        <v>3824</v>
      </c>
      <c r="L1497" s="182">
        <v>2</v>
      </c>
      <c r="M1497" s="182" t="s">
        <v>3826</v>
      </c>
      <c r="N1497" s="186">
        <v>3.25</v>
      </c>
      <c r="O1497" s="188">
        <v>5</v>
      </c>
      <c r="P1497" s="188" t="s">
        <v>573</v>
      </c>
      <c r="Q1497" s="188">
        <v>0</v>
      </c>
      <c r="R1497" s="189" t="s">
        <v>573</v>
      </c>
      <c r="S1497" s="189" t="s">
        <v>573</v>
      </c>
    </row>
    <row r="1498" spans="1:19" ht="14.25" customHeight="1" x14ac:dyDescent="0.3">
      <c r="A1498" s="182" t="s">
        <v>3779</v>
      </c>
      <c r="B1498" s="182" t="s">
        <v>908</v>
      </c>
      <c r="C1498" s="182" t="s">
        <v>909</v>
      </c>
      <c r="D1498" s="182" t="s">
        <v>1662</v>
      </c>
      <c r="E1498" s="183" t="s">
        <v>1663</v>
      </c>
      <c r="F1498" s="183" t="s">
        <v>600</v>
      </c>
      <c r="G1498" s="184">
        <v>2</v>
      </c>
      <c r="H1498" s="185">
        <v>0.1</v>
      </c>
      <c r="I1498" s="186">
        <v>184.87</v>
      </c>
      <c r="J1498" s="187">
        <v>406.714</v>
      </c>
      <c r="K1498" s="182" t="s">
        <v>3824</v>
      </c>
      <c r="L1498" s="182">
        <v>3</v>
      </c>
      <c r="M1498" s="182" t="s">
        <v>3827</v>
      </c>
      <c r="N1498" s="186">
        <v>3.25</v>
      </c>
      <c r="O1498" s="188">
        <v>2</v>
      </c>
      <c r="P1498" s="188" t="s">
        <v>573</v>
      </c>
      <c r="Q1498" s="188">
        <v>0</v>
      </c>
      <c r="R1498" s="189" t="s">
        <v>573</v>
      </c>
      <c r="S1498" s="189" t="s">
        <v>573</v>
      </c>
    </row>
    <row r="1499" spans="1:19" ht="14.25" customHeight="1" x14ac:dyDescent="0.3">
      <c r="A1499" s="182" t="s">
        <v>3779</v>
      </c>
      <c r="B1499" s="182" t="s">
        <v>908</v>
      </c>
      <c r="C1499" s="182" t="s">
        <v>909</v>
      </c>
      <c r="D1499" s="182" t="s">
        <v>1665</v>
      </c>
      <c r="E1499" s="183" t="s">
        <v>1666</v>
      </c>
      <c r="F1499" s="183" t="s">
        <v>581</v>
      </c>
      <c r="G1499" s="184">
        <v>7.5</v>
      </c>
      <c r="H1499" s="185">
        <v>0.1</v>
      </c>
      <c r="I1499" s="186">
        <v>316.44450000000001</v>
      </c>
      <c r="J1499" s="187">
        <v>2610.6671249999999</v>
      </c>
      <c r="K1499" s="182" t="s">
        <v>3824</v>
      </c>
      <c r="L1499" s="182">
        <v>4</v>
      </c>
      <c r="M1499" s="182" t="s">
        <v>3828</v>
      </c>
      <c r="N1499" s="186">
        <v>3.25</v>
      </c>
      <c r="O1499" s="188">
        <v>7.5</v>
      </c>
      <c r="P1499" s="188" t="s">
        <v>573</v>
      </c>
      <c r="Q1499" s="188">
        <v>0</v>
      </c>
      <c r="R1499" s="189" t="s">
        <v>573</v>
      </c>
      <c r="S1499" s="189" t="s">
        <v>573</v>
      </c>
    </row>
    <row r="1500" spans="1:19" ht="14.25" customHeight="1" x14ac:dyDescent="0.3">
      <c r="A1500" s="182" t="s">
        <v>3779</v>
      </c>
      <c r="B1500" s="182" t="s">
        <v>908</v>
      </c>
      <c r="C1500" s="182" t="s">
        <v>909</v>
      </c>
      <c r="D1500" s="182" t="s">
        <v>1668</v>
      </c>
      <c r="E1500" s="183" t="s">
        <v>1669</v>
      </c>
      <c r="F1500" s="183" t="s">
        <v>581</v>
      </c>
      <c r="G1500" s="184">
        <v>5</v>
      </c>
      <c r="H1500" s="185">
        <v>0.1</v>
      </c>
      <c r="I1500" s="186">
        <v>509.31490000000002</v>
      </c>
      <c r="J1500" s="187">
        <v>2801.2319499999999</v>
      </c>
      <c r="K1500" s="182" t="s">
        <v>3824</v>
      </c>
      <c r="L1500" s="182">
        <v>5</v>
      </c>
      <c r="M1500" s="182" t="s">
        <v>3829</v>
      </c>
      <c r="N1500" s="186">
        <v>3.25</v>
      </c>
      <c r="O1500" s="188">
        <v>5</v>
      </c>
      <c r="P1500" s="188" t="s">
        <v>573</v>
      </c>
      <c r="Q1500" s="188">
        <v>0</v>
      </c>
      <c r="R1500" s="189" t="s">
        <v>573</v>
      </c>
      <c r="S1500" s="189" t="s">
        <v>573</v>
      </c>
    </row>
    <row r="1501" spans="1:19" ht="14.25" customHeight="1" x14ac:dyDescent="0.3">
      <c r="A1501" s="182" t="s">
        <v>3779</v>
      </c>
      <c r="B1501" s="182" t="s">
        <v>908</v>
      </c>
      <c r="C1501" s="182" t="s">
        <v>909</v>
      </c>
      <c r="D1501" s="182" t="s">
        <v>1671</v>
      </c>
      <c r="E1501" s="183" t="s">
        <v>1672</v>
      </c>
      <c r="F1501" s="183" t="s">
        <v>581</v>
      </c>
      <c r="G1501" s="184">
        <v>7.5</v>
      </c>
      <c r="H1501" s="185">
        <v>0.1</v>
      </c>
      <c r="I1501" s="186">
        <v>509.31490000000002</v>
      </c>
      <c r="J1501" s="187">
        <v>4201.847925</v>
      </c>
      <c r="K1501" s="182" t="s">
        <v>3824</v>
      </c>
      <c r="L1501" s="182">
        <v>6</v>
      </c>
      <c r="M1501" s="182" t="s">
        <v>3830</v>
      </c>
      <c r="N1501" s="186">
        <v>3.25</v>
      </c>
      <c r="O1501" s="188">
        <v>7.5</v>
      </c>
      <c r="P1501" s="188" t="s">
        <v>573</v>
      </c>
      <c r="Q1501" s="188">
        <v>0</v>
      </c>
      <c r="R1501" s="189" t="s">
        <v>573</v>
      </c>
      <c r="S1501" s="189" t="s">
        <v>573</v>
      </c>
    </row>
    <row r="1502" spans="1:19" ht="14.25" customHeight="1" x14ac:dyDescent="0.3">
      <c r="A1502" s="182" t="s">
        <v>3779</v>
      </c>
      <c r="B1502" s="182" t="s">
        <v>908</v>
      </c>
      <c r="C1502" s="182" t="s">
        <v>909</v>
      </c>
      <c r="D1502" s="182" t="s">
        <v>1674</v>
      </c>
      <c r="E1502" s="183" t="s">
        <v>1675</v>
      </c>
      <c r="F1502" s="183" t="s">
        <v>600</v>
      </c>
      <c r="G1502" s="184">
        <v>1</v>
      </c>
      <c r="H1502" s="185">
        <v>0.05</v>
      </c>
      <c r="I1502" s="186">
        <v>202.42</v>
      </c>
      <c r="J1502" s="187">
        <v>212.541</v>
      </c>
      <c r="K1502" s="182" t="s">
        <v>3824</v>
      </c>
      <c r="L1502" s="182">
        <v>7</v>
      </c>
      <c r="M1502" s="182" t="s">
        <v>3831</v>
      </c>
      <c r="N1502" s="186">
        <v>3.25</v>
      </c>
      <c r="O1502" s="188">
        <v>1</v>
      </c>
      <c r="P1502" s="188" t="s">
        <v>573</v>
      </c>
      <c r="Q1502" s="188">
        <v>0</v>
      </c>
      <c r="R1502" s="189" t="s">
        <v>573</v>
      </c>
      <c r="S1502" s="189" t="s">
        <v>573</v>
      </c>
    </row>
    <row r="1503" spans="1:19" ht="14.25" customHeight="1" x14ac:dyDescent="0.3">
      <c r="A1503" s="182" t="s">
        <v>3779</v>
      </c>
      <c r="B1503" s="182" t="s">
        <v>908</v>
      </c>
      <c r="C1503" s="182" t="s">
        <v>909</v>
      </c>
      <c r="D1503" s="182" t="s">
        <v>1677</v>
      </c>
      <c r="E1503" s="183" t="s">
        <v>1678</v>
      </c>
      <c r="F1503" s="183" t="s">
        <v>600</v>
      </c>
      <c r="G1503" s="184">
        <v>0.5</v>
      </c>
      <c r="H1503" s="185">
        <v>0.05</v>
      </c>
      <c r="I1503" s="186">
        <v>202.42</v>
      </c>
      <c r="J1503" s="187">
        <v>106.2705</v>
      </c>
      <c r="K1503" s="182" t="s">
        <v>3824</v>
      </c>
      <c r="L1503" s="182">
        <v>8</v>
      </c>
      <c r="M1503" s="182" t="s">
        <v>3832</v>
      </c>
      <c r="N1503" s="186">
        <v>3.25</v>
      </c>
      <c r="O1503" s="188">
        <v>0.5</v>
      </c>
      <c r="P1503" s="188" t="s">
        <v>573</v>
      </c>
      <c r="Q1503" s="188">
        <v>0</v>
      </c>
      <c r="R1503" s="189" t="s">
        <v>573</v>
      </c>
      <c r="S1503" s="189" t="s">
        <v>573</v>
      </c>
    </row>
    <row r="1504" spans="1:19" ht="14.25" customHeight="1" x14ac:dyDescent="0.3">
      <c r="A1504" s="182" t="s">
        <v>3833</v>
      </c>
      <c r="B1504" s="182" t="s">
        <v>937</v>
      </c>
      <c r="C1504" s="182" t="s">
        <v>909</v>
      </c>
      <c r="D1504" s="182" t="s">
        <v>3834</v>
      </c>
      <c r="E1504" s="183" t="s">
        <v>3835</v>
      </c>
      <c r="F1504" s="183" t="s">
        <v>941</v>
      </c>
      <c r="G1504" s="184">
        <v>5</v>
      </c>
      <c r="H1504" s="185">
        <v>0</v>
      </c>
      <c r="I1504" s="186">
        <v>24807.3</v>
      </c>
      <c r="J1504" s="187">
        <v>124036.5</v>
      </c>
      <c r="K1504" s="182" t="s">
        <v>3836</v>
      </c>
      <c r="L1504" s="182">
        <v>1</v>
      </c>
      <c r="M1504" s="182" t="s">
        <v>3837</v>
      </c>
      <c r="N1504" s="186">
        <v>5</v>
      </c>
      <c r="O1504" s="188">
        <v>5</v>
      </c>
      <c r="P1504" s="188">
        <v>26</v>
      </c>
      <c r="Q1504" s="188">
        <v>130</v>
      </c>
      <c r="R1504" s="189">
        <v>18.11</v>
      </c>
      <c r="S1504" s="189" t="s">
        <v>573</v>
      </c>
    </row>
    <row r="1505" spans="1:19" ht="14.25" customHeight="1" x14ac:dyDescent="0.3">
      <c r="A1505" s="182" t="s">
        <v>3838</v>
      </c>
      <c r="B1505" s="182" t="s">
        <v>937</v>
      </c>
      <c r="C1505" s="182" t="s">
        <v>909</v>
      </c>
      <c r="D1505" s="182" t="s">
        <v>3834</v>
      </c>
      <c r="E1505" s="183" t="s">
        <v>3835</v>
      </c>
      <c r="F1505" s="183" t="s">
        <v>941</v>
      </c>
      <c r="G1505" s="184">
        <v>5</v>
      </c>
      <c r="H1505" s="185">
        <v>0</v>
      </c>
      <c r="I1505" s="186">
        <v>24807.3</v>
      </c>
      <c r="J1505" s="187">
        <v>124036.5</v>
      </c>
      <c r="K1505" s="182" t="s">
        <v>3839</v>
      </c>
      <c r="L1505" s="182">
        <v>1</v>
      </c>
      <c r="M1505" s="182" t="s">
        <v>3840</v>
      </c>
      <c r="N1505" s="186">
        <v>5</v>
      </c>
      <c r="O1505" s="188">
        <v>5</v>
      </c>
      <c r="P1505" s="188" t="s">
        <v>573</v>
      </c>
      <c r="Q1505" s="188">
        <v>0</v>
      </c>
      <c r="R1505" s="189" t="s">
        <v>573</v>
      </c>
      <c r="S1505" s="189" t="s">
        <v>573</v>
      </c>
    </row>
    <row r="1506" spans="1:19" ht="14.25" customHeight="1" x14ac:dyDescent="0.3">
      <c r="A1506" s="182" t="s">
        <v>3795</v>
      </c>
      <c r="B1506" s="182" t="s">
        <v>563</v>
      </c>
      <c r="C1506" s="182"/>
      <c r="D1506" s="182" t="s">
        <v>948</v>
      </c>
      <c r="E1506" s="183" t="s">
        <v>949</v>
      </c>
      <c r="F1506" s="183"/>
      <c r="G1506" s="184">
        <v>0.5</v>
      </c>
      <c r="H1506" s="185">
        <v>0</v>
      </c>
      <c r="I1506" s="186">
        <v>571.17949098076099</v>
      </c>
      <c r="J1506" s="187">
        <v>285.58974549038101</v>
      </c>
      <c r="K1506" s="182" t="s">
        <v>3841</v>
      </c>
      <c r="L1506" s="182">
        <v>1</v>
      </c>
      <c r="M1506" s="182" t="s">
        <v>3842</v>
      </c>
      <c r="N1506" s="186">
        <v>3.25</v>
      </c>
      <c r="O1506" s="188">
        <v>0.5</v>
      </c>
      <c r="P1506" s="188">
        <v>226</v>
      </c>
      <c r="Q1506" s="188">
        <v>113</v>
      </c>
      <c r="R1506" s="189">
        <v>18.07</v>
      </c>
      <c r="S1506" s="189" t="s">
        <v>573</v>
      </c>
    </row>
    <row r="1507" spans="1:19" ht="14.25" customHeight="1" x14ac:dyDescent="0.3">
      <c r="A1507" s="182" t="s">
        <v>3795</v>
      </c>
      <c r="B1507" s="182" t="s">
        <v>563</v>
      </c>
      <c r="C1507" s="182"/>
      <c r="D1507" s="182" t="s">
        <v>1651</v>
      </c>
      <c r="E1507" s="183" t="s">
        <v>1652</v>
      </c>
      <c r="F1507" s="183"/>
      <c r="G1507" s="184">
        <v>1</v>
      </c>
      <c r="H1507" s="185">
        <v>0</v>
      </c>
      <c r="I1507" s="186">
        <v>5063.0947914732396</v>
      </c>
      <c r="J1507" s="187">
        <v>5063.0947914732396</v>
      </c>
      <c r="K1507" s="182" t="s">
        <v>3841</v>
      </c>
      <c r="L1507" s="182">
        <v>2</v>
      </c>
      <c r="M1507" s="182" t="s">
        <v>3843</v>
      </c>
      <c r="N1507" s="186">
        <v>3.25</v>
      </c>
      <c r="O1507" s="188">
        <v>1</v>
      </c>
      <c r="P1507" s="188">
        <v>226</v>
      </c>
      <c r="Q1507" s="188">
        <v>226</v>
      </c>
      <c r="R1507" s="189">
        <v>18.07</v>
      </c>
      <c r="S1507" s="189" t="s">
        <v>573</v>
      </c>
    </row>
    <row r="1508" spans="1:19" ht="14.25" customHeight="1" x14ac:dyDescent="0.3">
      <c r="A1508" s="182" t="s">
        <v>3795</v>
      </c>
      <c r="B1508" s="182" t="s">
        <v>563</v>
      </c>
      <c r="C1508" s="182"/>
      <c r="D1508" s="182" t="s">
        <v>1456</v>
      </c>
      <c r="E1508" s="183" t="s">
        <v>1457</v>
      </c>
      <c r="F1508" s="183"/>
      <c r="G1508" s="184">
        <v>0.5</v>
      </c>
      <c r="H1508" s="185">
        <v>0</v>
      </c>
      <c r="I1508" s="186">
        <v>140.198092594309</v>
      </c>
      <c r="J1508" s="187">
        <v>70.099046297154501</v>
      </c>
      <c r="K1508" s="182" t="s">
        <v>3841</v>
      </c>
      <c r="L1508" s="182">
        <v>3</v>
      </c>
      <c r="M1508" s="182" t="s">
        <v>3844</v>
      </c>
      <c r="N1508" s="186">
        <v>3.25</v>
      </c>
      <c r="O1508" s="188">
        <v>0.5</v>
      </c>
      <c r="P1508" s="188">
        <v>226</v>
      </c>
      <c r="Q1508" s="188">
        <v>113</v>
      </c>
      <c r="R1508" s="189">
        <v>18.07</v>
      </c>
      <c r="S1508" s="189" t="s">
        <v>573</v>
      </c>
    </row>
    <row r="1509" spans="1:19" ht="14.25" customHeight="1" x14ac:dyDescent="0.3">
      <c r="A1509" s="182" t="s">
        <v>3795</v>
      </c>
      <c r="B1509" s="182" t="s">
        <v>908</v>
      </c>
      <c r="C1509" s="182" t="s">
        <v>909</v>
      </c>
      <c r="D1509" s="182" t="s">
        <v>976</v>
      </c>
      <c r="E1509" s="183" t="s">
        <v>977</v>
      </c>
      <c r="F1509" s="183" t="s">
        <v>576</v>
      </c>
      <c r="G1509" s="184">
        <v>2569.4045348999998</v>
      </c>
      <c r="H1509" s="185">
        <v>0</v>
      </c>
      <c r="I1509" s="186">
        <v>1</v>
      </c>
      <c r="J1509" s="187">
        <v>2569.4045348999998</v>
      </c>
      <c r="K1509" s="182" t="s">
        <v>3845</v>
      </c>
      <c r="L1509" s="182">
        <v>1</v>
      </c>
      <c r="M1509" s="182" t="s">
        <v>3846</v>
      </c>
      <c r="N1509" s="186">
        <v>3.25</v>
      </c>
      <c r="O1509" s="188">
        <v>2569.4045348999998</v>
      </c>
      <c r="P1509" s="188">
        <v>226</v>
      </c>
      <c r="Q1509" s="188">
        <v>580685.4248874</v>
      </c>
      <c r="R1509" s="189">
        <v>18.07</v>
      </c>
      <c r="S1509" s="189" t="s">
        <v>573</v>
      </c>
    </row>
    <row r="1510" spans="1:19" ht="14.25" customHeight="1" x14ac:dyDescent="0.3">
      <c r="A1510" s="182" t="s">
        <v>3795</v>
      </c>
      <c r="B1510" s="182" t="s">
        <v>908</v>
      </c>
      <c r="C1510" s="182" t="s">
        <v>909</v>
      </c>
      <c r="D1510" s="182" t="s">
        <v>1689</v>
      </c>
      <c r="E1510" s="183" t="s">
        <v>1690</v>
      </c>
      <c r="F1510" s="183" t="s">
        <v>600</v>
      </c>
      <c r="G1510" s="184">
        <v>4</v>
      </c>
      <c r="H1510" s="185">
        <v>0.1</v>
      </c>
      <c r="I1510" s="186">
        <v>225.83199999999999</v>
      </c>
      <c r="J1510" s="187">
        <v>993.66079999999999</v>
      </c>
      <c r="K1510" s="182" t="s">
        <v>3845</v>
      </c>
      <c r="L1510" s="182">
        <v>2</v>
      </c>
      <c r="M1510" s="182" t="s">
        <v>3847</v>
      </c>
      <c r="N1510" s="186">
        <v>3.25</v>
      </c>
      <c r="O1510" s="188">
        <v>4</v>
      </c>
      <c r="P1510" s="188">
        <v>226</v>
      </c>
      <c r="Q1510" s="188">
        <v>904</v>
      </c>
      <c r="R1510" s="189">
        <v>18.07</v>
      </c>
      <c r="S1510" s="189" t="s">
        <v>573</v>
      </c>
    </row>
    <row r="1511" spans="1:19" ht="14.25" customHeight="1" x14ac:dyDescent="0.3">
      <c r="A1511" s="182" t="s">
        <v>3795</v>
      </c>
      <c r="B1511" s="182" t="s">
        <v>908</v>
      </c>
      <c r="C1511" s="182" t="s">
        <v>909</v>
      </c>
      <c r="D1511" s="182" t="s">
        <v>1693</v>
      </c>
      <c r="E1511" s="183" t="s">
        <v>1694</v>
      </c>
      <c r="F1511" s="183" t="s">
        <v>581</v>
      </c>
      <c r="G1511" s="184">
        <v>5</v>
      </c>
      <c r="H1511" s="185">
        <v>0.05</v>
      </c>
      <c r="I1511" s="186">
        <v>472.18</v>
      </c>
      <c r="J1511" s="187">
        <v>2478.9450000000002</v>
      </c>
      <c r="K1511" s="182" t="s">
        <v>3845</v>
      </c>
      <c r="L1511" s="182">
        <v>3</v>
      </c>
      <c r="M1511" s="182" t="s">
        <v>3848</v>
      </c>
      <c r="N1511" s="186">
        <v>3.25</v>
      </c>
      <c r="O1511" s="188">
        <v>5</v>
      </c>
      <c r="P1511" s="188">
        <v>226</v>
      </c>
      <c r="Q1511" s="188">
        <v>1130</v>
      </c>
      <c r="R1511" s="189">
        <v>18.07</v>
      </c>
      <c r="S1511" s="189" t="s">
        <v>573</v>
      </c>
    </row>
    <row r="1512" spans="1:19" ht="14.25" customHeight="1" x14ac:dyDescent="0.3">
      <c r="A1512" s="182" t="s">
        <v>3795</v>
      </c>
      <c r="B1512" s="182" t="s">
        <v>908</v>
      </c>
      <c r="C1512" s="182" t="s">
        <v>909</v>
      </c>
      <c r="D1512" s="182" t="s">
        <v>1696</v>
      </c>
      <c r="E1512" s="183" t="s">
        <v>1697</v>
      </c>
      <c r="F1512" s="183" t="s">
        <v>600</v>
      </c>
      <c r="G1512" s="184">
        <v>1.2</v>
      </c>
      <c r="H1512" s="185">
        <v>0.1</v>
      </c>
      <c r="I1512" s="186">
        <v>110.922</v>
      </c>
      <c r="J1512" s="187">
        <v>146.41703999999999</v>
      </c>
      <c r="K1512" s="182" t="s">
        <v>3845</v>
      </c>
      <c r="L1512" s="182">
        <v>4</v>
      </c>
      <c r="M1512" s="182" t="s">
        <v>3849</v>
      </c>
      <c r="N1512" s="186">
        <v>3.25</v>
      </c>
      <c r="O1512" s="188">
        <v>1.2</v>
      </c>
      <c r="P1512" s="188">
        <v>226</v>
      </c>
      <c r="Q1512" s="188">
        <v>271.2</v>
      </c>
      <c r="R1512" s="189">
        <v>18.07</v>
      </c>
      <c r="S1512" s="189" t="s">
        <v>573</v>
      </c>
    </row>
    <row r="1513" spans="1:19" ht="14.25" customHeight="1" x14ac:dyDescent="0.3">
      <c r="A1513" s="182" t="s">
        <v>3795</v>
      </c>
      <c r="B1513" s="182" t="s">
        <v>908</v>
      </c>
      <c r="C1513" s="182" t="s">
        <v>909</v>
      </c>
      <c r="D1513" s="182" t="s">
        <v>1668</v>
      </c>
      <c r="E1513" s="183" t="s">
        <v>1669</v>
      </c>
      <c r="F1513" s="183" t="s">
        <v>581</v>
      </c>
      <c r="G1513" s="184">
        <v>5</v>
      </c>
      <c r="H1513" s="185">
        <v>0.1</v>
      </c>
      <c r="I1513" s="186">
        <v>509.31490000000002</v>
      </c>
      <c r="J1513" s="187">
        <v>2801.2319499999999</v>
      </c>
      <c r="K1513" s="182" t="s">
        <v>3845</v>
      </c>
      <c r="L1513" s="182">
        <v>5</v>
      </c>
      <c r="M1513" s="182" t="s">
        <v>3850</v>
      </c>
      <c r="N1513" s="186">
        <v>3.25</v>
      </c>
      <c r="O1513" s="188">
        <v>5</v>
      </c>
      <c r="P1513" s="188">
        <v>226</v>
      </c>
      <c r="Q1513" s="188">
        <v>1130</v>
      </c>
      <c r="R1513" s="189">
        <v>18.07</v>
      </c>
      <c r="S1513" s="189" t="s">
        <v>573</v>
      </c>
    </row>
    <row r="1514" spans="1:19" ht="14.25" customHeight="1" x14ac:dyDescent="0.3">
      <c r="A1514" s="182" t="s">
        <v>3795</v>
      </c>
      <c r="B1514" s="182" t="s">
        <v>908</v>
      </c>
      <c r="C1514" s="182" t="s">
        <v>909</v>
      </c>
      <c r="D1514" s="182" t="s">
        <v>1671</v>
      </c>
      <c r="E1514" s="183" t="s">
        <v>1672</v>
      </c>
      <c r="F1514" s="183" t="s">
        <v>581</v>
      </c>
      <c r="G1514" s="184">
        <v>10</v>
      </c>
      <c r="H1514" s="185">
        <v>0.1</v>
      </c>
      <c r="I1514" s="186">
        <v>509.31490000000002</v>
      </c>
      <c r="J1514" s="187">
        <v>5602.4638999999997</v>
      </c>
      <c r="K1514" s="182" t="s">
        <v>3845</v>
      </c>
      <c r="L1514" s="182">
        <v>6</v>
      </c>
      <c r="M1514" s="182" t="s">
        <v>3851</v>
      </c>
      <c r="N1514" s="186">
        <v>3.25</v>
      </c>
      <c r="O1514" s="188">
        <v>10</v>
      </c>
      <c r="P1514" s="188">
        <v>226</v>
      </c>
      <c r="Q1514" s="188">
        <v>2260</v>
      </c>
      <c r="R1514" s="189">
        <v>18.07</v>
      </c>
      <c r="S1514" s="189" t="s">
        <v>573</v>
      </c>
    </row>
    <row r="1515" spans="1:19" ht="14.25" customHeight="1" x14ac:dyDescent="0.3">
      <c r="A1515" s="182" t="s">
        <v>3795</v>
      </c>
      <c r="B1515" s="182" t="s">
        <v>908</v>
      </c>
      <c r="C1515" s="182" t="s">
        <v>909</v>
      </c>
      <c r="D1515" s="182" t="s">
        <v>1677</v>
      </c>
      <c r="E1515" s="183" t="s">
        <v>1678</v>
      </c>
      <c r="F1515" s="183" t="s">
        <v>600</v>
      </c>
      <c r="G1515" s="184">
        <v>1</v>
      </c>
      <c r="H1515" s="185">
        <v>0.05</v>
      </c>
      <c r="I1515" s="186">
        <v>202.42</v>
      </c>
      <c r="J1515" s="187">
        <v>212.541</v>
      </c>
      <c r="K1515" s="182" t="s">
        <v>3845</v>
      </c>
      <c r="L1515" s="182">
        <v>7</v>
      </c>
      <c r="M1515" s="182" t="s">
        <v>3852</v>
      </c>
      <c r="N1515" s="186">
        <v>3.25</v>
      </c>
      <c r="O1515" s="188">
        <v>1</v>
      </c>
      <c r="P1515" s="188">
        <v>226</v>
      </c>
      <c r="Q1515" s="188">
        <v>226</v>
      </c>
      <c r="R1515" s="189">
        <v>18.07</v>
      </c>
      <c r="S1515" s="189" t="s">
        <v>573</v>
      </c>
    </row>
    <row r="1516" spans="1:19" ht="14.25" customHeight="1" x14ac:dyDescent="0.3">
      <c r="A1516" s="182" t="s">
        <v>3853</v>
      </c>
      <c r="B1516" s="182" t="s">
        <v>937</v>
      </c>
      <c r="C1516" s="182" t="s">
        <v>909</v>
      </c>
      <c r="D1516" s="182" t="s">
        <v>3834</v>
      </c>
      <c r="E1516" s="183" t="s">
        <v>3835</v>
      </c>
      <c r="F1516" s="183" t="s">
        <v>941</v>
      </c>
      <c r="G1516" s="184">
        <v>5</v>
      </c>
      <c r="H1516" s="185">
        <v>0</v>
      </c>
      <c r="I1516" s="186">
        <v>24807.3</v>
      </c>
      <c r="J1516" s="187">
        <v>124036.5</v>
      </c>
      <c r="K1516" s="182" t="s">
        <v>3854</v>
      </c>
      <c r="L1516" s="182">
        <v>1</v>
      </c>
      <c r="M1516" s="182" t="s">
        <v>3855</v>
      </c>
      <c r="N1516" s="186">
        <v>5</v>
      </c>
      <c r="O1516" s="188">
        <v>5</v>
      </c>
      <c r="P1516" s="188" t="s">
        <v>573</v>
      </c>
      <c r="Q1516" s="188">
        <v>0</v>
      </c>
      <c r="R1516" s="189" t="s">
        <v>573</v>
      </c>
      <c r="S1516" s="189" t="s">
        <v>573</v>
      </c>
    </row>
    <row r="1517" spans="1:19" ht="14.25" customHeight="1" x14ac:dyDescent="0.3">
      <c r="A1517" s="182" t="s">
        <v>3856</v>
      </c>
      <c r="B1517" s="182" t="s">
        <v>937</v>
      </c>
      <c r="C1517" s="182" t="s">
        <v>909</v>
      </c>
      <c r="D1517" s="182" t="s">
        <v>3834</v>
      </c>
      <c r="E1517" s="183" t="s">
        <v>3835</v>
      </c>
      <c r="F1517" s="183" t="s">
        <v>941</v>
      </c>
      <c r="G1517" s="184">
        <v>5</v>
      </c>
      <c r="H1517" s="185">
        <v>0</v>
      </c>
      <c r="I1517" s="186">
        <v>24807.3</v>
      </c>
      <c r="J1517" s="187">
        <v>124036.5</v>
      </c>
      <c r="K1517" s="182" t="s">
        <v>3857</v>
      </c>
      <c r="L1517" s="182">
        <v>1</v>
      </c>
      <c r="M1517" s="182" t="s">
        <v>3858</v>
      </c>
      <c r="N1517" s="186">
        <v>5</v>
      </c>
      <c r="O1517" s="188">
        <v>5</v>
      </c>
      <c r="P1517" s="188" t="s">
        <v>573</v>
      </c>
      <c r="Q1517" s="188">
        <v>0</v>
      </c>
      <c r="R1517" s="189" t="s">
        <v>573</v>
      </c>
      <c r="S1517" s="189" t="s">
        <v>573</v>
      </c>
    </row>
    <row r="1518" spans="1:19" ht="14.25" customHeight="1" x14ac:dyDescent="0.3">
      <c r="A1518" s="182" t="s">
        <v>3798</v>
      </c>
      <c r="B1518" s="182" t="s">
        <v>563</v>
      </c>
      <c r="C1518" s="182"/>
      <c r="D1518" s="182" t="s">
        <v>948</v>
      </c>
      <c r="E1518" s="183" t="s">
        <v>949</v>
      </c>
      <c r="F1518" s="183"/>
      <c r="G1518" s="184">
        <v>0.5</v>
      </c>
      <c r="H1518" s="185">
        <v>0</v>
      </c>
      <c r="I1518" s="186">
        <v>571.17949098076099</v>
      </c>
      <c r="J1518" s="187">
        <v>285.58974549038101</v>
      </c>
      <c r="K1518" s="182" t="s">
        <v>3859</v>
      </c>
      <c r="L1518" s="182">
        <v>1</v>
      </c>
      <c r="M1518" s="182" t="s">
        <v>3860</v>
      </c>
      <c r="N1518" s="186">
        <v>3.25</v>
      </c>
      <c r="O1518" s="188">
        <v>0.5</v>
      </c>
      <c r="P1518" s="188">
        <v>32</v>
      </c>
      <c r="Q1518" s="188">
        <v>16</v>
      </c>
      <c r="R1518" s="189">
        <v>18.079999999999998</v>
      </c>
      <c r="S1518" s="189" t="s">
        <v>573</v>
      </c>
    </row>
    <row r="1519" spans="1:19" ht="14.25" customHeight="1" x14ac:dyDescent="0.3">
      <c r="A1519" s="182" t="s">
        <v>3798</v>
      </c>
      <c r="B1519" s="182" t="s">
        <v>563</v>
      </c>
      <c r="C1519" s="182"/>
      <c r="D1519" s="182" t="s">
        <v>1651</v>
      </c>
      <c r="E1519" s="183" t="s">
        <v>1652</v>
      </c>
      <c r="F1519" s="183"/>
      <c r="G1519" s="184">
        <v>1</v>
      </c>
      <c r="H1519" s="185">
        <v>0</v>
      </c>
      <c r="I1519" s="186">
        <v>5063.0947914732396</v>
      </c>
      <c r="J1519" s="187">
        <v>5063.0947914732396</v>
      </c>
      <c r="K1519" s="182" t="s">
        <v>3859</v>
      </c>
      <c r="L1519" s="182">
        <v>2</v>
      </c>
      <c r="M1519" s="182" t="s">
        <v>3861</v>
      </c>
      <c r="N1519" s="186">
        <v>3.25</v>
      </c>
      <c r="O1519" s="188">
        <v>1</v>
      </c>
      <c r="P1519" s="188">
        <v>32</v>
      </c>
      <c r="Q1519" s="188">
        <v>32</v>
      </c>
      <c r="R1519" s="189">
        <v>18.079999999999998</v>
      </c>
      <c r="S1519" s="189" t="s">
        <v>573</v>
      </c>
    </row>
    <row r="1520" spans="1:19" ht="14.25" customHeight="1" x14ac:dyDescent="0.3">
      <c r="A1520" s="182" t="s">
        <v>3798</v>
      </c>
      <c r="B1520" s="182" t="s">
        <v>563</v>
      </c>
      <c r="C1520" s="182"/>
      <c r="D1520" s="182" t="s">
        <v>1456</v>
      </c>
      <c r="E1520" s="183" t="s">
        <v>1457</v>
      </c>
      <c r="F1520" s="183"/>
      <c r="G1520" s="184">
        <v>0.5</v>
      </c>
      <c r="H1520" s="185">
        <v>0</v>
      </c>
      <c r="I1520" s="186">
        <v>140.198092594309</v>
      </c>
      <c r="J1520" s="187">
        <v>70.099046297154501</v>
      </c>
      <c r="K1520" s="182" t="s">
        <v>3859</v>
      </c>
      <c r="L1520" s="182">
        <v>3</v>
      </c>
      <c r="M1520" s="182" t="s">
        <v>3862</v>
      </c>
      <c r="N1520" s="186">
        <v>3.25</v>
      </c>
      <c r="O1520" s="188">
        <v>0.5</v>
      </c>
      <c r="P1520" s="188">
        <v>32</v>
      </c>
      <c r="Q1520" s="188">
        <v>16</v>
      </c>
      <c r="R1520" s="189">
        <v>18.079999999999998</v>
      </c>
      <c r="S1520" s="189" t="s">
        <v>573</v>
      </c>
    </row>
    <row r="1521" spans="1:19" ht="14.25" customHeight="1" x14ac:dyDescent="0.3">
      <c r="A1521" s="182" t="s">
        <v>3798</v>
      </c>
      <c r="B1521" s="182" t="s">
        <v>908</v>
      </c>
      <c r="C1521" s="182" t="s">
        <v>909</v>
      </c>
      <c r="D1521" s="182" t="s">
        <v>976</v>
      </c>
      <c r="E1521" s="183" t="s">
        <v>977</v>
      </c>
      <c r="F1521" s="183" t="s">
        <v>576</v>
      </c>
      <c r="G1521" s="184">
        <v>5975.3668799999996</v>
      </c>
      <c r="H1521" s="185">
        <v>0</v>
      </c>
      <c r="I1521" s="186">
        <v>1</v>
      </c>
      <c r="J1521" s="187">
        <v>5975.3668799999996</v>
      </c>
      <c r="K1521" s="182" t="s">
        <v>3863</v>
      </c>
      <c r="L1521" s="182">
        <v>1</v>
      </c>
      <c r="M1521" s="182" t="s">
        <v>3864</v>
      </c>
      <c r="N1521" s="186">
        <v>3.25</v>
      </c>
      <c r="O1521" s="188">
        <v>5975.3668799999996</v>
      </c>
      <c r="P1521" s="188">
        <v>32</v>
      </c>
      <c r="Q1521" s="188">
        <v>191211.74015999999</v>
      </c>
      <c r="R1521" s="189">
        <v>18.079999999999998</v>
      </c>
      <c r="S1521" s="189" t="s">
        <v>573</v>
      </c>
    </row>
    <row r="1522" spans="1:19" ht="14.25" customHeight="1" x14ac:dyDescent="0.3">
      <c r="A1522" s="182" t="s">
        <v>3798</v>
      </c>
      <c r="B1522" s="182" t="s">
        <v>908</v>
      </c>
      <c r="C1522" s="182" t="s">
        <v>909</v>
      </c>
      <c r="D1522" s="182" t="s">
        <v>1763</v>
      </c>
      <c r="E1522" s="183" t="s">
        <v>1764</v>
      </c>
      <c r="F1522" s="183" t="s">
        <v>600</v>
      </c>
      <c r="G1522" s="184">
        <v>3</v>
      </c>
      <c r="H1522" s="185">
        <v>0.1</v>
      </c>
      <c r="I1522" s="186">
        <v>351.14</v>
      </c>
      <c r="J1522" s="187">
        <v>1158.7619999999999</v>
      </c>
      <c r="K1522" s="182" t="s">
        <v>3863</v>
      </c>
      <c r="L1522" s="182">
        <v>2</v>
      </c>
      <c r="M1522" s="182" t="s">
        <v>3865</v>
      </c>
      <c r="N1522" s="186">
        <v>3.25</v>
      </c>
      <c r="O1522" s="188">
        <v>3</v>
      </c>
      <c r="P1522" s="188">
        <v>32</v>
      </c>
      <c r="Q1522" s="188">
        <v>96</v>
      </c>
      <c r="R1522" s="189">
        <v>18.079999999999998</v>
      </c>
      <c r="S1522" s="189" t="s">
        <v>573</v>
      </c>
    </row>
    <row r="1523" spans="1:19" ht="14.25" customHeight="1" x14ac:dyDescent="0.3">
      <c r="A1523" s="182" t="s">
        <v>3798</v>
      </c>
      <c r="B1523" s="182" t="s">
        <v>908</v>
      </c>
      <c r="C1523" s="182" t="s">
        <v>909</v>
      </c>
      <c r="D1523" s="182" t="s">
        <v>1767</v>
      </c>
      <c r="E1523" s="183" t="s">
        <v>1768</v>
      </c>
      <c r="F1523" s="183" t="s">
        <v>581</v>
      </c>
      <c r="G1523" s="184">
        <v>7.5</v>
      </c>
      <c r="H1523" s="185">
        <v>0.1</v>
      </c>
      <c r="I1523" s="186">
        <v>666.92666666666696</v>
      </c>
      <c r="J1523" s="187">
        <v>5502.1450000000004</v>
      </c>
      <c r="K1523" s="182" t="s">
        <v>3863</v>
      </c>
      <c r="L1523" s="182">
        <v>3</v>
      </c>
      <c r="M1523" s="182" t="s">
        <v>3866</v>
      </c>
      <c r="N1523" s="186">
        <v>3.25</v>
      </c>
      <c r="O1523" s="188">
        <v>7.5</v>
      </c>
      <c r="P1523" s="188">
        <v>32</v>
      </c>
      <c r="Q1523" s="188">
        <v>240</v>
      </c>
      <c r="R1523" s="189">
        <v>18.079999999999998</v>
      </c>
      <c r="S1523" s="189" t="s">
        <v>573</v>
      </c>
    </row>
    <row r="1524" spans="1:19" ht="14.25" customHeight="1" x14ac:dyDescent="0.3">
      <c r="A1524" s="182" t="s">
        <v>3798</v>
      </c>
      <c r="B1524" s="182" t="s">
        <v>908</v>
      </c>
      <c r="C1524" s="182" t="s">
        <v>909</v>
      </c>
      <c r="D1524" s="182" t="s">
        <v>1770</v>
      </c>
      <c r="E1524" s="183" t="s">
        <v>1771</v>
      </c>
      <c r="F1524" s="183" t="s">
        <v>600</v>
      </c>
      <c r="G1524" s="184">
        <v>3</v>
      </c>
      <c r="H1524" s="185">
        <v>0.1</v>
      </c>
      <c r="I1524" s="186">
        <v>280.10000000000002</v>
      </c>
      <c r="J1524" s="187">
        <v>924.33</v>
      </c>
      <c r="K1524" s="182" t="s">
        <v>3863</v>
      </c>
      <c r="L1524" s="182">
        <v>4</v>
      </c>
      <c r="M1524" s="182" t="s">
        <v>3867</v>
      </c>
      <c r="N1524" s="186">
        <v>3.25</v>
      </c>
      <c r="O1524" s="188">
        <v>3</v>
      </c>
      <c r="P1524" s="188">
        <v>32</v>
      </c>
      <c r="Q1524" s="188">
        <v>96</v>
      </c>
      <c r="R1524" s="189">
        <v>18.079999999999998</v>
      </c>
      <c r="S1524" s="189" t="s">
        <v>573</v>
      </c>
    </row>
    <row r="1525" spans="1:19" ht="14.25" customHeight="1" x14ac:dyDescent="0.3">
      <c r="A1525" s="182" t="s">
        <v>3798</v>
      </c>
      <c r="B1525" s="182" t="s">
        <v>908</v>
      </c>
      <c r="C1525" s="182" t="s">
        <v>909</v>
      </c>
      <c r="D1525" s="182" t="s">
        <v>1773</v>
      </c>
      <c r="E1525" s="183" t="s">
        <v>1774</v>
      </c>
      <c r="F1525" s="183" t="s">
        <v>581</v>
      </c>
      <c r="G1525" s="184">
        <v>22.5</v>
      </c>
      <c r="H1525" s="185">
        <v>0.1</v>
      </c>
      <c r="I1525" s="186">
        <v>834.6</v>
      </c>
      <c r="J1525" s="187">
        <v>20656.349999999999</v>
      </c>
      <c r="K1525" s="182" t="s">
        <v>3863</v>
      </c>
      <c r="L1525" s="182">
        <v>5</v>
      </c>
      <c r="M1525" s="182" t="s">
        <v>3868</v>
      </c>
      <c r="N1525" s="186">
        <v>3.25</v>
      </c>
      <c r="O1525" s="188">
        <v>22.5</v>
      </c>
      <c r="P1525" s="188">
        <v>32</v>
      </c>
      <c r="Q1525" s="188">
        <v>720</v>
      </c>
      <c r="R1525" s="189">
        <v>18.079999999999998</v>
      </c>
      <c r="S1525" s="189" t="s">
        <v>573</v>
      </c>
    </row>
    <row r="1526" spans="1:19" ht="14.25" customHeight="1" x14ac:dyDescent="0.3">
      <c r="A1526" s="182" t="s">
        <v>3798</v>
      </c>
      <c r="B1526" s="182" t="s">
        <v>908</v>
      </c>
      <c r="C1526" s="182" t="s">
        <v>909</v>
      </c>
      <c r="D1526" s="182" t="s">
        <v>1677</v>
      </c>
      <c r="E1526" s="183" t="s">
        <v>1678</v>
      </c>
      <c r="F1526" s="183" t="s">
        <v>600</v>
      </c>
      <c r="G1526" s="184">
        <v>1</v>
      </c>
      <c r="H1526" s="185">
        <v>0.05</v>
      </c>
      <c r="I1526" s="186">
        <v>202.42</v>
      </c>
      <c r="J1526" s="187">
        <v>212.541</v>
      </c>
      <c r="K1526" s="182" t="s">
        <v>3863</v>
      </c>
      <c r="L1526" s="182">
        <v>6</v>
      </c>
      <c r="M1526" s="182" t="s">
        <v>3869</v>
      </c>
      <c r="N1526" s="186">
        <v>3.25</v>
      </c>
      <c r="O1526" s="188">
        <v>1</v>
      </c>
      <c r="P1526" s="188">
        <v>32</v>
      </c>
      <c r="Q1526" s="188">
        <v>32</v>
      </c>
      <c r="R1526" s="189">
        <v>18.079999999999998</v>
      </c>
      <c r="S1526" s="189" t="s">
        <v>573</v>
      </c>
    </row>
    <row r="1527" spans="1:19" ht="14.25" customHeight="1" x14ac:dyDescent="0.3">
      <c r="A1527" s="182" t="s">
        <v>3870</v>
      </c>
      <c r="B1527" s="182" t="s">
        <v>937</v>
      </c>
      <c r="C1527" s="182" t="s">
        <v>909</v>
      </c>
      <c r="D1527" s="182" t="s">
        <v>3834</v>
      </c>
      <c r="E1527" s="183" t="s">
        <v>3835</v>
      </c>
      <c r="F1527" s="183" t="s">
        <v>941</v>
      </c>
      <c r="G1527" s="184">
        <v>5</v>
      </c>
      <c r="H1527" s="185">
        <v>0</v>
      </c>
      <c r="I1527" s="186">
        <v>24807.3</v>
      </c>
      <c r="J1527" s="187">
        <v>124036.5</v>
      </c>
      <c r="K1527" s="182" t="s">
        <v>3871</v>
      </c>
      <c r="L1527" s="182">
        <v>1</v>
      </c>
      <c r="M1527" s="182" t="s">
        <v>3872</v>
      </c>
      <c r="N1527" s="186">
        <v>5</v>
      </c>
      <c r="O1527" s="188">
        <v>5</v>
      </c>
      <c r="P1527" s="188" t="s">
        <v>573</v>
      </c>
      <c r="Q1527" s="188">
        <v>0</v>
      </c>
      <c r="R1527" s="189" t="s">
        <v>573</v>
      </c>
      <c r="S1527" s="189" t="s">
        <v>573</v>
      </c>
    </row>
    <row r="1528" spans="1:19" ht="14.25" customHeight="1" x14ac:dyDescent="0.3">
      <c r="A1528" s="182" t="s">
        <v>3814</v>
      </c>
      <c r="B1528" s="182" t="s">
        <v>563</v>
      </c>
      <c r="C1528" s="182"/>
      <c r="D1528" s="182" t="s">
        <v>948</v>
      </c>
      <c r="E1528" s="183" t="s">
        <v>949</v>
      </c>
      <c r="F1528" s="183"/>
      <c r="G1528" s="184">
        <v>0.5</v>
      </c>
      <c r="H1528" s="185">
        <v>0</v>
      </c>
      <c r="I1528" s="186">
        <v>571.17949098076099</v>
      </c>
      <c r="J1528" s="187">
        <v>285.58974549038101</v>
      </c>
      <c r="K1528" s="182" t="s">
        <v>3873</v>
      </c>
      <c r="L1528" s="182">
        <v>1</v>
      </c>
      <c r="M1528" s="182" t="s">
        <v>3874</v>
      </c>
      <c r="N1528" s="186">
        <v>3.25</v>
      </c>
      <c r="O1528" s="188">
        <v>0.5</v>
      </c>
      <c r="P1528" s="188" t="s">
        <v>573</v>
      </c>
      <c r="Q1528" s="188">
        <v>0</v>
      </c>
      <c r="R1528" s="189" t="s">
        <v>573</v>
      </c>
      <c r="S1528" s="189" t="s">
        <v>573</v>
      </c>
    </row>
    <row r="1529" spans="1:19" ht="14.25" customHeight="1" x14ac:dyDescent="0.3">
      <c r="A1529" s="182" t="s">
        <v>3814</v>
      </c>
      <c r="B1529" s="182" t="s">
        <v>563</v>
      </c>
      <c r="C1529" s="182"/>
      <c r="D1529" s="182" t="s">
        <v>1651</v>
      </c>
      <c r="E1529" s="183" t="s">
        <v>1652</v>
      </c>
      <c r="F1529" s="183"/>
      <c r="G1529" s="184">
        <v>1</v>
      </c>
      <c r="H1529" s="185">
        <v>0</v>
      </c>
      <c r="I1529" s="186">
        <v>5063.0947914732396</v>
      </c>
      <c r="J1529" s="187">
        <v>5063.0947914732396</v>
      </c>
      <c r="K1529" s="182" t="s">
        <v>3873</v>
      </c>
      <c r="L1529" s="182">
        <v>2</v>
      </c>
      <c r="M1529" s="182" t="s">
        <v>3875</v>
      </c>
      <c r="N1529" s="186">
        <v>3.25</v>
      </c>
      <c r="O1529" s="188">
        <v>1</v>
      </c>
      <c r="P1529" s="188" t="s">
        <v>573</v>
      </c>
      <c r="Q1529" s="188">
        <v>0</v>
      </c>
      <c r="R1529" s="189" t="s">
        <v>573</v>
      </c>
      <c r="S1529" s="189" t="s">
        <v>573</v>
      </c>
    </row>
    <row r="1530" spans="1:19" ht="14.25" customHeight="1" x14ac:dyDescent="0.3">
      <c r="A1530" s="182" t="s">
        <v>3814</v>
      </c>
      <c r="B1530" s="182" t="s">
        <v>563</v>
      </c>
      <c r="C1530" s="182"/>
      <c r="D1530" s="182" t="s">
        <v>1456</v>
      </c>
      <c r="E1530" s="183" t="s">
        <v>1457</v>
      </c>
      <c r="F1530" s="183"/>
      <c r="G1530" s="184">
        <v>0.5</v>
      </c>
      <c r="H1530" s="185">
        <v>0</v>
      </c>
      <c r="I1530" s="186">
        <v>140.198092594309</v>
      </c>
      <c r="J1530" s="187">
        <v>70.099046297154501</v>
      </c>
      <c r="K1530" s="182" t="s">
        <v>3873</v>
      </c>
      <c r="L1530" s="182">
        <v>3</v>
      </c>
      <c r="M1530" s="182" t="s">
        <v>3876</v>
      </c>
      <c r="N1530" s="186">
        <v>3.25</v>
      </c>
      <c r="O1530" s="188">
        <v>0.5</v>
      </c>
      <c r="P1530" s="188" t="s">
        <v>573</v>
      </c>
      <c r="Q1530" s="188">
        <v>0</v>
      </c>
      <c r="R1530" s="189" t="s">
        <v>573</v>
      </c>
      <c r="S1530" s="189" t="s">
        <v>573</v>
      </c>
    </row>
    <row r="1531" spans="1:19" ht="14.25" customHeight="1" x14ac:dyDescent="0.3">
      <c r="A1531" s="182" t="s">
        <v>3814</v>
      </c>
      <c r="B1531" s="182" t="s">
        <v>908</v>
      </c>
      <c r="C1531" s="182" t="s">
        <v>909</v>
      </c>
      <c r="D1531" s="182" t="s">
        <v>1689</v>
      </c>
      <c r="E1531" s="183" t="s">
        <v>1690</v>
      </c>
      <c r="F1531" s="183" t="s">
        <v>600</v>
      </c>
      <c r="G1531" s="184">
        <v>4</v>
      </c>
      <c r="H1531" s="185">
        <v>0.1</v>
      </c>
      <c r="I1531" s="186">
        <v>225.83199999999999</v>
      </c>
      <c r="J1531" s="187">
        <v>993.66079999999999</v>
      </c>
      <c r="K1531" s="182" t="s">
        <v>3877</v>
      </c>
      <c r="L1531" s="182">
        <v>1</v>
      </c>
      <c r="M1531" s="182" t="s">
        <v>3878</v>
      </c>
      <c r="N1531" s="186">
        <v>3.25</v>
      </c>
      <c r="O1531" s="188">
        <v>4</v>
      </c>
      <c r="P1531" s="188" t="s">
        <v>573</v>
      </c>
      <c r="Q1531" s="188">
        <v>0</v>
      </c>
      <c r="R1531" s="189" t="s">
        <v>573</v>
      </c>
      <c r="S1531" s="189" t="s">
        <v>573</v>
      </c>
    </row>
    <row r="1532" spans="1:19" ht="14.25" customHeight="1" x14ac:dyDescent="0.3">
      <c r="A1532" s="182" t="s">
        <v>3814</v>
      </c>
      <c r="B1532" s="182" t="s">
        <v>908</v>
      </c>
      <c r="C1532" s="182" t="s">
        <v>909</v>
      </c>
      <c r="D1532" s="182" t="s">
        <v>1693</v>
      </c>
      <c r="E1532" s="183" t="s">
        <v>1694</v>
      </c>
      <c r="F1532" s="183" t="s">
        <v>581</v>
      </c>
      <c r="G1532" s="184">
        <v>5</v>
      </c>
      <c r="H1532" s="185">
        <v>0.05</v>
      </c>
      <c r="I1532" s="186">
        <v>472.18</v>
      </c>
      <c r="J1532" s="187">
        <v>2478.9450000000002</v>
      </c>
      <c r="K1532" s="182" t="s">
        <v>3877</v>
      </c>
      <c r="L1532" s="182">
        <v>2</v>
      </c>
      <c r="M1532" s="182" t="s">
        <v>3879</v>
      </c>
      <c r="N1532" s="186">
        <v>3.25</v>
      </c>
      <c r="O1532" s="188">
        <v>5</v>
      </c>
      <c r="P1532" s="188" t="s">
        <v>573</v>
      </c>
      <c r="Q1532" s="188">
        <v>0</v>
      </c>
      <c r="R1532" s="189" t="s">
        <v>573</v>
      </c>
      <c r="S1532" s="189" t="s">
        <v>573</v>
      </c>
    </row>
    <row r="1533" spans="1:19" ht="14.25" customHeight="1" x14ac:dyDescent="0.3">
      <c r="A1533" s="182" t="s">
        <v>3814</v>
      </c>
      <c r="B1533" s="182" t="s">
        <v>908</v>
      </c>
      <c r="C1533" s="182" t="s">
        <v>909</v>
      </c>
      <c r="D1533" s="182" t="s">
        <v>1696</v>
      </c>
      <c r="E1533" s="183" t="s">
        <v>1697</v>
      </c>
      <c r="F1533" s="183" t="s">
        <v>600</v>
      </c>
      <c r="G1533" s="184">
        <v>1.2</v>
      </c>
      <c r="H1533" s="185">
        <v>0.1</v>
      </c>
      <c r="I1533" s="186">
        <v>110.922</v>
      </c>
      <c r="J1533" s="187">
        <v>146.41703999999999</v>
      </c>
      <c r="K1533" s="182" t="s">
        <v>3877</v>
      </c>
      <c r="L1533" s="182">
        <v>3</v>
      </c>
      <c r="M1533" s="182" t="s">
        <v>3880</v>
      </c>
      <c r="N1533" s="186">
        <v>3.25</v>
      </c>
      <c r="O1533" s="188">
        <v>1.2</v>
      </c>
      <c r="P1533" s="188" t="s">
        <v>573</v>
      </c>
      <c r="Q1533" s="188">
        <v>0</v>
      </c>
      <c r="R1533" s="189" t="s">
        <v>573</v>
      </c>
      <c r="S1533" s="189" t="s">
        <v>573</v>
      </c>
    </row>
    <row r="1534" spans="1:19" ht="14.25" customHeight="1" x14ac:dyDescent="0.3">
      <c r="A1534" s="182" t="s">
        <v>3814</v>
      </c>
      <c r="B1534" s="182" t="s">
        <v>908</v>
      </c>
      <c r="C1534" s="182" t="s">
        <v>909</v>
      </c>
      <c r="D1534" s="182" t="s">
        <v>1668</v>
      </c>
      <c r="E1534" s="183" t="s">
        <v>1669</v>
      </c>
      <c r="F1534" s="183" t="s">
        <v>581</v>
      </c>
      <c r="G1534" s="184">
        <v>5</v>
      </c>
      <c r="H1534" s="185">
        <v>0.1</v>
      </c>
      <c r="I1534" s="186">
        <v>509.31490000000002</v>
      </c>
      <c r="J1534" s="187">
        <v>2801.2319499999999</v>
      </c>
      <c r="K1534" s="182" t="s">
        <v>3877</v>
      </c>
      <c r="L1534" s="182">
        <v>4</v>
      </c>
      <c r="M1534" s="182" t="s">
        <v>3881</v>
      </c>
      <c r="N1534" s="186">
        <v>3.25</v>
      </c>
      <c r="O1534" s="188">
        <v>5</v>
      </c>
      <c r="P1534" s="188" t="s">
        <v>573</v>
      </c>
      <c r="Q1534" s="188">
        <v>0</v>
      </c>
      <c r="R1534" s="189" t="s">
        <v>573</v>
      </c>
      <c r="S1534" s="189" t="s">
        <v>573</v>
      </c>
    </row>
    <row r="1535" spans="1:19" ht="14.25" customHeight="1" x14ac:dyDescent="0.3">
      <c r="A1535" s="182" t="s">
        <v>3814</v>
      </c>
      <c r="B1535" s="182" t="s">
        <v>908</v>
      </c>
      <c r="C1535" s="182" t="s">
        <v>909</v>
      </c>
      <c r="D1535" s="182" t="s">
        <v>1671</v>
      </c>
      <c r="E1535" s="183" t="s">
        <v>1672</v>
      </c>
      <c r="F1535" s="183" t="s">
        <v>581</v>
      </c>
      <c r="G1535" s="184">
        <v>10</v>
      </c>
      <c r="H1535" s="185">
        <v>0.1</v>
      </c>
      <c r="I1535" s="186">
        <v>509.31490000000002</v>
      </c>
      <c r="J1535" s="187">
        <v>5602.4638999999997</v>
      </c>
      <c r="K1535" s="182" t="s">
        <v>3877</v>
      </c>
      <c r="L1535" s="182">
        <v>5</v>
      </c>
      <c r="M1535" s="182" t="s">
        <v>3882</v>
      </c>
      <c r="N1535" s="186">
        <v>3.25</v>
      </c>
      <c r="O1535" s="188">
        <v>10</v>
      </c>
      <c r="P1535" s="188" t="s">
        <v>573</v>
      </c>
      <c r="Q1535" s="188">
        <v>0</v>
      </c>
      <c r="R1535" s="189" t="s">
        <v>573</v>
      </c>
      <c r="S1535" s="189" t="s">
        <v>573</v>
      </c>
    </row>
    <row r="1536" spans="1:19" ht="14.25" customHeight="1" x14ac:dyDescent="0.3">
      <c r="A1536" s="182" t="s">
        <v>3814</v>
      </c>
      <c r="B1536" s="182" t="s">
        <v>908</v>
      </c>
      <c r="C1536" s="182" t="s">
        <v>909</v>
      </c>
      <c r="D1536" s="182" t="s">
        <v>1677</v>
      </c>
      <c r="E1536" s="183" t="s">
        <v>1678</v>
      </c>
      <c r="F1536" s="183" t="s">
        <v>600</v>
      </c>
      <c r="G1536" s="184">
        <v>1</v>
      </c>
      <c r="H1536" s="185">
        <v>0.05</v>
      </c>
      <c r="I1536" s="186">
        <v>202.42</v>
      </c>
      <c r="J1536" s="187">
        <v>212.541</v>
      </c>
      <c r="K1536" s="182" t="s">
        <v>3877</v>
      </c>
      <c r="L1536" s="182">
        <v>6</v>
      </c>
      <c r="M1536" s="182" t="s">
        <v>3883</v>
      </c>
      <c r="N1536" s="186">
        <v>3.25</v>
      </c>
      <c r="O1536" s="188">
        <v>1</v>
      </c>
      <c r="P1536" s="188" t="s">
        <v>573</v>
      </c>
      <c r="Q1536" s="188">
        <v>0</v>
      </c>
      <c r="R1536" s="189" t="s">
        <v>573</v>
      </c>
      <c r="S1536" s="189" t="s">
        <v>573</v>
      </c>
    </row>
    <row r="1537" spans="1:19" ht="14.25" customHeight="1" x14ac:dyDescent="0.3">
      <c r="A1537" s="182" t="s">
        <v>3817</v>
      </c>
      <c r="B1537" s="182" t="s">
        <v>563</v>
      </c>
      <c r="C1537" s="182"/>
      <c r="D1537" s="182" t="s">
        <v>948</v>
      </c>
      <c r="E1537" s="183" t="s">
        <v>949</v>
      </c>
      <c r="F1537" s="183"/>
      <c r="G1537" s="184">
        <v>0.5</v>
      </c>
      <c r="H1537" s="185">
        <v>0</v>
      </c>
      <c r="I1537" s="186">
        <v>571.17949098076099</v>
      </c>
      <c r="J1537" s="187">
        <v>285.58974549038101</v>
      </c>
      <c r="K1537" s="182" t="s">
        <v>3884</v>
      </c>
      <c r="L1537" s="182">
        <v>1</v>
      </c>
      <c r="M1537" s="182" t="s">
        <v>3885</v>
      </c>
      <c r="N1537" s="186">
        <v>3.25</v>
      </c>
      <c r="O1537" s="188">
        <v>0.5</v>
      </c>
      <c r="P1537" s="188" t="s">
        <v>573</v>
      </c>
      <c r="Q1537" s="188">
        <v>0</v>
      </c>
      <c r="R1537" s="189" t="s">
        <v>573</v>
      </c>
      <c r="S1537" s="189" t="s">
        <v>573</v>
      </c>
    </row>
    <row r="1538" spans="1:19" ht="14.25" customHeight="1" x14ac:dyDescent="0.3">
      <c r="A1538" s="182" t="s">
        <v>3817</v>
      </c>
      <c r="B1538" s="182" t="s">
        <v>563</v>
      </c>
      <c r="C1538" s="182"/>
      <c r="D1538" s="182" t="s">
        <v>1651</v>
      </c>
      <c r="E1538" s="183" t="s">
        <v>1652</v>
      </c>
      <c r="F1538" s="183"/>
      <c r="G1538" s="184">
        <v>1</v>
      </c>
      <c r="H1538" s="185">
        <v>0</v>
      </c>
      <c r="I1538" s="186">
        <v>5063.0947914732396</v>
      </c>
      <c r="J1538" s="187">
        <v>5063.0947914732396</v>
      </c>
      <c r="K1538" s="182" t="s">
        <v>3884</v>
      </c>
      <c r="L1538" s="182">
        <v>2</v>
      </c>
      <c r="M1538" s="182" t="s">
        <v>3886</v>
      </c>
      <c r="N1538" s="186">
        <v>3.25</v>
      </c>
      <c r="O1538" s="188">
        <v>1</v>
      </c>
      <c r="P1538" s="188" t="s">
        <v>573</v>
      </c>
      <c r="Q1538" s="188">
        <v>0</v>
      </c>
      <c r="R1538" s="189" t="s">
        <v>573</v>
      </c>
      <c r="S1538" s="189" t="s">
        <v>573</v>
      </c>
    </row>
    <row r="1539" spans="1:19" ht="14.25" customHeight="1" x14ac:dyDescent="0.3">
      <c r="A1539" s="182" t="s">
        <v>3817</v>
      </c>
      <c r="B1539" s="182" t="s">
        <v>563</v>
      </c>
      <c r="C1539" s="182"/>
      <c r="D1539" s="182" t="s">
        <v>1456</v>
      </c>
      <c r="E1539" s="183" t="s">
        <v>1457</v>
      </c>
      <c r="F1539" s="183"/>
      <c r="G1539" s="184">
        <v>0.5</v>
      </c>
      <c r="H1539" s="185">
        <v>0</v>
      </c>
      <c r="I1539" s="186">
        <v>140.198092594309</v>
      </c>
      <c r="J1539" s="187">
        <v>70.099046297154501</v>
      </c>
      <c r="K1539" s="182" t="s">
        <v>3884</v>
      </c>
      <c r="L1539" s="182">
        <v>3</v>
      </c>
      <c r="M1539" s="182" t="s">
        <v>3887</v>
      </c>
      <c r="N1539" s="186">
        <v>3.25</v>
      </c>
      <c r="O1539" s="188">
        <v>0.5</v>
      </c>
      <c r="P1539" s="188" t="s">
        <v>573</v>
      </c>
      <c r="Q1539" s="188">
        <v>0</v>
      </c>
      <c r="R1539" s="189" t="s">
        <v>573</v>
      </c>
      <c r="S1539" s="189" t="s">
        <v>573</v>
      </c>
    </row>
    <row r="1540" spans="1:19" ht="14.25" customHeight="1" x14ac:dyDescent="0.3">
      <c r="A1540" s="182" t="s">
        <v>3817</v>
      </c>
      <c r="B1540" s="182" t="s">
        <v>908</v>
      </c>
      <c r="C1540" s="182" t="s">
        <v>909</v>
      </c>
      <c r="D1540" s="182" t="s">
        <v>1689</v>
      </c>
      <c r="E1540" s="183" t="s">
        <v>1690</v>
      </c>
      <c r="F1540" s="183" t="s">
        <v>600</v>
      </c>
      <c r="G1540" s="184">
        <v>4</v>
      </c>
      <c r="H1540" s="185">
        <v>0.1</v>
      </c>
      <c r="I1540" s="186">
        <v>225.83199999999999</v>
      </c>
      <c r="J1540" s="187">
        <v>993.66079999999999</v>
      </c>
      <c r="K1540" s="182" t="s">
        <v>3888</v>
      </c>
      <c r="L1540" s="182">
        <v>1</v>
      </c>
      <c r="M1540" s="182" t="s">
        <v>3889</v>
      </c>
      <c r="N1540" s="186">
        <v>3.25</v>
      </c>
      <c r="O1540" s="188">
        <v>4</v>
      </c>
      <c r="P1540" s="188" t="s">
        <v>573</v>
      </c>
      <c r="Q1540" s="188">
        <v>0</v>
      </c>
      <c r="R1540" s="189" t="s">
        <v>573</v>
      </c>
      <c r="S1540" s="189" t="s">
        <v>573</v>
      </c>
    </row>
    <row r="1541" spans="1:19" ht="14.25" customHeight="1" x14ac:dyDescent="0.3">
      <c r="A1541" s="182" t="s">
        <v>3817</v>
      </c>
      <c r="B1541" s="182" t="s">
        <v>908</v>
      </c>
      <c r="C1541" s="182" t="s">
        <v>909</v>
      </c>
      <c r="D1541" s="182" t="s">
        <v>1693</v>
      </c>
      <c r="E1541" s="183" t="s">
        <v>1694</v>
      </c>
      <c r="F1541" s="183" t="s">
        <v>581</v>
      </c>
      <c r="G1541" s="184">
        <v>5</v>
      </c>
      <c r="H1541" s="185">
        <v>0.05</v>
      </c>
      <c r="I1541" s="186">
        <v>472.18</v>
      </c>
      <c r="J1541" s="187">
        <v>2478.9450000000002</v>
      </c>
      <c r="K1541" s="182" t="s">
        <v>3888</v>
      </c>
      <c r="L1541" s="182">
        <v>2</v>
      </c>
      <c r="M1541" s="182" t="s">
        <v>3890</v>
      </c>
      <c r="N1541" s="186">
        <v>3.25</v>
      </c>
      <c r="O1541" s="188">
        <v>5</v>
      </c>
      <c r="P1541" s="188" t="s">
        <v>573</v>
      </c>
      <c r="Q1541" s="188">
        <v>0</v>
      </c>
      <c r="R1541" s="189" t="s">
        <v>573</v>
      </c>
      <c r="S1541" s="189" t="s">
        <v>573</v>
      </c>
    </row>
    <row r="1542" spans="1:19" ht="14.25" customHeight="1" x14ac:dyDescent="0.3">
      <c r="A1542" s="182" t="s">
        <v>3817</v>
      </c>
      <c r="B1542" s="182" t="s">
        <v>908</v>
      </c>
      <c r="C1542" s="182" t="s">
        <v>909</v>
      </c>
      <c r="D1542" s="182" t="s">
        <v>1696</v>
      </c>
      <c r="E1542" s="183" t="s">
        <v>1697</v>
      </c>
      <c r="F1542" s="183" t="s">
        <v>600</v>
      </c>
      <c r="G1542" s="184">
        <v>1.2</v>
      </c>
      <c r="H1542" s="185">
        <v>0.1</v>
      </c>
      <c r="I1542" s="186">
        <v>110.922</v>
      </c>
      <c r="J1542" s="187">
        <v>146.41703999999999</v>
      </c>
      <c r="K1542" s="182" t="s">
        <v>3888</v>
      </c>
      <c r="L1542" s="182">
        <v>3</v>
      </c>
      <c r="M1542" s="182" t="s">
        <v>3891</v>
      </c>
      <c r="N1542" s="186">
        <v>3.25</v>
      </c>
      <c r="O1542" s="188">
        <v>1.2</v>
      </c>
      <c r="P1542" s="188" t="s">
        <v>573</v>
      </c>
      <c r="Q1542" s="188">
        <v>0</v>
      </c>
      <c r="R1542" s="189" t="s">
        <v>573</v>
      </c>
      <c r="S1542" s="189" t="s">
        <v>573</v>
      </c>
    </row>
    <row r="1543" spans="1:19" ht="14.25" customHeight="1" x14ac:dyDescent="0.3">
      <c r="A1543" s="182" t="s">
        <v>3817</v>
      </c>
      <c r="B1543" s="182" t="s">
        <v>908</v>
      </c>
      <c r="C1543" s="182" t="s">
        <v>909</v>
      </c>
      <c r="D1543" s="182" t="s">
        <v>1668</v>
      </c>
      <c r="E1543" s="183" t="s">
        <v>1669</v>
      </c>
      <c r="F1543" s="183" t="s">
        <v>581</v>
      </c>
      <c r="G1543" s="184">
        <v>5</v>
      </c>
      <c r="H1543" s="185">
        <v>0.1</v>
      </c>
      <c r="I1543" s="186">
        <v>509.31490000000002</v>
      </c>
      <c r="J1543" s="187">
        <v>2801.2319499999999</v>
      </c>
      <c r="K1543" s="182" t="s">
        <v>3888</v>
      </c>
      <c r="L1543" s="182">
        <v>4</v>
      </c>
      <c r="M1543" s="182" t="s">
        <v>3892</v>
      </c>
      <c r="N1543" s="186">
        <v>3.25</v>
      </c>
      <c r="O1543" s="188">
        <v>5</v>
      </c>
      <c r="P1543" s="188" t="s">
        <v>573</v>
      </c>
      <c r="Q1543" s="188">
        <v>0</v>
      </c>
      <c r="R1543" s="189" t="s">
        <v>573</v>
      </c>
      <c r="S1543" s="189" t="s">
        <v>573</v>
      </c>
    </row>
    <row r="1544" spans="1:19" ht="14.25" customHeight="1" x14ac:dyDescent="0.3">
      <c r="A1544" s="182" t="s">
        <v>3817</v>
      </c>
      <c r="B1544" s="182" t="s">
        <v>908</v>
      </c>
      <c r="C1544" s="182" t="s">
        <v>909</v>
      </c>
      <c r="D1544" s="182" t="s">
        <v>1671</v>
      </c>
      <c r="E1544" s="183" t="s">
        <v>1672</v>
      </c>
      <c r="F1544" s="183" t="s">
        <v>581</v>
      </c>
      <c r="G1544" s="184">
        <v>10</v>
      </c>
      <c r="H1544" s="185">
        <v>0.1</v>
      </c>
      <c r="I1544" s="186">
        <v>509.31490000000002</v>
      </c>
      <c r="J1544" s="187">
        <v>5602.4638999999997</v>
      </c>
      <c r="K1544" s="182" t="s">
        <v>3888</v>
      </c>
      <c r="L1544" s="182">
        <v>5</v>
      </c>
      <c r="M1544" s="182" t="s">
        <v>3893</v>
      </c>
      <c r="N1544" s="186">
        <v>3.25</v>
      </c>
      <c r="O1544" s="188">
        <v>10</v>
      </c>
      <c r="P1544" s="188" t="s">
        <v>573</v>
      </c>
      <c r="Q1544" s="188">
        <v>0</v>
      </c>
      <c r="R1544" s="189" t="s">
        <v>573</v>
      </c>
      <c r="S1544" s="189" t="s">
        <v>573</v>
      </c>
    </row>
    <row r="1545" spans="1:19" ht="14.25" customHeight="1" x14ac:dyDescent="0.3">
      <c r="A1545" s="182" t="s">
        <v>3817</v>
      </c>
      <c r="B1545" s="182" t="s">
        <v>908</v>
      </c>
      <c r="C1545" s="182" t="s">
        <v>909</v>
      </c>
      <c r="D1545" s="182" t="s">
        <v>1677</v>
      </c>
      <c r="E1545" s="183" t="s">
        <v>1678</v>
      </c>
      <c r="F1545" s="183" t="s">
        <v>600</v>
      </c>
      <c r="G1545" s="184">
        <v>1</v>
      </c>
      <c r="H1545" s="185">
        <v>0.05</v>
      </c>
      <c r="I1545" s="186">
        <v>202.42</v>
      </c>
      <c r="J1545" s="187">
        <v>212.541</v>
      </c>
      <c r="K1545" s="182" t="s">
        <v>3888</v>
      </c>
      <c r="L1545" s="182">
        <v>6</v>
      </c>
      <c r="M1545" s="182" t="s">
        <v>3894</v>
      </c>
      <c r="N1545" s="186">
        <v>3.25</v>
      </c>
      <c r="O1545" s="188">
        <v>1</v>
      </c>
      <c r="P1545" s="188" t="s">
        <v>573</v>
      </c>
      <c r="Q1545" s="188">
        <v>0</v>
      </c>
      <c r="R1545" s="189" t="s">
        <v>573</v>
      </c>
      <c r="S1545" s="189" t="s">
        <v>573</v>
      </c>
    </row>
    <row r="1546" spans="1:19" ht="14.25" customHeight="1" x14ac:dyDescent="0.3">
      <c r="A1546" s="182" t="s">
        <v>3833</v>
      </c>
      <c r="B1546" s="182" t="s">
        <v>563</v>
      </c>
      <c r="C1546" s="182"/>
      <c r="D1546" s="182" t="s">
        <v>948</v>
      </c>
      <c r="E1546" s="183" t="s">
        <v>949</v>
      </c>
      <c r="F1546" s="183"/>
      <c r="G1546" s="184">
        <v>0.5</v>
      </c>
      <c r="H1546" s="185">
        <v>0</v>
      </c>
      <c r="I1546" s="186">
        <v>571.17949098076099</v>
      </c>
      <c r="J1546" s="187">
        <v>285.58974549038101</v>
      </c>
      <c r="K1546" s="182" t="s">
        <v>3895</v>
      </c>
      <c r="L1546" s="182">
        <v>1</v>
      </c>
      <c r="M1546" s="182" t="s">
        <v>3896</v>
      </c>
      <c r="N1546" s="186">
        <v>5</v>
      </c>
      <c r="O1546" s="188">
        <v>0.5</v>
      </c>
      <c r="P1546" s="188">
        <v>26</v>
      </c>
      <c r="Q1546" s="188">
        <v>13</v>
      </c>
      <c r="R1546" s="189">
        <v>18.11</v>
      </c>
      <c r="S1546" s="189" t="s">
        <v>573</v>
      </c>
    </row>
    <row r="1547" spans="1:19" ht="14.25" customHeight="1" x14ac:dyDescent="0.3">
      <c r="A1547" s="182" t="s">
        <v>3833</v>
      </c>
      <c r="B1547" s="182" t="s">
        <v>563</v>
      </c>
      <c r="C1547" s="182"/>
      <c r="D1547" s="182" t="s">
        <v>1651</v>
      </c>
      <c r="E1547" s="183" t="s">
        <v>1652</v>
      </c>
      <c r="F1547" s="183"/>
      <c r="G1547" s="184">
        <v>1</v>
      </c>
      <c r="H1547" s="185">
        <v>0</v>
      </c>
      <c r="I1547" s="186">
        <v>5063.0947914732396</v>
      </c>
      <c r="J1547" s="187">
        <v>5063.0947914732396</v>
      </c>
      <c r="K1547" s="182" t="s">
        <v>3895</v>
      </c>
      <c r="L1547" s="182">
        <v>2</v>
      </c>
      <c r="M1547" s="182" t="s">
        <v>3897</v>
      </c>
      <c r="N1547" s="186">
        <v>5</v>
      </c>
      <c r="O1547" s="188">
        <v>1</v>
      </c>
      <c r="P1547" s="188">
        <v>26</v>
      </c>
      <c r="Q1547" s="188">
        <v>26</v>
      </c>
      <c r="R1547" s="189">
        <v>18.11</v>
      </c>
      <c r="S1547" s="189" t="s">
        <v>573</v>
      </c>
    </row>
    <row r="1548" spans="1:19" ht="14.25" customHeight="1" x14ac:dyDescent="0.3">
      <c r="A1548" s="182" t="s">
        <v>3833</v>
      </c>
      <c r="B1548" s="182" t="s">
        <v>563</v>
      </c>
      <c r="C1548" s="182"/>
      <c r="D1548" s="182" t="s">
        <v>1456</v>
      </c>
      <c r="E1548" s="183" t="s">
        <v>1457</v>
      </c>
      <c r="F1548" s="183"/>
      <c r="G1548" s="184">
        <v>0.5</v>
      </c>
      <c r="H1548" s="185">
        <v>0</v>
      </c>
      <c r="I1548" s="186">
        <v>140.198092594309</v>
      </c>
      <c r="J1548" s="187">
        <v>70.099046297154501</v>
      </c>
      <c r="K1548" s="182" t="s">
        <v>3895</v>
      </c>
      <c r="L1548" s="182">
        <v>3</v>
      </c>
      <c r="M1548" s="182" t="s">
        <v>3898</v>
      </c>
      <c r="N1548" s="186">
        <v>5</v>
      </c>
      <c r="O1548" s="188">
        <v>0.5</v>
      </c>
      <c r="P1548" s="188">
        <v>26</v>
      </c>
      <c r="Q1548" s="188">
        <v>13</v>
      </c>
      <c r="R1548" s="189">
        <v>18.11</v>
      </c>
      <c r="S1548" s="189" t="s">
        <v>573</v>
      </c>
    </row>
    <row r="1549" spans="1:19" ht="14.25" customHeight="1" x14ac:dyDescent="0.3">
      <c r="A1549" s="182" t="s">
        <v>3833</v>
      </c>
      <c r="B1549" s="182" t="s">
        <v>908</v>
      </c>
      <c r="C1549" s="182" t="s">
        <v>909</v>
      </c>
      <c r="D1549" s="182" t="s">
        <v>976</v>
      </c>
      <c r="E1549" s="183" t="s">
        <v>977</v>
      </c>
      <c r="F1549" s="183" t="s">
        <v>576</v>
      </c>
      <c r="G1549" s="184">
        <v>2097.90076125</v>
      </c>
      <c r="H1549" s="185">
        <v>0</v>
      </c>
      <c r="I1549" s="186">
        <v>1</v>
      </c>
      <c r="J1549" s="187">
        <v>2097.90076125</v>
      </c>
      <c r="K1549" s="182" t="s">
        <v>3899</v>
      </c>
      <c r="L1549" s="182">
        <v>1</v>
      </c>
      <c r="M1549" s="182" t="s">
        <v>3900</v>
      </c>
      <c r="N1549" s="186">
        <v>5</v>
      </c>
      <c r="O1549" s="188">
        <v>2097.90076125</v>
      </c>
      <c r="P1549" s="188">
        <v>26</v>
      </c>
      <c r="Q1549" s="188">
        <v>54545.419792499997</v>
      </c>
      <c r="R1549" s="189">
        <v>18.11</v>
      </c>
      <c r="S1549" s="189" t="s">
        <v>573</v>
      </c>
    </row>
    <row r="1550" spans="1:19" ht="14.25" customHeight="1" x14ac:dyDescent="0.3">
      <c r="A1550" s="182" t="s">
        <v>3833</v>
      </c>
      <c r="B1550" s="182" t="s">
        <v>908</v>
      </c>
      <c r="C1550" s="182" t="s">
        <v>909</v>
      </c>
      <c r="D1550" s="182" t="s">
        <v>1763</v>
      </c>
      <c r="E1550" s="183" t="s">
        <v>1764</v>
      </c>
      <c r="F1550" s="183" t="s">
        <v>600</v>
      </c>
      <c r="G1550" s="184">
        <v>4</v>
      </c>
      <c r="H1550" s="185">
        <v>0.1</v>
      </c>
      <c r="I1550" s="186">
        <v>351.14</v>
      </c>
      <c r="J1550" s="187">
        <v>1545.0160000000001</v>
      </c>
      <c r="K1550" s="182" t="s">
        <v>3899</v>
      </c>
      <c r="L1550" s="182">
        <v>2</v>
      </c>
      <c r="M1550" s="182" t="s">
        <v>3901</v>
      </c>
      <c r="N1550" s="186">
        <v>5</v>
      </c>
      <c r="O1550" s="188">
        <v>4</v>
      </c>
      <c r="P1550" s="188">
        <v>26</v>
      </c>
      <c r="Q1550" s="188">
        <v>104</v>
      </c>
      <c r="R1550" s="189">
        <v>18.11</v>
      </c>
      <c r="S1550" s="189" t="s">
        <v>573</v>
      </c>
    </row>
    <row r="1551" spans="1:19" ht="14.25" customHeight="1" x14ac:dyDescent="0.3">
      <c r="A1551" s="182" t="s">
        <v>3833</v>
      </c>
      <c r="B1551" s="182" t="s">
        <v>908</v>
      </c>
      <c r="C1551" s="182" t="s">
        <v>909</v>
      </c>
      <c r="D1551" s="182" t="s">
        <v>1767</v>
      </c>
      <c r="E1551" s="183" t="s">
        <v>1768</v>
      </c>
      <c r="F1551" s="183" t="s">
        <v>581</v>
      </c>
      <c r="G1551" s="184">
        <v>7.5</v>
      </c>
      <c r="H1551" s="185">
        <v>0.05</v>
      </c>
      <c r="I1551" s="186">
        <v>666.92666666666696</v>
      </c>
      <c r="J1551" s="187">
        <v>5252.0474999999997</v>
      </c>
      <c r="K1551" s="182" t="s">
        <v>3899</v>
      </c>
      <c r="L1551" s="182">
        <v>3</v>
      </c>
      <c r="M1551" s="182" t="s">
        <v>3902</v>
      </c>
      <c r="N1551" s="186">
        <v>5</v>
      </c>
      <c r="O1551" s="188">
        <v>7.5</v>
      </c>
      <c r="P1551" s="188">
        <v>26</v>
      </c>
      <c r="Q1551" s="188">
        <v>195</v>
      </c>
      <c r="R1551" s="189">
        <v>18.11</v>
      </c>
      <c r="S1551" s="189" t="s">
        <v>573</v>
      </c>
    </row>
    <row r="1552" spans="1:19" ht="14.25" customHeight="1" x14ac:dyDescent="0.3">
      <c r="A1552" s="182" t="s">
        <v>3833</v>
      </c>
      <c r="B1552" s="182" t="s">
        <v>908</v>
      </c>
      <c r="C1552" s="182" t="s">
        <v>909</v>
      </c>
      <c r="D1552" s="182" t="s">
        <v>1770</v>
      </c>
      <c r="E1552" s="183" t="s">
        <v>1771</v>
      </c>
      <c r="F1552" s="183" t="s">
        <v>600</v>
      </c>
      <c r="G1552" s="184">
        <v>1.2</v>
      </c>
      <c r="H1552" s="185">
        <v>0.1</v>
      </c>
      <c r="I1552" s="186">
        <v>280.10000000000002</v>
      </c>
      <c r="J1552" s="187">
        <v>369.73200000000003</v>
      </c>
      <c r="K1552" s="182" t="s">
        <v>3899</v>
      </c>
      <c r="L1552" s="182">
        <v>4</v>
      </c>
      <c r="M1552" s="182" t="s">
        <v>3903</v>
      </c>
      <c r="N1552" s="186">
        <v>5</v>
      </c>
      <c r="O1552" s="188">
        <v>1.2</v>
      </c>
      <c r="P1552" s="188">
        <v>26</v>
      </c>
      <c r="Q1552" s="188">
        <v>31.2</v>
      </c>
      <c r="R1552" s="189">
        <v>18.11</v>
      </c>
      <c r="S1552" s="189" t="s">
        <v>573</v>
      </c>
    </row>
    <row r="1553" spans="1:19" ht="14.25" customHeight="1" x14ac:dyDescent="0.3">
      <c r="A1553" s="182" t="s">
        <v>3833</v>
      </c>
      <c r="B1553" s="182" t="s">
        <v>908</v>
      </c>
      <c r="C1553" s="182" t="s">
        <v>909</v>
      </c>
      <c r="D1553" s="182" t="s">
        <v>1665</v>
      </c>
      <c r="E1553" s="183" t="s">
        <v>1666</v>
      </c>
      <c r="F1553" s="183" t="s">
        <v>581</v>
      </c>
      <c r="G1553" s="184">
        <v>7.5</v>
      </c>
      <c r="H1553" s="185">
        <v>0.1</v>
      </c>
      <c r="I1553" s="186">
        <v>316.44450000000001</v>
      </c>
      <c r="J1553" s="187">
        <v>2610.6671249999999</v>
      </c>
      <c r="K1553" s="182" t="s">
        <v>3899</v>
      </c>
      <c r="L1553" s="182">
        <v>5</v>
      </c>
      <c r="M1553" s="182" t="s">
        <v>3904</v>
      </c>
      <c r="N1553" s="186">
        <v>5</v>
      </c>
      <c r="O1553" s="188">
        <v>7.5</v>
      </c>
      <c r="P1553" s="188">
        <v>26</v>
      </c>
      <c r="Q1553" s="188">
        <v>195</v>
      </c>
      <c r="R1553" s="189">
        <v>18.11</v>
      </c>
      <c r="S1553" s="189" t="s">
        <v>573</v>
      </c>
    </row>
    <row r="1554" spans="1:19" ht="14.25" customHeight="1" x14ac:dyDescent="0.3">
      <c r="A1554" s="182" t="s">
        <v>3833</v>
      </c>
      <c r="B1554" s="182" t="s">
        <v>908</v>
      </c>
      <c r="C1554" s="182" t="s">
        <v>909</v>
      </c>
      <c r="D1554" s="182" t="s">
        <v>1677</v>
      </c>
      <c r="E1554" s="183" t="s">
        <v>1678</v>
      </c>
      <c r="F1554" s="183" t="s">
        <v>600</v>
      </c>
      <c r="G1554" s="184">
        <v>1</v>
      </c>
      <c r="H1554" s="185">
        <v>0.05</v>
      </c>
      <c r="I1554" s="186">
        <v>202.42</v>
      </c>
      <c r="J1554" s="187">
        <v>212.541</v>
      </c>
      <c r="K1554" s="182" t="s">
        <v>3899</v>
      </c>
      <c r="L1554" s="182">
        <v>6</v>
      </c>
      <c r="M1554" s="182" t="s">
        <v>3905</v>
      </c>
      <c r="N1554" s="186">
        <v>5</v>
      </c>
      <c r="O1554" s="188">
        <v>1</v>
      </c>
      <c r="P1554" s="188">
        <v>26</v>
      </c>
      <c r="Q1554" s="188">
        <v>26</v>
      </c>
      <c r="R1554" s="189">
        <v>18.11</v>
      </c>
      <c r="S1554" s="189" t="s">
        <v>573</v>
      </c>
    </row>
    <row r="1555" spans="1:19" ht="14.25" customHeight="1" x14ac:dyDescent="0.3">
      <c r="A1555" s="182" t="s">
        <v>3838</v>
      </c>
      <c r="B1555" s="182" t="s">
        <v>563</v>
      </c>
      <c r="C1555" s="182"/>
      <c r="D1555" s="182" t="s">
        <v>948</v>
      </c>
      <c r="E1555" s="183" t="s">
        <v>949</v>
      </c>
      <c r="F1555" s="183"/>
      <c r="G1555" s="184">
        <v>0.5</v>
      </c>
      <c r="H1555" s="185">
        <v>0</v>
      </c>
      <c r="I1555" s="186">
        <v>571.17949098076099</v>
      </c>
      <c r="J1555" s="187">
        <v>285.58974549038101</v>
      </c>
      <c r="K1555" s="182" t="s">
        <v>3906</v>
      </c>
      <c r="L1555" s="182">
        <v>1</v>
      </c>
      <c r="M1555" s="182" t="s">
        <v>3907</v>
      </c>
      <c r="N1555" s="186">
        <v>5</v>
      </c>
      <c r="O1555" s="188">
        <v>0.5</v>
      </c>
      <c r="P1555" s="188" t="s">
        <v>573</v>
      </c>
      <c r="Q1555" s="188">
        <v>0</v>
      </c>
      <c r="R1555" s="189" t="s">
        <v>573</v>
      </c>
      <c r="S1555" s="189" t="s">
        <v>573</v>
      </c>
    </row>
    <row r="1556" spans="1:19" ht="14.25" customHeight="1" x14ac:dyDescent="0.3">
      <c r="A1556" s="182" t="s">
        <v>3838</v>
      </c>
      <c r="B1556" s="182" t="s">
        <v>563</v>
      </c>
      <c r="C1556" s="182"/>
      <c r="D1556" s="182" t="s">
        <v>1651</v>
      </c>
      <c r="E1556" s="183" t="s">
        <v>1652</v>
      </c>
      <c r="F1556" s="183"/>
      <c r="G1556" s="184">
        <v>1</v>
      </c>
      <c r="H1556" s="185">
        <v>0</v>
      </c>
      <c r="I1556" s="186">
        <v>5063.0947914732396</v>
      </c>
      <c r="J1556" s="187">
        <v>5063.0947914732396</v>
      </c>
      <c r="K1556" s="182" t="s">
        <v>3906</v>
      </c>
      <c r="L1556" s="182">
        <v>2</v>
      </c>
      <c r="M1556" s="182" t="s">
        <v>3908</v>
      </c>
      <c r="N1556" s="186">
        <v>5</v>
      </c>
      <c r="O1556" s="188">
        <v>1</v>
      </c>
      <c r="P1556" s="188" t="s">
        <v>573</v>
      </c>
      <c r="Q1556" s="188">
        <v>0</v>
      </c>
      <c r="R1556" s="189" t="s">
        <v>573</v>
      </c>
      <c r="S1556" s="189" t="s">
        <v>573</v>
      </c>
    </row>
    <row r="1557" spans="1:19" ht="14.25" customHeight="1" x14ac:dyDescent="0.3">
      <c r="A1557" s="182" t="s">
        <v>3838</v>
      </c>
      <c r="B1557" s="182" t="s">
        <v>563</v>
      </c>
      <c r="C1557" s="182"/>
      <c r="D1557" s="182" t="s">
        <v>1456</v>
      </c>
      <c r="E1557" s="183" t="s">
        <v>1457</v>
      </c>
      <c r="F1557" s="183"/>
      <c r="G1557" s="184">
        <v>0.5</v>
      </c>
      <c r="H1557" s="185">
        <v>0</v>
      </c>
      <c r="I1557" s="186">
        <v>140.198092594309</v>
      </c>
      <c r="J1557" s="187">
        <v>70.099046297154501</v>
      </c>
      <c r="K1557" s="182" t="s">
        <v>3906</v>
      </c>
      <c r="L1557" s="182">
        <v>3</v>
      </c>
      <c r="M1557" s="182" t="s">
        <v>3909</v>
      </c>
      <c r="N1557" s="186">
        <v>5</v>
      </c>
      <c r="O1557" s="188">
        <v>0.5</v>
      </c>
      <c r="P1557" s="188" t="s">
        <v>573</v>
      </c>
      <c r="Q1557" s="188">
        <v>0</v>
      </c>
      <c r="R1557" s="189" t="s">
        <v>573</v>
      </c>
      <c r="S1557" s="189" t="s">
        <v>573</v>
      </c>
    </row>
    <row r="1558" spans="1:19" ht="14.25" customHeight="1" x14ac:dyDescent="0.3">
      <c r="A1558" s="182" t="s">
        <v>3838</v>
      </c>
      <c r="B1558" s="182" t="s">
        <v>908</v>
      </c>
      <c r="C1558" s="182" t="s">
        <v>909</v>
      </c>
      <c r="D1558" s="182" t="s">
        <v>1763</v>
      </c>
      <c r="E1558" s="183" t="s">
        <v>1764</v>
      </c>
      <c r="F1558" s="183" t="s">
        <v>600</v>
      </c>
      <c r="G1558" s="184">
        <v>3</v>
      </c>
      <c r="H1558" s="185">
        <v>0.1</v>
      </c>
      <c r="I1558" s="186">
        <v>351.14</v>
      </c>
      <c r="J1558" s="187">
        <v>1158.7619999999999</v>
      </c>
      <c r="K1558" s="182" t="s">
        <v>3910</v>
      </c>
      <c r="L1558" s="182">
        <v>1</v>
      </c>
      <c r="M1558" s="182" t="s">
        <v>3911</v>
      </c>
      <c r="N1558" s="186">
        <v>5</v>
      </c>
      <c r="O1558" s="188">
        <v>3</v>
      </c>
      <c r="P1558" s="188" t="s">
        <v>573</v>
      </c>
      <c r="Q1558" s="188">
        <v>0</v>
      </c>
      <c r="R1558" s="189" t="s">
        <v>573</v>
      </c>
      <c r="S1558" s="189" t="s">
        <v>573</v>
      </c>
    </row>
    <row r="1559" spans="1:19" ht="14.25" customHeight="1" x14ac:dyDescent="0.3">
      <c r="A1559" s="182" t="s">
        <v>3838</v>
      </c>
      <c r="B1559" s="182" t="s">
        <v>908</v>
      </c>
      <c r="C1559" s="182" t="s">
        <v>909</v>
      </c>
      <c r="D1559" s="182" t="s">
        <v>1767</v>
      </c>
      <c r="E1559" s="183" t="s">
        <v>1768</v>
      </c>
      <c r="F1559" s="183" t="s">
        <v>581</v>
      </c>
      <c r="G1559" s="184">
        <v>7.5</v>
      </c>
      <c r="H1559" s="185">
        <v>0.1</v>
      </c>
      <c r="I1559" s="186">
        <v>666.92666666666696</v>
      </c>
      <c r="J1559" s="187">
        <v>5502.1450000000004</v>
      </c>
      <c r="K1559" s="182" t="s">
        <v>3910</v>
      </c>
      <c r="L1559" s="182">
        <v>2</v>
      </c>
      <c r="M1559" s="182" t="s">
        <v>3912</v>
      </c>
      <c r="N1559" s="186">
        <v>5</v>
      </c>
      <c r="O1559" s="188">
        <v>7.5</v>
      </c>
      <c r="P1559" s="188" t="s">
        <v>573</v>
      </c>
      <c r="Q1559" s="188">
        <v>0</v>
      </c>
      <c r="R1559" s="189" t="s">
        <v>573</v>
      </c>
      <c r="S1559" s="189" t="s">
        <v>573</v>
      </c>
    </row>
    <row r="1560" spans="1:19" ht="14.25" customHeight="1" x14ac:dyDescent="0.3">
      <c r="A1560" s="182" t="s">
        <v>3838</v>
      </c>
      <c r="B1560" s="182" t="s">
        <v>908</v>
      </c>
      <c r="C1560" s="182" t="s">
        <v>909</v>
      </c>
      <c r="D1560" s="182" t="s">
        <v>1770</v>
      </c>
      <c r="E1560" s="183" t="s">
        <v>1771</v>
      </c>
      <c r="F1560" s="183" t="s">
        <v>600</v>
      </c>
      <c r="G1560" s="184">
        <v>3</v>
      </c>
      <c r="H1560" s="185">
        <v>0.1</v>
      </c>
      <c r="I1560" s="186">
        <v>280.10000000000002</v>
      </c>
      <c r="J1560" s="187">
        <v>924.33</v>
      </c>
      <c r="K1560" s="182" t="s">
        <v>3910</v>
      </c>
      <c r="L1560" s="182">
        <v>3</v>
      </c>
      <c r="M1560" s="182" t="s">
        <v>3913</v>
      </c>
      <c r="N1560" s="186">
        <v>5</v>
      </c>
      <c r="O1560" s="188">
        <v>3</v>
      </c>
      <c r="P1560" s="188" t="s">
        <v>573</v>
      </c>
      <c r="Q1560" s="188">
        <v>0</v>
      </c>
      <c r="R1560" s="189" t="s">
        <v>573</v>
      </c>
      <c r="S1560" s="189" t="s">
        <v>573</v>
      </c>
    </row>
    <row r="1561" spans="1:19" ht="14.25" customHeight="1" x14ac:dyDescent="0.3">
      <c r="A1561" s="182" t="s">
        <v>3838</v>
      </c>
      <c r="B1561" s="182" t="s">
        <v>908</v>
      </c>
      <c r="C1561" s="182" t="s">
        <v>909</v>
      </c>
      <c r="D1561" s="182" t="s">
        <v>1773</v>
      </c>
      <c r="E1561" s="183" t="s">
        <v>1774</v>
      </c>
      <c r="F1561" s="183" t="s">
        <v>581</v>
      </c>
      <c r="G1561" s="184">
        <v>22.5</v>
      </c>
      <c r="H1561" s="185">
        <v>0.1</v>
      </c>
      <c r="I1561" s="186">
        <v>834.6</v>
      </c>
      <c r="J1561" s="187">
        <v>20656.349999999999</v>
      </c>
      <c r="K1561" s="182" t="s">
        <v>3910</v>
      </c>
      <c r="L1561" s="182">
        <v>4</v>
      </c>
      <c r="M1561" s="182" t="s">
        <v>3914</v>
      </c>
      <c r="N1561" s="186">
        <v>5</v>
      </c>
      <c r="O1561" s="188">
        <v>22.5</v>
      </c>
      <c r="P1561" s="188" t="s">
        <v>573</v>
      </c>
      <c r="Q1561" s="188">
        <v>0</v>
      </c>
      <c r="R1561" s="189" t="s">
        <v>573</v>
      </c>
      <c r="S1561" s="189" t="s">
        <v>573</v>
      </c>
    </row>
    <row r="1562" spans="1:19" ht="14.25" customHeight="1" x14ac:dyDescent="0.3">
      <c r="A1562" s="182" t="s">
        <v>3838</v>
      </c>
      <c r="B1562" s="182" t="s">
        <v>908</v>
      </c>
      <c r="C1562" s="182" t="s">
        <v>909</v>
      </c>
      <c r="D1562" s="182" t="s">
        <v>1677</v>
      </c>
      <c r="E1562" s="183" t="s">
        <v>1678</v>
      </c>
      <c r="F1562" s="183" t="s">
        <v>600</v>
      </c>
      <c r="G1562" s="184">
        <v>1</v>
      </c>
      <c r="H1562" s="185">
        <v>0.05</v>
      </c>
      <c r="I1562" s="186">
        <v>202.42</v>
      </c>
      <c r="J1562" s="187">
        <v>212.541</v>
      </c>
      <c r="K1562" s="182" t="s">
        <v>3910</v>
      </c>
      <c r="L1562" s="182">
        <v>5</v>
      </c>
      <c r="M1562" s="182" t="s">
        <v>3915</v>
      </c>
      <c r="N1562" s="186">
        <v>5</v>
      </c>
      <c r="O1562" s="188">
        <v>1</v>
      </c>
      <c r="P1562" s="188" t="s">
        <v>573</v>
      </c>
      <c r="Q1562" s="188">
        <v>0</v>
      </c>
      <c r="R1562" s="189" t="s">
        <v>573</v>
      </c>
      <c r="S1562" s="189" t="s">
        <v>573</v>
      </c>
    </row>
    <row r="1563" spans="1:19" ht="14.25" customHeight="1" x14ac:dyDescent="0.3">
      <c r="A1563" s="182" t="s">
        <v>3853</v>
      </c>
      <c r="B1563" s="182" t="s">
        <v>563</v>
      </c>
      <c r="C1563" s="182"/>
      <c r="D1563" s="182" t="s">
        <v>948</v>
      </c>
      <c r="E1563" s="183" t="s">
        <v>949</v>
      </c>
      <c r="F1563" s="183"/>
      <c r="G1563" s="184">
        <v>0.5</v>
      </c>
      <c r="H1563" s="185">
        <v>0</v>
      </c>
      <c r="I1563" s="186">
        <v>571.17949098076099</v>
      </c>
      <c r="J1563" s="187">
        <v>285.58974549038101</v>
      </c>
      <c r="K1563" s="182" t="s">
        <v>3916</v>
      </c>
      <c r="L1563" s="182">
        <v>1</v>
      </c>
      <c r="M1563" s="182" t="s">
        <v>3917</v>
      </c>
      <c r="N1563" s="186">
        <v>5</v>
      </c>
      <c r="O1563" s="188">
        <v>0.5</v>
      </c>
      <c r="P1563" s="188" t="s">
        <v>573</v>
      </c>
      <c r="Q1563" s="188">
        <v>0</v>
      </c>
      <c r="R1563" s="189" t="s">
        <v>573</v>
      </c>
      <c r="S1563" s="189" t="s">
        <v>573</v>
      </c>
    </row>
    <row r="1564" spans="1:19" ht="14.25" customHeight="1" x14ac:dyDescent="0.3">
      <c r="A1564" s="182" t="s">
        <v>3853</v>
      </c>
      <c r="B1564" s="182" t="s">
        <v>563</v>
      </c>
      <c r="C1564" s="182"/>
      <c r="D1564" s="182" t="s">
        <v>1651</v>
      </c>
      <c r="E1564" s="183" t="s">
        <v>1652</v>
      </c>
      <c r="F1564" s="183"/>
      <c r="G1564" s="184">
        <v>1</v>
      </c>
      <c r="H1564" s="185">
        <v>0</v>
      </c>
      <c r="I1564" s="186">
        <v>5063.0947914732396</v>
      </c>
      <c r="J1564" s="187">
        <v>5063.0947914732396</v>
      </c>
      <c r="K1564" s="182" t="s">
        <v>3916</v>
      </c>
      <c r="L1564" s="182">
        <v>2</v>
      </c>
      <c r="M1564" s="182" t="s">
        <v>3918</v>
      </c>
      <c r="N1564" s="186">
        <v>5</v>
      </c>
      <c r="O1564" s="188">
        <v>1</v>
      </c>
      <c r="P1564" s="188" t="s">
        <v>573</v>
      </c>
      <c r="Q1564" s="188">
        <v>0</v>
      </c>
      <c r="R1564" s="189" t="s">
        <v>573</v>
      </c>
      <c r="S1564" s="189" t="s">
        <v>573</v>
      </c>
    </row>
    <row r="1565" spans="1:19" ht="14.25" customHeight="1" x14ac:dyDescent="0.3">
      <c r="A1565" s="182" t="s">
        <v>3853</v>
      </c>
      <c r="B1565" s="182" t="s">
        <v>563</v>
      </c>
      <c r="C1565" s="182"/>
      <c r="D1565" s="182" t="s">
        <v>1456</v>
      </c>
      <c r="E1565" s="183" t="s">
        <v>1457</v>
      </c>
      <c r="F1565" s="183"/>
      <c r="G1565" s="184">
        <v>0.5</v>
      </c>
      <c r="H1565" s="185">
        <v>0</v>
      </c>
      <c r="I1565" s="186">
        <v>140.198092594309</v>
      </c>
      <c r="J1565" s="187">
        <v>70.099046297154501</v>
      </c>
      <c r="K1565" s="182" t="s">
        <v>3916</v>
      </c>
      <c r="L1565" s="182">
        <v>3</v>
      </c>
      <c r="M1565" s="182" t="s">
        <v>3919</v>
      </c>
      <c r="N1565" s="186">
        <v>5</v>
      </c>
      <c r="O1565" s="188">
        <v>0.5</v>
      </c>
      <c r="P1565" s="188" t="s">
        <v>573</v>
      </c>
      <c r="Q1565" s="188">
        <v>0</v>
      </c>
      <c r="R1565" s="189" t="s">
        <v>573</v>
      </c>
      <c r="S1565" s="189" t="s">
        <v>573</v>
      </c>
    </row>
    <row r="1566" spans="1:19" ht="14.25" customHeight="1" x14ac:dyDescent="0.3">
      <c r="A1566" s="182" t="s">
        <v>3853</v>
      </c>
      <c r="B1566" s="182" t="s">
        <v>908</v>
      </c>
      <c r="C1566" s="182" t="s">
        <v>909</v>
      </c>
      <c r="D1566" s="182" t="s">
        <v>1763</v>
      </c>
      <c r="E1566" s="183" t="s">
        <v>1764</v>
      </c>
      <c r="F1566" s="183" t="s">
        <v>600</v>
      </c>
      <c r="G1566" s="184">
        <v>3</v>
      </c>
      <c r="H1566" s="185">
        <v>0.1</v>
      </c>
      <c r="I1566" s="186">
        <v>351.14</v>
      </c>
      <c r="J1566" s="187">
        <v>1158.7619999999999</v>
      </c>
      <c r="K1566" s="182" t="s">
        <v>3920</v>
      </c>
      <c r="L1566" s="182">
        <v>1</v>
      </c>
      <c r="M1566" s="182" t="s">
        <v>3921</v>
      </c>
      <c r="N1566" s="186">
        <v>5</v>
      </c>
      <c r="O1566" s="188">
        <v>3</v>
      </c>
      <c r="P1566" s="188" t="s">
        <v>573</v>
      </c>
      <c r="Q1566" s="188">
        <v>0</v>
      </c>
      <c r="R1566" s="189" t="s">
        <v>573</v>
      </c>
      <c r="S1566" s="189" t="s">
        <v>573</v>
      </c>
    </row>
    <row r="1567" spans="1:19" ht="14.25" customHeight="1" x14ac:dyDescent="0.3">
      <c r="A1567" s="182" t="s">
        <v>3853</v>
      </c>
      <c r="B1567" s="182" t="s">
        <v>908</v>
      </c>
      <c r="C1567" s="182" t="s">
        <v>909</v>
      </c>
      <c r="D1567" s="182" t="s">
        <v>1767</v>
      </c>
      <c r="E1567" s="183" t="s">
        <v>1768</v>
      </c>
      <c r="F1567" s="183" t="s">
        <v>581</v>
      </c>
      <c r="G1567" s="184">
        <v>7.5</v>
      </c>
      <c r="H1567" s="185">
        <v>0.1</v>
      </c>
      <c r="I1567" s="186">
        <v>666.92666666666696</v>
      </c>
      <c r="J1567" s="187">
        <v>5502.1450000000004</v>
      </c>
      <c r="K1567" s="182" t="s">
        <v>3920</v>
      </c>
      <c r="L1567" s="182">
        <v>2</v>
      </c>
      <c r="M1567" s="182" t="s">
        <v>3922</v>
      </c>
      <c r="N1567" s="186">
        <v>5</v>
      </c>
      <c r="O1567" s="188">
        <v>7.5</v>
      </c>
      <c r="P1567" s="188" t="s">
        <v>573</v>
      </c>
      <c r="Q1567" s="188">
        <v>0</v>
      </c>
      <c r="R1567" s="189" t="s">
        <v>573</v>
      </c>
      <c r="S1567" s="189" t="s">
        <v>573</v>
      </c>
    </row>
    <row r="1568" spans="1:19" ht="14.25" customHeight="1" x14ac:dyDescent="0.3">
      <c r="A1568" s="182" t="s">
        <v>3853</v>
      </c>
      <c r="B1568" s="182" t="s">
        <v>908</v>
      </c>
      <c r="C1568" s="182" t="s">
        <v>909</v>
      </c>
      <c r="D1568" s="182" t="s">
        <v>1770</v>
      </c>
      <c r="E1568" s="183" t="s">
        <v>1771</v>
      </c>
      <c r="F1568" s="183" t="s">
        <v>600</v>
      </c>
      <c r="G1568" s="184">
        <v>3</v>
      </c>
      <c r="H1568" s="185">
        <v>0.1</v>
      </c>
      <c r="I1568" s="186">
        <v>280.10000000000002</v>
      </c>
      <c r="J1568" s="187">
        <v>924.33</v>
      </c>
      <c r="K1568" s="182" t="s">
        <v>3920</v>
      </c>
      <c r="L1568" s="182">
        <v>3</v>
      </c>
      <c r="M1568" s="182" t="s">
        <v>3923</v>
      </c>
      <c r="N1568" s="186">
        <v>5</v>
      </c>
      <c r="O1568" s="188">
        <v>3</v>
      </c>
      <c r="P1568" s="188" t="s">
        <v>573</v>
      </c>
      <c r="Q1568" s="188">
        <v>0</v>
      </c>
      <c r="R1568" s="189" t="s">
        <v>573</v>
      </c>
      <c r="S1568" s="189" t="s">
        <v>573</v>
      </c>
    </row>
    <row r="1569" spans="1:19" ht="14.25" customHeight="1" x14ac:dyDescent="0.3">
      <c r="A1569" s="182" t="s">
        <v>3853</v>
      </c>
      <c r="B1569" s="182" t="s">
        <v>908</v>
      </c>
      <c r="C1569" s="182" t="s">
        <v>909</v>
      </c>
      <c r="D1569" s="182" t="s">
        <v>1773</v>
      </c>
      <c r="E1569" s="183" t="s">
        <v>1774</v>
      </c>
      <c r="F1569" s="183" t="s">
        <v>581</v>
      </c>
      <c r="G1569" s="184">
        <v>22.5</v>
      </c>
      <c r="H1569" s="185">
        <v>0.1</v>
      </c>
      <c r="I1569" s="186">
        <v>834.6</v>
      </c>
      <c r="J1569" s="187">
        <v>20656.349999999999</v>
      </c>
      <c r="K1569" s="182" t="s">
        <v>3920</v>
      </c>
      <c r="L1569" s="182">
        <v>4</v>
      </c>
      <c r="M1569" s="182" t="s">
        <v>3924</v>
      </c>
      <c r="N1569" s="186">
        <v>5</v>
      </c>
      <c r="O1569" s="188">
        <v>22.5</v>
      </c>
      <c r="P1569" s="188" t="s">
        <v>573</v>
      </c>
      <c r="Q1569" s="188">
        <v>0</v>
      </c>
      <c r="R1569" s="189" t="s">
        <v>573</v>
      </c>
      <c r="S1569" s="189" t="s">
        <v>573</v>
      </c>
    </row>
    <row r="1570" spans="1:19" ht="14.25" customHeight="1" x14ac:dyDescent="0.3">
      <c r="A1570" s="182" t="s">
        <v>3853</v>
      </c>
      <c r="B1570" s="182" t="s">
        <v>908</v>
      </c>
      <c r="C1570" s="182" t="s">
        <v>909</v>
      </c>
      <c r="D1570" s="182" t="s">
        <v>1677</v>
      </c>
      <c r="E1570" s="183" t="s">
        <v>1678</v>
      </c>
      <c r="F1570" s="183" t="s">
        <v>600</v>
      </c>
      <c r="G1570" s="184">
        <v>1</v>
      </c>
      <c r="H1570" s="185">
        <v>0.05</v>
      </c>
      <c r="I1570" s="186">
        <v>202.42</v>
      </c>
      <c r="J1570" s="187">
        <v>212.541</v>
      </c>
      <c r="K1570" s="182" t="s">
        <v>3920</v>
      </c>
      <c r="L1570" s="182">
        <v>5</v>
      </c>
      <c r="M1570" s="182" t="s">
        <v>3925</v>
      </c>
      <c r="N1570" s="186">
        <v>5</v>
      </c>
      <c r="O1570" s="188">
        <v>1</v>
      </c>
      <c r="P1570" s="188" t="s">
        <v>573</v>
      </c>
      <c r="Q1570" s="188">
        <v>0</v>
      </c>
      <c r="R1570" s="189" t="s">
        <v>573</v>
      </c>
      <c r="S1570" s="189" t="s">
        <v>573</v>
      </c>
    </row>
    <row r="1571" spans="1:19" ht="14.25" customHeight="1" x14ac:dyDescent="0.3">
      <c r="A1571" s="182" t="s">
        <v>3856</v>
      </c>
      <c r="B1571" s="182" t="s">
        <v>563</v>
      </c>
      <c r="C1571" s="182"/>
      <c r="D1571" s="182" t="s">
        <v>948</v>
      </c>
      <c r="E1571" s="183" t="s">
        <v>949</v>
      </c>
      <c r="F1571" s="183"/>
      <c r="G1571" s="184">
        <v>0.5</v>
      </c>
      <c r="H1571" s="185">
        <v>0</v>
      </c>
      <c r="I1571" s="186">
        <v>571.17949098076099</v>
      </c>
      <c r="J1571" s="187">
        <v>285.58974549038101</v>
      </c>
      <c r="K1571" s="182" t="s">
        <v>3926</v>
      </c>
      <c r="L1571" s="182">
        <v>1</v>
      </c>
      <c r="M1571" s="182" t="s">
        <v>3927</v>
      </c>
      <c r="N1571" s="186">
        <v>5</v>
      </c>
      <c r="O1571" s="188">
        <v>0.5</v>
      </c>
      <c r="P1571" s="188" t="s">
        <v>573</v>
      </c>
      <c r="Q1571" s="188">
        <v>0</v>
      </c>
      <c r="R1571" s="189" t="s">
        <v>573</v>
      </c>
      <c r="S1571" s="189" t="s">
        <v>573</v>
      </c>
    </row>
    <row r="1572" spans="1:19" ht="14.25" customHeight="1" x14ac:dyDescent="0.3">
      <c r="A1572" s="182" t="s">
        <v>3856</v>
      </c>
      <c r="B1572" s="182" t="s">
        <v>563</v>
      </c>
      <c r="C1572" s="182"/>
      <c r="D1572" s="182" t="s">
        <v>1651</v>
      </c>
      <c r="E1572" s="183" t="s">
        <v>1652</v>
      </c>
      <c r="F1572" s="183"/>
      <c r="G1572" s="184">
        <v>1</v>
      </c>
      <c r="H1572" s="185">
        <v>0</v>
      </c>
      <c r="I1572" s="186">
        <v>5063.0947914732396</v>
      </c>
      <c r="J1572" s="187">
        <v>5063.0947914732396</v>
      </c>
      <c r="K1572" s="182" t="s">
        <v>3926</v>
      </c>
      <c r="L1572" s="182">
        <v>2</v>
      </c>
      <c r="M1572" s="182" t="s">
        <v>3928</v>
      </c>
      <c r="N1572" s="186">
        <v>5</v>
      </c>
      <c r="O1572" s="188">
        <v>1</v>
      </c>
      <c r="P1572" s="188" t="s">
        <v>573</v>
      </c>
      <c r="Q1572" s="188">
        <v>0</v>
      </c>
      <c r="R1572" s="189" t="s">
        <v>573</v>
      </c>
      <c r="S1572" s="189" t="s">
        <v>573</v>
      </c>
    </row>
    <row r="1573" spans="1:19" ht="14.25" customHeight="1" x14ac:dyDescent="0.3">
      <c r="A1573" s="182" t="s">
        <v>3856</v>
      </c>
      <c r="B1573" s="182" t="s">
        <v>563</v>
      </c>
      <c r="C1573" s="182"/>
      <c r="D1573" s="182" t="s">
        <v>1456</v>
      </c>
      <c r="E1573" s="183" t="s">
        <v>1457</v>
      </c>
      <c r="F1573" s="183"/>
      <c r="G1573" s="184">
        <v>0.5</v>
      </c>
      <c r="H1573" s="185">
        <v>0</v>
      </c>
      <c r="I1573" s="186">
        <v>140.198092594309</v>
      </c>
      <c r="J1573" s="187">
        <v>70.099046297154501</v>
      </c>
      <c r="K1573" s="182" t="s">
        <v>3926</v>
      </c>
      <c r="L1573" s="182">
        <v>3</v>
      </c>
      <c r="M1573" s="182" t="s">
        <v>3929</v>
      </c>
      <c r="N1573" s="186">
        <v>5</v>
      </c>
      <c r="O1573" s="188">
        <v>0.5</v>
      </c>
      <c r="P1573" s="188" t="s">
        <v>573</v>
      </c>
      <c r="Q1573" s="188">
        <v>0</v>
      </c>
      <c r="R1573" s="189" t="s">
        <v>573</v>
      </c>
      <c r="S1573" s="189" t="s">
        <v>573</v>
      </c>
    </row>
    <row r="1574" spans="1:19" ht="14.25" customHeight="1" x14ac:dyDescent="0.3">
      <c r="A1574" s="182" t="s">
        <v>3856</v>
      </c>
      <c r="B1574" s="182" t="s">
        <v>908</v>
      </c>
      <c r="C1574" s="182" t="s">
        <v>909</v>
      </c>
      <c r="D1574" s="182" t="s">
        <v>1763</v>
      </c>
      <c r="E1574" s="183" t="s">
        <v>1764</v>
      </c>
      <c r="F1574" s="183" t="s">
        <v>600</v>
      </c>
      <c r="G1574" s="184">
        <v>3</v>
      </c>
      <c r="H1574" s="185">
        <v>0.1</v>
      </c>
      <c r="I1574" s="186">
        <v>351.14</v>
      </c>
      <c r="J1574" s="187">
        <v>1158.7619999999999</v>
      </c>
      <c r="K1574" s="182" t="s">
        <v>3930</v>
      </c>
      <c r="L1574" s="182">
        <v>1</v>
      </c>
      <c r="M1574" s="182" t="s">
        <v>3931</v>
      </c>
      <c r="N1574" s="186">
        <v>5</v>
      </c>
      <c r="O1574" s="188">
        <v>3</v>
      </c>
      <c r="P1574" s="188" t="s">
        <v>573</v>
      </c>
      <c r="Q1574" s="188">
        <v>0</v>
      </c>
      <c r="R1574" s="189" t="s">
        <v>573</v>
      </c>
      <c r="S1574" s="189" t="s">
        <v>573</v>
      </c>
    </row>
    <row r="1575" spans="1:19" ht="14.25" customHeight="1" x14ac:dyDescent="0.3">
      <c r="A1575" s="182" t="s">
        <v>3856</v>
      </c>
      <c r="B1575" s="182" t="s">
        <v>908</v>
      </c>
      <c r="C1575" s="182" t="s">
        <v>909</v>
      </c>
      <c r="D1575" s="182" t="s">
        <v>1767</v>
      </c>
      <c r="E1575" s="183" t="s">
        <v>1768</v>
      </c>
      <c r="F1575" s="183" t="s">
        <v>581</v>
      </c>
      <c r="G1575" s="184">
        <v>7.5</v>
      </c>
      <c r="H1575" s="185">
        <v>0.1</v>
      </c>
      <c r="I1575" s="186">
        <v>666.92666666666696</v>
      </c>
      <c r="J1575" s="187">
        <v>5502.1450000000004</v>
      </c>
      <c r="K1575" s="182" t="s">
        <v>3930</v>
      </c>
      <c r="L1575" s="182">
        <v>2</v>
      </c>
      <c r="M1575" s="182" t="s">
        <v>3932</v>
      </c>
      <c r="N1575" s="186">
        <v>5</v>
      </c>
      <c r="O1575" s="188">
        <v>7.5</v>
      </c>
      <c r="P1575" s="188" t="s">
        <v>573</v>
      </c>
      <c r="Q1575" s="188">
        <v>0</v>
      </c>
      <c r="R1575" s="189" t="s">
        <v>573</v>
      </c>
      <c r="S1575" s="189" t="s">
        <v>573</v>
      </c>
    </row>
    <row r="1576" spans="1:19" ht="14.25" customHeight="1" x14ac:dyDescent="0.3">
      <c r="A1576" s="182" t="s">
        <v>3856</v>
      </c>
      <c r="B1576" s="182" t="s">
        <v>908</v>
      </c>
      <c r="C1576" s="182" t="s">
        <v>909</v>
      </c>
      <c r="D1576" s="182" t="s">
        <v>1770</v>
      </c>
      <c r="E1576" s="183" t="s">
        <v>1771</v>
      </c>
      <c r="F1576" s="183" t="s">
        <v>600</v>
      </c>
      <c r="G1576" s="184">
        <v>3</v>
      </c>
      <c r="H1576" s="185">
        <v>0.1</v>
      </c>
      <c r="I1576" s="186">
        <v>280.10000000000002</v>
      </c>
      <c r="J1576" s="187">
        <v>924.33</v>
      </c>
      <c r="K1576" s="182" t="s">
        <v>3930</v>
      </c>
      <c r="L1576" s="182">
        <v>3</v>
      </c>
      <c r="M1576" s="182" t="s">
        <v>3933</v>
      </c>
      <c r="N1576" s="186">
        <v>5</v>
      </c>
      <c r="O1576" s="188">
        <v>3</v>
      </c>
      <c r="P1576" s="188" t="s">
        <v>573</v>
      </c>
      <c r="Q1576" s="188">
        <v>0</v>
      </c>
      <c r="R1576" s="189" t="s">
        <v>573</v>
      </c>
      <c r="S1576" s="189" t="s">
        <v>573</v>
      </c>
    </row>
    <row r="1577" spans="1:19" ht="14.25" customHeight="1" x14ac:dyDescent="0.3">
      <c r="A1577" s="182" t="s">
        <v>3856</v>
      </c>
      <c r="B1577" s="182" t="s">
        <v>908</v>
      </c>
      <c r="C1577" s="182" t="s">
        <v>909</v>
      </c>
      <c r="D1577" s="182" t="s">
        <v>1773</v>
      </c>
      <c r="E1577" s="183" t="s">
        <v>1774</v>
      </c>
      <c r="F1577" s="183" t="s">
        <v>581</v>
      </c>
      <c r="G1577" s="184">
        <v>22.5</v>
      </c>
      <c r="H1577" s="185">
        <v>0.1</v>
      </c>
      <c r="I1577" s="186">
        <v>834.6</v>
      </c>
      <c r="J1577" s="187">
        <v>20656.349999999999</v>
      </c>
      <c r="K1577" s="182" t="s">
        <v>3930</v>
      </c>
      <c r="L1577" s="182">
        <v>4</v>
      </c>
      <c r="M1577" s="182" t="s">
        <v>3934</v>
      </c>
      <c r="N1577" s="186">
        <v>5</v>
      </c>
      <c r="O1577" s="188">
        <v>22.5</v>
      </c>
      <c r="P1577" s="188" t="s">
        <v>573</v>
      </c>
      <c r="Q1577" s="188">
        <v>0</v>
      </c>
      <c r="R1577" s="189" t="s">
        <v>573</v>
      </c>
      <c r="S1577" s="189" t="s">
        <v>573</v>
      </c>
    </row>
    <row r="1578" spans="1:19" ht="14.25" customHeight="1" x14ac:dyDescent="0.3">
      <c r="A1578" s="182" t="s">
        <v>3856</v>
      </c>
      <c r="B1578" s="182" t="s">
        <v>908</v>
      </c>
      <c r="C1578" s="182" t="s">
        <v>909</v>
      </c>
      <c r="D1578" s="182" t="s">
        <v>1677</v>
      </c>
      <c r="E1578" s="183" t="s">
        <v>1678</v>
      </c>
      <c r="F1578" s="183" t="s">
        <v>600</v>
      </c>
      <c r="G1578" s="184">
        <v>1</v>
      </c>
      <c r="H1578" s="185">
        <v>0.05</v>
      </c>
      <c r="I1578" s="186">
        <v>202.42</v>
      </c>
      <c r="J1578" s="187">
        <v>212.541</v>
      </c>
      <c r="K1578" s="182" t="s">
        <v>3930</v>
      </c>
      <c r="L1578" s="182">
        <v>5</v>
      </c>
      <c r="M1578" s="182" t="s">
        <v>3935</v>
      </c>
      <c r="N1578" s="186">
        <v>5</v>
      </c>
      <c r="O1578" s="188">
        <v>1</v>
      </c>
      <c r="P1578" s="188" t="s">
        <v>573</v>
      </c>
      <c r="Q1578" s="188">
        <v>0</v>
      </c>
      <c r="R1578" s="189" t="s">
        <v>573</v>
      </c>
      <c r="S1578" s="189" t="s">
        <v>573</v>
      </c>
    </row>
    <row r="1579" spans="1:19" ht="14.25" customHeight="1" x14ac:dyDescent="0.3">
      <c r="A1579" s="182" t="s">
        <v>3870</v>
      </c>
      <c r="B1579" s="182" t="s">
        <v>563</v>
      </c>
      <c r="C1579" s="182"/>
      <c r="D1579" s="182" t="s">
        <v>948</v>
      </c>
      <c r="E1579" s="183" t="s">
        <v>949</v>
      </c>
      <c r="F1579" s="183"/>
      <c r="G1579" s="184">
        <v>0.5</v>
      </c>
      <c r="H1579" s="185">
        <v>0</v>
      </c>
      <c r="I1579" s="186">
        <v>571.17949098076099</v>
      </c>
      <c r="J1579" s="187">
        <v>285.58974549038101</v>
      </c>
      <c r="K1579" s="182" t="s">
        <v>3936</v>
      </c>
      <c r="L1579" s="182">
        <v>1</v>
      </c>
      <c r="M1579" s="182" t="s">
        <v>3937</v>
      </c>
      <c r="N1579" s="186">
        <v>5</v>
      </c>
      <c r="O1579" s="188">
        <v>0.5</v>
      </c>
      <c r="P1579" s="188" t="s">
        <v>573</v>
      </c>
      <c r="Q1579" s="188">
        <v>0</v>
      </c>
      <c r="R1579" s="189" t="s">
        <v>573</v>
      </c>
      <c r="S1579" s="189" t="s">
        <v>573</v>
      </c>
    </row>
    <row r="1580" spans="1:19" ht="14.25" customHeight="1" x14ac:dyDescent="0.3">
      <c r="A1580" s="182" t="s">
        <v>3870</v>
      </c>
      <c r="B1580" s="182" t="s">
        <v>563</v>
      </c>
      <c r="C1580" s="182"/>
      <c r="D1580" s="182" t="s">
        <v>1651</v>
      </c>
      <c r="E1580" s="183" t="s">
        <v>1652</v>
      </c>
      <c r="F1580" s="183"/>
      <c r="G1580" s="184">
        <v>1</v>
      </c>
      <c r="H1580" s="185">
        <v>0</v>
      </c>
      <c r="I1580" s="186">
        <v>5063.0947914732396</v>
      </c>
      <c r="J1580" s="187">
        <v>5063.0947914732396</v>
      </c>
      <c r="K1580" s="182" t="s">
        <v>3936</v>
      </c>
      <c r="L1580" s="182">
        <v>2</v>
      </c>
      <c r="M1580" s="182" t="s">
        <v>3938</v>
      </c>
      <c r="N1580" s="186">
        <v>5</v>
      </c>
      <c r="O1580" s="188">
        <v>1</v>
      </c>
      <c r="P1580" s="188" t="s">
        <v>573</v>
      </c>
      <c r="Q1580" s="188">
        <v>0</v>
      </c>
      <c r="R1580" s="189" t="s">
        <v>573</v>
      </c>
      <c r="S1580" s="189" t="s">
        <v>573</v>
      </c>
    </row>
    <row r="1581" spans="1:19" ht="14.25" customHeight="1" x14ac:dyDescent="0.3">
      <c r="A1581" s="182" t="s">
        <v>3870</v>
      </c>
      <c r="B1581" s="182" t="s">
        <v>563</v>
      </c>
      <c r="C1581" s="182"/>
      <c r="D1581" s="182" t="s">
        <v>1456</v>
      </c>
      <c r="E1581" s="183" t="s">
        <v>1457</v>
      </c>
      <c r="F1581" s="183"/>
      <c r="G1581" s="184">
        <v>0.5</v>
      </c>
      <c r="H1581" s="185">
        <v>0</v>
      </c>
      <c r="I1581" s="186">
        <v>140.198092594309</v>
      </c>
      <c r="J1581" s="187">
        <v>70.099046297154501</v>
      </c>
      <c r="K1581" s="182" t="s">
        <v>3936</v>
      </c>
      <c r="L1581" s="182">
        <v>3</v>
      </c>
      <c r="M1581" s="182" t="s">
        <v>3939</v>
      </c>
      <c r="N1581" s="186">
        <v>5</v>
      </c>
      <c r="O1581" s="188">
        <v>0.5</v>
      </c>
      <c r="P1581" s="188" t="s">
        <v>573</v>
      </c>
      <c r="Q1581" s="188">
        <v>0</v>
      </c>
      <c r="R1581" s="189" t="s">
        <v>573</v>
      </c>
      <c r="S1581" s="189" t="s">
        <v>573</v>
      </c>
    </row>
    <row r="1582" spans="1:19" ht="14.25" customHeight="1" x14ac:dyDescent="0.3">
      <c r="A1582" s="182" t="s">
        <v>3870</v>
      </c>
      <c r="B1582" s="182" t="s">
        <v>908</v>
      </c>
      <c r="C1582" s="182" t="s">
        <v>909</v>
      </c>
      <c r="D1582" s="182" t="s">
        <v>1763</v>
      </c>
      <c r="E1582" s="183" t="s">
        <v>1764</v>
      </c>
      <c r="F1582" s="183" t="s">
        <v>600</v>
      </c>
      <c r="G1582" s="184">
        <v>3</v>
      </c>
      <c r="H1582" s="185">
        <v>0.1</v>
      </c>
      <c r="I1582" s="186">
        <v>351.14</v>
      </c>
      <c r="J1582" s="187">
        <v>1158.7619999999999</v>
      </c>
      <c r="K1582" s="182" t="s">
        <v>3940</v>
      </c>
      <c r="L1582" s="182">
        <v>1</v>
      </c>
      <c r="M1582" s="182" t="s">
        <v>3941</v>
      </c>
      <c r="N1582" s="186">
        <v>5</v>
      </c>
      <c r="O1582" s="188">
        <v>3</v>
      </c>
      <c r="P1582" s="188" t="s">
        <v>573</v>
      </c>
      <c r="Q1582" s="188">
        <v>0</v>
      </c>
      <c r="R1582" s="189" t="s">
        <v>573</v>
      </c>
      <c r="S1582" s="189" t="s">
        <v>573</v>
      </c>
    </row>
    <row r="1583" spans="1:19" ht="14.25" customHeight="1" x14ac:dyDescent="0.3">
      <c r="A1583" s="182" t="s">
        <v>3870</v>
      </c>
      <c r="B1583" s="182" t="s">
        <v>908</v>
      </c>
      <c r="C1583" s="182" t="s">
        <v>909</v>
      </c>
      <c r="D1583" s="182" t="s">
        <v>1767</v>
      </c>
      <c r="E1583" s="183" t="s">
        <v>1768</v>
      </c>
      <c r="F1583" s="183" t="s">
        <v>581</v>
      </c>
      <c r="G1583" s="184">
        <v>7.5</v>
      </c>
      <c r="H1583" s="185">
        <v>0.1</v>
      </c>
      <c r="I1583" s="186">
        <v>666.92666666666696</v>
      </c>
      <c r="J1583" s="187">
        <v>5502.1450000000004</v>
      </c>
      <c r="K1583" s="182" t="s">
        <v>3940</v>
      </c>
      <c r="L1583" s="182">
        <v>2</v>
      </c>
      <c r="M1583" s="182" t="s">
        <v>3942</v>
      </c>
      <c r="N1583" s="186">
        <v>5</v>
      </c>
      <c r="O1583" s="188">
        <v>7.5</v>
      </c>
      <c r="P1583" s="188" t="s">
        <v>573</v>
      </c>
      <c r="Q1583" s="188">
        <v>0</v>
      </c>
      <c r="R1583" s="189" t="s">
        <v>573</v>
      </c>
      <c r="S1583" s="189" t="s">
        <v>573</v>
      </c>
    </row>
    <row r="1584" spans="1:19" ht="14.25" customHeight="1" x14ac:dyDescent="0.3">
      <c r="A1584" s="182" t="s">
        <v>3870</v>
      </c>
      <c r="B1584" s="182" t="s">
        <v>908</v>
      </c>
      <c r="C1584" s="182" t="s">
        <v>909</v>
      </c>
      <c r="D1584" s="182" t="s">
        <v>1770</v>
      </c>
      <c r="E1584" s="183" t="s">
        <v>1771</v>
      </c>
      <c r="F1584" s="183" t="s">
        <v>600</v>
      </c>
      <c r="G1584" s="184">
        <v>3</v>
      </c>
      <c r="H1584" s="185">
        <v>0.1</v>
      </c>
      <c r="I1584" s="186">
        <v>280.10000000000002</v>
      </c>
      <c r="J1584" s="187">
        <v>924.33</v>
      </c>
      <c r="K1584" s="182" t="s">
        <v>3940</v>
      </c>
      <c r="L1584" s="182">
        <v>3</v>
      </c>
      <c r="M1584" s="182" t="s">
        <v>3943</v>
      </c>
      <c r="N1584" s="186">
        <v>5</v>
      </c>
      <c r="O1584" s="188">
        <v>3</v>
      </c>
      <c r="P1584" s="188" t="s">
        <v>573</v>
      </c>
      <c r="Q1584" s="188">
        <v>0</v>
      </c>
      <c r="R1584" s="189" t="s">
        <v>573</v>
      </c>
      <c r="S1584" s="189" t="s">
        <v>573</v>
      </c>
    </row>
    <row r="1585" spans="1:19" ht="14.25" customHeight="1" x14ac:dyDescent="0.3">
      <c r="A1585" s="182" t="s">
        <v>3870</v>
      </c>
      <c r="B1585" s="182" t="s">
        <v>908</v>
      </c>
      <c r="C1585" s="182" t="s">
        <v>909</v>
      </c>
      <c r="D1585" s="182" t="s">
        <v>1773</v>
      </c>
      <c r="E1585" s="183" t="s">
        <v>1774</v>
      </c>
      <c r="F1585" s="183" t="s">
        <v>581</v>
      </c>
      <c r="G1585" s="184">
        <v>22.5</v>
      </c>
      <c r="H1585" s="185">
        <v>0.1</v>
      </c>
      <c r="I1585" s="186">
        <v>834.6</v>
      </c>
      <c r="J1585" s="187">
        <v>20656.349999999999</v>
      </c>
      <c r="K1585" s="182" t="s">
        <v>3940</v>
      </c>
      <c r="L1585" s="182">
        <v>4</v>
      </c>
      <c r="M1585" s="182" t="s">
        <v>3944</v>
      </c>
      <c r="N1585" s="186">
        <v>5</v>
      </c>
      <c r="O1585" s="188">
        <v>22.5</v>
      </c>
      <c r="P1585" s="188" t="s">
        <v>573</v>
      </c>
      <c r="Q1585" s="188">
        <v>0</v>
      </c>
      <c r="R1585" s="189" t="s">
        <v>573</v>
      </c>
      <c r="S1585" s="189" t="s">
        <v>573</v>
      </c>
    </row>
    <row r="1586" spans="1:19" ht="14.25" customHeight="1" x14ac:dyDescent="0.3">
      <c r="A1586" s="182" t="s">
        <v>3870</v>
      </c>
      <c r="B1586" s="182" t="s">
        <v>908</v>
      </c>
      <c r="C1586" s="182" t="s">
        <v>909</v>
      </c>
      <c r="D1586" s="182" t="s">
        <v>1677</v>
      </c>
      <c r="E1586" s="183" t="s">
        <v>1678</v>
      </c>
      <c r="F1586" s="183" t="s">
        <v>600</v>
      </c>
      <c r="G1586" s="184">
        <v>1</v>
      </c>
      <c r="H1586" s="185">
        <v>0.05</v>
      </c>
      <c r="I1586" s="186">
        <v>202.42</v>
      </c>
      <c r="J1586" s="187">
        <v>212.541</v>
      </c>
      <c r="K1586" s="182" t="s">
        <v>3940</v>
      </c>
      <c r="L1586" s="182">
        <v>5</v>
      </c>
      <c r="M1586" s="182" t="s">
        <v>3945</v>
      </c>
      <c r="N1586" s="186">
        <v>5</v>
      </c>
      <c r="O1586" s="188">
        <v>1</v>
      </c>
      <c r="P1586" s="188" t="s">
        <v>573</v>
      </c>
      <c r="Q1586" s="188">
        <v>0</v>
      </c>
      <c r="R1586" s="189" t="s">
        <v>573</v>
      </c>
      <c r="S1586" s="189" t="s">
        <v>573</v>
      </c>
    </row>
    <row r="1587" spans="1:19" ht="14.25" customHeight="1" x14ac:dyDescent="0.3">
      <c r="A1587" s="182" t="s">
        <v>3946</v>
      </c>
      <c r="B1587" s="182" t="s">
        <v>563</v>
      </c>
      <c r="C1587" s="182"/>
      <c r="D1587" s="182" t="s">
        <v>3947</v>
      </c>
      <c r="E1587" s="183" t="s">
        <v>3948</v>
      </c>
      <c r="F1587" s="183"/>
      <c r="G1587" s="184">
        <v>1</v>
      </c>
      <c r="H1587" s="185">
        <v>0</v>
      </c>
      <c r="I1587" s="186">
        <v>24902.845805454501</v>
      </c>
      <c r="J1587" s="187">
        <v>24902.845805454501</v>
      </c>
      <c r="K1587" s="182" t="s">
        <v>3949</v>
      </c>
      <c r="L1587" s="182">
        <v>1</v>
      </c>
      <c r="M1587" s="182" t="s">
        <v>3950</v>
      </c>
      <c r="N1587" s="186">
        <v>1</v>
      </c>
      <c r="O1587" s="188">
        <v>1</v>
      </c>
      <c r="P1587" s="188">
        <v>1</v>
      </c>
      <c r="Q1587" s="188">
        <v>1</v>
      </c>
      <c r="R1587" s="189">
        <v>18.16</v>
      </c>
      <c r="S1587" s="189" t="s">
        <v>573</v>
      </c>
    </row>
    <row r="1588" spans="1:19" ht="14.25" customHeight="1" x14ac:dyDescent="0.3">
      <c r="A1588" s="182" t="s">
        <v>3946</v>
      </c>
      <c r="B1588" s="182" t="s">
        <v>908</v>
      </c>
      <c r="C1588" s="182" t="s">
        <v>909</v>
      </c>
      <c r="D1588" s="182" t="s">
        <v>976</v>
      </c>
      <c r="E1588" s="183" t="s">
        <v>977</v>
      </c>
      <c r="F1588" s="183" t="s">
        <v>576</v>
      </c>
      <c r="G1588" s="184">
        <v>218497.83670000001</v>
      </c>
      <c r="H1588" s="185">
        <v>0</v>
      </c>
      <c r="I1588" s="186">
        <v>1</v>
      </c>
      <c r="J1588" s="187">
        <v>218497.83670000001</v>
      </c>
      <c r="K1588" s="182" t="s">
        <v>3951</v>
      </c>
      <c r="L1588" s="182">
        <v>1</v>
      </c>
      <c r="M1588" s="182" t="s">
        <v>3952</v>
      </c>
      <c r="N1588" s="186">
        <v>1</v>
      </c>
      <c r="O1588" s="188">
        <v>218497.83670000001</v>
      </c>
      <c r="P1588" s="188">
        <v>1</v>
      </c>
      <c r="Q1588" s="188">
        <v>218497.83670000001</v>
      </c>
      <c r="R1588" s="189">
        <v>18.16</v>
      </c>
      <c r="S1588" s="189" t="s">
        <v>573</v>
      </c>
    </row>
    <row r="1589" spans="1:19" ht="14.25" customHeight="1" x14ac:dyDescent="0.3">
      <c r="A1589" s="182" t="s">
        <v>3946</v>
      </c>
      <c r="B1589" s="182" t="s">
        <v>908</v>
      </c>
      <c r="C1589" s="182" t="s">
        <v>909</v>
      </c>
      <c r="D1589" s="182" t="s">
        <v>3953</v>
      </c>
      <c r="E1589" s="183" t="s">
        <v>3954</v>
      </c>
      <c r="F1589" s="183" t="s">
        <v>600</v>
      </c>
      <c r="G1589" s="184">
        <v>3</v>
      </c>
      <c r="H1589" s="185">
        <v>0</v>
      </c>
      <c r="I1589" s="186">
        <v>3656.19834710744</v>
      </c>
      <c r="J1589" s="187">
        <v>10968.5950413223</v>
      </c>
      <c r="K1589" s="182" t="s">
        <v>3951</v>
      </c>
      <c r="L1589" s="182">
        <v>2</v>
      </c>
      <c r="M1589" s="182" t="s">
        <v>3955</v>
      </c>
      <c r="N1589" s="186">
        <v>1</v>
      </c>
      <c r="O1589" s="188">
        <v>3</v>
      </c>
      <c r="P1589" s="188">
        <v>1</v>
      </c>
      <c r="Q1589" s="188">
        <v>3</v>
      </c>
      <c r="R1589" s="189">
        <v>18.16</v>
      </c>
      <c r="S1589" s="189" t="s">
        <v>573</v>
      </c>
    </row>
    <row r="1590" spans="1:19" ht="14.25" customHeight="1" x14ac:dyDescent="0.3">
      <c r="A1590" s="182" t="s">
        <v>3946</v>
      </c>
      <c r="B1590" s="182" t="s">
        <v>908</v>
      </c>
      <c r="C1590" s="182" t="s">
        <v>909</v>
      </c>
      <c r="D1590" s="182" t="s">
        <v>3956</v>
      </c>
      <c r="E1590" s="183" t="s">
        <v>3957</v>
      </c>
      <c r="F1590" s="183" t="s">
        <v>600</v>
      </c>
      <c r="G1590" s="184">
        <v>3</v>
      </c>
      <c r="H1590" s="185">
        <v>0</v>
      </c>
      <c r="I1590" s="186">
        <v>35881.19</v>
      </c>
      <c r="J1590" s="187">
        <v>107643.57</v>
      </c>
      <c r="K1590" s="182" t="s">
        <v>3951</v>
      </c>
      <c r="L1590" s="182">
        <v>3</v>
      </c>
      <c r="M1590" s="182" t="s">
        <v>3958</v>
      </c>
      <c r="N1590" s="186">
        <v>1</v>
      </c>
      <c r="O1590" s="188">
        <v>3</v>
      </c>
      <c r="P1590" s="188">
        <v>1</v>
      </c>
      <c r="Q1590" s="188">
        <v>3</v>
      </c>
      <c r="R1590" s="189">
        <v>18.16</v>
      </c>
      <c r="S1590" s="189" t="s">
        <v>573</v>
      </c>
    </row>
    <row r="1591" spans="1:19" ht="14.25" customHeight="1" x14ac:dyDescent="0.3">
      <c r="A1591" s="182" t="s">
        <v>3946</v>
      </c>
      <c r="B1591" s="182" t="s">
        <v>908</v>
      </c>
      <c r="C1591" s="182" t="s">
        <v>909</v>
      </c>
      <c r="D1591" s="182" t="s">
        <v>3959</v>
      </c>
      <c r="E1591" s="183" t="s">
        <v>3960</v>
      </c>
      <c r="F1591" s="183" t="s">
        <v>600</v>
      </c>
      <c r="G1591" s="184">
        <v>9</v>
      </c>
      <c r="H1591" s="185">
        <v>0</v>
      </c>
      <c r="I1591" s="186">
        <v>18770.66</v>
      </c>
      <c r="J1591" s="187">
        <v>168935.94</v>
      </c>
      <c r="K1591" s="182" t="s">
        <v>3951</v>
      </c>
      <c r="L1591" s="182">
        <v>4</v>
      </c>
      <c r="M1591" s="182" t="s">
        <v>3961</v>
      </c>
      <c r="N1591" s="186">
        <v>1</v>
      </c>
      <c r="O1591" s="188">
        <v>9</v>
      </c>
      <c r="P1591" s="188">
        <v>1</v>
      </c>
      <c r="Q1591" s="188">
        <v>9</v>
      </c>
      <c r="R1591" s="189">
        <v>18.16</v>
      </c>
      <c r="S1591" s="189" t="s">
        <v>573</v>
      </c>
    </row>
    <row r="1592" spans="1:19" ht="14.25" customHeight="1" x14ac:dyDescent="0.3">
      <c r="A1592" s="182" t="s">
        <v>3946</v>
      </c>
      <c r="B1592" s="182" t="s">
        <v>908</v>
      </c>
      <c r="C1592" s="182" t="s">
        <v>909</v>
      </c>
      <c r="D1592" s="182" t="s">
        <v>3962</v>
      </c>
      <c r="E1592" s="183" t="s">
        <v>3963</v>
      </c>
      <c r="F1592" s="183" t="s">
        <v>600</v>
      </c>
      <c r="G1592" s="184">
        <v>2</v>
      </c>
      <c r="H1592" s="185">
        <v>0</v>
      </c>
      <c r="I1592" s="186">
        <v>11960.81</v>
      </c>
      <c r="J1592" s="187">
        <v>23921.62</v>
      </c>
      <c r="K1592" s="182" t="s">
        <v>3951</v>
      </c>
      <c r="L1592" s="182">
        <v>5</v>
      </c>
      <c r="M1592" s="182" t="s">
        <v>3964</v>
      </c>
      <c r="N1592" s="186">
        <v>1</v>
      </c>
      <c r="O1592" s="188">
        <v>2</v>
      </c>
      <c r="P1592" s="188">
        <v>1</v>
      </c>
      <c r="Q1592" s="188">
        <v>2</v>
      </c>
      <c r="R1592" s="189">
        <v>18.16</v>
      </c>
      <c r="S1592" s="189" t="s">
        <v>573</v>
      </c>
    </row>
    <row r="1593" spans="1:19" ht="14.25" customHeight="1" x14ac:dyDescent="0.3">
      <c r="A1593" s="182" t="s">
        <v>3946</v>
      </c>
      <c r="B1593" s="182" t="s">
        <v>908</v>
      </c>
      <c r="C1593" s="182" t="s">
        <v>909</v>
      </c>
      <c r="D1593" s="182" t="s">
        <v>3965</v>
      </c>
      <c r="E1593" s="183" t="s">
        <v>3966</v>
      </c>
      <c r="F1593" s="183" t="s">
        <v>600</v>
      </c>
      <c r="G1593" s="184">
        <v>2</v>
      </c>
      <c r="H1593" s="185">
        <v>0</v>
      </c>
      <c r="I1593" s="186">
        <v>11163.59</v>
      </c>
      <c r="J1593" s="187">
        <v>22327.18</v>
      </c>
      <c r="K1593" s="182" t="s">
        <v>3951</v>
      </c>
      <c r="L1593" s="182">
        <v>6</v>
      </c>
      <c r="M1593" s="182" t="s">
        <v>3967</v>
      </c>
      <c r="N1593" s="186">
        <v>1</v>
      </c>
      <c r="O1593" s="188">
        <v>2</v>
      </c>
      <c r="P1593" s="188">
        <v>1</v>
      </c>
      <c r="Q1593" s="188">
        <v>2</v>
      </c>
      <c r="R1593" s="189">
        <v>18.16</v>
      </c>
      <c r="S1593" s="189" t="s">
        <v>573</v>
      </c>
    </row>
    <row r="1594" spans="1:19" ht="14.25" customHeight="1" x14ac:dyDescent="0.3">
      <c r="A1594" s="182" t="s">
        <v>3946</v>
      </c>
      <c r="B1594" s="182" t="s">
        <v>908</v>
      </c>
      <c r="C1594" s="182" t="s">
        <v>909</v>
      </c>
      <c r="D1594" s="182" t="s">
        <v>3968</v>
      </c>
      <c r="E1594" s="183" t="s">
        <v>3969</v>
      </c>
      <c r="F1594" s="183" t="s">
        <v>600</v>
      </c>
      <c r="G1594" s="184">
        <v>10</v>
      </c>
      <c r="H1594" s="185">
        <v>0</v>
      </c>
      <c r="I1594" s="186">
        <v>5287.23</v>
      </c>
      <c r="J1594" s="187">
        <v>52872.3</v>
      </c>
      <c r="K1594" s="182" t="s">
        <v>3951</v>
      </c>
      <c r="L1594" s="182">
        <v>7</v>
      </c>
      <c r="M1594" s="182" t="s">
        <v>3970</v>
      </c>
      <c r="N1594" s="186">
        <v>1</v>
      </c>
      <c r="O1594" s="188">
        <v>10</v>
      </c>
      <c r="P1594" s="188">
        <v>1</v>
      </c>
      <c r="Q1594" s="188">
        <v>10</v>
      </c>
      <c r="R1594" s="189">
        <v>18.16</v>
      </c>
      <c r="S1594" s="189" t="s">
        <v>573</v>
      </c>
    </row>
    <row r="1595" spans="1:19" ht="14.25" customHeight="1" x14ac:dyDescent="0.3">
      <c r="A1595" s="182" t="s">
        <v>3946</v>
      </c>
      <c r="B1595" s="182" t="s">
        <v>908</v>
      </c>
      <c r="C1595" s="182" t="s">
        <v>909</v>
      </c>
      <c r="D1595" s="182" t="s">
        <v>3971</v>
      </c>
      <c r="E1595" s="183" t="s">
        <v>3972</v>
      </c>
      <c r="F1595" s="183" t="s">
        <v>600</v>
      </c>
      <c r="G1595" s="184">
        <v>15</v>
      </c>
      <c r="H1595" s="185">
        <v>0</v>
      </c>
      <c r="I1595" s="186">
        <v>5287.23</v>
      </c>
      <c r="J1595" s="187">
        <v>79308.45</v>
      </c>
      <c r="K1595" s="182" t="s">
        <v>3951</v>
      </c>
      <c r="L1595" s="182">
        <v>8</v>
      </c>
      <c r="M1595" s="182" t="s">
        <v>3973</v>
      </c>
      <c r="N1595" s="186">
        <v>1</v>
      </c>
      <c r="O1595" s="188">
        <v>15</v>
      </c>
      <c r="P1595" s="188">
        <v>1</v>
      </c>
      <c r="Q1595" s="188">
        <v>15</v>
      </c>
      <c r="R1595" s="189">
        <v>18.16</v>
      </c>
      <c r="S1595" s="189" t="s">
        <v>573</v>
      </c>
    </row>
    <row r="1596" spans="1:19" ht="14.25" customHeight="1" x14ac:dyDescent="0.3">
      <c r="A1596" s="182" t="s">
        <v>3946</v>
      </c>
      <c r="B1596" s="182" t="s">
        <v>908</v>
      </c>
      <c r="C1596" s="182" t="s">
        <v>909</v>
      </c>
      <c r="D1596" s="182" t="s">
        <v>3974</v>
      </c>
      <c r="E1596" s="183" t="s">
        <v>3975</v>
      </c>
      <c r="F1596" s="183" t="s">
        <v>600</v>
      </c>
      <c r="G1596" s="184">
        <v>1</v>
      </c>
      <c r="H1596" s="185">
        <v>0</v>
      </c>
      <c r="I1596" s="186">
        <v>267503.51</v>
      </c>
      <c r="J1596" s="187">
        <v>267503.51</v>
      </c>
      <c r="K1596" s="182" t="s">
        <v>3951</v>
      </c>
      <c r="L1596" s="182">
        <v>9</v>
      </c>
      <c r="M1596" s="182" t="s">
        <v>3976</v>
      </c>
      <c r="N1596" s="186">
        <v>1</v>
      </c>
      <c r="O1596" s="188">
        <v>1</v>
      </c>
      <c r="P1596" s="188">
        <v>1</v>
      </c>
      <c r="Q1596" s="188">
        <v>1</v>
      </c>
      <c r="R1596" s="189">
        <v>18.16</v>
      </c>
      <c r="S1596" s="189" t="s">
        <v>573</v>
      </c>
    </row>
    <row r="1597" spans="1:19" ht="14.25" customHeight="1" x14ac:dyDescent="0.3">
      <c r="A1597" s="182" t="s">
        <v>3946</v>
      </c>
      <c r="B1597" s="182" t="s">
        <v>908</v>
      </c>
      <c r="C1597" s="182" t="s">
        <v>909</v>
      </c>
      <c r="D1597" s="182" t="s">
        <v>3977</v>
      </c>
      <c r="E1597" s="183" t="s">
        <v>3978</v>
      </c>
      <c r="F1597" s="183" t="s">
        <v>600</v>
      </c>
      <c r="G1597" s="184">
        <v>1</v>
      </c>
      <c r="H1597" s="185">
        <v>0</v>
      </c>
      <c r="I1597" s="186">
        <v>96123.97</v>
      </c>
      <c r="J1597" s="187">
        <v>96123.97</v>
      </c>
      <c r="K1597" s="182" t="s">
        <v>3951</v>
      </c>
      <c r="L1597" s="182">
        <v>10</v>
      </c>
      <c r="M1597" s="182" t="s">
        <v>3979</v>
      </c>
      <c r="N1597" s="186">
        <v>1</v>
      </c>
      <c r="O1597" s="188">
        <v>1</v>
      </c>
      <c r="P1597" s="188">
        <v>1</v>
      </c>
      <c r="Q1597" s="188">
        <v>1</v>
      </c>
      <c r="R1597" s="189">
        <v>18.16</v>
      </c>
      <c r="S1597" s="189" t="s">
        <v>573</v>
      </c>
    </row>
    <row r="1598" spans="1:19" ht="14.25" customHeight="1" x14ac:dyDescent="0.3">
      <c r="A1598" s="182" t="s">
        <v>3946</v>
      </c>
      <c r="B1598" s="182" t="s">
        <v>908</v>
      </c>
      <c r="C1598" s="182" t="s">
        <v>909</v>
      </c>
      <c r="D1598" s="182" t="s">
        <v>3980</v>
      </c>
      <c r="E1598" s="183" t="s">
        <v>3981</v>
      </c>
      <c r="F1598" s="183" t="s">
        <v>600</v>
      </c>
      <c r="G1598" s="184">
        <v>1</v>
      </c>
      <c r="H1598" s="185">
        <v>0</v>
      </c>
      <c r="I1598" s="186">
        <v>9297.0300000000007</v>
      </c>
      <c r="J1598" s="187">
        <v>9297.0300000000007</v>
      </c>
      <c r="K1598" s="182" t="s">
        <v>3951</v>
      </c>
      <c r="L1598" s="182">
        <v>11</v>
      </c>
      <c r="M1598" s="182" t="s">
        <v>3982</v>
      </c>
      <c r="N1598" s="186">
        <v>1</v>
      </c>
      <c r="O1598" s="188">
        <v>1</v>
      </c>
      <c r="P1598" s="188">
        <v>1</v>
      </c>
      <c r="Q1598" s="188">
        <v>1</v>
      </c>
      <c r="R1598" s="189">
        <v>18.16</v>
      </c>
      <c r="S1598" s="189" t="s">
        <v>573</v>
      </c>
    </row>
    <row r="1599" spans="1:19" ht="14.25" customHeight="1" x14ac:dyDescent="0.3">
      <c r="A1599" s="182" t="s">
        <v>3946</v>
      </c>
      <c r="B1599" s="182" t="s">
        <v>908</v>
      </c>
      <c r="C1599" s="182" t="s">
        <v>909</v>
      </c>
      <c r="D1599" s="182" t="s">
        <v>3983</v>
      </c>
      <c r="E1599" s="183" t="s">
        <v>3984</v>
      </c>
      <c r="F1599" s="183" t="s">
        <v>600</v>
      </c>
      <c r="G1599" s="184">
        <v>3</v>
      </c>
      <c r="H1599" s="185">
        <v>0</v>
      </c>
      <c r="I1599" s="186">
        <v>14702.99</v>
      </c>
      <c r="J1599" s="187">
        <v>44108.97</v>
      </c>
      <c r="K1599" s="182" t="s">
        <v>3951</v>
      </c>
      <c r="L1599" s="182">
        <v>12</v>
      </c>
      <c r="M1599" s="182" t="s">
        <v>3985</v>
      </c>
      <c r="N1599" s="186">
        <v>1</v>
      </c>
      <c r="O1599" s="188">
        <v>3</v>
      </c>
      <c r="P1599" s="188">
        <v>1</v>
      </c>
      <c r="Q1599" s="188">
        <v>3</v>
      </c>
      <c r="R1599" s="189">
        <v>18.16</v>
      </c>
      <c r="S1599" s="189" t="s">
        <v>573</v>
      </c>
    </row>
    <row r="1600" spans="1:19" ht="14.25" customHeight="1" x14ac:dyDescent="0.3">
      <c r="A1600" s="182" t="s">
        <v>3946</v>
      </c>
      <c r="B1600" s="182" t="s">
        <v>908</v>
      </c>
      <c r="C1600" s="182" t="s">
        <v>909</v>
      </c>
      <c r="D1600" s="182" t="s">
        <v>3986</v>
      </c>
      <c r="E1600" s="183" t="s">
        <v>3987</v>
      </c>
      <c r="F1600" s="183" t="s">
        <v>600</v>
      </c>
      <c r="G1600" s="184">
        <v>1</v>
      </c>
      <c r="H1600" s="185">
        <v>0</v>
      </c>
      <c r="I1600" s="186">
        <v>113610.28</v>
      </c>
      <c r="J1600" s="187">
        <v>113610.28</v>
      </c>
      <c r="K1600" s="182" t="s">
        <v>3951</v>
      </c>
      <c r="L1600" s="182">
        <v>13</v>
      </c>
      <c r="M1600" s="182" t="s">
        <v>3988</v>
      </c>
      <c r="N1600" s="186">
        <v>1</v>
      </c>
      <c r="O1600" s="188">
        <v>1</v>
      </c>
      <c r="P1600" s="188">
        <v>1</v>
      </c>
      <c r="Q1600" s="188">
        <v>1</v>
      </c>
      <c r="R1600" s="189">
        <v>18.16</v>
      </c>
      <c r="S1600" s="189" t="s">
        <v>573</v>
      </c>
    </row>
    <row r="1601" spans="1:19" ht="14.25" customHeight="1" x14ac:dyDescent="0.3">
      <c r="A1601" s="182" t="s">
        <v>3946</v>
      </c>
      <c r="B1601" s="182" t="s">
        <v>908</v>
      </c>
      <c r="C1601" s="182" t="s">
        <v>909</v>
      </c>
      <c r="D1601" s="182" t="s">
        <v>3989</v>
      </c>
      <c r="E1601" s="183" t="s">
        <v>3990</v>
      </c>
      <c r="F1601" s="183" t="s">
        <v>600</v>
      </c>
      <c r="G1601" s="184">
        <v>1</v>
      </c>
      <c r="H1601" s="185">
        <v>0</v>
      </c>
      <c r="I1601" s="186">
        <v>95867.7685950413</v>
      </c>
      <c r="J1601" s="187">
        <v>95867.7685950413</v>
      </c>
      <c r="K1601" s="182" t="s">
        <v>3951</v>
      </c>
      <c r="L1601" s="182">
        <v>14</v>
      </c>
      <c r="M1601" s="182" t="s">
        <v>3991</v>
      </c>
      <c r="N1601" s="186">
        <v>1</v>
      </c>
      <c r="O1601" s="188">
        <v>1</v>
      </c>
      <c r="P1601" s="188">
        <v>1</v>
      </c>
      <c r="Q1601" s="188">
        <v>1</v>
      </c>
      <c r="R1601" s="189">
        <v>18.16</v>
      </c>
      <c r="S1601" s="189" t="s">
        <v>573</v>
      </c>
    </row>
    <row r="1602" spans="1:19" ht="14.25" customHeight="1" x14ac:dyDescent="0.3">
      <c r="A1602" s="182" t="s">
        <v>3946</v>
      </c>
      <c r="B1602" s="182" t="s">
        <v>937</v>
      </c>
      <c r="C1602" s="182" t="s">
        <v>909</v>
      </c>
      <c r="D1602" s="182" t="s">
        <v>3992</v>
      </c>
      <c r="E1602" s="183" t="s">
        <v>3993</v>
      </c>
      <c r="F1602" s="183" t="s">
        <v>941</v>
      </c>
      <c r="G1602" s="184">
        <v>1</v>
      </c>
      <c r="H1602" s="185">
        <v>0</v>
      </c>
      <c r="I1602" s="186">
        <v>349202.7</v>
      </c>
      <c r="J1602" s="187">
        <v>349202.7</v>
      </c>
      <c r="K1602" s="182" t="s">
        <v>3994</v>
      </c>
      <c r="L1602" s="182">
        <v>1</v>
      </c>
      <c r="M1602" s="182" t="s">
        <v>3995</v>
      </c>
      <c r="N1602" s="186">
        <v>1</v>
      </c>
      <c r="O1602" s="188">
        <v>1</v>
      </c>
      <c r="P1602" s="188">
        <v>1</v>
      </c>
      <c r="Q1602" s="188">
        <v>1</v>
      </c>
      <c r="R1602" s="189">
        <v>18.16</v>
      </c>
      <c r="S1602" s="189" t="s">
        <v>573</v>
      </c>
    </row>
    <row r="1603" spans="1:19" ht="14.25" customHeight="1" x14ac:dyDescent="0.3">
      <c r="A1603" s="182" t="s">
        <v>3996</v>
      </c>
      <c r="B1603" s="182" t="s">
        <v>563</v>
      </c>
      <c r="C1603" s="182"/>
      <c r="D1603" s="182" t="s">
        <v>3997</v>
      </c>
      <c r="E1603" s="183" t="s">
        <v>3998</v>
      </c>
      <c r="F1603" s="183"/>
      <c r="G1603" s="184">
        <v>1</v>
      </c>
      <c r="H1603" s="185">
        <v>0</v>
      </c>
      <c r="I1603" s="186">
        <v>12375.4438807438</v>
      </c>
      <c r="J1603" s="187">
        <v>12375.4438807438</v>
      </c>
      <c r="K1603" s="182" t="s">
        <v>3999</v>
      </c>
      <c r="L1603" s="182">
        <v>1</v>
      </c>
      <c r="M1603" s="182" t="s">
        <v>4000</v>
      </c>
      <c r="N1603" s="186">
        <v>1</v>
      </c>
      <c r="O1603" s="188">
        <v>1</v>
      </c>
      <c r="P1603" s="188">
        <v>1</v>
      </c>
      <c r="Q1603" s="188">
        <v>1</v>
      </c>
      <c r="R1603" s="189">
        <v>18.170000000000002</v>
      </c>
      <c r="S1603" s="189" t="s">
        <v>573</v>
      </c>
    </row>
    <row r="1604" spans="1:19" ht="14.25" customHeight="1" x14ac:dyDescent="0.3">
      <c r="A1604" s="182" t="s">
        <v>3996</v>
      </c>
      <c r="B1604" s="182" t="s">
        <v>908</v>
      </c>
      <c r="C1604" s="182" t="s">
        <v>909</v>
      </c>
      <c r="D1604" s="182" t="s">
        <v>976</v>
      </c>
      <c r="E1604" s="183" t="s">
        <v>977</v>
      </c>
      <c r="F1604" s="183" t="s">
        <v>576</v>
      </c>
      <c r="G1604" s="184">
        <v>98702.857000000004</v>
      </c>
      <c r="H1604" s="185">
        <v>0</v>
      </c>
      <c r="I1604" s="186">
        <v>1</v>
      </c>
      <c r="J1604" s="187">
        <v>98702.857000000004</v>
      </c>
      <c r="K1604" s="182" t="s">
        <v>4001</v>
      </c>
      <c r="L1604" s="182">
        <v>1</v>
      </c>
      <c r="M1604" s="182" t="s">
        <v>4002</v>
      </c>
      <c r="N1604" s="186">
        <v>1</v>
      </c>
      <c r="O1604" s="188">
        <v>98702.857000000004</v>
      </c>
      <c r="P1604" s="188">
        <v>1</v>
      </c>
      <c r="Q1604" s="188">
        <v>98702.857000000004</v>
      </c>
      <c r="R1604" s="189">
        <v>18.170000000000002</v>
      </c>
      <c r="S1604" s="189" t="s">
        <v>573</v>
      </c>
    </row>
    <row r="1605" spans="1:19" ht="14.25" customHeight="1" x14ac:dyDescent="0.3">
      <c r="A1605" s="182" t="s">
        <v>3996</v>
      </c>
      <c r="B1605" s="182" t="s">
        <v>908</v>
      </c>
      <c r="C1605" s="182" t="s">
        <v>909</v>
      </c>
      <c r="D1605" s="182" t="s">
        <v>3953</v>
      </c>
      <c r="E1605" s="183" t="s">
        <v>3954</v>
      </c>
      <c r="F1605" s="183" t="s">
        <v>600</v>
      </c>
      <c r="G1605" s="184">
        <v>3</v>
      </c>
      <c r="H1605" s="185">
        <v>0</v>
      </c>
      <c r="I1605" s="186">
        <v>3656.19834710744</v>
      </c>
      <c r="J1605" s="187">
        <v>10968.5950413223</v>
      </c>
      <c r="K1605" s="182" t="s">
        <v>4001</v>
      </c>
      <c r="L1605" s="182">
        <v>2</v>
      </c>
      <c r="M1605" s="182" t="s">
        <v>4003</v>
      </c>
      <c r="N1605" s="186">
        <v>1</v>
      </c>
      <c r="O1605" s="188">
        <v>3</v>
      </c>
      <c r="P1605" s="188">
        <v>1</v>
      </c>
      <c r="Q1605" s="188">
        <v>3</v>
      </c>
      <c r="R1605" s="189">
        <v>18.170000000000002</v>
      </c>
      <c r="S1605" s="189" t="s">
        <v>573</v>
      </c>
    </row>
    <row r="1606" spans="1:19" ht="14.25" customHeight="1" x14ac:dyDescent="0.3">
      <c r="A1606" s="182" t="s">
        <v>3996</v>
      </c>
      <c r="B1606" s="182" t="s">
        <v>908</v>
      </c>
      <c r="C1606" s="182" t="s">
        <v>909</v>
      </c>
      <c r="D1606" s="182" t="s">
        <v>3956</v>
      </c>
      <c r="E1606" s="183" t="s">
        <v>3957</v>
      </c>
      <c r="F1606" s="183" t="s">
        <v>600</v>
      </c>
      <c r="G1606" s="184">
        <v>1</v>
      </c>
      <c r="H1606" s="185">
        <v>0</v>
      </c>
      <c r="I1606" s="186">
        <v>35881.19</v>
      </c>
      <c r="J1606" s="187">
        <v>35881.19</v>
      </c>
      <c r="K1606" s="182" t="s">
        <v>4001</v>
      </c>
      <c r="L1606" s="182">
        <v>3</v>
      </c>
      <c r="M1606" s="182" t="s">
        <v>4004</v>
      </c>
      <c r="N1606" s="186">
        <v>1</v>
      </c>
      <c r="O1606" s="188">
        <v>1</v>
      </c>
      <c r="P1606" s="188">
        <v>1</v>
      </c>
      <c r="Q1606" s="188">
        <v>1</v>
      </c>
      <c r="R1606" s="189">
        <v>18.170000000000002</v>
      </c>
      <c r="S1606" s="189" t="s">
        <v>573</v>
      </c>
    </row>
    <row r="1607" spans="1:19" ht="14.25" customHeight="1" x14ac:dyDescent="0.3">
      <c r="A1607" s="182" t="s">
        <v>3996</v>
      </c>
      <c r="B1607" s="182" t="s">
        <v>908</v>
      </c>
      <c r="C1607" s="182" t="s">
        <v>909</v>
      </c>
      <c r="D1607" s="182" t="s">
        <v>3968</v>
      </c>
      <c r="E1607" s="183" t="s">
        <v>3969</v>
      </c>
      <c r="F1607" s="183" t="s">
        <v>600</v>
      </c>
      <c r="G1607" s="184">
        <v>1</v>
      </c>
      <c r="H1607" s="185">
        <v>0</v>
      </c>
      <c r="I1607" s="186">
        <v>5287.23</v>
      </c>
      <c r="J1607" s="187">
        <v>5287.23</v>
      </c>
      <c r="K1607" s="182" t="s">
        <v>4001</v>
      </c>
      <c r="L1607" s="182">
        <v>4</v>
      </c>
      <c r="M1607" s="182" t="s">
        <v>4005</v>
      </c>
      <c r="N1607" s="186">
        <v>1</v>
      </c>
      <c r="O1607" s="188">
        <v>1</v>
      </c>
      <c r="P1607" s="188">
        <v>1</v>
      </c>
      <c r="Q1607" s="188">
        <v>1</v>
      </c>
      <c r="R1607" s="189">
        <v>18.170000000000002</v>
      </c>
      <c r="S1607" s="189" t="s">
        <v>573</v>
      </c>
    </row>
    <row r="1608" spans="1:19" ht="14.25" customHeight="1" x14ac:dyDescent="0.3">
      <c r="A1608" s="182" t="s">
        <v>3996</v>
      </c>
      <c r="B1608" s="182" t="s">
        <v>908</v>
      </c>
      <c r="C1608" s="182" t="s">
        <v>909</v>
      </c>
      <c r="D1608" s="182" t="s">
        <v>3983</v>
      </c>
      <c r="E1608" s="183" t="s">
        <v>3984</v>
      </c>
      <c r="F1608" s="183" t="s">
        <v>600</v>
      </c>
      <c r="G1608" s="184">
        <v>1</v>
      </c>
      <c r="H1608" s="185">
        <v>0</v>
      </c>
      <c r="I1608" s="186">
        <v>14702.99</v>
      </c>
      <c r="J1608" s="187">
        <v>14702.99</v>
      </c>
      <c r="K1608" s="182" t="s">
        <v>4001</v>
      </c>
      <c r="L1608" s="182">
        <v>5</v>
      </c>
      <c r="M1608" s="182" t="s">
        <v>4006</v>
      </c>
      <c r="N1608" s="186">
        <v>1</v>
      </c>
      <c r="O1608" s="188">
        <v>1</v>
      </c>
      <c r="P1608" s="188">
        <v>1</v>
      </c>
      <c r="Q1608" s="188">
        <v>1</v>
      </c>
      <c r="R1608" s="189">
        <v>18.170000000000002</v>
      </c>
      <c r="S1608" s="189" t="s">
        <v>573</v>
      </c>
    </row>
    <row r="1609" spans="1:19" ht="14.25" customHeight="1" x14ac:dyDescent="0.3">
      <c r="A1609" s="182" t="s">
        <v>3996</v>
      </c>
      <c r="B1609" s="182" t="s">
        <v>908</v>
      </c>
      <c r="C1609" s="182" t="s">
        <v>909</v>
      </c>
      <c r="D1609" s="182" t="s">
        <v>4007</v>
      </c>
      <c r="E1609" s="183" t="s">
        <v>4008</v>
      </c>
      <c r="F1609" s="183" t="s">
        <v>600</v>
      </c>
      <c r="G1609" s="184">
        <v>1</v>
      </c>
      <c r="H1609" s="185">
        <v>0</v>
      </c>
      <c r="I1609" s="186">
        <v>51844.93</v>
      </c>
      <c r="J1609" s="187">
        <v>51844.93</v>
      </c>
      <c r="K1609" s="182" t="s">
        <v>4001</v>
      </c>
      <c r="L1609" s="182">
        <v>6</v>
      </c>
      <c r="M1609" s="182" t="s">
        <v>4009</v>
      </c>
      <c r="N1609" s="186">
        <v>1</v>
      </c>
      <c r="O1609" s="188">
        <v>1</v>
      </c>
      <c r="P1609" s="188">
        <v>1</v>
      </c>
      <c r="Q1609" s="188">
        <v>1</v>
      </c>
      <c r="R1609" s="189">
        <v>18.170000000000002</v>
      </c>
      <c r="S1609" s="189" t="s">
        <v>573</v>
      </c>
    </row>
    <row r="1610" spans="1:19" ht="14.25" customHeight="1" x14ac:dyDescent="0.3">
      <c r="A1610" s="182" t="s">
        <v>3996</v>
      </c>
      <c r="B1610" s="182" t="s">
        <v>908</v>
      </c>
      <c r="C1610" s="182" t="s">
        <v>909</v>
      </c>
      <c r="D1610" s="182" t="s">
        <v>4010</v>
      </c>
      <c r="E1610" s="183" t="s">
        <v>4011</v>
      </c>
      <c r="F1610" s="183" t="s">
        <v>600</v>
      </c>
      <c r="G1610" s="184">
        <v>1</v>
      </c>
      <c r="H1610" s="185">
        <v>0</v>
      </c>
      <c r="I1610" s="186">
        <v>33851.08</v>
      </c>
      <c r="J1610" s="187">
        <v>33851.08</v>
      </c>
      <c r="K1610" s="182" t="s">
        <v>4001</v>
      </c>
      <c r="L1610" s="182">
        <v>7</v>
      </c>
      <c r="M1610" s="182" t="s">
        <v>4012</v>
      </c>
      <c r="N1610" s="186">
        <v>1</v>
      </c>
      <c r="O1610" s="188">
        <v>1</v>
      </c>
      <c r="P1610" s="188">
        <v>1</v>
      </c>
      <c r="Q1610" s="188">
        <v>1</v>
      </c>
      <c r="R1610" s="189">
        <v>18.170000000000002</v>
      </c>
      <c r="S1610" s="189" t="s">
        <v>573</v>
      </c>
    </row>
    <row r="1611" spans="1:19" ht="14.25" customHeight="1" x14ac:dyDescent="0.3">
      <c r="A1611" s="182" t="s">
        <v>3996</v>
      </c>
      <c r="B1611" s="182" t="s">
        <v>908</v>
      </c>
      <c r="C1611" s="182" t="s">
        <v>909</v>
      </c>
      <c r="D1611" s="182" t="s">
        <v>4013</v>
      </c>
      <c r="E1611" s="183" t="s">
        <v>4014</v>
      </c>
      <c r="F1611" s="183" t="s">
        <v>600</v>
      </c>
      <c r="G1611" s="184">
        <v>1</v>
      </c>
      <c r="H1611" s="185">
        <v>0</v>
      </c>
      <c r="I1611" s="186">
        <v>129189.81</v>
      </c>
      <c r="J1611" s="187">
        <v>129189.81</v>
      </c>
      <c r="K1611" s="182" t="s">
        <v>4001</v>
      </c>
      <c r="L1611" s="182">
        <v>8</v>
      </c>
      <c r="M1611" s="182" t="s">
        <v>4015</v>
      </c>
      <c r="N1611" s="186">
        <v>1</v>
      </c>
      <c r="O1611" s="188">
        <v>1</v>
      </c>
      <c r="P1611" s="188">
        <v>1</v>
      </c>
      <c r="Q1611" s="188">
        <v>1</v>
      </c>
      <c r="R1611" s="189">
        <v>18.170000000000002</v>
      </c>
      <c r="S1611" s="189" t="s">
        <v>573</v>
      </c>
    </row>
    <row r="1612" spans="1:19" ht="14.25" customHeight="1" x14ac:dyDescent="0.3">
      <c r="A1612" s="182" t="s">
        <v>3996</v>
      </c>
      <c r="B1612" s="182" t="s">
        <v>908</v>
      </c>
      <c r="C1612" s="182" t="s">
        <v>909</v>
      </c>
      <c r="D1612" s="182" t="s">
        <v>4016</v>
      </c>
      <c r="E1612" s="183" t="s">
        <v>4017</v>
      </c>
      <c r="F1612" s="183" t="s">
        <v>600</v>
      </c>
      <c r="G1612" s="184">
        <v>1</v>
      </c>
      <c r="H1612" s="185">
        <v>0</v>
      </c>
      <c r="I1612" s="186">
        <v>40000</v>
      </c>
      <c r="J1612" s="187">
        <v>40000</v>
      </c>
      <c r="K1612" s="182" t="s">
        <v>4001</v>
      </c>
      <c r="L1612" s="182">
        <v>9</v>
      </c>
      <c r="M1612" s="182" t="s">
        <v>4018</v>
      </c>
      <c r="N1612" s="186">
        <v>1</v>
      </c>
      <c r="O1612" s="188">
        <v>1</v>
      </c>
      <c r="P1612" s="188">
        <v>1</v>
      </c>
      <c r="Q1612" s="188">
        <v>1</v>
      </c>
      <c r="R1612" s="189">
        <v>18.170000000000002</v>
      </c>
      <c r="S1612" s="189" t="s">
        <v>573</v>
      </c>
    </row>
    <row r="1613" spans="1:19" ht="14.25" customHeight="1" x14ac:dyDescent="0.3">
      <c r="A1613" s="182" t="s">
        <v>3996</v>
      </c>
      <c r="B1613" s="182" t="s">
        <v>908</v>
      </c>
      <c r="C1613" s="182" t="s">
        <v>909</v>
      </c>
      <c r="D1613" s="182" t="s">
        <v>4019</v>
      </c>
      <c r="E1613" s="183" t="s">
        <v>4020</v>
      </c>
      <c r="F1613" s="183" t="s">
        <v>600</v>
      </c>
      <c r="G1613" s="184">
        <v>2</v>
      </c>
      <c r="H1613" s="185">
        <v>0</v>
      </c>
      <c r="I1613" s="186">
        <v>85894.23</v>
      </c>
      <c r="J1613" s="187">
        <v>171788.46</v>
      </c>
      <c r="K1613" s="182" t="s">
        <v>4001</v>
      </c>
      <c r="L1613" s="182">
        <v>10</v>
      </c>
      <c r="M1613" s="182" t="s">
        <v>4021</v>
      </c>
      <c r="N1613" s="186">
        <v>1</v>
      </c>
      <c r="O1613" s="188">
        <v>2</v>
      </c>
      <c r="P1613" s="188">
        <v>1</v>
      </c>
      <c r="Q1613" s="188">
        <v>2</v>
      </c>
      <c r="R1613" s="189">
        <v>18.170000000000002</v>
      </c>
      <c r="S1613" s="189" t="s">
        <v>573</v>
      </c>
    </row>
    <row r="1614" spans="1:19" ht="14.25" customHeight="1" x14ac:dyDescent="0.3">
      <c r="A1614" s="182" t="s">
        <v>3996</v>
      </c>
      <c r="B1614" s="182" t="s">
        <v>937</v>
      </c>
      <c r="C1614" s="182" t="s">
        <v>909</v>
      </c>
      <c r="D1614" s="182" t="s">
        <v>4022</v>
      </c>
      <c r="E1614" s="183" t="s">
        <v>4023</v>
      </c>
      <c r="F1614" s="183" t="s">
        <v>941</v>
      </c>
      <c r="G1614" s="184">
        <v>1</v>
      </c>
      <c r="H1614" s="185">
        <v>0</v>
      </c>
      <c r="I1614" s="186">
        <v>232812.45</v>
      </c>
      <c r="J1614" s="187">
        <v>232812.45</v>
      </c>
      <c r="K1614" s="182" t="s">
        <v>4024</v>
      </c>
      <c r="L1614" s="182">
        <v>1</v>
      </c>
      <c r="M1614" s="182" t="s">
        <v>4025</v>
      </c>
      <c r="N1614" s="186">
        <v>1</v>
      </c>
      <c r="O1614" s="188">
        <v>1</v>
      </c>
      <c r="P1614" s="188">
        <v>1</v>
      </c>
      <c r="Q1614" s="188">
        <v>1</v>
      </c>
      <c r="R1614" s="189">
        <v>18.170000000000002</v>
      </c>
      <c r="S1614" s="189" t="s">
        <v>573</v>
      </c>
    </row>
    <row r="1615" spans="1:19" ht="14.25" customHeight="1" x14ac:dyDescent="0.3">
      <c r="A1615" s="182" t="s">
        <v>4026</v>
      </c>
      <c r="B1615" s="182" t="s">
        <v>563</v>
      </c>
      <c r="C1615" s="182"/>
      <c r="D1615" s="182" t="s">
        <v>4027</v>
      </c>
      <c r="E1615" s="183" t="s">
        <v>4028</v>
      </c>
      <c r="F1615" s="183"/>
      <c r="G1615" s="184">
        <v>1</v>
      </c>
      <c r="H1615" s="185">
        <v>0</v>
      </c>
      <c r="I1615" s="186">
        <v>5888.0883607438</v>
      </c>
      <c r="J1615" s="187">
        <v>5888.0883607438</v>
      </c>
      <c r="K1615" s="182" t="s">
        <v>4029</v>
      </c>
      <c r="L1615" s="182">
        <v>1</v>
      </c>
      <c r="M1615" s="182" t="s">
        <v>4030</v>
      </c>
      <c r="N1615" s="186">
        <v>1</v>
      </c>
      <c r="O1615" s="188">
        <v>1</v>
      </c>
      <c r="P1615" s="188">
        <v>2</v>
      </c>
      <c r="Q1615" s="188">
        <v>2</v>
      </c>
      <c r="R1615" s="189">
        <v>18.18</v>
      </c>
      <c r="S1615" s="189" t="s">
        <v>573</v>
      </c>
    </row>
    <row r="1616" spans="1:19" ht="14.25" customHeight="1" x14ac:dyDescent="0.3">
      <c r="A1616" s="182" t="s">
        <v>4026</v>
      </c>
      <c r="B1616" s="182" t="s">
        <v>908</v>
      </c>
      <c r="C1616" s="182" t="s">
        <v>909</v>
      </c>
      <c r="D1616" s="182" t="s">
        <v>976</v>
      </c>
      <c r="E1616" s="183" t="s">
        <v>977</v>
      </c>
      <c r="F1616" s="183" t="s">
        <v>576</v>
      </c>
      <c r="G1616" s="184">
        <v>26621.129000000001</v>
      </c>
      <c r="H1616" s="185">
        <v>0</v>
      </c>
      <c r="I1616" s="186">
        <v>1</v>
      </c>
      <c r="J1616" s="187">
        <v>26621.129000000001</v>
      </c>
      <c r="K1616" s="182" t="s">
        <v>4031</v>
      </c>
      <c r="L1616" s="182">
        <v>1</v>
      </c>
      <c r="M1616" s="182" t="s">
        <v>4032</v>
      </c>
      <c r="N1616" s="186">
        <v>1</v>
      </c>
      <c r="O1616" s="188">
        <v>26621.129000000001</v>
      </c>
      <c r="P1616" s="188">
        <v>2</v>
      </c>
      <c r="Q1616" s="188">
        <v>53242.258000000002</v>
      </c>
      <c r="R1616" s="189">
        <v>18.18</v>
      </c>
      <c r="S1616" s="189" t="s">
        <v>573</v>
      </c>
    </row>
    <row r="1617" spans="1:19" ht="14.25" customHeight="1" x14ac:dyDescent="0.3">
      <c r="A1617" s="182" t="s">
        <v>4026</v>
      </c>
      <c r="B1617" s="182" t="s">
        <v>908</v>
      </c>
      <c r="C1617" s="182" t="s">
        <v>909</v>
      </c>
      <c r="D1617" s="182" t="s">
        <v>3953</v>
      </c>
      <c r="E1617" s="183" t="s">
        <v>3954</v>
      </c>
      <c r="F1617" s="183" t="s">
        <v>600</v>
      </c>
      <c r="G1617" s="184">
        <v>3</v>
      </c>
      <c r="H1617" s="185">
        <v>0</v>
      </c>
      <c r="I1617" s="186">
        <v>3656.19834710744</v>
      </c>
      <c r="J1617" s="187">
        <v>10968.5950413223</v>
      </c>
      <c r="K1617" s="182" t="s">
        <v>4031</v>
      </c>
      <c r="L1617" s="182">
        <v>2</v>
      </c>
      <c r="M1617" s="182" t="s">
        <v>4033</v>
      </c>
      <c r="N1617" s="186">
        <v>1</v>
      </c>
      <c r="O1617" s="188">
        <v>3</v>
      </c>
      <c r="P1617" s="188">
        <v>2</v>
      </c>
      <c r="Q1617" s="188">
        <v>6</v>
      </c>
      <c r="R1617" s="189">
        <v>18.18</v>
      </c>
      <c r="S1617" s="189" t="s">
        <v>573</v>
      </c>
    </row>
    <row r="1618" spans="1:19" ht="14.25" customHeight="1" x14ac:dyDescent="0.3">
      <c r="A1618" s="182" t="s">
        <v>4026</v>
      </c>
      <c r="B1618" s="182" t="s">
        <v>908</v>
      </c>
      <c r="C1618" s="182" t="s">
        <v>909</v>
      </c>
      <c r="D1618" s="182" t="s">
        <v>3971</v>
      </c>
      <c r="E1618" s="183" t="s">
        <v>3972</v>
      </c>
      <c r="F1618" s="183" t="s">
        <v>600</v>
      </c>
      <c r="G1618" s="184">
        <v>2</v>
      </c>
      <c r="H1618" s="185">
        <v>0</v>
      </c>
      <c r="I1618" s="186">
        <v>5287.23</v>
      </c>
      <c r="J1618" s="187">
        <v>10574.46</v>
      </c>
      <c r="K1618" s="182" t="s">
        <v>4031</v>
      </c>
      <c r="L1618" s="182">
        <v>3</v>
      </c>
      <c r="M1618" s="182" t="s">
        <v>4034</v>
      </c>
      <c r="N1618" s="186">
        <v>1</v>
      </c>
      <c r="O1618" s="188">
        <v>2</v>
      </c>
      <c r="P1618" s="188">
        <v>2</v>
      </c>
      <c r="Q1618" s="188">
        <v>4</v>
      </c>
      <c r="R1618" s="189">
        <v>18.18</v>
      </c>
      <c r="S1618" s="189" t="s">
        <v>573</v>
      </c>
    </row>
    <row r="1619" spans="1:19" ht="14.25" customHeight="1" x14ac:dyDescent="0.3">
      <c r="A1619" s="182" t="s">
        <v>4026</v>
      </c>
      <c r="B1619" s="182" t="s">
        <v>908</v>
      </c>
      <c r="C1619" s="182" t="s">
        <v>909</v>
      </c>
      <c r="D1619" s="182" t="s">
        <v>3983</v>
      </c>
      <c r="E1619" s="183" t="s">
        <v>3984</v>
      </c>
      <c r="F1619" s="183" t="s">
        <v>600</v>
      </c>
      <c r="G1619" s="184">
        <v>1</v>
      </c>
      <c r="H1619" s="185">
        <v>0</v>
      </c>
      <c r="I1619" s="186">
        <v>14702.99</v>
      </c>
      <c r="J1619" s="187">
        <v>14702.99</v>
      </c>
      <c r="K1619" s="182" t="s">
        <v>4031</v>
      </c>
      <c r="L1619" s="182">
        <v>4</v>
      </c>
      <c r="M1619" s="182" t="s">
        <v>4035</v>
      </c>
      <c r="N1619" s="186">
        <v>1</v>
      </c>
      <c r="O1619" s="188">
        <v>1</v>
      </c>
      <c r="P1619" s="188">
        <v>2</v>
      </c>
      <c r="Q1619" s="188">
        <v>2</v>
      </c>
      <c r="R1619" s="189">
        <v>18.18</v>
      </c>
      <c r="S1619" s="189" t="s">
        <v>573</v>
      </c>
    </row>
    <row r="1620" spans="1:19" ht="14.25" customHeight="1" x14ac:dyDescent="0.3">
      <c r="A1620" s="182" t="s">
        <v>4026</v>
      </c>
      <c r="B1620" s="182" t="s">
        <v>908</v>
      </c>
      <c r="C1620" s="182" t="s">
        <v>909</v>
      </c>
      <c r="D1620" s="182" t="s">
        <v>4007</v>
      </c>
      <c r="E1620" s="183" t="s">
        <v>4008</v>
      </c>
      <c r="F1620" s="183" t="s">
        <v>600</v>
      </c>
      <c r="G1620" s="184">
        <v>1</v>
      </c>
      <c r="H1620" s="185">
        <v>0</v>
      </c>
      <c r="I1620" s="186">
        <v>51844.93</v>
      </c>
      <c r="J1620" s="187">
        <v>51844.93</v>
      </c>
      <c r="K1620" s="182" t="s">
        <v>4031</v>
      </c>
      <c r="L1620" s="182">
        <v>5</v>
      </c>
      <c r="M1620" s="182" t="s">
        <v>4036</v>
      </c>
      <c r="N1620" s="186">
        <v>1</v>
      </c>
      <c r="O1620" s="188">
        <v>1</v>
      </c>
      <c r="P1620" s="188">
        <v>2</v>
      </c>
      <c r="Q1620" s="188">
        <v>2</v>
      </c>
      <c r="R1620" s="189">
        <v>18.18</v>
      </c>
      <c r="S1620" s="189" t="s">
        <v>573</v>
      </c>
    </row>
    <row r="1621" spans="1:19" ht="14.25" customHeight="1" x14ac:dyDescent="0.3">
      <c r="A1621" s="182" t="s">
        <v>4026</v>
      </c>
      <c r="B1621" s="182" t="s">
        <v>908</v>
      </c>
      <c r="C1621" s="182" t="s">
        <v>909</v>
      </c>
      <c r="D1621" s="182" t="s">
        <v>4010</v>
      </c>
      <c r="E1621" s="183" t="s">
        <v>4011</v>
      </c>
      <c r="F1621" s="183" t="s">
        <v>600</v>
      </c>
      <c r="G1621" s="184">
        <v>1</v>
      </c>
      <c r="H1621" s="185">
        <v>0</v>
      </c>
      <c r="I1621" s="186">
        <v>33851.08</v>
      </c>
      <c r="J1621" s="187">
        <v>33851.08</v>
      </c>
      <c r="K1621" s="182" t="s">
        <v>4031</v>
      </c>
      <c r="L1621" s="182">
        <v>6</v>
      </c>
      <c r="M1621" s="182" t="s">
        <v>4037</v>
      </c>
      <c r="N1621" s="186">
        <v>1</v>
      </c>
      <c r="O1621" s="188">
        <v>1</v>
      </c>
      <c r="P1621" s="188">
        <v>2</v>
      </c>
      <c r="Q1621" s="188">
        <v>2</v>
      </c>
      <c r="R1621" s="189">
        <v>18.18</v>
      </c>
      <c r="S1621" s="189" t="s">
        <v>573</v>
      </c>
    </row>
    <row r="1622" spans="1:19" ht="14.25" customHeight="1" x14ac:dyDescent="0.3">
      <c r="A1622" s="182" t="s">
        <v>4026</v>
      </c>
      <c r="B1622" s="182" t="s">
        <v>908</v>
      </c>
      <c r="C1622" s="182" t="s">
        <v>909</v>
      </c>
      <c r="D1622" s="182" t="s">
        <v>4038</v>
      </c>
      <c r="E1622" s="183" t="s">
        <v>4039</v>
      </c>
      <c r="F1622" s="183" t="s">
        <v>600</v>
      </c>
      <c r="G1622" s="184">
        <v>1</v>
      </c>
      <c r="H1622" s="185">
        <v>0</v>
      </c>
      <c r="I1622" s="186">
        <v>11163.59</v>
      </c>
      <c r="J1622" s="187">
        <v>11163.59</v>
      </c>
      <c r="K1622" s="182" t="s">
        <v>4031</v>
      </c>
      <c r="L1622" s="182">
        <v>7</v>
      </c>
      <c r="M1622" s="182" t="s">
        <v>4040</v>
      </c>
      <c r="N1622" s="186">
        <v>1</v>
      </c>
      <c r="O1622" s="188">
        <v>1</v>
      </c>
      <c r="P1622" s="188">
        <v>2</v>
      </c>
      <c r="Q1622" s="188">
        <v>2</v>
      </c>
      <c r="R1622" s="189">
        <v>18.18</v>
      </c>
      <c r="S1622" s="189" t="s">
        <v>573</v>
      </c>
    </row>
    <row r="1623" spans="1:19" ht="14.25" customHeight="1" x14ac:dyDescent="0.3">
      <c r="A1623" s="182" t="s">
        <v>4026</v>
      </c>
      <c r="B1623" s="182" t="s">
        <v>937</v>
      </c>
      <c r="C1623" s="182" t="s">
        <v>909</v>
      </c>
      <c r="D1623" s="182" t="s">
        <v>4022</v>
      </c>
      <c r="E1623" s="183" t="s">
        <v>4023</v>
      </c>
      <c r="F1623" s="183" t="s">
        <v>941</v>
      </c>
      <c r="G1623" s="184">
        <v>1</v>
      </c>
      <c r="H1623" s="185">
        <v>0</v>
      </c>
      <c r="I1623" s="186">
        <v>232812.45</v>
      </c>
      <c r="J1623" s="187">
        <v>232812.45</v>
      </c>
      <c r="K1623" s="182" t="s">
        <v>4041</v>
      </c>
      <c r="L1623" s="182">
        <v>1</v>
      </c>
      <c r="M1623" s="182" t="s">
        <v>4042</v>
      </c>
      <c r="N1623" s="186">
        <v>1</v>
      </c>
      <c r="O1623" s="188">
        <v>1</v>
      </c>
      <c r="P1623" s="188">
        <v>2</v>
      </c>
      <c r="Q1623" s="188">
        <v>2</v>
      </c>
      <c r="R1623" s="189">
        <v>18.18</v>
      </c>
      <c r="S1623" s="189" t="s">
        <v>573</v>
      </c>
    </row>
    <row r="1624" spans="1:19" ht="14.25" customHeight="1" x14ac:dyDescent="0.3">
      <c r="A1624" s="182" t="s">
        <v>4043</v>
      </c>
      <c r="B1624" s="182" t="s">
        <v>563</v>
      </c>
      <c r="C1624" s="182"/>
      <c r="D1624" s="182" t="s">
        <v>4044</v>
      </c>
      <c r="E1624" s="183" t="s">
        <v>4045</v>
      </c>
      <c r="F1624" s="183"/>
      <c r="G1624" s="184">
        <v>1</v>
      </c>
      <c r="H1624" s="185">
        <v>0</v>
      </c>
      <c r="I1624" s="186">
        <v>6602.35923</v>
      </c>
      <c r="J1624" s="187">
        <v>6602.35923</v>
      </c>
      <c r="K1624" s="182" t="s">
        <v>4046</v>
      </c>
      <c r="L1624" s="182">
        <v>1</v>
      </c>
      <c r="M1624" s="182" t="s">
        <v>4047</v>
      </c>
      <c r="N1624" s="186">
        <v>1</v>
      </c>
      <c r="O1624" s="188">
        <v>1</v>
      </c>
      <c r="P1624" s="188">
        <v>9</v>
      </c>
      <c r="Q1624" s="188">
        <v>9</v>
      </c>
      <c r="R1624" s="189">
        <v>18.190000000000001</v>
      </c>
      <c r="S1624" s="189" t="s">
        <v>573</v>
      </c>
    </row>
    <row r="1625" spans="1:19" ht="14.25" customHeight="1" x14ac:dyDescent="0.3">
      <c r="A1625" s="182" t="s">
        <v>4043</v>
      </c>
      <c r="B1625" s="182" t="s">
        <v>908</v>
      </c>
      <c r="C1625" s="182" t="s">
        <v>909</v>
      </c>
      <c r="D1625" s="182" t="s">
        <v>976</v>
      </c>
      <c r="E1625" s="183" t="s">
        <v>977</v>
      </c>
      <c r="F1625" s="183" t="s">
        <v>576</v>
      </c>
      <c r="G1625" s="184">
        <v>34557.472000000002</v>
      </c>
      <c r="H1625" s="185">
        <v>0</v>
      </c>
      <c r="I1625" s="186">
        <v>1</v>
      </c>
      <c r="J1625" s="187">
        <v>34557.472000000002</v>
      </c>
      <c r="K1625" s="182" t="s">
        <v>4048</v>
      </c>
      <c r="L1625" s="182">
        <v>1</v>
      </c>
      <c r="M1625" s="182" t="s">
        <v>4049</v>
      </c>
      <c r="N1625" s="186">
        <v>1</v>
      </c>
      <c r="O1625" s="188">
        <v>34557.472000000002</v>
      </c>
      <c r="P1625" s="188">
        <v>9</v>
      </c>
      <c r="Q1625" s="188">
        <v>311017.24800000002</v>
      </c>
      <c r="R1625" s="189">
        <v>18.190000000000001</v>
      </c>
      <c r="S1625" s="189" t="s">
        <v>573</v>
      </c>
    </row>
    <row r="1626" spans="1:19" ht="14.25" customHeight="1" x14ac:dyDescent="0.3">
      <c r="A1626" s="182" t="s">
        <v>4043</v>
      </c>
      <c r="B1626" s="182" t="s">
        <v>908</v>
      </c>
      <c r="C1626" s="182" t="s">
        <v>909</v>
      </c>
      <c r="D1626" s="182" t="s">
        <v>3956</v>
      </c>
      <c r="E1626" s="183" t="s">
        <v>3957</v>
      </c>
      <c r="F1626" s="183" t="s">
        <v>600</v>
      </c>
      <c r="G1626" s="184">
        <v>1</v>
      </c>
      <c r="H1626" s="185">
        <v>0</v>
      </c>
      <c r="I1626" s="186">
        <v>35881.19</v>
      </c>
      <c r="J1626" s="187">
        <v>35881.19</v>
      </c>
      <c r="K1626" s="182" t="s">
        <v>4048</v>
      </c>
      <c r="L1626" s="182">
        <v>2</v>
      </c>
      <c r="M1626" s="182" t="s">
        <v>4050</v>
      </c>
      <c r="N1626" s="186">
        <v>1</v>
      </c>
      <c r="O1626" s="188">
        <v>1</v>
      </c>
      <c r="P1626" s="188">
        <v>9</v>
      </c>
      <c r="Q1626" s="188">
        <v>9</v>
      </c>
      <c r="R1626" s="189">
        <v>18.190000000000001</v>
      </c>
      <c r="S1626" s="189" t="s">
        <v>573</v>
      </c>
    </row>
    <row r="1627" spans="1:19" ht="14.25" customHeight="1" x14ac:dyDescent="0.3">
      <c r="A1627" s="182" t="s">
        <v>4043</v>
      </c>
      <c r="B1627" s="182" t="s">
        <v>908</v>
      </c>
      <c r="C1627" s="182" t="s">
        <v>909</v>
      </c>
      <c r="D1627" s="182" t="s">
        <v>4038</v>
      </c>
      <c r="E1627" s="183" t="s">
        <v>4039</v>
      </c>
      <c r="F1627" s="183" t="s">
        <v>600</v>
      </c>
      <c r="G1627" s="184">
        <v>1</v>
      </c>
      <c r="H1627" s="185">
        <v>0</v>
      </c>
      <c r="I1627" s="186">
        <v>11163.59</v>
      </c>
      <c r="J1627" s="187">
        <v>11163.59</v>
      </c>
      <c r="K1627" s="182" t="s">
        <v>4048</v>
      </c>
      <c r="L1627" s="182">
        <v>3</v>
      </c>
      <c r="M1627" s="182" t="s">
        <v>4051</v>
      </c>
      <c r="N1627" s="186">
        <v>1</v>
      </c>
      <c r="O1627" s="188">
        <v>1</v>
      </c>
      <c r="P1627" s="188">
        <v>9</v>
      </c>
      <c r="Q1627" s="188">
        <v>9</v>
      </c>
      <c r="R1627" s="189">
        <v>18.190000000000001</v>
      </c>
      <c r="S1627" s="189" t="s">
        <v>573</v>
      </c>
    </row>
    <row r="1628" spans="1:19" ht="14.25" customHeight="1" x14ac:dyDescent="0.3">
      <c r="A1628" s="182" t="s">
        <v>4043</v>
      </c>
      <c r="B1628" s="182" t="s">
        <v>908</v>
      </c>
      <c r="C1628" s="182" t="s">
        <v>909</v>
      </c>
      <c r="D1628" s="182" t="s">
        <v>4052</v>
      </c>
      <c r="E1628" s="183" t="s">
        <v>4053</v>
      </c>
      <c r="F1628" s="183" t="s">
        <v>600</v>
      </c>
      <c r="G1628" s="184">
        <v>3</v>
      </c>
      <c r="H1628" s="185">
        <v>0</v>
      </c>
      <c r="I1628" s="186">
        <v>18770.66</v>
      </c>
      <c r="J1628" s="187">
        <v>56311.98</v>
      </c>
      <c r="K1628" s="182" t="s">
        <v>4048</v>
      </c>
      <c r="L1628" s="182">
        <v>4</v>
      </c>
      <c r="M1628" s="182" t="s">
        <v>4054</v>
      </c>
      <c r="N1628" s="186">
        <v>1</v>
      </c>
      <c r="O1628" s="188">
        <v>3</v>
      </c>
      <c r="P1628" s="188">
        <v>9</v>
      </c>
      <c r="Q1628" s="188">
        <v>27</v>
      </c>
      <c r="R1628" s="189">
        <v>18.190000000000001</v>
      </c>
      <c r="S1628" s="189" t="s">
        <v>573</v>
      </c>
    </row>
    <row r="1629" spans="1:19" ht="14.25" customHeight="1" x14ac:dyDescent="0.3">
      <c r="A1629" s="182" t="s">
        <v>4043</v>
      </c>
      <c r="B1629" s="182" t="s">
        <v>908</v>
      </c>
      <c r="C1629" s="182" t="s">
        <v>909</v>
      </c>
      <c r="D1629" s="182" t="s">
        <v>4055</v>
      </c>
      <c r="E1629" s="183" t="s">
        <v>4056</v>
      </c>
      <c r="F1629" s="183" t="s">
        <v>600</v>
      </c>
      <c r="G1629" s="184">
        <v>2</v>
      </c>
      <c r="H1629" s="185">
        <v>0</v>
      </c>
      <c r="I1629" s="186">
        <v>5287.23</v>
      </c>
      <c r="J1629" s="187">
        <v>10574.46</v>
      </c>
      <c r="K1629" s="182" t="s">
        <v>4048</v>
      </c>
      <c r="L1629" s="182">
        <v>5</v>
      </c>
      <c r="M1629" s="182" t="s">
        <v>4057</v>
      </c>
      <c r="N1629" s="186">
        <v>1</v>
      </c>
      <c r="O1629" s="188">
        <v>2</v>
      </c>
      <c r="P1629" s="188">
        <v>9</v>
      </c>
      <c r="Q1629" s="188">
        <v>18</v>
      </c>
      <c r="R1629" s="189">
        <v>18.190000000000001</v>
      </c>
      <c r="S1629" s="189" t="s">
        <v>573</v>
      </c>
    </row>
    <row r="1630" spans="1:19" ht="14.25" customHeight="1" x14ac:dyDescent="0.3">
      <c r="A1630" s="182" t="s">
        <v>4043</v>
      </c>
      <c r="B1630" s="182" t="s">
        <v>908</v>
      </c>
      <c r="C1630" s="182" t="s">
        <v>909</v>
      </c>
      <c r="D1630" s="182" t="s">
        <v>4058</v>
      </c>
      <c r="E1630" s="183" t="s">
        <v>4059</v>
      </c>
      <c r="F1630" s="183" t="s">
        <v>600</v>
      </c>
      <c r="G1630" s="184">
        <v>5</v>
      </c>
      <c r="H1630" s="185">
        <v>0</v>
      </c>
      <c r="I1630" s="186">
        <v>5287.23</v>
      </c>
      <c r="J1630" s="187">
        <v>26436.15</v>
      </c>
      <c r="K1630" s="182" t="s">
        <v>4048</v>
      </c>
      <c r="L1630" s="182">
        <v>6</v>
      </c>
      <c r="M1630" s="182" t="s">
        <v>4060</v>
      </c>
      <c r="N1630" s="186">
        <v>1</v>
      </c>
      <c r="O1630" s="188">
        <v>5</v>
      </c>
      <c r="P1630" s="188">
        <v>9</v>
      </c>
      <c r="Q1630" s="188">
        <v>45</v>
      </c>
      <c r="R1630" s="189">
        <v>18.190000000000001</v>
      </c>
      <c r="S1630" s="189" t="s">
        <v>573</v>
      </c>
    </row>
    <row r="1631" spans="1:19" ht="14.25" customHeight="1" x14ac:dyDescent="0.3">
      <c r="A1631" s="182" t="s">
        <v>4043</v>
      </c>
      <c r="B1631" s="182" t="s">
        <v>908</v>
      </c>
      <c r="C1631" s="182" t="s">
        <v>909</v>
      </c>
      <c r="D1631" s="182" t="s">
        <v>4061</v>
      </c>
      <c r="E1631" s="183" t="s">
        <v>4062</v>
      </c>
      <c r="F1631" s="183" t="s">
        <v>600</v>
      </c>
      <c r="G1631" s="184">
        <v>1</v>
      </c>
      <c r="H1631" s="185">
        <v>0</v>
      </c>
      <c r="I1631" s="186">
        <v>27320.39</v>
      </c>
      <c r="J1631" s="187">
        <v>27320.39</v>
      </c>
      <c r="K1631" s="182" t="s">
        <v>4048</v>
      </c>
      <c r="L1631" s="182">
        <v>7</v>
      </c>
      <c r="M1631" s="182" t="s">
        <v>4063</v>
      </c>
      <c r="N1631" s="186">
        <v>1</v>
      </c>
      <c r="O1631" s="188">
        <v>1</v>
      </c>
      <c r="P1631" s="188">
        <v>9</v>
      </c>
      <c r="Q1631" s="188">
        <v>9</v>
      </c>
      <c r="R1631" s="189">
        <v>18.190000000000001</v>
      </c>
      <c r="S1631" s="189" t="s">
        <v>573</v>
      </c>
    </row>
    <row r="1632" spans="1:19" ht="14.25" customHeight="1" x14ac:dyDescent="0.3">
      <c r="A1632" s="182" t="s">
        <v>4043</v>
      </c>
      <c r="B1632" s="182" t="s">
        <v>908</v>
      </c>
      <c r="C1632" s="182" t="s">
        <v>909</v>
      </c>
      <c r="D1632" s="182" t="s">
        <v>4064</v>
      </c>
      <c r="E1632" s="183" t="s">
        <v>4065</v>
      </c>
      <c r="F1632" s="183" t="s">
        <v>600</v>
      </c>
      <c r="G1632" s="184">
        <v>1</v>
      </c>
      <c r="H1632" s="185">
        <v>0</v>
      </c>
      <c r="I1632" s="186">
        <v>5099.6000000000004</v>
      </c>
      <c r="J1632" s="187">
        <v>5099.6000000000004</v>
      </c>
      <c r="K1632" s="182" t="s">
        <v>4048</v>
      </c>
      <c r="L1632" s="182">
        <v>8</v>
      </c>
      <c r="M1632" s="182" t="s">
        <v>4066</v>
      </c>
      <c r="N1632" s="186">
        <v>1</v>
      </c>
      <c r="O1632" s="188">
        <v>1</v>
      </c>
      <c r="P1632" s="188">
        <v>9</v>
      </c>
      <c r="Q1632" s="188">
        <v>9</v>
      </c>
      <c r="R1632" s="189">
        <v>18.190000000000001</v>
      </c>
      <c r="S1632" s="189" t="s">
        <v>573</v>
      </c>
    </row>
    <row r="1633" spans="1:19" ht="14.25" customHeight="1" x14ac:dyDescent="0.3">
      <c r="A1633" s="182" t="s">
        <v>4043</v>
      </c>
      <c r="B1633" s="182" t="s">
        <v>937</v>
      </c>
      <c r="C1633" s="182" t="s">
        <v>909</v>
      </c>
      <c r="D1633" s="182" t="s">
        <v>4022</v>
      </c>
      <c r="E1633" s="183" t="s">
        <v>4023</v>
      </c>
      <c r="F1633" s="183" t="s">
        <v>941</v>
      </c>
      <c r="G1633" s="184">
        <v>1</v>
      </c>
      <c r="H1633" s="185">
        <v>0</v>
      </c>
      <c r="I1633" s="186">
        <v>232812.45</v>
      </c>
      <c r="J1633" s="187">
        <v>232812.45</v>
      </c>
      <c r="K1633" s="182" t="s">
        <v>4067</v>
      </c>
      <c r="L1633" s="182">
        <v>1</v>
      </c>
      <c r="M1633" s="182" t="s">
        <v>4068</v>
      </c>
      <c r="N1633" s="186">
        <v>1</v>
      </c>
      <c r="O1633" s="188">
        <v>1</v>
      </c>
      <c r="P1633" s="188">
        <v>9</v>
      </c>
      <c r="Q1633" s="188">
        <v>9</v>
      </c>
      <c r="R1633" s="189">
        <v>18.190000000000001</v>
      </c>
      <c r="S1633" s="189" t="s">
        <v>573</v>
      </c>
    </row>
    <row r="1634" spans="1:19" ht="14.25" customHeight="1" x14ac:dyDescent="0.3">
      <c r="A1634" s="182" t="s">
        <v>4069</v>
      </c>
      <c r="B1634" s="182" t="s">
        <v>563</v>
      </c>
      <c r="C1634" s="182"/>
      <c r="D1634" s="182" t="s">
        <v>4070</v>
      </c>
      <c r="E1634" s="183" t="s">
        <v>4071</v>
      </c>
      <c r="F1634" s="183"/>
      <c r="G1634" s="184">
        <v>1</v>
      </c>
      <c r="H1634" s="185">
        <v>0</v>
      </c>
      <c r="I1634" s="186">
        <v>70727.339200190603</v>
      </c>
      <c r="J1634" s="187">
        <v>70727.339200190603</v>
      </c>
      <c r="K1634" s="182" t="s">
        <v>4072</v>
      </c>
      <c r="L1634" s="182">
        <v>1</v>
      </c>
      <c r="M1634" s="182" t="s">
        <v>4073</v>
      </c>
      <c r="N1634" s="186">
        <v>1</v>
      </c>
      <c r="O1634" s="188">
        <v>1</v>
      </c>
      <c r="P1634" s="188">
        <v>1</v>
      </c>
      <c r="Q1634" s="188">
        <v>1</v>
      </c>
      <c r="R1634" s="189">
        <v>18.2</v>
      </c>
      <c r="S1634" s="189" t="s">
        <v>4074</v>
      </c>
    </row>
    <row r="1635" spans="1:19" ht="14.25" customHeight="1" x14ac:dyDescent="0.3">
      <c r="A1635" s="182" t="s">
        <v>4069</v>
      </c>
      <c r="B1635" s="182" t="s">
        <v>908</v>
      </c>
      <c r="C1635" s="182" t="s">
        <v>909</v>
      </c>
      <c r="D1635" s="182" t="s">
        <v>976</v>
      </c>
      <c r="E1635" s="183" t="s">
        <v>977</v>
      </c>
      <c r="F1635" s="183" t="s">
        <v>576</v>
      </c>
      <c r="G1635" s="184">
        <v>417515.77289999998</v>
      </c>
      <c r="H1635" s="185">
        <v>0</v>
      </c>
      <c r="I1635" s="186">
        <v>1</v>
      </c>
      <c r="J1635" s="187">
        <v>417515.77289999998</v>
      </c>
      <c r="K1635" s="182" t="s">
        <v>4075</v>
      </c>
      <c r="L1635" s="182">
        <v>1</v>
      </c>
      <c r="M1635" s="182" t="s">
        <v>4076</v>
      </c>
      <c r="N1635" s="186">
        <v>1</v>
      </c>
      <c r="O1635" s="188">
        <v>417515.77289999998</v>
      </c>
      <c r="P1635" s="188">
        <v>1</v>
      </c>
      <c r="Q1635" s="188">
        <v>417515.77289999998</v>
      </c>
      <c r="R1635" s="189">
        <v>18.2</v>
      </c>
      <c r="S1635" s="189" t="s">
        <v>4074</v>
      </c>
    </row>
    <row r="1636" spans="1:19" ht="14.25" customHeight="1" x14ac:dyDescent="0.3">
      <c r="A1636" s="182" t="s">
        <v>4069</v>
      </c>
      <c r="B1636" s="182" t="s">
        <v>908</v>
      </c>
      <c r="C1636" s="182" t="s">
        <v>909</v>
      </c>
      <c r="D1636" s="182" t="s">
        <v>4077</v>
      </c>
      <c r="E1636" s="183" t="s">
        <v>4078</v>
      </c>
      <c r="F1636" s="183" t="s">
        <v>600</v>
      </c>
      <c r="G1636" s="184">
        <v>100</v>
      </c>
      <c r="H1636" s="185">
        <v>0</v>
      </c>
      <c r="I1636" s="186">
        <v>1836.01</v>
      </c>
      <c r="J1636" s="187">
        <v>183601</v>
      </c>
      <c r="K1636" s="182" t="s">
        <v>4075</v>
      </c>
      <c r="L1636" s="182">
        <v>2</v>
      </c>
      <c r="M1636" s="182" t="s">
        <v>4079</v>
      </c>
      <c r="N1636" s="186">
        <v>1</v>
      </c>
      <c r="O1636" s="188">
        <v>100</v>
      </c>
      <c r="P1636" s="188">
        <v>1</v>
      </c>
      <c r="Q1636" s="188">
        <v>100</v>
      </c>
      <c r="R1636" s="189">
        <v>18.2</v>
      </c>
      <c r="S1636" s="189" t="s">
        <v>4074</v>
      </c>
    </row>
    <row r="1637" spans="1:19" ht="14.25" customHeight="1" x14ac:dyDescent="0.3">
      <c r="A1637" s="182" t="s">
        <v>4069</v>
      </c>
      <c r="B1637" s="182" t="s">
        <v>908</v>
      </c>
      <c r="C1637" s="182" t="s">
        <v>909</v>
      </c>
      <c r="D1637" s="182" t="s">
        <v>4080</v>
      </c>
      <c r="E1637" s="183" t="s">
        <v>4081</v>
      </c>
      <c r="F1637" s="183" t="s">
        <v>600</v>
      </c>
      <c r="G1637" s="184">
        <v>25</v>
      </c>
      <c r="H1637" s="185">
        <v>0</v>
      </c>
      <c r="I1637" s="186">
        <v>5067.59</v>
      </c>
      <c r="J1637" s="187">
        <v>126689.75</v>
      </c>
      <c r="K1637" s="182" t="s">
        <v>4075</v>
      </c>
      <c r="L1637" s="182">
        <v>3</v>
      </c>
      <c r="M1637" s="182" t="s">
        <v>4082</v>
      </c>
      <c r="N1637" s="186">
        <v>1</v>
      </c>
      <c r="O1637" s="188">
        <v>25</v>
      </c>
      <c r="P1637" s="188">
        <v>1</v>
      </c>
      <c r="Q1637" s="188">
        <v>25</v>
      </c>
      <c r="R1637" s="189">
        <v>18.2</v>
      </c>
      <c r="S1637" s="189" t="s">
        <v>4074</v>
      </c>
    </row>
    <row r="1638" spans="1:19" ht="14.25" customHeight="1" x14ac:dyDescent="0.3">
      <c r="A1638" s="182" t="s">
        <v>4069</v>
      </c>
      <c r="B1638" s="182" t="s">
        <v>908</v>
      </c>
      <c r="C1638" s="182" t="s">
        <v>909</v>
      </c>
      <c r="D1638" s="182" t="s">
        <v>4083</v>
      </c>
      <c r="E1638" s="183" t="s">
        <v>4084</v>
      </c>
      <c r="F1638" s="183" t="s">
        <v>600</v>
      </c>
      <c r="G1638" s="184">
        <v>1.5</v>
      </c>
      <c r="H1638" s="185">
        <v>0</v>
      </c>
      <c r="I1638" s="186">
        <v>70761.600000000006</v>
      </c>
      <c r="J1638" s="187">
        <v>106142.39999999999</v>
      </c>
      <c r="K1638" s="182" t="s">
        <v>4075</v>
      </c>
      <c r="L1638" s="182">
        <v>4</v>
      </c>
      <c r="M1638" s="182" t="s">
        <v>4085</v>
      </c>
      <c r="N1638" s="186">
        <v>1</v>
      </c>
      <c r="O1638" s="188">
        <v>1.5</v>
      </c>
      <c r="P1638" s="188">
        <v>1</v>
      </c>
      <c r="Q1638" s="188">
        <v>1.5</v>
      </c>
      <c r="R1638" s="189">
        <v>18.2</v>
      </c>
      <c r="S1638" s="189" t="s">
        <v>4074</v>
      </c>
    </row>
    <row r="1639" spans="1:19" ht="14.25" customHeight="1" x14ac:dyDescent="0.3">
      <c r="A1639" s="182" t="s">
        <v>4069</v>
      </c>
      <c r="B1639" s="182" t="s">
        <v>908</v>
      </c>
      <c r="C1639" s="182" t="s">
        <v>909</v>
      </c>
      <c r="D1639" s="182" t="s">
        <v>4086</v>
      </c>
      <c r="E1639" s="183" t="s">
        <v>4087</v>
      </c>
      <c r="F1639" s="183" t="s">
        <v>600</v>
      </c>
      <c r="G1639" s="184">
        <v>100</v>
      </c>
      <c r="H1639" s="185">
        <v>0</v>
      </c>
      <c r="I1639" s="186">
        <v>954.29</v>
      </c>
      <c r="J1639" s="187">
        <v>95429</v>
      </c>
      <c r="K1639" s="182" t="s">
        <v>4075</v>
      </c>
      <c r="L1639" s="182">
        <v>5</v>
      </c>
      <c r="M1639" s="182" t="s">
        <v>4088</v>
      </c>
      <c r="N1639" s="186">
        <v>1</v>
      </c>
      <c r="O1639" s="188">
        <v>100</v>
      </c>
      <c r="P1639" s="188">
        <v>1</v>
      </c>
      <c r="Q1639" s="188">
        <v>100</v>
      </c>
      <c r="R1639" s="189">
        <v>18.2</v>
      </c>
      <c r="S1639" s="189" t="s">
        <v>4074</v>
      </c>
    </row>
    <row r="1640" spans="1:19" ht="14.25" customHeight="1" x14ac:dyDescent="0.3">
      <c r="A1640" s="182" t="s">
        <v>4069</v>
      </c>
      <c r="B1640" s="182" t="s">
        <v>908</v>
      </c>
      <c r="C1640" s="182" t="s">
        <v>909</v>
      </c>
      <c r="D1640" s="182" t="s">
        <v>4089</v>
      </c>
      <c r="E1640" s="183" t="s">
        <v>4090</v>
      </c>
      <c r="F1640" s="183" t="s">
        <v>600</v>
      </c>
      <c r="G1640" s="184">
        <v>300</v>
      </c>
      <c r="H1640" s="185">
        <v>0</v>
      </c>
      <c r="I1640" s="186">
        <v>670.34</v>
      </c>
      <c r="J1640" s="187">
        <v>201102</v>
      </c>
      <c r="K1640" s="182" t="s">
        <v>4075</v>
      </c>
      <c r="L1640" s="182">
        <v>6</v>
      </c>
      <c r="M1640" s="182" t="s">
        <v>4091</v>
      </c>
      <c r="N1640" s="186">
        <v>1</v>
      </c>
      <c r="O1640" s="188">
        <v>300</v>
      </c>
      <c r="P1640" s="188">
        <v>1</v>
      </c>
      <c r="Q1640" s="188">
        <v>300</v>
      </c>
      <c r="R1640" s="189">
        <v>18.2</v>
      </c>
      <c r="S1640" s="189" t="s">
        <v>4074</v>
      </c>
    </row>
    <row r="1641" spans="1:19" ht="14.25" customHeight="1" x14ac:dyDescent="0.3">
      <c r="A1641" s="182" t="s">
        <v>4069</v>
      </c>
      <c r="B1641" s="182" t="s">
        <v>908</v>
      </c>
      <c r="C1641" s="182" t="s">
        <v>909</v>
      </c>
      <c r="D1641" s="182" t="s">
        <v>4092</v>
      </c>
      <c r="E1641" s="183" t="s">
        <v>4093</v>
      </c>
      <c r="F1641" s="183" t="s">
        <v>600</v>
      </c>
      <c r="G1641" s="184">
        <v>12</v>
      </c>
      <c r="H1641" s="185">
        <v>0</v>
      </c>
      <c r="I1641" s="186">
        <v>16656.23</v>
      </c>
      <c r="J1641" s="187">
        <v>199874.76</v>
      </c>
      <c r="K1641" s="182" t="s">
        <v>4075</v>
      </c>
      <c r="L1641" s="182">
        <v>7</v>
      </c>
      <c r="M1641" s="182" t="s">
        <v>4094</v>
      </c>
      <c r="N1641" s="186">
        <v>1</v>
      </c>
      <c r="O1641" s="188">
        <v>12</v>
      </c>
      <c r="P1641" s="188">
        <v>1</v>
      </c>
      <c r="Q1641" s="188">
        <v>12</v>
      </c>
      <c r="R1641" s="189">
        <v>18.2</v>
      </c>
      <c r="S1641" s="189" t="s">
        <v>4074</v>
      </c>
    </row>
    <row r="1642" spans="1:19" ht="14.25" customHeight="1" x14ac:dyDescent="0.3">
      <c r="A1642" s="182" t="s">
        <v>4069</v>
      </c>
      <c r="B1642" s="182" t="s">
        <v>908</v>
      </c>
      <c r="C1642" s="182" t="s">
        <v>909</v>
      </c>
      <c r="D1642" s="182" t="s">
        <v>4095</v>
      </c>
      <c r="E1642" s="183" t="s">
        <v>4096</v>
      </c>
      <c r="F1642" s="183" t="s">
        <v>600</v>
      </c>
      <c r="G1642" s="184">
        <v>144</v>
      </c>
      <c r="H1642" s="185">
        <v>0</v>
      </c>
      <c r="I1642" s="186">
        <v>237.27</v>
      </c>
      <c r="J1642" s="187">
        <v>34166.879999999997</v>
      </c>
      <c r="K1642" s="182" t="s">
        <v>4075</v>
      </c>
      <c r="L1642" s="182">
        <v>8</v>
      </c>
      <c r="M1642" s="182" t="s">
        <v>4097</v>
      </c>
      <c r="N1642" s="186">
        <v>1</v>
      </c>
      <c r="O1642" s="188">
        <v>144</v>
      </c>
      <c r="P1642" s="188">
        <v>1</v>
      </c>
      <c r="Q1642" s="188">
        <v>144</v>
      </c>
      <c r="R1642" s="189">
        <v>18.2</v>
      </c>
      <c r="S1642" s="189" t="s">
        <v>4074</v>
      </c>
    </row>
    <row r="1643" spans="1:19" ht="14.25" customHeight="1" x14ac:dyDescent="0.3">
      <c r="A1643" s="182" t="s">
        <v>4069</v>
      </c>
      <c r="B1643" s="182" t="s">
        <v>908</v>
      </c>
      <c r="C1643" s="182" t="s">
        <v>909</v>
      </c>
      <c r="D1643" s="182" t="s">
        <v>4098</v>
      </c>
      <c r="E1643" s="183" t="s">
        <v>4099</v>
      </c>
      <c r="F1643" s="183" t="s">
        <v>581</v>
      </c>
      <c r="G1643" s="184">
        <v>50</v>
      </c>
      <c r="H1643" s="185">
        <v>0</v>
      </c>
      <c r="I1643" s="186">
        <v>1654.54545454546</v>
      </c>
      <c r="J1643" s="187">
        <v>82727.272727272997</v>
      </c>
      <c r="K1643" s="182" t="s">
        <v>4075</v>
      </c>
      <c r="L1643" s="182">
        <v>9</v>
      </c>
      <c r="M1643" s="182" t="s">
        <v>4100</v>
      </c>
      <c r="N1643" s="186">
        <v>1</v>
      </c>
      <c r="O1643" s="188">
        <v>50</v>
      </c>
      <c r="P1643" s="188">
        <v>1</v>
      </c>
      <c r="Q1643" s="188">
        <v>50</v>
      </c>
      <c r="R1643" s="189">
        <v>18.2</v>
      </c>
      <c r="S1643" s="189" t="s">
        <v>4074</v>
      </c>
    </row>
    <row r="1644" spans="1:19" ht="14.25" customHeight="1" x14ac:dyDescent="0.3">
      <c r="A1644" s="182" t="s">
        <v>4069</v>
      </c>
      <c r="B1644" s="182" t="s">
        <v>908</v>
      </c>
      <c r="C1644" s="182" t="s">
        <v>909</v>
      </c>
      <c r="D1644" s="182" t="s">
        <v>4101</v>
      </c>
      <c r="E1644" s="183" t="s">
        <v>4102</v>
      </c>
      <c r="F1644" s="183" t="s">
        <v>2197</v>
      </c>
      <c r="G1644" s="184">
        <v>12</v>
      </c>
      <c r="H1644" s="185">
        <v>0</v>
      </c>
      <c r="I1644" s="186">
        <v>95867.7685950413</v>
      </c>
      <c r="J1644" s="187">
        <v>1150413.2231405</v>
      </c>
      <c r="K1644" s="182" t="s">
        <v>4075</v>
      </c>
      <c r="L1644" s="182">
        <v>10</v>
      </c>
      <c r="M1644" s="182" t="s">
        <v>4103</v>
      </c>
      <c r="N1644" s="186">
        <v>1</v>
      </c>
      <c r="O1644" s="188">
        <v>12</v>
      </c>
      <c r="P1644" s="188">
        <v>1</v>
      </c>
      <c r="Q1644" s="188">
        <v>12</v>
      </c>
      <c r="R1644" s="189">
        <v>18.2</v>
      </c>
      <c r="S1644" s="189" t="s">
        <v>4074</v>
      </c>
    </row>
    <row r="1645" spans="1:19" ht="14.25" customHeight="1" x14ac:dyDescent="0.3">
      <c r="A1645" s="182" t="s">
        <v>4069</v>
      </c>
      <c r="B1645" s="182" t="s">
        <v>908</v>
      </c>
      <c r="C1645" s="182" t="s">
        <v>909</v>
      </c>
      <c r="D1645" s="182" t="s">
        <v>4104</v>
      </c>
      <c r="E1645" s="183" t="s">
        <v>4105</v>
      </c>
      <c r="F1645" s="183" t="s">
        <v>2197</v>
      </c>
      <c r="G1645" s="184">
        <v>1</v>
      </c>
      <c r="H1645" s="185">
        <v>0</v>
      </c>
      <c r="I1645" s="186">
        <v>66520.479999999996</v>
      </c>
      <c r="J1645" s="187">
        <v>66520.479999999996</v>
      </c>
      <c r="K1645" s="182" t="s">
        <v>4075</v>
      </c>
      <c r="L1645" s="182">
        <v>11</v>
      </c>
      <c r="M1645" s="182" t="s">
        <v>4106</v>
      </c>
      <c r="N1645" s="186">
        <v>1</v>
      </c>
      <c r="O1645" s="188">
        <v>1</v>
      </c>
      <c r="P1645" s="188">
        <v>1</v>
      </c>
      <c r="Q1645" s="188">
        <v>1</v>
      </c>
      <c r="R1645" s="189">
        <v>18.2</v>
      </c>
      <c r="S1645" s="189" t="s">
        <v>4074</v>
      </c>
    </row>
    <row r="1646" spans="1:19" ht="14.25" customHeight="1" x14ac:dyDescent="0.3">
      <c r="A1646" s="182" t="s">
        <v>4069</v>
      </c>
      <c r="B1646" s="182" t="s">
        <v>908</v>
      </c>
      <c r="C1646" s="182" t="s">
        <v>909</v>
      </c>
      <c r="D1646" s="182" t="s">
        <v>4107</v>
      </c>
      <c r="E1646" s="183" t="s">
        <v>4108</v>
      </c>
      <c r="F1646" s="183" t="s">
        <v>2197</v>
      </c>
      <c r="G1646" s="184">
        <v>2</v>
      </c>
      <c r="H1646" s="185">
        <v>0</v>
      </c>
      <c r="I1646" s="186">
        <v>268385.86</v>
      </c>
      <c r="J1646" s="187">
        <v>536771.72</v>
      </c>
      <c r="K1646" s="182" t="s">
        <v>4075</v>
      </c>
      <c r="L1646" s="182">
        <v>12</v>
      </c>
      <c r="M1646" s="182" t="s">
        <v>4109</v>
      </c>
      <c r="N1646" s="186">
        <v>1</v>
      </c>
      <c r="O1646" s="188">
        <v>2</v>
      </c>
      <c r="P1646" s="188">
        <v>1</v>
      </c>
      <c r="Q1646" s="188">
        <v>2</v>
      </c>
      <c r="R1646" s="189">
        <v>18.2</v>
      </c>
      <c r="S1646" s="189" t="s">
        <v>4074</v>
      </c>
    </row>
    <row r="1647" spans="1:19" ht="14.25" customHeight="1" x14ac:dyDescent="0.3">
      <c r="A1647" s="182" t="s">
        <v>4069</v>
      </c>
      <c r="B1647" s="182" t="s">
        <v>937</v>
      </c>
      <c r="C1647" s="182" t="s">
        <v>938</v>
      </c>
      <c r="D1647" s="190" t="s">
        <v>944</v>
      </c>
      <c r="E1647" s="183" t="s">
        <v>945</v>
      </c>
      <c r="F1647" s="183" t="s">
        <v>941</v>
      </c>
      <c r="G1647" s="184">
        <v>10</v>
      </c>
      <c r="H1647" s="185">
        <v>0</v>
      </c>
      <c r="I1647" s="186">
        <v>85927.097156571996</v>
      </c>
      <c r="J1647" s="187">
        <v>859270.97156572004</v>
      </c>
      <c r="K1647" s="182" t="s">
        <v>4110</v>
      </c>
      <c r="L1647" s="182">
        <v>1</v>
      </c>
      <c r="M1647" s="182" t="s">
        <v>4111</v>
      </c>
      <c r="N1647" s="186">
        <v>1</v>
      </c>
      <c r="O1647" s="188">
        <v>10</v>
      </c>
      <c r="P1647" s="188">
        <v>1</v>
      </c>
      <c r="Q1647" s="188">
        <v>10</v>
      </c>
      <c r="R1647" s="189">
        <v>18.2</v>
      </c>
      <c r="S1647" s="189" t="s">
        <v>4074</v>
      </c>
    </row>
    <row r="1648" spans="1:19" ht="14.25" customHeight="1" x14ac:dyDescent="0.3">
      <c r="A1648" s="182" t="s">
        <v>4069</v>
      </c>
      <c r="B1648" s="182" t="s">
        <v>937</v>
      </c>
      <c r="C1648" s="182" t="s">
        <v>938</v>
      </c>
      <c r="D1648" s="190" t="s">
        <v>1291</v>
      </c>
      <c r="E1648" s="183" t="s">
        <v>1292</v>
      </c>
      <c r="F1648" s="183" t="s">
        <v>941</v>
      </c>
      <c r="G1648" s="184">
        <v>10</v>
      </c>
      <c r="H1648" s="185">
        <v>0</v>
      </c>
      <c r="I1648" s="186">
        <v>65493.071636572</v>
      </c>
      <c r="J1648" s="187">
        <v>654930.71636572003</v>
      </c>
      <c r="K1648" s="182" t="s">
        <v>4110</v>
      </c>
      <c r="L1648" s="182">
        <v>2</v>
      </c>
      <c r="M1648" s="182" t="s">
        <v>4112</v>
      </c>
      <c r="N1648" s="186">
        <v>1</v>
      </c>
      <c r="O1648" s="188">
        <v>10</v>
      </c>
      <c r="P1648" s="188">
        <v>1</v>
      </c>
      <c r="Q1648" s="188">
        <v>10</v>
      </c>
      <c r="R1648" s="189">
        <v>18.2</v>
      </c>
      <c r="S1648" s="189" t="s">
        <v>4074</v>
      </c>
    </row>
    <row r="1649" spans="1:19" ht="14.25" customHeight="1" x14ac:dyDescent="0.3">
      <c r="A1649" s="182" t="s">
        <v>4113</v>
      </c>
      <c r="B1649" s="182" t="s">
        <v>563</v>
      </c>
      <c r="C1649" s="182"/>
      <c r="D1649" s="182" t="s">
        <v>4114</v>
      </c>
      <c r="E1649" s="183" t="s">
        <v>4115</v>
      </c>
      <c r="F1649" s="183"/>
      <c r="G1649" s="184">
        <v>1</v>
      </c>
      <c r="H1649" s="185">
        <v>0</v>
      </c>
      <c r="I1649" s="186">
        <v>18803.5301934858</v>
      </c>
      <c r="J1649" s="187">
        <v>18803.5301934858</v>
      </c>
      <c r="K1649" s="182" t="s">
        <v>4116</v>
      </c>
      <c r="L1649" s="182">
        <v>1</v>
      </c>
      <c r="M1649" s="182" t="s">
        <v>4117</v>
      </c>
      <c r="N1649" s="186">
        <v>1</v>
      </c>
      <c r="O1649" s="188">
        <v>1</v>
      </c>
      <c r="P1649" s="188">
        <v>1</v>
      </c>
      <c r="Q1649" s="188">
        <v>1</v>
      </c>
      <c r="R1649" s="189">
        <v>18.21</v>
      </c>
      <c r="S1649" s="189" t="s">
        <v>4074</v>
      </c>
    </row>
    <row r="1650" spans="1:19" ht="14.25" customHeight="1" x14ac:dyDescent="0.3">
      <c r="A1650" s="182" t="s">
        <v>4113</v>
      </c>
      <c r="B1650" s="182" t="s">
        <v>908</v>
      </c>
      <c r="C1650" s="182" t="s">
        <v>909</v>
      </c>
      <c r="D1650" s="182" t="s">
        <v>976</v>
      </c>
      <c r="E1650" s="183" t="s">
        <v>977</v>
      </c>
      <c r="F1650" s="183" t="s">
        <v>576</v>
      </c>
      <c r="G1650" s="184">
        <v>69341.597599999994</v>
      </c>
      <c r="H1650" s="185">
        <v>0</v>
      </c>
      <c r="I1650" s="186">
        <v>1</v>
      </c>
      <c r="J1650" s="187">
        <v>69341.597599999994</v>
      </c>
      <c r="K1650" s="182" t="s">
        <v>4118</v>
      </c>
      <c r="L1650" s="182">
        <v>1</v>
      </c>
      <c r="M1650" s="182" t="s">
        <v>4119</v>
      </c>
      <c r="N1650" s="186">
        <v>1</v>
      </c>
      <c r="O1650" s="188">
        <v>69341.597599999994</v>
      </c>
      <c r="P1650" s="188">
        <v>1</v>
      </c>
      <c r="Q1650" s="188">
        <v>69341.597599999994</v>
      </c>
      <c r="R1650" s="189">
        <v>18.21</v>
      </c>
      <c r="S1650" s="189" t="s">
        <v>4074</v>
      </c>
    </row>
    <row r="1651" spans="1:19" ht="14.25" customHeight="1" x14ac:dyDescent="0.3">
      <c r="A1651" s="182" t="s">
        <v>4113</v>
      </c>
      <c r="B1651" s="182" t="s">
        <v>908</v>
      </c>
      <c r="C1651" s="182" t="s">
        <v>909</v>
      </c>
      <c r="D1651" s="182" t="s">
        <v>4077</v>
      </c>
      <c r="E1651" s="183" t="s">
        <v>4078</v>
      </c>
      <c r="F1651" s="183" t="s">
        <v>600</v>
      </c>
      <c r="G1651" s="184">
        <v>30</v>
      </c>
      <c r="H1651" s="185">
        <v>0</v>
      </c>
      <c r="I1651" s="186">
        <v>1836.01</v>
      </c>
      <c r="J1651" s="187">
        <v>55080.3</v>
      </c>
      <c r="K1651" s="182" t="s">
        <v>4118</v>
      </c>
      <c r="L1651" s="182">
        <v>2</v>
      </c>
      <c r="M1651" s="182" t="s">
        <v>4120</v>
      </c>
      <c r="N1651" s="186">
        <v>1</v>
      </c>
      <c r="O1651" s="188">
        <v>30</v>
      </c>
      <c r="P1651" s="188">
        <v>1</v>
      </c>
      <c r="Q1651" s="188">
        <v>30</v>
      </c>
      <c r="R1651" s="189">
        <v>18.21</v>
      </c>
      <c r="S1651" s="189" t="s">
        <v>4074</v>
      </c>
    </row>
    <row r="1652" spans="1:19" ht="14.25" customHeight="1" x14ac:dyDescent="0.3">
      <c r="A1652" s="182" t="s">
        <v>4113</v>
      </c>
      <c r="B1652" s="182" t="s">
        <v>908</v>
      </c>
      <c r="C1652" s="182" t="s">
        <v>909</v>
      </c>
      <c r="D1652" s="182" t="s">
        <v>4080</v>
      </c>
      <c r="E1652" s="183" t="s">
        <v>4081</v>
      </c>
      <c r="F1652" s="183" t="s">
        <v>600</v>
      </c>
      <c r="G1652" s="184">
        <v>5</v>
      </c>
      <c r="H1652" s="185">
        <v>0</v>
      </c>
      <c r="I1652" s="186">
        <v>5067.59</v>
      </c>
      <c r="J1652" s="187">
        <v>25337.95</v>
      </c>
      <c r="K1652" s="182" t="s">
        <v>4118</v>
      </c>
      <c r="L1652" s="182">
        <v>3</v>
      </c>
      <c r="M1652" s="182" t="s">
        <v>4121</v>
      </c>
      <c r="N1652" s="186">
        <v>1</v>
      </c>
      <c r="O1652" s="188">
        <v>5</v>
      </c>
      <c r="P1652" s="188">
        <v>1</v>
      </c>
      <c r="Q1652" s="188">
        <v>5</v>
      </c>
      <c r="R1652" s="189">
        <v>18.21</v>
      </c>
      <c r="S1652" s="189" t="s">
        <v>4074</v>
      </c>
    </row>
    <row r="1653" spans="1:19" ht="14.25" customHeight="1" x14ac:dyDescent="0.3">
      <c r="A1653" s="182" t="s">
        <v>4113</v>
      </c>
      <c r="B1653" s="182" t="s">
        <v>908</v>
      </c>
      <c r="C1653" s="182" t="s">
        <v>909</v>
      </c>
      <c r="D1653" s="182" t="s">
        <v>4083</v>
      </c>
      <c r="E1653" s="183" t="s">
        <v>4084</v>
      </c>
      <c r="F1653" s="183" t="s">
        <v>600</v>
      </c>
      <c r="G1653" s="184">
        <v>0.5</v>
      </c>
      <c r="H1653" s="185">
        <v>0</v>
      </c>
      <c r="I1653" s="186">
        <v>70761.600000000006</v>
      </c>
      <c r="J1653" s="187">
        <v>35380.800000000003</v>
      </c>
      <c r="K1653" s="182" t="s">
        <v>4118</v>
      </c>
      <c r="L1653" s="182">
        <v>4</v>
      </c>
      <c r="M1653" s="182" t="s">
        <v>4122</v>
      </c>
      <c r="N1653" s="186">
        <v>1</v>
      </c>
      <c r="O1653" s="188">
        <v>0.5</v>
      </c>
      <c r="P1653" s="188">
        <v>1</v>
      </c>
      <c r="Q1653" s="188">
        <v>0.5</v>
      </c>
      <c r="R1653" s="189">
        <v>18.21</v>
      </c>
      <c r="S1653" s="189" t="s">
        <v>4074</v>
      </c>
    </row>
    <row r="1654" spans="1:19" ht="14.25" customHeight="1" x14ac:dyDescent="0.3">
      <c r="A1654" s="182" t="s">
        <v>4113</v>
      </c>
      <c r="B1654" s="182" t="s">
        <v>908</v>
      </c>
      <c r="C1654" s="182" t="s">
        <v>909</v>
      </c>
      <c r="D1654" s="182" t="s">
        <v>4086</v>
      </c>
      <c r="E1654" s="183" t="s">
        <v>4087</v>
      </c>
      <c r="F1654" s="183" t="s">
        <v>600</v>
      </c>
      <c r="G1654" s="184">
        <v>10</v>
      </c>
      <c r="H1654" s="185">
        <v>0</v>
      </c>
      <c r="I1654" s="186">
        <v>954.29</v>
      </c>
      <c r="J1654" s="187">
        <v>9542.9</v>
      </c>
      <c r="K1654" s="182" t="s">
        <v>4118</v>
      </c>
      <c r="L1654" s="182">
        <v>5</v>
      </c>
      <c r="M1654" s="182" t="s">
        <v>4123</v>
      </c>
      <c r="N1654" s="186">
        <v>1</v>
      </c>
      <c r="O1654" s="188">
        <v>10</v>
      </c>
      <c r="P1654" s="188">
        <v>1</v>
      </c>
      <c r="Q1654" s="188">
        <v>10</v>
      </c>
      <c r="R1654" s="189">
        <v>18.21</v>
      </c>
      <c r="S1654" s="189" t="s">
        <v>4074</v>
      </c>
    </row>
    <row r="1655" spans="1:19" ht="14.25" customHeight="1" x14ac:dyDescent="0.3">
      <c r="A1655" s="182" t="s">
        <v>4113</v>
      </c>
      <c r="B1655" s="182" t="s">
        <v>908</v>
      </c>
      <c r="C1655" s="182" t="s">
        <v>909</v>
      </c>
      <c r="D1655" s="182" t="s">
        <v>4089</v>
      </c>
      <c r="E1655" s="183" t="s">
        <v>4090</v>
      </c>
      <c r="F1655" s="183" t="s">
        <v>600</v>
      </c>
      <c r="G1655" s="184">
        <v>60</v>
      </c>
      <c r="H1655" s="185">
        <v>0</v>
      </c>
      <c r="I1655" s="186">
        <v>670.34</v>
      </c>
      <c r="J1655" s="187">
        <v>40220.400000000001</v>
      </c>
      <c r="K1655" s="182" t="s">
        <v>4118</v>
      </c>
      <c r="L1655" s="182">
        <v>6</v>
      </c>
      <c r="M1655" s="182" t="s">
        <v>4124</v>
      </c>
      <c r="N1655" s="186">
        <v>1</v>
      </c>
      <c r="O1655" s="188">
        <v>60</v>
      </c>
      <c r="P1655" s="188">
        <v>1</v>
      </c>
      <c r="Q1655" s="188">
        <v>60</v>
      </c>
      <c r="R1655" s="189">
        <v>18.21</v>
      </c>
      <c r="S1655" s="189" t="s">
        <v>4074</v>
      </c>
    </row>
    <row r="1656" spans="1:19" ht="14.25" customHeight="1" x14ac:dyDescent="0.3">
      <c r="A1656" s="182" t="s">
        <v>4113</v>
      </c>
      <c r="B1656" s="182" t="s">
        <v>908</v>
      </c>
      <c r="C1656" s="182" t="s">
        <v>909</v>
      </c>
      <c r="D1656" s="182" t="s">
        <v>4092</v>
      </c>
      <c r="E1656" s="183" t="s">
        <v>4093</v>
      </c>
      <c r="F1656" s="183" t="s">
        <v>600</v>
      </c>
      <c r="G1656" s="184">
        <v>10</v>
      </c>
      <c r="H1656" s="185">
        <v>0</v>
      </c>
      <c r="I1656" s="186">
        <v>16656.23</v>
      </c>
      <c r="J1656" s="187">
        <v>166562.29999999999</v>
      </c>
      <c r="K1656" s="182" t="s">
        <v>4118</v>
      </c>
      <c r="L1656" s="182">
        <v>7</v>
      </c>
      <c r="M1656" s="182" t="s">
        <v>4125</v>
      </c>
      <c r="N1656" s="186">
        <v>1</v>
      </c>
      <c r="O1656" s="188">
        <v>10</v>
      </c>
      <c r="P1656" s="188">
        <v>1</v>
      </c>
      <c r="Q1656" s="188">
        <v>10</v>
      </c>
      <c r="R1656" s="189">
        <v>18.21</v>
      </c>
      <c r="S1656" s="189" t="s">
        <v>4074</v>
      </c>
    </row>
    <row r="1657" spans="1:19" ht="14.25" customHeight="1" x14ac:dyDescent="0.3">
      <c r="A1657" s="182" t="s">
        <v>4113</v>
      </c>
      <c r="B1657" s="182" t="s">
        <v>908</v>
      </c>
      <c r="C1657" s="182" t="s">
        <v>909</v>
      </c>
      <c r="D1657" s="182" t="s">
        <v>4095</v>
      </c>
      <c r="E1657" s="183" t="s">
        <v>4096</v>
      </c>
      <c r="F1657" s="183" t="s">
        <v>600</v>
      </c>
      <c r="G1657" s="184">
        <v>300</v>
      </c>
      <c r="H1657" s="185">
        <v>0</v>
      </c>
      <c r="I1657" s="186">
        <v>237.27</v>
      </c>
      <c r="J1657" s="187">
        <v>71181</v>
      </c>
      <c r="K1657" s="182" t="s">
        <v>4118</v>
      </c>
      <c r="L1657" s="182">
        <v>8</v>
      </c>
      <c r="M1657" s="182" t="s">
        <v>4126</v>
      </c>
      <c r="N1657" s="186">
        <v>1</v>
      </c>
      <c r="O1657" s="188">
        <v>300</v>
      </c>
      <c r="P1657" s="188">
        <v>1</v>
      </c>
      <c r="Q1657" s="188">
        <v>300</v>
      </c>
      <c r="R1657" s="189">
        <v>18.21</v>
      </c>
      <c r="S1657" s="189" t="s">
        <v>4074</v>
      </c>
    </row>
    <row r="1658" spans="1:19" ht="14.25" customHeight="1" x14ac:dyDescent="0.3">
      <c r="A1658" s="182" t="s">
        <v>4113</v>
      </c>
      <c r="B1658" s="182" t="s">
        <v>908</v>
      </c>
      <c r="C1658" s="182" t="s">
        <v>909</v>
      </c>
      <c r="D1658" s="182" t="s">
        <v>4127</v>
      </c>
      <c r="E1658" s="183" t="s">
        <v>4128</v>
      </c>
      <c r="F1658" s="183" t="s">
        <v>2197</v>
      </c>
      <c r="G1658" s="184">
        <v>0.9</v>
      </c>
      <c r="H1658" s="185">
        <v>0</v>
      </c>
      <c r="I1658" s="186">
        <v>26467.32</v>
      </c>
      <c r="J1658" s="187">
        <v>23820.588</v>
      </c>
      <c r="K1658" s="182" t="s">
        <v>4118</v>
      </c>
      <c r="L1658" s="182">
        <v>9</v>
      </c>
      <c r="M1658" s="182" t="s">
        <v>4129</v>
      </c>
      <c r="N1658" s="186">
        <v>1</v>
      </c>
      <c r="O1658" s="188">
        <v>0.9</v>
      </c>
      <c r="P1658" s="188">
        <v>1</v>
      </c>
      <c r="Q1658" s="188">
        <v>0.9</v>
      </c>
      <c r="R1658" s="189">
        <v>18.21</v>
      </c>
      <c r="S1658" s="189" t="s">
        <v>4074</v>
      </c>
    </row>
    <row r="1659" spans="1:19" ht="14.25" customHeight="1" x14ac:dyDescent="0.3">
      <c r="A1659" s="182" t="s">
        <v>4113</v>
      </c>
      <c r="B1659" s="182" t="s">
        <v>937</v>
      </c>
      <c r="C1659" s="182" t="s">
        <v>938</v>
      </c>
      <c r="D1659" s="190" t="s">
        <v>944</v>
      </c>
      <c r="E1659" s="183" t="s">
        <v>945</v>
      </c>
      <c r="F1659" s="183" t="s">
        <v>941</v>
      </c>
      <c r="G1659" s="184">
        <v>5</v>
      </c>
      <c r="H1659" s="185">
        <v>0</v>
      </c>
      <c r="I1659" s="186">
        <v>85927.097156571996</v>
      </c>
      <c r="J1659" s="187">
        <v>429635.48578286002</v>
      </c>
      <c r="K1659" s="182" t="s">
        <v>4130</v>
      </c>
      <c r="L1659" s="182">
        <v>1</v>
      </c>
      <c r="M1659" s="182" t="s">
        <v>4131</v>
      </c>
      <c r="N1659" s="186">
        <v>1</v>
      </c>
      <c r="O1659" s="188">
        <v>5</v>
      </c>
      <c r="P1659" s="188">
        <v>1</v>
      </c>
      <c r="Q1659" s="188">
        <v>5</v>
      </c>
      <c r="R1659" s="189">
        <v>18.21</v>
      </c>
      <c r="S1659" s="189" t="s">
        <v>4074</v>
      </c>
    </row>
    <row r="1660" spans="1:19" ht="14.25" customHeight="1" x14ac:dyDescent="0.3">
      <c r="A1660" s="182" t="s">
        <v>4113</v>
      </c>
      <c r="B1660" s="182" t="s">
        <v>937</v>
      </c>
      <c r="C1660" s="182" t="s">
        <v>938</v>
      </c>
      <c r="D1660" s="190" t="s">
        <v>1291</v>
      </c>
      <c r="E1660" s="183" t="s">
        <v>1292</v>
      </c>
      <c r="F1660" s="183" t="s">
        <v>941</v>
      </c>
      <c r="G1660" s="184">
        <v>5</v>
      </c>
      <c r="H1660" s="185">
        <v>0</v>
      </c>
      <c r="I1660" s="186">
        <v>65493.071636572</v>
      </c>
      <c r="J1660" s="187">
        <v>327465.35818286001</v>
      </c>
      <c r="K1660" s="182" t="s">
        <v>4130</v>
      </c>
      <c r="L1660" s="182">
        <v>2</v>
      </c>
      <c r="M1660" s="182" t="s">
        <v>4132</v>
      </c>
      <c r="N1660" s="186">
        <v>1</v>
      </c>
      <c r="O1660" s="188">
        <v>5</v>
      </c>
      <c r="P1660" s="188">
        <v>1</v>
      </c>
      <c r="Q1660" s="188">
        <v>5</v>
      </c>
      <c r="R1660" s="189">
        <v>18.21</v>
      </c>
      <c r="S1660" s="189" t="s">
        <v>4074</v>
      </c>
    </row>
    <row r="1661" spans="1:19" ht="14.25" customHeight="1" x14ac:dyDescent="0.3">
      <c r="A1661" s="182" t="s">
        <v>4133</v>
      </c>
      <c r="B1661" s="182" t="s">
        <v>563</v>
      </c>
      <c r="C1661" s="182"/>
      <c r="D1661" s="182" t="s">
        <v>4134</v>
      </c>
      <c r="E1661" s="183" t="s">
        <v>4135</v>
      </c>
      <c r="F1661" s="183"/>
      <c r="G1661" s="184">
        <v>1</v>
      </c>
      <c r="H1661" s="185">
        <v>0</v>
      </c>
      <c r="I1661" s="186">
        <v>18803.5301934858</v>
      </c>
      <c r="J1661" s="187">
        <v>18803.5301934858</v>
      </c>
      <c r="K1661" s="182" t="s">
        <v>4136</v>
      </c>
      <c r="L1661" s="182">
        <v>1</v>
      </c>
      <c r="M1661" s="182" t="s">
        <v>4137</v>
      </c>
      <c r="N1661" s="186">
        <v>1</v>
      </c>
      <c r="O1661" s="188">
        <v>1</v>
      </c>
      <c r="P1661" s="188">
        <v>1</v>
      </c>
      <c r="Q1661" s="188">
        <v>1</v>
      </c>
      <c r="R1661" s="189">
        <v>18.22</v>
      </c>
      <c r="S1661" s="189" t="s">
        <v>4074</v>
      </c>
    </row>
    <row r="1662" spans="1:19" ht="14.25" customHeight="1" x14ac:dyDescent="0.3">
      <c r="A1662" s="182" t="s">
        <v>4133</v>
      </c>
      <c r="B1662" s="182" t="s">
        <v>908</v>
      </c>
      <c r="C1662" s="182" t="s">
        <v>909</v>
      </c>
      <c r="D1662" s="182" t="s">
        <v>976</v>
      </c>
      <c r="E1662" s="183" t="s">
        <v>977</v>
      </c>
      <c r="F1662" s="183" t="s">
        <v>576</v>
      </c>
      <c r="G1662" s="184">
        <v>69341.597599999994</v>
      </c>
      <c r="H1662" s="185">
        <v>0</v>
      </c>
      <c r="I1662" s="186">
        <v>1</v>
      </c>
      <c r="J1662" s="187">
        <v>69341.597599999994</v>
      </c>
      <c r="K1662" s="182" t="s">
        <v>4138</v>
      </c>
      <c r="L1662" s="182">
        <v>1</v>
      </c>
      <c r="M1662" s="182" t="s">
        <v>4139</v>
      </c>
      <c r="N1662" s="186">
        <v>1</v>
      </c>
      <c r="O1662" s="188">
        <v>69341.597599999994</v>
      </c>
      <c r="P1662" s="188">
        <v>1</v>
      </c>
      <c r="Q1662" s="188">
        <v>69341.597599999994</v>
      </c>
      <c r="R1662" s="189">
        <v>18.22</v>
      </c>
      <c r="S1662" s="189" t="s">
        <v>4074</v>
      </c>
    </row>
    <row r="1663" spans="1:19" ht="14.25" customHeight="1" x14ac:dyDescent="0.3">
      <c r="A1663" s="182" t="s">
        <v>4133</v>
      </c>
      <c r="B1663" s="182" t="s">
        <v>908</v>
      </c>
      <c r="C1663" s="182" t="s">
        <v>909</v>
      </c>
      <c r="D1663" s="182" t="s">
        <v>4077</v>
      </c>
      <c r="E1663" s="183" t="s">
        <v>4078</v>
      </c>
      <c r="F1663" s="183" t="s">
        <v>600</v>
      </c>
      <c r="G1663" s="184">
        <v>30</v>
      </c>
      <c r="H1663" s="185">
        <v>0</v>
      </c>
      <c r="I1663" s="186">
        <v>1836.01</v>
      </c>
      <c r="J1663" s="187">
        <v>55080.3</v>
      </c>
      <c r="K1663" s="182" t="s">
        <v>4138</v>
      </c>
      <c r="L1663" s="182">
        <v>2</v>
      </c>
      <c r="M1663" s="182" t="s">
        <v>4140</v>
      </c>
      <c r="N1663" s="186">
        <v>1</v>
      </c>
      <c r="O1663" s="188">
        <v>30</v>
      </c>
      <c r="P1663" s="188">
        <v>1</v>
      </c>
      <c r="Q1663" s="188">
        <v>30</v>
      </c>
      <c r="R1663" s="189">
        <v>18.22</v>
      </c>
      <c r="S1663" s="189" t="s">
        <v>4074</v>
      </c>
    </row>
    <row r="1664" spans="1:19" ht="14.25" customHeight="1" x14ac:dyDescent="0.3">
      <c r="A1664" s="182" t="s">
        <v>4133</v>
      </c>
      <c r="B1664" s="182" t="s">
        <v>908</v>
      </c>
      <c r="C1664" s="182" t="s">
        <v>909</v>
      </c>
      <c r="D1664" s="182" t="s">
        <v>4080</v>
      </c>
      <c r="E1664" s="183" t="s">
        <v>4081</v>
      </c>
      <c r="F1664" s="183" t="s">
        <v>600</v>
      </c>
      <c r="G1664" s="184">
        <v>5</v>
      </c>
      <c r="H1664" s="185">
        <v>0</v>
      </c>
      <c r="I1664" s="186">
        <v>5067.59</v>
      </c>
      <c r="J1664" s="187">
        <v>25337.95</v>
      </c>
      <c r="K1664" s="182" t="s">
        <v>4138</v>
      </c>
      <c r="L1664" s="182">
        <v>3</v>
      </c>
      <c r="M1664" s="182" t="s">
        <v>4141</v>
      </c>
      <c r="N1664" s="186">
        <v>1</v>
      </c>
      <c r="O1664" s="188">
        <v>5</v>
      </c>
      <c r="P1664" s="188">
        <v>1</v>
      </c>
      <c r="Q1664" s="188">
        <v>5</v>
      </c>
      <c r="R1664" s="189">
        <v>18.22</v>
      </c>
      <c r="S1664" s="189" t="s">
        <v>4074</v>
      </c>
    </row>
    <row r="1665" spans="1:19" ht="14.25" customHeight="1" x14ac:dyDescent="0.3">
      <c r="A1665" s="182" t="s">
        <v>4133</v>
      </c>
      <c r="B1665" s="182" t="s">
        <v>908</v>
      </c>
      <c r="C1665" s="182" t="s">
        <v>909</v>
      </c>
      <c r="D1665" s="182" t="s">
        <v>4083</v>
      </c>
      <c r="E1665" s="183" t="s">
        <v>4084</v>
      </c>
      <c r="F1665" s="183" t="s">
        <v>600</v>
      </c>
      <c r="G1665" s="184">
        <v>0.5</v>
      </c>
      <c r="H1665" s="185">
        <v>0</v>
      </c>
      <c r="I1665" s="186">
        <v>70761.600000000006</v>
      </c>
      <c r="J1665" s="187">
        <v>35380.800000000003</v>
      </c>
      <c r="K1665" s="182" t="s">
        <v>4138</v>
      </c>
      <c r="L1665" s="182">
        <v>4</v>
      </c>
      <c r="M1665" s="182" t="s">
        <v>4142</v>
      </c>
      <c r="N1665" s="186">
        <v>1</v>
      </c>
      <c r="O1665" s="188">
        <v>0.5</v>
      </c>
      <c r="P1665" s="188">
        <v>1</v>
      </c>
      <c r="Q1665" s="188">
        <v>0.5</v>
      </c>
      <c r="R1665" s="189">
        <v>18.22</v>
      </c>
      <c r="S1665" s="189" t="s">
        <v>4074</v>
      </c>
    </row>
    <row r="1666" spans="1:19" ht="14.25" customHeight="1" x14ac:dyDescent="0.3">
      <c r="A1666" s="182" t="s">
        <v>4133</v>
      </c>
      <c r="B1666" s="182" t="s">
        <v>908</v>
      </c>
      <c r="C1666" s="182" t="s">
        <v>909</v>
      </c>
      <c r="D1666" s="182" t="s">
        <v>4086</v>
      </c>
      <c r="E1666" s="183" t="s">
        <v>4087</v>
      </c>
      <c r="F1666" s="183" t="s">
        <v>600</v>
      </c>
      <c r="G1666" s="184">
        <v>10</v>
      </c>
      <c r="H1666" s="185">
        <v>0</v>
      </c>
      <c r="I1666" s="186">
        <v>954.29</v>
      </c>
      <c r="J1666" s="187">
        <v>9542.9</v>
      </c>
      <c r="K1666" s="182" t="s">
        <v>4138</v>
      </c>
      <c r="L1666" s="182">
        <v>5</v>
      </c>
      <c r="M1666" s="182" t="s">
        <v>4143</v>
      </c>
      <c r="N1666" s="186">
        <v>1</v>
      </c>
      <c r="O1666" s="188">
        <v>10</v>
      </c>
      <c r="P1666" s="188">
        <v>1</v>
      </c>
      <c r="Q1666" s="188">
        <v>10</v>
      </c>
      <c r="R1666" s="189">
        <v>18.22</v>
      </c>
      <c r="S1666" s="189" t="s">
        <v>4074</v>
      </c>
    </row>
    <row r="1667" spans="1:19" ht="14.25" customHeight="1" x14ac:dyDescent="0.3">
      <c r="A1667" s="182" t="s">
        <v>4133</v>
      </c>
      <c r="B1667" s="182" t="s">
        <v>908</v>
      </c>
      <c r="C1667" s="182" t="s">
        <v>909</v>
      </c>
      <c r="D1667" s="182" t="s">
        <v>4089</v>
      </c>
      <c r="E1667" s="183" t="s">
        <v>4090</v>
      </c>
      <c r="F1667" s="183" t="s">
        <v>600</v>
      </c>
      <c r="G1667" s="184">
        <v>60</v>
      </c>
      <c r="H1667" s="185">
        <v>0</v>
      </c>
      <c r="I1667" s="186">
        <v>670.34</v>
      </c>
      <c r="J1667" s="187">
        <v>40220.400000000001</v>
      </c>
      <c r="K1667" s="182" t="s">
        <v>4138</v>
      </c>
      <c r="L1667" s="182">
        <v>6</v>
      </c>
      <c r="M1667" s="182" t="s">
        <v>4144</v>
      </c>
      <c r="N1667" s="186">
        <v>1</v>
      </c>
      <c r="O1667" s="188">
        <v>60</v>
      </c>
      <c r="P1667" s="188">
        <v>1</v>
      </c>
      <c r="Q1667" s="188">
        <v>60</v>
      </c>
      <c r="R1667" s="189">
        <v>18.22</v>
      </c>
      <c r="S1667" s="189" t="s">
        <v>4074</v>
      </c>
    </row>
    <row r="1668" spans="1:19" ht="14.25" customHeight="1" x14ac:dyDescent="0.3">
      <c r="A1668" s="182" t="s">
        <v>4133</v>
      </c>
      <c r="B1668" s="182" t="s">
        <v>908</v>
      </c>
      <c r="C1668" s="182" t="s">
        <v>909</v>
      </c>
      <c r="D1668" s="182" t="s">
        <v>4092</v>
      </c>
      <c r="E1668" s="183" t="s">
        <v>4093</v>
      </c>
      <c r="F1668" s="183" t="s">
        <v>600</v>
      </c>
      <c r="G1668" s="184">
        <v>10</v>
      </c>
      <c r="H1668" s="185">
        <v>0</v>
      </c>
      <c r="I1668" s="186">
        <v>16656.23</v>
      </c>
      <c r="J1668" s="187">
        <v>166562.29999999999</v>
      </c>
      <c r="K1668" s="182" t="s">
        <v>4138</v>
      </c>
      <c r="L1668" s="182">
        <v>7</v>
      </c>
      <c r="M1668" s="182" t="s">
        <v>4145</v>
      </c>
      <c r="N1668" s="186">
        <v>1</v>
      </c>
      <c r="O1668" s="188">
        <v>10</v>
      </c>
      <c r="P1668" s="188">
        <v>1</v>
      </c>
      <c r="Q1668" s="188">
        <v>10</v>
      </c>
      <c r="R1668" s="189">
        <v>18.22</v>
      </c>
      <c r="S1668" s="189" t="s">
        <v>4074</v>
      </c>
    </row>
    <row r="1669" spans="1:19" ht="14.25" customHeight="1" x14ac:dyDescent="0.3">
      <c r="A1669" s="182" t="s">
        <v>4133</v>
      </c>
      <c r="B1669" s="182" t="s">
        <v>908</v>
      </c>
      <c r="C1669" s="182" t="s">
        <v>909</v>
      </c>
      <c r="D1669" s="182" t="s">
        <v>4095</v>
      </c>
      <c r="E1669" s="183" t="s">
        <v>4096</v>
      </c>
      <c r="F1669" s="183" t="s">
        <v>600</v>
      </c>
      <c r="G1669" s="184">
        <v>300</v>
      </c>
      <c r="H1669" s="185">
        <v>0</v>
      </c>
      <c r="I1669" s="186">
        <v>237.27</v>
      </c>
      <c r="J1669" s="187">
        <v>71181</v>
      </c>
      <c r="K1669" s="182" t="s">
        <v>4138</v>
      </c>
      <c r="L1669" s="182">
        <v>8</v>
      </c>
      <c r="M1669" s="182" t="s">
        <v>4146</v>
      </c>
      <c r="N1669" s="186">
        <v>1</v>
      </c>
      <c r="O1669" s="188">
        <v>300</v>
      </c>
      <c r="P1669" s="188">
        <v>1</v>
      </c>
      <c r="Q1669" s="188">
        <v>300</v>
      </c>
      <c r="R1669" s="189">
        <v>18.22</v>
      </c>
      <c r="S1669" s="189" t="s">
        <v>4074</v>
      </c>
    </row>
    <row r="1670" spans="1:19" ht="14.25" customHeight="1" x14ac:dyDescent="0.3">
      <c r="A1670" s="182" t="s">
        <v>4133</v>
      </c>
      <c r="B1670" s="182" t="s">
        <v>908</v>
      </c>
      <c r="C1670" s="182" t="s">
        <v>909</v>
      </c>
      <c r="D1670" s="182" t="s">
        <v>4127</v>
      </c>
      <c r="E1670" s="183" t="s">
        <v>4128</v>
      </c>
      <c r="F1670" s="183" t="s">
        <v>2197</v>
      </c>
      <c r="G1670" s="184">
        <v>0.9</v>
      </c>
      <c r="H1670" s="185">
        <v>0</v>
      </c>
      <c r="I1670" s="186">
        <v>26467.32</v>
      </c>
      <c r="J1670" s="187">
        <v>23820.588</v>
      </c>
      <c r="K1670" s="182" t="s">
        <v>4138</v>
      </c>
      <c r="L1670" s="182">
        <v>9</v>
      </c>
      <c r="M1670" s="182" t="s">
        <v>4147</v>
      </c>
      <c r="N1670" s="186">
        <v>1</v>
      </c>
      <c r="O1670" s="188">
        <v>0.9</v>
      </c>
      <c r="P1670" s="188">
        <v>1</v>
      </c>
      <c r="Q1670" s="188">
        <v>0.9</v>
      </c>
      <c r="R1670" s="189">
        <v>18.22</v>
      </c>
      <c r="S1670" s="189" t="s">
        <v>4074</v>
      </c>
    </row>
    <row r="1671" spans="1:19" ht="14.25" customHeight="1" x14ac:dyDescent="0.3">
      <c r="A1671" s="182" t="s">
        <v>4133</v>
      </c>
      <c r="B1671" s="182" t="s">
        <v>937</v>
      </c>
      <c r="C1671" s="182" t="s">
        <v>938</v>
      </c>
      <c r="D1671" s="190" t="s">
        <v>944</v>
      </c>
      <c r="E1671" s="183" t="s">
        <v>945</v>
      </c>
      <c r="F1671" s="183" t="s">
        <v>941</v>
      </c>
      <c r="G1671" s="184">
        <v>5</v>
      </c>
      <c r="H1671" s="185">
        <v>0</v>
      </c>
      <c r="I1671" s="186">
        <v>85927.097156571996</v>
      </c>
      <c r="J1671" s="187">
        <v>429635.48578286002</v>
      </c>
      <c r="K1671" s="182" t="s">
        <v>4148</v>
      </c>
      <c r="L1671" s="182">
        <v>1</v>
      </c>
      <c r="M1671" s="182" t="s">
        <v>4149</v>
      </c>
      <c r="N1671" s="186">
        <v>1</v>
      </c>
      <c r="O1671" s="188">
        <v>5</v>
      </c>
      <c r="P1671" s="188">
        <v>1</v>
      </c>
      <c r="Q1671" s="188">
        <v>5</v>
      </c>
      <c r="R1671" s="189">
        <v>18.22</v>
      </c>
      <c r="S1671" s="189" t="s">
        <v>4074</v>
      </c>
    </row>
    <row r="1672" spans="1:19" ht="14.25" customHeight="1" x14ac:dyDescent="0.3">
      <c r="A1672" s="182" t="s">
        <v>4133</v>
      </c>
      <c r="B1672" s="182" t="s">
        <v>937</v>
      </c>
      <c r="C1672" s="182" t="s">
        <v>938</v>
      </c>
      <c r="D1672" s="190" t="s">
        <v>1291</v>
      </c>
      <c r="E1672" s="183" t="s">
        <v>1292</v>
      </c>
      <c r="F1672" s="183" t="s">
        <v>941</v>
      </c>
      <c r="G1672" s="184">
        <v>5</v>
      </c>
      <c r="H1672" s="185">
        <v>0</v>
      </c>
      <c r="I1672" s="186">
        <v>65493.071636572</v>
      </c>
      <c r="J1672" s="187">
        <v>327465.35818286001</v>
      </c>
      <c r="K1672" s="182" t="s">
        <v>4148</v>
      </c>
      <c r="L1672" s="182">
        <v>2</v>
      </c>
      <c r="M1672" s="182" t="s">
        <v>4150</v>
      </c>
      <c r="N1672" s="186">
        <v>1</v>
      </c>
      <c r="O1672" s="188">
        <v>5</v>
      </c>
      <c r="P1672" s="188">
        <v>1</v>
      </c>
      <c r="Q1672" s="188">
        <v>5</v>
      </c>
      <c r="R1672" s="189">
        <v>18.22</v>
      </c>
      <c r="S1672" s="189" t="s">
        <v>4074</v>
      </c>
    </row>
    <row r="1673" spans="1:19" ht="14.25" customHeight="1" x14ac:dyDescent="0.3">
      <c r="A1673" s="182" t="s">
        <v>4151</v>
      </c>
      <c r="B1673" s="182" t="s">
        <v>563</v>
      </c>
      <c r="C1673" s="182"/>
      <c r="D1673" s="182" t="s">
        <v>4152</v>
      </c>
      <c r="E1673" s="183" t="s">
        <v>4153</v>
      </c>
      <c r="F1673" s="183"/>
      <c r="G1673" s="184">
        <v>1</v>
      </c>
      <c r="H1673" s="185">
        <v>0</v>
      </c>
      <c r="I1673" s="186">
        <v>177.24</v>
      </c>
      <c r="J1673" s="187">
        <v>177.24</v>
      </c>
      <c r="K1673" s="182" t="s">
        <v>4154</v>
      </c>
      <c r="L1673" s="182">
        <v>1</v>
      </c>
      <c r="M1673" s="182" t="s">
        <v>4155</v>
      </c>
      <c r="N1673" s="186">
        <v>1</v>
      </c>
      <c r="O1673" s="188">
        <v>1</v>
      </c>
      <c r="P1673" s="188">
        <v>16</v>
      </c>
      <c r="Q1673" s="188">
        <v>16</v>
      </c>
      <c r="R1673" s="189">
        <v>18.23</v>
      </c>
      <c r="S1673" s="189" t="s">
        <v>573</v>
      </c>
    </row>
    <row r="1674" spans="1:19" ht="14.25" customHeight="1" x14ac:dyDescent="0.3">
      <c r="A1674" s="182" t="s">
        <v>4151</v>
      </c>
      <c r="B1674" s="182" t="s">
        <v>937</v>
      </c>
      <c r="C1674" s="182" t="s">
        <v>909</v>
      </c>
      <c r="D1674" s="182" t="s">
        <v>4156</v>
      </c>
      <c r="E1674" s="183" t="s">
        <v>4157</v>
      </c>
      <c r="F1674" s="183" t="s">
        <v>941</v>
      </c>
      <c r="G1674" s="184">
        <v>1</v>
      </c>
      <c r="H1674" s="185">
        <v>0</v>
      </c>
      <c r="I1674" s="186">
        <v>11816</v>
      </c>
      <c r="J1674" s="187">
        <v>11816</v>
      </c>
      <c r="K1674" s="182" t="s">
        <v>4158</v>
      </c>
      <c r="L1674" s="182">
        <v>1</v>
      </c>
      <c r="M1674" s="182" t="s">
        <v>4159</v>
      </c>
      <c r="N1674" s="186">
        <v>1</v>
      </c>
      <c r="O1674" s="188">
        <v>1</v>
      </c>
      <c r="P1674" s="188">
        <v>16</v>
      </c>
      <c r="Q1674" s="188">
        <v>16</v>
      </c>
      <c r="R1674" s="189">
        <v>18.23</v>
      </c>
      <c r="S1674" s="189" t="s">
        <v>573</v>
      </c>
    </row>
    <row r="1675" spans="1:19" ht="14.25" customHeight="1" x14ac:dyDescent="0.3">
      <c r="A1675" s="182" t="s">
        <v>4160</v>
      </c>
      <c r="B1675" s="182" t="s">
        <v>563</v>
      </c>
      <c r="C1675" s="182"/>
      <c r="D1675" s="182" t="s">
        <v>4161</v>
      </c>
      <c r="E1675" s="183" t="s">
        <v>4162</v>
      </c>
      <c r="F1675" s="183"/>
      <c r="G1675" s="184">
        <v>1</v>
      </c>
      <c r="H1675" s="185">
        <v>0</v>
      </c>
      <c r="I1675" s="186">
        <v>115.5</v>
      </c>
      <c r="J1675" s="187">
        <v>115.5</v>
      </c>
      <c r="K1675" s="182" t="s">
        <v>4163</v>
      </c>
      <c r="L1675" s="182">
        <v>1</v>
      </c>
      <c r="M1675" s="182" t="s">
        <v>4164</v>
      </c>
      <c r="N1675" s="186">
        <v>1</v>
      </c>
      <c r="O1675" s="188">
        <v>1</v>
      </c>
      <c r="P1675" s="188">
        <v>140</v>
      </c>
      <c r="Q1675" s="188">
        <v>140</v>
      </c>
      <c r="R1675" s="189">
        <v>18.239999999999998</v>
      </c>
      <c r="S1675" s="189" t="s">
        <v>573</v>
      </c>
    </row>
    <row r="1676" spans="1:19" ht="14.25" customHeight="1" x14ac:dyDescent="0.3">
      <c r="A1676" s="182" t="s">
        <v>4160</v>
      </c>
      <c r="B1676" s="182" t="s">
        <v>937</v>
      </c>
      <c r="C1676" s="182" t="s">
        <v>909</v>
      </c>
      <c r="D1676" s="182" t="s">
        <v>4165</v>
      </c>
      <c r="E1676" s="183" t="s">
        <v>4166</v>
      </c>
      <c r="F1676" s="183" t="s">
        <v>941</v>
      </c>
      <c r="G1676" s="184">
        <v>1</v>
      </c>
      <c r="H1676" s="185">
        <v>0</v>
      </c>
      <c r="I1676" s="186">
        <v>7700</v>
      </c>
      <c r="J1676" s="187">
        <v>7700</v>
      </c>
      <c r="K1676" s="182" t="s">
        <v>4167</v>
      </c>
      <c r="L1676" s="182">
        <v>1</v>
      </c>
      <c r="M1676" s="182" t="s">
        <v>4168</v>
      </c>
      <c r="N1676" s="186">
        <v>1</v>
      </c>
      <c r="O1676" s="188">
        <v>1</v>
      </c>
      <c r="P1676" s="188">
        <v>140</v>
      </c>
      <c r="Q1676" s="188">
        <v>140</v>
      </c>
      <c r="R1676" s="189">
        <v>18.239999999999998</v>
      </c>
      <c r="S1676" s="189" t="s">
        <v>573</v>
      </c>
    </row>
    <row r="1677" spans="1:19" ht="14.25" customHeight="1" x14ac:dyDescent="0.3">
      <c r="A1677" s="182" t="s">
        <v>4169</v>
      </c>
      <c r="B1677" s="182" t="s">
        <v>563</v>
      </c>
      <c r="C1677" s="182"/>
      <c r="D1677" s="182" t="s">
        <v>4170</v>
      </c>
      <c r="E1677" s="183" t="s">
        <v>4171</v>
      </c>
      <c r="F1677" s="183"/>
      <c r="G1677" s="184">
        <v>1</v>
      </c>
      <c r="H1677" s="185">
        <v>0</v>
      </c>
      <c r="I1677" s="186">
        <v>115.5</v>
      </c>
      <c r="J1677" s="187">
        <v>115.5</v>
      </c>
      <c r="K1677" s="182" t="s">
        <v>4172</v>
      </c>
      <c r="L1677" s="182">
        <v>1</v>
      </c>
      <c r="M1677" s="182" t="s">
        <v>4173</v>
      </c>
      <c r="N1677" s="186">
        <v>1</v>
      </c>
      <c r="O1677" s="188">
        <v>1</v>
      </c>
      <c r="P1677" s="188">
        <v>226</v>
      </c>
      <c r="Q1677" s="188">
        <v>226</v>
      </c>
      <c r="R1677" s="189">
        <v>18.25</v>
      </c>
      <c r="S1677" s="189" t="s">
        <v>573</v>
      </c>
    </row>
    <row r="1678" spans="1:19" ht="14.25" customHeight="1" x14ac:dyDescent="0.3">
      <c r="A1678" s="182" t="s">
        <v>4169</v>
      </c>
      <c r="B1678" s="182" t="s">
        <v>937</v>
      </c>
      <c r="C1678" s="182" t="s">
        <v>909</v>
      </c>
      <c r="D1678" s="182" t="s">
        <v>4174</v>
      </c>
      <c r="E1678" s="183" t="s">
        <v>4175</v>
      </c>
      <c r="F1678" s="183" t="s">
        <v>941</v>
      </c>
      <c r="G1678" s="184">
        <v>1</v>
      </c>
      <c r="H1678" s="185">
        <v>0</v>
      </c>
      <c r="I1678" s="186">
        <v>7700</v>
      </c>
      <c r="J1678" s="187">
        <v>7700</v>
      </c>
      <c r="K1678" s="182" t="s">
        <v>4176</v>
      </c>
      <c r="L1678" s="182">
        <v>1</v>
      </c>
      <c r="M1678" s="182" t="s">
        <v>4177</v>
      </c>
      <c r="N1678" s="186">
        <v>1</v>
      </c>
      <c r="O1678" s="188">
        <v>1</v>
      </c>
      <c r="P1678" s="188">
        <v>226</v>
      </c>
      <c r="Q1678" s="188">
        <v>226</v>
      </c>
      <c r="R1678" s="189">
        <v>18.25</v>
      </c>
      <c r="S1678" s="189" t="s">
        <v>573</v>
      </c>
    </row>
    <row r="1679" spans="1:19" ht="14.25" customHeight="1" x14ac:dyDescent="0.3">
      <c r="A1679" s="182" t="s">
        <v>4178</v>
      </c>
      <c r="B1679" s="182" t="s">
        <v>563</v>
      </c>
      <c r="C1679" s="182"/>
      <c r="D1679" s="182" t="s">
        <v>4179</v>
      </c>
      <c r="E1679" s="183" t="s">
        <v>4180</v>
      </c>
      <c r="F1679" s="183"/>
      <c r="G1679" s="184">
        <v>1</v>
      </c>
      <c r="H1679" s="185">
        <v>0</v>
      </c>
      <c r="I1679" s="186">
        <v>281.39999999999998</v>
      </c>
      <c r="J1679" s="187">
        <v>281.39999999999998</v>
      </c>
      <c r="K1679" s="182" t="s">
        <v>4181</v>
      </c>
      <c r="L1679" s="182">
        <v>1</v>
      </c>
      <c r="M1679" s="182" t="s">
        <v>4182</v>
      </c>
      <c r="N1679" s="186">
        <v>1</v>
      </c>
      <c r="O1679" s="188">
        <v>1</v>
      </c>
      <c r="P1679" s="188">
        <v>8</v>
      </c>
      <c r="Q1679" s="188">
        <v>8</v>
      </c>
      <c r="R1679" s="189">
        <v>18.260000000000002</v>
      </c>
      <c r="S1679" s="189" t="s">
        <v>573</v>
      </c>
    </row>
    <row r="1680" spans="1:19" ht="14.25" customHeight="1" x14ac:dyDescent="0.3">
      <c r="A1680" s="182" t="s">
        <v>4178</v>
      </c>
      <c r="B1680" s="182" t="s">
        <v>937</v>
      </c>
      <c r="C1680" s="182" t="s">
        <v>909</v>
      </c>
      <c r="D1680" s="182" t="s">
        <v>4183</v>
      </c>
      <c r="E1680" s="183" t="s">
        <v>4184</v>
      </c>
      <c r="F1680" s="183" t="s">
        <v>941</v>
      </c>
      <c r="G1680" s="184">
        <v>1</v>
      </c>
      <c r="H1680" s="185">
        <v>0</v>
      </c>
      <c r="I1680" s="186">
        <v>18760</v>
      </c>
      <c r="J1680" s="187">
        <v>18760</v>
      </c>
      <c r="K1680" s="182" t="s">
        <v>4185</v>
      </c>
      <c r="L1680" s="182">
        <v>1</v>
      </c>
      <c r="M1680" s="182" t="s">
        <v>4186</v>
      </c>
      <c r="N1680" s="186">
        <v>1</v>
      </c>
      <c r="O1680" s="188">
        <v>1</v>
      </c>
      <c r="P1680" s="188">
        <v>8</v>
      </c>
      <c r="Q1680" s="188">
        <v>8</v>
      </c>
      <c r="R1680" s="189">
        <v>18.260000000000002</v>
      </c>
      <c r="S1680" s="189" t="s">
        <v>573</v>
      </c>
    </row>
    <row r="1681" spans="1:19" ht="14.25" customHeight="1" x14ac:dyDescent="0.3">
      <c r="A1681" s="182" t="s">
        <v>4187</v>
      </c>
      <c r="B1681" s="182" t="s">
        <v>563</v>
      </c>
      <c r="C1681" s="182"/>
      <c r="D1681" s="182" t="s">
        <v>4188</v>
      </c>
      <c r="E1681" s="183" t="s">
        <v>4189</v>
      </c>
      <c r="F1681" s="183"/>
      <c r="G1681" s="184">
        <v>1</v>
      </c>
      <c r="H1681" s="185">
        <v>0</v>
      </c>
      <c r="I1681" s="186">
        <v>1032.1500000000001</v>
      </c>
      <c r="J1681" s="187">
        <v>1032.1500000000001</v>
      </c>
      <c r="K1681" s="182" t="s">
        <v>4190</v>
      </c>
      <c r="L1681" s="182">
        <v>1</v>
      </c>
      <c r="M1681" s="182" t="s">
        <v>4191</v>
      </c>
      <c r="N1681" s="186">
        <v>1</v>
      </c>
      <c r="O1681" s="188">
        <v>1</v>
      </c>
      <c r="P1681" s="188">
        <v>24</v>
      </c>
      <c r="Q1681" s="188">
        <v>24</v>
      </c>
      <c r="R1681" s="189">
        <v>18.27</v>
      </c>
      <c r="S1681" s="189" t="s">
        <v>573</v>
      </c>
    </row>
    <row r="1682" spans="1:19" ht="14.25" customHeight="1" x14ac:dyDescent="0.3">
      <c r="A1682" s="182" t="s">
        <v>4187</v>
      </c>
      <c r="B1682" s="182" t="s">
        <v>937</v>
      </c>
      <c r="C1682" s="182" t="s">
        <v>909</v>
      </c>
      <c r="D1682" s="182" t="s">
        <v>4192</v>
      </c>
      <c r="E1682" s="183" t="s">
        <v>4193</v>
      </c>
      <c r="F1682" s="183" t="s">
        <v>941</v>
      </c>
      <c r="G1682" s="184">
        <v>1</v>
      </c>
      <c r="H1682" s="185">
        <v>0</v>
      </c>
      <c r="I1682" s="186">
        <v>68810</v>
      </c>
      <c r="J1682" s="187">
        <v>68810</v>
      </c>
      <c r="K1682" s="182" t="s">
        <v>4194</v>
      </c>
      <c r="L1682" s="182">
        <v>1</v>
      </c>
      <c r="M1682" s="182" t="s">
        <v>4195</v>
      </c>
      <c r="N1682" s="186">
        <v>1</v>
      </c>
      <c r="O1682" s="188">
        <v>1</v>
      </c>
      <c r="P1682" s="188">
        <v>24</v>
      </c>
      <c r="Q1682" s="188">
        <v>24</v>
      </c>
      <c r="R1682" s="189">
        <v>18.27</v>
      </c>
      <c r="S1682" s="189" t="s">
        <v>573</v>
      </c>
    </row>
    <row r="1683" spans="1:19" ht="14.25" customHeight="1" x14ac:dyDescent="0.3">
      <c r="A1683" s="182" t="s">
        <v>4196</v>
      </c>
      <c r="B1683" s="182" t="s">
        <v>563</v>
      </c>
      <c r="C1683" s="182"/>
      <c r="D1683" s="182" t="s">
        <v>4197</v>
      </c>
      <c r="E1683" s="183" t="s">
        <v>4198</v>
      </c>
      <c r="F1683" s="183"/>
      <c r="G1683" s="184">
        <v>1</v>
      </c>
      <c r="H1683" s="185">
        <v>0</v>
      </c>
      <c r="I1683" s="186">
        <v>281.39999999999998</v>
      </c>
      <c r="J1683" s="187">
        <v>281.39999999999998</v>
      </c>
      <c r="K1683" s="182" t="s">
        <v>4199</v>
      </c>
      <c r="L1683" s="182">
        <v>1</v>
      </c>
      <c r="M1683" s="182" t="s">
        <v>4200</v>
      </c>
      <c r="N1683" s="186">
        <v>1</v>
      </c>
      <c r="O1683" s="188">
        <v>1</v>
      </c>
      <c r="P1683" s="188">
        <v>12</v>
      </c>
      <c r="Q1683" s="188">
        <v>12</v>
      </c>
      <c r="R1683" s="189">
        <v>18.28</v>
      </c>
      <c r="S1683" s="189" t="s">
        <v>573</v>
      </c>
    </row>
    <row r="1684" spans="1:19" ht="14.25" customHeight="1" x14ac:dyDescent="0.3">
      <c r="A1684" s="182" t="s">
        <v>4196</v>
      </c>
      <c r="B1684" s="182" t="s">
        <v>937</v>
      </c>
      <c r="C1684" s="182" t="s">
        <v>909</v>
      </c>
      <c r="D1684" s="182" t="s">
        <v>4201</v>
      </c>
      <c r="E1684" s="183" t="s">
        <v>4202</v>
      </c>
      <c r="F1684" s="183" t="s">
        <v>941</v>
      </c>
      <c r="G1684" s="184">
        <v>1</v>
      </c>
      <c r="H1684" s="185">
        <v>0</v>
      </c>
      <c r="I1684" s="186">
        <v>18760</v>
      </c>
      <c r="J1684" s="187">
        <v>18760</v>
      </c>
      <c r="K1684" s="182" t="s">
        <v>4203</v>
      </c>
      <c r="L1684" s="182">
        <v>1</v>
      </c>
      <c r="M1684" s="182" t="s">
        <v>4204</v>
      </c>
      <c r="N1684" s="186">
        <v>1</v>
      </c>
      <c r="O1684" s="188">
        <v>1</v>
      </c>
      <c r="P1684" s="188">
        <v>12</v>
      </c>
      <c r="Q1684" s="188">
        <v>12</v>
      </c>
      <c r="R1684" s="189">
        <v>18.28</v>
      </c>
      <c r="S1684" s="189" t="s">
        <v>573</v>
      </c>
    </row>
    <row r="1685" spans="1:19" ht="14.25" customHeight="1" x14ac:dyDescent="0.3">
      <c r="A1685" s="182" t="s">
        <v>4205</v>
      </c>
      <c r="B1685" s="182" t="s">
        <v>563</v>
      </c>
      <c r="C1685" s="182"/>
      <c r="D1685" s="182" t="s">
        <v>4206</v>
      </c>
      <c r="E1685" s="183" t="s">
        <v>4207</v>
      </c>
      <c r="F1685" s="183"/>
      <c r="G1685" s="184">
        <v>1</v>
      </c>
      <c r="H1685" s="185">
        <v>0</v>
      </c>
      <c r="I1685" s="186">
        <v>281.39999999999998</v>
      </c>
      <c r="J1685" s="187">
        <v>281.39999999999998</v>
      </c>
      <c r="K1685" s="182" t="s">
        <v>4208</v>
      </c>
      <c r="L1685" s="182">
        <v>1</v>
      </c>
      <c r="M1685" s="182" t="s">
        <v>4209</v>
      </c>
      <c r="N1685" s="186">
        <v>1</v>
      </c>
      <c r="O1685" s="188">
        <v>1</v>
      </c>
      <c r="P1685" s="188">
        <v>1</v>
      </c>
      <c r="Q1685" s="188">
        <v>1</v>
      </c>
      <c r="R1685" s="189">
        <v>18.29</v>
      </c>
      <c r="S1685" s="189" t="s">
        <v>573</v>
      </c>
    </row>
    <row r="1686" spans="1:19" ht="14.25" customHeight="1" x14ac:dyDescent="0.3">
      <c r="A1686" s="182" t="s">
        <v>4205</v>
      </c>
      <c r="B1686" s="182" t="s">
        <v>937</v>
      </c>
      <c r="C1686" s="182" t="s">
        <v>909</v>
      </c>
      <c r="D1686" s="182" t="s">
        <v>4210</v>
      </c>
      <c r="E1686" s="183" t="s">
        <v>4211</v>
      </c>
      <c r="F1686" s="183" t="s">
        <v>941</v>
      </c>
      <c r="G1686" s="184">
        <v>1</v>
      </c>
      <c r="H1686" s="185">
        <v>0</v>
      </c>
      <c r="I1686" s="186">
        <v>18760</v>
      </c>
      <c r="J1686" s="187">
        <v>18760</v>
      </c>
      <c r="K1686" s="182" t="s">
        <v>4212</v>
      </c>
      <c r="L1686" s="182">
        <v>1</v>
      </c>
      <c r="M1686" s="182" t="s">
        <v>4213</v>
      </c>
      <c r="N1686" s="186">
        <v>1</v>
      </c>
      <c r="O1686" s="188">
        <v>1</v>
      </c>
      <c r="P1686" s="188">
        <v>1</v>
      </c>
      <c r="Q1686" s="188">
        <v>1</v>
      </c>
      <c r="R1686" s="189">
        <v>18.29</v>
      </c>
      <c r="S1686" s="189" t="s">
        <v>573</v>
      </c>
    </row>
    <row r="1687" spans="1:19" ht="14.25" customHeight="1" x14ac:dyDescent="0.3">
      <c r="A1687" s="182" t="s">
        <v>4214</v>
      </c>
      <c r="B1687" s="182" t="s">
        <v>563</v>
      </c>
      <c r="C1687" s="182"/>
      <c r="D1687" s="182" t="s">
        <v>4215</v>
      </c>
      <c r="E1687" s="183" t="s">
        <v>4216</v>
      </c>
      <c r="F1687" s="183"/>
      <c r="G1687" s="184">
        <v>1</v>
      </c>
      <c r="H1687" s="185">
        <v>0</v>
      </c>
      <c r="I1687" s="186">
        <v>177.24</v>
      </c>
      <c r="J1687" s="187">
        <v>177.24</v>
      </c>
      <c r="K1687" s="182" t="s">
        <v>4217</v>
      </c>
      <c r="L1687" s="182">
        <v>1</v>
      </c>
      <c r="M1687" s="182" t="s">
        <v>4218</v>
      </c>
      <c r="N1687" s="186">
        <v>1</v>
      </c>
      <c r="O1687" s="188">
        <v>1</v>
      </c>
      <c r="P1687" s="188">
        <v>109</v>
      </c>
      <c r="Q1687" s="188">
        <v>109</v>
      </c>
      <c r="R1687" s="189">
        <v>18.3</v>
      </c>
      <c r="S1687" s="189" t="s">
        <v>573</v>
      </c>
    </row>
    <row r="1688" spans="1:19" ht="14.25" customHeight="1" x14ac:dyDescent="0.3">
      <c r="A1688" s="182" t="s">
        <v>4214</v>
      </c>
      <c r="B1688" s="182" t="s">
        <v>937</v>
      </c>
      <c r="C1688" s="182" t="s">
        <v>909</v>
      </c>
      <c r="D1688" s="182" t="s">
        <v>4219</v>
      </c>
      <c r="E1688" s="183" t="s">
        <v>4220</v>
      </c>
      <c r="F1688" s="183" t="s">
        <v>941</v>
      </c>
      <c r="G1688" s="184">
        <v>1</v>
      </c>
      <c r="H1688" s="185">
        <v>0</v>
      </c>
      <c r="I1688" s="186">
        <v>11816</v>
      </c>
      <c r="J1688" s="187">
        <v>11816</v>
      </c>
      <c r="K1688" s="182" t="s">
        <v>4221</v>
      </c>
      <c r="L1688" s="182">
        <v>1</v>
      </c>
      <c r="M1688" s="182" t="s">
        <v>4222</v>
      </c>
      <c r="N1688" s="186">
        <v>1</v>
      </c>
      <c r="O1688" s="188">
        <v>1</v>
      </c>
      <c r="P1688" s="188">
        <v>109</v>
      </c>
      <c r="Q1688" s="188">
        <v>109</v>
      </c>
      <c r="R1688" s="189">
        <v>18.3</v>
      </c>
      <c r="S1688" s="189" t="s">
        <v>573</v>
      </c>
    </row>
    <row r="1689" spans="1:19" ht="14.25" customHeight="1" x14ac:dyDescent="0.3">
      <c r="A1689" s="182" t="s">
        <v>4223</v>
      </c>
      <c r="B1689" s="182" t="s">
        <v>563</v>
      </c>
      <c r="C1689" s="182"/>
      <c r="D1689" s="182" t="s">
        <v>4224</v>
      </c>
      <c r="E1689" s="183" t="s">
        <v>4225</v>
      </c>
      <c r="F1689" s="183"/>
      <c r="G1689" s="184">
        <v>1</v>
      </c>
      <c r="H1689" s="185">
        <v>0</v>
      </c>
      <c r="I1689" s="186">
        <v>61176.021690000001</v>
      </c>
      <c r="J1689" s="187">
        <v>61176.021690000001</v>
      </c>
      <c r="K1689" s="182" t="s">
        <v>4226</v>
      </c>
      <c r="L1689" s="182">
        <v>1</v>
      </c>
      <c r="M1689" s="182" t="s">
        <v>4227</v>
      </c>
      <c r="N1689" s="186">
        <v>1</v>
      </c>
      <c r="O1689" s="188">
        <v>1</v>
      </c>
      <c r="P1689" s="188">
        <v>1</v>
      </c>
      <c r="Q1689" s="188">
        <v>1</v>
      </c>
      <c r="R1689" s="189">
        <v>18.309999999999999</v>
      </c>
      <c r="S1689" s="189" t="s">
        <v>573</v>
      </c>
    </row>
    <row r="1690" spans="1:19" ht="14.25" customHeight="1" x14ac:dyDescent="0.3">
      <c r="A1690" s="182" t="s">
        <v>4223</v>
      </c>
      <c r="B1690" s="182" t="s">
        <v>908</v>
      </c>
      <c r="C1690" s="182" t="s">
        <v>909</v>
      </c>
      <c r="D1690" s="182" t="s">
        <v>976</v>
      </c>
      <c r="E1690" s="183" t="s">
        <v>977</v>
      </c>
      <c r="F1690" s="183" t="s">
        <v>576</v>
      </c>
      <c r="G1690" s="184">
        <v>401194.20600000001</v>
      </c>
      <c r="H1690" s="185">
        <v>0</v>
      </c>
      <c r="I1690" s="186">
        <v>1</v>
      </c>
      <c r="J1690" s="187">
        <v>401194.20600000001</v>
      </c>
      <c r="K1690" s="182" t="s">
        <v>4228</v>
      </c>
      <c r="L1690" s="182">
        <v>1</v>
      </c>
      <c r="M1690" s="182" t="s">
        <v>4229</v>
      </c>
      <c r="N1690" s="186">
        <v>1</v>
      </c>
      <c r="O1690" s="188">
        <v>401194.20600000001</v>
      </c>
      <c r="P1690" s="188">
        <v>1</v>
      </c>
      <c r="Q1690" s="188">
        <v>401194.20600000001</v>
      </c>
      <c r="R1690" s="189">
        <v>18.309999999999999</v>
      </c>
      <c r="S1690" s="189" t="s">
        <v>573</v>
      </c>
    </row>
    <row r="1691" spans="1:19" ht="14.25" customHeight="1" x14ac:dyDescent="0.3">
      <c r="A1691" s="182" t="s">
        <v>4223</v>
      </c>
      <c r="B1691" s="182" t="s">
        <v>908</v>
      </c>
      <c r="C1691" s="182" t="s">
        <v>909</v>
      </c>
      <c r="D1691" s="182" t="s">
        <v>4230</v>
      </c>
      <c r="E1691" s="183" t="s">
        <v>4231</v>
      </c>
      <c r="F1691" s="183" t="s">
        <v>581</v>
      </c>
      <c r="G1691" s="184">
        <v>10</v>
      </c>
      <c r="H1691" s="185">
        <v>0</v>
      </c>
      <c r="I1691" s="186">
        <v>20537.45</v>
      </c>
      <c r="J1691" s="187">
        <v>205374.5</v>
      </c>
      <c r="K1691" s="182" t="s">
        <v>4228</v>
      </c>
      <c r="L1691" s="182">
        <v>2</v>
      </c>
      <c r="M1691" s="182" t="s">
        <v>4232</v>
      </c>
      <c r="N1691" s="186">
        <v>1</v>
      </c>
      <c r="O1691" s="188">
        <v>10</v>
      </c>
      <c r="P1691" s="188">
        <v>1</v>
      </c>
      <c r="Q1691" s="188">
        <v>10</v>
      </c>
      <c r="R1691" s="189">
        <v>18.309999999999999</v>
      </c>
      <c r="S1691" s="189" t="s">
        <v>573</v>
      </c>
    </row>
    <row r="1692" spans="1:19" ht="14.25" customHeight="1" x14ac:dyDescent="0.3">
      <c r="A1692" s="182" t="s">
        <v>4223</v>
      </c>
      <c r="B1692" s="182" t="s">
        <v>908</v>
      </c>
      <c r="C1692" s="182" t="s">
        <v>909</v>
      </c>
      <c r="D1692" s="182" t="s">
        <v>4233</v>
      </c>
      <c r="E1692" s="183" t="s">
        <v>4234</v>
      </c>
      <c r="F1692" s="183" t="s">
        <v>600</v>
      </c>
      <c r="G1692" s="184">
        <v>2</v>
      </c>
      <c r="H1692" s="185">
        <v>0</v>
      </c>
      <c r="I1692" s="186">
        <v>832346.42</v>
      </c>
      <c r="J1692" s="187">
        <v>1664692.84</v>
      </c>
      <c r="K1692" s="182" t="s">
        <v>4228</v>
      </c>
      <c r="L1692" s="182">
        <v>3</v>
      </c>
      <c r="M1692" s="182" t="s">
        <v>4235</v>
      </c>
      <c r="N1692" s="186">
        <v>1</v>
      </c>
      <c r="O1692" s="188">
        <v>2</v>
      </c>
      <c r="P1692" s="188">
        <v>1</v>
      </c>
      <c r="Q1692" s="188">
        <v>2</v>
      </c>
      <c r="R1692" s="189">
        <v>18.309999999999999</v>
      </c>
      <c r="S1692" s="189" t="s">
        <v>573</v>
      </c>
    </row>
    <row r="1693" spans="1:19" ht="14.25" customHeight="1" x14ac:dyDescent="0.3">
      <c r="A1693" s="182" t="s">
        <v>4223</v>
      </c>
      <c r="B1693" s="182" t="s">
        <v>908</v>
      </c>
      <c r="C1693" s="182" t="s">
        <v>909</v>
      </c>
      <c r="D1693" s="182" t="s">
        <v>4236</v>
      </c>
      <c r="E1693" s="183" t="s">
        <v>4237</v>
      </c>
      <c r="F1693" s="183" t="s">
        <v>600</v>
      </c>
      <c r="G1693" s="184">
        <v>1</v>
      </c>
      <c r="H1693" s="185">
        <v>0</v>
      </c>
      <c r="I1693" s="186">
        <v>210583.05</v>
      </c>
      <c r="J1693" s="187">
        <v>210583.05</v>
      </c>
      <c r="K1693" s="182" t="s">
        <v>4228</v>
      </c>
      <c r="L1693" s="182">
        <v>4</v>
      </c>
      <c r="M1693" s="182" t="s">
        <v>4238</v>
      </c>
      <c r="N1693" s="186">
        <v>1</v>
      </c>
      <c r="O1693" s="188">
        <v>1</v>
      </c>
      <c r="P1693" s="188">
        <v>1</v>
      </c>
      <c r="Q1693" s="188">
        <v>1</v>
      </c>
      <c r="R1693" s="189">
        <v>18.309999999999999</v>
      </c>
      <c r="S1693" s="189" t="s">
        <v>573</v>
      </c>
    </row>
    <row r="1694" spans="1:19" ht="14.25" customHeight="1" x14ac:dyDescent="0.3">
      <c r="A1694" s="182" t="s">
        <v>4223</v>
      </c>
      <c r="B1694" s="182" t="s">
        <v>908</v>
      </c>
      <c r="C1694" s="182" t="s">
        <v>909</v>
      </c>
      <c r="D1694" s="182" t="s">
        <v>4239</v>
      </c>
      <c r="E1694" s="183" t="s">
        <v>4240</v>
      </c>
      <c r="F1694" s="183" t="s">
        <v>600</v>
      </c>
      <c r="G1694" s="184">
        <v>1</v>
      </c>
      <c r="H1694" s="185">
        <v>0</v>
      </c>
      <c r="I1694" s="186">
        <v>462872.16</v>
      </c>
      <c r="J1694" s="187">
        <v>462872.16</v>
      </c>
      <c r="K1694" s="182" t="s">
        <v>4228</v>
      </c>
      <c r="L1694" s="182">
        <v>5</v>
      </c>
      <c r="M1694" s="182" t="s">
        <v>4241</v>
      </c>
      <c r="N1694" s="186">
        <v>1</v>
      </c>
      <c r="O1694" s="188">
        <v>1</v>
      </c>
      <c r="P1694" s="188">
        <v>1</v>
      </c>
      <c r="Q1694" s="188">
        <v>1</v>
      </c>
      <c r="R1694" s="189">
        <v>18.309999999999999</v>
      </c>
      <c r="S1694" s="189" t="s">
        <v>573</v>
      </c>
    </row>
    <row r="1695" spans="1:19" ht="14.25" customHeight="1" x14ac:dyDescent="0.3">
      <c r="A1695" s="182" t="s">
        <v>4223</v>
      </c>
      <c r="B1695" s="182" t="s">
        <v>908</v>
      </c>
      <c r="C1695" s="182" t="s">
        <v>909</v>
      </c>
      <c r="D1695" s="182" t="s">
        <v>4242</v>
      </c>
      <c r="E1695" s="183" t="s">
        <v>4243</v>
      </c>
      <c r="F1695" s="183" t="s">
        <v>600</v>
      </c>
      <c r="G1695" s="184">
        <v>27</v>
      </c>
      <c r="H1695" s="185">
        <v>0</v>
      </c>
      <c r="I1695" s="186">
        <v>3784.33</v>
      </c>
      <c r="J1695" s="187">
        <v>102176.91</v>
      </c>
      <c r="K1695" s="182" t="s">
        <v>4228</v>
      </c>
      <c r="L1695" s="182">
        <v>6</v>
      </c>
      <c r="M1695" s="182" t="s">
        <v>4244</v>
      </c>
      <c r="N1695" s="186">
        <v>1</v>
      </c>
      <c r="O1695" s="188">
        <v>27</v>
      </c>
      <c r="P1695" s="188">
        <v>1</v>
      </c>
      <c r="Q1695" s="188">
        <v>27</v>
      </c>
      <c r="R1695" s="189">
        <v>18.309999999999999</v>
      </c>
      <c r="S1695" s="189" t="s">
        <v>573</v>
      </c>
    </row>
    <row r="1696" spans="1:19" ht="14.25" customHeight="1" x14ac:dyDescent="0.3">
      <c r="A1696" s="182" t="s">
        <v>4223</v>
      </c>
      <c r="B1696" s="182" t="s">
        <v>908</v>
      </c>
      <c r="C1696" s="182" t="s">
        <v>909</v>
      </c>
      <c r="D1696" s="182" t="s">
        <v>4245</v>
      </c>
      <c r="E1696" s="183" t="s">
        <v>4246</v>
      </c>
      <c r="F1696" s="183" t="s">
        <v>600</v>
      </c>
      <c r="G1696" s="184">
        <v>3</v>
      </c>
      <c r="H1696" s="185">
        <v>0</v>
      </c>
      <c r="I1696" s="186">
        <v>9642.86</v>
      </c>
      <c r="J1696" s="187">
        <v>28928.58</v>
      </c>
      <c r="K1696" s="182" t="s">
        <v>4228</v>
      </c>
      <c r="L1696" s="182">
        <v>7</v>
      </c>
      <c r="M1696" s="182" t="s">
        <v>4247</v>
      </c>
      <c r="N1696" s="186">
        <v>1</v>
      </c>
      <c r="O1696" s="188">
        <v>3</v>
      </c>
      <c r="P1696" s="188">
        <v>1</v>
      </c>
      <c r="Q1696" s="188">
        <v>3</v>
      </c>
      <c r="R1696" s="189">
        <v>18.309999999999999</v>
      </c>
      <c r="S1696" s="189" t="s">
        <v>573</v>
      </c>
    </row>
    <row r="1697" spans="1:19" ht="14.25" customHeight="1" x14ac:dyDescent="0.3">
      <c r="A1697" s="182" t="s">
        <v>4223</v>
      </c>
      <c r="B1697" s="182" t="s">
        <v>937</v>
      </c>
      <c r="C1697" s="182" t="s">
        <v>909</v>
      </c>
      <c r="D1697" s="182" t="s">
        <v>4248</v>
      </c>
      <c r="E1697" s="183" t="s">
        <v>4249</v>
      </c>
      <c r="F1697" s="183" t="s">
        <v>941</v>
      </c>
      <c r="G1697" s="184">
        <v>1</v>
      </c>
      <c r="H1697" s="185">
        <v>0</v>
      </c>
      <c r="I1697" s="186">
        <v>90526.8</v>
      </c>
      <c r="J1697" s="187">
        <v>90526.8</v>
      </c>
      <c r="K1697" s="182" t="s">
        <v>4250</v>
      </c>
      <c r="L1697" s="182">
        <v>1</v>
      </c>
      <c r="M1697" s="182" t="s">
        <v>4251</v>
      </c>
      <c r="N1697" s="186">
        <v>1</v>
      </c>
      <c r="O1697" s="188">
        <v>1</v>
      </c>
      <c r="P1697" s="188">
        <v>1</v>
      </c>
      <c r="Q1697" s="188">
        <v>1</v>
      </c>
      <c r="R1697" s="189">
        <v>18.309999999999999</v>
      </c>
      <c r="S1697" s="189" t="s">
        <v>573</v>
      </c>
    </row>
    <row r="1698" spans="1:19" ht="14.25" customHeight="1" x14ac:dyDescent="0.3">
      <c r="A1698" s="182" t="s">
        <v>4223</v>
      </c>
      <c r="B1698" s="182" t="s">
        <v>937</v>
      </c>
      <c r="C1698" s="182" t="s">
        <v>909</v>
      </c>
      <c r="D1698" s="182" t="s">
        <v>4252</v>
      </c>
      <c r="E1698" s="183" t="s">
        <v>4253</v>
      </c>
      <c r="F1698" s="183" t="s">
        <v>941</v>
      </c>
      <c r="G1698" s="184">
        <v>1</v>
      </c>
      <c r="H1698" s="185">
        <v>0</v>
      </c>
      <c r="I1698" s="186">
        <v>129373.3</v>
      </c>
      <c r="J1698" s="187">
        <v>129373.3</v>
      </c>
      <c r="K1698" s="182" t="s">
        <v>4250</v>
      </c>
      <c r="L1698" s="182">
        <v>2</v>
      </c>
      <c r="M1698" s="182" t="s">
        <v>4254</v>
      </c>
      <c r="N1698" s="186">
        <v>1</v>
      </c>
      <c r="O1698" s="188">
        <v>1</v>
      </c>
      <c r="P1698" s="188">
        <v>1</v>
      </c>
      <c r="Q1698" s="188">
        <v>1</v>
      </c>
      <c r="R1698" s="189">
        <v>18.309999999999999</v>
      </c>
      <c r="S1698" s="189" t="s">
        <v>573</v>
      </c>
    </row>
    <row r="1699" spans="1:19" ht="14.25" customHeight="1" x14ac:dyDescent="0.3">
      <c r="A1699" s="182" t="s">
        <v>4223</v>
      </c>
      <c r="B1699" s="182" t="s">
        <v>937</v>
      </c>
      <c r="C1699" s="182" t="s">
        <v>909</v>
      </c>
      <c r="D1699" s="182" t="s">
        <v>4255</v>
      </c>
      <c r="E1699" s="183" t="s">
        <v>4256</v>
      </c>
      <c r="F1699" s="183" t="s">
        <v>941</v>
      </c>
      <c r="G1699" s="184">
        <v>2</v>
      </c>
      <c r="H1699" s="185">
        <v>0</v>
      </c>
      <c r="I1699" s="186">
        <v>344928.5</v>
      </c>
      <c r="J1699" s="187">
        <v>689857</v>
      </c>
      <c r="K1699" s="182" t="s">
        <v>4250</v>
      </c>
      <c r="L1699" s="182">
        <v>3</v>
      </c>
      <c r="M1699" s="182" t="s">
        <v>4257</v>
      </c>
      <c r="N1699" s="186">
        <v>1</v>
      </c>
      <c r="O1699" s="188">
        <v>2</v>
      </c>
      <c r="P1699" s="188">
        <v>1</v>
      </c>
      <c r="Q1699" s="188">
        <v>2</v>
      </c>
      <c r="R1699" s="189">
        <v>18.309999999999999</v>
      </c>
      <c r="S1699" s="189" t="s">
        <v>573</v>
      </c>
    </row>
    <row r="1700" spans="1:19" ht="14.25" customHeight="1" x14ac:dyDescent="0.3">
      <c r="A1700" s="182" t="s">
        <v>4223</v>
      </c>
      <c r="B1700" s="182" t="s">
        <v>937</v>
      </c>
      <c r="C1700" s="182" t="s">
        <v>909</v>
      </c>
      <c r="D1700" s="182" t="s">
        <v>4258</v>
      </c>
      <c r="E1700" s="183" t="s">
        <v>4259</v>
      </c>
      <c r="F1700" s="183" t="s">
        <v>941</v>
      </c>
      <c r="G1700" s="184">
        <v>1</v>
      </c>
      <c r="H1700" s="185">
        <v>0</v>
      </c>
      <c r="I1700" s="186">
        <v>92822.1</v>
      </c>
      <c r="J1700" s="187">
        <v>92822.1</v>
      </c>
      <c r="K1700" s="182" t="s">
        <v>4250</v>
      </c>
      <c r="L1700" s="182">
        <v>4</v>
      </c>
      <c r="M1700" s="182" t="s">
        <v>4260</v>
      </c>
      <c r="N1700" s="186">
        <v>1</v>
      </c>
      <c r="O1700" s="188">
        <v>1</v>
      </c>
      <c r="P1700" s="188">
        <v>1</v>
      </c>
      <c r="Q1700" s="188">
        <v>1</v>
      </c>
      <c r="R1700" s="189">
        <v>18.309999999999999</v>
      </c>
      <c r="S1700" s="189" t="s">
        <v>573</v>
      </c>
    </row>
    <row r="1701" spans="1:19" ht="14.25" customHeight="1" x14ac:dyDescent="0.3">
      <c r="A1701" s="182" t="s">
        <v>4261</v>
      </c>
      <c r="B1701" s="182" t="s">
        <v>563</v>
      </c>
      <c r="C1701" s="182"/>
      <c r="D1701" s="182" t="s">
        <v>4262</v>
      </c>
      <c r="E1701" s="183" t="s">
        <v>4263</v>
      </c>
      <c r="F1701" s="183"/>
      <c r="G1701" s="184">
        <v>1</v>
      </c>
      <c r="H1701" s="185">
        <v>0</v>
      </c>
      <c r="I1701" s="186">
        <v>10618.1041956769</v>
      </c>
      <c r="J1701" s="187">
        <v>10618.1041956769</v>
      </c>
      <c r="K1701" s="182" t="s">
        <v>4264</v>
      </c>
      <c r="L1701" s="182">
        <v>1</v>
      </c>
      <c r="M1701" s="182" t="s">
        <v>4265</v>
      </c>
      <c r="N1701" s="186">
        <v>1</v>
      </c>
      <c r="O1701" s="188">
        <v>1</v>
      </c>
      <c r="P1701" s="188">
        <v>1</v>
      </c>
      <c r="Q1701" s="188">
        <v>1</v>
      </c>
      <c r="R1701" s="189">
        <v>18.32</v>
      </c>
      <c r="S1701" s="189" t="s">
        <v>4074</v>
      </c>
    </row>
    <row r="1702" spans="1:19" ht="14.25" customHeight="1" x14ac:dyDescent="0.3">
      <c r="A1702" s="182" t="s">
        <v>4261</v>
      </c>
      <c r="B1702" s="182" t="s">
        <v>908</v>
      </c>
      <c r="C1702" s="182" t="s">
        <v>909</v>
      </c>
      <c r="D1702" s="182" t="s">
        <v>976</v>
      </c>
      <c r="E1702" s="183" t="s">
        <v>977</v>
      </c>
      <c r="F1702" s="183" t="s">
        <v>576</v>
      </c>
      <c r="G1702" s="184">
        <v>95009.658800000005</v>
      </c>
      <c r="H1702" s="185">
        <v>0</v>
      </c>
      <c r="I1702" s="186">
        <v>1</v>
      </c>
      <c r="J1702" s="187">
        <v>95009.658800000005</v>
      </c>
      <c r="K1702" s="182" t="s">
        <v>4266</v>
      </c>
      <c r="L1702" s="182">
        <v>1</v>
      </c>
      <c r="M1702" s="182" t="s">
        <v>4267</v>
      </c>
      <c r="N1702" s="186">
        <v>1</v>
      </c>
      <c r="O1702" s="188">
        <v>95009.658800000005</v>
      </c>
      <c r="P1702" s="188">
        <v>1</v>
      </c>
      <c r="Q1702" s="188">
        <v>95009.658800000005</v>
      </c>
      <c r="R1702" s="189">
        <v>18.32</v>
      </c>
      <c r="S1702" s="189" t="s">
        <v>4074</v>
      </c>
    </row>
    <row r="1703" spans="1:19" ht="14.25" customHeight="1" x14ac:dyDescent="0.3">
      <c r="A1703" s="182" t="s">
        <v>4261</v>
      </c>
      <c r="B1703" s="182" t="s">
        <v>908</v>
      </c>
      <c r="C1703" s="182" t="s">
        <v>909</v>
      </c>
      <c r="D1703" s="182" t="s">
        <v>4268</v>
      </c>
      <c r="E1703" s="183" t="s">
        <v>4269</v>
      </c>
      <c r="F1703" s="183" t="s">
        <v>581</v>
      </c>
      <c r="G1703" s="184">
        <v>75</v>
      </c>
      <c r="H1703" s="185">
        <v>0</v>
      </c>
      <c r="I1703" s="186">
        <v>4462.8099173553701</v>
      </c>
      <c r="J1703" s="187">
        <v>334710.74380165298</v>
      </c>
      <c r="K1703" s="182" t="s">
        <v>4266</v>
      </c>
      <c r="L1703" s="182">
        <v>2</v>
      </c>
      <c r="M1703" s="182" t="s">
        <v>4270</v>
      </c>
      <c r="N1703" s="186">
        <v>1</v>
      </c>
      <c r="O1703" s="188">
        <v>75</v>
      </c>
      <c r="P1703" s="188">
        <v>1</v>
      </c>
      <c r="Q1703" s="188">
        <v>75</v>
      </c>
      <c r="R1703" s="189">
        <v>18.32</v>
      </c>
      <c r="S1703" s="189" t="s">
        <v>4074</v>
      </c>
    </row>
    <row r="1704" spans="1:19" ht="14.25" customHeight="1" x14ac:dyDescent="0.3">
      <c r="A1704" s="182" t="s">
        <v>4261</v>
      </c>
      <c r="B1704" s="182" t="s">
        <v>908</v>
      </c>
      <c r="C1704" s="182" t="s">
        <v>909</v>
      </c>
      <c r="D1704" s="182" t="s">
        <v>4271</v>
      </c>
      <c r="E1704" s="183" t="s">
        <v>4272</v>
      </c>
      <c r="F1704" s="183" t="s">
        <v>600</v>
      </c>
      <c r="G1704" s="184">
        <v>5</v>
      </c>
      <c r="H1704" s="185">
        <v>0</v>
      </c>
      <c r="I1704" s="186">
        <v>26981.95</v>
      </c>
      <c r="J1704" s="187">
        <v>134909.75</v>
      </c>
      <c r="K1704" s="182" t="s">
        <v>4266</v>
      </c>
      <c r="L1704" s="182">
        <v>3</v>
      </c>
      <c r="M1704" s="182" t="s">
        <v>4273</v>
      </c>
      <c r="N1704" s="186">
        <v>1</v>
      </c>
      <c r="O1704" s="188">
        <v>5</v>
      </c>
      <c r="P1704" s="188">
        <v>1</v>
      </c>
      <c r="Q1704" s="188">
        <v>5</v>
      </c>
      <c r="R1704" s="189">
        <v>18.32</v>
      </c>
      <c r="S1704" s="189" t="s">
        <v>4074</v>
      </c>
    </row>
    <row r="1705" spans="1:19" ht="14.25" customHeight="1" x14ac:dyDescent="0.3">
      <c r="A1705" s="182" t="s">
        <v>4261</v>
      </c>
      <c r="B1705" s="182" t="s">
        <v>908</v>
      </c>
      <c r="C1705" s="182" t="s">
        <v>909</v>
      </c>
      <c r="D1705" s="182" t="s">
        <v>4274</v>
      </c>
      <c r="E1705" s="183" t="s">
        <v>4275</v>
      </c>
      <c r="F1705" s="183" t="s">
        <v>600</v>
      </c>
      <c r="G1705" s="184">
        <v>5</v>
      </c>
      <c r="H1705" s="185">
        <v>0</v>
      </c>
      <c r="I1705" s="186">
        <v>1085.56</v>
      </c>
      <c r="J1705" s="187">
        <v>5427.8</v>
      </c>
      <c r="K1705" s="182" t="s">
        <v>4266</v>
      </c>
      <c r="L1705" s="182">
        <v>4</v>
      </c>
      <c r="M1705" s="182" t="s">
        <v>4276</v>
      </c>
      <c r="N1705" s="186">
        <v>1</v>
      </c>
      <c r="O1705" s="188">
        <v>5</v>
      </c>
      <c r="P1705" s="188">
        <v>1</v>
      </c>
      <c r="Q1705" s="188">
        <v>5</v>
      </c>
      <c r="R1705" s="189">
        <v>18.32</v>
      </c>
      <c r="S1705" s="189" t="s">
        <v>4074</v>
      </c>
    </row>
    <row r="1706" spans="1:19" ht="14.25" customHeight="1" x14ac:dyDescent="0.3">
      <c r="A1706" s="182" t="s">
        <v>4261</v>
      </c>
      <c r="B1706" s="182" t="s">
        <v>937</v>
      </c>
      <c r="C1706" s="182" t="s">
        <v>909</v>
      </c>
      <c r="D1706" s="182" t="s">
        <v>4277</v>
      </c>
      <c r="E1706" s="183" t="s">
        <v>4278</v>
      </c>
      <c r="F1706" s="183" t="s">
        <v>941</v>
      </c>
      <c r="G1706" s="184">
        <v>5</v>
      </c>
      <c r="H1706" s="185">
        <v>0</v>
      </c>
      <c r="I1706" s="186">
        <v>64652.7</v>
      </c>
      <c r="J1706" s="187">
        <v>323263.5</v>
      </c>
      <c r="K1706" s="182" t="s">
        <v>4279</v>
      </c>
      <c r="L1706" s="182">
        <v>1</v>
      </c>
      <c r="M1706" s="182" t="s">
        <v>4280</v>
      </c>
      <c r="N1706" s="186">
        <v>1</v>
      </c>
      <c r="O1706" s="188">
        <v>5</v>
      </c>
      <c r="P1706" s="188">
        <v>1</v>
      </c>
      <c r="Q1706" s="188">
        <v>5</v>
      </c>
      <c r="R1706" s="189">
        <v>18.32</v>
      </c>
      <c r="S1706" s="189" t="s">
        <v>4074</v>
      </c>
    </row>
    <row r="1707" spans="1:19" ht="14.25" customHeight="1" x14ac:dyDescent="0.3">
      <c r="A1707" s="182" t="s">
        <v>4281</v>
      </c>
      <c r="B1707" s="182" t="s">
        <v>937</v>
      </c>
      <c r="C1707" s="182" t="s">
        <v>909</v>
      </c>
      <c r="D1707" s="182" t="s">
        <v>4282</v>
      </c>
      <c r="E1707" s="183" t="s">
        <v>4283</v>
      </c>
      <c r="F1707" s="183" t="s">
        <v>941</v>
      </c>
      <c r="G1707" s="184">
        <v>1</v>
      </c>
      <c r="H1707" s="185">
        <v>0</v>
      </c>
      <c r="I1707" s="186">
        <v>107023.598877166</v>
      </c>
      <c r="J1707" s="187">
        <v>107023.598877166</v>
      </c>
      <c r="K1707" s="182" t="s">
        <v>4284</v>
      </c>
      <c r="L1707" s="182">
        <v>1</v>
      </c>
      <c r="M1707" s="182" t="s">
        <v>4285</v>
      </c>
      <c r="N1707" s="186">
        <v>1</v>
      </c>
      <c r="O1707" s="188">
        <v>1</v>
      </c>
      <c r="P1707" s="188">
        <v>1</v>
      </c>
      <c r="Q1707" s="188">
        <v>1</v>
      </c>
      <c r="R1707" s="189">
        <v>18.329999999999998</v>
      </c>
      <c r="S1707" s="189" t="s">
        <v>573</v>
      </c>
    </row>
    <row r="1708" spans="1:19" ht="14.25" customHeight="1" x14ac:dyDescent="0.3">
      <c r="A1708" s="182" t="s">
        <v>4286</v>
      </c>
      <c r="B1708" s="182" t="s">
        <v>563</v>
      </c>
      <c r="C1708" s="182"/>
      <c r="D1708" s="182" t="s">
        <v>4287</v>
      </c>
      <c r="E1708" s="183" t="s">
        <v>4288</v>
      </c>
      <c r="F1708" s="183"/>
      <c r="G1708" s="184">
        <v>1</v>
      </c>
      <c r="H1708" s="185">
        <v>0</v>
      </c>
      <c r="I1708" s="186">
        <v>75335.457966240298</v>
      </c>
      <c r="J1708" s="187">
        <v>75335.457966240298</v>
      </c>
      <c r="K1708" s="182" t="s">
        <v>4289</v>
      </c>
      <c r="L1708" s="182">
        <v>1</v>
      </c>
      <c r="M1708" s="182" t="s">
        <v>4290</v>
      </c>
      <c r="N1708" s="186">
        <v>1</v>
      </c>
      <c r="O1708" s="188">
        <v>1</v>
      </c>
      <c r="P1708" s="188">
        <v>1</v>
      </c>
      <c r="Q1708" s="188">
        <v>1</v>
      </c>
      <c r="R1708" s="189">
        <v>19.010000000000002</v>
      </c>
      <c r="S1708" s="189" t="s">
        <v>573</v>
      </c>
    </row>
    <row r="1709" spans="1:19" ht="14.25" customHeight="1" x14ac:dyDescent="0.3">
      <c r="A1709" s="182" t="s">
        <v>4286</v>
      </c>
      <c r="B1709" s="182" t="s">
        <v>908</v>
      </c>
      <c r="C1709" s="182" t="s">
        <v>909</v>
      </c>
      <c r="D1709" s="182" t="s">
        <v>4291</v>
      </c>
      <c r="E1709" s="183" t="s">
        <v>4292</v>
      </c>
      <c r="F1709" s="183" t="s">
        <v>576</v>
      </c>
      <c r="G1709" s="184">
        <v>1</v>
      </c>
      <c r="H1709" s="185">
        <v>0</v>
      </c>
      <c r="I1709" s="186">
        <v>2201631.50655</v>
      </c>
      <c r="J1709" s="187">
        <v>2201631.50655</v>
      </c>
      <c r="K1709" s="182" t="s">
        <v>4293</v>
      </c>
      <c r="L1709" s="182">
        <v>1</v>
      </c>
      <c r="M1709" s="182" t="s">
        <v>4294</v>
      </c>
      <c r="N1709" s="186">
        <v>1</v>
      </c>
      <c r="O1709" s="188">
        <v>1</v>
      </c>
      <c r="P1709" s="188">
        <v>1</v>
      </c>
      <c r="Q1709" s="188">
        <v>1</v>
      </c>
      <c r="R1709" s="189">
        <v>19.010000000000002</v>
      </c>
      <c r="S1709" s="189" t="s">
        <v>573</v>
      </c>
    </row>
    <row r="1710" spans="1:19" ht="14.25" customHeight="1" x14ac:dyDescent="0.3">
      <c r="A1710" s="182" t="s">
        <v>4286</v>
      </c>
      <c r="B1710" s="182" t="s">
        <v>937</v>
      </c>
      <c r="C1710" s="182" t="s">
        <v>909</v>
      </c>
      <c r="D1710" s="182" t="s">
        <v>4295</v>
      </c>
      <c r="E1710" s="183" t="s">
        <v>4296</v>
      </c>
      <c r="F1710" s="183" t="s">
        <v>941</v>
      </c>
      <c r="G1710" s="184">
        <v>1</v>
      </c>
      <c r="H1710" s="185">
        <v>0</v>
      </c>
      <c r="I1710" s="186">
        <v>2820732.3578660199</v>
      </c>
      <c r="J1710" s="187">
        <v>2820732.3578660199</v>
      </c>
      <c r="K1710" s="182" t="s">
        <v>4297</v>
      </c>
      <c r="L1710" s="182">
        <v>1</v>
      </c>
      <c r="M1710" s="182" t="s">
        <v>4298</v>
      </c>
      <c r="N1710" s="186">
        <v>1</v>
      </c>
      <c r="O1710" s="188">
        <v>1</v>
      </c>
      <c r="P1710" s="188">
        <v>1</v>
      </c>
      <c r="Q1710" s="188">
        <v>1</v>
      </c>
      <c r="R1710" s="189">
        <v>19.010000000000002</v>
      </c>
      <c r="S1710" s="189" t="s">
        <v>573</v>
      </c>
    </row>
    <row r="1711" spans="1:19" ht="14.25" customHeight="1" x14ac:dyDescent="0.3">
      <c r="A1711" s="182" t="s">
        <v>4299</v>
      </c>
      <c r="B1711" s="182" t="s">
        <v>563</v>
      </c>
      <c r="C1711" s="182"/>
      <c r="D1711" s="182" t="s">
        <v>4300</v>
      </c>
      <c r="E1711" s="183" t="s">
        <v>4301</v>
      </c>
      <c r="F1711" s="183"/>
      <c r="G1711" s="184">
        <v>1</v>
      </c>
      <c r="H1711" s="185">
        <v>0</v>
      </c>
      <c r="I1711" s="186">
        <v>105926.51424973601</v>
      </c>
      <c r="J1711" s="187">
        <v>105926.51424973601</v>
      </c>
      <c r="K1711" s="182" t="s">
        <v>4302</v>
      </c>
      <c r="L1711" s="182">
        <v>1</v>
      </c>
      <c r="M1711" s="182" t="s">
        <v>4303</v>
      </c>
      <c r="N1711" s="186">
        <v>1</v>
      </c>
      <c r="O1711" s="188">
        <v>1</v>
      </c>
      <c r="P1711" s="188">
        <v>1</v>
      </c>
      <c r="Q1711" s="188">
        <v>1</v>
      </c>
      <c r="R1711" s="189">
        <v>19.02</v>
      </c>
      <c r="S1711" s="189" t="s">
        <v>573</v>
      </c>
    </row>
    <row r="1712" spans="1:19" ht="14.25" customHeight="1" x14ac:dyDescent="0.3">
      <c r="A1712" s="182" t="s">
        <v>4299</v>
      </c>
      <c r="B1712" s="182" t="s">
        <v>908</v>
      </c>
      <c r="C1712" s="182" t="s">
        <v>909</v>
      </c>
      <c r="D1712" s="182" t="s">
        <v>4304</v>
      </c>
      <c r="E1712" s="183" t="s">
        <v>4305</v>
      </c>
      <c r="F1712" s="183" t="s">
        <v>576</v>
      </c>
      <c r="G1712" s="184">
        <v>1</v>
      </c>
      <c r="H1712" s="185">
        <v>0</v>
      </c>
      <c r="I1712" s="186">
        <v>2830669.0798499999</v>
      </c>
      <c r="J1712" s="187">
        <v>2830669.0798499999</v>
      </c>
      <c r="K1712" s="182" t="s">
        <v>4306</v>
      </c>
      <c r="L1712" s="182">
        <v>1</v>
      </c>
      <c r="M1712" s="182" t="s">
        <v>4307</v>
      </c>
      <c r="N1712" s="186">
        <v>1</v>
      </c>
      <c r="O1712" s="188">
        <v>1</v>
      </c>
      <c r="P1712" s="188">
        <v>1</v>
      </c>
      <c r="Q1712" s="188">
        <v>1</v>
      </c>
      <c r="R1712" s="189">
        <v>19.02</v>
      </c>
      <c r="S1712" s="189" t="s">
        <v>573</v>
      </c>
    </row>
    <row r="1713" spans="1:19" ht="14.25" customHeight="1" x14ac:dyDescent="0.3">
      <c r="A1713" s="182" t="s">
        <v>4299</v>
      </c>
      <c r="B1713" s="182" t="s">
        <v>937</v>
      </c>
      <c r="C1713" s="182" t="s">
        <v>909</v>
      </c>
      <c r="D1713" s="182" t="s">
        <v>4308</v>
      </c>
      <c r="E1713" s="183" t="s">
        <v>4309</v>
      </c>
      <c r="F1713" s="183" t="s">
        <v>941</v>
      </c>
      <c r="G1713" s="184">
        <v>1</v>
      </c>
      <c r="H1713" s="185">
        <v>0</v>
      </c>
      <c r="I1713" s="186">
        <v>4231098.5367990304</v>
      </c>
      <c r="J1713" s="187">
        <v>4231098.5367990304</v>
      </c>
      <c r="K1713" s="182" t="s">
        <v>4310</v>
      </c>
      <c r="L1713" s="182">
        <v>1</v>
      </c>
      <c r="M1713" s="182" t="s">
        <v>4311</v>
      </c>
      <c r="N1713" s="186">
        <v>1</v>
      </c>
      <c r="O1713" s="188">
        <v>1</v>
      </c>
      <c r="P1713" s="188">
        <v>1</v>
      </c>
      <c r="Q1713" s="188">
        <v>1</v>
      </c>
      <c r="R1713" s="189">
        <v>19.02</v>
      </c>
      <c r="S1713" s="189" t="s">
        <v>573</v>
      </c>
    </row>
    <row r="1714" spans="1:19" ht="14.25" customHeight="1" x14ac:dyDescent="0.3">
      <c r="A1714" s="182" t="s">
        <v>4312</v>
      </c>
      <c r="B1714" s="182" t="s">
        <v>563</v>
      </c>
      <c r="C1714" s="182"/>
      <c r="D1714" s="182" t="s">
        <v>4313</v>
      </c>
      <c r="E1714" s="183" t="s">
        <v>4314</v>
      </c>
      <c r="F1714" s="183"/>
      <c r="G1714" s="184">
        <v>1</v>
      </c>
      <c r="H1714" s="185">
        <v>0</v>
      </c>
      <c r="I1714" s="186">
        <v>54130.281672325298</v>
      </c>
      <c r="J1714" s="187">
        <v>54130.281672325298</v>
      </c>
      <c r="K1714" s="182" t="s">
        <v>4315</v>
      </c>
      <c r="L1714" s="182">
        <v>1</v>
      </c>
      <c r="M1714" s="182" t="s">
        <v>4316</v>
      </c>
      <c r="N1714" s="186">
        <v>1</v>
      </c>
      <c r="O1714" s="188">
        <v>1</v>
      </c>
      <c r="P1714" s="188">
        <v>1</v>
      </c>
      <c r="Q1714" s="188">
        <v>1</v>
      </c>
      <c r="R1714" s="189">
        <v>19.03</v>
      </c>
      <c r="S1714" s="189" t="s">
        <v>573</v>
      </c>
    </row>
    <row r="1715" spans="1:19" ht="14.25" customHeight="1" x14ac:dyDescent="0.3">
      <c r="A1715" s="182" t="s">
        <v>4312</v>
      </c>
      <c r="B1715" s="182" t="s">
        <v>908</v>
      </c>
      <c r="C1715" s="182" t="s">
        <v>909</v>
      </c>
      <c r="D1715" s="182" t="s">
        <v>4317</v>
      </c>
      <c r="E1715" s="183" t="s">
        <v>4318</v>
      </c>
      <c r="F1715" s="183" t="s">
        <v>576</v>
      </c>
      <c r="G1715" s="184">
        <v>1</v>
      </c>
      <c r="H1715" s="185">
        <v>0</v>
      </c>
      <c r="I1715" s="186">
        <v>1258075.1466000001</v>
      </c>
      <c r="J1715" s="187">
        <v>1258075.1466000001</v>
      </c>
      <c r="K1715" s="182" t="s">
        <v>4319</v>
      </c>
      <c r="L1715" s="182">
        <v>1</v>
      </c>
      <c r="M1715" s="182" t="s">
        <v>4320</v>
      </c>
      <c r="N1715" s="186">
        <v>1</v>
      </c>
      <c r="O1715" s="188">
        <v>1</v>
      </c>
      <c r="P1715" s="188">
        <v>1</v>
      </c>
      <c r="Q1715" s="188">
        <v>1</v>
      </c>
      <c r="R1715" s="189">
        <v>19.03</v>
      </c>
      <c r="S1715" s="189" t="s">
        <v>573</v>
      </c>
    </row>
    <row r="1716" spans="1:19" ht="14.25" customHeight="1" x14ac:dyDescent="0.3">
      <c r="A1716" s="182" t="s">
        <v>4312</v>
      </c>
      <c r="B1716" s="182" t="s">
        <v>937</v>
      </c>
      <c r="C1716" s="182" t="s">
        <v>909</v>
      </c>
      <c r="D1716" s="182" t="s">
        <v>4321</v>
      </c>
      <c r="E1716" s="183" t="s">
        <v>4322</v>
      </c>
      <c r="F1716" s="183" t="s">
        <v>941</v>
      </c>
      <c r="G1716" s="184">
        <v>1</v>
      </c>
      <c r="H1716" s="185">
        <v>0</v>
      </c>
      <c r="I1716" s="186">
        <v>2350610.2982216901</v>
      </c>
      <c r="J1716" s="187">
        <v>2350610.2982216901</v>
      </c>
      <c r="K1716" s="182" t="s">
        <v>4323</v>
      </c>
      <c r="L1716" s="182">
        <v>1</v>
      </c>
      <c r="M1716" s="182" t="s">
        <v>4324</v>
      </c>
      <c r="N1716" s="186">
        <v>1</v>
      </c>
      <c r="O1716" s="188">
        <v>1</v>
      </c>
      <c r="P1716" s="188">
        <v>1</v>
      </c>
      <c r="Q1716" s="188">
        <v>1</v>
      </c>
      <c r="R1716" s="189">
        <v>19.03</v>
      </c>
      <c r="S1716" s="189" t="s">
        <v>573</v>
      </c>
    </row>
    <row r="1717" spans="1:19" ht="14.25" customHeight="1" x14ac:dyDescent="0.3">
      <c r="A1717" s="182" t="s">
        <v>4325</v>
      </c>
      <c r="B1717" s="182" t="s">
        <v>563</v>
      </c>
      <c r="C1717" s="182"/>
      <c r="D1717" s="182" t="s">
        <v>4326</v>
      </c>
      <c r="E1717" s="183" t="s">
        <v>4327</v>
      </c>
      <c r="F1717" s="183"/>
      <c r="G1717" s="184">
        <v>1</v>
      </c>
      <c r="H1717" s="185">
        <v>0</v>
      </c>
      <c r="I1717" s="186">
        <v>27462.429620301798</v>
      </c>
      <c r="J1717" s="187">
        <v>27462.429620301798</v>
      </c>
      <c r="K1717" s="182" t="s">
        <v>4328</v>
      </c>
      <c r="L1717" s="182">
        <v>1</v>
      </c>
      <c r="M1717" s="182" t="s">
        <v>4329</v>
      </c>
      <c r="N1717" s="186">
        <v>1</v>
      </c>
      <c r="O1717" s="188">
        <v>1</v>
      </c>
      <c r="P1717" s="188">
        <v>1</v>
      </c>
      <c r="Q1717" s="188">
        <v>1</v>
      </c>
      <c r="R1717" s="189">
        <v>19.04</v>
      </c>
      <c r="S1717" s="189" t="s">
        <v>573</v>
      </c>
    </row>
    <row r="1718" spans="1:19" ht="14.25" customHeight="1" x14ac:dyDescent="0.3">
      <c r="A1718" s="182" t="s">
        <v>4325</v>
      </c>
      <c r="B1718" s="182" t="s">
        <v>908</v>
      </c>
      <c r="C1718" s="182" t="s">
        <v>909</v>
      </c>
      <c r="D1718" s="182" t="s">
        <v>4330</v>
      </c>
      <c r="E1718" s="183" t="s">
        <v>4331</v>
      </c>
      <c r="F1718" s="183" t="s">
        <v>576</v>
      </c>
      <c r="G1718" s="184">
        <v>1</v>
      </c>
      <c r="H1718" s="185">
        <v>0</v>
      </c>
      <c r="I1718" s="186">
        <v>733877.16885000002</v>
      </c>
      <c r="J1718" s="187">
        <v>733877.16885000002</v>
      </c>
      <c r="K1718" s="182" t="s">
        <v>4332</v>
      </c>
      <c r="L1718" s="182">
        <v>1</v>
      </c>
      <c r="M1718" s="182" t="s">
        <v>4333</v>
      </c>
      <c r="N1718" s="186">
        <v>1</v>
      </c>
      <c r="O1718" s="188">
        <v>1</v>
      </c>
      <c r="P1718" s="188">
        <v>1</v>
      </c>
      <c r="Q1718" s="188">
        <v>1</v>
      </c>
      <c r="R1718" s="189">
        <v>19.04</v>
      </c>
      <c r="S1718" s="189" t="s">
        <v>573</v>
      </c>
    </row>
    <row r="1719" spans="1:19" ht="14.25" customHeight="1" x14ac:dyDescent="0.3">
      <c r="A1719" s="182" t="s">
        <v>4325</v>
      </c>
      <c r="B1719" s="182" t="s">
        <v>937</v>
      </c>
      <c r="C1719" s="182" t="s">
        <v>909</v>
      </c>
      <c r="D1719" s="182" t="s">
        <v>4334</v>
      </c>
      <c r="E1719" s="183" t="s">
        <v>4335</v>
      </c>
      <c r="F1719" s="183" t="s">
        <v>941</v>
      </c>
      <c r="G1719" s="184">
        <v>1</v>
      </c>
      <c r="H1719" s="185">
        <v>0</v>
      </c>
      <c r="I1719" s="186">
        <v>1096951.47250345</v>
      </c>
      <c r="J1719" s="187">
        <v>1096951.47250345</v>
      </c>
      <c r="K1719" s="182" t="s">
        <v>4336</v>
      </c>
      <c r="L1719" s="182">
        <v>1</v>
      </c>
      <c r="M1719" s="182" t="s">
        <v>4337</v>
      </c>
      <c r="N1719" s="186">
        <v>1</v>
      </c>
      <c r="O1719" s="188">
        <v>1</v>
      </c>
      <c r="P1719" s="188">
        <v>1</v>
      </c>
      <c r="Q1719" s="188">
        <v>1</v>
      </c>
      <c r="R1719" s="189">
        <v>19.04</v>
      </c>
      <c r="S1719" s="189" t="s">
        <v>573</v>
      </c>
    </row>
    <row r="1720" spans="1:19" ht="14.25" customHeight="1" x14ac:dyDescent="0.3">
      <c r="A1720" s="182" t="s">
        <v>4338</v>
      </c>
      <c r="B1720" s="182" t="s">
        <v>563</v>
      </c>
      <c r="C1720" s="182"/>
      <c r="D1720" s="182" t="s">
        <v>4339</v>
      </c>
      <c r="E1720" s="183" t="s">
        <v>4340</v>
      </c>
      <c r="F1720" s="183"/>
      <c r="G1720" s="184">
        <v>1</v>
      </c>
      <c r="H1720" s="185">
        <v>0</v>
      </c>
      <c r="I1720" s="186">
        <v>39232.042314716797</v>
      </c>
      <c r="J1720" s="187">
        <v>39232.042314716797</v>
      </c>
      <c r="K1720" s="182" t="s">
        <v>4341</v>
      </c>
      <c r="L1720" s="182">
        <v>1</v>
      </c>
      <c r="M1720" s="182" t="s">
        <v>4342</v>
      </c>
      <c r="N1720" s="186">
        <v>1</v>
      </c>
      <c r="O1720" s="188">
        <v>1</v>
      </c>
      <c r="P1720" s="188">
        <v>1</v>
      </c>
      <c r="Q1720" s="188">
        <v>1</v>
      </c>
      <c r="R1720" s="189">
        <v>19.05</v>
      </c>
      <c r="S1720" s="189" t="s">
        <v>573</v>
      </c>
    </row>
    <row r="1721" spans="1:19" ht="14.25" customHeight="1" x14ac:dyDescent="0.3">
      <c r="A1721" s="182" t="s">
        <v>4338</v>
      </c>
      <c r="B1721" s="182" t="s">
        <v>908</v>
      </c>
      <c r="C1721" s="182" t="s">
        <v>909</v>
      </c>
      <c r="D1721" s="182" t="s">
        <v>4343</v>
      </c>
      <c r="E1721" s="183" t="s">
        <v>4344</v>
      </c>
      <c r="F1721" s="183" t="s">
        <v>576</v>
      </c>
      <c r="G1721" s="184">
        <v>1</v>
      </c>
      <c r="H1721" s="185">
        <v>0</v>
      </c>
      <c r="I1721" s="186">
        <v>1048395.9555</v>
      </c>
      <c r="J1721" s="187">
        <v>1048395.9555</v>
      </c>
      <c r="K1721" s="182" t="s">
        <v>4345</v>
      </c>
      <c r="L1721" s="182">
        <v>1</v>
      </c>
      <c r="M1721" s="182" t="s">
        <v>4346</v>
      </c>
      <c r="N1721" s="186">
        <v>1</v>
      </c>
      <c r="O1721" s="188">
        <v>1</v>
      </c>
      <c r="P1721" s="188">
        <v>1</v>
      </c>
      <c r="Q1721" s="188">
        <v>1</v>
      </c>
      <c r="R1721" s="189">
        <v>19.05</v>
      </c>
      <c r="S1721" s="189" t="s">
        <v>573</v>
      </c>
    </row>
    <row r="1722" spans="1:19" ht="14.25" customHeight="1" x14ac:dyDescent="0.3">
      <c r="A1722" s="182" t="s">
        <v>4338</v>
      </c>
      <c r="B1722" s="182" t="s">
        <v>937</v>
      </c>
      <c r="C1722" s="182" t="s">
        <v>909</v>
      </c>
      <c r="D1722" s="182" t="s">
        <v>4347</v>
      </c>
      <c r="E1722" s="183" t="s">
        <v>4348</v>
      </c>
      <c r="F1722" s="183" t="s">
        <v>941</v>
      </c>
      <c r="G1722" s="184">
        <v>1</v>
      </c>
      <c r="H1722" s="185">
        <v>0</v>
      </c>
      <c r="I1722" s="186">
        <v>1567073.5321477901</v>
      </c>
      <c r="J1722" s="187">
        <v>1567073.5321477901</v>
      </c>
      <c r="K1722" s="182" t="s">
        <v>4349</v>
      </c>
      <c r="L1722" s="182">
        <v>1</v>
      </c>
      <c r="M1722" s="182" t="s">
        <v>4350</v>
      </c>
      <c r="N1722" s="186">
        <v>1</v>
      </c>
      <c r="O1722" s="188">
        <v>1</v>
      </c>
      <c r="P1722" s="188">
        <v>1</v>
      </c>
      <c r="Q1722" s="188">
        <v>1</v>
      </c>
      <c r="R1722" s="189">
        <v>19.05</v>
      </c>
      <c r="S1722" s="189" t="s">
        <v>573</v>
      </c>
    </row>
    <row r="1723" spans="1:19" ht="14.25" customHeight="1" x14ac:dyDescent="0.3">
      <c r="A1723" s="182" t="s">
        <v>4351</v>
      </c>
      <c r="B1723" s="182" t="s">
        <v>563</v>
      </c>
      <c r="C1723" s="182"/>
      <c r="D1723" s="182" t="s">
        <v>4352</v>
      </c>
      <c r="E1723" s="183" t="s">
        <v>4353</v>
      </c>
      <c r="F1723" s="183"/>
      <c r="G1723" s="184">
        <v>1</v>
      </c>
      <c r="H1723" s="185">
        <v>0</v>
      </c>
      <c r="I1723" s="186">
        <v>11769.6126944151</v>
      </c>
      <c r="J1723" s="187">
        <v>11769.6126944151</v>
      </c>
      <c r="K1723" s="182" t="s">
        <v>4354</v>
      </c>
      <c r="L1723" s="182">
        <v>1</v>
      </c>
      <c r="M1723" s="182" t="s">
        <v>4355</v>
      </c>
      <c r="N1723" s="186">
        <v>1</v>
      </c>
      <c r="O1723" s="188">
        <v>1</v>
      </c>
      <c r="P1723" s="188">
        <v>1</v>
      </c>
      <c r="Q1723" s="188">
        <v>1</v>
      </c>
      <c r="R1723" s="189">
        <v>19.059999999999999</v>
      </c>
      <c r="S1723" s="189" t="s">
        <v>573</v>
      </c>
    </row>
    <row r="1724" spans="1:19" ht="14.25" customHeight="1" x14ac:dyDescent="0.3">
      <c r="A1724" s="182" t="s">
        <v>4351</v>
      </c>
      <c r="B1724" s="182" t="s">
        <v>908</v>
      </c>
      <c r="C1724" s="182" t="s">
        <v>909</v>
      </c>
      <c r="D1724" s="182" t="s">
        <v>4356</v>
      </c>
      <c r="E1724" s="183" t="s">
        <v>4357</v>
      </c>
      <c r="F1724" s="183" t="s">
        <v>576</v>
      </c>
      <c r="G1724" s="184">
        <v>1</v>
      </c>
      <c r="H1724" s="185">
        <v>0</v>
      </c>
      <c r="I1724" s="186">
        <v>314518.78665000002</v>
      </c>
      <c r="J1724" s="187">
        <v>314518.78665000002</v>
      </c>
      <c r="K1724" s="182" t="s">
        <v>4358</v>
      </c>
      <c r="L1724" s="182">
        <v>1</v>
      </c>
      <c r="M1724" s="182" t="s">
        <v>4359</v>
      </c>
      <c r="N1724" s="186">
        <v>1</v>
      </c>
      <c r="O1724" s="188">
        <v>1</v>
      </c>
      <c r="P1724" s="188">
        <v>1</v>
      </c>
      <c r="Q1724" s="188">
        <v>1</v>
      </c>
      <c r="R1724" s="189">
        <v>19.059999999999999</v>
      </c>
      <c r="S1724" s="189" t="s">
        <v>573</v>
      </c>
    </row>
    <row r="1725" spans="1:19" ht="14.25" customHeight="1" x14ac:dyDescent="0.3">
      <c r="A1725" s="182" t="s">
        <v>4351</v>
      </c>
      <c r="B1725" s="182" t="s">
        <v>937</v>
      </c>
      <c r="C1725" s="182" t="s">
        <v>909</v>
      </c>
      <c r="D1725" s="182" t="s">
        <v>4360</v>
      </c>
      <c r="E1725" s="183" t="s">
        <v>4361</v>
      </c>
      <c r="F1725" s="183" t="s">
        <v>941</v>
      </c>
      <c r="G1725" s="184">
        <v>1</v>
      </c>
      <c r="H1725" s="185">
        <v>0</v>
      </c>
      <c r="I1725" s="186">
        <v>470122.05964433699</v>
      </c>
      <c r="J1725" s="187">
        <v>470122.05964433699</v>
      </c>
      <c r="K1725" s="182" t="s">
        <v>4362</v>
      </c>
      <c r="L1725" s="182">
        <v>1</v>
      </c>
      <c r="M1725" s="182" t="s">
        <v>4363</v>
      </c>
      <c r="N1725" s="186">
        <v>1</v>
      </c>
      <c r="O1725" s="188">
        <v>1</v>
      </c>
      <c r="P1725" s="188">
        <v>1</v>
      </c>
      <c r="Q1725" s="188">
        <v>1</v>
      </c>
      <c r="R1725" s="189">
        <v>19.059999999999999</v>
      </c>
      <c r="S1725" s="189" t="s">
        <v>573</v>
      </c>
    </row>
    <row r="1726" spans="1:19" ht="14.25" customHeight="1" x14ac:dyDescent="0.3">
      <c r="A1726" s="182" t="s">
        <v>4364</v>
      </c>
      <c r="B1726" s="182" t="s">
        <v>563</v>
      </c>
      <c r="C1726" s="182"/>
      <c r="D1726" s="182" t="s">
        <v>4365</v>
      </c>
      <c r="E1726" s="183" t="s">
        <v>4366</v>
      </c>
      <c r="F1726" s="183"/>
      <c r="G1726" s="184">
        <v>1</v>
      </c>
      <c r="H1726" s="185">
        <v>0</v>
      </c>
      <c r="I1726" s="186">
        <v>36185.167983590203</v>
      </c>
      <c r="J1726" s="187">
        <v>36185.167983590203</v>
      </c>
      <c r="K1726" s="182" t="s">
        <v>4367</v>
      </c>
      <c r="L1726" s="182">
        <v>1</v>
      </c>
      <c r="M1726" s="182" t="s">
        <v>4368</v>
      </c>
      <c r="N1726" s="186">
        <v>1</v>
      </c>
      <c r="O1726" s="188">
        <v>1</v>
      </c>
      <c r="P1726" s="188">
        <v>1</v>
      </c>
      <c r="Q1726" s="188">
        <v>1</v>
      </c>
      <c r="R1726" s="189">
        <v>19.07</v>
      </c>
      <c r="S1726" s="189" t="s">
        <v>573</v>
      </c>
    </row>
    <row r="1727" spans="1:19" ht="14.25" customHeight="1" x14ac:dyDescent="0.3">
      <c r="A1727" s="182" t="s">
        <v>4364</v>
      </c>
      <c r="B1727" s="182" t="s">
        <v>908</v>
      </c>
      <c r="C1727" s="182" t="s">
        <v>909</v>
      </c>
      <c r="D1727" s="182" t="s">
        <v>4369</v>
      </c>
      <c r="E1727" s="183" t="s">
        <v>4370</v>
      </c>
      <c r="F1727" s="183" t="s">
        <v>576</v>
      </c>
      <c r="G1727" s="184">
        <v>1</v>
      </c>
      <c r="H1727" s="185">
        <v>0</v>
      </c>
      <c r="I1727" s="186">
        <v>892886.95565999998</v>
      </c>
      <c r="J1727" s="187">
        <v>892886.95565999998</v>
      </c>
      <c r="K1727" s="182" t="s">
        <v>4371</v>
      </c>
      <c r="L1727" s="182">
        <v>1</v>
      </c>
      <c r="M1727" s="182" t="s">
        <v>4372</v>
      </c>
      <c r="N1727" s="186">
        <v>1</v>
      </c>
      <c r="O1727" s="188">
        <v>1</v>
      </c>
      <c r="P1727" s="188">
        <v>1</v>
      </c>
      <c r="Q1727" s="188">
        <v>1</v>
      </c>
      <c r="R1727" s="189">
        <v>19.07</v>
      </c>
      <c r="S1727" s="189" t="s">
        <v>573</v>
      </c>
    </row>
    <row r="1728" spans="1:19" ht="14.25" customHeight="1" x14ac:dyDescent="0.3">
      <c r="A1728" s="182" t="s">
        <v>4364</v>
      </c>
      <c r="B1728" s="182" t="s">
        <v>937</v>
      </c>
      <c r="C1728" s="182" t="s">
        <v>909</v>
      </c>
      <c r="D1728" s="182" t="s">
        <v>4373</v>
      </c>
      <c r="E1728" s="183" t="s">
        <v>4374</v>
      </c>
      <c r="F1728" s="183" t="s">
        <v>941</v>
      </c>
      <c r="G1728" s="184">
        <v>1</v>
      </c>
      <c r="H1728" s="185">
        <v>0</v>
      </c>
      <c r="I1728" s="186">
        <v>1519457.57657935</v>
      </c>
      <c r="J1728" s="187">
        <v>1519457.57657935</v>
      </c>
      <c r="K1728" s="182" t="s">
        <v>4375</v>
      </c>
      <c r="L1728" s="182">
        <v>1</v>
      </c>
      <c r="M1728" s="182" t="s">
        <v>4376</v>
      </c>
      <c r="N1728" s="186">
        <v>1</v>
      </c>
      <c r="O1728" s="188">
        <v>1</v>
      </c>
      <c r="P1728" s="188">
        <v>1</v>
      </c>
      <c r="Q1728" s="188">
        <v>1</v>
      </c>
      <c r="R1728" s="189">
        <v>19.07</v>
      </c>
      <c r="S1728" s="189" t="s">
        <v>573</v>
      </c>
    </row>
    <row r="1729" spans="1:19" ht="14.25" customHeight="1" x14ac:dyDescent="0.3">
      <c r="A1729" s="182" t="s">
        <v>4377</v>
      </c>
      <c r="B1729" s="182" t="s">
        <v>563</v>
      </c>
      <c r="C1729" s="182"/>
      <c r="D1729" s="182" t="s">
        <v>4378</v>
      </c>
      <c r="E1729" s="183" t="s">
        <v>4379</v>
      </c>
      <c r="F1729" s="183"/>
      <c r="G1729" s="184">
        <v>1</v>
      </c>
      <c r="H1729" s="185">
        <v>0</v>
      </c>
      <c r="I1729" s="186">
        <v>40649.602761890201</v>
      </c>
      <c r="J1729" s="187">
        <v>40649.602761890201</v>
      </c>
      <c r="K1729" s="182" t="s">
        <v>4380</v>
      </c>
      <c r="L1729" s="182">
        <v>1</v>
      </c>
      <c r="M1729" s="182" t="s">
        <v>4381</v>
      </c>
      <c r="N1729" s="186">
        <v>1</v>
      </c>
      <c r="O1729" s="188">
        <v>1</v>
      </c>
      <c r="P1729" s="188">
        <v>1</v>
      </c>
      <c r="Q1729" s="188">
        <v>1</v>
      </c>
      <c r="R1729" s="189">
        <v>19.079999999999998</v>
      </c>
      <c r="S1729" s="189" t="s">
        <v>573</v>
      </c>
    </row>
    <row r="1730" spans="1:19" ht="14.25" customHeight="1" x14ac:dyDescent="0.3">
      <c r="A1730" s="182" t="s">
        <v>4377</v>
      </c>
      <c r="B1730" s="182" t="s">
        <v>908</v>
      </c>
      <c r="C1730" s="182" t="s">
        <v>909</v>
      </c>
      <c r="D1730" s="182" t="s">
        <v>4382</v>
      </c>
      <c r="E1730" s="183" t="s">
        <v>4383</v>
      </c>
      <c r="F1730" s="183" t="s">
        <v>576</v>
      </c>
      <c r="G1730" s="184">
        <v>1</v>
      </c>
      <c r="H1730" s="185">
        <v>0</v>
      </c>
      <c r="I1730" s="186">
        <v>1190515.9408799999</v>
      </c>
      <c r="J1730" s="187">
        <v>1190515.9408799999</v>
      </c>
      <c r="K1730" s="182" t="s">
        <v>4384</v>
      </c>
      <c r="L1730" s="182">
        <v>1</v>
      </c>
      <c r="M1730" s="182" t="s">
        <v>4385</v>
      </c>
      <c r="N1730" s="186">
        <v>1</v>
      </c>
      <c r="O1730" s="188">
        <v>1</v>
      </c>
      <c r="P1730" s="188">
        <v>1</v>
      </c>
      <c r="Q1730" s="188">
        <v>1</v>
      </c>
      <c r="R1730" s="189">
        <v>19.079999999999998</v>
      </c>
      <c r="S1730" s="189" t="s">
        <v>573</v>
      </c>
    </row>
    <row r="1731" spans="1:19" ht="14.25" customHeight="1" x14ac:dyDescent="0.3">
      <c r="A1731" s="182" t="s">
        <v>4377</v>
      </c>
      <c r="B1731" s="182" t="s">
        <v>937</v>
      </c>
      <c r="C1731" s="182" t="s">
        <v>909</v>
      </c>
      <c r="D1731" s="182" t="s">
        <v>4386</v>
      </c>
      <c r="E1731" s="183" t="s">
        <v>4387</v>
      </c>
      <c r="F1731" s="183" t="s">
        <v>941</v>
      </c>
      <c r="G1731" s="184">
        <v>1</v>
      </c>
      <c r="H1731" s="185">
        <v>0</v>
      </c>
      <c r="I1731" s="186">
        <v>1519457.57657935</v>
      </c>
      <c r="J1731" s="187">
        <v>1519457.57657935</v>
      </c>
      <c r="K1731" s="182" t="s">
        <v>4388</v>
      </c>
      <c r="L1731" s="182">
        <v>1</v>
      </c>
      <c r="M1731" s="182" t="s">
        <v>4389</v>
      </c>
      <c r="N1731" s="186">
        <v>1</v>
      </c>
      <c r="O1731" s="188">
        <v>1</v>
      </c>
      <c r="P1731" s="188">
        <v>1</v>
      </c>
      <c r="Q1731" s="188">
        <v>1</v>
      </c>
      <c r="R1731" s="189">
        <v>19.079999999999998</v>
      </c>
      <c r="S1731" s="189" t="s">
        <v>573</v>
      </c>
    </row>
    <row r="1732" spans="1:19" ht="14.25" customHeight="1" x14ac:dyDescent="0.3">
      <c r="A1732" s="182" t="s">
        <v>4390</v>
      </c>
      <c r="B1732" s="182" t="s">
        <v>563</v>
      </c>
      <c r="C1732" s="182"/>
      <c r="D1732" s="182" t="s">
        <v>4391</v>
      </c>
      <c r="E1732" s="183" t="s">
        <v>4392</v>
      </c>
      <c r="F1732" s="183"/>
      <c r="G1732" s="184">
        <v>1</v>
      </c>
      <c r="H1732" s="185">
        <v>0</v>
      </c>
      <c r="I1732" s="186">
        <v>36185.167983590203</v>
      </c>
      <c r="J1732" s="187">
        <v>36185.167983590203</v>
      </c>
      <c r="K1732" s="182" t="s">
        <v>4393</v>
      </c>
      <c r="L1732" s="182">
        <v>1</v>
      </c>
      <c r="M1732" s="182" t="s">
        <v>4394</v>
      </c>
      <c r="N1732" s="186">
        <v>1</v>
      </c>
      <c r="O1732" s="188">
        <v>1</v>
      </c>
      <c r="P1732" s="188">
        <v>1</v>
      </c>
      <c r="Q1732" s="188">
        <v>1</v>
      </c>
      <c r="R1732" s="189">
        <v>19.09</v>
      </c>
      <c r="S1732" s="189" t="s">
        <v>573</v>
      </c>
    </row>
    <row r="1733" spans="1:19" ht="14.25" customHeight="1" x14ac:dyDescent="0.3">
      <c r="A1733" s="182" t="s">
        <v>4390</v>
      </c>
      <c r="B1733" s="182" t="s">
        <v>908</v>
      </c>
      <c r="C1733" s="182" t="s">
        <v>909</v>
      </c>
      <c r="D1733" s="182" t="s">
        <v>4395</v>
      </c>
      <c r="E1733" s="183" t="s">
        <v>4396</v>
      </c>
      <c r="F1733" s="183" t="s">
        <v>576</v>
      </c>
      <c r="G1733" s="184">
        <v>1</v>
      </c>
      <c r="H1733" s="185">
        <v>0</v>
      </c>
      <c r="I1733" s="186">
        <v>892886.95565999998</v>
      </c>
      <c r="J1733" s="187">
        <v>892886.95565999998</v>
      </c>
      <c r="K1733" s="182" t="s">
        <v>4397</v>
      </c>
      <c r="L1733" s="182">
        <v>1</v>
      </c>
      <c r="M1733" s="182" t="s">
        <v>4398</v>
      </c>
      <c r="N1733" s="186">
        <v>1</v>
      </c>
      <c r="O1733" s="188">
        <v>1</v>
      </c>
      <c r="P1733" s="188">
        <v>1</v>
      </c>
      <c r="Q1733" s="188">
        <v>1</v>
      </c>
      <c r="R1733" s="189">
        <v>19.09</v>
      </c>
      <c r="S1733" s="189" t="s">
        <v>573</v>
      </c>
    </row>
    <row r="1734" spans="1:19" ht="14.25" customHeight="1" x14ac:dyDescent="0.3">
      <c r="A1734" s="182" t="s">
        <v>4390</v>
      </c>
      <c r="B1734" s="182" t="s">
        <v>937</v>
      </c>
      <c r="C1734" s="182" t="s">
        <v>909</v>
      </c>
      <c r="D1734" s="182" t="s">
        <v>4399</v>
      </c>
      <c r="E1734" s="183" t="s">
        <v>4400</v>
      </c>
      <c r="F1734" s="183" t="s">
        <v>941</v>
      </c>
      <c r="G1734" s="184">
        <v>1</v>
      </c>
      <c r="H1734" s="185">
        <v>0</v>
      </c>
      <c r="I1734" s="186">
        <v>1519457.57657935</v>
      </c>
      <c r="J1734" s="187">
        <v>1519457.57657935</v>
      </c>
      <c r="K1734" s="182" t="s">
        <v>4401</v>
      </c>
      <c r="L1734" s="182">
        <v>1</v>
      </c>
      <c r="M1734" s="182" t="s">
        <v>4402</v>
      </c>
      <c r="N1734" s="186">
        <v>1</v>
      </c>
      <c r="O1734" s="188">
        <v>1</v>
      </c>
      <c r="P1734" s="188">
        <v>1</v>
      </c>
      <c r="Q1734" s="188">
        <v>1</v>
      </c>
      <c r="R1734" s="189">
        <v>19.09</v>
      </c>
      <c r="S1734" s="189" t="s">
        <v>573</v>
      </c>
    </row>
    <row r="1735" spans="1:19" ht="14.25" customHeight="1" x14ac:dyDescent="0.3">
      <c r="A1735" s="182" t="s">
        <v>4403</v>
      </c>
      <c r="B1735" s="182" t="s">
        <v>563</v>
      </c>
      <c r="C1735" s="182"/>
      <c r="D1735" s="182" t="s">
        <v>4404</v>
      </c>
      <c r="E1735" s="183" t="s">
        <v>4405</v>
      </c>
      <c r="F1735" s="183"/>
      <c r="G1735" s="184">
        <v>1</v>
      </c>
      <c r="H1735" s="185">
        <v>0</v>
      </c>
      <c r="I1735" s="186">
        <v>204187.39332383199</v>
      </c>
      <c r="J1735" s="187">
        <v>204187.39332383199</v>
      </c>
      <c r="K1735" s="182" t="s">
        <v>4406</v>
      </c>
      <c r="L1735" s="182">
        <v>1</v>
      </c>
      <c r="M1735" s="182" t="s">
        <v>4407</v>
      </c>
      <c r="N1735" s="186">
        <v>1</v>
      </c>
      <c r="O1735" s="188">
        <v>1</v>
      </c>
      <c r="P1735" s="188">
        <v>1</v>
      </c>
      <c r="Q1735" s="188">
        <v>1</v>
      </c>
      <c r="R1735" s="189">
        <v>19.100000000000001</v>
      </c>
      <c r="S1735" s="189" t="s">
        <v>573</v>
      </c>
    </row>
    <row r="1736" spans="1:19" ht="14.25" customHeight="1" x14ac:dyDescent="0.3">
      <c r="A1736" s="182" t="s">
        <v>4403</v>
      </c>
      <c r="B1736" s="182" t="s">
        <v>908</v>
      </c>
      <c r="C1736" s="182" t="s">
        <v>909</v>
      </c>
      <c r="D1736" s="182" t="s">
        <v>4408</v>
      </c>
      <c r="E1736" s="183" t="s">
        <v>4409</v>
      </c>
      <c r="F1736" s="183" t="s">
        <v>576</v>
      </c>
      <c r="G1736" s="184">
        <v>1</v>
      </c>
      <c r="H1736" s="185">
        <v>0</v>
      </c>
      <c r="I1736" s="186">
        <v>2976289.8522000001</v>
      </c>
      <c r="J1736" s="187">
        <v>2976289.8522000001</v>
      </c>
      <c r="K1736" s="182" t="s">
        <v>4410</v>
      </c>
      <c r="L1736" s="182">
        <v>1</v>
      </c>
      <c r="M1736" s="182" t="s">
        <v>4411</v>
      </c>
      <c r="N1736" s="186">
        <v>1</v>
      </c>
      <c r="O1736" s="188">
        <v>1</v>
      </c>
      <c r="P1736" s="188">
        <v>1</v>
      </c>
      <c r="Q1736" s="188">
        <v>1</v>
      </c>
      <c r="R1736" s="189">
        <v>19.100000000000001</v>
      </c>
      <c r="S1736" s="189" t="s">
        <v>573</v>
      </c>
    </row>
    <row r="1737" spans="1:19" ht="14.25" customHeight="1" x14ac:dyDescent="0.3">
      <c r="A1737" s="182" t="s">
        <v>4403</v>
      </c>
      <c r="B1737" s="182" t="s">
        <v>937</v>
      </c>
      <c r="C1737" s="182" t="s">
        <v>909</v>
      </c>
      <c r="D1737" s="182" t="s">
        <v>4412</v>
      </c>
      <c r="E1737" s="183" t="s">
        <v>4413</v>
      </c>
      <c r="F1737" s="183" t="s">
        <v>941</v>
      </c>
      <c r="G1737" s="184">
        <v>1</v>
      </c>
      <c r="H1737" s="185">
        <v>0</v>
      </c>
      <c r="I1737" s="186">
        <v>10636203.036055399</v>
      </c>
      <c r="J1737" s="187">
        <v>10636203.036055399</v>
      </c>
      <c r="K1737" s="182" t="s">
        <v>4414</v>
      </c>
      <c r="L1737" s="182">
        <v>1</v>
      </c>
      <c r="M1737" s="182" t="s">
        <v>4415</v>
      </c>
      <c r="N1737" s="186">
        <v>1</v>
      </c>
      <c r="O1737" s="188">
        <v>1</v>
      </c>
      <c r="P1737" s="188">
        <v>1</v>
      </c>
      <c r="Q1737" s="188">
        <v>1</v>
      </c>
      <c r="R1737" s="189">
        <v>19.100000000000001</v>
      </c>
      <c r="S1737" s="189" t="s">
        <v>573</v>
      </c>
    </row>
    <row r="1738" spans="1:19" ht="14.25" customHeight="1" x14ac:dyDescent="0.3">
      <c r="A1738" s="182" t="s">
        <v>4416</v>
      </c>
      <c r="B1738" s="182" t="s">
        <v>563</v>
      </c>
      <c r="C1738" s="182"/>
      <c r="D1738" s="182" t="s">
        <v>4417</v>
      </c>
      <c r="E1738" s="183" t="s">
        <v>4418</v>
      </c>
      <c r="F1738" s="183"/>
      <c r="G1738" s="184">
        <v>1</v>
      </c>
      <c r="H1738" s="185">
        <v>0</v>
      </c>
      <c r="I1738" s="186">
        <v>69010.743634148894</v>
      </c>
      <c r="J1738" s="187">
        <v>69010.743634148894</v>
      </c>
      <c r="K1738" s="182" t="s">
        <v>4419</v>
      </c>
      <c r="L1738" s="182">
        <v>1</v>
      </c>
      <c r="M1738" s="182" t="s">
        <v>4420</v>
      </c>
      <c r="N1738" s="186">
        <v>1</v>
      </c>
      <c r="O1738" s="188">
        <v>1</v>
      </c>
      <c r="P1738" s="188">
        <v>1</v>
      </c>
      <c r="Q1738" s="188">
        <v>1</v>
      </c>
      <c r="R1738" s="189">
        <v>19.11</v>
      </c>
      <c r="S1738" s="189" t="s">
        <v>573</v>
      </c>
    </row>
    <row r="1739" spans="1:19" ht="14.25" customHeight="1" x14ac:dyDescent="0.3">
      <c r="A1739" s="182" t="s">
        <v>4416</v>
      </c>
      <c r="B1739" s="182" t="s">
        <v>908</v>
      </c>
      <c r="C1739" s="182" t="s">
        <v>909</v>
      </c>
      <c r="D1739" s="182" t="s">
        <v>4421</v>
      </c>
      <c r="E1739" s="183" t="s">
        <v>4422</v>
      </c>
      <c r="F1739" s="183" t="s">
        <v>576</v>
      </c>
      <c r="G1739" s="184">
        <v>1</v>
      </c>
      <c r="H1739" s="185">
        <v>0</v>
      </c>
      <c r="I1739" s="186">
        <v>2023467.36</v>
      </c>
      <c r="J1739" s="187">
        <v>2023467.36</v>
      </c>
      <c r="K1739" s="182" t="s">
        <v>4423</v>
      </c>
      <c r="L1739" s="182">
        <v>1</v>
      </c>
      <c r="M1739" s="182" t="s">
        <v>4424</v>
      </c>
      <c r="N1739" s="186">
        <v>1</v>
      </c>
      <c r="O1739" s="188">
        <v>1</v>
      </c>
      <c r="P1739" s="188">
        <v>1</v>
      </c>
      <c r="Q1739" s="188">
        <v>1</v>
      </c>
      <c r="R1739" s="189">
        <v>19.11</v>
      </c>
      <c r="S1739" s="189" t="s">
        <v>573</v>
      </c>
    </row>
    <row r="1740" spans="1:19" ht="14.25" customHeight="1" x14ac:dyDescent="0.3">
      <c r="A1740" s="182" t="s">
        <v>4416</v>
      </c>
      <c r="B1740" s="182" t="s">
        <v>937</v>
      </c>
      <c r="C1740" s="182" t="s">
        <v>909</v>
      </c>
      <c r="D1740" s="182" t="s">
        <v>4425</v>
      </c>
      <c r="E1740" s="183" t="s">
        <v>4426</v>
      </c>
      <c r="F1740" s="183" t="s">
        <v>941</v>
      </c>
      <c r="G1740" s="184">
        <v>1</v>
      </c>
      <c r="H1740" s="185">
        <v>0</v>
      </c>
      <c r="I1740" s="186">
        <v>2577248.88227659</v>
      </c>
      <c r="J1740" s="187">
        <v>2577248.88227659</v>
      </c>
      <c r="K1740" s="182" t="s">
        <v>4427</v>
      </c>
      <c r="L1740" s="182">
        <v>1</v>
      </c>
      <c r="M1740" s="182" t="s">
        <v>4428</v>
      </c>
      <c r="N1740" s="186">
        <v>1</v>
      </c>
      <c r="O1740" s="188">
        <v>1</v>
      </c>
      <c r="P1740" s="188">
        <v>1</v>
      </c>
      <c r="Q1740" s="188">
        <v>1</v>
      </c>
      <c r="R1740" s="189">
        <v>19.11</v>
      </c>
      <c r="S1740" s="189" t="s">
        <v>573</v>
      </c>
    </row>
    <row r="1741" spans="1:19" ht="14.25" customHeight="1" x14ac:dyDescent="0.3">
      <c r="A1741" s="182" t="s">
        <v>4429</v>
      </c>
      <c r="B1741" s="182" t="s">
        <v>563</v>
      </c>
      <c r="C1741" s="182"/>
      <c r="D1741" s="182" t="s">
        <v>4430</v>
      </c>
      <c r="E1741" s="183" t="s">
        <v>4431</v>
      </c>
      <c r="F1741" s="183"/>
      <c r="G1741" s="184">
        <v>1</v>
      </c>
      <c r="H1741" s="185">
        <v>0</v>
      </c>
      <c r="I1741" s="186">
        <v>29250</v>
      </c>
      <c r="J1741" s="187">
        <v>29250</v>
      </c>
      <c r="K1741" s="182" t="s">
        <v>4432</v>
      </c>
      <c r="L1741" s="182">
        <v>1</v>
      </c>
      <c r="M1741" s="182" t="s">
        <v>4433</v>
      </c>
      <c r="N1741" s="186">
        <v>1</v>
      </c>
      <c r="O1741" s="188">
        <v>1</v>
      </c>
      <c r="P1741" s="188">
        <v>1</v>
      </c>
      <c r="Q1741" s="188">
        <v>1</v>
      </c>
      <c r="R1741" s="189">
        <v>19.12</v>
      </c>
      <c r="S1741" s="189" t="s">
        <v>573</v>
      </c>
    </row>
    <row r="1742" spans="1:19" ht="14.25" customHeight="1" x14ac:dyDescent="0.3">
      <c r="A1742" s="182" t="s">
        <v>4429</v>
      </c>
      <c r="B1742" s="182" t="s">
        <v>908</v>
      </c>
      <c r="C1742" s="182" t="s">
        <v>909</v>
      </c>
      <c r="D1742" s="182" t="s">
        <v>4434</v>
      </c>
      <c r="E1742" s="183" t="s">
        <v>771</v>
      </c>
      <c r="F1742" s="183" t="s">
        <v>576</v>
      </c>
      <c r="G1742" s="184">
        <v>1</v>
      </c>
      <c r="H1742" s="185">
        <v>0</v>
      </c>
      <c r="I1742" s="186">
        <v>450000</v>
      </c>
      <c r="J1742" s="187">
        <v>450000</v>
      </c>
      <c r="K1742" s="182" t="s">
        <v>4435</v>
      </c>
      <c r="L1742" s="182">
        <v>1</v>
      </c>
      <c r="M1742" s="182" t="s">
        <v>4436</v>
      </c>
      <c r="N1742" s="186">
        <v>1</v>
      </c>
      <c r="O1742" s="188">
        <v>1</v>
      </c>
      <c r="P1742" s="188">
        <v>1</v>
      </c>
      <c r="Q1742" s="188">
        <v>1</v>
      </c>
      <c r="R1742" s="189">
        <v>19.12</v>
      </c>
      <c r="S1742" s="189" t="s">
        <v>573</v>
      </c>
    </row>
    <row r="1743" spans="1:19" ht="14.25" customHeight="1" x14ac:dyDescent="0.3">
      <c r="A1743" s="182" t="s">
        <v>4429</v>
      </c>
      <c r="B1743" s="182" t="s">
        <v>937</v>
      </c>
      <c r="C1743" s="182" t="s">
        <v>909</v>
      </c>
      <c r="D1743" s="182" t="s">
        <v>4437</v>
      </c>
      <c r="E1743" s="183" t="s">
        <v>4438</v>
      </c>
      <c r="F1743" s="183" t="s">
        <v>941</v>
      </c>
      <c r="G1743" s="184">
        <v>1</v>
      </c>
      <c r="H1743" s="185">
        <v>0</v>
      </c>
      <c r="I1743" s="186">
        <v>1500000</v>
      </c>
      <c r="J1743" s="187">
        <v>1500000</v>
      </c>
      <c r="K1743" s="182" t="s">
        <v>4439</v>
      </c>
      <c r="L1743" s="182">
        <v>1</v>
      </c>
      <c r="M1743" s="182" t="s">
        <v>4440</v>
      </c>
      <c r="N1743" s="186">
        <v>1</v>
      </c>
      <c r="O1743" s="188">
        <v>1</v>
      </c>
      <c r="P1743" s="188">
        <v>1</v>
      </c>
      <c r="Q1743" s="188">
        <v>1</v>
      </c>
      <c r="R1743" s="189">
        <v>19.12</v>
      </c>
      <c r="S1743" s="189" t="s">
        <v>573</v>
      </c>
    </row>
    <row r="1744" spans="1:19" ht="14.25" customHeight="1" x14ac:dyDescent="0.3">
      <c r="A1744" s="182" t="s">
        <v>4441</v>
      </c>
      <c r="B1744" s="182" t="s">
        <v>563</v>
      </c>
      <c r="C1744" s="182"/>
      <c r="D1744" s="182" t="s">
        <v>4442</v>
      </c>
      <c r="E1744" s="183" t="s">
        <v>4443</v>
      </c>
      <c r="F1744" s="183"/>
      <c r="G1744" s="184">
        <v>1</v>
      </c>
      <c r="H1744" s="185">
        <v>0</v>
      </c>
      <c r="I1744" s="186">
        <v>399227.87518155301</v>
      </c>
      <c r="J1744" s="187">
        <v>399227.87518155301</v>
      </c>
      <c r="K1744" s="182" t="s">
        <v>4444</v>
      </c>
      <c r="L1744" s="182">
        <v>1</v>
      </c>
      <c r="M1744" s="182" t="s">
        <v>4445</v>
      </c>
      <c r="N1744" s="186">
        <v>1</v>
      </c>
      <c r="O1744" s="188">
        <v>1</v>
      </c>
      <c r="P1744" s="188">
        <v>1</v>
      </c>
      <c r="Q1744" s="188">
        <v>1</v>
      </c>
      <c r="R1744" s="189">
        <v>19.13</v>
      </c>
      <c r="S1744" s="189" t="s">
        <v>573</v>
      </c>
    </row>
    <row r="1745" spans="1:19" ht="14.25" customHeight="1" x14ac:dyDescent="0.3">
      <c r="A1745" s="182" t="s">
        <v>4441</v>
      </c>
      <c r="B1745" s="182" t="s">
        <v>908</v>
      </c>
      <c r="C1745" s="182" t="s">
        <v>909</v>
      </c>
      <c r="D1745" s="182" t="s">
        <v>4446</v>
      </c>
      <c r="E1745" s="183" t="s">
        <v>4447</v>
      </c>
      <c r="F1745" s="183" t="s">
        <v>2197</v>
      </c>
      <c r="G1745" s="184">
        <v>13</v>
      </c>
      <c r="H1745" s="185">
        <v>0</v>
      </c>
      <c r="I1745" s="186">
        <v>190020.54</v>
      </c>
      <c r="J1745" s="187">
        <v>2470267.02</v>
      </c>
      <c r="K1745" s="182" t="s">
        <v>4448</v>
      </c>
      <c r="L1745" s="182">
        <v>1</v>
      </c>
      <c r="M1745" s="182" t="s">
        <v>4449</v>
      </c>
      <c r="N1745" s="186">
        <v>1</v>
      </c>
      <c r="O1745" s="188">
        <v>13</v>
      </c>
      <c r="P1745" s="188">
        <v>1</v>
      </c>
      <c r="Q1745" s="188">
        <v>13</v>
      </c>
      <c r="R1745" s="189">
        <v>19.13</v>
      </c>
      <c r="S1745" s="189" t="s">
        <v>573</v>
      </c>
    </row>
    <row r="1746" spans="1:19" ht="14.25" customHeight="1" x14ac:dyDescent="0.3">
      <c r="A1746" s="182" t="s">
        <v>4441</v>
      </c>
      <c r="B1746" s="182" t="s">
        <v>908</v>
      </c>
      <c r="C1746" s="182" t="s">
        <v>909</v>
      </c>
      <c r="D1746" s="182" t="s">
        <v>4450</v>
      </c>
      <c r="E1746" s="183" t="s">
        <v>4451</v>
      </c>
      <c r="F1746" s="183" t="s">
        <v>2197</v>
      </c>
      <c r="G1746" s="184">
        <v>34</v>
      </c>
      <c r="H1746" s="185">
        <v>0</v>
      </c>
      <c r="I1746" s="186">
        <v>56674.81</v>
      </c>
      <c r="J1746" s="187">
        <v>1926943.54</v>
      </c>
      <c r="K1746" s="182" t="s">
        <v>4448</v>
      </c>
      <c r="L1746" s="182">
        <v>2</v>
      </c>
      <c r="M1746" s="182" t="s">
        <v>4452</v>
      </c>
      <c r="N1746" s="186">
        <v>1</v>
      </c>
      <c r="O1746" s="188">
        <v>34</v>
      </c>
      <c r="P1746" s="188">
        <v>1</v>
      </c>
      <c r="Q1746" s="188">
        <v>34</v>
      </c>
      <c r="R1746" s="189">
        <v>19.13</v>
      </c>
      <c r="S1746" s="189" t="s">
        <v>573</v>
      </c>
    </row>
    <row r="1747" spans="1:19" ht="14.25" customHeight="1" x14ac:dyDescent="0.3">
      <c r="A1747" s="182" t="s">
        <v>4441</v>
      </c>
      <c r="B1747" s="182" t="s">
        <v>908</v>
      </c>
      <c r="C1747" s="182" t="s">
        <v>909</v>
      </c>
      <c r="D1747" s="182" t="s">
        <v>4453</v>
      </c>
      <c r="E1747" s="183" t="s">
        <v>4454</v>
      </c>
      <c r="F1747" s="183" t="s">
        <v>600</v>
      </c>
      <c r="G1747" s="184">
        <v>39</v>
      </c>
      <c r="H1747" s="185">
        <v>0</v>
      </c>
      <c r="I1747" s="186">
        <v>1234.1199999999999</v>
      </c>
      <c r="J1747" s="187">
        <v>48130.68</v>
      </c>
      <c r="K1747" s="182" t="s">
        <v>4448</v>
      </c>
      <c r="L1747" s="182">
        <v>3</v>
      </c>
      <c r="M1747" s="182" t="s">
        <v>4455</v>
      </c>
      <c r="N1747" s="186">
        <v>1</v>
      </c>
      <c r="O1747" s="188">
        <v>39</v>
      </c>
      <c r="P1747" s="188">
        <v>1</v>
      </c>
      <c r="Q1747" s="188">
        <v>39</v>
      </c>
      <c r="R1747" s="189">
        <v>19.13</v>
      </c>
      <c r="S1747" s="189" t="s">
        <v>573</v>
      </c>
    </row>
    <row r="1748" spans="1:19" ht="14.25" customHeight="1" x14ac:dyDescent="0.3">
      <c r="A1748" s="182" t="s">
        <v>4441</v>
      </c>
      <c r="B1748" s="182" t="s">
        <v>908</v>
      </c>
      <c r="C1748" s="182" t="s">
        <v>909</v>
      </c>
      <c r="D1748" s="182" t="s">
        <v>4456</v>
      </c>
      <c r="E1748" s="183" t="s">
        <v>4457</v>
      </c>
      <c r="F1748" s="183" t="s">
        <v>4458</v>
      </c>
      <c r="G1748" s="184">
        <v>28</v>
      </c>
      <c r="H1748" s="185">
        <v>0</v>
      </c>
      <c r="I1748" s="186">
        <v>4158.84</v>
      </c>
      <c r="J1748" s="187">
        <v>116447.52</v>
      </c>
      <c r="K1748" s="182" t="s">
        <v>4448</v>
      </c>
      <c r="L1748" s="182">
        <v>4</v>
      </c>
      <c r="M1748" s="182" t="s">
        <v>4459</v>
      </c>
      <c r="N1748" s="186">
        <v>1</v>
      </c>
      <c r="O1748" s="188">
        <v>28</v>
      </c>
      <c r="P1748" s="188">
        <v>1</v>
      </c>
      <c r="Q1748" s="188">
        <v>28</v>
      </c>
      <c r="R1748" s="189">
        <v>19.13</v>
      </c>
      <c r="S1748" s="189" t="s">
        <v>573</v>
      </c>
    </row>
    <row r="1749" spans="1:19" ht="14.25" customHeight="1" x14ac:dyDescent="0.3">
      <c r="A1749" s="182" t="s">
        <v>4441</v>
      </c>
      <c r="B1749" s="182" t="s">
        <v>908</v>
      </c>
      <c r="C1749" s="182" t="s">
        <v>909</v>
      </c>
      <c r="D1749" s="182" t="s">
        <v>4460</v>
      </c>
      <c r="E1749" s="183" t="s">
        <v>4461</v>
      </c>
      <c r="F1749" s="183" t="s">
        <v>600</v>
      </c>
      <c r="G1749" s="184">
        <v>16</v>
      </c>
      <c r="H1749" s="185">
        <v>0</v>
      </c>
      <c r="I1749" s="186">
        <v>1943.21</v>
      </c>
      <c r="J1749" s="187">
        <v>31091.360000000001</v>
      </c>
      <c r="K1749" s="182" t="s">
        <v>4448</v>
      </c>
      <c r="L1749" s="182">
        <v>5</v>
      </c>
      <c r="M1749" s="182" t="s">
        <v>4462</v>
      </c>
      <c r="N1749" s="186">
        <v>1</v>
      </c>
      <c r="O1749" s="188">
        <v>16</v>
      </c>
      <c r="P1749" s="188">
        <v>1</v>
      </c>
      <c r="Q1749" s="188">
        <v>16</v>
      </c>
      <c r="R1749" s="189">
        <v>19.13</v>
      </c>
      <c r="S1749" s="189" t="s">
        <v>573</v>
      </c>
    </row>
    <row r="1750" spans="1:19" ht="14.25" customHeight="1" x14ac:dyDescent="0.3">
      <c r="A1750" s="182" t="s">
        <v>4441</v>
      </c>
      <c r="B1750" s="182" t="s">
        <v>908</v>
      </c>
      <c r="C1750" s="182" t="s">
        <v>909</v>
      </c>
      <c r="D1750" s="182" t="s">
        <v>4463</v>
      </c>
      <c r="E1750" s="183" t="s">
        <v>4464</v>
      </c>
      <c r="F1750" s="183" t="s">
        <v>4465</v>
      </c>
      <c r="G1750" s="184">
        <v>16</v>
      </c>
      <c r="H1750" s="185">
        <v>0</v>
      </c>
      <c r="I1750" s="186">
        <v>10449.84</v>
      </c>
      <c r="J1750" s="187">
        <v>167197.44</v>
      </c>
      <c r="K1750" s="182" t="s">
        <v>4448</v>
      </c>
      <c r="L1750" s="182">
        <v>6</v>
      </c>
      <c r="M1750" s="182" t="s">
        <v>4466</v>
      </c>
      <c r="N1750" s="186">
        <v>1</v>
      </c>
      <c r="O1750" s="188">
        <v>16</v>
      </c>
      <c r="P1750" s="188">
        <v>1</v>
      </c>
      <c r="Q1750" s="188">
        <v>16</v>
      </c>
      <c r="R1750" s="189">
        <v>19.13</v>
      </c>
      <c r="S1750" s="189" t="s">
        <v>573</v>
      </c>
    </row>
    <row r="1751" spans="1:19" ht="14.25" customHeight="1" x14ac:dyDescent="0.3">
      <c r="A1751" s="182" t="s">
        <v>4441</v>
      </c>
      <c r="B1751" s="182" t="s">
        <v>908</v>
      </c>
      <c r="C1751" s="182" t="s">
        <v>909</v>
      </c>
      <c r="D1751" s="182" t="s">
        <v>4467</v>
      </c>
      <c r="E1751" s="183" t="s">
        <v>4468</v>
      </c>
      <c r="F1751" s="183" t="s">
        <v>600</v>
      </c>
      <c r="G1751" s="184">
        <v>32</v>
      </c>
      <c r="H1751" s="185">
        <v>0</v>
      </c>
      <c r="I1751" s="186">
        <v>429.89</v>
      </c>
      <c r="J1751" s="187">
        <v>13756.48</v>
      </c>
      <c r="K1751" s="182" t="s">
        <v>4448</v>
      </c>
      <c r="L1751" s="182">
        <v>7</v>
      </c>
      <c r="M1751" s="182" t="s">
        <v>4469</v>
      </c>
      <c r="N1751" s="186">
        <v>1</v>
      </c>
      <c r="O1751" s="188">
        <v>32</v>
      </c>
      <c r="P1751" s="188">
        <v>1</v>
      </c>
      <c r="Q1751" s="188">
        <v>32</v>
      </c>
      <c r="R1751" s="189">
        <v>19.13</v>
      </c>
      <c r="S1751" s="189" t="s">
        <v>573</v>
      </c>
    </row>
    <row r="1752" spans="1:19" ht="14.25" customHeight="1" x14ac:dyDescent="0.3">
      <c r="A1752" s="182" t="s">
        <v>4441</v>
      </c>
      <c r="B1752" s="182" t="s">
        <v>908</v>
      </c>
      <c r="C1752" s="182" t="s">
        <v>909</v>
      </c>
      <c r="D1752" s="182" t="s">
        <v>4470</v>
      </c>
      <c r="E1752" s="183" t="s">
        <v>4471</v>
      </c>
      <c r="F1752" s="183" t="s">
        <v>4465</v>
      </c>
      <c r="G1752" s="184">
        <v>32</v>
      </c>
      <c r="H1752" s="185">
        <v>0</v>
      </c>
      <c r="I1752" s="186">
        <v>852.41</v>
      </c>
      <c r="J1752" s="187">
        <v>27277.119999999999</v>
      </c>
      <c r="K1752" s="182" t="s">
        <v>4448</v>
      </c>
      <c r="L1752" s="182">
        <v>8</v>
      </c>
      <c r="M1752" s="182" t="s">
        <v>4472</v>
      </c>
      <c r="N1752" s="186">
        <v>1</v>
      </c>
      <c r="O1752" s="188">
        <v>32</v>
      </c>
      <c r="P1752" s="188">
        <v>1</v>
      </c>
      <c r="Q1752" s="188">
        <v>32</v>
      </c>
      <c r="R1752" s="189">
        <v>19.13</v>
      </c>
      <c r="S1752" s="189" t="s">
        <v>573</v>
      </c>
    </row>
    <row r="1753" spans="1:19" ht="14.25" customHeight="1" x14ac:dyDescent="0.3">
      <c r="A1753" s="182" t="s">
        <v>4441</v>
      </c>
      <c r="B1753" s="182" t="s">
        <v>908</v>
      </c>
      <c r="C1753" s="182" t="s">
        <v>909</v>
      </c>
      <c r="D1753" s="182" t="s">
        <v>3019</v>
      </c>
      <c r="E1753" s="183" t="s">
        <v>3020</v>
      </c>
      <c r="F1753" s="183" t="s">
        <v>2197</v>
      </c>
      <c r="G1753" s="184">
        <v>4</v>
      </c>
      <c r="H1753" s="185">
        <v>0</v>
      </c>
      <c r="I1753" s="186">
        <v>27000</v>
      </c>
      <c r="J1753" s="187">
        <v>108000</v>
      </c>
      <c r="K1753" s="182" t="s">
        <v>4448</v>
      </c>
      <c r="L1753" s="182">
        <v>9</v>
      </c>
      <c r="M1753" s="182" t="s">
        <v>4473</v>
      </c>
      <c r="N1753" s="186">
        <v>1</v>
      </c>
      <c r="O1753" s="188">
        <v>4</v>
      </c>
      <c r="P1753" s="188">
        <v>1</v>
      </c>
      <c r="Q1753" s="188">
        <v>4</v>
      </c>
      <c r="R1753" s="189">
        <v>19.13</v>
      </c>
      <c r="S1753" s="189" t="s">
        <v>573</v>
      </c>
    </row>
    <row r="1754" spans="1:19" ht="14.25" customHeight="1" x14ac:dyDescent="0.3">
      <c r="A1754" s="182" t="s">
        <v>4441</v>
      </c>
      <c r="B1754" s="182" t="s">
        <v>908</v>
      </c>
      <c r="C1754" s="182" t="s">
        <v>909</v>
      </c>
      <c r="D1754" s="182" t="s">
        <v>4474</v>
      </c>
      <c r="E1754" s="183" t="s">
        <v>4475</v>
      </c>
      <c r="F1754" s="183" t="s">
        <v>652</v>
      </c>
      <c r="G1754" s="184">
        <v>114</v>
      </c>
      <c r="H1754" s="185">
        <v>0</v>
      </c>
      <c r="I1754" s="186">
        <v>10695.63</v>
      </c>
      <c r="J1754" s="187">
        <v>1219301.82</v>
      </c>
      <c r="K1754" s="182" t="s">
        <v>4448</v>
      </c>
      <c r="L1754" s="182">
        <v>10</v>
      </c>
      <c r="M1754" s="182" t="s">
        <v>4476</v>
      </c>
      <c r="N1754" s="186">
        <v>1</v>
      </c>
      <c r="O1754" s="188">
        <v>114</v>
      </c>
      <c r="P1754" s="188">
        <v>1</v>
      </c>
      <c r="Q1754" s="188">
        <v>114</v>
      </c>
      <c r="R1754" s="189">
        <v>19.13</v>
      </c>
      <c r="S1754" s="189" t="s">
        <v>573</v>
      </c>
    </row>
    <row r="1755" spans="1:19" ht="14.25" customHeight="1" x14ac:dyDescent="0.3">
      <c r="A1755" s="182" t="s">
        <v>4441</v>
      </c>
      <c r="B1755" s="182" t="s">
        <v>908</v>
      </c>
      <c r="C1755" s="182" t="s">
        <v>909</v>
      </c>
      <c r="D1755" s="182" t="s">
        <v>976</v>
      </c>
      <c r="E1755" s="183" t="s">
        <v>977</v>
      </c>
      <c r="F1755" s="183" t="s">
        <v>576</v>
      </c>
      <c r="G1755" s="184">
        <v>736366.674</v>
      </c>
      <c r="H1755" s="185">
        <v>0</v>
      </c>
      <c r="I1755" s="186">
        <v>1</v>
      </c>
      <c r="J1755" s="187">
        <v>736366.674</v>
      </c>
      <c r="K1755" s="182" t="s">
        <v>4448</v>
      </c>
      <c r="L1755" s="182">
        <v>11</v>
      </c>
      <c r="M1755" s="182" t="s">
        <v>4477</v>
      </c>
      <c r="N1755" s="186">
        <v>1</v>
      </c>
      <c r="O1755" s="188">
        <v>736366.674</v>
      </c>
      <c r="P1755" s="188">
        <v>1</v>
      </c>
      <c r="Q1755" s="188">
        <v>736366.674</v>
      </c>
      <c r="R1755" s="189">
        <v>19.13</v>
      </c>
      <c r="S1755" s="189" t="s">
        <v>573</v>
      </c>
    </row>
    <row r="1756" spans="1:19" ht="14.25" customHeight="1" x14ac:dyDescent="0.3">
      <c r="A1756" s="182" t="s">
        <v>4441</v>
      </c>
      <c r="B1756" s="182" t="s">
        <v>937</v>
      </c>
      <c r="C1756" s="182" t="s">
        <v>909</v>
      </c>
      <c r="D1756" s="182" t="s">
        <v>4478</v>
      </c>
      <c r="E1756" s="183" t="s">
        <v>4479</v>
      </c>
      <c r="F1756" s="183" t="s">
        <v>941</v>
      </c>
      <c r="G1756" s="184">
        <v>1</v>
      </c>
      <c r="H1756" s="185">
        <v>0</v>
      </c>
      <c r="I1756" s="186">
        <v>19750412.0247702</v>
      </c>
      <c r="J1756" s="187">
        <v>19750412.0247702</v>
      </c>
      <c r="K1756" s="182" t="s">
        <v>4480</v>
      </c>
      <c r="L1756" s="182">
        <v>1</v>
      </c>
      <c r="M1756" s="182" t="s">
        <v>4481</v>
      </c>
      <c r="N1756" s="186">
        <v>1</v>
      </c>
      <c r="O1756" s="188">
        <v>1</v>
      </c>
      <c r="P1756" s="188">
        <v>1</v>
      </c>
      <c r="Q1756" s="188">
        <v>1</v>
      </c>
      <c r="R1756" s="189">
        <v>19.13</v>
      </c>
      <c r="S1756" s="189" t="s">
        <v>573</v>
      </c>
    </row>
    <row r="1757" spans="1:19" ht="14.25" customHeight="1" x14ac:dyDescent="0.3">
      <c r="A1757" s="182" t="s">
        <v>4482</v>
      </c>
      <c r="B1757" s="182" t="s">
        <v>563</v>
      </c>
      <c r="C1757" s="182"/>
      <c r="D1757" s="182" t="s">
        <v>4483</v>
      </c>
      <c r="E1757" s="183" t="s">
        <v>4484</v>
      </c>
      <c r="F1757" s="183"/>
      <c r="G1757" s="184">
        <v>1</v>
      </c>
      <c r="H1757" s="185">
        <v>0</v>
      </c>
      <c r="I1757" s="186">
        <v>41934.478574617002</v>
      </c>
      <c r="J1757" s="187">
        <v>41934.478574617002</v>
      </c>
      <c r="K1757" s="182" t="s">
        <v>4485</v>
      </c>
      <c r="L1757" s="182">
        <v>1</v>
      </c>
      <c r="M1757" s="182" t="s">
        <v>4486</v>
      </c>
      <c r="N1757" s="186">
        <v>1</v>
      </c>
      <c r="O1757" s="188">
        <v>1</v>
      </c>
      <c r="P1757" s="188">
        <v>1</v>
      </c>
      <c r="Q1757" s="188">
        <v>1</v>
      </c>
      <c r="R1757" s="189">
        <v>19.14</v>
      </c>
      <c r="S1757" s="189" t="s">
        <v>573</v>
      </c>
    </row>
    <row r="1758" spans="1:19" ht="14.25" customHeight="1" x14ac:dyDescent="0.3">
      <c r="A1758" s="182" t="s">
        <v>4482</v>
      </c>
      <c r="B1758" s="182" t="s">
        <v>908</v>
      </c>
      <c r="C1758" s="182" t="s">
        <v>909</v>
      </c>
      <c r="D1758" s="182" t="s">
        <v>4487</v>
      </c>
      <c r="E1758" s="183" t="s">
        <v>4488</v>
      </c>
      <c r="F1758" s="183" t="s">
        <v>600</v>
      </c>
      <c r="G1758" s="184">
        <v>8</v>
      </c>
      <c r="H1758" s="185">
        <v>0</v>
      </c>
      <c r="I1758" s="186">
        <v>75142.710000000006</v>
      </c>
      <c r="J1758" s="187">
        <v>601141.68000000005</v>
      </c>
      <c r="K1758" s="182" t="s">
        <v>4489</v>
      </c>
      <c r="L1758" s="182">
        <v>1</v>
      </c>
      <c r="M1758" s="182" t="s">
        <v>4490</v>
      </c>
      <c r="N1758" s="186">
        <v>1</v>
      </c>
      <c r="O1758" s="188">
        <v>8</v>
      </c>
      <c r="P1758" s="188">
        <v>1</v>
      </c>
      <c r="Q1758" s="188">
        <v>8</v>
      </c>
      <c r="R1758" s="189">
        <v>19.14</v>
      </c>
      <c r="S1758" s="189" t="s">
        <v>573</v>
      </c>
    </row>
    <row r="1759" spans="1:19" ht="14.25" customHeight="1" x14ac:dyDescent="0.3">
      <c r="A1759" s="182" t="s">
        <v>4482</v>
      </c>
      <c r="B1759" s="182" t="s">
        <v>937</v>
      </c>
      <c r="C1759" s="182" t="s">
        <v>909</v>
      </c>
      <c r="D1759" s="182" t="s">
        <v>4491</v>
      </c>
      <c r="E1759" s="183" t="s">
        <v>4492</v>
      </c>
      <c r="F1759" s="183" t="s">
        <v>941</v>
      </c>
      <c r="G1759" s="184">
        <v>1</v>
      </c>
      <c r="H1759" s="185">
        <v>0</v>
      </c>
      <c r="I1759" s="186">
        <v>2194490.2249744702</v>
      </c>
      <c r="J1759" s="187">
        <v>2194490.2249744702</v>
      </c>
      <c r="K1759" s="182" t="s">
        <v>4493</v>
      </c>
      <c r="L1759" s="182">
        <v>1</v>
      </c>
      <c r="M1759" s="182" t="s">
        <v>4494</v>
      </c>
      <c r="N1759" s="186">
        <v>1</v>
      </c>
      <c r="O1759" s="188">
        <v>1</v>
      </c>
      <c r="P1759" s="188">
        <v>1</v>
      </c>
      <c r="Q1759" s="188">
        <v>1</v>
      </c>
      <c r="R1759" s="189">
        <v>19.14</v>
      </c>
      <c r="S1759" s="189" t="s">
        <v>573</v>
      </c>
    </row>
    <row r="1760" spans="1:19" ht="14.25" customHeight="1" x14ac:dyDescent="0.3">
      <c r="A1760" s="182" t="s">
        <v>4495</v>
      </c>
      <c r="B1760" s="182" t="s">
        <v>563</v>
      </c>
      <c r="C1760" s="182"/>
      <c r="D1760" s="182" t="s">
        <v>4496</v>
      </c>
      <c r="E1760" s="183" t="s">
        <v>4497</v>
      </c>
      <c r="F1760" s="183"/>
      <c r="G1760" s="184">
        <v>1</v>
      </c>
      <c r="H1760" s="185">
        <v>0</v>
      </c>
      <c r="I1760" s="186">
        <v>71400.7442527518</v>
      </c>
      <c r="J1760" s="187">
        <v>71400.7442527518</v>
      </c>
      <c r="K1760" s="182" t="s">
        <v>4498</v>
      </c>
      <c r="L1760" s="182">
        <v>1</v>
      </c>
      <c r="M1760" s="182" t="s">
        <v>4499</v>
      </c>
      <c r="N1760" s="186">
        <v>1</v>
      </c>
      <c r="O1760" s="188">
        <v>1</v>
      </c>
      <c r="P1760" s="188">
        <v>1</v>
      </c>
      <c r="Q1760" s="188">
        <v>1</v>
      </c>
      <c r="R1760" s="189">
        <v>19.149999999999999</v>
      </c>
      <c r="S1760" s="189" t="s">
        <v>573</v>
      </c>
    </row>
    <row r="1761" spans="1:19" ht="14.25" customHeight="1" x14ac:dyDescent="0.3">
      <c r="A1761" s="182" t="s">
        <v>4495</v>
      </c>
      <c r="B1761" s="182" t="s">
        <v>937</v>
      </c>
      <c r="C1761" s="182" t="s">
        <v>909</v>
      </c>
      <c r="D1761" s="182" t="s">
        <v>4500</v>
      </c>
      <c r="E1761" s="183" t="s">
        <v>4501</v>
      </c>
      <c r="F1761" s="183" t="s">
        <v>941</v>
      </c>
      <c r="G1761" s="184">
        <v>1</v>
      </c>
      <c r="H1761" s="185">
        <v>0</v>
      </c>
      <c r="I1761" s="186">
        <v>1816615.8408501199</v>
      </c>
      <c r="J1761" s="187">
        <v>1816615.8408501199</v>
      </c>
      <c r="K1761" s="182" t="s">
        <v>4502</v>
      </c>
      <c r="L1761" s="182">
        <v>1</v>
      </c>
      <c r="M1761" s="182" t="s">
        <v>4503</v>
      </c>
      <c r="N1761" s="186">
        <v>1</v>
      </c>
      <c r="O1761" s="188">
        <v>1</v>
      </c>
      <c r="P1761" s="188">
        <v>1</v>
      </c>
      <c r="Q1761" s="188">
        <v>1</v>
      </c>
      <c r="R1761" s="189">
        <v>19.149999999999999</v>
      </c>
      <c r="S1761" s="189" t="s">
        <v>573</v>
      </c>
    </row>
    <row r="1762" spans="1:19" ht="14.25" customHeight="1" x14ac:dyDescent="0.3">
      <c r="A1762" s="182" t="s">
        <v>4495</v>
      </c>
      <c r="B1762" s="182" t="s">
        <v>908</v>
      </c>
      <c r="C1762" s="182" t="s">
        <v>909</v>
      </c>
      <c r="D1762" s="182" t="s">
        <v>4504</v>
      </c>
      <c r="E1762" s="183" t="s">
        <v>4505</v>
      </c>
      <c r="F1762" s="183" t="s">
        <v>600</v>
      </c>
      <c r="G1762" s="184">
        <v>7</v>
      </c>
      <c r="H1762" s="185">
        <v>0</v>
      </c>
      <c r="I1762" s="186">
        <v>226738.89</v>
      </c>
      <c r="J1762" s="187">
        <v>1587172.23</v>
      </c>
      <c r="K1762" s="182" t="s">
        <v>4506</v>
      </c>
      <c r="L1762" s="182">
        <v>1</v>
      </c>
      <c r="M1762" s="182" t="s">
        <v>4507</v>
      </c>
      <c r="N1762" s="186">
        <v>1</v>
      </c>
      <c r="O1762" s="188">
        <v>7</v>
      </c>
      <c r="P1762" s="188">
        <v>1</v>
      </c>
      <c r="Q1762" s="188">
        <v>7</v>
      </c>
      <c r="R1762" s="189">
        <v>19.149999999999999</v>
      </c>
      <c r="S1762" s="189" t="s">
        <v>573</v>
      </c>
    </row>
    <row r="1763" spans="1:19" ht="14.25" customHeight="1" x14ac:dyDescent="0.3">
      <c r="A1763" s="182" t="s">
        <v>4495</v>
      </c>
      <c r="B1763" s="182" t="s">
        <v>908</v>
      </c>
      <c r="C1763" s="182" t="s">
        <v>909</v>
      </c>
      <c r="D1763" s="182" t="s">
        <v>4508</v>
      </c>
      <c r="E1763" s="183" t="s">
        <v>4509</v>
      </c>
      <c r="F1763" s="183" t="s">
        <v>600</v>
      </c>
      <c r="G1763" s="184">
        <v>15</v>
      </c>
      <c r="H1763" s="185">
        <v>0</v>
      </c>
      <c r="I1763" s="186">
        <v>16952.66</v>
      </c>
      <c r="J1763" s="187">
        <v>254289.9</v>
      </c>
      <c r="K1763" s="182" t="s">
        <v>4506</v>
      </c>
      <c r="L1763" s="182">
        <v>2</v>
      </c>
      <c r="M1763" s="182" t="s">
        <v>4510</v>
      </c>
      <c r="N1763" s="186">
        <v>1</v>
      </c>
      <c r="O1763" s="188">
        <v>15</v>
      </c>
      <c r="P1763" s="188">
        <v>1</v>
      </c>
      <c r="Q1763" s="188">
        <v>15</v>
      </c>
      <c r="R1763" s="189">
        <v>19.149999999999999</v>
      </c>
      <c r="S1763" s="189" t="s">
        <v>573</v>
      </c>
    </row>
    <row r="1764" spans="1:19" ht="14.25" customHeight="1" x14ac:dyDescent="0.3">
      <c r="A1764" s="182" t="s">
        <v>4495</v>
      </c>
      <c r="B1764" s="182" t="s">
        <v>908</v>
      </c>
      <c r="C1764" s="182" t="s">
        <v>909</v>
      </c>
      <c r="D1764" s="182" t="s">
        <v>4511</v>
      </c>
      <c r="E1764" s="183" t="s">
        <v>4512</v>
      </c>
      <c r="F1764" s="183" t="s">
        <v>600</v>
      </c>
      <c r="G1764" s="184">
        <v>6</v>
      </c>
      <c r="H1764" s="185">
        <v>0</v>
      </c>
      <c r="I1764" s="186">
        <v>9333.2000000000007</v>
      </c>
      <c r="J1764" s="187">
        <v>55999.199999999997</v>
      </c>
      <c r="K1764" s="182" t="s">
        <v>4506</v>
      </c>
      <c r="L1764" s="182">
        <v>3</v>
      </c>
      <c r="M1764" s="182" t="s">
        <v>4513</v>
      </c>
      <c r="N1764" s="186">
        <v>1</v>
      </c>
      <c r="O1764" s="188">
        <v>6</v>
      </c>
      <c r="P1764" s="188">
        <v>1</v>
      </c>
      <c r="Q1764" s="188">
        <v>6</v>
      </c>
      <c r="R1764" s="189">
        <v>19.149999999999999</v>
      </c>
      <c r="S1764" s="189" t="s">
        <v>573</v>
      </c>
    </row>
    <row r="1765" spans="1:19" ht="14.25" customHeight="1" x14ac:dyDescent="0.3">
      <c r="A1765" s="182" t="s">
        <v>4495</v>
      </c>
      <c r="B1765" s="182" t="s">
        <v>908</v>
      </c>
      <c r="C1765" s="182" t="s">
        <v>909</v>
      </c>
      <c r="D1765" s="182" t="s">
        <v>4514</v>
      </c>
      <c r="E1765" s="183" t="s">
        <v>4515</v>
      </c>
      <c r="F1765" s="183" t="s">
        <v>600</v>
      </c>
      <c r="G1765" s="184">
        <v>6</v>
      </c>
      <c r="H1765" s="185">
        <v>0</v>
      </c>
      <c r="I1765" s="186">
        <v>15339.5</v>
      </c>
      <c r="J1765" s="187">
        <v>92037</v>
      </c>
      <c r="K1765" s="182" t="s">
        <v>4506</v>
      </c>
      <c r="L1765" s="182">
        <v>4</v>
      </c>
      <c r="M1765" s="182" t="s">
        <v>4516</v>
      </c>
      <c r="N1765" s="186">
        <v>1</v>
      </c>
      <c r="O1765" s="188">
        <v>6</v>
      </c>
      <c r="P1765" s="188">
        <v>1</v>
      </c>
      <c r="Q1765" s="188">
        <v>6</v>
      </c>
      <c r="R1765" s="189">
        <v>19.149999999999999</v>
      </c>
      <c r="S1765" s="189" t="s">
        <v>573</v>
      </c>
    </row>
    <row r="1766" spans="1:19" ht="14.25" customHeight="1" x14ac:dyDescent="0.3">
      <c r="A1766" s="182" t="s">
        <v>4495</v>
      </c>
      <c r="B1766" s="182" t="s">
        <v>908</v>
      </c>
      <c r="C1766" s="182" t="s">
        <v>909</v>
      </c>
      <c r="D1766" s="182" t="s">
        <v>4517</v>
      </c>
      <c r="E1766" s="183" t="s">
        <v>4518</v>
      </c>
      <c r="F1766" s="183" t="s">
        <v>600</v>
      </c>
      <c r="G1766" s="184">
        <v>5</v>
      </c>
      <c r="H1766" s="185">
        <v>0</v>
      </c>
      <c r="I1766" s="186">
        <v>21808.23</v>
      </c>
      <c r="J1766" s="187">
        <v>109041.15</v>
      </c>
      <c r="K1766" s="182" t="s">
        <v>4506</v>
      </c>
      <c r="L1766" s="182">
        <v>5</v>
      </c>
      <c r="M1766" s="182" t="s">
        <v>4519</v>
      </c>
      <c r="N1766" s="186">
        <v>1</v>
      </c>
      <c r="O1766" s="188">
        <v>5</v>
      </c>
      <c r="P1766" s="188">
        <v>1</v>
      </c>
      <c r="Q1766" s="188">
        <v>5</v>
      </c>
      <c r="R1766" s="189">
        <v>19.149999999999999</v>
      </c>
      <c r="S1766" s="189" t="s">
        <v>573</v>
      </c>
    </row>
    <row r="1767" spans="1:19" ht="14.25" customHeight="1" x14ac:dyDescent="0.3">
      <c r="A1767" s="182" t="s">
        <v>4495</v>
      </c>
      <c r="B1767" s="182" t="s">
        <v>908</v>
      </c>
      <c r="C1767" s="182" t="s">
        <v>909</v>
      </c>
      <c r="D1767" s="182" t="s">
        <v>4520</v>
      </c>
      <c r="E1767" s="183" t="s">
        <v>4521</v>
      </c>
      <c r="F1767" s="183" t="s">
        <v>600</v>
      </c>
      <c r="G1767" s="184">
        <v>5</v>
      </c>
      <c r="H1767" s="185">
        <v>0</v>
      </c>
      <c r="I1767" s="186">
        <v>39120</v>
      </c>
      <c r="J1767" s="187">
        <v>195600</v>
      </c>
      <c r="K1767" s="182" t="s">
        <v>4506</v>
      </c>
      <c r="L1767" s="182">
        <v>6</v>
      </c>
      <c r="M1767" s="182" t="s">
        <v>4522</v>
      </c>
      <c r="N1767" s="186">
        <v>1</v>
      </c>
      <c r="O1767" s="188">
        <v>5</v>
      </c>
      <c r="P1767" s="188">
        <v>1</v>
      </c>
      <c r="Q1767" s="188">
        <v>5</v>
      </c>
      <c r="R1767" s="189">
        <v>19.149999999999999</v>
      </c>
      <c r="S1767" s="189" t="s">
        <v>573</v>
      </c>
    </row>
    <row r="1768" spans="1:19" ht="14.25" customHeight="1" x14ac:dyDescent="0.3">
      <c r="A1768" s="182" t="s">
        <v>4495</v>
      </c>
      <c r="B1768" s="182" t="s">
        <v>908</v>
      </c>
      <c r="C1768" s="182" t="s">
        <v>909</v>
      </c>
      <c r="D1768" s="182" t="s">
        <v>4523</v>
      </c>
      <c r="E1768" s="183" t="s">
        <v>4524</v>
      </c>
      <c r="F1768" s="183" t="s">
        <v>600</v>
      </c>
      <c r="G1768" s="184">
        <v>1</v>
      </c>
      <c r="H1768" s="185">
        <v>0</v>
      </c>
      <c r="I1768" s="186">
        <v>79361</v>
      </c>
      <c r="J1768" s="187">
        <v>79361</v>
      </c>
      <c r="K1768" s="182" t="s">
        <v>4506</v>
      </c>
      <c r="L1768" s="182">
        <v>7</v>
      </c>
      <c r="M1768" s="182" t="s">
        <v>4525</v>
      </c>
      <c r="N1768" s="186">
        <v>1</v>
      </c>
      <c r="O1768" s="188">
        <v>1</v>
      </c>
      <c r="P1768" s="188">
        <v>1</v>
      </c>
      <c r="Q1768" s="188">
        <v>1</v>
      </c>
      <c r="R1768" s="189">
        <v>19.149999999999999</v>
      </c>
      <c r="S1768" s="189" t="s">
        <v>573</v>
      </c>
    </row>
    <row r="1769" spans="1:19" ht="14.25" customHeight="1" x14ac:dyDescent="0.3">
      <c r="A1769" s="182" t="s">
        <v>4495</v>
      </c>
      <c r="B1769" s="182" t="s">
        <v>908</v>
      </c>
      <c r="C1769" s="182" t="s">
        <v>909</v>
      </c>
      <c r="D1769" s="182" t="s">
        <v>4526</v>
      </c>
      <c r="E1769" s="183" t="s">
        <v>4527</v>
      </c>
      <c r="F1769" s="183" t="s">
        <v>600</v>
      </c>
      <c r="G1769" s="184">
        <v>1</v>
      </c>
      <c r="H1769" s="185">
        <v>0</v>
      </c>
      <c r="I1769" s="186">
        <v>79361</v>
      </c>
      <c r="J1769" s="187">
        <v>79361</v>
      </c>
      <c r="K1769" s="182" t="s">
        <v>4506</v>
      </c>
      <c r="L1769" s="182">
        <v>8</v>
      </c>
      <c r="M1769" s="182" t="s">
        <v>4528</v>
      </c>
      <c r="N1769" s="186">
        <v>1</v>
      </c>
      <c r="O1769" s="188">
        <v>1</v>
      </c>
      <c r="P1769" s="188">
        <v>1</v>
      </c>
      <c r="Q1769" s="188">
        <v>1</v>
      </c>
      <c r="R1769" s="189">
        <v>19.149999999999999</v>
      </c>
      <c r="S1769" s="189" t="s">
        <v>573</v>
      </c>
    </row>
    <row r="1770" spans="1:19" ht="14.25" customHeight="1" x14ac:dyDescent="0.3">
      <c r="A1770" s="182" t="s">
        <v>4495</v>
      </c>
      <c r="B1770" s="182" t="s">
        <v>908</v>
      </c>
      <c r="C1770" s="182" t="s">
        <v>909</v>
      </c>
      <c r="D1770" s="182" t="s">
        <v>976</v>
      </c>
      <c r="E1770" s="183" t="s">
        <v>977</v>
      </c>
      <c r="F1770" s="183" t="s">
        <v>576</v>
      </c>
      <c r="G1770" s="184">
        <v>490572.29599999997</v>
      </c>
      <c r="H1770" s="185">
        <v>0</v>
      </c>
      <c r="I1770" s="186">
        <v>1</v>
      </c>
      <c r="J1770" s="187">
        <v>490572.29599999997</v>
      </c>
      <c r="K1770" s="182" t="s">
        <v>4506</v>
      </c>
      <c r="L1770" s="182">
        <v>9</v>
      </c>
      <c r="M1770" s="182" t="s">
        <v>4529</v>
      </c>
      <c r="N1770" s="186">
        <v>1</v>
      </c>
      <c r="O1770" s="188">
        <v>490572.29599999997</v>
      </c>
      <c r="P1770" s="188">
        <v>1</v>
      </c>
      <c r="Q1770" s="188">
        <v>490572.29599999997</v>
      </c>
      <c r="R1770" s="189">
        <v>19.149999999999999</v>
      </c>
      <c r="S1770" s="189" t="s">
        <v>573</v>
      </c>
    </row>
    <row r="1771" spans="1:19" ht="14.25" customHeight="1" x14ac:dyDescent="0.3">
      <c r="A1771" s="182" t="s">
        <v>4530</v>
      </c>
      <c r="B1771" s="182" t="s">
        <v>937</v>
      </c>
      <c r="C1771" s="182" t="s">
        <v>909</v>
      </c>
      <c r="D1771" s="182" t="s">
        <v>4531</v>
      </c>
      <c r="E1771" s="183" t="s">
        <v>4532</v>
      </c>
      <c r="F1771" s="183" t="s">
        <v>941</v>
      </c>
      <c r="G1771" s="184">
        <v>1</v>
      </c>
      <c r="H1771" s="185">
        <v>0</v>
      </c>
      <c r="I1771" s="186">
        <v>15641236.6044</v>
      </c>
      <c r="J1771" s="187">
        <v>15641236.6044</v>
      </c>
      <c r="K1771" s="182" t="s">
        <v>4533</v>
      </c>
      <c r="L1771" s="182">
        <v>1</v>
      </c>
      <c r="M1771" s="182" t="s">
        <v>4534</v>
      </c>
      <c r="N1771" s="186">
        <v>1</v>
      </c>
      <c r="O1771" s="188">
        <v>1</v>
      </c>
      <c r="P1771" s="188">
        <v>1</v>
      </c>
      <c r="Q1771" s="188">
        <v>1</v>
      </c>
      <c r="R1771" s="189">
        <v>19.16</v>
      </c>
      <c r="S1771" s="189" t="s">
        <v>573</v>
      </c>
    </row>
    <row r="1772" spans="1:19" ht="14.25" customHeight="1" x14ac:dyDescent="0.3">
      <c r="A1772" s="182" t="s">
        <v>4530</v>
      </c>
      <c r="B1772" s="182" t="s">
        <v>908</v>
      </c>
      <c r="C1772" s="182" t="s">
        <v>909</v>
      </c>
      <c r="D1772" s="182" t="s">
        <v>4535</v>
      </c>
      <c r="E1772" s="183" t="s">
        <v>4536</v>
      </c>
      <c r="F1772" s="183" t="s">
        <v>600</v>
      </c>
      <c r="G1772" s="184">
        <v>8</v>
      </c>
      <c r="H1772" s="185">
        <v>0</v>
      </c>
      <c r="I1772" s="186">
        <v>18420.5</v>
      </c>
      <c r="J1772" s="187">
        <v>147364</v>
      </c>
      <c r="K1772" s="182" t="s">
        <v>4537</v>
      </c>
      <c r="L1772" s="182">
        <v>1</v>
      </c>
      <c r="M1772" s="182" t="s">
        <v>4538</v>
      </c>
      <c r="N1772" s="186">
        <v>1</v>
      </c>
      <c r="O1772" s="188">
        <v>8</v>
      </c>
      <c r="P1772" s="188">
        <v>1</v>
      </c>
      <c r="Q1772" s="188">
        <v>8</v>
      </c>
      <c r="R1772" s="189">
        <v>19.16</v>
      </c>
      <c r="S1772" s="189" t="s">
        <v>573</v>
      </c>
    </row>
    <row r="1773" spans="1:19" ht="14.25" customHeight="1" x14ac:dyDescent="0.3">
      <c r="A1773" s="182" t="s">
        <v>4530</v>
      </c>
      <c r="B1773" s="182" t="s">
        <v>908</v>
      </c>
      <c r="C1773" s="182" t="s">
        <v>909</v>
      </c>
      <c r="D1773" s="182" t="s">
        <v>4539</v>
      </c>
      <c r="E1773" s="183" t="s">
        <v>4540</v>
      </c>
      <c r="F1773" s="183" t="s">
        <v>600</v>
      </c>
      <c r="G1773" s="184">
        <v>8</v>
      </c>
      <c r="H1773" s="185">
        <v>0</v>
      </c>
      <c r="I1773" s="186">
        <v>40497.366000000002</v>
      </c>
      <c r="J1773" s="187">
        <v>323978.92800000001</v>
      </c>
      <c r="K1773" s="182" t="s">
        <v>4537</v>
      </c>
      <c r="L1773" s="182">
        <v>2</v>
      </c>
      <c r="M1773" s="182" t="s">
        <v>4541</v>
      </c>
      <c r="N1773" s="186">
        <v>1</v>
      </c>
      <c r="O1773" s="188">
        <v>8</v>
      </c>
      <c r="P1773" s="188">
        <v>1</v>
      </c>
      <c r="Q1773" s="188">
        <v>8</v>
      </c>
      <c r="R1773" s="189">
        <v>19.16</v>
      </c>
      <c r="S1773" s="189" t="s">
        <v>573</v>
      </c>
    </row>
    <row r="1774" spans="1:19" ht="14.25" customHeight="1" x14ac:dyDescent="0.3">
      <c r="A1774" s="182" t="s">
        <v>4530</v>
      </c>
      <c r="B1774" s="182" t="s">
        <v>908</v>
      </c>
      <c r="C1774" s="182" t="s">
        <v>909</v>
      </c>
      <c r="D1774" s="182" t="s">
        <v>4542</v>
      </c>
      <c r="E1774" s="183" t="s">
        <v>4543</v>
      </c>
      <c r="F1774" s="183" t="s">
        <v>600</v>
      </c>
      <c r="G1774" s="184">
        <v>26</v>
      </c>
      <c r="H1774" s="185">
        <v>0</v>
      </c>
      <c r="I1774" s="186">
        <v>2140.61</v>
      </c>
      <c r="J1774" s="187">
        <v>55655.86</v>
      </c>
      <c r="K1774" s="182" t="s">
        <v>4537</v>
      </c>
      <c r="L1774" s="182">
        <v>3</v>
      </c>
      <c r="M1774" s="182" t="s">
        <v>4544</v>
      </c>
      <c r="N1774" s="186">
        <v>1</v>
      </c>
      <c r="O1774" s="188">
        <v>26</v>
      </c>
      <c r="P1774" s="188">
        <v>1</v>
      </c>
      <c r="Q1774" s="188">
        <v>26</v>
      </c>
      <c r="R1774" s="189">
        <v>19.16</v>
      </c>
      <c r="S1774" s="189" t="s">
        <v>573</v>
      </c>
    </row>
    <row r="1775" spans="1:19" ht="14.25" customHeight="1" x14ac:dyDescent="0.3">
      <c r="A1775" s="182" t="s">
        <v>4530</v>
      </c>
      <c r="B1775" s="182" t="s">
        <v>908</v>
      </c>
      <c r="C1775" s="182" t="s">
        <v>909</v>
      </c>
      <c r="D1775" s="182" t="s">
        <v>4545</v>
      </c>
      <c r="E1775" s="183" t="s">
        <v>4546</v>
      </c>
      <c r="F1775" s="183" t="s">
        <v>600</v>
      </c>
      <c r="G1775" s="184">
        <v>126</v>
      </c>
      <c r="H1775" s="185">
        <v>0</v>
      </c>
      <c r="I1775" s="186">
        <v>3659.23</v>
      </c>
      <c r="J1775" s="187">
        <v>461062.98</v>
      </c>
      <c r="K1775" s="182" t="s">
        <v>4537</v>
      </c>
      <c r="L1775" s="182">
        <v>4</v>
      </c>
      <c r="M1775" s="182" t="s">
        <v>4547</v>
      </c>
      <c r="N1775" s="186">
        <v>1</v>
      </c>
      <c r="O1775" s="188">
        <v>126</v>
      </c>
      <c r="P1775" s="188">
        <v>1</v>
      </c>
      <c r="Q1775" s="188">
        <v>126</v>
      </c>
      <c r="R1775" s="189">
        <v>19.16</v>
      </c>
      <c r="S1775" s="189" t="s">
        <v>573</v>
      </c>
    </row>
    <row r="1776" spans="1:19" ht="14.25" customHeight="1" x14ac:dyDescent="0.3">
      <c r="A1776" s="182" t="s">
        <v>4530</v>
      </c>
      <c r="B1776" s="182" t="s">
        <v>908</v>
      </c>
      <c r="C1776" s="182" t="s">
        <v>909</v>
      </c>
      <c r="D1776" s="182" t="s">
        <v>4548</v>
      </c>
      <c r="E1776" s="183" t="s">
        <v>4549</v>
      </c>
      <c r="F1776" s="183" t="s">
        <v>600</v>
      </c>
      <c r="G1776" s="184">
        <v>5</v>
      </c>
      <c r="H1776" s="185">
        <v>0</v>
      </c>
      <c r="I1776" s="186">
        <v>1826.31</v>
      </c>
      <c r="J1776" s="187">
        <v>9131.5499999999993</v>
      </c>
      <c r="K1776" s="182" t="s">
        <v>4537</v>
      </c>
      <c r="L1776" s="182">
        <v>5</v>
      </c>
      <c r="M1776" s="182" t="s">
        <v>4550</v>
      </c>
      <c r="N1776" s="186">
        <v>1</v>
      </c>
      <c r="O1776" s="188">
        <v>5</v>
      </c>
      <c r="P1776" s="188">
        <v>1</v>
      </c>
      <c r="Q1776" s="188">
        <v>5</v>
      </c>
      <c r="R1776" s="189">
        <v>19.16</v>
      </c>
      <c r="S1776" s="189" t="s">
        <v>573</v>
      </c>
    </row>
    <row r="1777" spans="1:19" ht="14.25" customHeight="1" x14ac:dyDescent="0.3">
      <c r="A1777" s="182" t="s">
        <v>4530</v>
      </c>
      <c r="B1777" s="182" t="s">
        <v>908</v>
      </c>
      <c r="C1777" s="182" t="s">
        <v>909</v>
      </c>
      <c r="D1777" s="182" t="s">
        <v>4551</v>
      </c>
      <c r="E1777" s="183" t="s">
        <v>4552</v>
      </c>
      <c r="F1777" s="183" t="s">
        <v>600</v>
      </c>
      <c r="G1777" s="184">
        <v>5</v>
      </c>
      <c r="H1777" s="185">
        <v>0</v>
      </c>
      <c r="I1777" s="186">
        <v>1291.29</v>
      </c>
      <c r="J1777" s="187">
        <v>6456.45</v>
      </c>
      <c r="K1777" s="182" t="s">
        <v>4537</v>
      </c>
      <c r="L1777" s="182">
        <v>6</v>
      </c>
      <c r="M1777" s="182" t="s">
        <v>4553</v>
      </c>
      <c r="N1777" s="186">
        <v>1</v>
      </c>
      <c r="O1777" s="188">
        <v>5</v>
      </c>
      <c r="P1777" s="188">
        <v>1</v>
      </c>
      <c r="Q1777" s="188">
        <v>5</v>
      </c>
      <c r="R1777" s="189">
        <v>19.16</v>
      </c>
      <c r="S1777" s="189" t="s">
        <v>573</v>
      </c>
    </row>
    <row r="1778" spans="1:19" ht="14.25" customHeight="1" x14ac:dyDescent="0.3">
      <c r="A1778" s="182" t="s">
        <v>4530</v>
      </c>
      <c r="B1778" s="182" t="s">
        <v>908</v>
      </c>
      <c r="C1778" s="182" t="s">
        <v>909</v>
      </c>
      <c r="D1778" s="182" t="s">
        <v>4554</v>
      </c>
      <c r="E1778" s="183" t="s">
        <v>4555</v>
      </c>
      <c r="F1778" s="183" t="s">
        <v>600</v>
      </c>
      <c r="G1778" s="184">
        <v>3</v>
      </c>
      <c r="H1778" s="185">
        <v>0</v>
      </c>
      <c r="I1778" s="186">
        <v>4980.91</v>
      </c>
      <c r="J1778" s="187">
        <v>14942.73</v>
      </c>
      <c r="K1778" s="182" t="s">
        <v>4537</v>
      </c>
      <c r="L1778" s="182">
        <v>7</v>
      </c>
      <c r="M1778" s="182" t="s">
        <v>4556</v>
      </c>
      <c r="N1778" s="186">
        <v>1</v>
      </c>
      <c r="O1778" s="188">
        <v>3</v>
      </c>
      <c r="P1778" s="188">
        <v>1</v>
      </c>
      <c r="Q1778" s="188">
        <v>3</v>
      </c>
      <c r="R1778" s="189">
        <v>19.16</v>
      </c>
      <c r="S1778" s="189" t="s">
        <v>573</v>
      </c>
    </row>
    <row r="1779" spans="1:19" ht="14.25" customHeight="1" x14ac:dyDescent="0.3">
      <c r="A1779" s="182" t="s">
        <v>4530</v>
      </c>
      <c r="B1779" s="182" t="s">
        <v>908</v>
      </c>
      <c r="C1779" s="182" t="s">
        <v>909</v>
      </c>
      <c r="D1779" s="182" t="s">
        <v>4557</v>
      </c>
      <c r="E1779" s="183" t="s">
        <v>4558</v>
      </c>
      <c r="F1779" s="183" t="s">
        <v>600</v>
      </c>
      <c r="G1779" s="184">
        <v>3</v>
      </c>
      <c r="H1779" s="185">
        <v>0</v>
      </c>
      <c r="I1779" s="186">
        <v>5575.48</v>
      </c>
      <c r="J1779" s="187">
        <v>16726.439999999999</v>
      </c>
      <c r="K1779" s="182" t="s">
        <v>4537</v>
      </c>
      <c r="L1779" s="182">
        <v>8</v>
      </c>
      <c r="M1779" s="182" t="s">
        <v>4559</v>
      </c>
      <c r="N1779" s="186">
        <v>1</v>
      </c>
      <c r="O1779" s="188">
        <v>3</v>
      </c>
      <c r="P1779" s="188">
        <v>1</v>
      </c>
      <c r="Q1779" s="188">
        <v>3</v>
      </c>
      <c r="R1779" s="189">
        <v>19.16</v>
      </c>
      <c r="S1779" s="189" t="s">
        <v>573</v>
      </c>
    </row>
    <row r="1780" spans="1:19" ht="14.25" customHeight="1" x14ac:dyDescent="0.3">
      <c r="A1780" s="182" t="s">
        <v>4530</v>
      </c>
      <c r="B1780" s="182" t="s">
        <v>908</v>
      </c>
      <c r="C1780" s="182" t="s">
        <v>909</v>
      </c>
      <c r="D1780" s="182" t="s">
        <v>4560</v>
      </c>
      <c r="E1780" s="183" t="s">
        <v>4561</v>
      </c>
      <c r="F1780" s="183" t="s">
        <v>600</v>
      </c>
      <c r="G1780" s="184">
        <v>3</v>
      </c>
      <c r="H1780" s="185">
        <v>0</v>
      </c>
      <c r="I1780" s="186">
        <v>18516.939999999999</v>
      </c>
      <c r="J1780" s="187">
        <v>55550.82</v>
      </c>
      <c r="K1780" s="182" t="s">
        <v>4537</v>
      </c>
      <c r="L1780" s="182">
        <v>9</v>
      </c>
      <c r="M1780" s="182" t="s">
        <v>4562</v>
      </c>
      <c r="N1780" s="186">
        <v>1</v>
      </c>
      <c r="O1780" s="188">
        <v>3</v>
      </c>
      <c r="P1780" s="188">
        <v>1</v>
      </c>
      <c r="Q1780" s="188">
        <v>3</v>
      </c>
      <c r="R1780" s="189">
        <v>19.16</v>
      </c>
      <c r="S1780" s="189" t="s">
        <v>573</v>
      </c>
    </row>
    <row r="1781" spans="1:19" ht="14.25" customHeight="1" x14ac:dyDescent="0.3">
      <c r="A1781" s="182" t="s">
        <v>4530</v>
      </c>
      <c r="B1781" s="182" t="s">
        <v>908</v>
      </c>
      <c r="C1781" s="182" t="s">
        <v>909</v>
      </c>
      <c r="D1781" s="182" t="s">
        <v>4563</v>
      </c>
      <c r="E1781" s="183" t="s">
        <v>4564</v>
      </c>
      <c r="F1781" s="183" t="s">
        <v>600</v>
      </c>
      <c r="G1781" s="184">
        <v>71</v>
      </c>
      <c r="H1781" s="185">
        <v>0</v>
      </c>
      <c r="I1781" s="186">
        <v>36584.29</v>
      </c>
      <c r="J1781" s="187">
        <v>2597484.59</v>
      </c>
      <c r="K1781" s="182" t="s">
        <v>4537</v>
      </c>
      <c r="L1781" s="182">
        <v>10</v>
      </c>
      <c r="M1781" s="182" t="s">
        <v>4565</v>
      </c>
      <c r="N1781" s="186">
        <v>1</v>
      </c>
      <c r="O1781" s="188">
        <v>71</v>
      </c>
      <c r="P1781" s="188">
        <v>1</v>
      </c>
      <c r="Q1781" s="188">
        <v>71</v>
      </c>
      <c r="R1781" s="189">
        <v>19.16</v>
      </c>
      <c r="S1781" s="189" t="s">
        <v>573</v>
      </c>
    </row>
    <row r="1782" spans="1:19" ht="14.25" customHeight="1" x14ac:dyDescent="0.3">
      <c r="A1782" s="182" t="s">
        <v>4530</v>
      </c>
      <c r="B1782" s="182" t="s">
        <v>908</v>
      </c>
      <c r="C1782" s="182" t="s">
        <v>909</v>
      </c>
      <c r="D1782" s="182" t="s">
        <v>4566</v>
      </c>
      <c r="E1782" s="183" t="s">
        <v>4567</v>
      </c>
      <c r="F1782" s="183" t="s">
        <v>600</v>
      </c>
      <c r="G1782" s="184">
        <v>18</v>
      </c>
      <c r="H1782" s="185">
        <v>0</v>
      </c>
      <c r="I1782" s="186">
        <v>4181</v>
      </c>
      <c r="J1782" s="187">
        <v>75258</v>
      </c>
      <c r="K1782" s="182" t="s">
        <v>4537</v>
      </c>
      <c r="L1782" s="182">
        <v>11</v>
      </c>
      <c r="M1782" s="182" t="s">
        <v>4568</v>
      </c>
      <c r="N1782" s="186">
        <v>1</v>
      </c>
      <c r="O1782" s="188">
        <v>18</v>
      </c>
      <c r="P1782" s="188">
        <v>1</v>
      </c>
      <c r="Q1782" s="188">
        <v>18</v>
      </c>
      <c r="R1782" s="189">
        <v>19.16</v>
      </c>
      <c r="S1782" s="189" t="s">
        <v>573</v>
      </c>
    </row>
    <row r="1783" spans="1:19" ht="14.25" customHeight="1" x14ac:dyDescent="0.3">
      <c r="A1783" s="182" t="s">
        <v>4530</v>
      </c>
      <c r="B1783" s="182" t="s">
        <v>908</v>
      </c>
      <c r="C1783" s="182" t="s">
        <v>909</v>
      </c>
      <c r="D1783" s="182" t="s">
        <v>4569</v>
      </c>
      <c r="E1783" s="183" t="s">
        <v>4570</v>
      </c>
      <c r="F1783" s="183" t="s">
        <v>600</v>
      </c>
      <c r="G1783" s="184">
        <v>8</v>
      </c>
      <c r="H1783" s="185">
        <v>0</v>
      </c>
      <c r="I1783" s="186">
        <v>8559</v>
      </c>
      <c r="J1783" s="187">
        <v>68472</v>
      </c>
      <c r="K1783" s="182" t="s">
        <v>4537</v>
      </c>
      <c r="L1783" s="182">
        <v>12</v>
      </c>
      <c r="M1783" s="182" t="s">
        <v>4571</v>
      </c>
      <c r="N1783" s="186">
        <v>1</v>
      </c>
      <c r="O1783" s="188">
        <v>8</v>
      </c>
      <c r="P1783" s="188">
        <v>1</v>
      </c>
      <c r="Q1783" s="188">
        <v>8</v>
      </c>
      <c r="R1783" s="189">
        <v>19.16</v>
      </c>
      <c r="S1783" s="189" t="s">
        <v>573</v>
      </c>
    </row>
    <row r="1784" spans="1:19" ht="14.25" customHeight="1" x14ac:dyDescent="0.3">
      <c r="A1784" s="182" t="s">
        <v>4530</v>
      </c>
      <c r="B1784" s="182" t="s">
        <v>908</v>
      </c>
      <c r="C1784" s="182" t="s">
        <v>909</v>
      </c>
      <c r="D1784" s="182" t="s">
        <v>4572</v>
      </c>
      <c r="E1784" s="183" t="s">
        <v>4573</v>
      </c>
      <c r="F1784" s="183" t="s">
        <v>4465</v>
      </c>
      <c r="G1784" s="184">
        <v>1</v>
      </c>
      <c r="H1784" s="185">
        <v>0</v>
      </c>
      <c r="I1784" s="186">
        <v>79820.73</v>
      </c>
      <c r="J1784" s="187">
        <v>79820.73</v>
      </c>
      <c r="K1784" s="182" t="s">
        <v>4537</v>
      </c>
      <c r="L1784" s="182">
        <v>13</v>
      </c>
      <c r="M1784" s="182" t="s">
        <v>4574</v>
      </c>
      <c r="N1784" s="186">
        <v>1</v>
      </c>
      <c r="O1784" s="188">
        <v>1</v>
      </c>
      <c r="P1784" s="188">
        <v>1</v>
      </c>
      <c r="Q1784" s="188">
        <v>1</v>
      </c>
      <c r="R1784" s="189">
        <v>19.16</v>
      </c>
      <c r="S1784" s="189" t="s">
        <v>573</v>
      </c>
    </row>
    <row r="1785" spans="1:19" ht="14.25" customHeight="1" x14ac:dyDescent="0.3">
      <c r="A1785" s="182" t="s">
        <v>4530</v>
      </c>
      <c r="B1785" s="182" t="s">
        <v>908</v>
      </c>
      <c r="C1785" s="182" t="s">
        <v>909</v>
      </c>
      <c r="D1785" s="182" t="s">
        <v>4575</v>
      </c>
      <c r="E1785" s="183" t="s">
        <v>4576</v>
      </c>
      <c r="F1785" s="183" t="s">
        <v>600</v>
      </c>
      <c r="G1785" s="184">
        <v>4</v>
      </c>
      <c r="H1785" s="185">
        <v>0</v>
      </c>
      <c r="I1785" s="186">
        <v>5026.22</v>
      </c>
      <c r="J1785" s="187">
        <v>20104.88</v>
      </c>
      <c r="K1785" s="182" t="s">
        <v>4537</v>
      </c>
      <c r="L1785" s="182">
        <v>14</v>
      </c>
      <c r="M1785" s="182" t="s">
        <v>4577</v>
      </c>
      <c r="N1785" s="186">
        <v>1</v>
      </c>
      <c r="O1785" s="188">
        <v>4</v>
      </c>
      <c r="P1785" s="188">
        <v>1</v>
      </c>
      <c r="Q1785" s="188">
        <v>4</v>
      </c>
      <c r="R1785" s="189">
        <v>19.16</v>
      </c>
      <c r="S1785" s="189" t="s">
        <v>573</v>
      </c>
    </row>
    <row r="1786" spans="1:19" ht="14.25" customHeight="1" x14ac:dyDescent="0.3">
      <c r="A1786" s="182" t="s">
        <v>4530</v>
      </c>
      <c r="B1786" s="182" t="s">
        <v>908</v>
      </c>
      <c r="C1786" s="182" t="s">
        <v>909</v>
      </c>
      <c r="D1786" s="182" t="s">
        <v>4578</v>
      </c>
      <c r="E1786" s="183" t="s">
        <v>4579</v>
      </c>
      <c r="F1786" s="183" t="s">
        <v>600</v>
      </c>
      <c r="G1786" s="184">
        <v>16</v>
      </c>
      <c r="H1786" s="185">
        <v>0</v>
      </c>
      <c r="I1786" s="186">
        <v>3592.22</v>
      </c>
      <c r="J1786" s="187">
        <v>57475.519999999997</v>
      </c>
      <c r="K1786" s="182" t="s">
        <v>4537</v>
      </c>
      <c r="L1786" s="182">
        <v>15</v>
      </c>
      <c r="M1786" s="182" t="s">
        <v>4580</v>
      </c>
      <c r="N1786" s="186">
        <v>1</v>
      </c>
      <c r="O1786" s="188">
        <v>16</v>
      </c>
      <c r="P1786" s="188">
        <v>1</v>
      </c>
      <c r="Q1786" s="188">
        <v>16</v>
      </c>
      <c r="R1786" s="189">
        <v>19.16</v>
      </c>
      <c r="S1786" s="189" t="s">
        <v>573</v>
      </c>
    </row>
    <row r="1787" spans="1:19" ht="14.25" customHeight="1" x14ac:dyDescent="0.3">
      <c r="A1787" s="182" t="s">
        <v>4530</v>
      </c>
      <c r="B1787" s="182" t="s">
        <v>908</v>
      </c>
      <c r="C1787" s="182" t="s">
        <v>909</v>
      </c>
      <c r="D1787" s="182" t="s">
        <v>4581</v>
      </c>
      <c r="E1787" s="183" t="s">
        <v>4582</v>
      </c>
      <c r="F1787" s="183" t="s">
        <v>600</v>
      </c>
      <c r="G1787" s="184">
        <v>4</v>
      </c>
      <c r="H1787" s="185">
        <v>0</v>
      </c>
      <c r="I1787" s="186">
        <v>4009.17</v>
      </c>
      <c r="J1787" s="187">
        <v>16036.68</v>
      </c>
      <c r="K1787" s="182" t="s">
        <v>4537</v>
      </c>
      <c r="L1787" s="182">
        <v>16</v>
      </c>
      <c r="M1787" s="182" t="s">
        <v>4583</v>
      </c>
      <c r="N1787" s="186">
        <v>1</v>
      </c>
      <c r="O1787" s="188">
        <v>4</v>
      </c>
      <c r="P1787" s="188">
        <v>1</v>
      </c>
      <c r="Q1787" s="188">
        <v>4</v>
      </c>
      <c r="R1787" s="189">
        <v>19.16</v>
      </c>
      <c r="S1787" s="189" t="s">
        <v>573</v>
      </c>
    </row>
    <row r="1788" spans="1:19" ht="14.25" customHeight="1" x14ac:dyDescent="0.3">
      <c r="A1788" s="182" t="s">
        <v>4530</v>
      </c>
      <c r="B1788" s="182" t="s">
        <v>908</v>
      </c>
      <c r="C1788" s="182" t="s">
        <v>909</v>
      </c>
      <c r="D1788" s="182" t="s">
        <v>4584</v>
      </c>
      <c r="E1788" s="183" t="s">
        <v>4585</v>
      </c>
      <c r="F1788" s="183" t="s">
        <v>600</v>
      </c>
      <c r="G1788" s="184">
        <v>5</v>
      </c>
      <c r="H1788" s="185">
        <v>0</v>
      </c>
      <c r="I1788" s="186">
        <v>88241.07</v>
      </c>
      <c r="J1788" s="187">
        <v>441205.35</v>
      </c>
      <c r="K1788" s="182" t="s">
        <v>4537</v>
      </c>
      <c r="L1788" s="182">
        <v>17</v>
      </c>
      <c r="M1788" s="182" t="s">
        <v>4586</v>
      </c>
      <c r="N1788" s="186">
        <v>1</v>
      </c>
      <c r="O1788" s="188">
        <v>5</v>
      </c>
      <c r="P1788" s="188">
        <v>1</v>
      </c>
      <c r="Q1788" s="188">
        <v>5</v>
      </c>
      <c r="R1788" s="189">
        <v>19.16</v>
      </c>
      <c r="S1788" s="189" t="s">
        <v>573</v>
      </c>
    </row>
    <row r="1789" spans="1:19" ht="14.25" customHeight="1" x14ac:dyDescent="0.3">
      <c r="A1789" s="182" t="s">
        <v>4530</v>
      </c>
      <c r="B1789" s="182" t="s">
        <v>908</v>
      </c>
      <c r="C1789" s="182" t="s">
        <v>909</v>
      </c>
      <c r="D1789" s="182" t="s">
        <v>4587</v>
      </c>
      <c r="E1789" s="183" t="s">
        <v>4588</v>
      </c>
      <c r="F1789" s="183" t="s">
        <v>600</v>
      </c>
      <c r="G1789" s="184">
        <v>8</v>
      </c>
      <c r="H1789" s="185">
        <v>0</v>
      </c>
      <c r="I1789" s="186">
        <v>4114.5200000000004</v>
      </c>
      <c r="J1789" s="187">
        <v>32916.160000000003</v>
      </c>
      <c r="K1789" s="182" t="s">
        <v>4537</v>
      </c>
      <c r="L1789" s="182">
        <v>18</v>
      </c>
      <c r="M1789" s="182" t="s">
        <v>4589</v>
      </c>
      <c r="N1789" s="186">
        <v>1</v>
      </c>
      <c r="O1789" s="188">
        <v>8</v>
      </c>
      <c r="P1789" s="188">
        <v>1</v>
      </c>
      <c r="Q1789" s="188">
        <v>8</v>
      </c>
      <c r="R1789" s="189">
        <v>19.16</v>
      </c>
      <c r="S1789" s="189" t="s">
        <v>573</v>
      </c>
    </row>
    <row r="1790" spans="1:19" ht="14.25" customHeight="1" x14ac:dyDescent="0.3">
      <c r="A1790" s="182" t="s">
        <v>4530</v>
      </c>
      <c r="B1790" s="182" t="s">
        <v>908</v>
      </c>
      <c r="C1790" s="182" t="s">
        <v>909</v>
      </c>
      <c r="D1790" s="182" t="s">
        <v>4590</v>
      </c>
      <c r="E1790" s="183" t="s">
        <v>4591</v>
      </c>
      <c r="F1790" s="183" t="s">
        <v>600</v>
      </c>
      <c r="G1790" s="184">
        <v>2</v>
      </c>
      <c r="H1790" s="185">
        <v>0</v>
      </c>
      <c r="I1790" s="186">
        <v>130062.5</v>
      </c>
      <c r="J1790" s="187">
        <v>260125</v>
      </c>
      <c r="K1790" s="182" t="s">
        <v>4537</v>
      </c>
      <c r="L1790" s="182">
        <v>19</v>
      </c>
      <c r="M1790" s="182" t="s">
        <v>4592</v>
      </c>
      <c r="N1790" s="186">
        <v>1</v>
      </c>
      <c r="O1790" s="188">
        <v>2</v>
      </c>
      <c r="P1790" s="188">
        <v>1</v>
      </c>
      <c r="Q1790" s="188">
        <v>2</v>
      </c>
      <c r="R1790" s="189">
        <v>19.16</v>
      </c>
      <c r="S1790" s="189" t="s">
        <v>573</v>
      </c>
    </row>
    <row r="1791" spans="1:19" ht="14.25" customHeight="1" x14ac:dyDescent="0.3">
      <c r="A1791" s="182" t="s">
        <v>4530</v>
      </c>
      <c r="B1791" s="182" t="s">
        <v>908</v>
      </c>
      <c r="C1791" s="182" t="s">
        <v>909</v>
      </c>
      <c r="D1791" s="182" t="s">
        <v>976</v>
      </c>
      <c r="E1791" s="183" t="s">
        <v>977</v>
      </c>
      <c r="F1791" s="183" t="s">
        <v>576</v>
      </c>
      <c r="G1791" s="184">
        <v>473976.86700000003</v>
      </c>
      <c r="H1791" s="185">
        <v>0</v>
      </c>
      <c r="I1791" s="186">
        <v>1</v>
      </c>
      <c r="J1791" s="187">
        <v>473976.86700000003</v>
      </c>
      <c r="K1791" s="182" t="s">
        <v>4537</v>
      </c>
      <c r="L1791" s="182">
        <v>20</v>
      </c>
      <c r="M1791" s="182" t="s">
        <v>4593</v>
      </c>
      <c r="N1791" s="186">
        <v>1</v>
      </c>
      <c r="O1791" s="188">
        <v>473976.86700000003</v>
      </c>
      <c r="P1791" s="188">
        <v>1</v>
      </c>
      <c r="Q1791" s="188">
        <v>473976.86700000003</v>
      </c>
      <c r="R1791" s="189">
        <v>19.16</v>
      </c>
      <c r="S1791" s="189" t="s">
        <v>573</v>
      </c>
    </row>
    <row r="1792" spans="1:19" ht="14.25" customHeight="1" x14ac:dyDescent="0.3">
      <c r="A1792" s="182" t="s">
        <v>4594</v>
      </c>
      <c r="B1792" s="182" t="s">
        <v>908</v>
      </c>
      <c r="C1792" s="182" t="s">
        <v>909</v>
      </c>
      <c r="D1792" s="182" t="s">
        <v>4595</v>
      </c>
      <c r="E1792" s="183" t="s">
        <v>779</v>
      </c>
      <c r="F1792" s="183" t="s">
        <v>600</v>
      </c>
      <c r="G1792" s="184">
        <v>1</v>
      </c>
      <c r="H1792" s="185">
        <v>0</v>
      </c>
      <c r="I1792" s="186">
        <v>15000</v>
      </c>
      <c r="J1792" s="187">
        <v>15000</v>
      </c>
      <c r="K1792" s="182" t="s">
        <v>4596</v>
      </c>
      <c r="L1792" s="182">
        <v>1</v>
      </c>
      <c r="M1792" s="182" t="s">
        <v>4597</v>
      </c>
      <c r="N1792" s="186">
        <v>1</v>
      </c>
      <c r="O1792" s="188">
        <v>1</v>
      </c>
      <c r="P1792" s="188">
        <v>8</v>
      </c>
      <c r="Q1792" s="188">
        <v>8</v>
      </c>
      <c r="R1792" s="189">
        <v>19.170000000000002</v>
      </c>
      <c r="S1792" s="189" t="s">
        <v>573</v>
      </c>
    </row>
    <row r="1793" spans="1:19" ht="14.25" customHeight="1" x14ac:dyDescent="0.3">
      <c r="A1793" s="182" t="s">
        <v>4594</v>
      </c>
      <c r="B1793" s="182" t="s">
        <v>937</v>
      </c>
      <c r="C1793" s="182" t="s">
        <v>909</v>
      </c>
      <c r="D1793" s="182" t="s">
        <v>4598</v>
      </c>
      <c r="E1793" s="183" t="s">
        <v>4599</v>
      </c>
      <c r="F1793" s="183" t="s">
        <v>941</v>
      </c>
      <c r="G1793" s="184">
        <v>1</v>
      </c>
      <c r="H1793" s="185">
        <v>0</v>
      </c>
      <c r="I1793" s="186">
        <v>30000</v>
      </c>
      <c r="J1793" s="187">
        <v>30000</v>
      </c>
      <c r="K1793" s="182" t="s">
        <v>4600</v>
      </c>
      <c r="L1793" s="182">
        <v>1</v>
      </c>
      <c r="M1793" s="182" t="s">
        <v>4601</v>
      </c>
      <c r="N1793" s="186">
        <v>1</v>
      </c>
      <c r="O1793" s="188">
        <v>1</v>
      </c>
      <c r="P1793" s="188">
        <v>8</v>
      </c>
      <c r="Q1793" s="188">
        <v>8</v>
      </c>
      <c r="R1793" s="189">
        <v>19.170000000000002</v>
      </c>
      <c r="S1793" s="189" t="s">
        <v>573</v>
      </c>
    </row>
    <row r="1794" spans="1:19" ht="14.25" customHeight="1" x14ac:dyDescent="0.3">
      <c r="A1794" s="182" t="s">
        <v>4602</v>
      </c>
      <c r="B1794" s="182" t="s">
        <v>908</v>
      </c>
      <c r="C1794" s="182" t="s">
        <v>909</v>
      </c>
      <c r="D1794" s="182" t="s">
        <v>4603</v>
      </c>
      <c r="E1794" s="183" t="s">
        <v>780</v>
      </c>
      <c r="F1794" s="183" t="s">
        <v>576</v>
      </c>
      <c r="G1794" s="184">
        <v>1</v>
      </c>
      <c r="H1794" s="185">
        <v>0</v>
      </c>
      <c r="I1794" s="186">
        <v>1500</v>
      </c>
      <c r="J1794" s="187">
        <v>1500</v>
      </c>
      <c r="K1794" s="182" t="s">
        <v>4604</v>
      </c>
      <c r="L1794" s="182">
        <v>1</v>
      </c>
      <c r="M1794" s="182" t="s">
        <v>4605</v>
      </c>
      <c r="N1794" s="186">
        <v>1</v>
      </c>
      <c r="O1794" s="188">
        <v>1</v>
      </c>
      <c r="P1794" s="188">
        <v>8</v>
      </c>
      <c r="Q1794" s="188">
        <v>8</v>
      </c>
      <c r="R1794" s="189">
        <v>19.18</v>
      </c>
      <c r="S1794" s="189" t="s">
        <v>573</v>
      </c>
    </row>
    <row r="1795" spans="1:19" ht="14.25" customHeight="1" x14ac:dyDescent="0.3">
      <c r="A1795" s="182" t="s">
        <v>4602</v>
      </c>
      <c r="B1795" s="182" t="s">
        <v>937</v>
      </c>
      <c r="C1795" s="182" t="s">
        <v>909</v>
      </c>
      <c r="D1795" s="182" t="s">
        <v>4606</v>
      </c>
      <c r="E1795" s="183" t="s">
        <v>4607</v>
      </c>
      <c r="F1795" s="183" t="s">
        <v>941</v>
      </c>
      <c r="G1795" s="184">
        <v>1</v>
      </c>
      <c r="H1795" s="185">
        <v>0</v>
      </c>
      <c r="I1795" s="186">
        <v>19238.769926642999</v>
      </c>
      <c r="J1795" s="187">
        <v>19238.769926642999</v>
      </c>
      <c r="K1795" s="182" t="s">
        <v>4608</v>
      </c>
      <c r="L1795" s="182">
        <v>1</v>
      </c>
      <c r="M1795" s="182" t="s">
        <v>4609</v>
      </c>
      <c r="N1795" s="186">
        <v>1</v>
      </c>
      <c r="O1795" s="188">
        <v>1</v>
      </c>
      <c r="P1795" s="188">
        <v>8</v>
      </c>
      <c r="Q1795" s="188">
        <v>8</v>
      </c>
      <c r="R1795" s="189">
        <v>19.18</v>
      </c>
      <c r="S1795" s="189" t="s">
        <v>573</v>
      </c>
    </row>
    <row r="1796" spans="1:19" ht="14.25" customHeight="1" x14ac:dyDescent="0.3">
      <c r="A1796" s="182" t="s">
        <v>4610</v>
      </c>
      <c r="B1796" s="182" t="s">
        <v>937</v>
      </c>
      <c r="C1796" s="182" t="s">
        <v>909</v>
      </c>
      <c r="D1796" s="182" t="s">
        <v>4611</v>
      </c>
      <c r="E1796" s="183" t="s">
        <v>4612</v>
      </c>
      <c r="F1796" s="183" t="s">
        <v>941</v>
      </c>
      <c r="G1796" s="184">
        <v>1</v>
      </c>
      <c r="H1796" s="185">
        <v>0</v>
      </c>
      <c r="I1796" s="186">
        <v>3510000</v>
      </c>
      <c r="J1796" s="187">
        <v>3510000</v>
      </c>
      <c r="K1796" s="182" t="s">
        <v>4613</v>
      </c>
      <c r="L1796" s="182">
        <v>1</v>
      </c>
      <c r="M1796" s="182" t="s">
        <v>4614</v>
      </c>
      <c r="N1796" s="186">
        <v>1</v>
      </c>
      <c r="O1796" s="188">
        <v>1</v>
      </c>
      <c r="P1796" s="188">
        <v>1</v>
      </c>
      <c r="Q1796" s="188">
        <v>1</v>
      </c>
      <c r="R1796" s="189">
        <v>19.190000000000001</v>
      </c>
      <c r="S1796" s="189" t="s">
        <v>573</v>
      </c>
    </row>
    <row r="1797" spans="1:19" ht="14.25" customHeight="1" x14ac:dyDescent="0.3">
      <c r="A1797" s="182" t="s">
        <v>4615</v>
      </c>
      <c r="B1797" s="182" t="s">
        <v>937</v>
      </c>
      <c r="C1797" s="182" t="s">
        <v>909</v>
      </c>
      <c r="D1797" s="182" t="s">
        <v>4616</v>
      </c>
      <c r="E1797" s="183" t="s">
        <v>4617</v>
      </c>
      <c r="F1797" s="183" t="s">
        <v>941</v>
      </c>
      <c r="G1797" s="184">
        <v>1</v>
      </c>
      <c r="H1797" s="185">
        <v>0</v>
      </c>
      <c r="I1797" s="186">
        <v>68810</v>
      </c>
      <c r="J1797" s="187">
        <v>68810</v>
      </c>
      <c r="K1797" s="182" t="s">
        <v>4618</v>
      </c>
      <c r="L1797" s="182">
        <v>1</v>
      </c>
      <c r="M1797" s="182" t="s">
        <v>4619</v>
      </c>
      <c r="N1797" s="186">
        <v>1</v>
      </c>
      <c r="O1797" s="188">
        <v>1</v>
      </c>
      <c r="P1797" s="188">
        <v>8</v>
      </c>
      <c r="Q1797" s="188">
        <v>8</v>
      </c>
      <c r="R1797" s="189">
        <v>22.01</v>
      </c>
      <c r="S1797" s="189" t="s">
        <v>573</v>
      </c>
    </row>
    <row r="1798" spans="1:19" ht="14.25" customHeight="1" x14ac:dyDescent="0.3">
      <c r="A1798" s="182" t="s">
        <v>4620</v>
      </c>
      <c r="B1798" s="182" t="s">
        <v>937</v>
      </c>
      <c r="C1798" s="182" t="s">
        <v>909</v>
      </c>
      <c r="D1798" s="182" t="s">
        <v>4621</v>
      </c>
      <c r="E1798" s="183" t="s">
        <v>4622</v>
      </c>
      <c r="F1798" s="183" t="s">
        <v>941</v>
      </c>
      <c r="G1798" s="184">
        <v>1</v>
      </c>
      <c r="H1798" s="185">
        <v>0</v>
      </c>
      <c r="I1798" s="186">
        <v>68810</v>
      </c>
      <c r="J1798" s="187">
        <v>68810</v>
      </c>
      <c r="K1798" s="182" t="s">
        <v>4623</v>
      </c>
      <c r="L1798" s="182">
        <v>1</v>
      </c>
      <c r="M1798" s="182" t="s">
        <v>4624</v>
      </c>
      <c r="N1798" s="186">
        <v>1</v>
      </c>
      <c r="O1798" s="188">
        <v>1</v>
      </c>
      <c r="P1798" s="188">
        <v>24</v>
      </c>
      <c r="Q1798" s="188">
        <v>24</v>
      </c>
      <c r="R1798" s="189">
        <v>22.02</v>
      </c>
      <c r="S1798" s="189" t="s">
        <v>573</v>
      </c>
    </row>
    <row r="1799" spans="1:19" ht="14.25" customHeight="1" x14ac:dyDescent="0.3">
      <c r="A1799" s="182" t="s">
        <v>4625</v>
      </c>
      <c r="B1799" s="182" t="s">
        <v>563</v>
      </c>
      <c r="C1799" s="182"/>
      <c r="D1799" s="182" t="s">
        <v>4626</v>
      </c>
      <c r="E1799" s="183" t="s">
        <v>4627</v>
      </c>
      <c r="F1799" s="183"/>
      <c r="G1799" s="184">
        <v>1</v>
      </c>
      <c r="H1799" s="185">
        <v>0</v>
      </c>
      <c r="I1799" s="186">
        <v>2872.6870049034101</v>
      </c>
      <c r="J1799" s="187">
        <v>2872.6870049034101</v>
      </c>
      <c r="K1799" s="182" t="s">
        <v>4628</v>
      </c>
      <c r="L1799" s="182">
        <v>1</v>
      </c>
      <c r="M1799" s="182" t="s">
        <v>4629</v>
      </c>
      <c r="N1799" s="186">
        <v>1</v>
      </c>
      <c r="O1799" s="188">
        <v>1</v>
      </c>
      <c r="P1799" s="188">
        <v>6</v>
      </c>
      <c r="Q1799" s="188">
        <v>6</v>
      </c>
      <c r="R1799" s="189">
        <v>23.01</v>
      </c>
      <c r="S1799" s="189" t="s">
        <v>985</v>
      </c>
    </row>
    <row r="1800" spans="1:19" ht="14.25" customHeight="1" x14ac:dyDescent="0.3">
      <c r="A1800" s="182" t="s">
        <v>4625</v>
      </c>
      <c r="B1800" s="182" t="s">
        <v>908</v>
      </c>
      <c r="C1800" s="182" t="s">
        <v>1358</v>
      </c>
      <c r="D1800" s="182" t="s">
        <v>4630</v>
      </c>
      <c r="E1800" s="183" t="s">
        <v>4631</v>
      </c>
      <c r="F1800" s="183" t="s">
        <v>576</v>
      </c>
      <c r="G1800" s="184">
        <v>0.16666666666666699</v>
      </c>
      <c r="H1800" s="185">
        <v>0</v>
      </c>
      <c r="I1800" s="186">
        <v>100000</v>
      </c>
      <c r="J1800" s="187">
        <v>16666.666666666701</v>
      </c>
      <c r="K1800" s="182" t="s">
        <v>4632</v>
      </c>
      <c r="L1800" s="182">
        <v>1</v>
      </c>
      <c r="M1800" s="182" t="s">
        <v>4633</v>
      </c>
      <c r="N1800" s="186">
        <v>1</v>
      </c>
      <c r="O1800" s="188">
        <v>0.16666666666666699</v>
      </c>
      <c r="P1800" s="188">
        <v>6</v>
      </c>
      <c r="Q1800" s="188">
        <v>1</v>
      </c>
      <c r="R1800" s="189">
        <v>23.01</v>
      </c>
      <c r="S1800" s="189" t="s">
        <v>985</v>
      </c>
    </row>
    <row r="1801" spans="1:19" ht="14.25" customHeight="1" x14ac:dyDescent="0.3">
      <c r="A1801" s="182" t="s">
        <v>4625</v>
      </c>
      <c r="B1801" s="182" t="s">
        <v>908</v>
      </c>
      <c r="C1801" s="182" t="s">
        <v>1358</v>
      </c>
      <c r="D1801" s="182" t="s">
        <v>4634</v>
      </c>
      <c r="E1801" s="183" t="s">
        <v>4635</v>
      </c>
      <c r="F1801" s="183" t="s">
        <v>576</v>
      </c>
      <c r="G1801" s="184">
        <v>0.16666666666666699</v>
      </c>
      <c r="H1801" s="185">
        <v>0</v>
      </c>
      <c r="I1801" s="186">
        <v>50000</v>
      </c>
      <c r="J1801" s="187">
        <v>8333.3333333333503</v>
      </c>
      <c r="K1801" s="182" t="s">
        <v>4632</v>
      </c>
      <c r="L1801" s="182">
        <v>2</v>
      </c>
      <c r="M1801" s="182" t="s">
        <v>4636</v>
      </c>
      <c r="N1801" s="186">
        <v>1</v>
      </c>
      <c r="O1801" s="188">
        <v>0.16666666666666699</v>
      </c>
      <c r="P1801" s="188">
        <v>6</v>
      </c>
      <c r="Q1801" s="188">
        <v>1</v>
      </c>
      <c r="R1801" s="189">
        <v>23.01</v>
      </c>
      <c r="S1801" s="189" t="s">
        <v>985</v>
      </c>
    </row>
    <row r="1802" spans="1:19" ht="14.25" customHeight="1" x14ac:dyDescent="0.3">
      <c r="A1802" s="182" t="s">
        <v>4625</v>
      </c>
      <c r="B1802" s="182" t="s">
        <v>908</v>
      </c>
      <c r="C1802" s="182" t="s">
        <v>909</v>
      </c>
      <c r="D1802" s="182" t="s">
        <v>976</v>
      </c>
      <c r="E1802" s="183" t="s">
        <v>977</v>
      </c>
      <c r="F1802" s="183" t="s">
        <v>576</v>
      </c>
      <c r="G1802" s="184">
        <v>4166.6666666700003</v>
      </c>
      <c r="H1802" s="185">
        <v>0</v>
      </c>
      <c r="I1802" s="186">
        <v>1</v>
      </c>
      <c r="J1802" s="187">
        <v>4166.6666666700003</v>
      </c>
      <c r="K1802" s="182" t="s">
        <v>4632</v>
      </c>
      <c r="L1802" s="182">
        <v>3</v>
      </c>
      <c r="M1802" s="182" t="s">
        <v>4637</v>
      </c>
      <c r="N1802" s="186">
        <v>1</v>
      </c>
      <c r="O1802" s="188">
        <v>4166.6666666700003</v>
      </c>
      <c r="P1802" s="188">
        <v>6</v>
      </c>
      <c r="Q1802" s="188">
        <v>25000.000000020002</v>
      </c>
      <c r="R1802" s="189">
        <v>23.01</v>
      </c>
      <c r="S1802" s="189" t="s">
        <v>985</v>
      </c>
    </row>
    <row r="1803" spans="1:19" ht="14.25" customHeight="1" x14ac:dyDescent="0.3">
      <c r="A1803" s="182" t="s">
        <v>4625</v>
      </c>
      <c r="B1803" s="182" t="s">
        <v>908</v>
      </c>
      <c r="C1803" s="182" t="s">
        <v>909</v>
      </c>
      <c r="D1803" s="182" t="s">
        <v>2730</v>
      </c>
      <c r="E1803" s="183" t="s">
        <v>2731</v>
      </c>
      <c r="F1803" s="183" t="s">
        <v>590</v>
      </c>
      <c r="G1803" s="184">
        <v>0.1125</v>
      </c>
      <c r="H1803" s="185">
        <v>0</v>
      </c>
      <c r="I1803" s="186">
        <v>125000</v>
      </c>
      <c r="J1803" s="187">
        <v>14062.5</v>
      </c>
      <c r="K1803" s="182" t="s">
        <v>4632</v>
      </c>
      <c r="L1803" s="182">
        <v>4</v>
      </c>
      <c r="M1803" s="182" t="s">
        <v>4638</v>
      </c>
      <c r="N1803" s="186">
        <v>1</v>
      </c>
      <c r="O1803" s="188">
        <v>0.1125</v>
      </c>
      <c r="P1803" s="188">
        <v>6</v>
      </c>
      <c r="Q1803" s="188">
        <v>0.67500000000000004</v>
      </c>
      <c r="R1803" s="189">
        <v>23.01</v>
      </c>
      <c r="S1803" s="189" t="s">
        <v>985</v>
      </c>
    </row>
    <row r="1804" spans="1:19" ht="14.25" customHeight="1" x14ac:dyDescent="0.3">
      <c r="A1804" s="182" t="s">
        <v>4625</v>
      </c>
      <c r="B1804" s="182" t="s">
        <v>908</v>
      </c>
      <c r="C1804" s="182" t="s">
        <v>909</v>
      </c>
      <c r="D1804" s="182" t="s">
        <v>3022</v>
      </c>
      <c r="E1804" s="183" t="s">
        <v>3023</v>
      </c>
      <c r="F1804" s="183" t="s">
        <v>652</v>
      </c>
      <c r="G1804" s="184">
        <v>7.8125E-2</v>
      </c>
      <c r="H1804" s="185">
        <v>0</v>
      </c>
      <c r="I1804" s="186">
        <v>69985.789999999994</v>
      </c>
      <c r="J1804" s="187">
        <v>5467.6398437500002</v>
      </c>
      <c r="K1804" s="182" t="s">
        <v>4632</v>
      </c>
      <c r="L1804" s="182">
        <v>5</v>
      </c>
      <c r="M1804" s="182" t="s">
        <v>4639</v>
      </c>
      <c r="N1804" s="186">
        <v>1</v>
      </c>
      <c r="O1804" s="188">
        <v>7.8125E-2</v>
      </c>
      <c r="P1804" s="188">
        <v>6</v>
      </c>
      <c r="Q1804" s="188">
        <v>0.46875</v>
      </c>
      <c r="R1804" s="189">
        <v>23.01</v>
      </c>
      <c r="S1804" s="189" t="s">
        <v>985</v>
      </c>
    </row>
    <row r="1805" spans="1:19" ht="14.25" customHeight="1" x14ac:dyDescent="0.3">
      <c r="A1805" s="182" t="s">
        <v>4625</v>
      </c>
      <c r="B1805" s="182" t="s">
        <v>908</v>
      </c>
      <c r="C1805" s="182" t="s">
        <v>909</v>
      </c>
      <c r="D1805" s="182" t="s">
        <v>4640</v>
      </c>
      <c r="E1805" s="183" t="s">
        <v>4641</v>
      </c>
      <c r="F1805" s="183" t="s">
        <v>576</v>
      </c>
      <c r="G1805" s="184">
        <v>0.16666666666666699</v>
      </c>
      <c r="H1805" s="185">
        <v>0</v>
      </c>
      <c r="I1805" s="186">
        <v>30000</v>
      </c>
      <c r="J1805" s="187">
        <v>5000.00000000001</v>
      </c>
      <c r="K1805" s="182" t="s">
        <v>4632</v>
      </c>
      <c r="L1805" s="182">
        <v>6</v>
      </c>
      <c r="M1805" s="182" t="s">
        <v>4642</v>
      </c>
      <c r="N1805" s="186">
        <v>1</v>
      </c>
      <c r="O1805" s="188">
        <v>0.16666666666666699</v>
      </c>
      <c r="P1805" s="188">
        <v>6</v>
      </c>
      <c r="Q1805" s="188">
        <v>1</v>
      </c>
      <c r="R1805" s="189">
        <v>23.01</v>
      </c>
      <c r="S1805" s="189" t="s">
        <v>985</v>
      </c>
    </row>
    <row r="1806" spans="1:19" ht="14.25" customHeight="1" x14ac:dyDescent="0.3">
      <c r="A1806" s="182" t="s">
        <v>4625</v>
      </c>
      <c r="B1806" s="182" t="s">
        <v>937</v>
      </c>
      <c r="C1806" s="182" t="s">
        <v>938</v>
      </c>
      <c r="D1806" s="182" t="s">
        <v>939</v>
      </c>
      <c r="E1806" s="183" t="s">
        <v>940</v>
      </c>
      <c r="F1806" s="183" t="s">
        <v>941</v>
      </c>
      <c r="G1806" s="184">
        <v>1</v>
      </c>
      <c r="H1806" s="185">
        <v>0</v>
      </c>
      <c r="I1806" s="186">
        <v>60860.580776572002</v>
      </c>
      <c r="J1806" s="187">
        <v>60860.580776572002</v>
      </c>
      <c r="K1806" s="182" t="s">
        <v>4643</v>
      </c>
      <c r="L1806" s="182">
        <v>1</v>
      </c>
      <c r="M1806" s="182" t="s">
        <v>4644</v>
      </c>
      <c r="N1806" s="186">
        <v>1</v>
      </c>
      <c r="O1806" s="188">
        <v>1</v>
      </c>
      <c r="P1806" s="188">
        <v>6</v>
      </c>
      <c r="Q1806" s="188">
        <v>6</v>
      </c>
      <c r="R1806" s="189">
        <v>23.01</v>
      </c>
      <c r="S1806" s="189" t="s">
        <v>985</v>
      </c>
    </row>
    <row r="1807" spans="1:19" ht="14.25" customHeight="1" x14ac:dyDescent="0.3">
      <c r="A1807" s="182" t="s">
        <v>4625</v>
      </c>
      <c r="B1807" s="182" t="s">
        <v>937</v>
      </c>
      <c r="C1807" s="182" t="s">
        <v>938</v>
      </c>
      <c r="D1807" s="190" t="s">
        <v>1375</v>
      </c>
      <c r="E1807" s="183" t="s">
        <v>1376</v>
      </c>
      <c r="F1807" s="183" t="s">
        <v>941</v>
      </c>
      <c r="G1807" s="184">
        <v>1</v>
      </c>
      <c r="H1807" s="185">
        <v>0</v>
      </c>
      <c r="I1807" s="186">
        <v>76955.079706571996</v>
      </c>
      <c r="J1807" s="187">
        <v>76955.079706571996</v>
      </c>
      <c r="K1807" s="182" t="s">
        <v>4643</v>
      </c>
      <c r="L1807" s="182">
        <v>2</v>
      </c>
      <c r="M1807" s="182" t="s">
        <v>4645</v>
      </c>
      <c r="N1807" s="186">
        <v>1</v>
      </c>
      <c r="O1807" s="188">
        <v>1</v>
      </c>
      <c r="P1807" s="188">
        <v>6</v>
      </c>
      <c r="Q1807" s="188">
        <v>6</v>
      </c>
      <c r="R1807" s="189">
        <v>23.01</v>
      </c>
      <c r="S1807" s="189" t="s">
        <v>985</v>
      </c>
    </row>
    <row r="1808" spans="1:19" ht="14.25" customHeight="1" x14ac:dyDescent="0.3">
      <c r="A1808" s="182" t="s">
        <v>4646</v>
      </c>
      <c r="B1808" s="182" t="s">
        <v>563</v>
      </c>
      <c r="C1808" s="182"/>
      <c r="D1808" s="182" t="s">
        <v>4647</v>
      </c>
      <c r="E1808" s="183" t="s">
        <v>4648</v>
      </c>
      <c r="F1808" s="183"/>
      <c r="G1808" s="184">
        <v>1</v>
      </c>
      <c r="H1808" s="185">
        <v>0</v>
      </c>
      <c r="I1808" s="186">
        <v>8803.9027571143397</v>
      </c>
      <c r="J1808" s="187">
        <v>8803.9027571143397</v>
      </c>
      <c r="K1808" s="182" t="s">
        <v>4649</v>
      </c>
      <c r="L1808" s="182">
        <v>1</v>
      </c>
      <c r="M1808" s="182" t="s">
        <v>4650</v>
      </c>
      <c r="N1808" s="186">
        <v>1</v>
      </c>
      <c r="O1808" s="188">
        <v>1</v>
      </c>
      <c r="P1808" s="188">
        <v>1</v>
      </c>
      <c r="Q1808" s="188">
        <v>1</v>
      </c>
      <c r="R1808" s="189">
        <v>23.02</v>
      </c>
      <c r="S1808" s="189" t="s">
        <v>985</v>
      </c>
    </row>
    <row r="1809" spans="1:19" ht="14.25" customHeight="1" x14ac:dyDescent="0.3">
      <c r="A1809" s="182" t="s">
        <v>4646</v>
      </c>
      <c r="B1809" s="182" t="s">
        <v>908</v>
      </c>
      <c r="C1809" s="182" t="s">
        <v>1358</v>
      </c>
      <c r="D1809" s="182" t="s">
        <v>4651</v>
      </c>
      <c r="E1809" s="183" t="s">
        <v>2976</v>
      </c>
      <c r="F1809" s="183" t="s">
        <v>2284</v>
      </c>
      <c r="G1809" s="184">
        <v>5</v>
      </c>
      <c r="H1809" s="185">
        <v>0</v>
      </c>
      <c r="I1809" s="186">
        <v>10000</v>
      </c>
      <c r="J1809" s="187">
        <v>50000</v>
      </c>
      <c r="K1809" s="182" t="s">
        <v>4652</v>
      </c>
      <c r="L1809" s="182">
        <v>1</v>
      </c>
      <c r="M1809" s="182" t="s">
        <v>4653</v>
      </c>
      <c r="N1809" s="186">
        <v>1</v>
      </c>
      <c r="O1809" s="188">
        <v>5</v>
      </c>
      <c r="P1809" s="188">
        <v>1</v>
      </c>
      <c r="Q1809" s="188">
        <v>5</v>
      </c>
      <c r="R1809" s="189">
        <v>23.02</v>
      </c>
      <c r="S1809" s="189" t="s">
        <v>985</v>
      </c>
    </row>
    <row r="1810" spans="1:19" ht="14.25" customHeight="1" x14ac:dyDescent="0.3">
      <c r="A1810" s="182" t="s">
        <v>4646</v>
      </c>
      <c r="B1810" s="182" t="s">
        <v>937</v>
      </c>
      <c r="C1810" s="182" t="s">
        <v>938</v>
      </c>
      <c r="D1810" s="182" t="s">
        <v>939</v>
      </c>
      <c r="E1810" s="183" t="s">
        <v>940</v>
      </c>
      <c r="F1810" s="183" t="s">
        <v>941</v>
      </c>
      <c r="G1810" s="184">
        <v>2.5</v>
      </c>
      <c r="H1810" s="185">
        <v>0</v>
      </c>
      <c r="I1810" s="186">
        <v>60860.580776572002</v>
      </c>
      <c r="J1810" s="187">
        <v>152151.45194142999</v>
      </c>
      <c r="K1810" s="182" t="s">
        <v>4654</v>
      </c>
      <c r="L1810" s="182">
        <v>1</v>
      </c>
      <c r="M1810" s="182" t="s">
        <v>4655</v>
      </c>
      <c r="N1810" s="186">
        <v>1</v>
      </c>
      <c r="O1810" s="188">
        <v>2.5</v>
      </c>
      <c r="P1810" s="188">
        <v>1</v>
      </c>
      <c r="Q1810" s="188">
        <v>2.5</v>
      </c>
      <c r="R1810" s="189">
        <v>23.02</v>
      </c>
      <c r="S1810" s="189" t="s">
        <v>985</v>
      </c>
    </row>
    <row r="1811" spans="1:19" ht="14.25" customHeight="1" x14ac:dyDescent="0.3">
      <c r="A1811" s="182" t="s">
        <v>4646</v>
      </c>
      <c r="B1811" s="182" t="s">
        <v>937</v>
      </c>
      <c r="C1811" s="182" t="s">
        <v>938</v>
      </c>
      <c r="D1811" s="190" t="s">
        <v>1375</v>
      </c>
      <c r="E1811" s="183" t="s">
        <v>1376</v>
      </c>
      <c r="F1811" s="183" t="s">
        <v>941</v>
      </c>
      <c r="G1811" s="184">
        <v>5</v>
      </c>
      <c r="H1811" s="185">
        <v>0</v>
      </c>
      <c r="I1811" s="186">
        <v>76955.079706571996</v>
      </c>
      <c r="J1811" s="187">
        <v>384775.39853285998</v>
      </c>
      <c r="K1811" s="182" t="s">
        <v>4654</v>
      </c>
      <c r="L1811" s="182">
        <v>2</v>
      </c>
      <c r="M1811" s="182" t="s">
        <v>4656</v>
      </c>
      <c r="N1811" s="186">
        <v>1</v>
      </c>
      <c r="O1811" s="188">
        <v>5</v>
      </c>
      <c r="P1811" s="188">
        <v>1</v>
      </c>
      <c r="Q1811" s="188">
        <v>5</v>
      </c>
      <c r="R1811" s="189">
        <v>23.02</v>
      </c>
      <c r="S1811" s="189" t="s">
        <v>985</v>
      </c>
    </row>
    <row r="1812" spans="1:19" ht="14.25" customHeight="1" x14ac:dyDescent="0.3">
      <c r="A1812" s="182" t="s">
        <v>4657</v>
      </c>
      <c r="B1812" s="182" t="s">
        <v>563</v>
      </c>
      <c r="C1812" s="182"/>
      <c r="D1812" s="182" t="s">
        <v>4658</v>
      </c>
      <c r="E1812" s="183" t="s">
        <v>4659</v>
      </c>
      <c r="F1812" s="183"/>
      <c r="G1812" s="184">
        <v>1</v>
      </c>
      <c r="H1812" s="185">
        <v>0</v>
      </c>
      <c r="I1812" s="186">
        <v>300.22927085357298</v>
      </c>
      <c r="J1812" s="187">
        <v>300.22927085357298</v>
      </c>
      <c r="K1812" s="182" t="s">
        <v>4660</v>
      </c>
      <c r="L1812" s="182">
        <v>1</v>
      </c>
      <c r="M1812" s="182" t="s">
        <v>4661</v>
      </c>
      <c r="N1812" s="186">
        <v>1</v>
      </c>
      <c r="O1812" s="188">
        <v>1</v>
      </c>
      <c r="P1812" s="188">
        <v>26</v>
      </c>
      <c r="Q1812" s="188">
        <v>26</v>
      </c>
      <c r="R1812" s="189">
        <v>23.03</v>
      </c>
      <c r="S1812" s="189" t="s">
        <v>985</v>
      </c>
    </row>
    <row r="1813" spans="1:19" ht="14.25" customHeight="1" x14ac:dyDescent="0.3">
      <c r="A1813" s="182" t="s">
        <v>4657</v>
      </c>
      <c r="B1813" s="182" t="s">
        <v>908</v>
      </c>
      <c r="C1813" s="182" t="s">
        <v>909</v>
      </c>
      <c r="D1813" s="182" t="s">
        <v>976</v>
      </c>
      <c r="E1813" s="183" t="s">
        <v>977</v>
      </c>
      <c r="F1813" s="183" t="s">
        <v>576</v>
      </c>
      <c r="G1813" s="184">
        <v>3846.1538461499999</v>
      </c>
      <c r="H1813" s="185">
        <v>0</v>
      </c>
      <c r="I1813" s="186">
        <v>1</v>
      </c>
      <c r="J1813" s="187">
        <v>3846.1538461499999</v>
      </c>
      <c r="K1813" s="182" t="s">
        <v>4662</v>
      </c>
      <c r="L1813" s="182">
        <v>1</v>
      </c>
      <c r="M1813" s="182" t="s">
        <v>4663</v>
      </c>
      <c r="N1813" s="186">
        <v>1</v>
      </c>
      <c r="O1813" s="188">
        <v>3846.1538461499999</v>
      </c>
      <c r="P1813" s="188">
        <v>26</v>
      </c>
      <c r="Q1813" s="188">
        <v>99999.999999899999</v>
      </c>
      <c r="R1813" s="189">
        <v>23.03</v>
      </c>
      <c r="S1813" s="189" t="s">
        <v>985</v>
      </c>
    </row>
    <row r="1814" spans="1:19" ht="14.25" customHeight="1" x14ac:dyDescent="0.3">
      <c r="A1814" s="182" t="s">
        <v>4657</v>
      </c>
      <c r="B1814" s="182" t="s">
        <v>908</v>
      </c>
      <c r="C1814" s="182" t="s">
        <v>909</v>
      </c>
      <c r="D1814" s="182" t="s">
        <v>2803</v>
      </c>
      <c r="E1814" s="183" t="s">
        <v>2804</v>
      </c>
      <c r="F1814" s="183" t="s">
        <v>600</v>
      </c>
      <c r="G1814" s="184">
        <v>3.8461538461538498E-2</v>
      </c>
      <c r="H1814" s="185">
        <v>0</v>
      </c>
      <c r="I1814" s="186">
        <v>100000</v>
      </c>
      <c r="J1814" s="187">
        <v>3846.1538461538498</v>
      </c>
      <c r="K1814" s="182" t="s">
        <v>4662</v>
      </c>
      <c r="L1814" s="182">
        <v>2</v>
      </c>
      <c r="M1814" s="182" t="s">
        <v>4664</v>
      </c>
      <c r="N1814" s="186">
        <v>1</v>
      </c>
      <c r="O1814" s="188">
        <v>3.8461538461538498E-2</v>
      </c>
      <c r="P1814" s="188">
        <v>26</v>
      </c>
      <c r="Q1814" s="188">
        <v>1</v>
      </c>
      <c r="R1814" s="189">
        <v>23.03</v>
      </c>
      <c r="S1814" s="189" t="s">
        <v>985</v>
      </c>
    </row>
    <row r="1815" spans="1:19" ht="14.25" customHeight="1" x14ac:dyDescent="0.3">
      <c r="A1815" s="182" t="s">
        <v>4657</v>
      </c>
      <c r="B1815" s="182" t="s">
        <v>937</v>
      </c>
      <c r="C1815" s="182" t="s">
        <v>938</v>
      </c>
      <c r="D1815" s="182" t="s">
        <v>939</v>
      </c>
      <c r="E1815" s="183" t="s">
        <v>940</v>
      </c>
      <c r="F1815" s="183" t="s">
        <v>941</v>
      </c>
      <c r="G1815" s="184">
        <v>0.15384615384615399</v>
      </c>
      <c r="H1815" s="185">
        <v>0</v>
      </c>
      <c r="I1815" s="186">
        <v>60860.580776572002</v>
      </c>
      <c r="J1815" s="187">
        <v>9363.1662733187804</v>
      </c>
      <c r="K1815" s="182" t="s">
        <v>4665</v>
      </c>
      <c r="L1815" s="182">
        <v>1</v>
      </c>
      <c r="M1815" s="182" t="s">
        <v>4666</v>
      </c>
      <c r="N1815" s="186">
        <v>1</v>
      </c>
      <c r="O1815" s="188">
        <v>0.15384615384615399</v>
      </c>
      <c r="P1815" s="188">
        <v>26</v>
      </c>
      <c r="Q1815" s="188">
        <v>4</v>
      </c>
      <c r="R1815" s="189">
        <v>23.03</v>
      </c>
      <c r="S1815" s="189" t="s">
        <v>985</v>
      </c>
    </row>
    <row r="1816" spans="1:19" ht="14.25" customHeight="1" x14ac:dyDescent="0.3">
      <c r="A1816" s="182" t="s">
        <v>4657</v>
      </c>
      <c r="B1816" s="182" t="s">
        <v>937</v>
      </c>
      <c r="C1816" s="182" t="s">
        <v>938</v>
      </c>
      <c r="D1816" s="190" t="s">
        <v>1375</v>
      </c>
      <c r="E1816" s="183" t="s">
        <v>1376</v>
      </c>
      <c r="F1816" s="183" t="s">
        <v>941</v>
      </c>
      <c r="G1816" s="184">
        <v>3.8461538461538498E-2</v>
      </c>
      <c r="H1816" s="185">
        <v>0</v>
      </c>
      <c r="I1816" s="186">
        <v>76955.079706571996</v>
      </c>
      <c r="J1816" s="187">
        <v>2959.8107579450798</v>
      </c>
      <c r="K1816" s="182" t="s">
        <v>4665</v>
      </c>
      <c r="L1816" s="182">
        <v>2</v>
      </c>
      <c r="M1816" s="182" t="s">
        <v>4667</v>
      </c>
      <c r="N1816" s="186">
        <v>1</v>
      </c>
      <c r="O1816" s="188">
        <v>3.8461538461538498E-2</v>
      </c>
      <c r="P1816" s="188">
        <v>26</v>
      </c>
      <c r="Q1816" s="188">
        <v>1</v>
      </c>
      <c r="R1816" s="189">
        <v>23.03</v>
      </c>
      <c r="S1816" s="189" t="s">
        <v>985</v>
      </c>
    </row>
    <row r="1817" spans="1:19" ht="14.25" customHeight="1" x14ac:dyDescent="0.3">
      <c r="A1817" s="182" t="s">
        <v>4668</v>
      </c>
      <c r="B1817" s="182" t="s">
        <v>563</v>
      </c>
      <c r="C1817" s="182"/>
      <c r="D1817" s="182" t="s">
        <v>1460</v>
      </c>
      <c r="E1817" s="183" t="s">
        <v>1461</v>
      </c>
      <c r="F1817" s="183"/>
      <c r="G1817" s="184">
        <v>1</v>
      </c>
      <c r="H1817" s="185">
        <v>0</v>
      </c>
      <c r="I1817" s="186">
        <v>2365.2381485799501</v>
      </c>
      <c r="J1817" s="187">
        <v>2365.2381485799501</v>
      </c>
      <c r="K1817" s="182" t="s">
        <v>4669</v>
      </c>
      <c r="L1817" s="182">
        <v>1</v>
      </c>
      <c r="M1817" s="182" t="s">
        <v>4670</v>
      </c>
      <c r="N1817" s="186">
        <v>7</v>
      </c>
      <c r="O1817" s="188">
        <v>1</v>
      </c>
      <c r="P1817" s="188">
        <v>231</v>
      </c>
      <c r="Q1817" s="188">
        <v>231</v>
      </c>
      <c r="R1817" s="189">
        <v>23.04</v>
      </c>
      <c r="S1817" s="189" t="s">
        <v>985</v>
      </c>
    </row>
    <row r="1818" spans="1:19" ht="14.25" customHeight="1" x14ac:dyDescent="0.3">
      <c r="A1818" s="182" t="s">
        <v>4668</v>
      </c>
      <c r="B1818" s="182" t="s">
        <v>563</v>
      </c>
      <c r="C1818" s="182"/>
      <c r="D1818" s="182" t="s">
        <v>1456</v>
      </c>
      <c r="E1818" s="183" t="s">
        <v>1457</v>
      </c>
      <c r="F1818" s="183"/>
      <c r="G1818" s="184">
        <v>0.5</v>
      </c>
      <c r="H1818" s="185">
        <v>0</v>
      </c>
      <c r="I1818" s="186">
        <v>140.198092594309</v>
      </c>
      <c r="J1818" s="187">
        <v>70.099046297154501</v>
      </c>
      <c r="K1818" s="182" t="s">
        <v>4669</v>
      </c>
      <c r="L1818" s="182">
        <v>2</v>
      </c>
      <c r="M1818" s="182" t="s">
        <v>4671</v>
      </c>
      <c r="N1818" s="186">
        <v>7</v>
      </c>
      <c r="O1818" s="188">
        <v>0.5</v>
      </c>
      <c r="P1818" s="188">
        <v>231</v>
      </c>
      <c r="Q1818" s="188">
        <v>115.5</v>
      </c>
      <c r="R1818" s="189">
        <v>23.04</v>
      </c>
      <c r="S1818" s="189" t="s">
        <v>985</v>
      </c>
    </row>
    <row r="1819" spans="1:19" ht="14.25" customHeight="1" x14ac:dyDescent="0.3">
      <c r="A1819" s="182" t="s">
        <v>4668</v>
      </c>
      <c r="B1819" s="182" t="s">
        <v>908</v>
      </c>
      <c r="C1819" s="182" t="s">
        <v>909</v>
      </c>
      <c r="D1819" s="182" t="s">
        <v>1495</v>
      </c>
      <c r="E1819" s="183" t="s">
        <v>1496</v>
      </c>
      <c r="F1819" s="183" t="s">
        <v>600</v>
      </c>
      <c r="G1819" s="184">
        <v>0.46153846153846201</v>
      </c>
      <c r="H1819" s="185">
        <v>0.1</v>
      </c>
      <c r="I1819" s="186">
        <v>2932.93</v>
      </c>
      <c r="J1819" s="187">
        <v>1489.0260000000001</v>
      </c>
      <c r="K1819" s="182" t="s">
        <v>4672</v>
      </c>
      <c r="L1819" s="182">
        <v>1</v>
      </c>
      <c r="M1819" s="182" t="s">
        <v>4673</v>
      </c>
      <c r="N1819" s="186">
        <v>7</v>
      </c>
      <c r="O1819" s="188">
        <v>0.46153846153846201</v>
      </c>
      <c r="P1819" s="188">
        <v>231</v>
      </c>
      <c r="Q1819" s="188">
        <v>106.615384615385</v>
      </c>
      <c r="R1819" s="189">
        <v>23.04</v>
      </c>
      <c r="S1819" s="189" t="s">
        <v>985</v>
      </c>
    </row>
    <row r="1820" spans="1:19" ht="14.25" customHeight="1" x14ac:dyDescent="0.3">
      <c r="A1820" s="182" t="s">
        <v>4668</v>
      </c>
      <c r="B1820" s="182" t="s">
        <v>908</v>
      </c>
      <c r="C1820" s="182" t="s">
        <v>909</v>
      </c>
      <c r="D1820" s="182" t="s">
        <v>1499</v>
      </c>
      <c r="E1820" s="183" t="s">
        <v>1500</v>
      </c>
      <c r="F1820" s="183" t="s">
        <v>600</v>
      </c>
      <c r="G1820" s="184">
        <v>1.15384615384615</v>
      </c>
      <c r="H1820" s="185">
        <v>0.1</v>
      </c>
      <c r="I1820" s="186">
        <v>3295.47</v>
      </c>
      <c r="J1820" s="187">
        <v>4182.7119230769104</v>
      </c>
      <c r="K1820" s="182" t="s">
        <v>4672</v>
      </c>
      <c r="L1820" s="182">
        <v>2</v>
      </c>
      <c r="M1820" s="182" t="s">
        <v>4674</v>
      </c>
      <c r="N1820" s="186">
        <v>7</v>
      </c>
      <c r="O1820" s="188">
        <v>1.15384615384615</v>
      </c>
      <c r="P1820" s="188">
        <v>231</v>
      </c>
      <c r="Q1820" s="188">
        <v>266.53846153846098</v>
      </c>
      <c r="R1820" s="189">
        <v>23.04</v>
      </c>
      <c r="S1820" s="189" t="s">
        <v>985</v>
      </c>
    </row>
    <row r="1821" spans="1:19" ht="14.25" customHeight="1" x14ac:dyDescent="0.3">
      <c r="A1821" s="182" t="s">
        <v>4668</v>
      </c>
      <c r="B1821" s="182" t="s">
        <v>908</v>
      </c>
      <c r="C1821" s="182" t="s">
        <v>909</v>
      </c>
      <c r="D1821" s="182" t="s">
        <v>1470</v>
      </c>
      <c r="E1821" s="183" t="s">
        <v>1471</v>
      </c>
      <c r="F1821" s="183" t="s">
        <v>600</v>
      </c>
      <c r="G1821" s="184">
        <v>5.6300000000000003E-2</v>
      </c>
      <c r="H1821" s="185">
        <v>0.05</v>
      </c>
      <c r="I1821" s="186">
        <v>26872.02</v>
      </c>
      <c r="J1821" s="187">
        <v>1588.5394623</v>
      </c>
      <c r="K1821" s="182" t="s">
        <v>4672</v>
      </c>
      <c r="L1821" s="182">
        <v>3</v>
      </c>
      <c r="M1821" s="182" t="s">
        <v>4675</v>
      </c>
      <c r="N1821" s="186">
        <v>7</v>
      </c>
      <c r="O1821" s="188">
        <v>5.6300000000000003E-2</v>
      </c>
      <c r="P1821" s="188">
        <v>231</v>
      </c>
      <c r="Q1821" s="188">
        <v>13.0053</v>
      </c>
      <c r="R1821" s="189">
        <v>23.04</v>
      </c>
      <c r="S1821" s="189" t="s">
        <v>985</v>
      </c>
    </row>
    <row r="1822" spans="1:19" ht="14.25" customHeight="1" x14ac:dyDescent="0.3">
      <c r="A1822" s="182" t="s">
        <v>4668</v>
      </c>
      <c r="B1822" s="182" t="s">
        <v>908</v>
      </c>
      <c r="C1822" s="182" t="s">
        <v>909</v>
      </c>
      <c r="D1822" s="182" t="s">
        <v>1473</v>
      </c>
      <c r="E1822" s="183" t="s">
        <v>1474</v>
      </c>
      <c r="F1822" s="183" t="s">
        <v>600</v>
      </c>
      <c r="G1822" s="184">
        <v>10</v>
      </c>
      <c r="H1822" s="185">
        <v>0.05</v>
      </c>
      <c r="I1822" s="186">
        <v>32.707173553719002</v>
      </c>
      <c r="J1822" s="187">
        <v>343.42532231404999</v>
      </c>
      <c r="K1822" s="182" t="s">
        <v>4672</v>
      </c>
      <c r="L1822" s="182">
        <v>4</v>
      </c>
      <c r="M1822" s="182" t="s">
        <v>4676</v>
      </c>
      <c r="N1822" s="186">
        <v>7</v>
      </c>
      <c r="O1822" s="188">
        <v>10</v>
      </c>
      <c r="P1822" s="188">
        <v>231</v>
      </c>
      <c r="Q1822" s="188">
        <v>2310</v>
      </c>
      <c r="R1822" s="189">
        <v>23.04</v>
      </c>
      <c r="S1822" s="189" t="s">
        <v>985</v>
      </c>
    </row>
    <row r="1823" spans="1:19" ht="14.25" customHeight="1" x14ac:dyDescent="0.3">
      <c r="A1823" s="182" t="s">
        <v>4668</v>
      </c>
      <c r="B1823" s="182" t="s">
        <v>908</v>
      </c>
      <c r="C1823" s="182" t="s">
        <v>909</v>
      </c>
      <c r="D1823" s="182" t="s">
        <v>1476</v>
      </c>
      <c r="E1823" s="183" t="s">
        <v>1477</v>
      </c>
      <c r="F1823" s="183" t="s">
        <v>600</v>
      </c>
      <c r="G1823" s="184">
        <v>30</v>
      </c>
      <c r="H1823" s="185">
        <v>0.05</v>
      </c>
      <c r="I1823" s="186">
        <v>17.1963177226814</v>
      </c>
      <c r="J1823" s="187">
        <v>541.68400826446396</v>
      </c>
      <c r="K1823" s="182" t="s">
        <v>4672</v>
      </c>
      <c r="L1823" s="182">
        <v>5</v>
      </c>
      <c r="M1823" s="182" t="s">
        <v>4677</v>
      </c>
      <c r="N1823" s="186">
        <v>7</v>
      </c>
      <c r="O1823" s="188">
        <v>30</v>
      </c>
      <c r="P1823" s="188">
        <v>231</v>
      </c>
      <c r="Q1823" s="188">
        <v>6930</v>
      </c>
      <c r="R1823" s="189">
        <v>23.04</v>
      </c>
      <c r="S1823" s="189" t="s">
        <v>985</v>
      </c>
    </row>
    <row r="1824" spans="1:19" ht="14.25" customHeight="1" x14ac:dyDescent="0.3">
      <c r="A1824" s="182" t="s">
        <v>4668</v>
      </c>
      <c r="B1824" s="182" t="s">
        <v>908</v>
      </c>
      <c r="C1824" s="182" t="s">
        <v>909</v>
      </c>
      <c r="D1824" s="182" t="s">
        <v>1479</v>
      </c>
      <c r="E1824" s="183" t="s">
        <v>1480</v>
      </c>
      <c r="F1824" s="183" t="s">
        <v>600</v>
      </c>
      <c r="G1824" s="184">
        <v>3.5</v>
      </c>
      <c r="H1824" s="185">
        <v>0.05</v>
      </c>
      <c r="I1824" s="186">
        <v>65.919008264462803</v>
      </c>
      <c r="J1824" s="187">
        <v>242.25235537190099</v>
      </c>
      <c r="K1824" s="182" t="s">
        <v>4672</v>
      </c>
      <c r="L1824" s="182">
        <v>6</v>
      </c>
      <c r="M1824" s="182" t="s">
        <v>4678</v>
      </c>
      <c r="N1824" s="186">
        <v>7</v>
      </c>
      <c r="O1824" s="188">
        <v>3.5</v>
      </c>
      <c r="P1824" s="188">
        <v>231</v>
      </c>
      <c r="Q1824" s="188">
        <v>808.5</v>
      </c>
      <c r="R1824" s="189">
        <v>23.04</v>
      </c>
      <c r="S1824" s="189" t="s">
        <v>985</v>
      </c>
    </row>
    <row r="1825" spans="1:19" ht="14.25" customHeight="1" x14ac:dyDescent="0.3">
      <c r="A1825" s="182" t="s">
        <v>4668</v>
      </c>
      <c r="B1825" s="182" t="s">
        <v>908</v>
      </c>
      <c r="C1825" s="182" t="s">
        <v>909</v>
      </c>
      <c r="D1825" s="182" t="s">
        <v>1482</v>
      </c>
      <c r="E1825" s="183" t="s">
        <v>1483</v>
      </c>
      <c r="F1825" s="183" t="s">
        <v>600</v>
      </c>
      <c r="G1825" s="184">
        <v>0.04</v>
      </c>
      <c r="H1825" s="185">
        <v>0.05</v>
      </c>
      <c r="I1825" s="186">
        <v>4042.71</v>
      </c>
      <c r="J1825" s="187">
        <v>169.79382000000001</v>
      </c>
      <c r="K1825" s="182" t="s">
        <v>4672</v>
      </c>
      <c r="L1825" s="182">
        <v>7</v>
      </c>
      <c r="M1825" s="182" t="s">
        <v>4679</v>
      </c>
      <c r="N1825" s="186">
        <v>7</v>
      </c>
      <c r="O1825" s="188">
        <v>0.04</v>
      </c>
      <c r="P1825" s="188">
        <v>231</v>
      </c>
      <c r="Q1825" s="188">
        <v>9.24</v>
      </c>
      <c r="R1825" s="189">
        <v>23.04</v>
      </c>
      <c r="S1825" s="189" t="s">
        <v>985</v>
      </c>
    </row>
    <row r="1826" spans="1:19" ht="14.25" customHeight="1" x14ac:dyDescent="0.3">
      <c r="A1826" s="182" t="s">
        <v>4668</v>
      </c>
      <c r="B1826" s="182" t="s">
        <v>908</v>
      </c>
      <c r="C1826" s="182" t="s">
        <v>909</v>
      </c>
      <c r="D1826" s="182" t="s">
        <v>1485</v>
      </c>
      <c r="E1826" s="183" t="s">
        <v>1486</v>
      </c>
      <c r="F1826" s="183" t="s">
        <v>600</v>
      </c>
      <c r="G1826" s="184">
        <v>0.71</v>
      </c>
      <c r="H1826" s="185">
        <v>0.1</v>
      </c>
      <c r="I1826" s="186">
        <v>10022.959999999999</v>
      </c>
      <c r="J1826" s="187">
        <v>7827.9317600000004</v>
      </c>
      <c r="K1826" s="182" t="s">
        <v>4672</v>
      </c>
      <c r="L1826" s="182">
        <v>8</v>
      </c>
      <c r="M1826" s="182" t="s">
        <v>4680</v>
      </c>
      <c r="N1826" s="186">
        <v>7</v>
      </c>
      <c r="O1826" s="188">
        <v>0.71</v>
      </c>
      <c r="P1826" s="188">
        <v>231</v>
      </c>
      <c r="Q1826" s="188">
        <v>164.01</v>
      </c>
      <c r="R1826" s="189">
        <v>23.04</v>
      </c>
      <c r="S1826" s="189" t="s">
        <v>985</v>
      </c>
    </row>
    <row r="1827" spans="1:19" ht="14.25" customHeight="1" x14ac:dyDescent="0.3">
      <c r="A1827" s="182" t="s">
        <v>4668</v>
      </c>
      <c r="B1827" s="182" t="s">
        <v>908</v>
      </c>
      <c r="C1827" s="182" t="s">
        <v>938</v>
      </c>
      <c r="D1827" s="182" t="s">
        <v>2208</v>
      </c>
      <c r="E1827" s="183" t="s">
        <v>2209</v>
      </c>
      <c r="F1827" s="183" t="s">
        <v>576</v>
      </c>
      <c r="G1827" s="184">
        <v>8192.6823256636708</v>
      </c>
      <c r="H1827" s="185">
        <v>0</v>
      </c>
      <c r="I1827" s="186">
        <v>1</v>
      </c>
      <c r="J1827" s="187">
        <v>8192.6823256636708</v>
      </c>
      <c r="K1827" s="182" t="s">
        <v>4672</v>
      </c>
      <c r="L1827" s="182">
        <v>9</v>
      </c>
      <c r="M1827" s="182" t="s">
        <v>4681</v>
      </c>
      <c r="N1827" s="186">
        <v>7</v>
      </c>
      <c r="O1827" s="188">
        <v>1170.38318938052</v>
      </c>
      <c r="P1827" s="188">
        <v>231</v>
      </c>
      <c r="Q1827" s="188">
        <v>270358.51674690098</v>
      </c>
      <c r="R1827" s="189">
        <v>23.04</v>
      </c>
      <c r="S1827" s="189" t="s">
        <v>985</v>
      </c>
    </row>
    <row r="1828" spans="1:19" ht="14.25" customHeight="1" x14ac:dyDescent="0.3">
      <c r="A1828" s="182" t="s">
        <v>4668</v>
      </c>
      <c r="B1828" s="182" t="s">
        <v>937</v>
      </c>
      <c r="C1828" s="182" t="s">
        <v>909</v>
      </c>
      <c r="D1828" s="182" t="s">
        <v>4682</v>
      </c>
      <c r="E1828" s="183" t="s">
        <v>4683</v>
      </c>
      <c r="F1828" s="183" t="s">
        <v>941</v>
      </c>
      <c r="G1828" s="184">
        <v>7</v>
      </c>
      <c r="H1828" s="185">
        <v>0</v>
      </c>
      <c r="I1828" s="186">
        <v>5407.8631711837097</v>
      </c>
      <c r="J1828" s="187">
        <v>37855.042198285999</v>
      </c>
      <c r="K1828" s="182" t="s">
        <v>4684</v>
      </c>
      <c r="L1828" s="182">
        <v>1</v>
      </c>
      <c r="M1828" s="182" t="s">
        <v>4685</v>
      </c>
      <c r="N1828" s="186">
        <v>7</v>
      </c>
      <c r="O1828" s="188">
        <v>7</v>
      </c>
      <c r="P1828" s="188">
        <v>231</v>
      </c>
      <c r="Q1828" s="188">
        <v>1617</v>
      </c>
      <c r="R1828" s="189">
        <v>23.04</v>
      </c>
      <c r="S1828" s="189" t="s">
        <v>985</v>
      </c>
    </row>
    <row r="1829" spans="1:19" ht="14.25" customHeight="1" x14ac:dyDescent="0.3">
      <c r="A1829" s="182" t="s">
        <v>4668</v>
      </c>
      <c r="B1829" s="182" t="s">
        <v>937</v>
      </c>
      <c r="C1829" s="182" t="s">
        <v>938</v>
      </c>
      <c r="D1829" s="190" t="s">
        <v>1291</v>
      </c>
      <c r="E1829" s="183" t="s">
        <v>1292</v>
      </c>
      <c r="F1829" s="183" t="s">
        <v>941</v>
      </c>
      <c r="G1829" s="184">
        <v>1</v>
      </c>
      <c r="H1829" s="185">
        <v>0</v>
      </c>
      <c r="I1829" s="186">
        <v>65493.071636572</v>
      </c>
      <c r="J1829" s="187">
        <v>65493.071636572</v>
      </c>
      <c r="K1829" s="182" t="s">
        <v>4684</v>
      </c>
      <c r="L1829" s="182">
        <v>2</v>
      </c>
      <c r="M1829" s="182" t="s">
        <v>4686</v>
      </c>
      <c r="N1829" s="186">
        <v>7</v>
      </c>
      <c r="O1829" s="188">
        <v>0.14285714285714299</v>
      </c>
      <c r="P1829" s="188">
        <v>231</v>
      </c>
      <c r="Q1829" s="188">
        <v>33</v>
      </c>
      <c r="R1829" s="189">
        <v>23.04</v>
      </c>
      <c r="S1829" s="189" t="s">
        <v>985</v>
      </c>
    </row>
    <row r="1830" spans="1:19" ht="14.25" customHeight="1" x14ac:dyDescent="0.3">
      <c r="A1830" s="182" t="s">
        <v>4668</v>
      </c>
      <c r="B1830" s="182" t="s">
        <v>937</v>
      </c>
      <c r="C1830" s="182" t="s">
        <v>938</v>
      </c>
      <c r="D1830" s="190" t="s">
        <v>944</v>
      </c>
      <c r="E1830" s="183" t="s">
        <v>945</v>
      </c>
      <c r="F1830" s="183" t="s">
        <v>941</v>
      </c>
      <c r="G1830" s="184">
        <v>1</v>
      </c>
      <c r="H1830" s="185">
        <v>0</v>
      </c>
      <c r="I1830" s="186">
        <v>85927.097156571996</v>
      </c>
      <c r="J1830" s="187">
        <v>85927.097156571996</v>
      </c>
      <c r="K1830" s="182" t="s">
        <v>4684</v>
      </c>
      <c r="L1830" s="182">
        <v>3</v>
      </c>
      <c r="M1830" s="182" t="s">
        <v>4687</v>
      </c>
      <c r="N1830" s="186">
        <v>7</v>
      </c>
      <c r="O1830" s="188">
        <v>0.14285714285714299</v>
      </c>
      <c r="P1830" s="188">
        <v>231</v>
      </c>
      <c r="Q1830" s="188">
        <v>33</v>
      </c>
      <c r="R1830" s="189">
        <v>23.04</v>
      </c>
      <c r="S1830" s="189" t="s">
        <v>985</v>
      </c>
    </row>
    <row r="1831" spans="1:19" ht="14.25" customHeight="1" x14ac:dyDescent="0.3">
      <c r="A1831" s="182" t="s">
        <v>4688</v>
      </c>
      <c r="B1831" s="182" t="s">
        <v>937</v>
      </c>
      <c r="C1831" s="182" t="s">
        <v>909</v>
      </c>
      <c r="D1831" s="182" t="s">
        <v>4689</v>
      </c>
      <c r="E1831" s="183" t="s">
        <v>4690</v>
      </c>
      <c r="F1831" s="183" t="s">
        <v>941</v>
      </c>
      <c r="G1831" s="184">
        <v>1</v>
      </c>
      <c r="H1831" s="185">
        <v>0</v>
      </c>
      <c r="I1831" s="186">
        <v>730326.96931886405</v>
      </c>
      <c r="J1831" s="187">
        <v>730326.96931886405</v>
      </c>
      <c r="K1831" s="182" t="s">
        <v>4691</v>
      </c>
      <c r="L1831" s="182">
        <v>1</v>
      </c>
      <c r="M1831" s="182" t="s">
        <v>4692</v>
      </c>
      <c r="N1831" s="186">
        <v>1</v>
      </c>
      <c r="O1831" s="188">
        <v>1</v>
      </c>
      <c r="P1831" s="188">
        <v>17</v>
      </c>
      <c r="Q1831" s="188">
        <v>17</v>
      </c>
      <c r="R1831" s="189">
        <v>24.01</v>
      </c>
      <c r="S1831" s="189" t="s">
        <v>573</v>
      </c>
    </row>
    <row r="1832" spans="1:19" ht="14.25" customHeight="1" x14ac:dyDescent="0.3">
      <c r="A1832" s="182" t="s">
        <v>4693</v>
      </c>
      <c r="B1832" s="182" t="s">
        <v>937</v>
      </c>
      <c r="C1832" s="182" t="s">
        <v>909</v>
      </c>
      <c r="D1832" s="182" t="s">
        <v>4694</v>
      </c>
      <c r="E1832" s="183" t="s">
        <v>4695</v>
      </c>
      <c r="F1832" s="183" t="s">
        <v>941</v>
      </c>
      <c r="G1832" s="184">
        <v>1</v>
      </c>
      <c r="H1832" s="185">
        <v>0</v>
      </c>
      <c r="I1832" s="186">
        <v>1504670.291</v>
      </c>
      <c r="J1832" s="187">
        <v>1504670.291</v>
      </c>
      <c r="K1832" s="182" t="s">
        <v>4696</v>
      </c>
      <c r="L1832" s="182">
        <v>1</v>
      </c>
      <c r="M1832" s="182" t="s">
        <v>4697</v>
      </c>
      <c r="N1832" s="186">
        <v>1</v>
      </c>
      <c r="O1832" s="188">
        <v>1</v>
      </c>
      <c r="P1832" s="188">
        <v>4</v>
      </c>
      <c r="Q1832" s="188">
        <v>4</v>
      </c>
      <c r="R1832" s="189">
        <v>24.02</v>
      </c>
      <c r="S1832" s="189" t="s">
        <v>573</v>
      </c>
    </row>
    <row r="1833" spans="1:19" ht="14.25" customHeight="1" x14ac:dyDescent="0.3">
      <c r="A1833" s="182" t="s">
        <v>4698</v>
      </c>
      <c r="B1833" s="182" t="s">
        <v>937</v>
      </c>
      <c r="C1833" s="182" t="s">
        <v>909</v>
      </c>
      <c r="D1833" s="182" t="s">
        <v>4699</v>
      </c>
      <c r="E1833" s="183" t="s">
        <v>4700</v>
      </c>
      <c r="F1833" s="183" t="s">
        <v>941</v>
      </c>
      <c r="G1833" s="184">
        <v>1</v>
      </c>
      <c r="H1833" s="185">
        <v>0</v>
      </c>
      <c r="I1833" s="186">
        <v>150000</v>
      </c>
      <c r="J1833" s="187">
        <v>150000</v>
      </c>
      <c r="K1833" s="182" t="s">
        <v>4701</v>
      </c>
      <c r="L1833" s="182">
        <v>1</v>
      </c>
      <c r="M1833" s="182" t="s">
        <v>4702</v>
      </c>
      <c r="N1833" s="186">
        <v>1</v>
      </c>
      <c r="O1833" s="188">
        <v>1</v>
      </c>
      <c r="P1833" s="188">
        <v>17</v>
      </c>
      <c r="Q1833" s="188">
        <v>17</v>
      </c>
      <c r="R1833" s="189">
        <v>24.03</v>
      </c>
      <c r="S1833" s="189" t="s">
        <v>573</v>
      </c>
    </row>
    <row r="1834" spans="1:19" ht="14.25" customHeight="1" x14ac:dyDescent="0.3">
      <c r="A1834" s="182" t="s">
        <v>4703</v>
      </c>
      <c r="B1834" s="182" t="s">
        <v>563</v>
      </c>
      <c r="C1834" s="182"/>
      <c r="D1834" s="182" t="s">
        <v>4704</v>
      </c>
      <c r="E1834" s="183" t="s">
        <v>4705</v>
      </c>
      <c r="F1834" s="183"/>
      <c r="G1834" s="184">
        <v>1</v>
      </c>
      <c r="H1834" s="185">
        <v>0</v>
      </c>
      <c r="I1834" s="186">
        <v>69686.966825754498</v>
      </c>
      <c r="J1834" s="187">
        <v>69686.966825754498</v>
      </c>
      <c r="K1834" s="182" t="s">
        <v>4706</v>
      </c>
      <c r="L1834" s="182">
        <v>1</v>
      </c>
      <c r="M1834" s="182" t="s">
        <v>4707</v>
      </c>
      <c r="N1834" s="186">
        <v>1</v>
      </c>
      <c r="O1834" s="188">
        <v>1</v>
      </c>
      <c r="P1834" s="188">
        <v>1</v>
      </c>
      <c r="Q1834" s="188">
        <v>1</v>
      </c>
      <c r="R1834" s="189">
        <v>24.04</v>
      </c>
      <c r="S1834" s="189" t="s">
        <v>985</v>
      </c>
    </row>
    <row r="1835" spans="1:19" ht="14.25" customHeight="1" x14ac:dyDescent="0.3">
      <c r="A1835" s="182" t="s">
        <v>4703</v>
      </c>
      <c r="B1835" s="182" t="s">
        <v>908</v>
      </c>
      <c r="C1835" s="182" t="s">
        <v>909</v>
      </c>
      <c r="D1835" s="182" t="s">
        <v>4708</v>
      </c>
      <c r="E1835" s="183" t="s">
        <v>4709</v>
      </c>
      <c r="F1835" s="183" t="s">
        <v>581</v>
      </c>
      <c r="G1835" s="184">
        <v>82</v>
      </c>
      <c r="H1835" s="185">
        <v>0</v>
      </c>
      <c r="I1835" s="186">
        <v>25783.917333333298</v>
      </c>
      <c r="J1835" s="187">
        <v>2114281.22133333</v>
      </c>
      <c r="K1835" s="182" t="s">
        <v>4710</v>
      </c>
      <c r="L1835" s="182">
        <v>1</v>
      </c>
      <c r="M1835" s="182" t="s">
        <v>4711</v>
      </c>
      <c r="N1835" s="186">
        <v>1</v>
      </c>
      <c r="O1835" s="188">
        <v>82</v>
      </c>
      <c r="P1835" s="188">
        <v>1</v>
      </c>
      <c r="Q1835" s="188">
        <v>82</v>
      </c>
      <c r="R1835" s="189">
        <v>24.04</v>
      </c>
      <c r="S1835" s="189" t="s">
        <v>985</v>
      </c>
    </row>
    <row r="1836" spans="1:19" ht="14.25" customHeight="1" x14ac:dyDescent="0.3">
      <c r="A1836" s="182" t="s">
        <v>4703</v>
      </c>
      <c r="B1836" s="182" t="s">
        <v>908</v>
      </c>
      <c r="C1836" s="182" t="s">
        <v>909</v>
      </c>
      <c r="D1836" s="182" t="s">
        <v>4712</v>
      </c>
      <c r="E1836" s="183" t="s">
        <v>4713</v>
      </c>
      <c r="F1836" s="183" t="s">
        <v>600</v>
      </c>
      <c r="G1836" s="184">
        <v>75</v>
      </c>
      <c r="H1836" s="185">
        <v>0</v>
      </c>
      <c r="I1836" s="186">
        <v>1294.6320000000001</v>
      </c>
      <c r="J1836" s="187">
        <v>97097.4</v>
      </c>
      <c r="K1836" s="182" t="s">
        <v>4710</v>
      </c>
      <c r="L1836" s="182">
        <v>2</v>
      </c>
      <c r="M1836" s="182" t="s">
        <v>4714</v>
      </c>
      <c r="N1836" s="186">
        <v>1</v>
      </c>
      <c r="O1836" s="188">
        <v>75</v>
      </c>
      <c r="P1836" s="188">
        <v>1</v>
      </c>
      <c r="Q1836" s="188">
        <v>75</v>
      </c>
      <c r="R1836" s="189">
        <v>24.04</v>
      </c>
      <c r="S1836" s="189" t="s">
        <v>985</v>
      </c>
    </row>
    <row r="1837" spans="1:19" ht="14.25" customHeight="1" x14ac:dyDescent="0.3">
      <c r="A1837" s="182" t="s">
        <v>4703</v>
      </c>
      <c r="B1837" s="182" t="s">
        <v>908</v>
      </c>
      <c r="C1837" s="182" t="s">
        <v>909</v>
      </c>
      <c r="D1837" s="182" t="s">
        <v>4715</v>
      </c>
      <c r="E1837" s="183" t="s">
        <v>4716</v>
      </c>
      <c r="F1837" s="183" t="s">
        <v>600</v>
      </c>
      <c r="G1837" s="184">
        <v>32</v>
      </c>
      <c r="H1837" s="185">
        <v>0</v>
      </c>
      <c r="I1837" s="186">
        <v>2912.9520000000002</v>
      </c>
      <c r="J1837" s="187">
        <v>93214.464000000007</v>
      </c>
      <c r="K1837" s="182" t="s">
        <v>4710</v>
      </c>
      <c r="L1837" s="182">
        <v>3</v>
      </c>
      <c r="M1837" s="182" t="s">
        <v>4717</v>
      </c>
      <c r="N1837" s="186">
        <v>1</v>
      </c>
      <c r="O1837" s="188">
        <v>32</v>
      </c>
      <c r="P1837" s="188">
        <v>1</v>
      </c>
      <c r="Q1837" s="188">
        <v>32</v>
      </c>
      <c r="R1837" s="189">
        <v>24.04</v>
      </c>
      <c r="S1837" s="189" t="s">
        <v>985</v>
      </c>
    </row>
    <row r="1838" spans="1:19" ht="14.25" customHeight="1" x14ac:dyDescent="0.3">
      <c r="A1838" s="182" t="s">
        <v>4703</v>
      </c>
      <c r="B1838" s="182" t="s">
        <v>937</v>
      </c>
      <c r="C1838" s="182" t="s">
        <v>938</v>
      </c>
      <c r="D1838" s="182" t="s">
        <v>939</v>
      </c>
      <c r="E1838" s="183" t="s">
        <v>940</v>
      </c>
      <c r="F1838" s="183" t="s">
        <v>941</v>
      </c>
      <c r="G1838" s="184">
        <v>12</v>
      </c>
      <c r="H1838" s="185">
        <v>0</v>
      </c>
      <c r="I1838" s="186">
        <v>60860.580776572002</v>
      </c>
      <c r="J1838" s="187">
        <v>730326.96931886405</v>
      </c>
      <c r="K1838" s="182" t="s">
        <v>4718</v>
      </c>
      <c r="L1838" s="182">
        <v>1</v>
      </c>
      <c r="M1838" s="182" t="s">
        <v>4719</v>
      </c>
      <c r="N1838" s="186">
        <v>1</v>
      </c>
      <c r="O1838" s="188">
        <v>12</v>
      </c>
      <c r="P1838" s="188">
        <v>1</v>
      </c>
      <c r="Q1838" s="188">
        <v>12</v>
      </c>
      <c r="R1838" s="189">
        <v>24.04</v>
      </c>
      <c r="S1838" s="189" t="s">
        <v>985</v>
      </c>
    </row>
    <row r="1839" spans="1:19" ht="14.25" customHeight="1" x14ac:dyDescent="0.3">
      <c r="A1839" s="182" t="s">
        <v>4703</v>
      </c>
      <c r="B1839" s="182" t="s">
        <v>937</v>
      </c>
      <c r="C1839" s="182" t="s">
        <v>938</v>
      </c>
      <c r="D1839" s="190" t="s">
        <v>944</v>
      </c>
      <c r="E1839" s="183" t="s">
        <v>945</v>
      </c>
      <c r="F1839" s="183" t="s">
        <v>941</v>
      </c>
      <c r="G1839" s="184">
        <v>8</v>
      </c>
      <c r="H1839" s="185">
        <v>0</v>
      </c>
      <c r="I1839" s="186">
        <v>85927.097156571996</v>
      </c>
      <c r="J1839" s="187">
        <v>687416.77725257596</v>
      </c>
      <c r="K1839" s="182" t="s">
        <v>4718</v>
      </c>
      <c r="L1839" s="182">
        <v>2</v>
      </c>
      <c r="M1839" s="182" t="s">
        <v>4720</v>
      </c>
      <c r="N1839" s="186">
        <v>1</v>
      </c>
      <c r="O1839" s="188">
        <v>8</v>
      </c>
      <c r="P1839" s="188">
        <v>1</v>
      </c>
      <c r="Q1839" s="188">
        <v>8</v>
      </c>
      <c r="R1839" s="189">
        <v>24.04</v>
      </c>
      <c r="S1839" s="189" t="s">
        <v>985</v>
      </c>
    </row>
    <row r="1840" spans="1:19" ht="14.25" customHeight="1" x14ac:dyDescent="0.3">
      <c r="A1840" s="182" t="s">
        <v>4703</v>
      </c>
      <c r="B1840" s="182" t="s">
        <v>937</v>
      </c>
      <c r="C1840" s="182" t="s">
        <v>938</v>
      </c>
      <c r="D1840" s="190" t="s">
        <v>1375</v>
      </c>
      <c r="E1840" s="183" t="s">
        <v>1376</v>
      </c>
      <c r="F1840" s="183" t="s">
        <v>941</v>
      </c>
      <c r="G1840" s="184">
        <v>12</v>
      </c>
      <c r="H1840" s="185">
        <v>0</v>
      </c>
      <c r="I1840" s="186">
        <v>76955.079706571996</v>
      </c>
      <c r="J1840" s="187">
        <v>923460.95647886395</v>
      </c>
      <c r="K1840" s="182" t="s">
        <v>4718</v>
      </c>
      <c r="L1840" s="182">
        <v>3</v>
      </c>
      <c r="M1840" s="182" t="s">
        <v>4721</v>
      </c>
      <c r="N1840" s="186">
        <v>1</v>
      </c>
      <c r="O1840" s="188">
        <v>12</v>
      </c>
      <c r="P1840" s="188">
        <v>1</v>
      </c>
      <c r="Q1840" s="188">
        <v>12</v>
      </c>
      <c r="R1840" s="189">
        <v>24.04</v>
      </c>
      <c r="S1840" s="189" t="s">
        <v>985</v>
      </c>
    </row>
    <row r="1841" spans="1:19" ht="14.25" customHeight="1" x14ac:dyDescent="0.3">
      <c r="A1841" s="182" t="s">
        <v>4722</v>
      </c>
      <c r="B1841" s="182" t="s">
        <v>563</v>
      </c>
      <c r="C1841" s="182"/>
      <c r="D1841" s="182" t="s">
        <v>4723</v>
      </c>
      <c r="E1841" s="183" t="s">
        <v>4724</v>
      </c>
      <c r="F1841" s="183"/>
      <c r="G1841" s="184">
        <v>1</v>
      </c>
      <c r="H1841" s="185">
        <v>0</v>
      </c>
      <c r="I1841" s="186">
        <v>9690.4308566872205</v>
      </c>
      <c r="J1841" s="187">
        <v>9690.4308566872205</v>
      </c>
      <c r="K1841" s="182" t="s">
        <v>4725</v>
      </c>
      <c r="L1841" s="182">
        <v>1</v>
      </c>
      <c r="M1841" s="182" t="s">
        <v>4726</v>
      </c>
      <c r="N1841" s="186">
        <v>1</v>
      </c>
      <c r="O1841" s="188">
        <v>1</v>
      </c>
      <c r="P1841" s="188">
        <v>17</v>
      </c>
      <c r="Q1841" s="188">
        <v>17</v>
      </c>
      <c r="R1841" s="189">
        <v>24.05</v>
      </c>
      <c r="S1841" s="189" t="s">
        <v>985</v>
      </c>
    </row>
    <row r="1842" spans="1:19" ht="14.25" customHeight="1" x14ac:dyDescent="0.3">
      <c r="A1842" s="182" t="s">
        <v>4722</v>
      </c>
      <c r="B1842" s="182" t="s">
        <v>908</v>
      </c>
      <c r="C1842" s="182" t="s">
        <v>1358</v>
      </c>
      <c r="D1842" s="182" t="s">
        <v>4727</v>
      </c>
      <c r="E1842" s="183" t="s">
        <v>4728</v>
      </c>
      <c r="F1842" s="183" t="s">
        <v>584</v>
      </c>
      <c r="G1842" s="184">
        <v>1</v>
      </c>
      <c r="H1842" s="185">
        <v>0</v>
      </c>
      <c r="I1842" s="186">
        <v>50000</v>
      </c>
      <c r="J1842" s="187">
        <v>50000</v>
      </c>
      <c r="K1842" s="182" t="s">
        <v>4729</v>
      </c>
      <c r="L1842" s="182">
        <v>1</v>
      </c>
      <c r="M1842" s="182" t="s">
        <v>4730</v>
      </c>
      <c r="N1842" s="186">
        <v>1</v>
      </c>
      <c r="O1842" s="188">
        <v>1</v>
      </c>
      <c r="P1842" s="188">
        <v>17</v>
      </c>
      <c r="Q1842" s="188">
        <v>17</v>
      </c>
      <c r="R1842" s="189">
        <v>24.05</v>
      </c>
      <c r="S1842" s="189" t="s">
        <v>985</v>
      </c>
    </row>
    <row r="1843" spans="1:19" ht="14.25" customHeight="1" x14ac:dyDescent="0.3">
      <c r="A1843" s="182" t="s">
        <v>4722</v>
      </c>
      <c r="B1843" s="182" t="s">
        <v>937</v>
      </c>
      <c r="C1843" s="182" t="s">
        <v>938</v>
      </c>
      <c r="D1843" s="182" t="s">
        <v>939</v>
      </c>
      <c r="E1843" s="183" t="s">
        <v>940</v>
      </c>
      <c r="F1843" s="183" t="s">
        <v>941</v>
      </c>
      <c r="G1843" s="184">
        <v>6</v>
      </c>
      <c r="H1843" s="185">
        <v>0</v>
      </c>
      <c r="I1843" s="186">
        <v>60860.580776572002</v>
      </c>
      <c r="J1843" s="187">
        <v>365163.48465943203</v>
      </c>
      <c r="K1843" s="182" t="s">
        <v>4731</v>
      </c>
      <c r="L1843" s="182">
        <v>1</v>
      </c>
      <c r="M1843" s="182" t="s">
        <v>4732</v>
      </c>
      <c r="N1843" s="186">
        <v>1</v>
      </c>
      <c r="O1843" s="188">
        <v>6</v>
      </c>
      <c r="P1843" s="188">
        <v>17</v>
      </c>
      <c r="Q1843" s="188">
        <v>102</v>
      </c>
      <c r="R1843" s="189">
        <v>24.05</v>
      </c>
      <c r="S1843" s="189" t="s">
        <v>985</v>
      </c>
    </row>
    <row r="1844" spans="1:19" ht="14.25" customHeight="1" x14ac:dyDescent="0.3">
      <c r="A1844" s="182" t="s">
        <v>4722</v>
      </c>
      <c r="B1844" s="182" t="s">
        <v>937</v>
      </c>
      <c r="C1844" s="182" t="s">
        <v>938</v>
      </c>
      <c r="D1844" s="190" t="s">
        <v>1375</v>
      </c>
      <c r="E1844" s="183" t="s">
        <v>1376</v>
      </c>
      <c r="F1844" s="183" t="s">
        <v>941</v>
      </c>
      <c r="G1844" s="184">
        <v>3</v>
      </c>
      <c r="H1844" s="185">
        <v>0</v>
      </c>
      <c r="I1844" s="186">
        <v>76955.079706571996</v>
      </c>
      <c r="J1844" s="187">
        <v>230865.23911971599</v>
      </c>
      <c r="K1844" s="182" t="s">
        <v>4731</v>
      </c>
      <c r="L1844" s="182">
        <v>2</v>
      </c>
      <c r="M1844" s="182" t="s">
        <v>4733</v>
      </c>
      <c r="N1844" s="186">
        <v>1</v>
      </c>
      <c r="O1844" s="188">
        <v>3</v>
      </c>
      <c r="P1844" s="188">
        <v>17</v>
      </c>
      <c r="Q1844" s="188">
        <v>51</v>
      </c>
      <c r="R1844" s="189">
        <v>24.05</v>
      </c>
      <c r="S1844" s="189" t="s">
        <v>985</v>
      </c>
    </row>
    <row r="1845" spans="1:19" ht="14.25" customHeight="1" x14ac:dyDescent="0.3">
      <c r="A1845" s="182" t="s">
        <v>4734</v>
      </c>
      <c r="B1845" s="182" t="s">
        <v>563</v>
      </c>
      <c r="C1845" s="182"/>
      <c r="D1845" s="182" t="s">
        <v>4735</v>
      </c>
      <c r="E1845" s="183" t="s">
        <v>4736</v>
      </c>
      <c r="F1845" s="183"/>
      <c r="G1845" s="184">
        <v>1</v>
      </c>
      <c r="H1845" s="185">
        <v>0</v>
      </c>
      <c r="I1845" s="186">
        <v>6400.1974968806198</v>
      </c>
      <c r="J1845" s="187">
        <v>6400.1974968806198</v>
      </c>
      <c r="K1845" s="182" t="s">
        <v>4737</v>
      </c>
      <c r="L1845" s="182">
        <v>1</v>
      </c>
      <c r="M1845" s="182" t="s">
        <v>4738</v>
      </c>
      <c r="N1845" s="186">
        <v>1</v>
      </c>
      <c r="O1845" s="188">
        <v>1</v>
      </c>
      <c r="P1845" s="188">
        <v>17</v>
      </c>
      <c r="Q1845" s="188">
        <v>17</v>
      </c>
      <c r="R1845" s="189">
        <v>24.06</v>
      </c>
      <c r="S1845" s="189" t="s">
        <v>985</v>
      </c>
    </row>
    <row r="1846" spans="1:19" ht="14.25" customHeight="1" x14ac:dyDescent="0.3">
      <c r="A1846" s="182" t="s">
        <v>4734</v>
      </c>
      <c r="B1846" s="182" t="s">
        <v>908</v>
      </c>
      <c r="C1846" s="182" t="s">
        <v>1358</v>
      </c>
      <c r="D1846" s="182" t="s">
        <v>4727</v>
      </c>
      <c r="E1846" s="183" t="s">
        <v>4728</v>
      </c>
      <c r="F1846" s="183" t="s">
        <v>584</v>
      </c>
      <c r="G1846" s="184">
        <v>0.5</v>
      </c>
      <c r="H1846" s="185">
        <v>0</v>
      </c>
      <c r="I1846" s="186">
        <v>50000</v>
      </c>
      <c r="J1846" s="187">
        <v>25000</v>
      </c>
      <c r="K1846" s="182" t="s">
        <v>4739</v>
      </c>
      <c r="L1846" s="182">
        <v>1</v>
      </c>
      <c r="M1846" s="182" t="s">
        <v>4740</v>
      </c>
      <c r="N1846" s="186">
        <v>1</v>
      </c>
      <c r="O1846" s="188">
        <v>0.5</v>
      </c>
      <c r="P1846" s="188">
        <v>17</v>
      </c>
      <c r="Q1846" s="188">
        <v>8.5</v>
      </c>
      <c r="R1846" s="189">
        <v>24.06</v>
      </c>
      <c r="S1846" s="189" t="s">
        <v>985</v>
      </c>
    </row>
    <row r="1847" spans="1:19" ht="14.25" customHeight="1" x14ac:dyDescent="0.3">
      <c r="A1847" s="182" t="s">
        <v>4734</v>
      </c>
      <c r="B1847" s="182" t="s">
        <v>937</v>
      </c>
      <c r="C1847" s="182" t="s">
        <v>938</v>
      </c>
      <c r="D1847" s="182" t="s">
        <v>939</v>
      </c>
      <c r="E1847" s="183" t="s">
        <v>940</v>
      </c>
      <c r="F1847" s="183" t="s">
        <v>941</v>
      </c>
      <c r="G1847" s="184">
        <v>6.6</v>
      </c>
      <c r="H1847" s="185">
        <v>0</v>
      </c>
      <c r="I1847" s="186">
        <v>60860.580776572002</v>
      </c>
      <c r="J1847" s="187">
        <v>401679.83312537498</v>
      </c>
      <c r="K1847" s="182" t="s">
        <v>4741</v>
      </c>
      <c r="L1847" s="182">
        <v>1</v>
      </c>
      <c r="M1847" s="182" t="s">
        <v>4742</v>
      </c>
      <c r="N1847" s="186">
        <v>1</v>
      </c>
      <c r="O1847" s="188">
        <v>6.6</v>
      </c>
      <c r="P1847" s="188">
        <v>17</v>
      </c>
      <c r="Q1847" s="188">
        <v>112.2</v>
      </c>
      <c r="R1847" s="189">
        <v>24.06</v>
      </c>
      <c r="S1847" s="189" t="s">
        <v>985</v>
      </c>
    </row>
    <row r="1848" spans="1:19" ht="14.25" customHeight="1" x14ac:dyDescent="0.3">
      <c r="A1848" s="182" t="s">
        <v>4743</v>
      </c>
      <c r="B1848" s="182" t="s">
        <v>563</v>
      </c>
      <c r="C1848" s="182"/>
      <c r="D1848" s="182" t="s">
        <v>4744</v>
      </c>
      <c r="E1848" s="183" t="s">
        <v>4745</v>
      </c>
      <c r="F1848" s="183"/>
      <c r="G1848" s="184">
        <v>1</v>
      </c>
      <c r="H1848" s="185">
        <v>0</v>
      </c>
      <c r="I1848" s="186">
        <v>58524.5226989148</v>
      </c>
      <c r="J1848" s="187">
        <v>58524.5226989148</v>
      </c>
      <c r="K1848" s="182" t="s">
        <v>4746</v>
      </c>
      <c r="L1848" s="182">
        <v>1</v>
      </c>
      <c r="M1848" s="182" t="s">
        <v>4747</v>
      </c>
      <c r="N1848" s="186">
        <v>1</v>
      </c>
      <c r="O1848" s="188">
        <v>1</v>
      </c>
      <c r="P1848" s="188">
        <v>1</v>
      </c>
      <c r="Q1848" s="188">
        <v>1</v>
      </c>
      <c r="R1848" s="189">
        <v>24.07</v>
      </c>
      <c r="S1848" s="189" t="s">
        <v>985</v>
      </c>
    </row>
    <row r="1849" spans="1:19" ht="14.25" customHeight="1" x14ac:dyDescent="0.3">
      <c r="A1849" s="182" t="s">
        <v>4743</v>
      </c>
      <c r="B1849" s="182" t="s">
        <v>908</v>
      </c>
      <c r="C1849" s="182" t="s">
        <v>909</v>
      </c>
      <c r="D1849" s="182" t="s">
        <v>4727</v>
      </c>
      <c r="E1849" s="183" t="s">
        <v>4728</v>
      </c>
      <c r="F1849" s="183" t="s">
        <v>584</v>
      </c>
      <c r="G1849" s="184">
        <v>5</v>
      </c>
      <c r="H1849" s="185">
        <v>0</v>
      </c>
      <c r="I1849" s="186">
        <v>50000</v>
      </c>
      <c r="J1849" s="187">
        <v>250000</v>
      </c>
      <c r="K1849" s="182" t="s">
        <v>4748</v>
      </c>
      <c r="L1849" s="182">
        <v>1</v>
      </c>
      <c r="M1849" s="182" t="s">
        <v>4749</v>
      </c>
      <c r="N1849" s="186">
        <v>1</v>
      </c>
      <c r="O1849" s="188">
        <v>5</v>
      </c>
      <c r="P1849" s="188">
        <v>1</v>
      </c>
      <c r="Q1849" s="188">
        <v>5</v>
      </c>
      <c r="R1849" s="189">
        <v>24.07</v>
      </c>
      <c r="S1849" s="189" t="s">
        <v>985</v>
      </c>
    </row>
    <row r="1850" spans="1:19" ht="14.25" customHeight="1" x14ac:dyDescent="0.3">
      <c r="A1850" s="182" t="s">
        <v>4743</v>
      </c>
      <c r="B1850" s="182" t="s">
        <v>937</v>
      </c>
      <c r="C1850" s="182" t="s">
        <v>938</v>
      </c>
      <c r="D1850" s="182" t="s">
        <v>939</v>
      </c>
      <c r="E1850" s="183" t="s">
        <v>940</v>
      </c>
      <c r="F1850" s="183" t="s">
        <v>941</v>
      </c>
      <c r="G1850" s="184">
        <v>60</v>
      </c>
      <c r="H1850" s="185">
        <v>0</v>
      </c>
      <c r="I1850" s="186">
        <v>60860.580776572002</v>
      </c>
      <c r="J1850" s="187">
        <v>3651634.8465943201</v>
      </c>
      <c r="K1850" s="182" t="s">
        <v>4750</v>
      </c>
      <c r="L1850" s="182">
        <v>1</v>
      </c>
      <c r="M1850" s="182" t="s">
        <v>4751</v>
      </c>
      <c r="N1850" s="186">
        <v>1</v>
      </c>
      <c r="O1850" s="188">
        <v>60</v>
      </c>
      <c r="P1850" s="188">
        <v>1</v>
      </c>
      <c r="Q1850" s="188">
        <v>60</v>
      </c>
      <c r="R1850" s="189">
        <v>24.07</v>
      </c>
      <c r="S1850" s="189" t="s">
        <v>985</v>
      </c>
    </row>
    <row r="1851" spans="1:19" ht="14.25" customHeight="1" x14ac:dyDescent="0.3">
      <c r="A1851" s="182" t="s">
        <v>4752</v>
      </c>
      <c r="B1851" s="182" t="s">
        <v>937</v>
      </c>
      <c r="C1851" s="182" t="s">
        <v>909</v>
      </c>
      <c r="D1851" s="182" t="s">
        <v>4753</v>
      </c>
      <c r="E1851" s="183" t="s">
        <v>4754</v>
      </c>
      <c r="F1851" s="183" t="s">
        <v>941</v>
      </c>
      <c r="G1851" s="184">
        <v>1</v>
      </c>
      <c r="H1851" s="185">
        <v>0</v>
      </c>
      <c r="I1851" s="186">
        <v>300000</v>
      </c>
      <c r="J1851" s="187">
        <v>300000</v>
      </c>
      <c r="K1851" s="182" t="s">
        <v>4755</v>
      </c>
      <c r="L1851" s="182">
        <v>1</v>
      </c>
      <c r="M1851" s="182" t="s">
        <v>4756</v>
      </c>
      <c r="N1851" s="186">
        <v>1</v>
      </c>
      <c r="O1851" s="188">
        <v>1</v>
      </c>
      <c r="P1851" s="188">
        <v>17</v>
      </c>
      <c r="Q1851" s="188">
        <v>17</v>
      </c>
      <c r="R1851" s="189">
        <v>24.08</v>
      </c>
      <c r="S1851" s="189" t="s">
        <v>573</v>
      </c>
    </row>
    <row r="1852" spans="1:19" ht="14.25" customHeight="1" x14ac:dyDescent="0.3">
      <c r="A1852" s="182" t="s">
        <v>4757</v>
      </c>
      <c r="B1852" s="182" t="s">
        <v>908</v>
      </c>
      <c r="C1852" s="182" t="s">
        <v>909</v>
      </c>
      <c r="D1852" s="182" t="s">
        <v>2614</v>
      </c>
      <c r="E1852" s="183" t="s">
        <v>805</v>
      </c>
      <c r="F1852" s="183" t="s">
        <v>600</v>
      </c>
      <c r="G1852" s="184">
        <v>2</v>
      </c>
      <c r="H1852" s="185">
        <v>0</v>
      </c>
      <c r="I1852" s="186">
        <v>100000</v>
      </c>
      <c r="J1852" s="187">
        <v>200000</v>
      </c>
      <c r="K1852" s="182" t="s">
        <v>4758</v>
      </c>
      <c r="L1852" s="182">
        <v>1</v>
      </c>
      <c r="M1852" s="182" t="s">
        <v>4759</v>
      </c>
      <c r="N1852" s="186">
        <v>1</v>
      </c>
      <c r="O1852" s="188">
        <v>2</v>
      </c>
      <c r="P1852" s="188">
        <v>17</v>
      </c>
      <c r="Q1852" s="188">
        <v>34</v>
      </c>
      <c r="R1852" s="189">
        <v>24.09</v>
      </c>
      <c r="S1852" s="189" t="s">
        <v>985</v>
      </c>
    </row>
    <row r="1853" spans="1:19" ht="14.25" customHeight="1" x14ac:dyDescent="0.3">
      <c r="A1853" s="182" t="s">
        <v>4757</v>
      </c>
      <c r="B1853" s="182" t="s">
        <v>937</v>
      </c>
      <c r="C1853" s="182" t="s">
        <v>909</v>
      </c>
      <c r="D1853" s="182" t="s">
        <v>4760</v>
      </c>
      <c r="E1853" s="183" t="s">
        <v>4761</v>
      </c>
      <c r="F1853" s="183" t="s">
        <v>941</v>
      </c>
      <c r="G1853" s="184">
        <v>1</v>
      </c>
      <c r="H1853" s="185">
        <v>0</v>
      </c>
      <c r="I1853" s="186">
        <v>60860.580776572002</v>
      </c>
      <c r="J1853" s="187">
        <v>60860.580776572002</v>
      </c>
      <c r="K1853" s="182" t="s">
        <v>4762</v>
      </c>
      <c r="L1853" s="182">
        <v>1</v>
      </c>
      <c r="M1853" s="182" t="s">
        <v>4763</v>
      </c>
      <c r="N1853" s="186">
        <v>1</v>
      </c>
      <c r="O1853" s="188">
        <v>1</v>
      </c>
      <c r="P1853" s="188">
        <v>17</v>
      </c>
      <c r="Q1853" s="188">
        <v>17</v>
      </c>
      <c r="R1853" s="189">
        <v>24.09</v>
      </c>
      <c r="S1853" s="189" t="s">
        <v>985</v>
      </c>
    </row>
    <row r="1854" spans="1:19" ht="14.25" customHeight="1" x14ac:dyDescent="0.3">
      <c r="A1854" s="182" t="s">
        <v>4764</v>
      </c>
      <c r="B1854" s="182" t="s">
        <v>937</v>
      </c>
      <c r="C1854" s="182" t="s">
        <v>909</v>
      </c>
      <c r="D1854" s="182" t="s">
        <v>4765</v>
      </c>
      <c r="E1854" s="183" t="s">
        <v>4766</v>
      </c>
      <c r="F1854" s="183" t="s">
        <v>941</v>
      </c>
      <c r="G1854" s="184">
        <v>1</v>
      </c>
      <c r="H1854" s="185">
        <v>0</v>
      </c>
      <c r="I1854" s="186">
        <v>4372210.5820000004</v>
      </c>
      <c r="J1854" s="187">
        <v>4372210.5820000004</v>
      </c>
      <c r="K1854" s="182" t="s">
        <v>4767</v>
      </c>
      <c r="L1854" s="182">
        <v>1</v>
      </c>
      <c r="M1854" s="182" t="s">
        <v>4768</v>
      </c>
      <c r="N1854" s="186">
        <v>1</v>
      </c>
      <c r="O1854" s="188">
        <v>1</v>
      </c>
      <c r="P1854" s="188">
        <v>17</v>
      </c>
      <c r="Q1854" s="188">
        <v>17</v>
      </c>
      <c r="R1854" s="189">
        <v>25.01</v>
      </c>
      <c r="S1854" s="189" t="s">
        <v>573</v>
      </c>
    </row>
    <row r="1855" spans="1:19" ht="14.25" customHeight="1" x14ac:dyDescent="0.3">
      <c r="A1855" s="182" t="s">
        <v>4769</v>
      </c>
      <c r="B1855" s="182" t="s">
        <v>937</v>
      </c>
      <c r="C1855" s="182" t="s">
        <v>909</v>
      </c>
      <c r="D1855" s="182" t="s">
        <v>4770</v>
      </c>
      <c r="E1855" s="183" t="s">
        <v>4771</v>
      </c>
      <c r="F1855" s="183" t="s">
        <v>941</v>
      </c>
      <c r="G1855" s="184">
        <v>1</v>
      </c>
      <c r="H1855" s="185">
        <v>0</v>
      </c>
      <c r="I1855" s="186">
        <v>500000</v>
      </c>
      <c r="J1855" s="187">
        <v>500000</v>
      </c>
      <c r="K1855" s="182" t="s">
        <v>4772</v>
      </c>
      <c r="L1855" s="182">
        <v>1</v>
      </c>
      <c r="M1855" s="182" t="s">
        <v>4773</v>
      </c>
      <c r="N1855" s="186">
        <v>1</v>
      </c>
      <c r="O1855" s="188">
        <v>1</v>
      </c>
      <c r="P1855" s="188">
        <v>17</v>
      </c>
      <c r="Q1855" s="188">
        <v>17</v>
      </c>
      <c r="R1855" s="189">
        <v>25.02</v>
      </c>
      <c r="S1855" s="189" t="s">
        <v>573</v>
      </c>
    </row>
    <row r="1856" spans="1:19" ht="14.25" customHeight="1" x14ac:dyDescent="0.3">
      <c r="A1856" s="182" t="s">
        <v>4774</v>
      </c>
      <c r="B1856" s="182" t="s">
        <v>563</v>
      </c>
      <c r="C1856" s="182"/>
      <c r="D1856" s="182" t="s">
        <v>948</v>
      </c>
      <c r="E1856" s="183" t="s">
        <v>949</v>
      </c>
      <c r="F1856" s="183"/>
      <c r="G1856" s="184">
        <v>1</v>
      </c>
      <c r="H1856" s="185">
        <v>0</v>
      </c>
      <c r="I1856" s="186">
        <v>571.17949098076099</v>
      </c>
      <c r="J1856" s="187">
        <v>571.17949098076099</v>
      </c>
      <c r="K1856" s="182" t="s">
        <v>4775</v>
      </c>
      <c r="L1856" s="182">
        <v>1</v>
      </c>
      <c r="M1856" s="182" t="s">
        <v>4776</v>
      </c>
      <c r="N1856" s="186">
        <v>35</v>
      </c>
      <c r="O1856" s="188">
        <v>1</v>
      </c>
      <c r="P1856" s="188" t="s">
        <v>573</v>
      </c>
      <c r="Q1856" s="188">
        <v>0</v>
      </c>
      <c r="R1856" s="189" t="s">
        <v>573</v>
      </c>
      <c r="S1856" s="189" t="s">
        <v>573</v>
      </c>
    </row>
    <row r="1857" spans="1:19" ht="14.25" customHeight="1" x14ac:dyDescent="0.3">
      <c r="A1857" s="182" t="s">
        <v>4774</v>
      </c>
      <c r="B1857" s="182" t="s">
        <v>563</v>
      </c>
      <c r="C1857" s="182"/>
      <c r="D1857" s="182" t="s">
        <v>952</v>
      </c>
      <c r="E1857" s="183" t="s">
        <v>953</v>
      </c>
      <c r="F1857" s="183"/>
      <c r="G1857" s="184">
        <v>1</v>
      </c>
      <c r="H1857" s="185">
        <v>0</v>
      </c>
      <c r="I1857" s="186">
        <v>2287.1357450968098</v>
      </c>
      <c r="J1857" s="187">
        <v>2287.1357450968098</v>
      </c>
      <c r="K1857" s="182" t="s">
        <v>4775</v>
      </c>
      <c r="L1857" s="182">
        <v>2</v>
      </c>
      <c r="M1857" s="182" t="s">
        <v>4777</v>
      </c>
      <c r="N1857" s="186">
        <v>35</v>
      </c>
      <c r="O1857" s="188">
        <v>1</v>
      </c>
      <c r="P1857" s="188" t="s">
        <v>573</v>
      </c>
      <c r="Q1857" s="188">
        <v>0</v>
      </c>
      <c r="R1857" s="189" t="s">
        <v>573</v>
      </c>
      <c r="S1857" s="189" t="s">
        <v>573</v>
      </c>
    </row>
    <row r="1858" spans="1:19" ht="14.25" customHeight="1" x14ac:dyDescent="0.3">
      <c r="A1858" s="182" t="s">
        <v>4774</v>
      </c>
      <c r="B1858" s="182" t="s">
        <v>563</v>
      </c>
      <c r="C1858" s="182"/>
      <c r="D1858" s="182" t="s">
        <v>4778</v>
      </c>
      <c r="E1858" s="183" t="s">
        <v>4779</v>
      </c>
      <c r="F1858" s="183"/>
      <c r="G1858" s="184">
        <v>1</v>
      </c>
      <c r="H1858" s="185">
        <v>0</v>
      </c>
      <c r="I1858" s="186">
        <v>41000</v>
      </c>
      <c r="J1858" s="187">
        <v>41000</v>
      </c>
      <c r="K1858" s="182" t="s">
        <v>4775</v>
      </c>
      <c r="L1858" s="182">
        <v>3</v>
      </c>
      <c r="M1858" s="182" t="s">
        <v>4780</v>
      </c>
      <c r="N1858" s="186">
        <v>35</v>
      </c>
      <c r="O1858" s="188">
        <v>1</v>
      </c>
      <c r="P1858" s="188" t="s">
        <v>573</v>
      </c>
      <c r="Q1858" s="188">
        <v>0</v>
      </c>
      <c r="R1858" s="189" t="s">
        <v>573</v>
      </c>
      <c r="S1858" s="189" t="s">
        <v>573</v>
      </c>
    </row>
    <row r="1859" spans="1:19" ht="14.25" customHeight="1" x14ac:dyDescent="0.3">
      <c r="A1859" s="182" t="s">
        <v>4774</v>
      </c>
      <c r="B1859" s="182" t="s">
        <v>908</v>
      </c>
      <c r="C1859" s="182" t="s">
        <v>909</v>
      </c>
      <c r="D1859" s="182" t="s">
        <v>962</v>
      </c>
      <c r="E1859" s="183" t="s">
        <v>963</v>
      </c>
      <c r="F1859" s="183" t="s">
        <v>590</v>
      </c>
      <c r="G1859" s="184">
        <v>1.5</v>
      </c>
      <c r="H1859" s="185">
        <v>0.1</v>
      </c>
      <c r="I1859" s="186">
        <v>32399.77</v>
      </c>
      <c r="J1859" s="187">
        <v>53459.620499999997</v>
      </c>
      <c r="K1859" s="182" t="s">
        <v>4781</v>
      </c>
      <c r="L1859" s="182">
        <v>1</v>
      </c>
      <c r="M1859" s="182" t="s">
        <v>4782</v>
      </c>
      <c r="N1859" s="186">
        <v>35</v>
      </c>
      <c r="O1859" s="188">
        <v>1.5</v>
      </c>
      <c r="P1859" s="188" t="s">
        <v>573</v>
      </c>
      <c r="Q1859" s="188">
        <v>0</v>
      </c>
      <c r="R1859" s="189" t="s">
        <v>573</v>
      </c>
      <c r="S1859" s="189" t="s">
        <v>573</v>
      </c>
    </row>
    <row r="1860" spans="1:19" ht="14.25" customHeight="1" x14ac:dyDescent="0.3">
      <c r="A1860" s="182" t="s">
        <v>4774</v>
      </c>
      <c r="B1860" s="182" t="s">
        <v>908</v>
      </c>
      <c r="C1860" s="182" t="s">
        <v>909</v>
      </c>
      <c r="D1860" s="182" t="s">
        <v>4783</v>
      </c>
      <c r="E1860" s="183" t="s">
        <v>4784</v>
      </c>
      <c r="F1860" s="183" t="s">
        <v>576</v>
      </c>
      <c r="G1860" s="184">
        <v>1E-3</v>
      </c>
      <c r="H1860" s="185">
        <v>0</v>
      </c>
      <c r="I1860" s="186">
        <v>465850</v>
      </c>
      <c r="J1860" s="187">
        <v>465.85</v>
      </c>
      <c r="K1860" s="182" t="s">
        <v>4781</v>
      </c>
      <c r="L1860" s="182">
        <v>2</v>
      </c>
      <c r="M1860" s="182" t="s">
        <v>4785</v>
      </c>
      <c r="N1860" s="186">
        <v>35</v>
      </c>
      <c r="O1860" s="188">
        <v>1E-3</v>
      </c>
      <c r="P1860" s="188" t="s">
        <v>573</v>
      </c>
      <c r="Q1860" s="188">
        <v>0</v>
      </c>
      <c r="R1860" s="189" t="s">
        <v>573</v>
      </c>
      <c r="S1860" s="189" t="s">
        <v>573</v>
      </c>
    </row>
    <row r="1861" spans="1:19" ht="14.25" customHeight="1" x14ac:dyDescent="0.3">
      <c r="A1861" s="182" t="s">
        <v>4774</v>
      </c>
      <c r="B1861" s="182" t="s">
        <v>937</v>
      </c>
      <c r="C1861" s="182" t="s">
        <v>938</v>
      </c>
      <c r="D1861" s="190" t="s">
        <v>939</v>
      </c>
      <c r="E1861" s="183" t="s">
        <v>940</v>
      </c>
      <c r="F1861" s="183" t="s">
        <v>941</v>
      </c>
      <c r="G1861" s="184">
        <v>1.5</v>
      </c>
      <c r="H1861" s="185">
        <v>0</v>
      </c>
      <c r="I1861" s="186">
        <v>60860.580776572002</v>
      </c>
      <c r="J1861" s="187">
        <v>91290.871164858007</v>
      </c>
      <c r="K1861" s="182" t="s">
        <v>4786</v>
      </c>
      <c r="L1861" s="182">
        <v>1</v>
      </c>
      <c r="M1861" s="182" t="s">
        <v>4787</v>
      </c>
      <c r="N1861" s="186">
        <v>35</v>
      </c>
      <c r="O1861" s="188">
        <v>4.2857142857142899E-2</v>
      </c>
      <c r="P1861" s="188" t="s">
        <v>573</v>
      </c>
      <c r="Q1861" s="188">
        <v>0</v>
      </c>
      <c r="R1861" s="189" t="s">
        <v>573</v>
      </c>
      <c r="S1861" s="189" t="s">
        <v>573</v>
      </c>
    </row>
    <row r="1862" spans="1:19" ht="14.25" customHeight="1" x14ac:dyDescent="0.3">
      <c r="A1862" s="182" t="s">
        <v>4774</v>
      </c>
      <c r="B1862" s="182" t="s">
        <v>937</v>
      </c>
      <c r="C1862" s="182" t="s">
        <v>938</v>
      </c>
      <c r="D1862" s="190" t="s">
        <v>1291</v>
      </c>
      <c r="E1862" s="183" t="s">
        <v>1292</v>
      </c>
      <c r="F1862" s="183" t="s">
        <v>941</v>
      </c>
      <c r="G1862" s="184">
        <v>1</v>
      </c>
      <c r="H1862" s="185">
        <v>0</v>
      </c>
      <c r="I1862" s="186">
        <v>65493.071636572</v>
      </c>
      <c r="J1862" s="187">
        <v>65493.071636572</v>
      </c>
      <c r="K1862" s="182" t="s">
        <v>4786</v>
      </c>
      <c r="L1862" s="182">
        <v>2</v>
      </c>
      <c r="M1862" s="182" t="s">
        <v>4788</v>
      </c>
      <c r="N1862" s="186">
        <v>35</v>
      </c>
      <c r="O1862" s="188">
        <v>2.8571428571428598E-2</v>
      </c>
      <c r="P1862" s="188" t="s">
        <v>573</v>
      </c>
      <c r="Q1862" s="188">
        <v>0</v>
      </c>
      <c r="R1862" s="189" t="s">
        <v>573</v>
      </c>
      <c r="S1862" s="189" t="s">
        <v>573</v>
      </c>
    </row>
    <row r="1863" spans="1:19" ht="14.25" customHeight="1" x14ac:dyDescent="0.3">
      <c r="A1863" s="182" t="s">
        <v>4774</v>
      </c>
      <c r="B1863" s="182" t="s">
        <v>937</v>
      </c>
      <c r="C1863" s="182" t="s">
        <v>938</v>
      </c>
      <c r="D1863" s="190" t="s">
        <v>944</v>
      </c>
      <c r="E1863" s="183" t="s">
        <v>945</v>
      </c>
      <c r="F1863" s="183" t="s">
        <v>941</v>
      </c>
      <c r="G1863" s="184">
        <v>1</v>
      </c>
      <c r="H1863" s="185">
        <v>0</v>
      </c>
      <c r="I1863" s="186">
        <v>85927.097156571996</v>
      </c>
      <c r="J1863" s="187">
        <v>85927.097156571996</v>
      </c>
      <c r="K1863" s="182" t="s">
        <v>4786</v>
      </c>
      <c r="L1863" s="182">
        <v>3</v>
      </c>
      <c r="M1863" s="182" t="s">
        <v>4789</v>
      </c>
      <c r="N1863" s="186">
        <v>35</v>
      </c>
      <c r="O1863" s="188">
        <v>2.8571428571428598E-2</v>
      </c>
      <c r="P1863" s="188" t="s">
        <v>573</v>
      </c>
      <c r="Q1863" s="188">
        <v>0</v>
      </c>
      <c r="R1863" s="189" t="s">
        <v>573</v>
      </c>
      <c r="S1863" s="189" t="s">
        <v>573</v>
      </c>
    </row>
    <row r="1864" spans="1:19" ht="14.25" customHeight="1" x14ac:dyDescent="0.3">
      <c r="A1864" s="182" t="s">
        <v>4790</v>
      </c>
      <c r="B1864" s="182" t="s">
        <v>563</v>
      </c>
      <c r="C1864" s="182"/>
      <c r="D1864" s="182" t="s">
        <v>948</v>
      </c>
      <c r="E1864" s="183" t="s">
        <v>949</v>
      </c>
      <c r="F1864" s="183"/>
      <c r="G1864" s="184">
        <v>1</v>
      </c>
      <c r="H1864" s="185">
        <v>0</v>
      </c>
      <c r="I1864" s="186">
        <v>571.17949098076099</v>
      </c>
      <c r="J1864" s="187">
        <v>571.17949098076099</v>
      </c>
      <c r="K1864" s="182" t="s">
        <v>4791</v>
      </c>
      <c r="L1864" s="182">
        <v>1</v>
      </c>
      <c r="M1864" s="182" t="s">
        <v>4792</v>
      </c>
      <c r="N1864" s="186">
        <v>18</v>
      </c>
      <c r="O1864" s="188">
        <v>1</v>
      </c>
      <c r="P1864" s="188" t="s">
        <v>573</v>
      </c>
      <c r="Q1864" s="188">
        <v>0</v>
      </c>
      <c r="R1864" s="189" t="s">
        <v>573</v>
      </c>
      <c r="S1864" s="189" t="s">
        <v>573</v>
      </c>
    </row>
    <row r="1865" spans="1:19" ht="14.25" customHeight="1" x14ac:dyDescent="0.3">
      <c r="A1865" s="182" t="s">
        <v>4790</v>
      </c>
      <c r="B1865" s="182" t="s">
        <v>563</v>
      </c>
      <c r="C1865" s="182"/>
      <c r="D1865" s="182" t="s">
        <v>952</v>
      </c>
      <c r="E1865" s="183" t="s">
        <v>953</v>
      </c>
      <c r="F1865" s="183"/>
      <c r="G1865" s="184">
        <v>1</v>
      </c>
      <c r="H1865" s="185">
        <v>0</v>
      </c>
      <c r="I1865" s="186">
        <v>2287.1357450968098</v>
      </c>
      <c r="J1865" s="187">
        <v>2287.1357450968098</v>
      </c>
      <c r="K1865" s="182" t="s">
        <v>4791</v>
      </c>
      <c r="L1865" s="182">
        <v>2</v>
      </c>
      <c r="M1865" s="182" t="s">
        <v>4793</v>
      </c>
      <c r="N1865" s="186">
        <v>18</v>
      </c>
      <c r="O1865" s="188">
        <v>1</v>
      </c>
      <c r="P1865" s="188" t="s">
        <v>573</v>
      </c>
      <c r="Q1865" s="188">
        <v>0</v>
      </c>
      <c r="R1865" s="189" t="s">
        <v>573</v>
      </c>
      <c r="S1865" s="189" t="s">
        <v>573</v>
      </c>
    </row>
    <row r="1866" spans="1:19" ht="14.25" customHeight="1" x14ac:dyDescent="0.3">
      <c r="A1866" s="182" t="s">
        <v>4790</v>
      </c>
      <c r="B1866" s="182" t="s">
        <v>563</v>
      </c>
      <c r="C1866" s="182"/>
      <c r="D1866" s="182" t="s">
        <v>955</v>
      </c>
      <c r="E1866" s="183" t="s">
        <v>956</v>
      </c>
      <c r="F1866" s="183"/>
      <c r="G1866" s="184">
        <v>1</v>
      </c>
      <c r="H1866" s="185">
        <v>0</v>
      </c>
      <c r="I1866" s="186">
        <v>957.25319614994703</v>
      </c>
      <c r="J1866" s="187">
        <v>957.25319614994703</v>
      </c>
      <c r="K1866" s="182" t="s">
        <v>4791</v>
      </c>
      <c r="L1866" s="182">
        <v>3</v>
      </c>
      <c r="M1866" s="182" t="s">
        <v>4794</v>
      </c>
      <c r="N1866" s="186">
        <v>18</v>
      </c>
      <c r="O1866" s="188">
        <v>1</v>
      </c>
      <c r="P1866" s="188" t="s">
        <v>573</v>
      </c>
      <c r="Q1866" s="188">
        <v>0</v>
      </c>
      <c r="R1866" s="189" t="s">
        <v>573</v>
      </c>
      <c r="S1866" s="189" t="s">
        <v>573</v>
      </c>
    </row>
    <row r="1867" spans="1:19" ht="14.25" customHeight="1" x14ac:dyDescent="0.3">
      <c r="A1867" s="182" t="s">
        <v>4790</v>
      </c>
      <c r="B1867" s="182" t="s">
        <v>908</v>
      </c>
      <c r="C1867" s="182" t="s">
        <v>909</v>
      </c>
      <c r="D1867" s="182" t="s">
        <v>962</v>
      </c>
      <c r="E1867" s="183" t="s">
        <v>963</v>
      </c>
      <c r="F1867" s="183" t="s">
        <v>590</v>
      </c>
      <c r="G1867" s="184">
        <v>1.7000000000000001E-2</v>
      </c>
      <c r="H1867" s="185">
        <v>0.1</v>
      </c>
      <c r="I1867" s="186">
        <v>32399.77</v>
      </c>
      <c r="J1867" s="187">
        <v>605.87569900000005</v>
      </c>
      <c r="K1867" s="182" t="s">
        <v>4795</v>
      </c>
      <c r="L1867" s="182">
        <v>1</v>
      </c>
      <c r="M1867" s="182" t="s">
        <v>4796</v>
      </c>
      <c r="N1867" s="186">
        <v>18</v>
      </c>
      <c r="O1867" s="188">
        <v>1.7000000000000001E-2</v>
      </c>
      <c r="P1867" s="188" t="s">
        <v>573</v>
      </c>
      <c r="Q1867" s="188">
        <v>0</v>
      </c>
      <c r="R1867" s="189" t="s">
        <v>573</v>
      </c>
      <c r="S1867" s="189" t="s">
        <v>573</v>
      </c>
    </row>
    <row r="1868" spans="1:19" ht="14.25" customHeight="1" x14ac:dyDescent="0.3">
      <c r="A1868" s="182" t="s">
        <v>4790</v>
      </c>
      <c r="B1868" s="182" t="s">
        <v>908</v>
      </c>
      <c r="C1868" s="182" t="s">
        <v>909</v>
      </c>
      <c r="D1868" s="182" t="s">
        <v>965</v>
      </c>
      <c r="E1868" s="183" t="s">
        <v>966</v>
      </c>
      <c r="F1868" s="183" t="s">
        <v>967</v>
      </c>
      <c r="G1868" s="184">
        <v>3.6999999999999998E-2</v>
      </c>
      <c r="H1868" s="185">
        <v>0.1</v>
      </c>
      <c r="I1868" s="186">
        <v>7809.48</v>
      </c>
      <c r="J1868" s="187">
        <v>317.84583600000002</v>
      </c>
      <c r="K1868" s="182" t="s">
        <v>4795</v>
      </c>
      <c r="L1868" s="182">
        <v>2</v>
      </c>
      <c r="M1868" s="182" t="s">
        <v>4797</v>
      </c>
      <c r="N1868" s="186">
        <v>18</v>
      </c>
      <c r="O1868" s="188">
        <v>3.6999999999999998E-2</v>
      </c>
      <c r="P1868" s="188" t="s">
        <v>573</v>
      </c>
      <c r="Q1868" s="188">
        <v>0</v>
      </c>
      <c r="R1868" s="189" t="s">
        <v>573</v>
      </c>
      <c r="S1868" s="189" t="s">
        <v>573</v>
      </c>
    </row>
    <row r="1869" spans="1:19" ht="14.25" customHeight="1" x14ac:dyDescent="0.3">
      <c r="A1869" s="182" t="s">
        <v>4790</v>
      </c>
      <c r="B1869" s="182" t="s">
        <v>908</v>
      </c>
      <c r="C1869" s="182" t="s">
        <v>909</v>
      </c>
      <c r="D1869" s="182" t="s">
        <v>969</v>
      </c>
      <c r="E1869" s="183" t="s">
        <v>970</v>
      </c>
      <c r="F1869" s="183" t="s">
        <v>971</v>
      </c>
      <c r="G1869" s="184">
        <v>0.14399999999999999</v>
      </c>
      <c r="H1869" s="185">
        <v>0.1</v>
      </c>
      <c r="I1869" s="186">
        <v>3837.96</v>
      </c>
      <c r="J1869" s="187">
        <v>607.932864</v>
      </c>
      <c r="K1869" s="182" t="s">
        <v>4795</v>
      </c>
      <c r="L1869" s="182">
        <v>3</v>
      </c>
      <c r="M1869" s="182" t="s">
        <v>4798</v>
      </c>
      <c r="N1869" s="186">
        <v>18</v>
      </c>
      <c r="O1869" s="188">
        <v>0.14399999999999999</v>
      </c>
      <c r="P1869" s="188" t="s">
        <v>573</v>
      </c>
      <c r="Q1869" s="188">
        <v>0</v>
      </c>
      <c r="R1869" s="189" t="s">
        <v>573</v>
      </c>
      <c r="S1869" s="189" t="s">
        <v>573</v>
      </c>
    </row>
    <row r="1870" spans="1:19" ht="14.25" customHeight="1" x14ac:dyDescent="0.3">
      <c r="A1870" s="182" t="s">
        <v>4790</v>
      </c>
      <c r="B1870" s="182" t="s">
        <v>937</v>
      </c>
      <c r="C1870" s="182" t="s">
        <v>938</v>
      </c>
      <c r="D1870" s="190" t="s">
        <v>939</v>
      </c>
      <c r="E1870" s="183" t="s">
        <v>940</v>
      </c>
      <c r="F1870" s="183" t="s">
        <v>941</v>
      </c>
      <c r="G1870" s="184">
        <v>0.75</v>
      </c>
      <c r="H1870" s="185">
        <v>0</v>
      </c>
      <c r="I1870" s="186">
        <v>60860.580776572002</v>
      </c>
      <c r="J1870" s="187">
        <v>45645.435582429003</v>
      </c>
      <c r="K1870" s="182" t="s">
        <v>4799</v>
      </c>
      <c r="L1870" s="182">
        <v>1</v>
      </c>
      <c r="M1870" s="182" t="s">
        <v>4800</v>
      </c>
      <c r="N1870" s="186">
        <v>18</v>
      </c>
      <c r="O1870" s="188">
        <v>4.1666666666666699E-2</v>
      </c>
      <c r="P1870" s="188" t="s">
        <v>573</v>
      </c>
      <c r="Q1870" s="188">
        <v>0</v>
      </c>
      <c r="R1870" s="189" t="s">
        <v>573</v>
      </c>
      <c r="S1870" s="189" t="s">
        <v>573</v>
      </c>
    </row>
    <row r="1871" spans="1:19" ht="14.25" customHeight="1" x14ac:dyDescent="0.3">
      <c r="A1871" s="182" t="s">
        <v>4790</v>
      </c>
      <c r="B1871" s="182" t="s">
        <v>937</v>
      </c>
      <c r="C1871" s="182" t="s">
        <v>938</v>
      </c>
      <c r="D1871" s="190" t="s">
        <v>944</v>
      </c>
      <c r="E1871" s="183" t="s">
        <v>945</v>
      </c>
      <c r="F1871" s="183" t="s">
        <v>941</v>
      </c>
      <c r="G1871" s="184">
        <v>1</v>
      </c>
      <c r="H1871" s="185">
        <v>0</v>
      </c>
      <c r="I1871" s="186">
        <v>85927.097156571996</v>
      </c>
      <c r="J1871" s="187">
        <v>85927.097156571996</v>
      </c>
      <c r="K1871" s="182" t="s">
        <v>4799</v>
      </c>
      <c r="L1871" s="182">
        <v>2</v>
      </c>
      <c r="M1871" s="182" t="s">
        <v>4801</v>
      </c>
      <c r="N1871" s="186">
        <v>18</v>
      </c>
      <c r="O1871" s="188">
        <v>5.5555555555555601E-2</v>
      </c>
      <c r="P1871" s="188" t="s">
        <v>573</v>
      </c>
      <c r="Q1871" s="188">
        <v>0</v>
      </c>
      <c r="R1871" s="189" t="s">
        <v>573</v>
      </c>
      <c r="S1871" s="189" t="s">
        <v>573</v>
      </c>
    </row>
    <row r="1872" spans="1:19" ht="14.25" customHeight="1" x14ac:dyDescent="0.3">
      <c r="A1872" s="182" t="s">
        <v>4802</v>
      </c>
      <c r="B1872" s="182" t="s">
        <v>563</v>
      </c>
      <c r="C1872" s="182"/>
      <c r="D1872" s="182" t="s">
        <v>948</v>
      </c>
      <c r="E1872" s="183" t="s">
        <v>949</v>
      </c>
      <c r="F1872" s="183"/>
      <c r="G1872" s="184">
        <v>1</v>
      </c>
      <c r="H1872" s="185">
        <v>0</v>
      </c>
      <c r="I1872" s="186">
        <v>571.17949098076099</v>
      </c>
      <c r="J1872" s="187">
        <v>571.17949098076099</v>
      </c>
      <c r="K1872" s="182" t="s">
        <v>4803</v>
      </c>
      <c r="L1872" s="182">
        <v>1</v>
      </c>
      <c r="M1872" s="182" t="s">
        <v>4804</v>
      </c>
      <c r="N1872" s="186">
        <v>9</v>
      </c>
      <c r="O1872" s="188">
        <v>1</v>
      </c>
      <c r="P1872" s="188" t="s">
        <v>573</v>
      </c>
      <c r="Q1872" s="188">
        <v>0</v>
      </c>
      <c r="R1872" s="189" t="s">
        <v>573</v>
      </c>
      <c r="S1872" s="189" t="s">
        <v>573</v>
      </c>
    </row>
    <row r="1873" spans="1:19" ht="14.25" customHeight="1" x14ac:dyDescent="0.3">
      <c r="A1873" s="182" t="s">
        <v>4802</v>
      </c>
      <c r="B1873" s="182" t="s">
        <v>563</v>
      </c>
      <c r="C1873" s="182"/>
      <c r="D1873" s="182" t="s">
        <v>952</v>
      </c>
      <c r="E1873" s="183" t="s">
        <v>953</v>
      </c>
      <c r="F1873" s="183"/>
      <c r="G1873" s="184">
        <v>1</v>
      </c>
      <c r="H1873" s="185">
        <v>0</v>
      </c>
      <c r="I1873" s="186">
        <v>2287.1357450968098</v>
      </c>
      <c r="J1873" s="187">
        <v>2287.1357450968098</v>
      </c>
      <c r="K1873" s="182" t="s">
        <v>4803</v>
      </c>
      <c r="L1873" s="182">
        <v>2</v>
      </c>
      <c r="M1873" s="182" t="s">
        <v>4805</v>
      </c>
      <c r="N1873" s="186">
        <v>9</v>
      </c>
      <c r="O1873" s="188">
        <v>1</v>
      </c>
      <c r="P1873" s="188" t="s">
        <v>573</v>
      </c>
      <c r="Q1873" s="188">
        <v>0</v>
      </c>
      <c r="R1873" s="189" t="s">
        <v>573</v>
      </c>
      <c r="S1873" s="189" t="s">
        <v>573</v>
      </c>
    </row>
    <row r="1874" spans="1:19" ht="14.25" customHeight="1" x14ac:dyDescent="0.3">
      <c r="A1874" s="182" t="s">
        <v>4802</v>
      </c>
      <c r="B1874" s="182" t="s">
        <v>563</v>
      </c>
      <c r="C1874" s="182"/>
      <c r="D1874" s="182" t="s">
        <v>955</v>
      </c>
      <c r="E1874" s="183" t="s">
        <v>956</v>
      </c>
      <c r="F1874" s="183"/>
      <c r="G1874" s="184">
        <v>1</v>
      </c>
      <c r="H1874" s="185">
        <v>0</v>
      </c>
      <c r="I1874" s="186">
        <v>957.25319614994703</v>
      </c>
      <c r="J1874" s="187">
        <v>957.25319614994703</v>
      </c>
      <c r="K1874" s="182" t="s">
        <v>4803</v>
      </c>
      <c r="L1874" s="182">
        <v>3</v>
      </c>
      <c r="M1874" s="182" t="s">
        <v>4806</v>
      </c>
      <c r="N1874" s="186">
        <v>9</v>
      </c>
      <c r="O1874" s="188">
        <v>1</v>
      </c>
      <c r="P1874" s="188" t="s">
        <v>573</v>
      </c>
      <c r="Q1874" s="188">
        <v>0</v>
      </c>
      <c r="R1874" s="189" t="s">
        <v>573</v>
      </c>
      <c r="S1874" s="189" t="s">
        <v>573</v>
      </c>
    </row>
    <row r="1875" spans="1:19" ht="14.25" customHeight="1" x14ac:dyDescent="0.3">
      <c r="A1875" s="182" t="s">
        <v>4802</v>
      </c>
      <c r="B1875" s="182" t="s">
        <v>908</v>
      </c>
      <c r="C1875" s="182" t="s">
        <v>909</v>
      </c>
      <c r="D1875" s="182" t="s">
        <v>962</v>
      </c>
      <c r="E1875" s="183" t="s">
        <v>963</v>
      </c>
      <c r="F1875" s="183" t="s">
        <v>590</v>
      </c>
      <c r="G1875" s="184">
        <v>0.01</v>
      </c>
      <c r="H1875" s="185">
        <v>0.1</v>
      </c>
      <c r="I1875" s="186">
        <v>32399.77</v>
      </c>
      <c r="J1875" s="187">
        <v>356.39747</v>
      </c>
      <c r="K1875" s="182" t="s">
        <v>4807</v>
      </c>
      <c r="L1875" s="182">
        <v>1</v>
      </c>
      <c r="M1875" s="182" t="s">
        <v>4808</v>
      </c>
      <c r="N1875" s="186">
        <v>9</v>
      </c>
      <c r="O1875" s="188">
        <v>0.01</v>
      </c>
      <c r="P1875" s="188" t="s">
        <v>573</v>
      </c>
      <c r="Q1875" s="188">
        <v>0</v>
      </c>
      <c r="R1875" s="189" t="s">
        <v>573</v>
      </c>
      <c r="S1875" s="189" t="s">
        <v>573</v>
      </c>
    </row>
    <row r="1876" spans="1:19" ht="14.25" customHeight="1" x14ac:dyDescent="0.3">
      <c r="A1876" s="182" t="s">
        <v>4802</v>
      </c>
      <c r="B1876" s="182" t="s">
        <v>908</v>
      </c>
      <c r="C1876" s="182" t="s">
        <v>909</v>
      </c>
      <c r="D1876" s="182" t="s">
        <v>965</v>
      </c>
      <c r="E1876" s="183" t="s">
        <v>966</v>
      </c>
      <c r="F1876" s="183" t="s">
        <v>967</v>
      </c>
      <c r="G1876" s="184">
        <v>8.9999999999999993E-3</v>
      </c>
      <c r="H1876" s="185">
        <v>0.1</v>
      </c>
      <c r="I1876" s="186">
        <v>7809.48</v>
      </c>
      <c r="J1876" s="187">
        <v>77.313851999999997</v>
      </c>
      <c r="K1876" s="182" t="s">
        <v>4807</v>
      </c>
      <c r="L1876" s="182">
        <v>2</v>
      </c>
      <c r="M1876" s="182" t="s">
        <v>4809</v>
      </c>
      <c r="N1876" s="186">
        <v>9</v>
      </c>
      <c r="O1876" s="188">
        <v>8.9999999999999993E-3</v>
      </c>
      <c r="P1876" s="188" t="s">
        <v>573</v>
      </c>
      <c r="Q1876" s="188">
        <v>0</v>
      </c>
      <c r="R1876" s="189" t="s">
        <v>573</v>
      </c>
      <c r="S1876" s="189" t="s">
        <v>573</v>
      </c>
    </row>
    <row r="1877" spans="1:19" ht="14.25" customHeight="1" x14ac:dyDescent="0.3">
      <c r="A1877" s="182" t="s">
        <v>4802</v>
      </c>
      <c r="B1877" s="182" t="s">
        <v>908</v>
      </c>
      <c r="C1877" s="182" t="s">
        <v>909</v>
      </c>
      <c r="D1877" s="182" t="s">
        <v>969</v>
      </c>
      <c r="E1877" s="183" t="s">
        <v>970</v>
      </c>
      <c r="F1877" s="183" t="s">
        <v>971</v>
      </c>
      <c r="G1877" s="184">
        <v>6.4000000000000001E-2</v>
      </c>
      <c r="H1877" s="185">
        <v>0.1</v>
      </c>
      <c r="I1877" s="186">
        <v>3837.96</v>
      </c>
      <c r="J1877" s="187">
        <v>270.192384</v>
      </c>
      <c r="K1877" s="182" t="s">
        <v>4807</v>
      </c>
      <c r="L1877" s="182">
        <v>3</v>
      </c>
      <c r="M1877" s="182" t="s">
        <v>4810</v>
      </c>
      <c r="N1877" s="186">
        <v>9</v>
      </c>
      <c r="O1877" s="188">
        <v>6.4000000000000001E-2</v>
      </c>
      <c r="P1877" s="188" t="s">
        <v>573</v>
      </c>
      <c r="Q1877" s="188">
        <v>0</v>
      </c>
      <c r="R1877" s="189" t="s">
        <v>573</v>
      </c>
      <c r="S1877" s="189" t="s">
        <v>573</v>
      </c>
    </row>
    <row r="1878" spans="1:19" ht="14.25" customHeight="1" x14ac:dyDescent="0.3">
      <c r="A1878" s="182" t="s">
        <v>4802</v>
      </c>
      <c r="B1878" s="182" t="s">
        <v>937</v>
      </c>
      <c r="C1878" s="182" t="s">
        <v>938</v>
      </c>
      <c r="D1878" s="190" t="s">
        <v>939</v>
      </c>
      <c r="E1878" s="183" t="s">
        <v>940</v>
      </c>
      <c r="F1878" s="183" t="s">
        <v>941</v>
      </c>
      <c r="G1878" s="184">
        <v>0.6</v>
      </c>
      <c r="H1878" s="185">
        <v>0</v>
      </c>
      <c r="I1878" s="186">
        <v>60860.580776572002</v>
      </c>
      <c r="J1878" s="187">
        <v>36516.3484659432</v>
      </c>
      <c r="K1878" s="182" t="s">
        <v>4811</v>
      </c>
      <c r="L1878" s="182">
        <v>1</v>
      </c>
      <c r="M1878" s="182" t="s">
        <v>4812</v>
      </c>
      <c r="N1878" s="186">
        <v>9</v>
      </c>
      <c r="O1878" s="188">
        <v>6.6666666666666693E-2</v>
      </c>
      <c r="P1878" s="188" t="s">
        <v>573</v>
      </c>
      <c r="Q1878" s="188">
        <v>0</v>
      </c>
      <c r="R1878" s="189" t="s">
        <v>573</v>
      </c>
      <c r="S1878" s="189" t="s">
        <v>573</v>
      </c>
    </row>
    <row r="1879" spans="1:19" ht="14.25" customHeight="1" x14ac:dyDescent="0.3">
      <c r="A1879" s="182" t="s">
        <v>4802</v>
      </c>
      <c r="B1879" s="182" t="s">
        <v>937</v>
      </c>
      <c r="C1879" s="182" t="s">
        <v>938</v>
      </c>
      <c r="D1879" s="190" t="s">
        <v>944</v>
      </c>
      <c r="E1879" s="183" t="s">
        <v>945</v>
      </c>
      <c r="F1879" s="183" t="s">
        <v>941</v>
      </c>
      <c r="G1879" s="184">
        <v>1</v>
      </c>
      <c r="H1879" s="185">
        <v>0</v>
      </c>
      <c r="I1879" s="186">
        <v>85927.097156571996</v>
      </c>
      <c r="J1879" s="187">
        <v>85927.097156571996</v>
      </c>
      <c r="K1879" s="182" t="s">
        <v>4811</v>
      </c>
      <c r="L1879" s="182">
        <v>2</v>
      </c>
      <c r="M1879" s="182" t="s">
        <v>4813</v>
      </c>
      <c r="N1879" s="186">
        <v>9</v>
      </c>
      <c r="O1879" s="188">
        <v>0.11111111111111099</v>
      </c>
      <c r="P1879" s="188" t="s">
        <v>573</v>
      </c>
      <c r="Q1879" s="188">
        <v>0</v>
      </c>
      <c r="R1879" s="189" t="s">
        <v>573</v>
      </c>
      <c r="S1879" s="189" t="s">
        <v>573</v>
      </c>
    </row>
  </sheetData>
  <autoFilter ref="A1:S1879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1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12" customWidth="1"/>
    <col min="2" max="2" width="11" customWidth="1"/>
    <col min="3" max="3" width="30" customWidth="1"/>
    <col min="4" max="4" width="15" customWidth="1"/>
  </cols>
  <sheetData>
    <row r="1" spans="1:4" x14ac:dyDescent="0.35">
      <c r="A1" s="204" t="s">
        <v>4814</v>
      </c>
      <c r="B1" s="204" t="s">
        <v>888</v>
      </c>
      <c r="C1" s="204" t="s">
        <v>4815</v>
      </c>
      <c r="D1" s="204" t="s">
        <v>4816</v>
      </c>
    </row>
    <row r="2" spans="1:4" x14ac:dyDescent="0.35">
      <c r="A2" s="205">
        <v>45627</v>
      </c>
      <c r="B2" t="s">
        <v>4817</v>
      </c>
      <c r="C2" t="s">
        <v>850</v>
      </c>
      <c r="D2" s="206">
        <v>285000</v>
      </c>
    </row>
    <row r="3" spans="1:4" x14ac:dyDescent="0.35">
      <c r="A3" s="205">
        <v>45627</v>
      </c>
      <c r="B3" t="s">
        <v>4817</v>
      </c>
      <c r="C3" t="s">
        <v>848</v>
      </c>
      <c r="D3" s="206">
        <v>2657587.0430000001</v>
      </c>
    </row>
    <row r="4" spans="1:4" x14ac:dyDescent="0.35">
      <c r="A4" s="205">
        <v>45627</v>
      </c>
      <c r="B4" t="s">
        <v>4817</v>
      </c>
      <c r="C4" t="s">
        <v>856</v>
      </c>
      <c r="D4" s="206">
        <v>232617.752152606</v>
      </c>
    </row>
    <row r="5" spans="1:4" x14ac:dyDescent="0.35">
      <c r="A5" s="205">
        <v>45627</v>
      </c>
      <c r="B5" t="s">
        <v>4818</v>
      </c>
      <c r="C5" t="s">
        <v>4819</v>
      </c>
      <c r="D5" s="206">
        <v>639132.78099999996</v>
      </c>
    </row>
    <row r="6" spans="1:4" x14ac:dyDescent="0.35">
      <c r="A6" s="205">
        <v>45658</v>
      </c>
      <c r="B6" t="s">
        <v>4817</v>
      </c>
      <c r="C6" t="s">
        <v>850</v>
      </c>
      <c r="D6" s="206">
        <v>380000</v>
      </c>
    </row>
    <row r="7" spans="1:4" x14ac:dyDescent="0.35">
      <c r="A7" s="205">
        <v>45658</v>
      </c>
      <c r="B7" t="s">
        <v>4817</v>
      </c>
      <c r="C7" t="s">
        <v>848</v>
      </c>
      <c r="D7" s="206">
        <v>1482428.33684633</v>
      </c>
    </row>
    <row r="8" spans="1:4" x14ac:dyDescent="0.35">
      <c r="A8" s="205">
        <v>45658</v>
      </c>
      <c r="B8" t="s">
        <v>4817</v>
      </c>
      <c r="C8" t="s">
        <v>856</v>
      </c>
      <c r="D8" s="206">
        <v>158507.36156067299</v>
      </c>
    </row>
    <row r="9" spans="1:4" x14ac:dyDescent="0.35">
      <c r="A9" s="205">
        <v>45658</v>
      </c>
      <c r="B9" t="s">
        <v>4818</v>
      </c>
      <c r="C9" t="s">
        <v>4820</v>
      </c>
      <c r="D9" s="206">
        <v>541548.429147535</v>
      </c>
    </row>
    <row r="10" spans="1:4" x14ac:dyDescent="0.35">
      <c r="A10" s="205">
        <v>45658</v>
      </c>
      <c r="B10" t="s">
        <v>4818</v>
      </c>
      <c r="C10" t="s">
        <v>4819</v>
      </c>
      <c r="D10" s="206">
        <v>1284241.8496825299</v>
      </c>
    </row>
    <row r="11" spans="1:4" x14ac:dyDescent="0.35">
      <c r="A11" s="205">
        <v>45689</v>
      </c>
      <c r="B11" t="s">
        <v>4817</v>
      </c>
      <c r="C11" t="s">
        <v>850</v>
      </c>
      <c r="D11" s="206">
        <v>400000</v>
      </c>
    </row>
    <row r="12" spans="1:4" x14ac:dyDescent="0.35">
      <c r="A12" s="205">
        <v>45689</v>
      </c>
      <c r="B12" t="s">
        <v>4817</v>
      </c>
      <c r="C12" t="s">
        <v>848</v>
      </c>
      <c r="D12" s="206">
        <v>2402343.6532398998</v>
      </c>
    </row>
    <row r="13" spans="1:4" x14ac:dyDescent="0.35">
      <c r="A13" s="205">
        <v>45689</v>
      </c>
      <c r="B13" t="s">
        <v>4817</v>
      </c>
      <c r="C13" t="s">
        <v>856</v>
      </c>
      <c r="D13" s="206">
        <v>81157.058917837305</v>
      </c>
    </row>
    <row r="14" spans="1:4" x14ac:dyDescent="0.35">
      <c r="A14" s="205">
        <v>45689</v>
      </c>
      <c r="B14" t="s">
        <v>4818</v>
      </c>
      <c r="C14" t="s">
        <v>4820</v>
      </c>
      <c r="D14" s="206">
        <v>1083683.2620000001</v>
      </c>
    </row>
    <row r="15" spans="1:4" x14ac:dyDescent="0.35">
      <c r="A15" s="205">
        <v>45689</v>
      </c>
      <c r="B15" t="s">
        <v>4818</v>
      </c>
      <c r="C15" t="s">
        <v>4819</v>
      </c>
      <c r="D15" s="206">
        <v>322781.63960555103</v>
      </c>
    </row>
    <row r="16" spans="1:4" x14ac:dyDescent="0.35">
      <c r="A16" s="205">
        <v>45717</v>
      </c>
      <c r="B16" t="s">
        <v>4817</v>
      </c>
      <c r="C16" t="s">
        <v>850</v>
      </c>
      <c r="D16" s="206">
        <v>404000</v>
      </c>
    </row>
    <row r="17" spans="1:4" x14ac:dyDescent="0.35">
      <c r="A17" s="205">
        <v>45717</v>
      </c>
      <c r="B17" t="s">
        <v>4817</v>
      </c>
      <c r="C17" t="s">
        <v>848</v>
      </c>
      <c r="D17" s="206">
        <v>1672761</v>
      </c>
    </row>
    <row r="18" spans="1:4" x14ac:dyDescent="0.35">
      <c r="A18" s="205">
        <v>45717</v>
      </c>
      <c r="B18" t="s">
        <v>4817</v>
      </c>
      <c r="C18" t="s">
        <v>856</v>
      </c>
      <c r="D18" s="206">
        <v>209694.70014510999</v>
      </c>
    </row>
    <row r="19" spans="1:4" x14ac:dyDescent="0.35">
      <c r="A19" s="205">
        <v>45717</v>
      </c>
      <c r="B19" t="s">
        <v>4818</v>
      </c>
      <c r="C19" t="s">
        <v>4821</v>
      </c>
      <c r="D19" s="206">
        <v>80615.33</v>
      </c>
    </row>
    <row r="20" spans="1:4" x14ac:dyDescent="0.35">
      <c r="A20" s="205">
        <v>45717</v>
      </c>
      <c r="B20" t="s">
        <v>4818</v>
      </c>
      <c r="C20" t="s">
        <v>4820</v>
      </c>
      <c r="D20" s="206">
        <v>1985521</v>
      </c>
    </row>
    <row r="21" spans="1:4" x14ac:dyDescent="0.35">
      <c r="A21" s="205">
        <v>45717</v>
      </c>
      <c r="B21" t="s">
        <v>4818</v>
      </c>
      <c r="C21" t="s">
        <v>4819</v>
      </c>
      <c r="D21" s="206">
        <v>648051</v>
      </c>
    </row>
    <row r="22" spans="1:4" x14ac:dyDescent="0.35">
      <c r="A22" s="205">
        <v>45748</v>
      </c>
      <c r="B22" t="s">
        <v>4817</v>
      </c>
      <c r="C22" t="s">
        <v>850</v>
      </c>
      <c r="D22" s="206">
        <v>300000</v>
      </c>
    </row>
    <row r="23" spans="1:4" x14ac:dyDescent="0.35">
      <c r="A23" s="205">
        <v>45748</v>
      </c>
      <c r="B23" t="s">
        <v>4817</v>
      </c>
      <c r="C23" t="s">
        <v>848</v>
      </c>
      <c r="D23" s="206">
        <v>5758121.6624100003</v>
      </c>
    </row>
    <row r="24" spans="1:4" x14ac:dyDescent="0.35">
      <c r="A24" s="205">
        <v>45748</v>
      </c>
      <c r="B24" t="s">
        <v>4817</v>
      </c>
      <c r="C24" t="s">
        <v>856</v>
      </c>
      <c r="D24" s="206">
        <v>215525.96553149799</v>
      </c>
    </row>
    <row r="25" spans="1:4" x14ac:dyDescent="0.35">
      <c r="A25" s="205">
        <v>45748</v>
      </c>
      <c r="B25" t="s">
        <v>4818</v>
      </c>
      <c r="C25" t="s">
        <v>4820</v>
      </c>
      <c r="D25" s="206">
        <v>1517775.9897</v>
      </c>
    </row>
    <row r="26" spans="1:4" x14ac:dyDescent="0.35">
      <c r="A26" s="205">
        <v>45748</v>
      </c>
      <c r="B26" t="s">
        <v>4818</v>
      </c>
      <c r="C26" t="s">
        <v>4819</v>
      </c>
      <c r="D26" s="206">
        <v>651253.32128970895</v>
      </c>
    </row>
    <row r="27" spans="1:4" x14ac:dyDescent="0.35">
      <c r="A27" s="205">
        <v>45778</v>
      </c>
      <c r="B27" t="s">
        <v>4817</v>
      </c>
      <c r="C27" t="s">
        <v>850</v>
      </c>
      <c r="D27" s="206">
        <v>400000</v>
      </c>
    </row>
    <row r="28" spans="1:4" x14ac:dyDescent="0.35">
      <c r="A28" s="205">
        <v>45778</v>
      </c>
      <c r="B28" t="s">
        <v>4817</v>
      </c>
      <c r="C28" t="s">
        <v>848</v>
      </c>
      <c r="D28" s="206">
        <v>1351332.0417291301</v>
      </c>
    </row>
    <row r="29" spans="1:4" x14ac:dyDescent="0.35">
      <c r="A29" s="205">
        <v>45778</v>
      </c>
      <c r="B29" t="s">
        <v>4817</v>
      </c>
      <c r="C29" t="s">
        <v>856</v>
      </c>
      <c r="D29" s="206">
        <v>212177.87449192099</v>
      </c>
    </row>
    <row r="30" spans="1:4" x14ac:dyDescent="0.35">
      <c r="A30" s="205">
        <v>45778</v>
      </c>
      <c r="B30" t="s">
        <v>4818</v>
      </c>
      <c r="C30" t="s">
        <v>4820</v>
      </c>
      <c r="D30" s="206">
        <v>1149002.87972988</v>
      </c>
    </row>
    <row r="31" spans="1:4" x14ac:dyDescent="0.35">
      <c r="A31" s="205">
        <v>45778</v>
      </c>
      <c r="B31" t="s">
        <v>4818</v>
      </c>
      <c r="C31" t="s">
        <v>4819</v>
      </c>
      <c r="D31" s="206">
        <v>651253.32128970895</v>
      </c>
    </row>
    <row r="32" spans="1:4" x14ac:dyDescent="0.35">
      <c r="A32" s="205">
        <v>45809</v>
      </c>
      <c r="B32" t="s">
        <v>4817</v>
      </c>
      <c r="C32" t="s">
        <v>850</v>
      </c>
      <c r="D32" s="206">
        <v>580000</v>
      </c>
    </row>
    <row r="33" spans="1:4" x14ac:dyDescent="0.35">
      <c r="A33" s="205">
        <v>45809</v>
      </c>
      <c r="B33" t="s">
        <v>4817</v>
      </c>
      <c r="C33" t="s">
        <v>848</v>
      </c>
      <c r="D33" s="206">
        <v>2021235.3150384701</v>
      </c>
    </row>
    <row r="34" spans="1:4" x14ac:dyDescent="0.35">
      <c r="A34" s="205">
        <v>45809</v>
      </c>
      <c r="B34" t="s">
        <v>4817</v>
      </c>
      <c r="C34" t="s">
        <v>856</v>
      </c>
      <c r="D34" s="206">
        <v>215572.72048379201</v>
      </c>
    </row>
    <row r="35" spans="1:4" x14ac:dyDescent="0.35">
      <c r="A35" s="205">
        <v>45809</v>
      </c>
      <c r="B35" t="s">
        <v>4818</v>
      </c>
      <c r="C35" t="s">
        <v>4820</v>
      </c>
      <c r="D35" s="206">
        <v>2298005.75945976</v>
      </c>
    </row>
    <row r="36" spans="1:4" x14ac:dyDescent="0.35">
      <c r="A36" s="205">
        <v>45809</v>
      </c>
      <c r="B36" t="s">
        <v>4818</v>
      </c>
      <c r="C36" t="s">
        <v>4819</v>
      </c>
      <c r="D36" s="206">
        <v>651253.32128970895</v>
      </c>
    </row>
    <row r="37" spans="1:4" x14ac:dyDescent="0.35">
      <c r="A37" s="205">
        <v>45839</v>
      </c>
      <c r="B37" t="s">
        <v>4817</v>
      </c>
      <c r="C37" t="s">
        <v>850</v>
      </c>
      <c r="D37" s="206">
        <v>600000</v>
      </c>
    </row>
    <row r="38" spans="1:4" x14ac:dyDescent="0.35">
      <c r="A38" s="205">
        <v>45839</v>
      </c>
      <c r="B38" t="s">
        <v>4817</v>
      </c>
      <c r="C38" t="s">
        <v>848</v>
      </c>
      <c r="D38" s="206">
        <v>1916553.9109414001</v>
      </c>
    </row>
    <row r="39" spans="1:4" x14ac:dyDescent="0.35">
      <c r="A39" s="205">
        <v>45839</v>
      </c>
      <c r="B39" t="s">
        <v>4817</v>
      </c>
      <c r="C39" t="s">
        <v>856</v>
      </c>
      <c r="D39" s="206">
        <v>291545.843242726</v>
      </c>
    </row>
    <row r="40" spans="1:4" x14ac:dyDescent="0.35">
      <c r="A40" s="205">
        <v>45839</v>
      </c>
      <c r="B40" t="s">
        <v>4818</v>
      </c>
      <c r="C40" t="s">
        <v>4820</v>
      </c>
      <c r="D40" s="206">
        <v>2872507.1993247001</v>
      </c>
    </row>
    <row r="41" spans="1:4" x14ac:dyDescent="0.35">
      <c r="A41" s="205">
        <v>45839</v>
      </c>
      <c r="B41" t="s">
        <v>4818</v>
      </c>
      <c r="C41" t="s">
        <v>4819</v>
      </c>
      <c r="D41" s="206">
        <v>1302506.64257942</v>
      </c>
    </row>
    <row r="42" spans="1:4" x14ac:dyDescent="0.35">
      <c r="A42" s="205">
        <v>45870</v>
      </c>
      <c r="B42" t="s">
        <v>4817</v>
      </c>
      <c r="C42" t="s">
        <v>850</v>
      </c>
      <c r="D42" s="206">
        <v>1606011</v>
      </c>
    </row>
    <row r="43" spans="1:4" x14ac:dyDescent="0.35">
      <c r="A43" s="205">
        <v>45870</v>
      </c>
      <c r="B43" t="s">
        <v>4817</v>
      </c>
      <c r="C43" t="s">
        <v>848</v>
      </c>
      <c r="D43" s="206">
        <v>1898342.1384411301</v>
      </c>
    </row>
    <row r="44" spans="1:4" x14ac:dyDescent="0.35">
      <c r="A44" s="205">
        <v>45870</v>
      </c>
      <c r="B44" t="s">
        <v>4817</v>
      </c>
      <c r="C44" t="s">
        <v>856</v>
      </c>
      <c r="D44" s="206">
        <v>371362.65397877101</v>
      </c>
    </row>
    <row r="45" spans="1:4" x14ac:dyDescent="0.35">
      <c r="A45" s="205">
        <v>45870</v>
      </c>
      <c r="B45" t="s">
        <v>4818</v>
      </c>
      <c r="C45" t="s">
        <v>4820</v>
      </c>
      <c r="D45" s="206">
        <v>1557715.5045</v>
      </c>
    </row>
    <row r="46" spans="1:4" x14ac:dyDescent="0.35">
      <c r="A46" s="205">
        <v>45870</v>
      </c>
      <c r="B46" t="s">
        <v>4818</v>
      </c>
      <c r="C46" t="s">
        <v>4819</v>
      </c>
      <c r="D46" s="206">
        <v>677659.83783266705</v>
      </c>
    </row>
    <row r="47" spans="1:4" x14ac:dyDescent="0.35">
      <c r="A47" s="205">
        <v>45901</v>
      </c>
      <c r="B47" t="s">
        <v>4817</v>
      </c>
      <c r="C47" t="s">
        <v>850</v>
      </c>
      <c r="D47" s="206">
        <v>713070.9</v>
      </c>
    </row>
    <row r="48" spans="1:4" x14ac:dyDescent="0.35">
      <c r="A48" s="205">
        <v>45901</v>
      </c>
      <c r="B48" t="s">
        <v>4817</v>
      </c>
      <c r="C48" t="s">
        <v>848</v>
      </c>
      <c r="D48" s="206">
        <v>3994139.3627975001</v>
      </c>
    </row>
    <row r="49" spans="1:4" x14ac:dyDescent="0.35">
      <c r="A49" s="205">
        <v>45901</v>
      </c>
      <c r="B49" t="s">
        <v>4817</v>
      </c>
      <c r="C49" t="s">
        <v>856</v>
      </c>
      <c r="D49" s="206">
        <v>379161.26971232501</v>
      </c>
    </row>
    <row r="50" spans="1:4" x14ac:dyDescent="0.35">
      <c r="A50" s="205">
        <v>45901</v>
      </c>
      <c r="B50" t="s">
        <v>4818</v>
      </c>
      <c r="C50" t="s">
        <v>4820</v>
      </c>
      <c r="D50" s="206">
        <v>2058987.81467958</v>
      </c>
    </row>
    <row r="51" spans="1:4" x14ac:dyDescent="0.35">
      <c r="A51" s="205">
        <v>45901</v>
      </c>
      <c r="B51" t="s">
        <v>4818</v>
      </c>
      <c r="C51" t="s">
        <v>4819</v>
      </c>
      <c r="D51" s="206">
        <v>1016489.7567490001</v>
      </c>
    </row>
    <row r="52" spans="1:4" x14ac:dyDescent="0.35">
      <c r="A52" s="205">
        <v>45931</v>
      </c>
      <c r="B52" t="s">
        <v>4817</v>
      </c>
      <c r="C52" t="s">
        <v>850</v>
      </c>
      <c r="D52" s="206">
        <v>730897.5</v>
      </c>
    </row>
    <row r="53" spans="1:4" x14ac:dyDescent="0.35">
      <c r="A53" s="205">
        <v>45931</v>
      </c>
      <c r="B53" t="s">
        <v>4817</v>
      </c>
      <c r="C53" t="s">
        <v>848</v>
      </c>
      <c r="D53" s="206">
        <v>3276272.8290499998</v>
      </c>
    </row>
    <row r="54" spans="1:4" x14ac:dyDescent="0.35">
      <c r="A54" s="205">
        <v>45931</v>
      </c>
      <c r="B54" t="s">
        <v>4817</v>
      </c>
      <c r="C54" t="s">
        <v>856</v>
      </c>
      <c r="D54" s="206">
        <v>387881.97891570802</v>
      </c>
    </row>
    <row r="55" spans="1:4" x14ac:dyDescent="0.35">
      <c r="A55" s="205">
        <v>45931</v>
      </c>
      <c r="B55" t="s">
        <v>4818</v>
      </c>
      <c r="C55" t="s">
        <v>4820</v>
      </c>
      <c r="D55" s="206">
        <v>2058987.81467958</v>
      </c>
    </row>
    <row r="56" spans="1:4" x14ac:dyDescent="0.35">
      <c r="A56" s="205">
        <v>45931</v>
      </c>
      <c r="B56" t="s">
        <v>4818</v>
      </c>
      <c r="C56" t="s">
        <v>4819</v>
      </c>
      <c r="D56" s="206">
        <v>1355319.6</v>
      </c>
    </row>
    <row r="57" spans="1:4" x14ac:dyDescent="0.35">
      <c r="A57" s="205">
        <v>45962</v>
      </c>
      <c r="B57" t="s">
        <v>4817</v>
      </c>
      <c r="C57" t="s">
        <v>850</v>
      </c>
      <c r="D57" s="206">
        <v>494000</v>
      </c>
    </row>
    <row r="58" spans="1:4" x14ac:dyDescent="0.35">
      <c r="A58" s="205">
        <v>45962</v>
      </c>
      <c r="B58" t="s">
        <v>4817</v>
      </c>
      <c r="C58" t="s">
        <v>848</v>
      </c>
      <c r="D58" s="206">
        <v>2005645.51776</v>
      </c>
    </row>
    <row r="59" spans="1:4" x14ac:dyDescent="0.35">
      <c r="A59" s="205">
        <v>45962</v>
      </c>
      <c r="B59" t="s">
        <v>4817</v>
      </c>
      <c r="C59" t="s">
        <v>856</v>
      </c>
      <c r="D59" s="206">
        <v>397579.02838860097</v>
      </c>
    </row>
    <row r="60" spans="1:4" x14ac:dyDescent="0.35">
      <c r="A60" s="205">
        <v>45962</v>
      </c>
      <c r="B60" t="s">
        <v>4818</v>
      </c>
      <c r="C60" t="s">
        <v>4820</v>
      </c>
      <c r="D60" s="206">
        <v>1448633.1549</v>
      </c>
    </row>
    <row r="61" spans="1:4" x14ac:dyDescent="0.35">
      <c r="A61" s="205">
        <v>45962</v>
      </c>
      <c r="B61" t="s">
        <v>4818</v>
      </c>
      <c r="C61" t="s">
        <v>4819</v>
      </c>
      <c r="D61" s="206">
        <v>1543849.2</v>
      </c>
    </row>
    <row r="62" spans="1:4" x14ac:dyDescent="0.35">
      <c r="A62" s="205">
        <v>45992</v>
      </c>
      <c r="B62" t="s">
        <v>4817</v>
      </c>
      <c r="C62" t="s">
        <v>850</v>
      </c>
      <c r="D62" s="206">
        <v>755700</v>
      </c>
    </row>
    <row r="63" spans="1:4" x14ac:dyDescent="0.35">
      <c r="A63" s="205">
        <v>45992</v>
      </c>
      <c r="B63" t="s">
        <v>4817</v>
      </c>
      <c r="C63" t="s">
        <v>848</v>
      </c>
      <c r="D63" s="206">
        <v>2870210.2899290998</v>
      </c>
    </row>
    <row r="64" spans="1:4" x14ac:dyDescent="0.35">
      <c r="A64" s="205">
        <v>45992</v>
      </c>
      <c r="B64" t="s">
        <v>4817</v>
      </c>
      <c r="C64" t="s">
        <v>856</v>
      </c>
      <c r="D64" s="206">
        <v>408711.24118348199</v>
      </c>
    </row>
    <row r="65" spans="1:4" x14ac:dyDescent="0.35">
      <c r="A65" s="205">
        <v>45992</v>
      </c>
      <c r="B65" t="s">
        <v>4818</v>
      </c>
      <c r="C65" t="s">
        <v>4820</v>
      </c>
      <c r="D65" s="206">
        <v>2034382.4605809399</v>
      </c>
    </row>
    <row r="66" spans="1:4" x14ac:dyDescent="0.35">
      <c r="A66" s="205">
        <v>45992</v>
      </c>
      <c r="B66" t="s">
        <v>4818</v>
      </c>
      <c r="C66" t="s">
        <v>4819</v>
      </c>
      <c r="D66" s="206">
        <v>2315773.9500000002</v>
      </c>
    </row>
    <row r="67" spans="1:4" x14ac:dyDescent="0.35">
      <c r="A67" s="205">
        <v>46023</v>
      </c>
      <c r="B67" t="s">
        <v>4817</v>
      </c>
      <c r="C67" t="s">
        <v>850</v>
      </c>
      <c r="D67" s="206">
        <v>513876</v>
      </c>
    </row>
    <row r="68" spans="1:4" x14ac:dyDescent="0.35">
      <c r="A68" s="205">
        <v>46023</v>
      </c>
      <c r="B68" t="s">
        <v>4817</v>
      </c>
      <c r="C68" t="s">
        <v>848</v>
      </c>
      <c r="D68" s="206">
        <v>1119889.75494646</v>
      </c>
    </row>
    <row r="69" spans="1:4" x14ac:dyDescent="0.35">
      <c r="A69" s="205">
        <v>46023</v>
      </c>
      <c r="B69" t="s">
        <v>4817</v>
      </c>
      <c r="C69" t="s">
        <v>856</v>
      </c>
      <c r="D69" s="206">
        <v>420563.86717780301</v>
      </c>
    </row>
    <row r="70" spans="1:4" x14ac:dyDescent="0.35">
      <c r="A70" s="205">
        <v>46023</v>
      </c>
      <c r="B70" t="s">
        <v>4818</v>
      </c>
      <c r="C70" t="s">
        <v>4820</v>
      </c>
      <c r="D70" s="206">
        <v>1609073.8068855701</v>
      </c>
    </row>
    <row r="71" spans="1:4" x14ac:dyDescent="0.35">
      <c r="A71" s="205">
        <v>46023</v>
      </c>
      <c r="B71" t="s">
        <v>4818</v>
      </c>
      <c r="C71" t="s">
        <v>4819</v>
      </c>
      <c r="D71" s="206">
        <v>1875000</v>
      </c>
    </row>
    <row r="72" spans="1:4" x14ac:dyDescent="0.35">
      <c r="A72" s="205">
        <v>46054</v>
      </c>
      <c r="B72" t="s">
        <v>4817</v>
      </c>
      <c r="C72" t="s">
        <v>850</v>
      </c>
      <c r="D72" s="206">
        <v>523125.6</v>
      </c>
    </row>
    <row r="73" spans="1:4" x14ac:dyDescent="0.35">
      <c r="A73" s="205">
        <v>46054</v>
      </c>
      <c r="B73" t="s">
        <v>4817</v>
      </c>
      <c r="C73" t="s">
        <v>848</v>
      </c>
      <c r="D73" s="206">
        <v>1238690.1498306401</v>
      </c>
    </row>
    <row r="74" spans="1:4" x14ac:dyDescent="0.35">
      <c r="A74" s="205">
        <v>46054</v>
      </c>
      <c r="B74" t="s">
        <v>4817</v>
      </c>
      <c r="C74" t="s">
        <v>856</v>
      </c>
      <c r="D74" s="206">
        <v>432760.21932595898</v>
      </c>
    </row>
    <row r="75" spans="1:4" x14ac:dyDescent="0.35">
      <c r="A75" s="205">
        <v>46054</v>
      </c>
      <c r="B75" t="s">
        <v>4818</v>
      </c>
      <c r="C75" t="s">
        <v>4820</v>
      </c>
      <c r="D75" s="206">
        <v>1663872.2154952099</v>
      </c>
    </row>
    <row r="76" spans="1:4" x14ac:dyDescent="0.35">
      <c r="A76" s="205">
        <v>46054</v>
      </c>
      <c r="B76" t="s">
        <v>4818</v>
      </c>
      <c r="C76" t="s">
        <v>4819</v>
      </c>
      <c r="D76" s="206">
        <v>1875000.15</v>
      </c>
    </row>
    <row r="77" spans="1:4" x14ac:dyDescent="0.35">
      <c r="A77" s="205">
        <v>46082</v>
      </c>
      <c r="B77" t="s">
        <v>4817</v>
      </c>
      <c r="C77" t="s">
        <v>850</v>
      </c>
      <c r="D77" s="206">
        <v>523125.6</v>
      </c>
    </row>
    <row r="78" spans="1:4" x14ac:dyDescent="0.35">
      <c r="A78" s="205">
        <v>46082</v>
      </c>
      <c r="B78" t="s">
        <v>4817</v>
      </c>
      <c r="C78" t="s">
        <v>848</v>
      </c>
      <c r="D78" s="206">
        <v>1313548.9779473001</v>
      </c>
    </row>
    <row r="79" spans="1:4" x14ac:dyDescent="0.35">
      <c r="A79" s="205">
        <v>46082</v>
      </c>
      <c r="B79" t="s">
        <v>4817</v>
      </c>
      <c r="C79" t="s">
        <v>856</v>
      </c>
      <c r="D79" s="206">
        <v>447474.06678304198</v>
      </c>
    </row>
    <row r="80" spans="1:4" x14ac:dyDescent="0.35">
      <c r="A80" s="205">
        <v>46082</v>
      </c>
      <c r="B80" t="s">
        <v>4818</v>
      </c>
      <c r="C80" t="s">
        <v>4820</v>
      </c>
      <c r="D80" s="206">
        <v>1663872.2154952099</v>
      </c>
    </row>
    <row r="81" spans="1:4" x14ac:dyDescent="0.35">
      <c r="A81" s="205">
        <v>46082</v>
      </c>
      <c r="B81" t="s">
        <v>4818</v>
      </c>
      <c r="C81" t="s">
        <v>4819</v>
      </c>
      <c r="D81" s="206">
        <v>1562500.125</v>
      </c>
    </row>
  </sheetData>
  <dataValidations count="2">
    <dataValidation type="list" allowBlank="1" sqref="B2:B500" xr:uid="{00000000-0002-0000-0700-000000000000}">
      <formula1>"Directo,Indirecto"</formula1>
    </dataValidation>
    <dataValidation type="list" allowBlank="1" sqref="C2:C500" xr:uid="{00000000-0002-0000-0700-000001000000}">
      <formula1>GASTOS_CONCEPTO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P95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7265625" defaultRowHeight="13" x14ac:dyDescent="0.3"/>
  <cols>
    <col min="1" max="1" width="9.81640625" style="16" customWidth="1"/>
    <col min="2" max="2" width="8.1796875" style="16" customWidth="1"/>
    <col min="3" max="3" width="16.453125" style="1" customWidth="1"/>
    <col min="4" max="4" width="13.90625" style="135" customWidth="1"/>
    <col min="5" max="5" width="11.6328125" style="1" customWidth="1"/>
    <col min="6" max="9" width="10.1796875" style="1" customWidth="1"/>
    <col min="10" max="10" width="2.08984375" style="1" customWidth="1"/>
    <col min="11" max="11" width="13" style="16" customWidth="1"/>
    <col min="12" max="15" width="13" style="1" customWidth="1"/>
    <col min="16" max="21" width="8.7265625" style="1" customWidth="1"/>
    <col min="22" max="16384" width="8.7265625" style="1"/>
  </cols>
  <sheetData>
    <row r="1" spans="1:16" ht="12.75" customHeight="1" x14ac:dyDescent="0.3">
      <c r="A1" s="15" t="s">
        <v>4822</v>
      </c>
      <c r="B1" s="15"/>
      <c r="C1" s="15"/>
      <c r="D1" s="15"/>
      <c r="E1" s="15"/>
      <c r="F1" s="15"/>
      <c r="G1" s="15"/>
      <c r="H1" s="15"/>
      <c r="I1" s="15"/>
      <c r="J1" s="136"/>
      <c r="K1" s="1"/>
    </row>
    <row r="2" spans="1:16" ht="12.75" customHeight="1" x14ac:dyDescent="0.3">
      <c r="A2" s="171"/>
      <c r="B2" s="171"/>
      <c r="C2" s="171"/>
      <c r="D2" s="171"/>
      <c r="E2" s="171"/>
      <c r="F2" s="171"/>
      <c r="G2" s="171"/>
      <c r="H2" s="171"/>
      <c r="I2" s="171"/>
      <c r="J2" s="136"/>
      <c r="K2" s="1"/>
    </row>
    <row r="3" spans="1:16" s="138" customFormat="1" ht="27" customHeight="1" x14ac:dyDescent="0.35">
      <c r="A3" s="162" t="s">
        <v>815</v>
      </c>
      <c r="B3" s="162" t="s">
        <v>4823</v>
      </c>
      <c r="C3" s="162" t="s">
        <v>4824</v>
      </c>
      <c r="D3" s="162" t="s">
        <v>4825</v>
      </c>
      <c r="E3" s="162" t="s">
        <v>4826</v>
      </c>
      <c r="F3" s="162" t="s">
        <v>4827</v>
      </c>
      <c r="G3" s="162" t="s">
        <v>4828</v>
      </c>
      <c r="H3" s="162" t="s">
        <v>4829</v>
      </c>
      <c r="I3" s="162" t="s">
        <v>4830</v>
      </c>
      <c r="J3" s="137"/>
      <c r="K3" s="169" t="s">
        <v>4831</v>
      </c>
      <c r="L3" s="170" t="s">
        <v>4832</v>
      </c>
      <c r="M3" s="170" t="s">
        <v>4833</v>
      </c>
      <c r="N3" s="170" t="s">
        <v>4834</v>
      </c>
      <c r="O3" s="170" t="s">
        <v>4835</v>
      </c>
    </row>
    <row r="4" spans="1:16" ht="12.75" customHeight="1" x14ac:dyDescent="0.3">
      <c r="A4" s="139">
        <v>45992</v>
      </c>
      <c r="B4" s="140" t="s">
        <v>4836</v>
      </c>
      <c r="C4" s="141" t="s">
        <v>4837</v>
      </c>
      <c r="D4" s="142" t="s">
        <v>1292</v>
      </c>
      <c r="E4" s="141" t="s">
        <v>321</v>
      </c>
      <c r="F4" s="143">
        <f t="shared" ref="F4:F35" si="0">G4+H4+I4</f>
        <v>80</v>
      </c>
      <c r="G4" s="144">
        <v>68</v>
      </c>
      <c r="H4" s="144">
        <v>10</v>
      </c>
      <c r="I4" s="144">
        <v>2</v>
      </c>
      <c r="J4" s="145"/>
      <c r="K4" s="146">
        <f>IFERROR(G4*INDEX('0_Jornales_MO'!$G$4:$J$21,MATCH(A4,'0_Jornales_MO'!$A$4:$A$21,0),MATCH(D4,{"ESPECIALIZADO","OFICIAL","MEDIO OFICIAL","AYUDANTE"},0)),"-")</f>
        <v>691527.65298773593</v>
      </c>
      <c r="L4" s="147">
        <f>IFERROR(H4*INDEX('0_Jornales_MO'!$G$4:$J$21,MATCH(A4,'0_Jornales_MO'!$A$4:$A$21,0),MATCH(D4,{"ESPECIALIZADO","OFICIAL","MEDIO OFICIAL","AYUDANTE"},0))*1.5,"-")</f>
        <v>152542.86462964761</v>
      </c>
      <c r="M4" s="147">
        <f>IFERROR(I4*INDEX('0_Jornales_MO'!$G$4:$J$21,MATCH(A4,'0_Jornales_MO'!$A$4:$A$21,0),MATCH(D4,{"ESPECIALIZADO","OFICIAL","MEDIO OFICIAL","AYUDANTE"},0))*2,"-")</f>
        <v>40678.097234572699</v>
      </c>
      <c r="N4" s="148">
        <f t="shared" ref="N4:N35" si="1">IFERROR(SUM(K4:M4),"-")</f>
        <v>884748.61485195626</v>
      </c>
      <c r="O4" s="148">
        <f>IFERROR($N4 * SUMIF('0_Indice_CAC'!$A:$A,$A4,'0_Indice_CAC'!$D:$D),"-")</f>
        <v>715311.74908469757</v>
      </c>
      <c r="P4" s="146"/>
    </row>
    <row r="5" spans="1:16" ht="12.75" customHeight="1" x14ac:dyDescent="0.3">
      <c r="A5" s="149">
        <v>45992</v>
      </c>
      <c r="B5" s="150" t="s">
        <v>4836</v>
      </c>
      <c r="C5" s="151" t="s">
        <v>4837</v>
      </c>
      <c r="D5" s="152" t="s">
        <v>1292</v>
      </c>
      <c r="E5" s="151" t="s">
        <v>420</v>
      </c>
      <c r="F5" s="153">
        <f t="shared" si="0"/>
        <v>101</v>
      </c>
      <c r="G5" s="154">
        <v>88</v>
      </c>
      <c r="H5" s="154">
        <v>9</v>
      </c>
      <c r="I5" s="154">
        <v>4</v>
      </c>
      <c r="J5" s="145"/>
      <c r="K5" s="146">
        <f>IFERROR(G5*INDEX('0_Jornales_MO'!$G$4:$J$21,MATCH(A5,'0_Jornales_MO'!$A$4:$A$21,0),MATCH(D5,{"ESPECIALIZADO","OFICIAL","MEDIO OFICIAL","AYUDANTE"},0)),"-")</f>
        <v>894918.13916059933</v>
      </c>
      <c r="L5" s="147">
        <f>IFERROR(H5*INDEX('0_Jornales_MO'!$G$4:$J$21,MATCH(A5,'0_Jornales_MO'!$A$4:$A$21,0),MATCH(D5,{"ESPECIALIZADO","OFICIAL","MEDIO OFICIAL","AYUDANTE"},0))*1.5,"-")</f>
        <v>137288.57816668286</v>
      </c>
      <c r="M5" s="147">
        <f>IFERROR(I5*INDEX('0_Jornales_MO'!$G$4:$J$21,MATCH(A5,'0_Jornales_MO'!$A$4:$A$21,0),MATCH(D5,{"ESPECIALIZADO","OFICIAL","MEDIO OFICIAL","AYUDANTE"},0))*2,"-")</f>
        <v>81356.194469145397</v>
      </c>
      <c r="N5" s="148">
        <f t="shared" si="1"/>
        <v>1113562.9117964276</v>
      </c>
      <c r="O5" s="148">
        <f>IFERROR($N5 * SUMIF('0_Indice_CAC'!$A:$A,$A5,'0_Indice_CAC'!$D:$D),"-")</f>
        <v>900306.16695142968</v>
      </c>
    </row>
    <row r="6" spans="1:16" ht="12.75" customHeight="1" x14ac:dyDescent="0.3">
      <c r="A6" s="155">
        <v>45992</v>
      </c>
      <c r="B6" s="156" t="s">
        <v>4836</v>
      </c>
      <c r="C6" s="157" t="s">
        <v>4837</v>
      </c>
      <c r="D6" s="158" t="s">
        <v>940</v>
      </c>
      <c r="E6" s="157" t="s">
        <v>321</v>
      </c>
      <c r="F6" s="159">
        <f t="shared" si="0"/>
        <v>401</v>
      </c>
      <c r="G6" s="160">
        <v>336</v>
      </c>
      <c r="H6" s="160">
        <v>57</v>
      </c>
      <c r="I6" s="160">
        <v>8</v>
      </c>
      <c r="J6" s="145"/>
      <c r="K6" s="146">
        <f>IFERROR(G6*INDEX('0_Jornales_MO'!$G$4:$J$21,MATCH(A6,'0_Jornales_MO'!$A$4:$A$21,0),MATCH(D6,{"ESPECIALIZADO","OFICIAL","MEDIO OFICIAL","AYUDANTE"},0)),"-")</f>
        <v>3201691.8784891064</v>
      </c>
      <c r="L6" s="147">
        <f>IFERROR(H6*INDEX('0_Jornales_MO'!$G$4:$J$21,MATCH(A6,'0_Jornales_MO'!$A$4:$A$21,0),MATCH(D6,{"ESPECIALIZADO","OFICIAL","MEDIO OFICIAL","AYUDANTE"},0))*1.5,"-")</f>
        <v>814716.23693696014</v>
      </c>
      <c r="M6" s="147">
        <f>IFERROR(I6*INDEX('0_Jornales_MO'!$G$4:$J$21,MATCH(A6,'0_Jornales_MO'!$A$4:$A$21,0),MATCH(D6,{"ESPECIALIZADO","OFICIAL","MEDIO OFICIAL","AYUDANTE"},0))*2,"-")</f>
        <v>152461.51802329079</v>
      </c>
      <c r="N6" s="148">
        <f t="shared" si="1"/>
        <v>4168869.633449357</v>
      </c>
      <c r="O6" s="148">
        <f>IFERROR($N6 * SUMIF('0_Indice_CAC'!$A:$A,$A6,'0_Indice_CAC'!$D:$D),"-")</f>
        <v>3370495.7308214861</v>
      </c>
    </row>
    <row r="7" spans="1:16" ht="12.75" customHeight="1" x14ac:dyDescent="0.3">
      <c r="A7" s="149">
        <v>45992</v>
      </c>
      <c r="B7" s="150" t="s">
        <v>4836</v>
      </c>
      <c r="C7" s="151" t="s">
        <v>4837</v>
      </c>
      <c r="D7" s="152" t="s">
        <v>945</v>
      </c>
      <c r="E7" s="151" t="s">
        <v>321</v>
      </c>
      <c r="F7" s="153">
        <f t="shared" si="0"/>
        <v>96</v>
      </c>
      <c r="G7" s="154">
        <v>84</v>
      </c>
      <c r="H7" s="154">
        <v>10</v>
      </c>
      <c r="I7" s="154">
        <v>2</v>
      </c>
      <c r="J7" s="145"/>
      <c r="K7" s="146">
        <f>IFERROR(G7*INDEX('0_Jornales_MO'!$G$4:$J$21,MATCH(A7,'0_Jornales_MO'!$A$4:$A$21,0),MATCH(D7,{"ESPECIALIZADO","OFICIAL","MEDIO OFICIAL","AYUDANTE"},0)),"-")</f>
        <v>1195584.4095210226</v>
      </c>
      <c r="L7" s="147">
        <f>IFERROR(H7*INDEX('0_Jornales_MO'!$G$4:$J$21,MATCH(A7,'0_Jornales_MO'!$A$4:$A$21,0),MATCH(D7,{"ESPECIALIZADO","OFICIAL","MEDIO OFICIAL","AYUDANTE"},0))*1.5,"-")</f>
        <v>213497.21598589685</v>
      </c>
      <c r="M7" s="147">
        <f>IFERROR(I7*INDEX('0_Jornales_MO'!$G$4:$J$21,MATCH(A7,'0_Jornales_MO'!$A$4:$A$21,0),MATCH(D7,{"ESPECIALIZADO","OFICIAL","MEDIO OFICIAL","AYUDANTE"},0))*2,"-")</f>
        <v>56932.5909295725</v>
      </c>
      <c r="N7" s="148">
        <f t="shared" si="1"/>
        <v>1466014.2164364918</v>
      </c>
      <c r="O7" s="148">
        <f>IFERROR($N7 * SUMIF('0_Indice_CAC'!$A:$A,$A7,'0_Indice_CAC'!$D:$D),"-")</f>
        <v>1185260.0566294075</v>
      </c>
    </row>
    <row r="8" spans="1:16" ht="12.75" customHeight="1" x14ac:dyDescent="0.3">
      <c r="A8" s="155">
        <v>45992</v>
      </c>
      <c r="B8" s="156" t="s">
        <v>4836</v>
      </c>
      <c r="C8" s="157" t="s">
        <v>4837</v>
      </c>
      <c r="D8" s="158" t="s">
        <v>1376</v>
      </c>
      <c r="E8" s="157" t="s">
        <v>321</v>
      </c>
      <c r="F8" s="159">
        <f t="shared" si="0"/>
        <v>231</v>
      </c>
      <c r="G8" s="160">
        <v>200</v>
      </c>
      <c r="H8" s="160">
        <v>27</v>
      </c>
      <c r="I8" s="160">
        <v>4</v>
      </c>
      <c r="J8" s="145"/>
      <c r="K8" s="146">
        <f>IFERROR(G8*INDEX('0_Jornales_MO'!$G$4:$J$21,MATCH(A8,'0_Jornales_MO'!$A$4:$A$21,0),MATCH(D8,{"ESPECIALIZADO","OFICIAL","MEDIO OFICIAL","AYUDANTE"},0)),"-")</f>
        <v>2379923.17646159</v>
      </c>
      <c r="L8" s="147">
        <f>IFERROR(H8*INDEX('0_Jornales_MO'!$G$4:$J$21,MATCH(A8,'0_Jornales_MO'!$A$4:$A$21,0),MATCH(D8,{"ESPECIALIZADO","OFICIAL","MEDIO OFICIAL","AYUDANTE"},0))*1.5,"-")</f>
        <v>481934.44323347195</v>
      </c>
      <c r="M8" s="147">
        <f>IFERROR(I8*INDEX('0_Jornales_MO'!$G$4:$J$21,MATCH(A8,'0_Jornales_MO'!$A$4:$A$21,0),MATCH(D8,{"ESPECIALIZADO","OFICIAL","MEDIO OFICIAL","AYUDANTE"},0))*2,"-")</f>
        <v>95196.927058463596</v>
      </c>
      <c r="N8" s="148">
        <f t="shared" si="1"/>
        <v>2957054.5467535253</v>
      </c>
      <c r="O8" s="148">
        <f>IFERROR($N8 * SUMIF('0_Indice_CAC'!$A:$A,$A8,'0_Indice_CAC'!$D:$D),"-")</f>
        <v>2390753.5140148909</v>
      </c>
    </row>
    <row r="9" spans="1:16" ht="12.75" customHeight="1" x14ac:dyDescent="0.3">
      <c r="A9" s="149">
        <v>45992</v>
      </c>
      <c r="B9" s="150" t="s">
        <v>4836</v>
      </c>
      <c r="C9" s="151" t="s">
        <v>4837</v>
      </c>
      <c r="D9" s="152" t="s">
        <v>1376</v>
      </c>
      <c r="E9" s="151" t="s">
        <v>420</v>
      </c>
      <c r="F9" s="153">
        <f t="shared" si="0"/>
        <v>96</v>
      </c>
      <c r="G9" s="154">
        <v>84</v>
      </c>
      <c r="H9" s="154">
        <v>10</v>
      </c>
      <c r="I9" s="154">
        <v>2</v>
      </c>
      <c r="J9" s="145"/>
      <c r="K9" s="146">
        <f>IFERROR(G9*INDEX('0_Jornales_MO'!$G$4:$J$21,MATCH(A9,'0_Jornales_MO'!$A$4:$A$21,0),MATCH(D9,{"ESPECIALIZADO","OFICIAL","MEDIO OFICIAL","AYUDANTE"},0)),"-")</f>
        <v>999567.73411386774</v>
      </c>
      <c r="L9" s="147">
        <f>IFERROR(H9*INDEX('0_Jornales_MO'!$G$4:$J$21,MATCH(A9,'0_Jornales_MO'!$A$4:$A$21,0),MATCH(D9,{"ESPECIALIZADO","OFICIAL","MEDIO OFICIAL","AYUDANTE"},0))*1.5,"-")</f>
        <v>178494.23823461923</v>
      </c>
      <c r="M9" s="147">
        <f>IFERROR(I9*INDEX('0_Jornales_MO'!$G$4:$J$21,MATCH(A9,'0_Jornales_MO'!$A$4:$A$21,0),MATCH(D9,{"ESPECIALIZADO","OFICIAL","MEDIO OFICIAL","AYUDANTE"},0))*2,"-")</f>
        <v>47598.463529231798</v>
      </c>
      <c r="N9" s="148">
        <f t="shared" si="1"/>
        <v>1225660.4358777187</v>
      </c>
      <c r="O9" s="148">
        <f>IFERROR($N9 * SUMIF('0_Indice_CAC'!$A:$A,$A9,'0_Indice_CAC'!$D:$D),"-")</f>
        <v>990936.0641590897</v>
      </c>
    </row>
    <row r="10" spans="1:16" ht="12.75" customHeight="1" x14ac:dyDescent="0.3">
      <c r="A10" s="155">
        <v>45992</v>
      </c>
      <c r="B10" s="156" t="s">
        <v>4836</v>
      </c>
      <c r="C10" s="157" t="s">
        <v>4837</v>
      </c>
      <c r="D10" s="158" t="s">
        <v>1376</v>
      </c>
      <c r="E10" s="157" t="s">
        <v>409</v>
      </c>
      <c r="F10" s="159">
        <f t="shared" si="0"/>
        <v>96</v>
      </c>
      <c r="G10" s="160">
        <v>96</v>
      </c>
      <c r="H10" s="160">
        <v>0</v>
      </c>
      <c r="I10" s="160">
        <v>0</v>
      </c>
      <c r="J10" s="145"/>
      <c r="K10" s="146">
        <f>IFERROR(G10*INDEX('0_Jornales_MO'!$G$4:$J$21,MATCH(A10,'0_Jornales_MO'!$A$4:$A$21,0),MATCH(D10,{"ESPECIALIZADO","OFICIAL","MEDIO OFICIAL","AYUDANTE"},0)),"-")</f>
        <v>1142363.1247015633</v>
      </c>
      <c r="L10" s="147">
        <f>IFERROR(H10*INDEX('0_Jornales_MO'!$G$4:$J$21,MATCH(A10,'0_Jornales_MO'!$A$4:$A$21,0),MATCH(D10,{"ESPECIALIZADO","OFICIAL","MEDIO OFICIAL","AYUDANTE"},0))*1.5,"-")</f>
        <v>0</v>
      </c>
      <c r="M10" s="147">
        <f>IFERROR(I10*INDEX('0_Jornales_MO'!$G$4:$J$21,MATCH(A10,'0_Jornales_MO'!$A$4:$A$21,0),MATCH(D10,{"ESPECIALIZADO","OFICIAL","MEDIO OFICIAL","AYUDANTE"},0))*2,"-")</f>
        <v>0</v>
      </c>
      <c r="N10" s="148">
        <f t="shared" si="1"/>
        <v>1142363.1247015633</v>
      </c>
      <c r="O10" s="148">
        <f>IFERROR($N10 * SUMIF('0_Indice_CAC'!$A:$A,$A10,'0_Indice_CAC'!$D:$D),"-")</f>
        <v>923590.89475021965</v>
      </c>
    </row>
    <row r="11" spans="1:16" ht="12.75" customHeight="1" x14ac:dyDescent="0.3">
      <c r="A11" s="149">
        <v>45992</v>
      </c>
      <c r="B11" s="150" t="s">
        <v>4838</v>
      </c>
      <c r="C11" s="151" t="s">
        <v>4837</v>
      </c>
      <c r="D11" s="152" t="s">
        <v>1292</v>
      </c>
      <c r="E11" s="151" t="s">
        <v>321</v>
      </c>
      <c r="F11" s="153">
        <f t="shared" si="0"/>
        <v>94</v>
      </c>
      <c r="G11" s="154">
        <v>88</v>
      </c>
      <c r="H11" s="154">
        <v>6</v>
      </c>
      <c r="I11" s="154">
        <v>0</v>
      </c>
      <c r="J11" s="145"/>
      <c r="K11" s="146">
        <f>IFERROR(G11*INDEX('0_Jornales_MO'!$G$4:$J$21,MATCH(A11,'0_Jornales_MO'!$A$4:$A$21,0),MATCH(D11,{"ESPECIALIZADO","OFICIAL","MEDIO OFICIAL","AYUDANTE"},0)),"-")</f>
        <v>894918.13916059933</v>
      </c>
      <c r="L11" s="147">
        <f>IFERROR(H11*INDEX('0_Jornales_MO'!$G$4:$J$21,MATCH(A11,'0_Jornales_MO'!$A$4:$A$21,0),MATCH(D11,{"ESPECIALIZADO","OFICIAL","MEDIO OFICIAL","AYUDANTE"},0))*1.5,"-")</f>
        <v>91525.71877778857</v>
      </c>
      <c r="M11" s="147">
        <f>IFERROR(I11*INDEX('0_Jornales_MO'!$G$4:$J$21,MATCH(A11,'0_Jornales_MO'!$A$4:$A$21,0),MATCH(D11,{"ESPECIALIZADO","OFICIAL","MEDIO OFICIAL","AYUDANTE"},0))*2,"-")</f>
        <v>0</v>
      </c>
      <c r="N11" s="148">
        <f t="shared" si="1"/>
        <v>986443.8579383879</v>
      </c>
      <c r="O11" s="148">
        <f>IFERROR($N11 * SUMIF('0_Indice_CAC'!$A:$A,$A11,'0_Indice_CAC'!$D:$D),"-")</f>
        <v>797531.49035880063</v>
      </c>
    </row>
    <row r="12" spans="1:16" ht="12.75" customHeight="1" x14ac:dyDescent="0.3">
      <c r="A12" s="155">
        <v>45992</v>
      </c>
      <c r="B12" s="156" t="s">
        <v>4838</v>
      </c>
      <c r="C12" s="157" t="s">
        <v>4837</v>
      </c>
      <c r="D12" s="158" t="s">
        <v>1292</v>
      </c>
      <c r="E12" s="157" t="s">
        <v>420</v>
      </c>
      <c r="F12" s="159">
        <f t="shared" si="0"/>
        <v>61</v>
      </c>
      <c r="G12" s="160">
        <v>56</v>
      </c>
      <c r="H12" s="160">
        <v>5</v>
      </c>
      <c r="I12" s="160">
        <v>0</v>
      </c>
      <c r="J12" s="145"/>
      <c r="K12" s="146">
        <f>IFERROR(G12*INDEX('0_Jornales_MO'!$G$4:$J$21,MATCH(A12,'0_Jornales_MO'!$A$4:$A$21,0),MATCH(D12,{"ESPECIALIZADO","OFICIAL","MEDIO OFICIAL","AYUDANTE"},0)),"-")</f>
        <v>569493.3612840178</v>
      </c>
      <c r="L12" s="147">
        <f>IFERROR(H12*INDEX('0_Jornales_MO'!$G$4:$J$21,MATCH(A12,'0_Jornales_MO'!$A$4:$A$21,0),MATCH(D12,{"ESPECIALIZADO","OFICIAL","MEDIO OFICIAL","AYUDANTE"},0))*1.5,"-")</f>
        <v>76271.432314823804</v>
      </c>
      <c r="M12" s="147">
        <f>IFERROR(I12*INDEX('0_Jornales_MO'!$G$4:$J$21,MATCH(A12,'0_Jornales_MO'!$A$4:$A$21,0),MATCH(D12,{"ESPECIALIZADO","OFICIAL","MEDIO OFICIAL","AYUDANTE"},0))*2,"-")</f>
        <v>0</v>
      </c>
      <c r="N12" s="148">
        <f t="shared" si="1"/>
        <v>645764.79359884164</v>
      </c>
      <c r="O12" s="148">
        <f>IFERROR($N12 * SUMIF('0_Indice_CAC'!$A:$A,$A12,'0_Indice_CAC'!$D:$D),"-")</f>
        <v>522095.35709055513</v>
      </c>
    </row>
    <row r="13" spans="1:16" ht="12.75" customHeight="1" x14ac:dyDescent="0.3">
      <c r="A13" s="149">
        <v>45992</v>
      </c>
      <c r="B13" s="150" t="s">
        <v>4838</v>
      </c>
      <c r="C13" s="151" t="s">
        <v>4837</v>
      </c>
      <c r="D13" s="152" t="s">
        <v>940</v>
      </c>
      <c r="E13" s="151" t="s">
        <v>321</v>
      </c>
      <c r="F13" s="153">
        <f t="shared" si="0"/>
        <v>412</v>
      </c>
      <c r="G13" s="154">
        <v>384</v>
      </c>
      <c r="H13" s="154">
        <v>28</v>
      </c>
      <c r="I13" s="154">
        <v>0</v>
      </c>
      <c r="J13" s="145"/>
      <c r="K13" s="146">
        <f>IFERROR(G13*INDEX('0_Jornales_MO'!$G$4:$J$21,MATCH(A13,'0_Jornales_MO'!$A$4:$A$21,0),MATCH(D13,{"ESPECIALIZADO","OFICIAL","MEDIO OFICIAL","AYUDANTE"},0)),"-")</f>
        <v>3659076.4325589789</v>
      </c>
      <c r="L13" s="147">
        <f>IFERROR(H13*INDEX('0_Jornales_MO'!$G$4:$J$21,MATCH(A13,'0_Jornales_MO'!$A$4:$A$21,0),MATCH(D13,{"ESPECIALIZADO","OFICIAL","MEDIO OFICIAL","AYUDANTE"},0))*1.5,"-")</f>
        <v>400211.48481113836</v>
      </c>
      <c r="M13" s="147">
        <f>IFERROR(I13*INDEX('0_Jornales_MO'!$G$4:$J$21,MATCH(A13,'0_Jornales_MO'!$A$4:$A$21,0),MATCH(D13,{"ESPECIALIZADO","OFICIAL","MEDIO OFICIAL","AYUDANTE"},0))*2,"-")</f>
        <v>0</v>
      </c>
      <c r="N13" s="148">
        <f t="shared" si="1"/>
        <v>4059287.9173701173</v>
      </c>
      <c r="O13" s="148">
        <f>IFERROR($N13 * SUMIF('0_Indice_CAC'!$A:$A,$A13,'0_Indice_CAC'!$D:$D),"-")</f>
        <v>3281899.8430398931</v>
      </c>
    </row>
    <row r="14" spans="1:16" ht="12.75" customHeight="1" x14ac:dyDescent="0.3">
      <c r="A14" s="155">
        <v>45992</v>
      </c>
      <c r="B14" s="156" t="s">
        <v>4838</v>
      </c>
      <c r="C14" s="157" t="s">
        <v>4837</v>
      </c>
      <c r="D14" s="158" t="s">
        <v>945</v>
      </c>
      <c r="E14" s="157" t="s">
        <v>321</v>
      </c>
      <c r="F14" s="159">
        <f t="shared" si="0"/>
        <v>103</v>
      </c>
      <c r="G14" s="160">
        <v>96</v>
      </c>
      <c r="H14" s="160">
        <v>7</v>
      </c>
      <c r="I14" s="160">
        <v>0</v>
      </c>
      <c r="J14" s="145"/>
      <c r="K14" s="146">
        <f>IFERROR(G14*INDEX('0_Jornales_MO'!$G$4:$J$21,MATCH(A14,'0_Jornales_MO'!$A$4:$A$21,0),MATCH(D14,{"ESPECIALIZADO","OFICIAL","MEDIO OFICIAL","AYUDANTE"},0)),"-")</f>
        <v>1366382.18230974</v>
      </c>
      <c r="L14" s="147">
        <f>IFERROR(H14*INDEX('0_Jornales_MO'!$G$4:$J$21,MATCH(A14,'0_Jornales_MO'!$A$4:$A$21,0),MATCH(D14,{"ESPECIALIZADO","OFICIAL","MEDIO OFICIAL","AYUDANTE"},0))*1.5,"-")</f>
        <v>149448.05119012782</v>
      </c>
      <c r="M14" s="147">
        <f>IFERROR(I14*INDEX('0_Jornales_MO'!$G$4:$J$21,MATCH(A14,'0_Jornales_MO'!$A$4:$A$21,0),MATCH(D14,{"ESPECIALIZADO","OFICIAL","MEDIO OFICIAL","AYUDANTE"},0))*2,"-")</f>
        <v>0</v>
      </c>
      <c r="N14" s="148">
        <f t="shared" si="1"/>
        <v>1515830.2334998678</v>
      </c>
      <c r="O14" s="148">
        <f>IFERROR($N14 * SUMIF('0_Indice_CAC'!$A:$A,$A14,'0_Indice_CAC'!$D:$D),"-")</f>
        <v>1225535.8837964262</v>
      </c>
    </row>
    <row r="15" spans="1:16" ht="12.75" customHeight="1" x14ac:dyDescent="0.3">
      <c r="A15" s="149">
        <v>45992</v>
      </c>
      <c r="B15" s="150" t="s">
        <v>4838</v>
      </c>
      <c r="C15" s="151" t="s">
        <v>4837</v>
      </c>
      <c r="D15" s="152" t="s">
        <v>1376</v>
      </c>
      <c r="E15" s="151" t="s">
        <v>321</v>
      </c>
      <c r="F15" s="153">
        <f t="shared" si="0"/>
        <v>301</v>
      </c>
      <c r="G15" s="154">
        <v>280</v>
      </c>
      <c r="H15" s="154">
        <v>21</v>
      </c>
      <c r="I15" s="154">
        <v>0</v>
      </c>
      <c r="J15" s="145"/>
      <c r="K15" s="146">
        <f>IFERROR(G15*INDEX('0_Jornales_MO'!$G$4:$J$21,MATCH(A15,'0_Jornales_MO'!$A$4:$A$21,0),MATCH(D15,{"ESPECIALIZADO","OFICIAL","MEDIO OFICIAL","AYUDANTE"},0)),"-")</f>
        <v>3331892.4470462259</v>
      </c>
      <c r="L15" s="147">
        <f>IFERROR(H15*INDEX('0_Jornales_MO'!$G$4:$J$21,MATCH(A15,'0_Jornales_MO'!$A$4:$A$21,0),MATCH(D15,{"ESPECIALIZADO","OFICIAL","MEDIO OFICIAL","AYUDANTE"},0))*1.5,"-")</f>
        <v>374837.90029270039</v>
      </c>
      <c r="M15" s="147">
        <f>IFERROR(I15*INDEX('0_Jornales_MO'!$G$4:$J$21,MATCH(A15,'0_Jornales_MO'!$A$4:$A$21,0),MATCH(D15,{"ESPECIALIZADO","OFICIAL","MEDIO OFICIAL","AYUDANTE"},0))*2,"-")</f>
        <v>0</v>
      </c>
      <c r="N15" s="148">
        <f t="shared" si="1"/>
        <v>3706730.347338926</v>
      </c>
      <c r="O15" s="148">
        <f>IFERROR($N15 * SUMIF('0_Indice_CAC'!$A:$A,$A15,'0_Indice_CAC'!$D:$D),"-")</f>
        <v>2996860.0386947226</v>
      </c>
    </row>
    <row r="16" spans="1:16" ht="12.75" customHeight="1" x14ac:dyDescent="0.3">
      <c r="A16" s="155">
        <v>45992</v>
      </c>
      <c r="B16" s="156" t="s">
        <v>4838</v>
      </c>
      <c r="C16" s="157" t="s">
        <v>4837</v>
      </c>
      <c r="D16" s="158" t="s">
        <v>1376</v>
      </c>
      <c r="E16" s="157" t="s">
        <v>420</v>
      </c>
      <c r="F16" s="159">
        <f t="shared" si="0"/>
        <v>69</v>
      </c>
      <c r="G16" s="160">
        <v>64</v>
      </c>
      <c r="H16" s="160">
        <v>5</v>
      </c>
      <c r="I16" s="160">
        <v>0</v>
      </c>
      <c r="J16" s="145"/>
      <c r="K16" s="146">
        <f>IFERROR(G16*INDEX('0_Jornales_MO'!$G$4:$J$21,MATCH(A16,'0_Jornales_MO'!$A$4:$A$21,0),MATCH(D16,{"ESPECIALIZADO","OFICIAL","MEDIO OFICIAL","AYUDANTE"},0)),"-")</f>
        <v>761575.41646770877</v>
      </c>
      <c r="L16" s="147">
        <f>IFERROR(H16*INDEX('0_Jornales_MO'!$G$4:$J$21,MATCH(A16,'0_Jornales_MO'!$A$4:$A$21,0),MATCH(D16,{"ESPECIALIZADO","OFICIAL","MEDIO OFICIAL","AYUDANTE"},0))*1.5,"-")</f>
        <v>89247.119117309616</v>
      </c>
      <c r="M16" s="147">
        <f>IFERROR(I16*INDEX('0_Jornales_MO'!$G$4:$J$21,MATCH(A16,'0_Jornales_MO'!$A$4:$A$21,0),MATCH(D16,{"ESPECIALIZADO","OFICIAL","MEDIO OFICIAL","AYUDANTE"},0))*2,"-")</f>
        <v>0</v>
      </c>
      <c r="N16" s="148">
        <f t="shared" si="1"/>
        <v>850822.53558501834</v>
      </c>
      <c r="O16" s="148">
        <f>IFERROR($N16 * SUMIF('0_Indice_CAC'!$A:$A,$A16,'0_Indice_CAC'!$D:$D),"-")</f>
        <v>687882.80181917385</v>
      </c>
    </row>
    <row r="17" spans="1:15" ht="12.75" customHeight="1" x14ac:dyDescent="0.3">
      <c r="A17" s="149">
        <v>45992</v>
      </c>
      <c r="B17" s="150" t="s">
        <v>4838</v>
      </c>
      <c r="C17" s="151" t="s">
        <v>4837</v>
      </c>
      <c r="D17" s="152" t="s">
        <v>1376</v>
      </c>
      <c r="E17" s="151" t="s">
        <v>409</v>
      </c>
      <c r="F17" s="153">
        <f t="shared" si="0"/>
        <v>184</v>
      </c>
      <c r="G17" s="154">
        <v>184</v>
      </c>
      <c r="H17" s="154">
        <v>0</v>
      </c>
      <c r="I17" s="154">
        <v>0</v>
      </c>
      <c r="J17" s="145"/>
      <c r="K17" s="146">
        <f>IFERROR(G17*INDEX('0_Jornales_MO'!$G$4:$J$21,MATCH(A17,'0_Jornales_MO'!$A$4:$A$21,0),MATCH(D17,{"ESPECIALIZADO","OFICIAL","MEDIO OFICIAL","AYUDANTE"},0)),"-")</f>
        <v>2189529.3223446626</v>
      </c>
      <c r="L17" s="147">
        <f>IFERROR(H17*INDEX('0_Jornales_MO'!$G$4:$J$21,MATCH(A17,'0_Jornales_MO'!$A$4:$A$21,0),MATCH(D17,{"ESPECIALIZADO","OFICIAL","MEDIO OFICIAL","AYUDANTE"},0))*1.5,"-")</f>
        <v>0</v>
      </c>
      <c r="M17" s="147">
        <f>IFERROR(I17*INDEX('0_Jornales_MO'!$G$4:$J$21,MATCH(A17,'0_Jornales_MO'!$A$4:$A$21,0),MATCH(D17,{"ESPECIALIZADO","OFICIAL","MEDIO OFICIAL","AYUDANTE"},0))*2,"-")</f>
        <v>0</v>
      </c>
      <c r="N17" s="148">
        <f t="shared" si="1"/>
        <v>2189529.3223446626</v>
      </c>
      <c r="O17" s="148">
        <f>IFERROR($N17 * SUMIF('0_Indice_CAC'!$A:$A,$A17,'0_Indice_CAC'!$D:$D),"-")</f>
        <v>1770215.8816045874</v>
      </c>
    </row>
    <row r="18" spans="1:15" ht="12.75" customHeight="1" x14ac:dyDescent="0.3">
      <c r="A18" s="155">
        <v>46023</v>
      </c>
      <c r="B18" s="156" t="s">
        <v>4836</v>
      </c>
      <c r="C18" s="157" t="s">
        <v>4837</v>
      </c>
      <c r="D18" s="158" t="s">
        <v>1292</v>
      </c>
      <c r="E18" s="157" t="s">
        <v>321</v>
      </c>
      <c r="F18" s="159">
        <f t="shared" si="0"/>
        <v>166</v>
      </c>
      <c r="G18" s="160">
        <v>152</v>
      </c>
      <c r="H18" s="160">
        <v>14</v>
      </c>
      <c r="I18" s="160">
        <v>0</v>
      </c>
      <c r="J18" s="145"/>
      <c r="K18" s="146">
        <f>IFERROR(G18*INDEX('0_Jornales_MO'!$G$4:$J$21,MATCH(A18,'0_Jornales_MO'!$A$4:$A$21,0),MATCH(D18,{"ESPECIALIZADO","OFICIAL","MEDIO OFICIAL","AYUDANTE"},0)),"-")</f>
        <v>1588683.8676312626</v>
      </c>
      <c r="L18" s="147">
        <f>IFERROR(H18*INDEX('0_Jornales_MO'!$G$4:$J$21,MATCH(A18,'0_Jornales_MO'!$A$4:$A$21,0),MATCH(D18,{"ESPECIALIZADO","OFICIAL","MEDIO OFICIAL","AYUDANTE"},0))*1.5,"-")</f>
        <v>219489.2185543192</v>
      </c>
      <c r="M18" s="147">
        <f>IFERROR(I18*INDEX('0_Jornales_MO'!$G$4:$J$21,MATCH(A18,'0_Jornales_MO'!$A$4:$A$21,0),MATCH(D18,{"ESPECIALIZADO","OFICIAL","MEDIO OFICIAL","AYUDANTE"},0))*2,"-")</f>
        <v>0</v>
      </c>
      <c r="N18" s="148">
        <f t="shared" si="1"/>
        <v>1808173.0861855817</v>
      </c>
      <c r="O18" s="148">
        <f>IFERROR($N18 * SUMIF('0_Indice_CAC'!$A:$A,$A18,'0_Indice_CAC'!$D:$D),"-")</f>
        <v>1436366.7465427015</v>
      </c>
    </row>
    <row r="19" spans="1:15" ht="12.75" customHeight="1" x14ac:dyDescent="0.3">
      <c r="A19" s="149">
        <v>46023</v>
      </c>
      <c r="B19" s="150" t="s">
        <v>4836</v>
      </c>
      <c r="C19" s="151" t="s">
        <v>4837</v>
      </c>
      <c r="D19" s="152" t="s">
        <v>1292</v>
      </c>
      <c r="E19" s="151" t="s">
        <v>420</v>
      </c>
      <c r="F19" s="153">
        <f t="shared" si="0"/>
        <v>96</v>
      </c>
      <c r="G19" s="154">
        <v>88</v>
      </c>
      <c r="H19" s="154">
        <v>8</v>
      </c>
      <c r="I19" s="154">
        <v>0</v>
      </c>
      <c r="J19" s="145"/>
      <c r="K19" s="146">
        <f>IFERROR(G19*INDEX('0_Jornales_MO'!$G$4:$J$21,MATCH(A19,'0_Jornales_MO'!$A$4:$A$21,0),MATCH(D19,{"ESPECIALIZADO","OFICIAL","MEDIO OFICIAL","AYUDANTE"},0)),"-")</f>
        <v>919764.3444180995</v>
      </c>
      <c r="L19" s="147">
        <f>IFERROR(H19*INDEX('0_Jornales_MO'!$G$4:$J$21,MATCH(A19,'0_Jornales_MO'!$A$4:$A$21,0),MATCH(D19,{"ESPECIALIZADO","OFICIAL","MEDIO OFICIAL","AYUDANTE"},0))*1.5,"-")</f>
        <v>125422.41060246811</v>
      </c>
      <c r="M19" s="147">
        <f>IFERROR(I19*INDEX('0_Jornales_MO'!$G$4:$J$21,MATCH(A19,'0_Jornales_MO'!$A$4:$A$21,0),MATCH(D19,{"ESPECIALIZADO","OFICIAL","MEDIO OFICIAL","AYUDANTE"},0))*2,"-")</f>
        <v>0</v>
      </c>
      <c r="N19" s="148">
        <f t="shared" si="1"/>
        <v>1045186.7550205676</v>
      </c>
      <c r="O19" s="148">
        <f>IFERROR($N19 * SUMIF('0_Indice_CAC'!$A:$A,$A19,'0_Indice_CAC'!$D:$D),"-")</f>
        <v>830269.79568942299</v>
      </c>
    </row>
    <row r="20" spans="1:15" ht="12.75" customHeight="1" x14ac:dyDescent="0.3">
      <c r="A20" s="155">
        <v>46023</v>
      </c>
      <c r="B20" s="156" t="s">
        <v>4836</v>
      </c>
      <c r="C20" s="157" t="s">
        <v>4837</v>
      </c>
      <c r="D20" s="158" t="s">
        <v>940</v>
      </c>
      <c r="E20" s="157" t="s">
        <v>321</v>
      </c>
      <c r="F20" s="159">
        <f t="shared" si="0"/>
        <v>385</v>
      </c>
      <c r="G20" s="160">
        <v>348</v>
      </c>
      <c r="H20" s="160">
        <v>31</v>
      </c>
      <c r="I20" s="160">
        <v>6</v>
      </c>
      <c r="J20" s="145"/>
      <c r="K20" s="146">
        <f>IFERROR(G20*INDEX('0_Jornales_MO'!$G$4:$J$21,MATCH(A20,'0_Jornales_MO'!$A$4:$A$21,0),MATCH(D20,{"ESPECIALIZADO","OFICIAL","MEDIO OFICIAL","AYUDANTE"},0)),"-")</f>
        <v>3405660.3170665749</v>
      </c>
      <c r="L20" s="147">
        <f>IFERROR(H20*INDEX('0_Jornales_MO'!$G$4:$J$21,MATCH(A20,'0_Jornales_MO'!$A$4:$A$21,0),MATCH(D20,{"ESPECIALIZADO","OFICIAL","MEDIO OFICIAL","AYUDANTE"},0))*1.5,"-")</f>
        <v>455066.68029768893</v>
      </c>
      <c r="M20" s="147">
        <f>IFERROR(I20*INDEX('0_Jornales_MO'!$G$4:$J$21,MATCH(A20,'0_Jornales_MO'!$A$4:$A$21,0),MATCH(D20,{"ESPECIALIZADO","OFICIAL","MEDIO OFICIAL","AYUDANTE"},0))*2,"-")</f>
        <v>117436.56265746809</v>
      </c>
      <c r="N20" s="148">
        <f t="shared" si="1"/>
        <v>3978163.560021732</v>
      </c>
      <c r="O20" s="148">
        <f>IFERROR($N20 * SUMIF('0_Indice_CAC'!$A:$A,$A20,'0_Indice_CAC'!$D:$D),"-")</f>
        <v>3160152.0305654411</v>
      </c>
    </row>
    <row r="21" spans="1:15" ht="12.75" customHeight="1" x14ac:dyDescent="0.3">
      <c r="A21" s="149">
        <v>46023</v>
      </c>
      <c r="B21" s="150" t="s">
        <v>4836</v>
      </c>
      <c r="C21" s="151" t="s">
        <v>4837</v>
      </c>
      <c r="D21" s="152" t="s">
        <v>945</v>
      </c>
      <c r="E21" s="151" t="s">
        <v>321</v>
      </c>
      <c r="F21" s="153">
        <f t="shared" si="0"/>
        <v>180</v>
      </c>
      <c r="G21" s="154">
        <v>164</v>
      </c>
      <c r="H21" s="154">
        <v>14</v>
      </c>
      <c r="I21" s="154">
        <v>2</v>
      </c>
      <c r="J21" s="145"/>
      <c r="K21" s="146">
        <f>IFERROR(G21*INDEX('0_Jornales_MO'!$G$4:$J$21,MATCH(A21,'0_Jornales_MO'!$A$4:$A$21,0),MATCH(D21,{"ESPECIALIZADO","OFICIAL","MEDIO OFICIAL","AYUDANTE"},0)),"-")</f>
        <v>2407779.4741712227</v>
      </c>
      <c r="L21" s="147">
        <f>IFERROR(H21*INDEX('0_Jornales_MO'!$G$4:$J$21,MATCH(A21,'0_Jornales_MO'!$A$4:$A$21,0),MATCH(D21,{"ESPECIALIZADO","OFICIAL","MEDIO OFICIAL","AYUDANTE"},0))*1.5,"-")</f>
        <v>308313.2253511931</v>
      </c>
      <c r="M21" s="147">
        <f>IFERROR(I21*INDEX('0_Jornales_MO'!$G$4:$J$21,MATCH(A21,'0_Jornales_MO'!$A$4:$A$21,0),MATCH(D21,{"ESPECIALIZADO","OFICIAL","MEDIO OFICIAL","AYUDANTE"},0))*2,"-")</f>
        <v>58726.328638322499</v>
      </c>
      <c r="N21" s="148">
        <f t="shared" si="1"/>
        <v>2774819.0281607383</v>
      </c>
      <c r="O21" s="148">
        <f>IFERROR($N21 * SUMIF('0_Indice_CAC'!$A:$A,$A21,'0_Indice_CAC'!$D:$D),"-")</f>
        <v>2204245.716394295</v>
      </c>
    </row>
    <row r="22" spans="1:15" ht="12.75" customHeight="1" x14ac:dyDescent="0.3">
      <c r="A22" s="155">
        <v>46023</v>
      </c>
      <c r="B22" s="156" t="s">
        <v>4836</v>
      </c>
      <c r="C22" s="157" t="s">
        <v>4837</v>
      </c>
      <c r="D22" s="158" t="s">
        <v>1376</v>
      </c>
      <c r="E22" s="157" t="s">
        <v>321</v>
      </c>
      <c r="F22" s="159">
        <f t="shared" si="0"/>
        <v>268</v>
      </c>
      <c r="G22" s="160">
        <v>244</v>
      </c>
      <c r="H22" s="160">
        <v>22</v>
      </c>
      <c r="I22" s="160">
        <v>2</v>
      </c>
      <c r="J22" s="145"/>
      <c r="K22" s="146">
        <f>IFERROR(G22*INDEX('0_Jornales_MO'!$G$4:$J$21,MATCH(A22,'0_Jornales_MO'!$A$4:$A$21,0),MATCH(D22,{"ESPECIALIZADO","OFICIAL","MEDIO OFICIAL","AYUDANTE"},0)),"-")</f>
        <v>2984936.4809326846</v>
      </c>
      <c r="L22" s="147">
        <f>IFERROR(H22*INDEX('0_Jornales_MO'!$G$4:$J$21,MATCH(A22,'0_Jornales_MO'!$A$4:$A$21,0),MATCH(D22,{"ESPECIALIZADO","OFICIAL","MEDIO OFICIAL","AYUDANTE"},0))*1.5,"-")</f>
        <v>403700.42569991224</v>
      </c>
      <c r="M22" s="147">
        <f>IFERROR(I22*INDEX('0_Jornales_MO'!$G$4:$J$21,MATCH(A22,'0_Jornales_MO'!$A$4:$A$21,0),MATCH(D22,{"ESPECIALIZADO","OFICIAL","MEDIO OFICIAL","AYUDANTE"},0))*2,"-")</f>
        <v>48933.384933322697</v>
      </c>
      <c r="N22" s="148">
        <f t="shared" si="1"/>
        <v>3437570.2915659193</v>
      </c>
      <c r="O22" s="148">
        <f>IFERROR($N22 * SUMIF('0_Indice_CAC'!$A:$A,$A22,'0_Indice_CAC'!$D:$D),"-")</f>
        <v>2730718.4768049438</v>
      </c>
    </row>
    <row r="23" spans="1:15" ht="12.75" customHeight="1" x14ac:dyDescent="0.3">
      <c r="A23" s="149">
        <v>46023</v>
      </c>
      <c r="B23" s="150" t="s">
        <v>4836</v>
      </c>
      <c r="C23" s="151" t="s">
        <v>4837</v>
      </c>
      <c r="D23" s="152" t="s">
        <v>1376</v>
      </c>
      <c r="E23" s="151" t="s">
        <v>420</v>
      </c>
      <c r="F23" s="153">
        <f t="shared" si="0"/>
        <v>96</v>
      </c>
      <c r="G23" s="154">
        <v>88</v>
      </c>
      <c r="H23" s="154">
        <v>8</v>
      </c>
      <c r="I23" s="154">
        <v>0</v>
      </c>
      <c r="J23" s="145"/>
      <c r="K23" s="146">
        <f>IFERROR(G23*INDEX('0_Jornales_MO'!$G$4:$J$21,MATCH(A23,'0_Jornales_MO'!$A$4:$A$21,0),MATCH(D23,{"ESPECIALIZADO","OFICIAL","MEDIO OFICIAL","AYUDANTE"},0)),"-")</f>
        <v>1076534.4685330994</v>
      </c>
      <c r="L23" s="147">
        <f>IFERROR(H23*INDEX('0_Jornales_MO'!$G$4:$J$21,MATCH(A23,'0_Jornales_MO'!$A$4:$A$21,0),MATCH(D23,{"ESPECIALIZADO","OFICIAL","MEDIO OFICIAL","AYUDANTE"},0))*1.5,"-")</f>
        <v>146800.15479996809</v>
      </c>
      <c r="M23" s="147">
        <f>IFERROR(I23*INDEX('0_Jornales_MO'!$G$4:$J$21,MATCH(A23,'0_Jornales_MO'!$A$4:$A$21,0),MATCH(D23,{"ESPECIALIZADO","OFICIAL","MEDIO OFICIAL","AYUDANTE"},0))*2,"-")</f>
        <v>0</v>
      </c>
      <c r="N23" s="148">
        <f t="shared" si="1"/>
        <v>1223334.6233330674</v>
      </c>
      <c r="O23" s="148">
        <f>IFERROR($N23 * SUMIF('0_Indice_CAC'!$A:$A,$A23,'0_Indice_CAC'!$D:$D),"-")</f>
        <v>971785.93480602978</v>
      </c>
    </row>
    <row r="24" spans="1:15" ht="12.75" customHeight="1" x14ac:dyDescent="0.3">
      <c r="A24" s="155">
        <v>46023</v>
      </c>
      <c r="B24" s="156" t="s">
        <v>4836</v>
      </c>
      <c r="C24" s="157" t="s">
        <v>4837</v>
      </c>
      <c r="D24" s="158" t="s">
        <v>1376</v>
      </c>
      <c r="E24" s="157" t="s">
        <v>409</v>
      </c>
      <c r="F24" s="159">
        <f t="shared" si="0"/>
        <v>176</v>
      </c>
      <c r="G24" s="160">
        <v>176</v>
      </c>
      <c r="H24" s="160">
        <v>0</v>
      </c>
      <c r="I24" s="160">
        <v>0</v>
      </c>
      <c r="J24" s="145"/>
      <c r="K24" s="146">
        <f>IFERROR(G24*INDEX('0_Jornales_MO'!$G$4:$J$21,MATCH(A24,'0_Jornales_MO'!$A$4:$A$21,0),MATCH(D24,{"ESPECIALIZADO","OFICIAL","MEDIO OFICIAL","AYUDANTE"},0)),"-")</f>
        <v>2153068.9370661988</v>
      </c>
      <c r="L24" s="147">
        <f>IFERROR(H24*INDEX('0_Jornales_MO'!$G$4:$J$21,MATCH(A24,'0_Jornales_MO'!$A$4:$A$21,0),MATCH(D24,{"ESPECIALIZADO","OFICIAL","MEDIO OFICIAL","AYUDANTE"},0))*1.5,"-")</f>
        <v>0</v>
      </c>
      <c r="M24" s="147">
        <f>IFERROR(I24*INDEX('0_Jornales_MO'!$G$4:$J$21,MATCH(A24,'0_Jornales_MO'!$A$4:$A$21,0),MATCH(D24,{"ESPECIALIZADO","OFICIAL","MEDIO OFICIAL","AYUDANTE"},0))*2,"-")</f>
        <v>0</v>
      </c>
      <c r="N24" s="148">
        <f t="shared" si="1"/>
        <v>2153068.9370661988</v>
      </c>
      <c r="O24" s="148">
        <f>IFERROR($N24 * SUMIF('0_Indice_CAC'!$A:$A,$A24,'0_Indice_CAC'!$D:$D),"-")</f>
        <v>1710343.2452586126</v>
      </c>
    </row>
    <row r="25" spans="1:15" ht="12.75" customHeight="1" x14ac:dyDescent="0.3">
      <c r="A25" s="149">
        <v>46023</v>
      </c>
      <c r="B25" s="150" t="s">
        <v>4838</v>
      </c>
      <c r="C25" s="151" t="s">
        <v>4837</v>
      </c>
      <c r="D25" s="152" t="s">
        <v>1292</v>
      </c>
      <c r="E25" s="151" t="s">
        <v>321</v>
      </c>
      <c r="F25" s="153">
        <f t="shared" si="0"/>
        <v>143</v>
      </c>
      <c r="G25" s="154">
        <v>128</v>
      </c>
      <c r="H25" s="154">
        <v>11</v>
      </c>
      <c r="I25" s="154">
        <v>4</v>
      </c>
      <c r="J25" s="145"/>
      <c r="K25" s="146">
        <f>IFERROR(G25*INDEX('0_Jornales_MO'!$G$4:$J$21,MATCH(A25,'0_Jornales_MO'!$A$4:$A$21,0),MATCH(D25,{"ESPECIALIZADO","OFICIAL","MEDIO OFICIAL","AYUDANTE"},0)),"-")</f>
        <v>1337839.0464263265</v>
      </c>
      <c r="L25" s="147">
        <f>IFERROR(H25*INDEX('0_Jornales_MO'!$G$4:$J$21,MATCH(A25,'0_Jornales_MO'!$A$4:$A$21,0),MATCH(D25,{"ESPECIALIZADO","OFICIAL","MEDIO OFICIAL","AYUDANTE"},0))*1.5,"-")</f>
        <v>172455.81457839365</v>
      </c>
      <c r="M25" s="147">
        <f>IFERROR(I25*INDEX('0_Jornales_MO'!$G$4:$J$21,MATCH(A25,'0_Jornales_MO'!$A$4:$A$21,0),MATCH(D25,{"ESPECIALIZADO","OFICIAL","MEDIO OFICIAL","AYUDANTE"},0))*2,"-")</f>
        <v>83614.940401645406</v>
      </c>
      <c r="N25" s="148">
        <f t="shared" si="1"/>
        <v>1593909.8014063656</v>
      </c>
      <c r="O25" s="148">
        <f>IFERROR($N25 * SUMIF('0_Indice_CAC'!$A:$A,$A25,'0_Indice_CAC'!$D:$D),"-")</f>
        <v>1266161.43842637</v>
      </c>
    </row>
    <row r="26" spans="1:15" ht="12.75" customHeight="1" x14ac:dyDescent="0.3">
      <c r="A26" s="155">
        <v>46023</v>
      </c>
      <c r="B26" s="156" t="s">
        <v>4838</v>
      </c>
      <c r="C26" s="157" t="s">
        <v>4837</v>
      </c>
      <c r="D26" s="158" t="s">
        <v>1292</v>
      </c>
      <c r="E26" s="157" t="s">
        <v>420</v>
      </c>
      <c r="F26" s="159">
        <f t="shared" si="0"/>
        <v>96</v>
      </c>
      <c r="G26" s="160">
        <v>88</v>
      </c>
      <c r="H26" s="160">
        <v>8</v>
      </c>
      <c r="I26" s="160">
        <v>0</v>
      </c>
      <c r="J26" s="145"/>
      <c r="K26" s="146">
        <f>IFERROR(G26*INDEX('0_Jornales_MO'!$G$4:$J$21,MATCH(A26,'0_Jornales_MO'!$A$4:$A$21,0),MATCH(D26,{"ESPECIALIZADO","OFICIAL","MEDIO OFICIAL","AYUDANTE"},0)),"-")</f>
        <v>919764.3444180995</v>
      </c>
      <c r="L26" s="147">
        <f>IFERROR(H26*INDEX('0_Jornales_MO'!$G$4:$J$21,MATCH(A26,'0_Jornales_MO'!$A$4:$A$21,0),MATCH(D26,{"ESPECIALIZADO","OFICIAL","MEDIO OFICIAL","AYUDANTE"},0))*1.5,"-")</f>
        <v>125422.41060246811</v>
      </c>
      <c r="M26" s="147">
        <f>IFERROR(I26*INDEX('0_Jornales_MO'!$G$4:$J$21,MATCH(A26,'0_Jornales_MO'!$A$4:$A$21,0),MATCH(D26,{"ESPECIALIZADO","OFICIAL","MEDIO OFICIAL","AYUDANTE"},0))*2,"-")</f>
        <v>0</v>
      </c>
      <c r="N26" s="148">
        <f t="shared" si="1"/>
        <v>1045186.7550205676</v>
      </c>
      <c r="O26" s="148">
        <f>IFERROR($N26 * SUMIF('0_Indice_CAC'!$A:$A,$A26,'0_Indice_CAC'!$D:$D),"-")</f>
        <v>830269.79568942299</v>
      </c>
    </row>
    <row r="27" spans="1:15" ht="12.75" customHeight="1" x14ac:dyDescent="0.3">
      <c r="A27" s="149">
        <v>46023</v>
      </c>
      <c r="B27" s="150" t="s">
        <v>4838</v>
      </c>
      <c r="C27" s="151" t="s">
        <v>4837</v>
      </c>
      <c r="D27" s="152" t="s">
        <v>940</v>
      </c>
      <c r="E27" s="151" t="s">
        <v>321</v>
      </c>
      <c r="F27" s="153">
        <f t="shared" si="0"/>
        <v>330</v>
      </c>
      <c r="G27" s="154">
        <v>296</v>
      </c>
      <c r="H27" s="154">
        <v>26</v>
      </c>
      <c r="I27" s="154">
        <v>8</v>
      </c>
      <c r="J27" s="145"/>
      <c r="K27" s="146">
        <f>IFERROR(G27*INDEX('0_Jornales_MO'!$G$4:$J$21,MATCH(A27,'0_Jornales_MO'!$A$4:$A$21,0),MATCH(D27,{"ESPECIALIZADO","OFICIAL","MEDIO OFICIAL","AYUDANTE"},0)),"-")</f>
        <v>2896768.5455508796</v>
      </c>
      <c r="L27" s="147">
        <f>IFERROR(H27*INDEX('0_Jornales_MO'!$G$4:$J$21,MATCH(A27,'0_Jornales_MO'!$A$4:$A$21,0),MATCH(D27,{"ESPECIALIZADO","OFICIAL","MEDIO OFICIAL","AYUDANTE"},0))*1.5,"-")</f>
        <v>381668.8286367713</v>
      </c>
      <c r="M27" s="147">
        <f>IFERROR(I27*INDEX('0_Jornales_MO'!$G$4:$J$21,MATCH(A27,'0_Jornales_MO'!$A$4:$A$21,0),MATCH(D27,{"ESPECIALIZADO","OFICIAL","MEDIO OFICIAL","AYUDANTE"},0))*2,"-")</f>
        <v>156582.08354329079</v>
      </c>
      <c r="N27" s="148">
        <f t="shared" si="1"/>
        <v>3435019.4577309419</v>
      </c>
      <c r="O27" s="148">
        <f>IFERROR($N27 * SUMIF('0_Indice_CAC'!$A:$A,$A27,'0_Indice_CAC'!$D:$D),"-")</f>
        <v>2728692.1592336283</v>
      </c>
    </row>
    <row r="28" spans="1:15" ht="12.75" customHeight="1" x14ac:dyDescent="0.3">
      <c r="A28" s="155">
        <v>46023</v>
      </c>
      <c r="B28" s="156" t="s">
        <v>4838</v>
      </c>
      <c r="C28" s="157" t="s">
        <v>4837</v>
      </c>
      <c r="D28" s="158" t="s">
        <v>945</v>
      </c>
      <c r="E28" s="157" t="s">
        <v>321</v>
      </c>
      <c r="F28" s="159">
        <f t="shared" si="0"/>
        <v>192</v>
      </c>
      <c r="G28" s="160">
        <v>176</v>
      </c>
      <c r="H28" s="160">
        <v>16</v>
      </c>
      <c r="I28" s="160">
        <v>0</v>
      </c>
      <c r="J28" s="145"/>
      <c r="K28" s="146">
        <f>IFERROR(G28*INDEX('0_Jornales_MO'!$G$4:$J$21,MATCH(A28,'0_Jornales_MO'!$A$4:$A$21,0),MATCH(D28,{"ESPECIALIZADO","OFICIAL","MEDIO OFICIAL","AYUDANTE"},0)),"-")</f>
        <v>2583958.4600861901</v>
      </c>
      <c r="L28" s="147">
        <f>IFERROR(H28*INDEX('0_Jornales_MO'!$G$4:$J$21,MATCH(A28,'0_Jornales_MO'!$A$4:$A$21,0),MATCH(D28,{"ESPECIALIZADO","OFICIAL","MEDIO OFICIAL","AYUDANTE"},0))*1.5,"-")</f>
        <v>352357.97182993498</v>
      </c>
      <c r="M28" s="147">
        <f>IFERROR(I28*INDEX('0_Jornales_MO'!$G$4:$J$21,MATCH(A28,'0_Jornales_MO'!$A$4:$A$21,0),MATCH(D28,{"ESPECIALIZADO","OFICIAL","MEDIO OFICIAL","AYUDANTE"},0))*2,"-")</f>
        <v>0</v>
      </c>
      <c r="N28" s="148">
        <f t="shared" si="1"/>
        <v>2936316.4319161251</v>
      </c>
      <c r="O28" s="148">
        <f>IFERROR($N28 * SUMIF('0_Indice_CAC'!$A:$A,$A28,'0_Indice_CAC'!$D:$D),"-")</f>
        <v>2332535.1496235924</v>
      </c>
    </row>
    <row r="29" spans="1:15" ht="12.75" customHeight="1" x14ac:dyDescent="0.3">
      <c r="A29" s="149">
        <v>46023</v>
      </c>
      <c r="B29" s="150" t="s">
        <v>4838</v>
      </c>
      <c r="C29" s="151" t="s">
        <v>4837</v>
      </c>
      <c r="D29" s="152" t="s">
        <v>1376</v>
      </c>
      <c r="E29" s="151" t="s">
        <v>321</v>
      </c>
      <c r="F29" s="153">
        <f t="shared" si="0"/>
        <v>217</v>
      </c>
      <c r="G29" s="154">
        <v>200</v>
      </c>
      <c r="H29" s="154">
        <v>17</v>
      </c>
      <c r="I29" s="154">
        <v>0</v>
      </c>
      <c r="J29" s="145"/>
      <c r="K29" s="146">
        <f>IFERROR(G29*INDEX('0_Jornales_MO'!$G$4:$J$21,MATCH(A29,'0_Jornales_MO'!$A$4:$A$21,0),MATCH(D29,{"ESPECIALIZADO","OFICIAL","MEDIO OFICIAL","AYUDANTE"},0)),"-")</f>
        <v>2446669.2466661348</v>
      </c>
      <c r="L29" s="147">
        <f>IFERROR(H29*INDEX('0_Jornales_MO'!$G$4:$J$21,MATCH(A29,'0_Jornales_MO'!$A$4:$A$21,0),MATCH(D29,{"ESPECIALIZADO","OFICIAL","MEDIO OFICIAL","AYUDANTE"},0))*1.5,"-")</f>
        <v>311950.32894993218</v>
      </c>
      <c r="M29" s="147">
        <f>IFERROR(I29*INDEX('0_Jornales_MO'!$G$4:$J$21,MATCH(A29,'0_Jornales_MO'!$A$4:$A$21,0),MATCH(D29,{"ESPECIALIZADO","OFICIAL","MEDIO OFICIAL","AYUDANTE"},0))*2,"-")</f>
        <v>0</v>
      </c>
      <c r="N29" s="148">
        <f t="shared" si="1"/>
        <v>2758619.5756160668</v>
      </c>
      <c r="O29" s="148">
        <f>IFERROR($N29 * SUMIF('0_Indice_CAC'!$A:$A,$A29,'0_Indice_CAC'!$D:$D),"-")</f>
        <v>2191377.2829875969</v>
      </c>
    </row>
    <row r="30" spans="1:15" ht="12.75" customHeight="1" x14ac:dyDescent="0.3">
      <c r="A30" s="155">
        <v>46023</v>
      </c>
      <c r="B30" s="156" t="s">
        <v>4838</v>
      </c>
      <c r="C30" s="157" t="s">
        <v>4837</v>
      </c>
      <c r="D30" s="158" t="s">
        <v>1376</v>
      </c>
      <c r="E30" s="157" t="s">
        <v>420</v>
      </c>
      <c r="F30" s="159">
        <f t="shared" si="0"/>
        <v>96</v>
      </c>
      <c r="G30" s="160">
        <v>88</v>
      </c>
      <c r="H30" s="160">
        <v>8</v>
      </c>
      <c r="I30" s="160">
        <v>0</v>
      </c>
      <c r="J30" s="145"/>
      <c r="K30" s="146">
        <f>IFERROR(G30*INDEX('0_Jornales_MO'!$G$4:$J$21,MATCH(A30,'0_Jornales_MO'!$A$4:$A$21,0),MATCH(D30,{"ESPECIALIZADO","OFICIAL","MEDIO OFICIAL","AYUDANTE"},0)),"-")</f>
        <v>1076534.4685330994</v>
      </c>
      <c r="L30" s="147">
        <f>IFERROR(H30*INDEX('0_Jornales_MO'!$G$4:$J$21,MATCH(A30,'0_Jornales_MO'!$A$4:$A$21,0),MATCH(D30,{"ESPECIALIZADO","OFICIAL","MEDIO OFICIAL","AYUDANTE"},0))*1.5,"-")</f>
        <v>146800.15479996809</v>
      </c>
      <c r="M30" s="147">
        <f>IFERROR(I30*INDEX('0_Jornales_MO'!$G$4:$J$21,MATCH(A30,'0_Jornales_MO'!$A$4:$A$21,0),MATCH(D30,{"ESPECIALIZADO","OFICIAL","MEDIO OFICIAL","AYUDANTE"},0))*2,"-")</f>
        <v>0</v>
      </c>
      <c r="N30" s="148">
        <f t="shared" si="1"/>
        <v>1223334.6233330674</v>
      </c>
      <c r="O30" s="148">
        <f>IFERROR($N30 * SUMIF('0_Indice_CAC'!$A:$A,$A30,'0_Indice_CAC'!$D:$D),"-")</f>
        <v>971785.93480602978</v>
      </c>
    </row>
    <row r="31" spans="1:15" ht="12.75" customHeight="1" x14ac:dyDescent="0.3">
      <c r="A31" s="149">
        <v>46023</v>
      </c>
      <c r="B31" s="150" t="s">
        <v>4838</v>
      </c>
      <c r="C31" s="151" t="s">
        <v>4837</v>
      </c>
      <c r="D31" s="152" t="s">
        <v>1376</v>
      </c>
      <c r="E31" s="151" t="s">
        <v>409</v>
      </c>
      <c r="F31" s="153">
        <f t="shared" si="0"/>
        <v>176</v>
      </c>
      <c r="G31" s="154">
        <v>176</v>
      </c>
      <c r="H31" s="154">
        <v>0</v>
      </c>
      <c r="I31" s="154">
        <v>0</v>
      </c>
      <c r="J31" s="145"/>
      <c r="K31" s="146">
        <f>IFERROR(G31*INDEX('0_Jornales_MO'!$G$4:$J$21,MATCH(A31,'0_Jornales_MO'!$A$4:$A$21,0),MATCH(D31,{"ESPECIALIZADO","OFICIAL","MEDIO OFICIAL","AYUDANTE"},0)),"-")</f>
        <v>2153068.9370661988</v>
      </c>
      <c r="L31" s="147">
        <f>IFERROR(H31*INDEX('0_Jornales_MO'!$G$4:$J$21,MATCH(A31,'0_Jornales_MO'!$A$4:$A$21,0),MATCH(D31,{"ESPECIALIZADO","OFICIAL","MEDIO OFICIAL","AYUDANTE"},0))*1.5,"-")</f>
        <v>0</v>
      </c>
      <c r="M31" s="147">
        <f>IFERROR(I31*INDEX('0_Jornales_MO'!$G$4:$J$21,MATCH(A31,'0_Jornales_MO'!$A$4:$A$21,0),MATCH(D31,{"ESPECIALIZADO","OFICIAL","MEDIO OFICIAL","AYUDANTE"},0))*2,"-")</f>
        <v>0</v>
      </c>
      <c r="N31" s="148">
        <f t="shared" si="1"/>
        <v>2153068.9370661988</v>
      </c>
      <c r="O31" s="148">
        <f>IFERROR($N31 * SUMIF('0_Indice_CAC'!$A:$A,$A31,'0_Indice_CAC'!$D:$D),"-")</f>
        <v>1710343.2452586126</v>
      </c>
    </row>
    <row r="32" spans="1:15" ht="12.75" customHeight="1" x14ac:dyDescent="0.3">
      <c r="A32" s="155">
        <v>46054</v>
      </c>
      <c r="B32" s="156" t="s">
        <v>4836</v>
      </c>
      <c r="C32" s="157" t="s">
        <v>4837</v>
      </c>
      <c r="D32" s="158" t="s">
        <v>1292</v>
      </c>
      <c r="E32" s="157" t="s">
        <v>321</v>
      </c>
      <c r="F32" s="159">
        <f t="shared" si="0"/>
        <v>80</v>
      </c>
      <c r="G32" s="160">
        <v>80</v>
      </c>
      <c r="H32" s="160">
        <v>0</v>
      </c>
      <c r="I32" s="160">
        <v>0</v>
      </c>
      <c r="J32" s="145"/>
      <c r="K32" s="146">
        <f>IFERROR(G32*INDEX('0_Jornales_MO'!$G$4:$J$21,MATCH(A32,'0_Jornales_MO'!$A$4:$A$21,0),MATCH(D32,{"ESPECIALIZADO","OFICIAL","MEDIO OFICIAL","AYUDANTE"},0)),"-")</f>
        <v>849487.49161645409</v>
      </c>
      <c r="L32" s="147">
        <f>IFERROR(H32*INDEX('0_Jornales_MO'!$G$4:$J$21,MATCH(A32,'0_Jornales_MO'!$A$4:$A$21,0),MATCH(D32,{"ESPECIALIZADO","OFICIAL","MEDIO OFICIAL","AYUDANTE"},0))*1.5,"-")</f>
        <v>0</v>
      </c>
      <c r="M32" s="147">
        <f>IFERROR(I32*INDEX('0_Jornales_MO'!$G$4:$J$21,MATCH(A32,'0_Jornales_MO'!$A$4:$A$21,0),MATCH(D32,{"ESPECIALIZADO","OFICIAL","MEDIO OFICIAL","AYUDANTE"},0))*2,"-")</f>
        <v>0</v>
      </c>
      <c r="N32" s="148">
        <f t="shared" si="1"/>
        <v>849487.49161645409</v>
      </c>
      <c r="O32" s="148">
        <f>IFERROR($N32 * SUMIF('0_Indice_CAC'!$A:$A,$A32,'0_Indice_CAC'!$D:$D),"-")</f>
        <v>674811.27436525398</v>
      </c>
    </row>
    <row r="33" spans="1:15" ht="12.75" customHeight="1" x14ac:dyDescent="0.3">
      <c r="A33" s="149">
        <v>46054</v>
      </c>
      <c r="B33" s="150" t="s">
        <v>4836</v>
      </c>
      <c r="C33" s="151" t="s">
        <v>4837</v>
      </c>
      <c r="D33" s="152" t="s">
        <v>1292</v>
      </c>
      <c r="E33" s="151" t="s">
        <v>420</v>
      </c>
      <c r="F33" s="153">
        <f t="shared" si="0"/>
        <v>85</v>
      </c>
      <c r="G33" s="154">
        <v>78</v>
      </c>
      <c r="H33" s="154">
        <v>7</v>
      </c>
      <c r="I33" s="154">
        <v>0</v>
      </c>
      <c r="J33" s="145"/>
      <c r="K33" s="146">
        <f>IFERROR(G33*INDEX('0_Jornales_MO'!$G$4:$J$21,MATCH(A33,'0_Jornales_MO'!$A$4:$A$21,0),MATCH(D33,{"ESPECIALIZADO","OFICIAL","MEDIO OFICIAL","AYUDANTE"},0)),"-")</f>
        <v>828250.30432604277</v>
      </c>
      <c r="L33" s="147">
        <f>IFERROR(H33*INDEX('0_Jornales_MO'!$G$4:$J$21,MATCH(A33,'0_Jornales_MO'!$A$4:$A$21,0),MATCH(D33,{"ESPECIALIZADO","OFICIAL","MEDIO OFICIAL","AYUDANTE"},0))*1.5,"-")</f>
        <v>111495.23327465959</v>
      </c>
      <c r="M33" s="147">
        <f>IFERROR(I33*INDEX('0_Jornales_MO'!$G$4:$J$21,MATCH(A33,'0_Jornales_MO'!$A$4:$A$21,0),MATCH(D33,{"ESPECIALIZADO","OFICIAL","MEDIO OFICIAL","AYUDANTE"},0))*2,"-")</f>
        <v>0</v>
      </c>
      <c r="N33" s="148">
        <f t="shared" si="1"/>
        <v>939745.53760070237</v>
      </c>
      <c r="O33" s="148">
        <f>IFERROR($N33 * SUMIF('0_Indice_CAC'!$A:$A,$A33,'0_Indice_CAC'!$D:$D),"-")</f>
        <v>746509.97226656228</v>
      </c>
    </row>
    <row r="34" spans="1:15" ht="12.75" customHeight="1" x14ac:dyDescent="0.3">
      <c r="A34" s="155">
        <v>46054</v>
      </c>
      <c r="B34" s="156" t="s">
        <v>4836</v>
      </c>
      <c r="C34" s="157" t="s">
        <v>4837</v>
      </c>
      <c r="D34" s="158" t="s">
        <v>940</v>
      </c>
      <c r="E34" s="157" t="s">
        <v>321</v>
      </c>
      <c r="F34" s="159">
        <f t="shared" si="0"/>
        <v>356</v>
      </c>
      <c r="G34" s="160">
        <v>324</v>
      </c>
      <c r="H34" s="160">
        <v>26</v>
      </c>
      <c r="I34" s="160">
        <v>6</v>
      </c>
      <c r="J34" s="145"/>
      <c r="K34" s="146">
        <f>IFERROR(G34*INDEX('0_Jornales_MO'!$G$4:$J$21,MATCH(A34,'0_Jornales_MO'!$A$4:$A$21,0),MATCH(D34,{"ESPECIALIZADO","OFICIAL","MEDIO OFICIAL","AYUDANTE"},0)),"-")</f>
        <v>3219369.4001016384</v>
      </c>
      <c r="L34" s="147">
        <f>IFERROR(H34*INDEX('0_Jornales_MO'!$G$4:$J$21,MATCH(A34,'0_Jornales_MO'!$A$4:$A$21,0),MATCH(D34,{"ESPECIALIZADO","OFICIAL","MEDIO OFICIAL","AYUDANTE"},0))*1.5,"-")</f>
        <v>387516.68704927131</v>
      </c>
      <c r="M34" s="147">
        <f>IFERROR(I34*INDEX('0_Jornales_MO'!$G$4:$J$21,MATCH(A34,'0_Jornales_MO'!$A$4:$A$21,0),MATCH(D34,{"ESPECIALIZADO","OFICIAL","MEDIO OFICIAL","AYUDANTE"},0))*2,"-")</f>
        <v>119235.9037074681</v>
      </c>
      <c r="N34" s="148">
        <f t="shared" si="1"/>
        <v>3726121.9908583779</v>
      </c>
      <c r="O34" s="148">
        <f>IFERROR($N34 * SUMIF('0_Indice_CAC'!$A:$A,$A34,'0_Indice_CAC'!$D:$D),"-")</f>
        <v>2959936.6134361057</v>
      </c>
    </row>
    <row r="35" spans="1:15" ht="12.75" customHeight="1" x14ac:dyDescent="0.3">
      <c r="A35" s="149">
        <v>46054</v>
      </c>
      <c r="B35" s="150" t="s">
        <v>4836</v>
      </c>
      <c r="C35" s="151" t="s">
        <v>4837</v>
      </c>
      <c r="D35" s="152" t="s">
        <v>940</v>
      </c>
      <c r="E35" s="151" t="s">
        <v>385</v>
      </c>
      <c r="F35" s="153">
        <f t="shared" si="0"/>
        <v>12</v>
      </c>
      <c r="G35" s="154">
        <v>12</v>
      </c>
      <c r="H35" s="154">
        <v>0</v>
      </c>
      <c r="I35" s="154">
        <v>0</v>
      </c>
      <c r="J35" s="145"/>
      <c r="K35" s="146">
        <f>IFERROR(G35*INDEX('0_Jornales_MO'!$G$4:$J$21,MATCH(A35,'0_Jornales_MO'!$A$4:$A$21,0),MATCH(D35,{"ESPECIALIZADO","OFICIAL","MEDIO OFICIAL","AYUDANTE"},0)),"-")</f>
        <v>119235.9037074681</v>
      </c>
      <c r="L35" s="147">
        <f>IFERROR(H35*INDEX('0_Jornales_MO'!$G$4:$J$21,MATCH(A35,'0_Jornales_MO'!$A$4:$A$21,0),MATCH(D35,{"ESPECIALIZADO","OFICIAL","MEDIO OFICIAL","AYUDANTE"},0))*1.5,"-")</f>
        <v>0</v>
      </c>
      <c r="M35" s="147">
        <f>IFERROR(I35*INDEX('0_Jornales_MO'!$G$4:$J$21,MATCH(A35,'0_Jornales_MO'!$A$4:$A$21,0),MATCH(D35,{"ESPECIALIZADO","OFICIAL","MEDIO OFICIAL","AYUDANTE"},0))*2,"-")</f>
        <v>0</v>
      </c>
      <c r="N35" s="148">
        <f t="shared" si="1"/>
        <v>119235.9037074681</v>
      </c>
      <c r="O35" s="148">
        <f>IFERROR($N35 * SUMIF('0_Indice_CAC'!$A:$A,$A35,'0_Indice_CAC'!$D:$D),"-")</f>
        <v>94717.971629955384</v>
      </c>
    </row>
    <row r="36" spans="1:15" ht="12.75" customHeight="1" x14ac:dyDescent="0.3">
      <c r="A36" s="155">
        <v>46054</v>
      </c>
      <c r="B36" s="156" t="s">
        <v>4836</v>
      </c>
      <c r="C36" s="157" t="s">
        <v>4837</v>
      </c>
      <c r="D36" s="158" t="s">
        <v>945</v>
      </c>
      <c r="E36" s="157" t="s">
        <v>321</v>
      </c>
      <c r="F36" s="159">
        <f t="shared" ref="F36:F67" si="2">G36+H36+I36</f>
        <v>174</v>
      </c>
      <c r="G36" s="160">
        <v>160</v>
      </c>
      <c r="H36" s="160">
        <v>14</v>
      </c>
      <c r="I36" s="160">
        <v>0</v>
      </c>
      <c r="J36" s="145"/>
      <c r="K36" s="146">
        <f>IFERROR(G36*INDEX('0_Jornales_MO'!$G$4:$J$21,MATCH(A36,'0_Jornales_MO'!$A$4:$A$21,0),MATCH(D36,{"ESPECIALIZADO","OFICIAL","MEDIO OFICIAL","AYUDANTE"},0)),"-")</f>
        <v>2388126.6849329001</v>
      </c>
      <c r="L36" s="147">
        <f>IFERROR(H36*INDEX('0_Jornales_MO'!$G$4:$J$21,MATCH(A36,'0_Jornales_MO'!$A$4:$A$21,0),MATCH(D36,{"ESPECIALIZADO","OFICIAL","MEDIO OFICIAL","AYUDANTE"},0))*1.5,"-")</f>
        <v>313441.62739744311</v>
      </c>
      <c r="M36" s="147">
        <f>IFERROR(I36*INDEX('0_Jornales_MO'!$G$4:$J$21,MATCH(A36,'0_Jornales_MO'!$A$4:$A$21,0),MATCH(D36,{"ESPECIALIZADO","OFICIAL","MEDIO OFICIAL","AYUDANTE"},0))*2,"-")</f>
        <v>0</v>
      </c>
      <c r="N36" s="148">
        <f t="shared" ref="N36:N67" si="3">IFERROR(SUM(K36:M36),"-")</f>
        <v>2701568.3123303433</v>
      </c>
      <c r="O36" s="148">
        <f>IFERROR($N36 * SUMIF('0_Indice_CAC'!$A:$A,$A36,'0_Indice_CAC'!$D:$D),"-")</f>
        <v>2146057.2093409221</v>
      </c>
    </row>
    <row r="37" spans="1:15" ht="12.75" customHeight="1" x14ac:dyDescent="0.3">
      <c r="A37" s="149">
        <v>46054</v>
      </c>
      <c r="B37" s="150" t="s">
        <v>4836</v>
      </c>
      <c r="C37" s="151" t="s">
        <v>4837</v>
      </c>
      <c r="D37" s="152" t="s">
        <v>1376</v>
      </c>
      <c r="E37" s="151" t="s">
        <v>321</v>
      </c>
      <c r="F37" s="153">
        <f t="shared" si="2"/>
        <v>250</v>
      </c>
      <c r="G37" s="154">
        <v>228</v>
      </c>
      <c r="H37" s="154">
        <v>20</v>
      </c>
      <c r="I37" s="154">
        <v>2</v>
      </c>
      <c r="J37" s="145"/>
      <c r="K37" s="146">
        <f>IFERROR(G37*INDEX('0_Jornales_MO'!$G$4:$J$21,MATCH(A37,'0_Jornales_MO'!$A$4:$A$21,0),MATCH(D37,{"ESPECIALIZADO","OFICIAL","MEDIO OFICIAL","AYUDANTE"},0)),"-")</f>
        <v>2835167.4023343939</v>
      </c>
      <c r="L37" s="147">
        <f>IFERROR(H37*INDEX('0_Jornales_MO'!$G$4:$J$21,MATCH(A37,'0_Jornales_MO'!$A$4:$A$21,0),MATCH(D37,{"ESPECIALIZADO","OFICIAL","MEDIO OFICIAL","AYUDANTE"},0))*1.5,"-")</f>
        <v>373048.34241242026</v>
      </c>
      <c r="M37" s="147">
        <f>IFERROR(I37*INDEX('0_Jornales_MO'!$G$4:$J$21,MATCH(A37,'0_Jornales_MO'!$A$4:$A$21,0),MATCH(D37,{"ESPECIALIZADO","OFICIAL","MEDIO OFICIAL","AYUDANTE"},0))*2,"-")</f>
        <v>49739.778988322701</v>
      </c>
      <c r="N37" s="148">
        <f t="shared" si="3"/>
        <v>3257955.5237351367</v>
      </c>
      <c r="O37" s="148">
        <f>IFERROR($N37 * SUMIF('0_Indice_CAC'!$A:$A,$A37,'0_Indice_CAC'!$D:$D),"-")</f>
        <v>2588037.0699909697</v>
      </c>
    </row>
    <row r="38" spans="1:15" ht="12.75" customHeight="1" x14ac:dyDescent="0.3">
      <c r="A38" s="155">
        <v>46054</v>
      </c>
      <c r="B38" s="156" t="s">
        <v>4836</v>
      </c>
      <c r="C38" s="157" t="s">
        <v>4837</v>
      </c>
      <c r="D38" s="158" t="s">
        <v>1376</v>
      </c>
      <c r="E38" s="157" t="s">
        <v>420</v>
      </c>
      <c r="F38" s="159">
        <f t="shared" si="2"/>
        <v>89</v>
      </c>
      <c r="G38" s="160">
        <v>80</v>
      </c>
      <c r="H38" s="160">
        <v>9</v>
      </c>
      <c r="I38" s="160">
        <v>0</v>
      </c>
      <c r="J38" s="145"/>
      <c r="K38" s="146">
        <f>IFERROR(G38*INDEX('0_Jornales_MO'!$G$4:$J$21,MATCH(A38,'0_Jornales_MO'!$A$4:$A$21,0),MATCH(D38,{"ESPECIALIZADO","OFICIAL","MEDIO OFICIAL","AYUDANTE"},0)),"-")</f>
        <v>994795.57976645406</v>
      </c>
      <c r="L38" s="147">
        <f>IFERROR(H38*INDEX('0_Jornales_MO'!$G$4:$J$21,MATCH(A38,'0_Jornales_MO'!$A$4:$A$21,0),MATCH(D38,{"ESPECIALIZADO","OFICIAL","MEDIO OFICIAL","AYUDANTE"},0))*1.5,"-")</f>
        <v>167871.75408558911</v>
      </c>
      <c r="M38" s="147">
        <f>IFERROR(I38*INDEX('0_Jornales_MO'!$G$4:$J$21,MATCH(A38,'0_Jornales_MO'!$A$4:$A$21,0),MATCH(D38,{"ESPECIALIZADO","OFICIAL","MEDIO OFICIAL","AYUDANTE"},0))*2,"-")</f>
        <v>0</v>
      </c>
      <c r="N38" s="148">
        <f t="shared" si="3"/>
        <v>1162667.3338520431</v>
      </c>
      <c r="O38" s="148">
        <f>IFERROR($N38 * SUMIF('0_Indice_CAC'!$A:$A,$A38,'0_Indice_CAC'!$D:$D),"-")</f>
        <v>923593.38184792234</v>
      </c>
    </row>
    <row r="39" spans="1:15" ht="12.75" customHeight="1" x14ac:dyDescent="0.3">
      <c r="A39" s="149">
        <v>46054</v>
      </c>
      <c r="B39" s="150" t="s">
        <v>4836</v>
      </c>
      <c r="C39" s="151" t="s">
        <v>4837</v>
      </c>
      <c r="D39" s="152" t="s">
        <v>1376</v>
      </c>
      <c r="E39" s="151" t="s">
        <v>409</v>
      </c>
      <c r="F39" s="153">
        <f t="shared" si="2"/>
        <v>158</v>
      </c>
      <c r="G39" s="154">
        <v>158</v>
      </c>
      <c r="H39" s="154">
        <v>0</v>
      </c>
      <c r="I39" s="154">
        <v>0</v>
      </c>
      <c r="J39" s="145"/>
      <c r="K39" s="146">
        <f>IFERROR(G39*INDEX('0_Jornales_MO'!$G$4:$J$21,MATCH(A39,'0_Jornales_MO'!$A$4:$A$21,0),MATCH(D39,{"ESPECIALIZADO","OFICIAL","MEDIO OFICIAL","AYUDANTE"},0)),"-")</f>
        <v>1964721.2700387468</v>
      </c>
      <c r="L39" s="147">
        <f>IFERROR(H39*INDEX('0_Jornales_MO'!$G$4:$J$21,MATCH(A39,'0_Jornales_MO'!$A$4:$A$21,0),MATCH(D39,{"ESPECIALIZADO","OFICIAL","MEDIO OFICIAL","AYUDANTE"},0))*1.5,"-")</f>
        <v>0</v>
      </c>
      <c r="M39" s="147">
        <f>IFERROR(I39*INDEX('0_Jornales_MO'!$G$4:$J$21,MATCH(A39,'0_Jornales_MO'!$A$4:$A$21,0),MATCH(D39,{"ESPECIALIZADO","OFICIAL","MEDIO OFICIAL","AYUDANTE"},0))*2,"-")</f>
        <v>0</v>
      </c>
      <c r="N39" s="148">
        <f t="shared" si="3"/>
        <v>1964721.2700387468</v>
      </c>
      <c r="O39" s="148">
        <f>IFERROR($N39 * SUMIF('0_Indice_CAC'!$A:$A,$A39,'0_Indice_CAC'!$D:$D),"-")</f>
        <v>1560724.6452617298</v>
      </c>
    </row>
    <row r="40" spans="1:15" ht="12.75" customHeight="1" x14ac:dyDescent="0.3">
      <c r="A40" s="155">
        <v>46054</v>
      </c>
      <c r="B40" s="156" t="s">
        <v>4836</v>
      </c>
      <c r="C40" s="157" t="s">
        <v>4837</v>
      </c>
      <c r="D40" s="158" t="s">
        <v>1376</v>
      </c>
      <c r="E40" s="157" t="s">
        <v>391</v>
      </c>
      <c r="F40" s="159">
        <f t="shared" si="2"/>
        <v>56</v>
      </c>
      <c r="G40" s="160">
        <v>56</v>
      </c>
      <c r="H40" s="160">
        <v>0</v>
      </c>
      <c r="I40" s="160">
        <v>0</v>
      </c>
      <c r="J40" s="145"/>
      <c r="K40" s="146">
        <f>IFERROR(G40*INDEX('0_Jornales_MO'!$G$4:$J$21,MATCH(A40,'0_Jornales_MO'!$A$4:$A$21,0),MATCH(D40,{"ESPECIALIZADO","OFICIAL","MEDIO OFICIAL","AYUDANTE"},0)),"-")</f>
        <v>696356.90583651781</v>
      </c>
      <c r="L40" s="147">
        <f>IFERROR(H40*INDEX('0_Jornales_MO'!$G$4:$J$21,MATCH(A40,'0_Jornales_MO'!$A$4:$A$21,0),MATCH(D40,{"ESPECIALIZADO","OFICIAL","MEDIO OFICIAL","AYUDANTE"},0))*1.5,"-")</f>
        <v>0</v>
      </c>
      <c r="M40" s="147">
        <f>IFERROR(I40*INDEX('0_Jornales_MO'!$G$4:$J$21,MATCH(A40,'0_Jornales_MO'!$A$4:$A$21,0),MATCH(D40,{"ESPECIALIZADO","OFICIAL","MEDIO OFICIAL","AYUDANTE"},0))*2,"-")</f>
        <v>0</v>
      </c>
      <c r="N40" s="148">
        <f t="shared" si="3"/>
        <v>696356.90583651781</v>
      </c>
      <c r="O40" s="148">
        <f>IFERROR($N40 * SUMIF('0_Indice_CAC'!$A:$A,$A40,'0_Indice_CAC'!$D:$D),"-")</f>
        <v>553168.22870035993</v>
      </c>
    </row>
    <row r="41" spans="1:15" ht="12.75" customHeight="1" x14ac:dyDescent="0.3">
      <c r="A41" s="149">
        <v>46054</v>
      </c>
      <c r="B41" s="150" t="s">
        <v>4838</v>
      </c>
      <c r="C41" s="151" t="s">
        <v>4837</v>
      </c>
      <c r="D41" s="152" t="s">
        <v>1292</v>
      </c>
      <c r="E41" s="151" t="s">
        <v>321</v>
      </c>
      <c r="F41" s="153">
        <f t="shared" si="2"/>
        <v>83</v>
      </c>
      <c r="G41" s="154">
        <v>76</v>
      </c>
      <c r="H41" s="154">
        <v>5</v>
      </c>
      <c r="I41" s="154">
        <v>2</v>
      </c>
      <c r="J41" s="145"/>
      <c r="K41" s="146">
        <f>IFERROR(G41*INDEX('0_Jornales_MO'!$G$4:$J$21,MATCH(A41,'0_Jornales_MO'!$A$4:$A$21,0),MATCH(D41,{"ESPECIALIZADO","OFICIAL","MEDIO OFICIAL","AYUDANTE"},0)),"-")</f>
        <v>807013.11703563132</v>
      </c>
      <c r="L41" s="147">
        <f>IFERROR(H41*INDEX('0_Jornales_MO'!$G$4:$J$21,MATCH(A41,'0_Jornales_MO'!$A$4:$A$21,0),MATCH(D41,{"ESPECIALIZADO","OFICIAL","MEDIO OFICIAL","AYUDANTE"},0))*1.5,"-")</f>
        <v>79639.452339042575</v>
      </c>
      <c r="M41" s="147">
        <f>IFERROR(I41*INDEX('0_Jornales_MO'!$G$4:$J$21,MATCH(A41,'0_Jornales_MO'!$A$4:$A$21,0),MATCH(D41,{"ESPECIALIZADO","OFICIAL","MEDIO OFICIAL","AYUDANTE"},0))*2,"-")</f>
        <v>42474.374580822703</v>
      </c>
      <c r="N41" s="148">
        <f t="shared" si="3"/>
        <v>929126.94395549654</v>
      </c>
      <c r="O41" s="148">
        <f>IFERROR($N41 * SUMIF('0_Indice_CAC'!$A:$A,$A41,'0_Indice_CAC'!$D:$D),"-")</f>
        <v>738074.8313369964</v>
      </c>
    </row>
    <row r="42" spans="1:15" ht="12.75" customHeight="1" x14ac:dyDescent="0.3">
      <c r="A42" s="155">
        <v>46054</v>
      </c>
      <c r="B42" s="156" t="s">
        <v>4838</v>
      </c>
      <c r="C42" s="157" t="s">
        <v>4837</v>
      </c>
      <c r="D42" s="158" t="s">
        <v>1292</v>
      </c>
      <c r="E42" s="157" t="s">
        <v>420</v>
      </c>
      <c r="F42" s="159">
        <f t="shared" si="2"/>
        <v>84</v>
      </c>
      <c r="G42" s="160">
        <v>80</v>
      </c>
      <c r="H42" s="160">
        <v>4</v>
      </c>
      <c r="I42" s="160">
        <v>0</v>
      </c>
      <c r="J42" s="145"/>
      <c r="K42" s="146">
        <f>IFERROR(G42*INDEX('0_Jornales_MO'!$G$4:$J$21,MATCH(A42,'0_Jornales_MO'!$A$4:$A$21,0),MATCH(D42,{"ESPECIALIZADO","OFICIAL","MEDIO OFICIAL","AYUDANTE"},0)),"-")</f>
        <v>849487.49161645409</v>
      </c>
      <c r="L42" s="147">
        <f>IFERROR(H42*INDEX('0_Jornales_MO'!$G$4:$J$21,MATCH(A42,'0_Jornales_MO'!$A$4:$A$21,0),MATCH(D42,{"ESPECIALIZADO","OFICIAL","MEDIO OFICIAL","AYUDANTE"},0))*1.5,"-")</f>
        <v>63711.561871234051</v>
      </c>
      <c r="M42" s="147">
        <f>IFERROR(I42*INDEX('0_Jornales_MO'!$G$4:$J$21,MATCH(A42,'0_Jornales_MO'!$A$4:$A$21,0),MATCH(D42,{"ESPECIALIZADO","OFICIAL","MEDIO OFICIAL","AYUDANTE"},0))*2,"-")</f>
        <v>0</v>
      </c>
      <c r="N42" s="148">
        <f t="shared" si="3"/>
        <v>913199.05348768819</v>
      </c>
      <c r="O42" s="148">
        <f>IFERROR($N42 * SUMIF('0_Indice_CAC'!$A:$A,$A42,'0_Indice_CAC'!$D:$D),"-")</f>
        <v>725422.1199426481</v>
      </c>
    </row>
    <row r="43" spans="1:15" ht="12.75" customHeight="1" x14ac:dyDescent="0.3">
      <c r="A43" s="149">
        <v>46054</v>
      </c>
      <c r="B43" s="150" t="s">
        <v>4838</v>
      </c>
      <c r="C43" s="151" t="s">
        <v>4837</v>
      </c>
      <c r="D43" s="152" t="s">
        <v>940</v>
      </c>
      <c r="E43" s="151" t="s">
        <v>321</v>
      </c>
      <c r="F43" s="153">
        <f t="shared" si="2"/>
        <v>329</v>
      </c>
      <c r="G43" s="154">
        <v>300</v>
      </c>
      <c r="H43" s="154">
        <v>19</v>
      </c>
      <c r="I43" s="154">
        <v>10</v>
      </c>
      <c r="J43" s="145"/>
      <c r="K43" s="146">
        <f>IFERROR(G43*INDEX('0_Jornales_MO'!$G$4:$J$21,MATCH(A43,'0_Jornales_MO'!$A$4:$A$21,0),MATCH(D43,{"ESPECIALIZADO","OFICIAL","MEDIO OFICIAL","AYUDANTE"},0)),"-")</f>
        <v>2980897.5926867025</v>
      </c>
      <c r="L43" s="147">
        <f>IFERROR(H43*INDEX('0_Jornales_MO'!$G$4:$J$21,MATCH(A43,'0_Jornales_MO'!$A$4:$A$21,0),MATCH(D43,{"ESPECIALIZADO","OFICIAL","MEDIO OFICIAL","AYUDANTE"},0))*1.5,"-")</f>
        <v>283185.27130523673</v>
      </c>
      <c r="M43" s="147">
        <f>IFERROR(I43*INDEX('0_Jornales_MO'!$G$4:$J$21,MATCH(A43,'0_Jornales_MO'!$A$4:$A$21,0),MATCH(D43,{"ESPECIALIZADO","OFICIAL","MEDIO OFICIAL","AYUDANTE"},0))*2,"-")</f>
        <v>198726.50617911349</v>
      </c>
      <c r="N43" s="148">
        <f t="shared" si="3"/>
        <v>3462809.3701710529</v>
      </c>
      <c r="O43" s="148">
        <f>IFERROR($N43 * SUMIF('0_Indice_CAC'!$A:$A,$A43,'0_Indice_CAC'!$D:$D),"-")</f>
        <v>2750767.7594199544</v>
      </c>
    </row>
    <row r="44" spans="1:15" ht="12.75" customHeight="1" x14ac:dyDescent="0.3">
      <c r="A44" s="155">
        <v>46054</v>
      </c>
      <c r="B44" s="156" t="s">
        <v>4838</v>
      </c>
      <c r="C44" s="157" t="s">
        <v>4837</v>
      </c>
      <c r="D44" s="158" t="s">
        <v>940</v>
      </c>
      <c r="E44" s="157" t="s">
        <v>385</v>
      </c>
      <c r="F44" s="159">
        <f t="shared" si="2"/>
        <v>8</v>
      </c>
      <c r="G44" s="160">
        <v>8</v>
      </c>
      <c r="H44" s="160">
        <v>0</v>
      </c>
      <c r="I44" s="160">
        <v>0</v>
      </c>
      <c r="J44" s="145"/>
      <c r="K44" s="146">
        <f>IFERROR(G44*INDEX('0_Jornales_MO'!$G$4:$J$21,MATCH(A44,'0_Jornales_MO'!$A$4:$A$21,0),MATCH(D44,{"ESPECIALIZADO","OFICIAL","MEDIO OFICIAL","AYUDANTE"},0)),"-")</f>
        <v>79490.602471645398</v>
      </c>
      <c r="L44" s="147">
        <f>IFERROR(H44*INDEX('0_Jornales_MO'!$G$4:$J$21,MATCH(A44,'0_Jornales_MO'!$A$4:$A$21,0),MATCH(D44,{"ESPECIALIZADO","OFICIAL","MEDIO OFICIAL","AYUDANTE"},0))*1.5,"-")</f>
        <v>0</v>
      </c>
      <c r="M44" s="147">
        <f>IFERROR(I44*INDEX('0_Jornales_MO'!$G$4:$J$21,MATCH(A44,'0_Jornales_MO'!$A$4:$A$21,0),MATCH(D44,{"ESPECIALIZADO","OFICIAL","MEDIO OFICIAL","AYUDANTE"},0))*2,"-")</f>
        <v>0</v>
      </c>
      <c r="N44" s="148">
        <f t="shared" si="3"/>
        <v>79490.602471645398</v>
      </c>
      <c r="O44" s="148">
        <f>IFERROR($N44 * SUMIF('0_Indice_CAC'!$A:$A,$A44,'0_Indice_CAC'!$D:$D),"-")</f>
        <v>63145.314419970258</v>
      </c>
    </row>
    <row r="45" spans="1:15" ht="12.75" customHeight="1" x14ac:dyDescent="0.3">
      <c r="A45" s="149">
        <v>46054</v>
      </c>
      <c r="B45" s="150" t="s">
        <v>4838</v>
      </c>
      <c r="C45" s="151" t="s">
        <v>4837</v>
      </c>
      <c r="D45" s="152" t="s">
        <v>945</v>
      </c>
      <c r="E45" s="151" t="s">
        <v>321</v>
      </c>
      <c r="F45" s="153">
        <f t="shared" si="2"/>
        <v>154</v>
      </c>
      <c r="G45" s="154">
        <v>144</v>
      </c>
      <c r="H45" s="154">
        <v>10</v>
      </c>
      <c r="I45" s="154">
        <v>0</v>
      </c>
      <c r="J45" s="145"/>
      <c r="K45" s="146">
        <f>IFERROR(G45*INDEX('0_Jornales_MO'!$G$4:$J$21,MATCH(A45,'0_Jornales_MO'!$A$4:$A$21,0),MATCH(D45,{"ESPECIALIZADO","OFICIAL","MEDIO OFICIAL","AYUDANTE"},0)),"-")</f>
        <v>2149314.0164396102</v>
      </c>
      <c r="L45" s="147">
        <f>IFERROR(H45*INDEX('0_Jornales_MO'!$G$4:$J$21,MATCH(A45,'0_Jornales_MO'!$A$4:$A$21,0),MATCH(D45,{"ESPECIALIZADO","OFICIAL","MEDIO OFICIAL","AYUDANTE"},0))*1.5,"-")</f>
        <v>223886.87671245937</v>
      </c>
      <c r="M45" s="147">
        <f>IFERROR(I45*INDEX('0_Jornales_MO'!$G$4:$J$21,MATCH(A45,'0_Jornales_MO'!$A$4:$A$21,0),MATCH(D45,{"ESPECIALIZADO","OFICIAL","MEDIO OFICIAL","AYUDANTE"},0))*2,"-")</f>
        <v>0</v>
      </c>
      <c r="N45" s="148">
        <f t="shared" si="3"/>
        <v>2373200.8931520693</v>
      </c>
      <c r="O45" s="148">
        <f>IFERROR($N45 * SUMIF('0_Indice_CAC'!$A:$A,$A45,'0_Indice_CAC'!$D:$D),"-")</f>
        <v>1885210.4767138485</v>
      </c>
    </row>
    <row r="46" spans="1:15" ht="12.75" customHeight="1" x14ac:dyDescent="0.3">
      <c r="A46" s="155">
        <v>46054</v>
      </c>
      <c r="B46" s="156" t="s">
        <v>4838</v>
      </c>
      <c r="C46" s="157" t="s">
        <v>4837</v>
      </c>
      <c r="D46" s="158" t="s">
        <v>1376</v>
      </c>
      <c r="E46" s="157" t="s">
        <v>321</v>
      </c>
      <c r="F46" s="159">
        <f t="shared" si="2"/>
        <v>222</v>
      </c>
      <c r="G46" s="160">
        <v>207</v>
      </c>
      <c r="H46" s="160">
        <v>15</v>
      </c>
      <c r="I46" s="160">
        <v>0</v>
      </c>
      <c r="J46" s="145"/>
      <c r="K46" s="146">
        <f>IFERROR(G46*INDEX('0_Jornales_MO'!$G$4:$J$21,MATCH(A46,'0_Jornales_MO'!$A$4:$A$21,0),MATCH(D46,{"ESPECIALIZADO","OFICIAL","MEDIO OFICIAL","AYUDANTE"},0)),"-")</f>
        <v>2574033.5626456998</v>
      </c>
      <c r="L46" s="147">
        <f>IFERROR(H46*INDEX('0_Jornales_MO'!$G$4:$J$21,MATCH(A46,'0_Jornales_MO'!$A$4:$A$21,0),MATCH(D46,{"ESPECIALIZADO","OFICIAL","MEDIO OFICIAL","AYUDANTE"},0))*1.5,"-")</f>
        <v>279786.25680931518</v>
      </c>
      <c r="M46" s="147">
        <f>IFERROR(I46*INDEX('0_Jornales_MO'!$G$4:$J$21,MATCH(A46,'0_Jornales_MO'!$A$4:$A$21,0),MATCH(D46,{"ESPECIALIZADO","OFICIAL","MEDIO OFICIAL","AYUDANTE"},0))*2,"-")</f>
        <v>0</v>
      </c>
      <c r="N46" s="148">
        <f t="shared" si="3"/>
        <v>2853819.819455015</v>
      </c>
      <c r="O46" s="148">
        <f>IFERROR($N46 * SUMIF('0_Indice_CAC'!$A:$A,$A46,'0_Indice_CAC'!$D:$D),"-")</f>
        <v>2267001.9372630822</v>
      </c>
    </row>
    <row r="47" spans="1:15" ht="12.75" customHeight="1" x14ac:dyDescent="0.3">
      <c r="A47" s="149">
        <v>46054</v>
      </c>
      <c r="B47" s="150" t="s">
        <v>4838</v>
      </c>
      <c r="C47" s="151" t="s">
        <v>4837</v>
      </c>
      <c r="D47" s="152" t="s">
        <v>1376</v>
      </c>
      <c r="E47" s="151" t="s">
        <v>420</v>
      </c>
      <c r="F47" s="153">
        <f t="shared" si="2"/>
        <v>77</v>
      </c>
      <c r="G47" s="154">
        <v>72</v>
      </c>
      <c r="H47" s="154">
        <v>5</v>
      </c>
      <c r="I47" s="154">
        <v>0</v>
      </c>
      <c r="J47" s="145"/>
      <c r="K47" s="146">
        <f>IFERROR(G47*INDEX('0_Jornales_MO'!$G$4:$J$21,MATCH(A47,'0_Jornales_MO'!$A$4:$A$21,0),MATCH(D47,{"ESPECIALIZADO","OFICIAL","MEDIO OFICIAL","AYUDANTE"},0)),"-")</f>
        <v>895316.02178980864</v>
      </c>
      <c r="L47" s="147">
        <f>IFERROR(H47*INDEX('0_Jornales_MO'!$G$4:$J$21,MATCH(A47,'0_Jornales_MO'!$A$4:$A$21,0),MATCH(D47,{"ESPECIALIZADO","OFICIAL","MEDIO OFICIAL","AYUDANTE"},0))*1.5,"-")</f>
        <v>93262.085603105064</v>
      </c>
      <c r="M47" s="147">
        <f>IFERROR(I47*INDEX('0_Jornales_MO'!$G$4:$J$21,MATCH(A47,'0_Jornales_MO'!$A$4:$A$21,0),MATCH(D47,{"ESPECIALIZADO","OFICIAL","MEDIO OFICIAL","AYUDANTE"},0))*2,"-")</f>
        <v>0</v>
      </c>
      <c r="N47" s="148">
        <f t="shared" si="3"/>
        <v>988578.10739291366</v>
      </c>
      <c r="O47" s="148">
        <f>IFERROR($N47 * SUMIF('0_Indice_CAC'!$A:$A,$A47,'0_Indice_CAC'!$D:$D),"-")</f>
        <v>785301.32467283239</v>
      </c>
    </row>
    <row r="48" spans="1:15" ht="12.75" customHeight="1" x14ac:dyDescent="0.3">
      <c r="A48" s="155">
        <v>46054</v>
      </c>
      <c r="B48" s="156" t="s">
        <v>4838</v>
      </c>
      <c r="C48" s="157" t="s">
        <v>4837</v>
      </c>
      <c r="D48" s="158" t="s">
        <v>1376</v>
      </c>
      <c r="E48" s="157" t="s">
        <v>409</v>
      </c>
      <c r="F48" s="159">
        <f t="shared" si="2"/>
        <v>186</v>
      </c>
      <c r="G48" s="160">
        <v>183</v>
      </c>
      <c r="H48" s="160">
        <v>3</v>
      </c>
      <c r="I48" s="160">
        <v>0</v>
      </c>
      <c r="J48" s="145"/>
      <c r="K48" s="146">
        <f>IFERROR(G48*INDEX('0_Jornales_MO'!$G$4:$J$21,MATCH(A48,'0_Jornales_MO'!$A$4:$A$21,0),MATCH(D48,{"ESPECIALIZADO","OFICIAL","MEDIO OFICIAL","AYUDANTE"},0)),"-")</f>
        <v>2275594.8887157636</v>
      </c>
      <c r="L48" s="147">
        <f>IFERROR(H48*INDEX('0_Jornales_MO'!$G$4:$J$21,MATCH(A48,'0_Jornales_MO'!$A$4:$A$21,0),MATCH(D48,{"ESPECIALIZADO","OFICIAL","MEDIO OFICIAL","AYUDANTE"},0))*1.5,"-")</f>
        <v>55957.251361863033</v>
      </c>
      <c r="M48" s="147">
        <f>IFERROR(I48*INDEX('0_Jornales_MO'!$G$4:$J$21,MATCH(A48,'0_Jornales_MO'!$A$4:$A$21,0),MATCH(D48,{"ESPECIALIZADO","OFICIAL","MEDIO OFICIAL","AYUDANTE"},0))*2,"-")</f>
        <v>0</v>
      </c>
      <c r="N48" s="148">
        <f t="shared" si="3"/>
        <v>2331552.1400776268</v>
      </c>
      <c r="O48" s="148">
        <f>IFERROR($N48 * SUMIF('0_Indice_CAC'!$A:$A,$A48,'0_Indice_CAC'!$D:$D),"-")</f>
        <v>1852125.7657378125</v>
      </c>
    </row>
    <row r="49" spans="1:15" ht="12.75" customHeight="1" x14ac:dyDescent="0.3">
      <c r="A49" s="149">
        <v>46054</v>
      </c>
      <c r="B49" s="150" t="s">
        <v>4838</v>
      </c>
      <c r="C49" s="151" t="s">
        <v>4837</v>
      </c>
      <c r="D49" s="152" t="s">
        <v>1376</v>
      </c>
      <c r="E49" s="151" t="s">
        <v>391</v>
      </c>
      <c r="F49" s="153">
        <f t="shared" si="2"/>
        <v>40</v>
      </c>
      <c r="G49" s="154">
        <v>40</v>
      </c>
      <c r="H49" s="154">
        <v>0</v>
      </c>
      <c r="I49" s="154">
        <v>0</v>
      </c>
      <c r="J49" s="145"/>
      <c r="K49" s="146">
        <f>IFERROR(G49*INDEX('0_Jornales_MO'!$G$4:$J$21,MATCH(A49,'0_Jornales_MO'!$A$4:$A$21,0),MATCH(D49,{"ESPECIALIZADO","OFICIAL","MEDIO OFICIAL","AYUDANTE"},0)),"-")</f>
        <v>497397.78988322703</v>
      </c>
      <c r="L49" s="147">
        <f>IFERROR(H49*INDEX('0_Jornales_MO'!$G$4:$J$21,MATCH(A49,'0_Jornales_MO'!$A$4:$A$21,0),MATCH(D49,{"ESPECIALIZADO","OFICIAL","MEDIO OFICIAL","AYUDANTE"},0))*1.5,"-")</f>
        <v>0</v>
      </c>
      <c r="M49" s="147">
        <f>IFERROR(I49*INDEX('0_Jornales_MO'!$G$4:$J$21,MATCH(A49,'0_Jornales_MO'!$A$4:$A$21,0),MATCH(D49,{"ESPECIALIZADO","OFICIAL","MEDIO OFICIAL","AYUDANTE"},0))*2,"-")</f>
        <v>0</v>
      </c>
      <c r="N49" s="148">
        <f t="shared" si="3"/>
        <v>497397.78988322703</v>
      </c>
      <c r="O49" s="148">
        <f>IFERROR($N49 * SUMIF('0_Indice_CAC'!$A:$A,$A49,'0_Indice_CAC'!$D:$D),"-")</f>
        <v>395120.16335739999</v>
      </c>
    </row>
    <row r="50" spans="1:15" ht="12.75" customHeight="1" x14ac:dyDescent="0.3">
      <c r="A50" s="155">
        <v>46082</v>
      </c>
      <c r="B50" s="156" t="s">
        <v>4836</v>
      </c>
      <c r="C50" s="157" t="s">
        <v>4837</v>
      </c>
      <c r="D50" s="158" t="s">
        <v>1292</v>
      </c>
      <c r="E50" s="157" t="s">
        <v>321</v>
      </c>
      <c r="F50" s="159">
        <f t="shared" si="2"/>
        <v>90</v>
      </c>
      <c r="G50" s="160">
        <v>84</v>
      </c>
      <c r="H50" s="160">
        <v>4</v>
      </c>
      <c r="I50" s="160">
        <v>2</v>
      </c>
      <c r="J50" s="145"/>
      <c r="K50" s="146">
        <f>IFERROR(G50*INDEX('0_Jornales_MO'!$G$4:$J$21,MATCH(A50,'0_Jornales_MO'!$A$4:$A$21,0),MATCH(D50,{"ESPECIALIZADO","OFICIAL","MEDIO OFICIAL","AYUDANTE"},0)),"-")</f>
        <v>914554.93401977676</v>
      </c>
      <c r="L50" s="147">
        <f>IFERROR(H50*INDEX('0_Jornales_MO'!$G$4:$J$21,MATCH(A50,'0_Jornales_MO'!$A$4:$A$21,0),MATCH(D50,{"ESPECIALIZADO","OFICIAL","MEDIO OFICIAL","AYUDANTE"},0))*1.5,"-")</f>
        <v>65325.35242998405</v>
      </c>
      <c r="M50" s="147">
        <f>IFERROR(I50*INDEX('0_Jornales_MO'!$G$4:$J$21,MATCH(A50,'0_Jornales_MO'!$A$4:$A$21,0),MATCH(D50,{"ESPECIALIZADO","OFICIAL","MEDIO OFICIAL","AYUDANTE"},0))*2,"-")</f>
        <v>43550.234953322702</v>
      </c>
      <c r="N50" s="148">
        <f t="shared" si="3"/>
        <v>1023430.5214030835</v>
      </c>
      <c r="O50" s="148">
        <f>IFERROR($N50 * SUMIF('0_Indice_CAC'!$A:$A,$A50,'0_Indice_CAC'!$D:$D),"-")</f>
        <v>812987.19661916932</v>
      </c>
    </row>
    <row r="51" spans="1:15" ht="12.75" customHeight="1" x14ac:dyDescent="0.3">
      <c r="A51" s="149">
        <v>46082</v>
      </c>
      <c r="B51" s="150" t="s">
        <v>4836</v>
      </c>
      <c r="C51" s="151" t="s">
        <v>4837</v>
      </c>
      <c r="D51" s="152" t="s">
        <v>1292</v>
      </c>
      <c r="E51" s="151" t="s">
        <v>420</v>
      </c>
      <c r="F51" s="153">
        <f t="shared" si="2"/>
        <v>80</v>
      </c>
      <c r="G51" s="154">
        <v>72</v>
      </c>
      <c r="H51" s="154">
        <v>8</v>
      </c>
      <c r="I51" s="154">
        <v>0</v>
      </c>
      <c r="J51" s="145"/>
      <c r="K51" s="146">
        <f>IFERROR(G51*INDEX('0_Jornales_MO'!$G$4:$J$21,MATCH(A51,'0_Jornales_MO'!$A$4:$A$21,0),MATCH(D51,{"ESPECIALIZADO","OFICIAL","MEDIO OFICIAL","AYUDANTE"},0)),"-")</f>
        <v>783904.2291598086</v>
      </c>
      <c r="L51" s="147">
        <f>IFERROR(H51*INDEX('0_Jornales_MO'!$G$4:$J$21,MATCH(A51,'0_Jornales_MO'!$A$4:$A$21,0),MATCH(D51,{"ESPECIALIZADO","OFICIAL","MEDIO OFICIAL","AYUDANTE"},0))*1.5,"-")</f>
        <v>130650.7048599681</v>
      </c>
      <c r="M51" s="147">
        <f>IFERROR(I51*INDEX('0_Jornales_MO'!$G$4:$J$21,MATCH(A51,'0_Jornales_MO'!$A$4:$A$21,0),MATCH(D51,{"ESPECIALIZADO","OFICIAL","MEDIO OFICIAL","AYUDANTE"},0))*2,"-")</f>
        <v>0</v>
      </c>
      <c r="N51" s="148">
        <f t="shared" si="3"/>
        <v>914554.93401977676</v>
      </c>
      <c r="O51" s="148">
        <f>IFERROR($N51 * SUMIF('0_Indice_CAC'!$A:$A,$A51,'0_Indice_CAC'!$D:$D),"-")</f>
        <v>726499.19697883225</v>
      </c>
    </row>
    <row r="52" spans="1:15" ht="12.75" customHeight="1" x14ac:dyDescent="0.3">
      <c r="A52" s="155">
        <v>46082</v>
      </c>
      <c r="B52" s="156" t="s">
        <v>4836</v>
      </c>
      <c r="C52" s="157" t="s">
        <v>4837</v>
      </c>
      <c r="D52" s="158" t="s">
        <v>940</v>
      </c>
      <c r="E52" s="157" t="s">
        <v>321</v>
      </c>
      <c r="F52" s="159">
        <f t="shared" si="2"/>
        <v>350</v>
      </c>
      <c r="G52" s="160">
        <v>312</v>
      </c>
      <c r="H52" s="160">
        <v>30</v>
      </c>
      <c r="I52" s="160">
        <v>8</v>
      </c>
      <c r="J52" s="145"/>
      <c r="K52" s="146">
        <f>IFERROR(G52*INDEX('0_Jornales_MO'!$G$4:$J$21,MATCH(A52,'0_Jornales_MO'!$A$4:$A$21,0),MATCH(D52,{"ESPECIALIZADO","OFICIAL","MEDIO OFICIAL","AYUDANTE"},0)),"-")</f>
        <v>3176695.0540316706</v>
      </c>
      <c r="L52" s="147">
        <f>IFERROR(H52*INDEX('0_Jornales_MO'!$G$4:$J$21,MATCH(A52,'0_Jornales_MO'!$A$4:$A$21,0),MATCH(D52,{"ESPECIALIZADO","OFICIAL","MEDIO OFICIAL","AYUDANTE"},0))*1.5,"-")</f>
        <v>458177.17125456792</v>
      </c>
      <c r="M52" s="147">
        <f>IFERROR(I52*INDEX('0_Jornales_MO'!$G$4:$J$21,MATCH(A52,'0_Jornales_MO'!$A$4:$A$21,0),MATCH(D52,{"ESPECIALIZADO","OFICIAL","MEDIO OFICIAL","AYUDANTE"},0))*2,"-")</f>
        <v>162907.43866829079</v>
      </c>
      <c r="N52" s="148">
        <f t="shared" si="3"/>
        <v>3797779.663954529</v>
      </c>
      <c r="O52" s="148">
        <f>IFERROR($N52 * SUMIF('0_Indice_CAC'!$A:$A,$A52,'0_Indice_CAC'!$D:$D),"-")</f>
        <v>3016859.6478271699</v>
      </c>
    </row>
    <row r="53" spans="1:15" ht="12.75" customHeight="1" x14ac:dyDescent="0.3">
      <c r="A53" s="149">
        <v>46082</v>
      </c>
      <c r="B53" s="150" t="s">
        <v>4836</v>
      </c>
      <c r="C53" s="151" t="s">
        <v>4837</v>
      </c>
      <c r="D53" s="152" t="s">
        <v>940</v>
      </c>
      <c r="E53" s="151" t="s">
        <v>385</v>
      </c>
      <c r="F53" s="153">
        <f t="shared" si="2"/>
        <v>20</v>
      </c>
      <c r="G53" s="154">
        <v>20</v>
      </c>
      <c r="H53" s="154">
        <v>0</v>
      </c>
      <c r="I53" s="154">
        <v>0</v>
      </c>
      <c r="J53" s="145"/>
      <c r="K53" s="146">
        <f>IFERROR(G53*INDEX('0_Jornales_MO'!$G$4:$J$21,MATCH(A53,'0_Jornales_MO'!$A$4:$A$21,0),MATCH(D53,{"ESPECIALIZADO","OFICIAL","MEDIO OFICIAL","AYUDANTE"},0)),"-")</f>
        <v>203634.29833536351</v>
      </c>
      <c r="L53" s="147">
        <f>IFERROR(H53*INDEX('0_Jornales_MO'!$G$4:$J$21,MATCH(A53,'0_Jornales_MO'!$A$4:$A$21,0),MATCH(D53,{"ESPECIALIZADO","OFICIAL","MEDIO OFICIAL","AYUDANTE"},0))*1.5,"-")</f>
        <v>0</v>
      </c>
      <c r="M53" s="147">
        <f>IFERROR(I53*INDEX('0_Jornales_MO'!$G$4:$J$21,MATCH(A53,'0_Jornales_MO'!$A$4:$A$21,0),MATCH(D53,{"ESPECIALIZADO","OFICIAL","MEDIO OFICIAL","AYUDANTE"},0))*2,"-")</f>
        <v>0</v>
      </c>
      <c r="N53" s="148">
        <f t="shared" si="3"/>
        <v>203634.29833536351</v>
      </c>
      <c r="O53" s="148">
        <f>IFERROR($N53 * SUMIF('0_Indice_CAC'!$A:$A,$A53,'0_Indice_CAC'!$D:$D),"-")</f>
        <v>161761.91141164451</v>
      </c>
    </row>
    <row r="54" spans="1:15" ht="12.75" customHeight="1" x14ac:dyDescent="0.3">
      <c r="A54" s="155">
        <v>46082</v>
      </c>
      <c r="B54" s="156" t="s">
        <v>4836</v>
      </c>
      <c r="C54" s="157" t="s">
        <v>4837</v>
      </c>
      <c r="D54" s="158" t="s">
        <v>945</v>
      </c>
      <c r="E54" s="157" t="s">
        <v>321</v>
      </c>
      <c r="F54" s="159">
        <f t="shared" si="2"/>
        <v>159</v>
      </c>
      <c r="G54" s="160">
        <v>144</v>
      </c>
      <c r="H54" s="160">
        <v>15</v>
      </c>
      <c r="I54" s="160">
        <v>0</v>
      </c>
      <c r="J54" s="145"/>
      <c r="K54" s="146">
        <f>IFERROR(G54*INDEX('0_Jornales_MO'!$G$4:$J$21,MATCH(A54,'0_Jornales_MO'!$A$4:$A$21,0),MATCH(D54,{"ESPECIALIZADO","OFICIAL","MEDIO OFICIAL","AYUDANTE"},0)),"-")</f>
        <v>2204024.2305596098</v>
      </c>
      <c r="L54" s="147">
        <f>IFERROR(H54*INDEX('0_Jornales_MO'!$G$4:$J$21,MATCH(A54,'0_Jornales_MO'!$A$4:$A$21,0),MATCH(D54,{"ESPECIALIZADO","OFICIAL","MEDIO OFICIAL","AYUDANTE"},0))*1.5,"-")</f>
        <v>344378.78602493904</v>
      </c>
      <c r="M54" s="147">
        <f>IFERROR(I54*INDEX('0_Jornales_MO'!$G$4:$J$21,MATCH(A54,'0_Jornales_MO'!$A$4:$A$21,0),MATCH(D54,{"ESPECIALIZADO","OFICIAL","MEDIO OFICIAL","AYUDANTE"},0))*2,"-")</f>
        <v>0</v>
      </c>
      <c r="N54" s="148">
        <f t="shared" si="3"/>
        <v>2548403.0165845491</v>
      </c>
      <c r="O54" s="148">
        <f>IFERROR($N54 * SUMIF('0_Indice_CAC'!$A:$A,$A54,'0_Indice_CAC'!$D:$D),"-")</f>
        <v>2024386.5909612738</v>
      </c>
    </row>
    <row r="55" spans="1:15" ht="12.75" customHeight="1" x14ac:dyDescent="0.3">
      <c r="A55" s="149">
        <v>46082</v>
      </c>
      <c r="B55" s="150" t="s">
        <v>4836</v>
      </c>
      <c r="C55" s="151" t="s">
        <v>4837</v>
      </c>
      <c r="D55" s="152" t="s">
        <v>1376</v>
      </c>
      <c r="E55" s="151" t="s">
        <v>321</v>
      </c>
      <c r="F55" s="153">
        <f t="shared" si="2"/>
        <v>255</v>
      </c>
      <c r="G55" s="154">
        <v>232</v>
      </c>
      <c r="H55" s="154">
        <v>23</v>
      </c>
      <c r="I55" s="154">
        <v>0</v>
      </c>
      <c r="J55" s="145"/>
      <c r="K55" s="146">
        <f>IFERROR(G55*INDEX('0_Jornales_MO'!$G$4:$J$21,MATCH(A55,'0_Jornales_MO'!$A$4:$A$21,0),MATCH(D55,{"ESPECIALIZADO","OFICIAL","MEDIO OFICIAL","AYUDANTE"},0)),"-")</f>
        <v>2958842.9396006782</v>
      </c>
      <c r="L55" s="147">
        <f>IFERROR(H55*INDEX('0_Jornales_MO'!$G$4:$J$21,MATCH(A55,'0_Jornales_MO'!$A$4:$A$21,0),MATCH(D55,{"ESPECIALIZADO","OFICIAL","MEDIO OFICIAL","AYUDANTE"},0))*1.5,"-")</f>
        <v>440000.35093199741</v>
      </c>
      <c r="M55" s="147">
        <f>IFERROR(I55*INDEX('0_Jornales_MO'!$G$4:$J$21,MATCH(A55,'0_Jornales_MO'!$A$4:$A$21,0),MATCH(D55,{"ESPECIALIZADO","OFICIAL","MEDIO OFICIAL","AYUDANTE"},0))*2,"-")</f>
        <v>0</v>
      </c>
      <c r="N55" s="148">
        <f t="shared" si="3"/>
        <v>3398843.2905326756</v>
      </c>
      <c r="O55" s="148">
        <f>IFERROR($N55 * SUMIF('0_Indice_CAC'!$A:$A,$A55,'0_Indice_CAC'!$D:$D),"-")</f>
        <v>2699954.7313966863</v>
      </c>
    </row>
    <row r="56" spans="1:15" ht="12.75" customHeight="1" x14ac:dyDescent="0.3">
      <c r="A56" s="155">
        <v>46082</v>
      </c>
      <c r="B56" s="156" t="s">
        <v>4836</v>
      </c>
      <c r="C56" s="157" t="s">
        <v>4837</v>
      </c>
      <c r="D56" s="158" t="s">
        <v>1376</v>
      </c>
      <c r="E56" s="157" t="s">
        <v>420</v>
      </c>
      <c r="F56" s="159">
        <f t="shared" si="2"/>
        <v>81</v>
      </c>
      <c r="G56" s="160">
        <v>72</v>
      </c>
      <c r="H56" s="160">
        <v>9</v>
      </c>
      <c r="I56" s="160">
        <v>0</v>
      </c>
      <c r="J56" s="145"/>
      <c r="K56" s="146">
        <f>IFERROR(G56*INDEX('0_Jornales_MO'!$G$4:$J$21,MATCH(A56,'0_Jornales_MO'!$A$4:$A$21,0),MATCH(D56,{"ESPECIALIZADO","OFICIAL","MEDIO OFICIAL","AYUDANTE"},0)),"-")</f>
        <v>918261.60194503807</v>
      </c>
      <c r="L56" s="147">
        <f>IFERROR(H56*INDEX('0_Jornales_MO'!$G$4:$J$21,MATCH(A56,'0_Jornales_MO'!$A$4:$A$21,0),MATCH(D56,{"ESPECIALIZADO","OFICIAL","MEDIO OFICIAL","AYUDANTE"},0))*1.5,"-")</f>
        <v>172174.05036469465</v>
      </c>
      <c r="M56" s="147">
        <f>IFERROR(I56*INDEX('0_Jornales_MO'!$G$4:$J$21,MATCH(A56,'0_Jornales_MO'!$A$4:$A$21,0),MATCH(D56,{"ESPECIALIZADO","OFICIAL","MEDIO OFICIAL","AYUDANTE"},0))*2,"-")</f>
        <v>0</v>
      </c>
      <c r="N56" s="148">
        <f t="shared" si="3"/>
        <v>1090435.6523097327</v>
      </c>
      <c r="O56" s="148">
        <f>IFERROR($N56 * SUMIF('0_Indice_CAC'!$A:$A,$A56,'0_Indice_CAC'!$D:$D),"-")</f>
        <v>866214.36973514699</v>
      </c>
    </row>
    <row r="57" spans="1:15" ht="12.75" customHeight="1" x14ac:dyDescent="0.3">
      <c r="A57" s="149">
        <v>46082</v>
      </c>
      <c r="B57" s="150" t="s">
        <v>4836</v>
      </c>
      <c r="C57" s="151" t="s">
        <v>4837</v>
      </c>
      <c r="D57" s="152" t="s">
        <v>1376</v>
      </c>
      <c r="E57" s="151" t="s">
        <v>409</v>
      </c>
      <c r="F57" s="153">
        <f t="shared" si="2"/>
        <v>230</v>
      </c>
      <c r="G57" s="154">
        <v>224</v>
      </c>
      <c r="H57" s="154">
        <v>6</v>
      </c>
      <c r="I57" s="154">
        <v>0</v>
      </c>
      <c r="J57" s="145"/>
      <c r="K57" s="146">
        <f>IFERROR(G57*INDEX('0_Jornales_MO'!$G$4:$J$21,MATCH(A57,'0_Jornales_MO'!$A$4:$A$21,0),MATCH(D57,{"ESPECIALIZADO","OFICIAL","MEDIO OFICIAL","AYUDANTE"},0)),"-")</f>
        <v>2856813.872717896</v>
      </c>
      <c r="L57" s="147">
        <f>IFERROR(H57*INDEX('0_Jornales_MO'!$G$4:$J$21,MATCH(A57,'0_Jornales_MO'!$A$4:$A$21,0),MATCH(D57,{"ESPECIALIZADO","OFICIAL","MEDIO OFICIAL","AYUDANTE"},0))*1.5,"-")</f>
        <v>114782.70024312974</v>
      </c>
      <c r="M57" s="147">
        <f>IFERROR(I57*INDEX('0_Jornales_MO'!$G$4:$J$21,MATCH(A57,'0_Jornales_MO'!$A$4:$A$21,0),MATCH(D57,{"ESPECIALIZADO","OFICIAL","MEDIO OFICIAL","AYUDANTE"},0))*2,"-")</f>
        <v>0</v>
      </c>
      <c r="N57" s="148">
        <f t="shared" si="3"/>
        <v>2971596.5729610259</v>
      </c>
      <c r="O57" s="148">
        <f>IFERROR($N57 * SUMIF('0_Indice_CAC'!$A:$A,$A57,'0_Indice_CAC'!$D:$D),"-")</f>
        <v>2360560.7970560146</v>
      </c>
    </row>
    <row r="58" spans="1:15" ht="12.75" customHeight="1" x14ac:dyDescent="0.3">
      <c r="A58" s="155">
        <v>46082</v>
      </c>
      <c r="B58" s="156" t="s">
        <v>4836</v>
      </c>
      <c r="C58" s="157" t="s">
        <v>4837</v>
      </c>
      <c r="D58" s="158" t="s">
        <v>1376</v>
      </c>
      <c r="E58" s="157" t="s">
        <v>385</v>
      </c>
      <c r="F58" s="159">
        <f t="shared" si="2"/>
        <v>124</v>
      </c>
      <c r="G58" s="160">
        <v>124</v>
      </c>
      <c r="H58" s="160">
        <v>0</v>
      </c>
      <c r="I58" s="160">
        <v>0</v>
      </c>
      <c r="J58" s="145"/>
      <c r="K58" s="146">
        <f>IFERROR(G58*INDEX('0_Jornales_MO'!$G$4:$J$21,MATCH(A58,'0_Jornales_MO'!$A$4:$A$21,0),MATCH(D58,{"ESPECIALIZADO","OFICIAL","MEDIO OFICIAL","AYUDANTE"},0)),"-")</f>
        <v>1581450.536683121</v>
      </c>
      <c r="L58" s="147">
        <f>IFERROR(H58*INDEX('0_Jornales_MO'!$G$4:$J$21,MATCH(A58,'0_Jornales_MO'!$A$4:$A$21,0),MATCH(D58,{"ESPECIALIZADO","OFICIAL","MEDIO OFICIAL","AYUDANTE"},0))*1.5,"-")</f>
        <v>0</v>
      </c>
      <c r="M58" s="147">
        <f>IFERROR(I58*INDEX('0_Jornales_MO'!$G$4:$J$21,MATCH(A58,'0_Jornales_MO'!$A$4:$A$21,0),MATCH(D58,{"ESPECIALIZADO","OFICIAL","MEDIO OFICIAL","AYUDANTE"},0))*2,"-")</f>
        <v>0</v>
      </c>
      <c r="N58" s="148">
        <f t="shared" si="3"/>
        <v>1581450.536683121</v>
      </c>
      <c r="O58" s="148">
        <f>IFERROR($N58 * SUMIF('0_Indice_CAC'!$A:$A,$A58,'0_Indice_CAC'!$D:$D),"-")</f>
        <v>1256264.1151714411</v>
      </c>
    </row>
    <row r="59" spans="1:15" ht="12.75" customHeight="1" x14ac:dyDescent="0.3">
      <c r="A59" s="149">
        <v>46082</v>
      </c>
      <c r="B59" s="150" t="s">
        <v>4836</v>
      </c>
      <c r="C59" s="151" t="s">
        <v>4837</v>
      </c>
      <c r="D59" s="152" t="s">
        <v>1376</v>
      </c>
      <c r="E59" s="151" t="s">
        <v>391</v>
      </c>
      <c r="F59" s="153">
        <f t="shared" si="2"/>
        <v>40</v>
      </c>
      <c r="G59" s="154">
        <v>40</v>
      </c>
      <c r="H59" s="154">
        <v>0</v>
      </c>
      <c r="I59" s="154">
        <v>0</v>
      </c>
      <c r="J59" s="145"/>
      <c r="K59" s="146">
        <f>IFERROR(G59*INDEX('0_Jornales_MO'!$G$4:$J$21,MATCH(A59,'0_Jornales_MO'!$A$4:$A$21,0),MATCH(D59,{"ESPECIALIZADO","OFICIAL","MEDIO OFICIAL","AYUDANTE"},0)),"-")</f>
        <v>510145.33441391005</v>
      </c>
      <c r="L59" s="147">
        <f>IFERROR(H59*INDEX('0_Jornales_MO'!$G$4:$J$21,MATCH(A59,'0_Jornales_MO'!$A$4:$A$21,0),MATCH(D59,{"ESPECIALIZADO","OFICIAL","MEDIO OFICIAL","AYUDANTE"},0))*1.5,"-")</f>
        <v>0</v>
      </c>
      <c r="M59" s="147">
        <f>IFERROR(I59*INDEX('0_Jornales_MO'!$G$4:$J$21,MATCH(A59,'0_Jornales_MO'!$A$4:$A$21,0),MATCH(D59,{"ESPECIALIZADO","OFICIAL","MEDIO OFICIAL","AYUDANTE"},0))*2,"-")</f>
        <v>0</v>
      </c>
      <c r="N59" s="148">
        <f t="shared" si="3"/>
        <v>510145.33441391005</v>
      </c>
      <c r="O59" s="148">
        <f>IFERROR($N59 * SUMIF('0_Indice_CAC'!$A:$A,$A59,'0_Indice_CAC'!$D:$D),"-")</f>
        <v>405246.48876498104</v>
      </c>
    </row>
    <row r="60" spans="1:15" ht="12.75" customHeight="1" x14ac:dyDescent="0.3">
      <c r="A60" s="155">
        <v>46082</v>
      </c>
      <c r="B60" s="156" t="s">
        <v>4838</v>
      </c>
      <c r="C60" s="157" t="s">
        <v>4837</v>
      </c>
      <c r="D60" s="158" t="s">
        <v>1292</v>
      </c>
      <c r="E60" s="157" t="s">
        <v>321</v>
      </c>
      <c r="F60" s="159">
        <f t="shared" si="2"/>
        <v>196</v>
      </c>
      <c r="G60" s="160">
        <v>180</v>
      </c>
      <c r="H60" s="160">
        <v>14</v>
      </c>
      <c r="I60" s="160">
        <v>2</v>
      </c>
      <c r="J60" s="145"/>
      <c r="K60" s="146">
        <f>IFERROR(G60*INDEX('0_Jornales_MO'!$G$4:$J$21,MATCH(A60,'0_Jornales_MO'!$A$4:$A$21,0),MATCH(D60,{"ESPECIALIZADO","OFICIAL","MEDIO OFICIAL","AYUDANTE"},0)),"-")</f>
        <v>1959760.5728995216</v>
      </c>
      <c r="L60" s="147">
        <f>IFERROR(H60*INDEX('0_Jornales_MO'!$G$4:$J$21,MATCH(A60,'0_Jornales_MO'!$A$4:$A$21,0),MATCH(D60,{"ESPECIALIZADO","OFICIAL","MEDIO OFICIAL","AYUDANTE"},0))*1.5,"-")</f>
        <v>228638.73350494419</v>
      </c>
      <c r="M60" s="147">
        <f>IFERROR(I60*INDEX('0_Jornales_MO'!$G$4:$J$21,MATCH(A60,'0_Jornales_MO'!$A$4:$A$21,0),MATCH(D60,{"ESPECIALIZADO","OFICIAL","MEDIO OFICIAL","AYUDANTE"},0))*2,"-")</f>
        <v>43550.234953322702</v>
      </c>
      <c r="N60" s="148">
        <f t="shared" si="3"/>
        <v>2231949.5413577887</v>
      </c>
      <c r="O60" s="148">
        <f>IFERROR($N60 * SUMIF('0_Indice_CAC'!$A:$A,$A60,'0_Indice_CAC'!$D:$D),"-")</f>
        <v>1773003.992626912</v>
      </c>
    </row>
    <row r="61" spans="1:15" ht="12.75" customHeight="1" x14ac:dyDescent="0.3">
      <c r="A61" s="149">
        <v>46082</v>
      </c>
      <c r="B61" s="150" t="s">
        <v>4838</v>
      </c>
      <c r="C61" s="151" t="s">
        <v>4837</v>
      </c>
      <c r="D61" s="152" t="s">
        <v>1292</v>
      </c>
      <c r="E61" s="151" t="s">
        <v>420</v>
      </c>
      <c r="F61" s="153">
        <f t="shared" si="2"/>
        <v>86</v>
      </c>
      <c r="G61" s="154">
        <v>80</v>
      </c>
      <c r="H61" s="154">
        <v>6</v>
      </c>
      <c r="I61" s="154">
        <v>0</v>
      </c>
      <c r="J61" s="145"/>
      <c r="K61" s="146">
        <f>IFERROR(G61*INDEX('0_Jornales_MO'!$G$4:$J$21,MATCH(A61,'0_Jornales_MO'!$A$4:$A$21,0),MATCH(D61,{"ESPECIALIZADO","OFICIAL","MEDIO OFICIAL","AYUDANTE"},0)),"-")</f>
        <v>871004.69906645408</v>
      </c>
      <c r="L61" s="147">
        <f>IFERROR(H61*INDEX('0_Jornales_MO'!$G$4:$J$21,MATCH(A61,'0_Jornales_MO'!$A$4:$A$21,0),MATCH(D61,{"ESPECIALIZADO","OFICIAL","MEDIO OFICIAL","AYUDANTE"},0))*1.5,"-")</f>
        <v>97988.028644976075</v>
      </c>
      <c r="M61" s="147">
        <f>IFERROR(I61*INDEX('0_Jornales_MO'!$G$4:$J$21,MATCH(A61,'0_Jornales_MO'!$A$4:$A$21,0),MATCH(D61,{"ESPECIALIZADO","OFICIAL","MEDIO OFICIAL","AYUDANTE"},0))*2,"-")</f>
        <v>0</v>
      </c>
      <c r="N61" s="148">
        <f t="shared" si="3"/>
        <v>968992.72771143017</v>
      </c>
      <c r="O61" s="148">
        <f>IFERROR($N61 * SUMIF('0_Indice_CAC'!$A:$A,$A61,'0_Indice_CAC'!$D:$D),"-")</f>
        <v>769743.19679900084</v>
      </c>
    </row>
    <row r="62" spans="1:15" ht="12.75" customHeight="1" x14ac:dyDescent="0.3">
      <c r="A62" s="155">
        <v>46082</v>
      </c>
      <c r="B62" s="156" t="s">
        <v>4838</v>
      </c>
      <c r="C62" s="157" t="s">
        <v>4837</v>
      </c>
      <c r="D62" s="158" t="s">
        <v>940</v>
      </c>
      <c r="E62" s="157" t="s">
        <v>321</v>
      </c>
      <c r="F62" s="159">
        <f t="shared" si="2"/>
        <v>408</v>
      </c>
      <c r="G62" s="160">
        <v>380</v>
      </c>
      <c r="H62" s="160">
        <v>26</v>
      </c>
      <c r="I62" s="160">
        <v>2</v>
      </c>
      <c r="J62" s="145"/>
      <c r="K62" s="146">
        <f>IFERROR(G62*INDEX('0_Jornales_MO'!$G$4:$J$21,MATCH(A62,'0_Jornales_MO'!$A$4:$A$21,0),MATCH(D62,{"ESPECIALIZADO","OFICIAL","MEDIO OFICIAL","AYUDANTE"},0)),"-")</f>
        <v>3869051.6683719065</v>
      </c>
      <c r="L62" s="147">
        <f>IFERROR(H62*INDEX('0_Jornales_MO'!$G$4:$J$21,MATCH(A62,'0_Jornales_MO'!$A$4:$A$21,0),MATCH(D62,{"ESPECIALIZADO","OFICIAL","MEDIO OFICIAL","AYUDANTE"},0))*1.5,"-")</f>
        <v>397086.88175395882</v>
      </c>
      <c r="M62" s="147">
        <f>IFERROR(I62*INDEX('0_Jornales_MO'!$G$4:$J$21,MATCH(A62,'0_Jornales_MO'!$A$4:$A$21,0),MATCH(D62,{"ESPECIALIZADO","OFICIAL","MEDIO OFICIAL","AYUDANTE"},0))*2,"-")</f>
        <v>40726.859667072698</v>
      </c>
      <c r="N62" s="148">
        <f t="shared" si="3"/>
        <v>4306865.4097929383</v>
      </c>
      <c r="O62" s="148">
        <f>IFERROR($N62 * SUMIF('0_Indice_CAC'!$A:$A,$A62,'0_Indice_CAC'!$D:$D),"-")</f>
        <v>3421264.4263562816</v>
      </c>
    </row>
    <row r="63" spans="1:15" ht="12.75" customHeight="1" x14ac:dyDescent="0.3">
      <c r="A63" s="149">
        <v>46082</v>
      </c>
      <c r="B63" s="150" t="s">
        <v>4838</v>
      </c>
      <c r="C63" s="151" t="s">
        <v>4837</v>
      </c>
      <c r="D63" s="152" t="s">
        <v>945</v>
      </c>
      <c r="E63" s="151" t="s">
        <v>321</v>
      </c>
      <c r="F63" s="153">
        <f t="shared" si="2"/>
        <v>182</v>
      </c>
      <c r="G63" s="154">
        <v>168</v>
      </c>
      <c r="H63" s="154">
        <v>14</v>
      </c>
      <c r="I63" s="154">
        <v>0</v>
      </c>
      <c r="J63" s="145"/>
      <c r="K63" s="146">
        <f>IFERROR(G63*INDEX('0_Jornales_MO'!$G$4:$J$21,MATCH(A63,'0_Jornales_MO'!$A$4:$A$21,0),MATCH(D63,{"ESPECIALIZADO","OFICIAL","MEDIO OFICIAL","AYUDANTE"},0)),"-")</f>
        <v>2571361.6023195451</v>
      </c>
      <c r="L63" s="147">
        <f>IFERROR(H63*INDEX('0_Jornales_MO'!$G$4:$J$21,MATCH(A63,'0_Jornales_MO'!$A$4:$A$21,0),MATCH(D63,{"ESPECIALIZADO","OFICIAL","MEDIO OFICIAL","AYUDANTE"},0))*1.5,"-")</f>
        <v>321420.20028994314</v>
      </c>
      <c r="M63" s="147">
        <f>IFERROR(I63*INDEX('0_Jornales_MO'!$G$4:$J$21,MATCH(A63,'0_Jornales_MO'!$A$4:$A$21,0),MATCH(D63,{"ESPECIALIZADO","OFICIAL","MEDIO OFICIAL","AYUDANTE"},0))*2,"-")</f>
        <v>0</v>
      </c>
      <c r="N63" s="148">
        <f t="shared" si="3"/>
        <v>2892781.8026094884</v>
      </c>
      <c r="O63" s="148">
        <f>IFERROR($N63 * SUMIF('0_Indice_CAC'!$A:$A,$A63,'0_Indice_CAC'!$D:$D),"-")</f>
        <v>2297952.3464965811</v>
      </c>
    </row>
    <row r="64" spans="1:15" ht="12.75" customHeight="1" x14ac:dyDescent="0.3">
      <c r="A64" s="155">
        <v>46082</v>
      </c>
      <c r="B64" s="156" t="s">
        <v>4838</v>
      </c>
      <c r="C64" s="157" t="s">
        <v>4837</v>
      </c>
      <c r="D64" s="158" t="s">
        <v>1376</v>
      </c>
      <c r="E64" s="157" t="s">
        <v>321</v>
      </c>
      <c r="F64" s="159">
        <f t="shared" si="2"/>
        <v>407</v>
      </c>
      <c r="G64" s="160">
        <v>376</v>
      </c>
      <c r="H64" s="160">
        <v>31</v>
      </c>
      <c r="I64" s="160">
        <v>0</v>
      </c>
      <c r="J64" s="145"/>
      <c r="K64" s="146">
        <f>IFERROR(G64*INDEX('0_Jornales_MO'!$G$4:$J$21,MATCH(A64,'0_Jornales_MO'!$A$4:$A$21,0),MATCH(D64,{"ESPECIALIZADO","OFICIAL","MEDIO OFICIAL","AYUDANTE"},0)),"-")</f>
        <v>4795366.1434907541</v>
      </c>
      <c r="L64" s="147">
        <f>IFERROR(H64*INDEX('0_Jornales_MO'!$G$4:$J$21,MATCH(A64,'0_Jornales_MO'!$A$4:$A$21,0),MATCH(D64,{"ESPECIALIZADO","OFICIAL","MEDIO OFICIAL","AYUDANTE"},0))*1.5,"-")</f>
        <v>593043.9512561704</v>
      </c>
      <c r="M64" s="147">
        <f>IFERROR(I64*INDEX('0_Jornales_MO'!$G$4:$J$21,MATCH(A64,'0_Jornales_MO'!$A$4:$A$21,0),MATCH(D64,{"ESPECIALIZADO","OFICIAL","MEDIO OFICIAL","AYUDANTE"},0))*2,"-")</f>
        <v>0</v>
      </c>
      <c r="N64" s="148">
        <f t="shared" si="3"/>
        <v>5388410.0947469249</v>
      </c>
      <c r="O64" s="148">
        <f>IFERROR($N64 * SUMIF('0_Indice_CAC'!$A:$A,$A64,'0_Indice_CAC'!$D:$D),"-")</f>
        <v>4280416.0375801129</v>
      </c>
    </row>
    <row r="65" spans="1:15" ht="12.75" customHeight="1" x14ac:dyDescent="0.3">
      <c r="A65" s="149">
        <v>46082</v>
      </c>
      <c r="B65" s="150" t="s">
        <v>4838</v>
      </c>
      <c r="C65" s="151" t="s">
        <v>4837</v>
      </c>
      <c r="D65" s="152" t="s">
        <v>1376</v>
      </c>
      <c r="E65" s="151" t="s">
        <v>420</v>
      </c>
      <c r="F65" s="153">
        <f t="shared" si="2"/>
        <v>86</v>
      </c>
      <c r="G65" s="154">
        <v>80</v>
      </c>
      <c r="H65" s="154">
        <v>6</v>
      </c>
      <c r="I65" s="154">
        <v>0</v>
      </c>
      <c r="J65" s="145"/>
      <c r="K65" s="146">
        <f>IFERROR(G65*INDEX('0_Jornales_MO'!$G$4:$J$21,MATCH(A65,'0_Jornales_MO'!$A$4:$A$21,0),MATCH(D65,{"ESPECIALIZADO","OFICIAL","MEDIO OFICIAL","AYUDANTE"},0)),"-")</f>
        <v>1020290.6688278201</v>
      </c>
      <c r="L65" s="147">
        <f>IFERROR(H65*INDEX('0_Jornales_MO'!$G$4:$J$21,MATCH(A65,'0_Jornales_MO'!$A$4:$A$21,0),MATCH(D65,{"ESPECIALIZADO","OFICIAL","MEDIO OFICIAL","AYUDANTE"},0))*1.5,"-")</f>
        <v>114782.70024312974</v>
      </c>
      <c r="M65" s="147">
        <f>IFERROR(I65*INDEX('0_Jornales_MO'!$G$4:$J$21,MATCH(A65,'0_Jornales_MO'!$A$4:$A$21,0),MATCH(D65,{"ESPECIALIZADO","OFICIAL","MEDIO OFICIAL","AYUDANTE"},0))*2,"-")</f>
        <v>0</v>
      </c>
      <c r="N65" s="148">
        <f t="shared" si="3"/>
        <v>1135073.36907095</v>
      </c>
      <c r="O65" s="148">
        <f>IFERROR($N65 * SUMIF('0_Indice_CAC'!$A:$A,$A65,'0_Indice_CAC'!$D:$D),"-")</f>
        <v>901673.4375020829</v>
      </c>
    </row>
    <row r="66" spans="1:15" ht="12.75" customHeight="1" x14ac:dyDescent="0.3">
      <c r="A66" s="155">
        <v>46082</v>
      </c>
      <c r="B66" s="156" t="s">
        <v>4838</v>
      </c>
      <c r="C66" s="157" t="s">
        <v>4837</v>
      </c>
      <c r="D66" s="158" t="s">
        <v>1376</v>
      </c>
      <c r="E66" s="157" t="s">
        <v>409</v>
      </c>
      <c r="F66" s="159">
        <f t="shared" si="2"/>
        <v>277</v>
      </c>
      <c r="G66" s="160">
        <v>256</v>
      </c>
      <c r="H66" s="160">
        <v>17</v>
      </c>
      <c r="I66" s="160">
        <v>4</v>
      </c>
      <c r="J66" s="145"/>
      <c r="K66" s="146">
        <f>IFERROR(G66*INDEX('0_Jornales_MO'!$G$4:$J$21,MATCH(A66,'0_Jornales_MO'!$A$4:$A$21,0),MATCH(D66,{"ESPECIALIZADO","OFICIAL","MEDIO OFICIAL","AYUDANTE"},0)),"-")</f>
        <v>3264930.1402490241</v>
      </c>
      <c r="L66" s="147">
        <f>IFERROR(H66*INDEX('0_Jornales_MO'!$G$4:$J$21,MATCH(A66,'0_Jornales_MO'!$A$4:$A$21,0),MATCH(D66,{"ESPECIALIZADO","OFICIAL","MEDIO OFICIAL","AYUDANTE"},0))*1.5,"-")</f>
        <v>325217.65068886761</v>
      </c>
      <c r="M66" s="147">
        <f>IFERROR(I66*INDEX('0_Jornales_MO'!$G$4:$J$21,MATCH(A66,'0_Jornales_MO'!$A$4:$A$21,0),MATCH(D66,{"ESPECIALIZADO","OFICIAL","MEDIO OFICIAL","AYUDANTE"},0))*2,"-")</f>
        <v>102029.066882782</v>
      </c>
      <c r="N66" s="148">
        <f t="shared" si="3"/>
        <v>3692176.8578206738</v>
      </c>
      <c r="O66" s="148">
        <f>IFERROR($N66 * SUMIF('0_Indice_CAC'!$A:$A,$A66,'0_Indice_CAC'!$D:$D),"-")</f>
        <v>2932971.4624365503</v>
      </c>
    </row>
    <row r="67" spans="1:15" ht="12.75" customHeight="1" x14ac:dyDescent="0.3">
      <c r="A67" s="149">
        <v>46082</v>
      </c>
      <c r="B67" s="150" t="s">
        <v>4838</v>
      </c>
      <c r="C67" s="151" t="s">
        <v>4837</v>
      </c>
      <c r="D67" s="152" t="s">
        <v>1376</v>
      </c>
      <c r="E67" s="151" t="s">
        <v>385</v>
      </c>
      <c r="F67" s="153">
        <f t="shared" si="2"/>
        <v>100</v>
      </c>
      <c r="G67" s="154">
        <v>100</v>
      </c>
      <c r="H67" s="154">
        <v>0</v>
      </c>
      <c r="I67" s="154">
        <v>0</v>
      </c>
      <c r="J67" s="145"/>
      <c r="K67" s="146">
        <f>IFERROR(G67*INDEX('0_Jornales_MO'!$G$4:$J$21,MATCH(A67,'0_Jornales_MO'!$A$4:$A$21,0),MATCH(D67,{"ESPECIALIZADO","OFICIAL","MEDIO OFICIAL","AYUDANTE"},0)),"-")</f>
        <v>1275363.336034775</v>
      </c>
      <c r="L67" s="147">
        <f>IFERROR(H67*INDEX('0_Jornales_MO'!$G$4:$J$21,MATCH(A67,'0_Jornales_MO'!$A$4:$A$21,0),MATCH(D67,{"ESPECIALIZADO","OFICIAL","MEDIO OFICIAL","AYUDANTE"},0))*1.5,"-")</f>
        <v>0</v>
      </c>
      <c r="M67" s="147">
        <f>IFERROR(I67*INDEX('0_Jornales_MO'!$G$4:$J$21,MATCH(A67,'0_Jornales_MO'!$A$4:$A$21,0),MATCH(D67,{"ESPECIALIZADO","OFICIAL","MEDIO OFICIAL","AYUDANTE"},0))*2,"-")</f>
        <v>0</v>
      </c>
      <c r="N67" s="148">
        <f t="shared" si="3"/>
        <v>1275363.336034775</v>
      </c>
      <c r="O67" s="148">
        <f>IFERROR($N67 * SUMIF('0_Indice_CAC'!$A:$A,$A67,'0_Indice_CAC'!$D:$D),"-")</f>
        <v>1013116.2219124526</v>
      </c>
    </row>
    <row r="68" spans="1:15" ht="12.75" customHeight="1" x14ac:dyDescent="0.3">
      <c r="A68" s="155">
        <v>46082</v>
      </c>
      <c r="B68" s="156" t="s">
        <v>4838</v>
      </c>
      <c r="C68" s="157" t="s">
        <v>4837</v>
      </c>
      <c r="D68" s="158" t="s">
        <v>1376</v>
      </c>
      <c r="E68" s="157" t="s">
        <v>391</v>
      </c>
      <c r="F68" s="159">
        <f t="shared" ref="F68:F99" si="4">G68+H68+I68</f>
        <v>32</v>
      </c>
      <c r="G68" s="160">
        <v>32</v>
      </c>
      <c r="H68" s="160">
        <v>0</v>
      </c>
      <c r="I68" s="160">
        <v>0</v>
      </c>
      <c r="J68" s="145"/>
      <c r="K68" s="146">
        <f>IFERROR(G68*INDEX('0_Jornales_MO'!$G$4:$J$21,MATCH(A68,'0_Jornales_MO'!$A$4:$A$21,0),MATCH(D68,{"ESPECIALIZADO","OFICIAL","MEDIO OFICIAL","AYUDANTE"},0)),"-")</f>
        <v>408116.26753112802</v>
      </c>
      <c r="L68" s="147">
        <f>IFERROR(H68*INDEX('0_Jornales_MO'!$G$4:$J$21,MATCH(A68,'0_Jornales_MO'!$A$4:$A$21,0),MATCH(D68,{"ESPECIALIZADO","OFICIAL","MEDIO OFICIAL","AYUDANTE"},0))*1.5,"-")</f>
        <v>0</v>
      </c>
      <c r="M68" s="147">
        <f>IFERROR(I68*INDEX('0_Jornales_MO'!$G$4:$J$21,MATCH(A68,'0_Jornales_MO'!$A$4:$A$21,0),MATCH(D68,{"ESPECIALIZADO","OFICIAL","MEDIO OFICIAL","AYUDANTE"},0))*2,"-")</f>
        <v>0</v>
      </c>
      <c r="N68" s="148">
        <f t="shared" ref="N68:N99" si="5">IFERROR(SUM(K68:M68),"-")</f>
        <v>408116.26753112802</v>
      </c>
      <c r="O68" s="148">
        <f>IFERROR($N68 * SUMIF('0_Indice_CAC'!$A:$A,$A68,'0_Indice_CAC'!$D:$D),"-")</f>
        <v>324197.19101198483</v>
      </c>
    </row>
    <row r="69" spans="1:15" ht="12.75" customHeight="1" x14ac:dyDescent="0.3">
      <c r="A69" s="149">
        <v>46113</v>
      </c>
      <c r="B69" s="150" t="s">
        <v>4836</v>
      </c>
      <c r="C69" s="151" t="s">
        <v>4837</v>
      </c>
      <c r="D69" s="152" t="s">
        <v>1292</v>
      </c>
      <c r="E69" s="151" t="s">
        <v>321</v>
      </c>
      <c r="F69" s="153">
        <f t="shared" si="4"/>
        <v>180</v>
      </c>
      <c r="G69" s="154">
        <v>164</v>
      </c>
      <c r="H69" s="154">
        <v>14</v>
      </c>
      <c r="I69" s="154">
        <v>2</v>
      </c>
      <c r="J69" s="145"/>
      <c r="K69" s="146">
        <f>IFERROR(G69*INDEX('0_Jornales_MO'!$G$4:$J$21,MATCH(A69,'0_Jornales_MO'!$A$4:$A$21,0),MATCH(D69,{"ESPECIALIZADO","OFICIAL","MEDIO OFICIAL","AYUDANTE"},0)),"-")</f>
        <v>1785559.6330862308</v>
      </c>
      <c r="L69" s="147">
        <f>IFERROR(H69*INDEX('0_Jornales_MO'!$G$4:$J$21,MATCH(A69,'0_Jornales_MO'!$A$4:$A$21,0),MATCH(D69,{"ESPECIALIZADO","OFICIAL","MEDIO OFICIAL","AYUDANTE"},0))*1.5,"-")</f>
        <v>228638.73350494419</v>
      </c>
      <c r="M69" s="147">
        <f>IFERROR(I69*INDEX('0_Jornales_MO'!$G$4:$J$21,MATCH(A69,'0_Jornales_MO'!$A$4:$A$21,0),MATCH(D69,{"ESPECIALIZADO","OFICIAL","MEDIO OFICIAL","AYUDANTE"},0))*2,"-")</f>
        <v>43550.234953322702</v>
      </c>
      <c r="N69" s="148">
        <f t="shared" si="5"/>
        <v>2057748.6015444978</v>
      </c>
      <c r="O69" s="148">
        <f>IFERROR($N69 * SUMIF('0_Indice_CAC'!$A:$A,$A69,'0_Indice_CAC'!$D:$D),"-")</f>
        <v>1634623.1932023724</v>
      </c>
    </row>
    <row r="70" spans="1:15" ht="12.75" customHeight="1" x14ac:dyDescent="0.3">
      <c r="A70" s="155">
        <v>46113</v>
      </c>
      <c r="B70" s="156" t="s">
        <v>4836</v>
      </c>
      <c r="C70" s="157" t="s">
        <v>4837</v>
      </c>
      <c r="D70" s="158" t="s">
        <v>1292</v>
      </c>
      <c r="E70" s="157" t="s">
        <v>420</v>
      </c>
      <c r="F70" s="159">
        <f t="shared" si="4"/>
        <v>89</v>
      </c>
      <c r="G70" s="160">
        <v>85</v>
      </c>
      <c r="H70" s="160">
        <v>4</v>
      </c>
      <c r="I70" s="160">
        <v>0</v>
      </c>
      <c r="J70" s="145"/>
      <c r="K70" s="146">
        <f>IFERROR(G70*INDEX('0_Jornales_MO'!$G$4:$J$21,MATCH(A70,'0_Jornales_MO'!$A$4:$A$21,0),MATCH(D70,{"ESPECIALIZADO","OFICIAL","MEDIO OFICIAL","AYUDANTE"},0)),"-")</f>
        <v>925442.49275810737</v>
      </c>
      <c r="L70" s="147">
        <f>IFERROR(H70*INDEX('0_Jornales_MO'!$G$4:$J$21,MATCH(A70,'0_Jornales_MO'!$A$4:$A$21,0),MATCH(D70,{"ESPECIALIZADO","OFICIAL","MEDIO OFICIAL","AYUDANTE"},0))*1.5,"-")</f>
        <v>65325.35242998405</v>
      </c>
      <c r="M70" s="147">
        <f>IFERROR(I70*INDEX('0_Jornales_MO'!$G$4:$J$21,MATCH(A70,'0_Jornales_MO'!$A$4:$A$21,0),MATCH(D70,{"ESPECIALIZADO","OFICIAL","MEDIO OFICIAL","AYUDANTE"},0))*2,"-")</f>
        <v>0</v>
      </c>
      <c r="N70" s="148">
        <f t="shared" si="5"/>
        <v>990767.84518809139</v>
      </c>
      <c r="O70" s="148">
        <f>IFERROR($N70 * SUMIF('0_Indice_CAC'!$A:$A,$A70,'0_Indice_CAC'!$D:$D),"-")</f>
        <v>787040.79672706814</v>
      </c>
    </row>
    <row r="71" spans="1:15" ht="12.75" customHeight="1" x14ac:dyDescent="0.3">
      <c r="A71" s="149">
        <v>46113</v>
      </c>
      <c r="B71" s="150" t="s">
        <v>4836</v>
      </c>
      <c r="C71" s="151" t="s">
        <v>4837</v>
      </c>
      <c r="D71" s="152" t="s">
        <v>940</v>
      </c>
      <c r="E71" s="151" t="s">
        <v>321</v>
      </c>
      <c r="F71" s="153">
        <f t="shared" si="4"/>
        <v>356</v>
      </c>
      <c r="G71" s="154">
        <v>328</v>
      </c>
      <c r="H71" s="154">
        <v>24</v>
      </c>
      <c r="I71" s="154">
        <v>4</v>
      </c>
      <c r="J71" s="145"/>
      <c r="K71" s="146">
        <f>IFERROR(G71*INDEX('0_Jornales_MO'!$G$4:$J$21,MATCH(A71,'0_Jornales_MO'!$A$4:$A$21,0),MATCH(D71,{"ESPECIALIZADO","OFICIAL","MEDIO OFICIAL","AYUDANTE"},0)),"-")</f>
        <v>3339602.4926999612</v>
      </c>
      <c r="L71" s="147">
        <f>IFERROR(H71*INDEX('0_Jornales_MO'!$G$4:$J$21,MATCH(A71,'0_Jornales_MO'!$A$4:$A$21,0),MATCH(D71,{"ESPECIALIZADO","OFICIAL","MEDIO OFICIAL","AYUDANTE"},0))*1.5,"-")</f>
        <v>366541.7370036543</v>
      </c>
      <c r="M71" s="147">
        <f>IFERROR(I71*INDEX('0_Jornales_MO'!$G$4:$J$21,MATCH(A71,'0_Jornales_MO'!$A$4:$A$21,0),MATCH(D71,{"ESPECIALIZADO","OFICIAL","MEDIO OFICIAL","AYUDANTE"},0))*2,"-")</f>
        <v>81453.719334145397</v>
      </c>
      <c r="N71" s="148">
        <f t="shared" si="5"/>
        <v>3787597.949037761</v>
      </c>
      <c r="O71" s="148">
        <f>IFERROR($N71 * SUMIF('0_Indice_CAC'!$A:$A,$A71,'0_Indice_CAC'!$D:$D),"-")</f>
        <v>3008771.5522565879</v>
      </c>
    </row>
    <row r="72" spans="1:15" ht="12.75" customHeight="1" x14ac:dyDescent="0.3">
      <c r="A72" s="155">
        <v>46113</v>
      </c>
      <c r="B72" s="156" t="s">
        <v>4836</v>
      </c>
      <c r="C72" s="157" t="s">
        <v>4837</v>
      </c>
      <c r="D72" s="158" t="s">
        <v>945</v>
      </c>
      <c r="E72" s="157" t="s">
        <v>321</v>
      </c>
      <c r="F72" s="159">
        <f t="shared" si="4"/>
        <v>172</v>
      </c>
      <c r="G72" s="160">
        <v>164</v>
      </c>
      <c r="H72" s="160">
        <v>8</v>
      </c>
      <c r="I72" s="160">
        <v>0</v>
      </c>
      <c r="J72" s="145"/>
      <c r="K72" s="146">
        <f>IFERROR(G72*INDEX('0_Jornales_MO'!$G$4:$J$21,MATCH(A72,'0_Jornales_MO'!$A$4:$A$21,0),MATCH(D72,{"ESPECIALIZADO","OFICIAL","MEDIO OFICIAL","AYUDANTE"},0)),"-")</f>
        <v>2510138.7070262227</v>
      </c>
      <c r="L72" s="147">
        <f>IFERROR(H72*INDEX('0_Jornales_MO'!$G$4:$J$21,MATCH(A72,'0_Jornales_MO'!$A$4:$A$21,0),MATCH(D72,{"ESPECIALIZADO","OFICIAL","MEDIO OFICIAL","AYUDANTE"},0))*1.5,"-")</f>
        <v>183668.6858799675</v>
      </c>
      <c r="M72" s="147">
        <f>IFERROR(I72*INDEX('0_Jornales_MO'!$G$4:$J$21,MATCH(A72,'0_Jornales_MO'!$A$4:$A$21,0),MATCH(D72,{"ESPECIALIZADO","OFICIAL","MEDIO OFICIAL","AYUDANTE"},0))*2,"-")</f>
        <v>0</v>
      </c>
      <c r="N72" s="148">
        <f t="shared" si="5"/>
        <v>2693807.3929061904</v>
      </c>
      <c r="O72" s="148">
        <f>IFERROR($N72 * SUMIF('0_Indice_CAC'!$A:$A,$A72,'0_Indice_CAC'!$D:$D),"-")</f>
        <v>2139892.1321872924</v>
      </c>
    </row>
    <row r="73" spans="1:15" ht="12.75" customHeight="1" x14ac:dyDescent="0.3">
      <c r="A73" s="149">
        <v>46113</v>
      </c>
      <c r="B73" s="150" t="s">
        <v>4836</v>
      </c>
      <c r="C73" s="151" t="s">
        <v>4837</v>
      </c>
      <c r="D73" s="152" t="s">
        <v>1376</v>
      </c>
      <c r="E73" s="151" t="s">
        <v>321</v>
      </c>
      <c r="F73" s="153">
        <f t="shared" si="4"/>
        <v>295</v>
      </c>
      <c r="G73" s="154">
        <v>272</v>
      </c>
      <c r="H73" s="154">
        <v>23</v>
      </c>
      <c r="I73" s="154">
        <v>0</v>
      </c>
      <c r="J73" s="145"/>
      <c r="K73" s="146">
        <f>IFERROR(G73*INDEX('0_Jornales_MO'!$G$4:$J$21,MATCH(A73,'0_Jornales_MO'!$A$4:$A$21,0),MATCH(D73,{"ESPECIALIZADO","OFICIAL","MEDIO OFICIAL","AYUDANTE"},0)),"-")</f>
        <v>3468988.274014588</v>
      </c>
      <c r="L73" s="147">
        <f>IFERROR(H73*INDEX('0_Jornales_MO'!$G$4:$J$21,MATCH(A73,'0_Jornales_MO'!$A$4:$A$21,0),MATCH(D73,{"ESPECIALIZADO","OFICIAL","MEDIO OFICIAL","AYUDANTE"},0))*1.5,"-")</f>
        <v>440000.35093199741</v>
      </c>
      <c r="M73" s="147">
        <f>IFERROR(I73*INDEX('0_Jornales_MO'!$G$4:$J$21,MATCH(A73,'0_Jornales_MO'!$A$4:$A$21,0),MATCH(D73,{"ESPECIALIZADO","OFICIAL","MEDIO OFICIAL","AYUDANTE"},0))*2,"-")</f>
        <v>0</v>
      </c>
      <c r="N73" s="148">
        <f t="shared" si="5"/>
        <v>3908988.6249465854</v>
      </c>
      <c r="O73" s="148">
        <f>IFERROR($N73 * SUMIF('0_Indice_CAC'!$A:$A,$A73,'0_Indice_CAC'!$D:$D),"-")</f>
        <v>3105201.2201616671</v>
      </c>
    </row>
    <row r="74" spans="1:15" ht="12.75" customHeight="1" x14ac:dyDescent="0.3">
      <c r="A74" s="155">
        <v>46113</v>
      </c>
      <c r="B74" s="156" t="s">
        <v>4836</v>
      </c>
      <c r="C74" s="157" t="s">
        <v>4837</v>
      </c>
      <c r="D74" s="158" t="s">
        <v>1376</v>
      </c>
      <c r="E74" s="157" t="s">
        <v>420</v>
      </c>
      <c r="F74" s="159">
        <f t="shared" si="4"/>
        <v>84</v>
      </c>
      <c r="G74" s="160">
        <v>80</v>
      </c>
      <c r="H74" s="160">
        <v>4</v>
      </c>
      <c r="I74" s="160">
        <v>0</v>
      </c>
      <c r="J74" s="145"/>
      <c r="K74" s="146">
        <f>IFERROR(G74*INDEX('0_Jornales_MO'!$G$4:$J$21,MATCH(A74,'0_Jornales_MO'!$A$4:$A$21,0),MATCH(D74,{"ESPECIALIZADO","OFICIAL","MEDIO OFICIAL","AYUDANTE"},0)),"-")</f>
        <v>1020290.6688278201</v>
      </c>
      <c r="L74" s="147">
        <f>IFERROR(H74*INDEX('0_Jornales_MO'!$G$4:$J$21,MATCH(A74,'0_Jornales_MO'!$A$4:$A$21,0),MATCH(D74,{"ESPECIALIZADO","OFICIAL","MEDIO OFICIAL","AYUDANTE"},0))*1.5,"-")</f>
        <v>76521.800162086496</v>
      </c>
      <c r="M74" s="147">
        <f>IFERROR(I74*INDEX('0_Jornales_MO'!$G$4:$J$21,MATCH(A74,'0_Jornales_MO'!$A$4:$A$21,0),MATCH(D74,{"ESPECIALIZADO","OFICIAL","MEDIO OFICIAL","AYUDANTE"},0))*2,"-")</f>
        <v>0</v>
      </c>
      <c r="N74" s="148">
        <f t="shared" si="5"/>
        <v>1096812.4689899066</v>
      </c>
      <c r="O74" s="148">
        <f>IFERROR($N74 * SUMIF('0_Indice_CAC'!$A:$A,$A74,'0_Indice_CAC'!$D:$D),"-")</f>
        <v>871279.9508447093</v>
      </c>
    </row>
    <row r="75" spans="1:15" ht="12.75" customHeight="1" x14ac:dyDescent="0.3">
      <c r="A75" s="149">
        <v>46113</v>
      </c>
      <c r="B75" s="150" t="s">
        <v>4836</v>
      </c>
      <c r="C75" s="151" t="s">
        <v>4837</v>
      </c>
      <c r="D75" s="152" t="s">
        <v>1376</v>
      </c>
      <c r="E75" s="151" t="s">
        <v>409</v>
      </c>
      <c r="F75" s="153">
        <f t="shared" si="4"/>
        <v>225</v>
      </c>
      <c r="G75" s="154">
        <v>208</v>
      </c>
      <c r="H75" s="154">
        <v>17</v>
      </c>
      <c r="I75" s="154">
        <v>0</v>
      </c>
      <c r="J75" s="145"/>
      <c r="K75" s="146">
        <f>IFERROR(G75*INDEX('0_Jornales_MO'!$G$4:$J$21,MATCH(A75,'0_Jornales_MO'!$A$4:$A$21,0),MATCH(D75,{"ESPECIALIZADO","OFICIAL","MEDIO OFICIAL","AYUDANTE"},0)),"-")</f>
        <v>2652755.7389523322</v>
      </c>
      <c r="L75" s="147">
        <f>IFERROR(H75*INDEX('0_Jornales_MO'!$G$4:$J$21,MATCH(A75,'0_Jornales_MO'!$A$4:$A$21,0),MATCH(D75,{"ESPECIALIZADO","OFICIAL","MEDIO OFICIAL","AYUDANTE"},0))*1.5,"-")</f>
        <v>325217.65068886761</v>
      </c>
      <c r="M75" s="147">
        <f>IFERROR(I75*INDEX('0_Jornales_MO'!$G$4:$J$21,MATCH(A75,'0_Jornales_MO'!$A$4:$A$21,0),MATCH(D75,{"ESPECIALIZADO","OFICIAL","MEDIO OFICIAL","AYUDANTE"},0))*2,"-")</f>
        <v>0</v>
      </c>
      <c r="N75" s="148">
        <f t="shared" si="5"/>
        <v>2977973.3896411997</v>
      </c>
      <c r="O75" s="148">
        <f>IFERROR($N75 * SUMIF('0_Indice_CAC'!$A:$A,$A75,'0_Indice_CAC'!$D:$D),"-")</f>
        <v>2365626.3781655766</v>
      </c>
    </row>
    <row r="76" spans="1:15" ht="12.75" customHeight="1" x14ac:dyDescent="0.3">
      <c r="A76" s="155">
        <v>46113</v>
      </c>
      <c r="B76" s="156" t="s">
        <v>4836</v>
      </c>
      <c r="C76" s="157" t="s">
        <v>4837</v>
      </c>
      <c r="D76" s="158" t="s">
        <v>1376</v>
      </c>
      <c r="E76" s="157" t="s">
        <v>385</v>
      </c>
      <c r="F76" s="159">
        <f t="shared" si="4"/>
        <v>116</v>
      </c>
      <c r="G76" s="160">
        <v>116</v>
      </c>
      <c r="H76" s="160">
        <v>0</v>
      </c>
      <c r="I76" s="160">
        <v>0</v>
      </c>
      <c r="J76" s="145"/>
      <c r="K76" s="146">
        <f>IFERROR(G76*INDEX('0_Jornales_MO'!$G$4:$J$21,MATCH(A76,'0_Jornales_MO'!$A$4:$A$21,0),MATCH(D76,{"ESPECIALIZADO","OFICIAL","MEDIO OFICIAL","AYUDANTE"},0)),"-")</f>
        <v>1479421.4698003391</v>
      </c>
      <c r="L76" s="147">
        <f>IFERROR(H76*INDEX('0_Jornales_MO'!$G$4:$J$21,MATCH(A76,'0_Jornales_MO'!$A$4:$A$21,0),MATCH(D76,{"ESPECIALIZADO","OFICIAL","MEDIO OFICIAL","AYUDANTE"},0))*1.5,"-")</f>
        <v>0</v>
      </c>
      <c r="M76" s="147">
        <f>IFERROR(I76*INDEX('0_Jornales_MO'!$G$4:$J$21,MATCH(A76,'0_Jornales_MO'!$A$4:$A$21,0),MATCH(D76,{"ESPECIALIZADO","OFICIAL","MEDIO OFICIAL","AYUDANTE"},0))*2,"-")</f>
        <v>0</v>
      </c>
      <c r="N76" s="148">
        <f t="shared" si="5"/>
        <v>1479421.4698003391</v>
      </c>
      <c r="O76" s="148">
        <f>IFERROR($N76 * SUMIF('0_Indice_CAC'!$A:$A,$A76,'0_Indice_CAC'!$D:$D),"-")</f>
        <v>1175214.8174184451</v>
      </c>
    </row>
    <row r="77" spans="1:15" ht="12.75" customHeight="1" x14ac:dyDescent="0.3">
      <c r="A77" s="149">
        <v>46113</v>
      </c>
      <c r="B77" s="150" t="s">
        <v>4836</v>
      </c>
      <c r="C77" s="151" t="s">
        <v>4837</v>
      </c>
      <c r="D77" s="152" t="s">
        <v>1376</v>
      </c>
      <c r="E77" s="151" t="s">
        <v>391</v>
      </c>
      <c r="F77" s="153">
        <f t="shared" si="4"/>
        <v>4</v>
      </c>
      <c r="G77" s="154">
        <v>4</v>
      </c>
      <c r="H77" s="154">
        <v>0</v>
      </c>
      <c r="I77" s="154">
        <v>0</v>
      </c>
      <c r="J77" s="145"/>
      <c r="K77" s="146">
        <f>IFERROR(G77*INDEX('0_Jornales_MO'!$G$4:$J$21,MATCH(A77,'0_Jornales_MO'!$A$4:$A$21,0),MATCH(D77,{"ESPECIALIZADO","OFICIAL","MEDIO OFICIAL","AYUDANTE"},0)),"-")</f>
        <v>51014.533441391002</v>
      </c>
      <c r="L77" s="147">
        <f>IFERROR(H77*INDEX('0_Jornales_MO'!$G$4:$J$21,MATCH(A77,'0_Jornales_MO'!$A$4:$A$21,0),MATCH(D77,{"ESPECIALIZADO","OFICIAL","MEDIO OFICIAL","AYUDANTE"},0))*1.5,"-")</f>
        <v>0</v>
      </c>
      <c r="M77" s="147">
        <f>IFERROR(I77*INDEX('0_Jornales_MO'!$G$4:$J$21,MATCH(A77,'0_Jornales_MO'!$A$4:$A$21,0),MATCH(D77,{"ESPECIALIZADO","OFICIAL","MEDIO OFICIAL","AYUDANTE"},0))*2,"-")</f>
        <v>0</v>
      </c>
      <c r="N77" s="148">
        <f t="shared" si="5"/>
        <v>51014.533441391002</v>
      </c>
      <c r="O77" s="148">
        <f>IFERROR($N77 * SUMIF('0_Indice_CAC'!$A:$A,$A77,'0_Indice_CAC'!$D:$D),"-")</f>
        <v>40524.648876498104</v>
      </c>
    </row>
    <row r="78" spans="1:15" ht="12.75" customHeight="1" x14ac:dyDescent="0.3">
      <c r="A78" s="155"/>
      <c r="B78" s="156"/>
      <c r="C78" s="157"/>
      <c r="D78" s="158"/>
      <c r="E78" s="157"/>
      <c r="F78" s="159"/>
      <c r="G78" s="161"/>
      <c r="H78" s="161"/>
      <c r="I78" s="161"/>
      <c r="K78" s="146" t="str">
        <f>IFERROR(G78*INDEX('0_Jornales_MO'!$G$4:$J$21,MATCH(A78,'0_Jornales_MO'!$A$4:$A$21,0),MATCH(D78,{"ESPECIALIZADO","OFICIAL","MEDIO OFICIAL","AYUDANTE"},0)),"-")</f>
        <v>-</v>
      </c>
      <c r="L78" s="147" t="str">
        <f>IFERROR(H78*INDEX('0_Jornales_MO'!$G$4:$J$21,MATCH(A78,'0_Jornales_MO'!$A$4:$A$21,0),MATCH(D78,{"ESPECIALIZADO","OFICIAL","MEDIO OFICIAL","AYUDANTE"},0))*1.5,"-")</f>
        <v>-</v>
      </c>
      <c r="M78" s="147" t="str">
        <f>IFERROR(I78*INDEX('0_Jornales_MO'!$G$4:$J$21,MATCH(A78,'0_Jornales_MO'!$A$4:$A$21,0),MATCH(D78,{"ESPECIALIZADO","OFICIAL","MEDIO OFICIAL","AYUDANTE"},0))*2,"-")</f>
        <v>-</v>
      </c>
      <c r="N78" s="148">
        <f t="shared" si="5"/>
        <v>0</v>
      </c>
      <c r="O78" s="148">
        <f>IFERROR($N78 * SUMIF('0_Indice_CAC'!$A:$A,$A78,'0_Indice_CAC'!$D:$D),"-")</f>
        <v>0</v>
      </c>
    </row>
    <row r="79" spans="1:15" ht="12.75" customHeight="1" x14ac:dyDescent="0.3">
      <c r="A79" s="149"/>
      <c r="B79" s="150"/>
      <c r="C79" s="151"/>
      <c r="D79" s="152"/>
      <c r="E79" s="151"/>
      <c r="F79" s="153"/>
      <c r="G79" s="145"/>
      <c r="H79" s="145"/>
      <c r="I79" s="145"/>
      <c r="K79" s="146" t="str">
        <f>IFERROR(G79*INDEX('0_Jornales_MO'!$G$4:$J$21,MATCH(A79,'0_Jornales_MO'!$A$4:$A$21,0),MATCH(D79,{"ESPECIALIZADO","OFICIAL","MEDIO OFICIAL","AYUDANTE"},0)),"-")</f>
        <v>-</v>
      </c>
      <c r="L79" s="147" t="str">
        <f>IFERROR(H79*INDEX('0_Jornales_MO'!$G$4:$J$21,MATCH(A79,'0_Jornales_MO'!$A$4:$A$21,0),MATCH(D79,{"ESPECIALIZADO","OFICIAL","MEDIO OFICIAL","AYUDANTE"},0))*1.5,"-")</f>
        <v>-</v>
      </c>
      <c r="M79" s="147" t="str">
        <f>IFERROR(I79*INDEX('0_Jornales_MO'!$G$4:$J$21,MATCH(A79,'0_Jornales_MO'!$A$4:$A$21,0),MATCH(D79,{"ESPECIALIZADO","OFICIAL","MEDIO OFICIAL","AYUDANTE"},0))*2,"-")</f>
        <v>-</v>
      </c>
      <c r="N79" s="148">
        <f t="shared" si="5"/>
        <v>0</v>
      </c>
      <c r="O79" s="148">
        <f>IFERROR($N79 * SUMIF('0_Indice_CAC'!$A:$A,$A79,'0_Indice_CAC'!$D:$D),"-")</f>
        <v>0</v>
      </c>
    </row>
    <row r="80" spans="1:15" ht="12.75" customHeight="1" x14ac:dyDescent="0.3">
      <c r="A80" s="155"/>
      <c r="B80" s="156"/>
      <c r="C80" s="157"/>
      <c r="D80" s="158"/>
      <c r="E80" s="157"/>
      <c r="F80" s="159"/>
      <c r="G80" s="161"/>
      <c r="H80" s="161"/>
      <c r="I80" s="161"/>
      <c r="K80" s="146" t="str">
        <f>IFERROR(G80*INDEX('0_Jornales_MO'!$G$4:$J$21,MATCH(A80,'0_Jornales_MO'!$A$4:$A$21,0),MATCH(D80,{"ESPECIALIZADO","OFICIAL","MEDIO OFICIAL","AYUDANTE"},0)),"-")</f>
        <v>-</v>
      </c>
      <c r="L80" s="147" t="str">
        <f>IFERROR(H80*INDEX('0_Jornales_MO'!$G$4:$J$21,MATCH(A80,'0_Jornales_MO'!$A$4:$A$21,0),MATCH(D80,{"ESPECIALIZADO","OFICIAL","MEDIO OFICIAL","AYUDANTE"},0))*1.5,"-")</f>
        <v>-</v>
      </c>
      <c r="M80" s="147" t="str">
        <f>IFERROR(I80*INDEX('0_Jornales_MO'!$G$4:$J$21,MATCH(A80,'0_Jornales_MO'!$A$4:$A$21,0),MATCH(D80,{"ESPECIALIZADO","OFICIAL","MEDIO OFICIAL","AYUDANTE"},0))*2,"-")</f>
        <v>-</v>
      </c>
      <c r="N80" s="148">
        <f t="shared" si="5"/>
        <v>0</v>
      </c>
      <c r="O80" s="148">
        <f>IFERROR($N80 * SUMIF('0_Indice_CAC'!$A:$A,$A80,'0_Indice_CAC'!$D:$D),"-")</f>
        <v>0</v>
      </c>
    </row>
    <row r="81" spans="1:15" ht="12.75" customHeight="1" x14ac:dyDescent="0.3">
      <c r="A81" s="149"/>
      <c r="B81" s="150"/>
      <c r="C81" s="151"/>
      <c r="D81" s="152"/>
      <c r="E81" s="151"/>
      <c r="F81" s="153"/>
      <c r="G81" s="145"/>
      <c r="H81" s="145"/>
      <c r="I81" s="145"/>
      <c r="K81" s="146" t="str">
        <f>IFERROR(G81*INDEX('0_Jornales_MO'!$G$4:$J$21,MATCH(A81,'0_Jornales_MO'!$A$4:$A$21,0),MATCH(D81,{"ESPECIALIZADO","OFICIAL","MEDIO OFICIAL","AYUDANTE"},0)),"-")</f>
        <v>-</v>
      </c>
      <c r="L81" s="147" t="str">
        <f>IFERROR(H81*INDEX('0_Jornales_MO'!$G$4:$J$21,MATCH(A81,'0_Jornales_MO'!$A$4:$A$21,0),MATCH(D81,{"ESPECIALIZADO","OFICIAL","MEDIO OFICIAL","AYUDANTE"},0))*1.5,"-")</f>
        <v>-</v>
      </c>
      <c r="M81" s="147" t="str">
        <f>IFERROR(I81*INDEX('0_Jornales_MO'!$G$4:$J$21,MATCH(A81,'0_Jornales_MO'!$A$4:$A$21,0),MATCH(D81,{"ESPECIALIZADO","OFICIAL","MEDIO OFICIAL","AYUDANTE"},0))*2,"-")</f>
        <v>-</v>
      </c>
      <c r="N81" s="148">
        <f t="shared" si="5"/>
        <v>0</v>
      </c>
      <c r="O81" s="148">
        <f>IFERROR($N81 * SUMIF('0_Indice_CAC'!$A:$A,$A81,'0_Indice_CAC'!$D:$D),"-")</f>
        <v>0</v>
      </c>
    </row>
    <row r="82" spans="1:15" ht="12.75" customHeight="1" x14ac:dyDescent="0.3">
      <c r="A82" s="155"/>
      <c r="B82" s="156"/>
      <c r="C82" s="157"/>
      <c r="D82" s="158"/>
      <c r="E82" s="157"/>
      <c r="F82" s="159"/>
      <c r="G82" s="161"/>
      <c r="H82" s="161"/>
      <c r="I82" s="161"/>
      <c r="K82" s="146" t="str">
        <f>IFERROR(G82*INDEX('0_Jornales_MO'!$G$4:$J$21,MATCH(A82,'0_Jornales_MO'!$A$4:$A$21,0),MATCH(D82,{"ESPECIALIZADO","OFICIAL","MEDIO OFICIAL","AYUDANTE"},0)),"-")</f>
        <v>-</v>
      </c>
      <c r="L82" s="147" t="str">
        <f>IFERROR(H82*INDEX('0_Jornales_MO'!$G$4:$J$21,MATCH(A82,'0_Jornales_MO'!$A$4:$A$21,0),MATCH(D82,{"ESPECIALIZADO","OFICIAL","MEDIO OFICIAL","AYUDANTE"},0))*1.5,"-")</f>
        <v>-</v>
      </c>
      <c r="M82" s="147" t="str">
        <f>IFERROR(I82*INDEX('0_Jornales_MO'!$G$4:$J$21,MATCH(A82,'0_Jornales_MO'!$A$4:$A$21,0),MATCH(D82,{"ESPECIALIZADO","OFICIAL","MEDIO OFICIAL","AYUDANTE"},0))*2,"-")</f>
        <v>-</v>
      </c>
      <c r="N82" s="148">
        <f t="shared" si="5"/>
        <v>0</v>
      </c>
      <c r="O82" s="148">
        <f>IFERROR($N82 * SUMIF('0_Indice_CAC'!$A:$A,$A82,'0_Indice_CAC'!$D:$D),"-")</f>
        <v>0</v>
      </c>
    </row>
    <row r="83" spans="1:15" ht="12.75" customHeight="1" x14ac:dyDescent="0.3">
      <c r="A83" s="149"/>
      <c r="B83" s="150"/>
      <c r="C83" s="151"/>
      <c r="D83" s="152"/>
      <c r="E83" s="151"/>
      <c r="F83" s="153"/>
      <c r="G83" s="145"/>
      <c r="H83" s="145"/>
      <c r="I83" s="145"/>
      <c r="K83" s="146" t="str">
        <f>IFERROR(G83*INDEX('0_Jornales_MO'!$G$4:$J$21,MATCH(A83,'0_Jornales_MO'!$A$4:$A$21,0),MATCH(D83,{"ESPECIALIZADO","OFICIAL","MEDIO OFICIAL","AYUDANTE"},0)),"-")</f>
        <v>-</v>
      </c>
      <c r="L83" s="147" t="str">
        <f>IFERROR(H83*INDEX('0_Jornales_MO'!$G$4:$J$21,MATCH(A83,'0_Jornales_MO'!$A$4:$A$21,0),MATCH(D83,{"ESPECIALIZADO","OFICIAL","MEDIO OFICIAL","AYUDANTE"},0))*1.5,"-")</f>
        <v>-</v>
      </c>
      <c r="M83" s="147" t="str">
        <f>IFERROR(I83*INDEX('0_Jornales_MO'!$G$4:$J$21,MATCH(A83,'0_Jornales_MO'!$A$4:$A$21,0),MATCH(D83,{"ESPECIALIZADO","OFICIAL","MEDIO OFICIAL","AYUDANTE"},0))*2,"-")</f>
        <v>-</v>
      </c>
      <c r="N83" s="148">
        <f t="shared" si="5"/>
        <v>0</v>
      </c>
      <c r="O83" s="148">
        <f>IFERROR($N83 * SUMIF('0_Indice_CAC'!$A:$A,$A83,'0_Indice_CAC'!$D:$D),"-")</f>
        <v>0</v>
      </c>
    </row>
    <row r="84" spans="1:15" ht="12.75" customHeight="1" x14ac:dyDescent="0.3">
      <c r="A84" s="155"/>
      <c r="B84" s="156"/>
      <c r="C84" s="157"/>
      <c r="D84" s="158"/>
      <c r="E84" s="157"/>
      <c r="F84" s="159"/>
      <c r="G84" s="161"/>
      <c r="H84" s="161"/>
      <c r="I84" s="161"/>
      <c r="K84" s="146" t="str">
        <f>IFERROR(G84*INDEX('0_Jornales_MO'!$G$4:$J$21,MATCH(A84,'0_Jornales_MO'!$A$4:$A$21,0),MATCH(D84,{"ESPECIALIZADO","OFICIAL","MEDIO OFICIAL","AYUDANTE"},0)),"-")</f>
        <v>-</v>
      </c>
      <c r="L84" s="147" t="str">
        <f>IFERROR(H84*INDEX('0_Jornales_MO'!$G$4:$J$21,MATCH(A84,'0_Jornales_MO'!$A$4:$A$21,0),MATCH(D84,{"ESPECIALIZADO","OFICIAL","MEDIO OFICIAL","AYUDANTE"},0))*1.5,"-")</f>
        <v>-</v>
      </c>
      <c r="M84" s="147" t="str">
        <f>IFERROR(I84*INDEX('0_Jornales_MO'!$G$4:$J$21,MATCH(A84,'0_Jornales_MO'!$A$4:$A$21,0),MATCH(D84,{"ESPECIALIZADO","OFICIAL","MEDIO OFICIAL","AYUDANTE"},0))*2,"-")</f>
        <v>-</v>
      </c>
      <c r="N84" s="148">
        <f t="shared" si="5"/>
        <v>0</v>
      </c>
      <c r="O84" s="148">
        <f>IFERROR($N84 * SUMIF('0_Indice_CAC'!$A:$A,$A84,'0_Indice_CAC'!$D:$D),"-")</f>
        <v>0</v>
      </c>
    </row>
    <row r="85" spans="1:15" ht="12.75" customHeight="1" x14ac:dyDescent="0.3">
      <c r="A85" s="149"/>
      <c r="B85" s="150"/>
      <c r="C85" s="151"/>
      <c r="D85" s="152"/>
      <c r="E85" s="151"/>
      <c r="F85" s="153"/>
      <c r="G85" s="145"/>
      <c r="H85" s="145"/>
      <c r="I85" s="145"/>
      <c r="K85" s="146" t="str">
        <f>IFERROR(G85*INDEX('0_Jornales_MO'!$G$4:$J$21,MATCH(A85,'0_Jornales_MO'!$A$4:$A$21,0),MATCH(D85,{"ESPECIALIZADO","OFICIAL","MEDIO OFICIAL","AYUDANTE"},0)),"-")</f>
        <v>-</v>
      </c>
      <c r="L85" s="147" t="str">
        <f>IFERROR(H85*INDEX('0_Jornales_MO'!$G$4:$J$21,MATCH(A85,'0_Jornales_MO'!$A$4:$A$21,0),MATCH(D85,{"ESPECIALIZADO","OFICIAL","MEDIO OFICIAL","AYUDANTE"},0))*1.5,"-")</f>
        <v>-</v>
      </c>
      <c r="M85" s="147" t="str">
        <f>IFERROR(I85*INDEX('0_Jornales_MO'!$G$4:$J$21,MATCH(A85,'0_Jornales_MO'!$A$4:$A$21,0),MATCH(D85,{"ESPECIALIZADO","OFICIAL","MEDIO OFICIAL","AYUDANTE"},0))*2,"-")</f>
        <v>-</v>
      </c>
      <c r="N85" s="148">
        <f t="shared" si="5"/>
        <v>0</v>
      </c>
      <c r="O85" s="148">
        <f>IFERROR($N85 * SUMIF('0_Indice_CAC'!$A:$A,$A85,'0_Indice_CAC'!$D:$D),"-")</f>
        <v>0</v>
      </c>
    </row>
    <row r="86" spans="1:15" ht="12.75" customHeight="1" x14ac:dyDescent="0.3">
      <c r="A86" s="155"/>
      <c r="B86" s="156"/>
      <c r="C86" s="157"/>
      <c r="D86" s="158"/>
      <c r="E86" s="157"/>
      <c r="F86" s="159"/>
      <c r="G86" s="161"/>
      <c r="H86" s="161"/>
      <c r="I86" s="161"/>
      <c r="K86" s="146" t="str">
        <f>IFERROR(G86*INDEX('0_Jornales_MO'!$G$4:$J$21,MATCH(A86,'0_Jornales_MO'!$A$4:$A$21,0),MATCH(D86,{"ESPECIALIZADO","OFICIAL","MEDIO OFICIAL","AYUDANTE"},0)),"-")</f>
        <v>-</v>
      </c>
      <c r="L86" s="147" t="str">
        <f>IFERROR(H86*INDEX('0_Jornales_MO'!$G$4:$J$21,MATCH(A86,'0_Jornales_MO'!$A$4:$A$21,0),MATCH(D86,{"ESPECIALIZADO","OFICIAL","MEDIO OFICIAL","AYUDANTE"},0))*1.5,"-")</f>
        <v>-</v>
      </c>
      <c r="M86" s="147" t="str">
        <f>IFERROR(I86*INDEX('0_Jornales_MO'!$G$4:$J$21,MATCH(A86,'0_Jornales_MO'!$A$4:$A$21,0),MATCH(D86,{"ESPECIALIZADO","OFICIAL","MEDIO OFICIAL","AYUDANTE"},0))*2,"-")</f>
        <v>-</v>
      </c>
      <c r="N86" s="148">
        <f t="shared" si="5"/>
        <v>0</v>
      </c>
      <c r="O86" s="148">
        <f>IFERROR($N86 * SUMIF('0_Indice_CAC'!$A:$A,$A86,'0_Indice_CAC'!$D:$D),"-")</f>
        <v>0</v>
      </c>
    </row>
    <row r="87" spans="1:15" ht="12.75" customHeight="1" x14ac:dyDescent="0.3">
      <c r="A87" s="149"/>
      <c r="B87" s="150"/>
      <c r="C87" s="151"/>
      <c r="D87" s="152"/>
      <c r="E87" s="151"/>
      <c r="F87" s="153"/>
      <c r="G87" s="145"/>
      <c r="H87" s="145"/>
      <c r="I87" s="145"/>
      <c r="K87" s="146" t="str">
        <f>IFERROR(G87*INDEX('0_Jornales_MO'!$G$4:$J$21,MATCH(A87,'0_Jornales_MO'!$A$4:$A$21,0),MATCH(D87,{"ESPECIALIZADO","OFICIAL","MEDIO OFICIAL","AYUDANTE"},0)),"-")</f>
        <v>-</v>
      </c>
      <c r="L87" s="147" t="str">
        <f>IFERROR(H87*INDEX('0_Jornales_MO'!$G$4:$J$21,MATCH(A87,'0_Jornales_MO'!$A$4:$A$21,0),MATCH(D87,{"ESPECIALIZADO","OFICIAL","MEDIO OFICIAL","AYUDANTE"},0))*1.5,"-")</f>
        <v>-</v>
      </c>
      <c r="M87" s="147" t="str">
        <f>IFERROR(I87*INDEX('0_Jornales_MO'!$G$4:$J$21,MATCH(A87,'0_Jornales_MO'!$A$4:$A$21,0),MATCH(D87,{"ESPECIALIZADO","OFICIAL","MEDIO OFICIAL","AYUDANTE"},0))*2,"-")</f>
        <v>-</v>
      </c>
      <c r="N87" s="148">
        <f t="shared" si="5"/>
        <v>0</v>
      </c>
      <c r="O87" s="148">
        <f>IFERROR($N87 * SUMIF('0_Indice_CAC'!$A:$A,$A87,'0_Indice_CAC'!$D:$D),"-")</f>
        <v>0</v>
      </c>
    </row>
    <row r="88" spans="1:15" ht="12.75" customHeight="1" x14ac:dyDescent="0.3">
      <c r="A88" s="155"/>
      <c r="B88" s="156"/>
      <c r="C88" s="157"/>
      <c r="D88" s="158"/>
      <c r="E88" s="157"/>
      <c r="F88" s="159"/>
      <c r="G88" s="161"/>
      <c r="H88" s="161"/>
      <c r="I88" s="161"/>
      <c r="K88" s="146" t="str">
        <f>IFERROR(G88*INDEX('0_Jornales_MO'!$G$4:$J$21,MATCH(A88,'0_Jornales_MO'!$A$4:$A$21,0),MATCH(D88,{"ESPECIALIZADO","OFICIAL","MEDIO OFICIAL","AYUDANTE"},0)),"-")</f>
        <v>-</v>
      </c>
      <c r="L88" s="147" t="str">
        <f>IFERROR(H88*INDEX('0_Jornales_MO'!$G$4:$J$21,MATCH(A88,'0_Jornales_MO'!$A$4:$A$21,0),MATCH(D88,{"ESPECIALIZADO","OFICIAL","MEDIO OFICIAL","AYUDANTE"},0))*1.5,"-")</f>
        <v>-</v>
      </c>
      <c r="M88" s="147" t="str">
        <f>IFERROR(I88*INDEX('0_Jornales_MO'!$G$4:$J$21,MATCH(A88,'0_Jornales_MO'!$A$4:$A$21,0),MATCH(D88,{"ESPECIALIZADO","OFICIAL","MEDIO OFICIAL","AYUDANTE"},0))*2,"-")</f>
        <v>-</v>
      </c>
      <c r="N88" s="148">
        <f t="shared" si="5"/>
        <v>0</v>
      </c>
      <c r="O88" s="148">
        <f>IFERROR($N88 * SUMIF('0_Indice_CAC'!$A:$A,$A88,'0_Indice_CAC'!$D:$D),"-")</f>
        <v>0</v>
      </c>
    </row>
    <row r="89" spans="1:15" ht="12.75" customHeight="1" x14ac:dyDescent="0.3">
      <c r="A89" s="149"/>
      <c r="B89" s="150"/>
      <c r="C89" s="151"/>
      <c r="D89" s="152"/>
      <c r="E89" s="151"/>
      <c r="F89" s="153"/>
      <c r="G89" s="145"/>
      <c r="H89" s="145"/>
      <c r="I89" s="145"/>
      <c r="K89" s="146" t="str">
        <f>IFERROR(G89*INDEX('0_Jornales_MO'!$G$4:$J$21,MATCH(A89,'0_Jornales_MO'!$A$4:$A$21,0),MATCH(D89,{"ESPECIALIZADO","OFICIAL","MEDIO OFICIAL","AYUDANTE"},0)),"-")</f>
        <v>-</v>
      </c>
      <c r="L89" s="147" t="str">
        <f>IFERROR(H89*INDEX('0_Jornales_MO'!$G$4:$J$21,MATCH(A89,'0_Jornales_MO'!$A$4:$A$21,0),MATCH(D89,{"ESPECIALIZADO","OFICIAL","MEDIO OFICIAL","AYUDANTE"},0))*1.5,"-")</f>
        <v>-</v>
      </c>
      <c r="M89" s="147" t="str">
        <f>IFERROR(I89*INDEX('0_Jornales_MO'!$G$4:$J$21,MATCH(A89,'0_Jornales_MO'!$A$4:$A$21,0),MATCH(D89,{"ESPECIALIZADO","OFICIAL","MEDIO OFICIAL","AYUDANTE"},0))*2,"-")</f>
        <v>-</v>
      </c>
      <c r="N89" s="148">
        <f t="shared" si="5"/>
        <v>0</v>
      </c>
      <c r="O89" s="148">
        <f>IFERROR($N89 * SUMIF('0_Indice_CAC'!$A:$A,$A89,'0_Indice_CAC'!$D:$D),"-")</f>
        <v>0</v>
      </c>
    </row>
    <row r="90" spans="1:15" ht="12.75" customHeight="1" x14ac:dyDescent="0.3">
      <c r="A90" s="155"/>
      <c r="B90" s="156"/>
      <c r="C90" s="157"/>
      <c r="D90" s="158"/>
      <c r="E90" s="157"/>
      <c r="F90" s="159"/>
      <c r="G90" s="161"/>
      <c r="H90" s="161"/>
      <c r="I90" s="161"/>
      <c r="K90" s="146" t="str">
        <f>IFERROR(G90*INDEX('0_Jornales_MO'!$G$4:$J$21,MATCH(A90,'0_Jornales_MO'!$A$4:$A$21,0),MATCH(D90,{"ESPECIALIZADO","OFICIAL","MEDIO OFICIAL","AYUDANTE"},0)),"-")</f>
        <v>-</v>
      </c>
      <c r="L90" s="147" t="str">
        <f>IFERROR(H90*INDEX('0_Jornales_MO'!$G$4:$J$21,MATCH(A90,'0_Jornales_MO'!$A$4:$A$21,0),MATCH(D90,{"ESPECIALIZADO","OFICIAL","MEDIO OFICIAL","AYUDANTE"},0))*1.5,"-")</f>
        <v>-</v>
      </c>
      <c r="M90" s="147" t="str">
        <f>IFERROR(I90*INDEX('0_Jornales_MO'!$G$4:$J$21,MATCH(A90,'0_Jornales_MO'!$A$4:$A$21,0),MATCH(D90,{"ESPECIALIZADO","OFICIAL","MEDIO OFICIAL","AYUDANTE"},0))*2,"-")</f>
        <v>-</v>
      </c>
      <c r="N90" s="148">
        <f t="shared" si="5"/>
        <v>0</v>
      </c>
      <c r="O90" s="148">
        <f>IFERROR($N90 * SUMIF('0_Indice_CAC'!$A:$A,$A90,'0_Indice_CAC'!$D:$D),"-")</f>
        <v>0</v>
      </c>
    </row>
    <row r="91" spans="1:15" ht="12.75" customHeight="1" x14ac:dyDescent="0.3">
      <c r="A91" s="149"/>
      <c r="B91" s="150"/>
      <c r="C91" s="151"/>
      <c r="D91" s="152"/>
      <c r="E91" s="151"/>
      <c r="F91" s="153"/>
      <c r="G91" s="145"/>
      <c r="H91" s="145"/>
      <c r="I91" s="145"/>
      <c r="K91" s="146" t="str">
        <f>IFERROR(G91*INDEX('0_Jornales_MO'!$G$4:$J$21,MATCH(A91,'0_Jornales_MO'!$A$4:$A$21,0),MATCH(D91,{"ESPECIALIZADO","OFICIAL","MEDIO OFICIAL","AYUDANTE"},0)),"-")</f>
        <v>-</v>
      </c>
      <c r="L91" s="147" t="str">
        <f>IFERROR(H91*INDEX('0_Jornales_MO'!$G$4:$J$21,MATCH(A91,'0_Jornales_MO'!$A$4:$A$21,0),MATCH(D91,{"ESPECIALIZADO","OFICIAL","MEDIO OFICIAL","AYUDANTE"},0))*1.5,"-")</f>
        <v>-</v>
      </c>
      <c r="M91" s="147" t="str">
        <f>IFERROR(I91*INDEX('0_Jornales_MO'!$G$4:$J$21,MATCH(A91,'0_Jornales_MO'!$A$4:$A$21,0),MATCH(D91,{"ESPECIALIZADO","OFICIAL","MEDIO OFICIAL","AYUDANTE"},0))*2,"-")</f>
        <v>-</v>
      </c>
      <c r="N91" s="148">
        <f t="shared" si="5"/>
        <v>0</v>
      </c>
      <c r="O91" s="148">
        <f>IFERROR($N91 * SUMIF('0_Indice_CAC'!$A:$A,$A91,'0_Indice_CAC'!$D:$D),"-")</f>
        <v>0</v>
      </c>
    </row>
    <row r="92" spans="1:15" ht="12.75" customHeight="1" x14ac:dyDescent="0.3">
      <c r="A92" s="155"/>
      <c r="B92" s="156"/>
      <c r="C92" s="157"/>
      <c r="D92" s="158"/>
      <c r="E92" s="157"/>
      <c r="F92" s="159"/>
      <c r="G92" s="161"/>
      <c r="H92" s="161"/>
      <c r="I92" s="161"/>
      <c r="K92" s="146" t="str">
        <f>IFERROR(G92*INDEX('0_Jornales_MO'!$G$4:$J$21,MATCH(A92,'0_Jornales_MO'!$A$4:$A$21,0),MATCH(D92,{"ESPECIALIZADO","OFICIAL","MEDIO OFICIAL","AYUDANTE"},0)),"-")</f>
        <v>-</v>
      </c>
      <c r="L92" s="147" t="str">
        <f>IFERROR(H92*INDEX('0_Jornales_MO'!$G$4:$J$21,MATCH(A92,'0_Jornales_MO'!$A$4:$A$21,0),MATCH(D92,{"ESPECIALIZADO","OFICIAL","MEDIO OFICIAL","AYUDANTE"},0))*1.5,"-")</f>
        <v>-</v>
      </c>
      <c r="M92" s="147" t="str">
        <f>IFERROR(I92*INDEX('0_Jornales_MO'!$G$4:$J$21,MATCH(A92,'0_Jornales_MO'!$A$4:$A$21,0),MATCH(D92,{"ESPECIALIZADO","OFICIAL","MEDIO OFICIAL","AYUDANTE"},0))*2,"-")</f>
        <v>-</v>
      </c>
      <c r="N92" s="148">
        <f t="shared" si="5"/>
        <v>0</v>
      </c>
      <c r="O92" s="148">
        <f>IFERROR($N92 * SUMIF('0_Indice_CAC'!$A:$A,$A92,'0_Indice_CAC'!$D:$D),"-")</f>
        <v>0</v>
      </c>
    </row>
    <row r="93" spans="1:15" ht="12.75" customHeight="1" x14ac:dyDescent="0.3">
      <c r="A93" s="149"/>
      <c r="B93" s="150"/>
      <c r="C93" s="151"/>
      <c r="D93" s="152"/>
      <c r="E93" s="151"/>
      <c r="F93" s="153"/>
      <c r="G93" s="145"/>
      <c r="H93" s="145"/>
      <c r="I93" s="145"/>
      <c r="K93" s="146" t="str">
        <f>IFERROR(G93*INDEX('0_Jornales_MO'!$G$4:$J$21,MATCH(A93,'0_Jornales_MO'!$A$4:$A$21,0),MATCH(D93,{"ESPECIALIZADO","OFICIAL","MEDIO OFICIAL","AYUDANTE"},0)),"-")</f>
        <v>-</v>
      </c>
      <c r="L93" s="147" t="str">
        <f>IFERROR(H93*INDEX('0_Jornales_MO'!$G$4:$J$21,MATCH(A93,'0_Jornales_MO'!$A$4:$A$21,0),MATCH(D93,{"ESPECIALIZADO","OFICIAL","MEDIO OFICIAL","AYUDANTE"},0))*1.5,"-")</f>
        <v>-</v>
      </c>
      <c r="M93" s="147" t="str">
        <f>IFERROR(I93*INDEX('0_Jornales_MO'!$G$4:$J$21,MATCH(A93,'0_Jornales_MO'!$A$4:$A$21,0),MATCH(D93,{"ESPECIALIZADO","OFICIAL","MEDIO OFICIAL","AYUDANTE"},0))*2,"-")</f>
        <v>-</v>
      </c>
      <c r="N93" s="148">
        <f t="shared" si="5"/>
        <v>0</v>
      </c>
      <c r="O93" s="148">
        <f>IFERROR($N93 * SUMIF('0_Indice_CAC'!$A:$A,$A93,'0_Indice_CAC'!$D:$D),"-")</f>
        <v>0</v>
      </c>
    </row>
    <row r="94" spans="1:15" ht="12.75" customHeight="1" x14ac:dyDescent="0.3">
      <c r="A94" s="155"/>
      <c r="B94" s="156"/>
      <c r="C94" s="157"/>
      <c r="D94" s="158"/>
      <c r="E94" s="157"/>
      <c r="F94" s="159"/>
      <c r="G94" s="161"/>
      <c r="H94" s="161"/>
      <c r="I94" s="161"/>
      <c r="K94" s="146" t="str">
        <f>IFERROR(G94*INDEX('0_Jornales_MO'!$G$4:$J$21,MATCH(A94,'0_Jornales_MO'!$A$4:$A$21,0),MATCH(D94,{"ESPECIALIZADO","OFICIAL","MEDIO OFICIAL","AYUDANTE"},0)),"-")</f>
        <v>-</v>
      </c>
      <c r="L94" s="147" t="str">
        <f>IFERROR(H94*INDEX('0_Jornales_MO'!$G$4:$J$21,MATCH(A94,'0_Jornales_MO'!$A$4:$A$21,0),MATCH(D94,{"ESPECIALIZADO","OFICIAL","MEDIO OFICIAL","AYUDANTE"},0))*1.5,"-")</f>
        <v>-</v>
      </c>
      <c r="M94" s="147" t="str">
        <f>IFERROR(I94*INDEX('0_Jornales_MO'!$G$4:$J$21,MATCH(A94,'0_Jornales_MO'!$A$4:$A$21,0),MATCH(D94,{"ESPECIALIZADO","OFICIAL","MEDIO OFICIAL","AYUDANTE"},0))*2,"-")</f>
        <v>-</v>
      </c>
      <c r="N94" s="148">
        <f t="shared" si="5"/>
        <v>0</v>
      </c>
      <c r="O94" s="148">
        <f>IFERROR($N94 * SUMIF('0_Indice_CAC'!$A:$A,$A94,'0_Indice_CAC'!$D:$D),"-")</f>
        <v>0</v>
      </c>
    </row>
    <row r="95" spans="1:15" ht="12.75" customHeight="1" x14ac:dyDescent="0.3">
      <c r="A95" s="149"/>
    </row>
  </sheetData>
  <autoFilter ref="A3:O77" xr:uid="{00000000-0009-0000-0000-000008000000}"/>
  <dataValidations count="2">
    <dataValidation type="list" allowBlank="1" showInputMessage="1" showErrorMessage="1" errorTitle="Categoría inválida" error="Categoría inválida. Elegir: ESPECIALIZADO, OFICIAL, MEDIO OFICIAL o AYUDANTE." sqref="D3:D80" xr:uid="{00000000-0002-0000-0800-000000000000}">
      <formula1>"ESPECIALIZADO,OFICIAL,MEDIO OFICIAL,AYUDANTE"</formula1>
      <formula2>0</formula2>
    </dataValidation>
    <dataValidation type="list" allowBlank="1" error="Rubro fuera del plan de cuentas" prompt="Elegí un rubro del plan de cuentas" sqref="E4:E95" xr:uid="{00000000-0002-0000-0800-000001000000}">
      <formula1>RUBROS_PLAN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N20"/>
  <sheetViews>
    <sheetView zoomScaleNormal="100" workbookViewId="0">
      <pane ySplit="3" topLeftCell="A4" activePane="bottomLeft" state="frozen"/>
      <selection pane="bottomLeft" activeCell="A8" sqref="A8"/>
    </sheetView>
  </sheetViews>
  <sheetFormatPr defaultColWidth="8.54296875" defaultRowHeight="14.5" x14ac:dyDescent="0.35"/>
  <cols>
    <col min="1" max="1" width="13" style="1" customWidth="1"/>
    <col min="2" max="2" width="20" style="1" customWidth="1"/>
    <col min="3" max="3" width="18" style="1" customWidth="1"/>
    <col min="4" max="4" width="22" style="1" customWidth="1"/>
    <col min="5" max="5" width="15" style="1" customWidth="1"/>
    <col min="6" max="6" width="11" style="1" customWidth="1"/>
    <col min="7" max="7" width="10" customWidth="1"/>
    <col min="8" max="8" width="16" customWidth="1"/>
    <col min="9" max="10" width="13" style="1" customWidth="1"/>
    <col min="11" max="11" width="14" style="1" customWidth="1"/>
    <col min="12" max="12" width="15" style="1" customWidth="1"/>
    <col min="13" max="13" width="12" style="1" customWidth="1"/>
    <col min="14" max="14" width="14" customWidth="1"/>
    <col min="15" max="16" width="12" style="1" customWidth="1"/>
    <col min="17" max="18" width="8.54296875" style="1" customWidth="1"/>
    <col min="19" max="16384" width="8.54296875" style="1"/>
  </cols>
  <sheetData>
    <row r="1" spans="1:14" ht="16.5" customHeight="1" x14ac:dyDescent="0.35">
      <c r="A1" s="15" t="s">
        <v>4839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4" ht="14.25" customHeight="1" x14ac:dyDescent="0.35">
      <c r="A3" s="208" t="s">
        <v>4840</v>
      </c>
      <c r="B3" s="208" t="s">
        <v>4841</v>
      </c>
      <c r="C3" s="208" t="s">
        <v>4826</v>
      </c>
      <c r="D3" s="208" t="s">
        <v>557</v>
      </c>
      <c r="E3" s="208" t="s">
        <v>4842</v>
      </c>
      <c r="F3" s="208" t="s">
        <v>4843</v>
      </c>
      <c r="G3" s="208" t="s">
        <v>4844</v>
      </c>
      <c r="H3" s="208" t="s">
        <v>4845</v>
      </c>
      <c r="I3" s="208" t="s">
        <v>4846</v>
      </c>
      <c r="J3" s="208" t="s">
        <v>4847</v>
      </c>
      <c r="K3" s="208" t="s">
        <v>4848</v>
      </c>
      <c r="L3" s="208" t="s">
        <v>4849</v>
      </c>
      <c r="M3" s="208" t="s">
        <v>4850</v>
      </c>
      <c r="N3" s="204" t="s">
        <v>492</v>
      </c>
    </row>
    <row r="4" spans="1:14" ht="14.25" customHeight="1" x14ac:dyDescent="0.35">
      <c r="A4" s="193" t="s">
        <v>4851</v>
      </c>
      <c r="B4" s="151" t="s">
        <v>4852</v>
      </c>
      <c r="C4" s="151" t="s">
        <v>4853</v>
      </c>
      <c r="D4" s="151" t="s">
        <v>4854</v>
      </c>
      <c r="E4" s="209">
        <v>14940000</v>
      </c>
      <c r="F4" s="150" t="s">
        <v>4855</v>
      </c>
      <c r="G4" s="195">
        <v>0</v>
      </c>
      <c r="H4" s="147">
        <f>SUMIFS('2_Movimientos'!$I:$I,'2_Movimientos'!$Q:$Q,$A4,'2_Movimientos'!$R:$R,"BASE")+SUMIFS('2_Movimientos'!$I:$I,'2_Movimientos'!$Q:$Q,$A4,'2_Movimientos'!$R:$R,"ANT")</f>
        <v>0</v>
      </c>
      <c r="I4" s="196">
        <f>SUMIFS('2_Movimientos'!$I:$I,'2_Movimientos'!$Q:$Q,$A4,'2_Movimientos'!$R:$R,"CAC")</f>
        <v>0</v>
      </c>
      <c r="J4" s="147">
        <f>SUMIFS('2_Movimientos'!$I:$I,'2_Movimientos'!$Q:$Q,$A4,'2_Movimientos'!$R:$R,"CS")</f>
        <v>0</v>
      </c>
      <c r="K4" s="210">
        <f>H4+I4+J4</f>
        <v>0</v>
      </c>
      <c r="L4" s="211">
        <f>$E4-H4</f>
        <v>14940000</v>
      </c>
      <c r="M4" s="212">
        <f>IFERROR(H4/$E4,0)</f>
        <v>0</v>
      </c>
      <c r="N4" t="str">
        <f>IF(L4&lt;=0,"🔴 Sin saldo",IF(M4&gt;=0.9,"🟠 &lt;10% saldo","🟢 OK"))</f>
        <v>🟢 OK</v>
      </c>
    </row>
    <row r="5" spans="1:14" ht="14.25" customHeight="1" x14ac:dyDescent="0.35">
      <c r="A5" s="193" t="s">
        <v>4856</v>
      </c>
      <c r="B5" s="151" t="s">
        <v>4852</v>
      </c>
      <c r="C5" s="151" t="s">
        <v>4857</v>
      </c>
      <c r="D5" s="151" t="s">
        <v>4857</v>
      </c>
      <c r="E5" s="209">
        <v>8360000</v>
      </c>
      <c r="F5" s="150" t="s">
        <v>4855</v>
      </c>
      <c r="G5" s="195">
        <v>0</v>
      </c>
      <c r="H5" s="147">
        <f>SUMIFS('2_Movimientos'!$I:$I,'2_Movimientos'!$Q:$Q,$A5,'2_Movimientos'!$R:$R,"BASE")+SUMIFS('2_Movimientos'!$I:$I,'2_Movimientos'!$Q:$Q,$A5,'2_Movimientos'!$R:$R,"ANT")</f>
        <v>0</v>
      </c>
      <c r="I5" s="196">
        <f>SUMIFS('2_Movimientos'!$I:$I,'2_Movimientos'!$Q:$Q,$A5,'2_Movimientos'!$R:$R,"CAC")</f>
        <v>0</v>
      </c>
      <c r="J5" s="147">
        <f>SUMIFS('2_Movimientos'!$I:$I,'2_Movimientos'!$Q:$Q,$A5,'2_Movimientos'!$R:$R,"CS")</f>
        <v>0</v>
      </c>
      <c r="K5" s="210">
        <f>H5+I5+J5</f>
        <v>0</v>
      </c>
      <c r="L5" s="211">
        <f>$E5-H5</f>
        <v>8360000</v>
      </c>
      <c r="M5" s="212">
        <f>IFERROR(H5/$E5,0)</f>
        <v>0</v>
      </c>
      <c r="N5" t="str">
        <f>IF(L5&lt;=0,"🔴 Sin saldo",IF(M5&gt;=0.9,"🟠 &lt;10% saldo","🟢 OK"))</f>
        <v>🟢 OK</v>
      </c>
    </row>
    <row r="6" spans="1:14" ht="14.25" customHeight="1" x14ac:dyDescent="0.35">
      <c r="A6" s="193" t="s">
        <v>4858</v>
      </c>
      <c r="B6" s="151" t="s">
        <v>4859</v>
      </c>
      <c r="C6" s="151" t="s">
        <v>4860</v>
      </c>
      <c r="D6" s="151" t="s">
        <v>4860</v>
      </c>
      <c r="E6" s="209">
        <v>3037256.14</v>
      </c>
      <c r="F6" s="150" t="s">
        <v>4855</v>
      </c>
      <c r="G6" s="195">
        <v>0.3</v>
      </c>
      <c r="H6" s="147">
        <f>SUMIFS('2_Movimientos'!$I:$I,'2_Movimientos'!$Q:$Q,$A6,'2_Movimientos'!$R:$R,"BASE")+SUMIFS('2_Movimientos'!$I:$I,'2_Movimientos'!$Q:$Q,$A6,'2_Movimientos'!$R:$R,"ANT")</f>
        <v>0</v>
      </c>
      <c r="I6" s="196">
        <f>SUMIFS('2_Movimientos'!$I:$I,'2_Movimientos'!$Q:$Q,$A6,'2_Movimientos'!$R:$R,"CAC")</f>
        <v>0</v>
      </c>
      <c r="J6" s="147">
        <f>SUMIFS('2_Movimientos'!$I:$I,'2_Movimientos'!$Q:$Q,$A6,'2_Movimientos'!$R:$R,"CS")</f>
        <v>0</v>
      </c>
      <c r="K6" s="210">
        <f>H6+I6+J6</f>
        <v>0</v>
      </c>
      <c r="L6" s="211">
        <f>$E6-H6</f>
        <v>3037256.14</v>
      </c>
      <c r="M6" s="212">
        <f>IFERROR(H6/$E6,0)</f>
        <v>0</v>
      </c>
      <c r="N6" t="str">
        <f>IF(L6&lt;=0,"🔴 Sin saldo",IF(M6&gt;=0.9,"🟠 &lt;10% saldo","🟢 OK"))</f>
        <v>🟢 OK</v>
      </c>
    </row>
    <row r="7" spans="1:14" ht="14.25" customHeight="1" x14ac:dyDescent="0.35">
      <c r="A7" s="193" t="s">
        <v>4861</v>
      </c>
      <c r="B7" s="151" t="s">
        <v>4862</v>
      </c>
      <c r="C7" s="151" t="s">
        <v>4863</v>
      </c>
      <c r="D7" s="151" t="s">
        <v>4864</v>
      </c>
      <c r="E7" s="209">
        <v>0</v>
      </c>
      <c r="F7" s="150" t="s">
        <v>4855</v>
      </c>
      <c r="G7" s="195">
        <v>0</v>
      </c>
      <c r="H7" s="147">
        <f>SUMIFS('2_Movimientos'!$I:$I,'2_Movimientos'!$Q:$Q,$A7,'2_Movimientos'!$R:$R,"BASE")+SUMIFS('2_Movimientos'!$I:$I,'2_Movimientos'!$Q:$Q,$A7,'2_Movimientos'!$R:$R,"ANT")</f>
        <v>0</v>
      </c>
      <c r="I7" s="196">
        <f>SUMIFS('2_Movimientos'!$I:$I,'2_Movimientos'!$Q:$Q,$A7,'2_Movimientos'!$R:$R,"CAC")</f>
        <v>0</v>
      </c>
      <c r="J7" s="147">
        <f>SUMIFS('2_Movimientos'!$I:$I,'2_Movimientos'!$Q:$Q,$A7,'2_Movimientos'!$R:$R,"CS")</f>
        <v>0</v>
      </c>
      <c r="K7" s="210">
        <f>H7+I7+J7</f>
        <v>0</v>
      </c>
      <c r="L7" s="211">
        <f>$E7-H7</f>
        <v>0</v>
      </c>
      <c r="M7" s="212">
        <f>IFERROR(H7/$E7,0)</f>
        <v>0</v>
      </c>
      <c r="N7" t="str">
        <f>IF(L7&lt;=0,"🔴 Sin saldo",IF(M7&gt;=0.9,"🟠 &lt;10% saldo","🟢 OK"))</f>
        <v>🔴 Sin saldo</v>
      </c>
    </row>
    <row r="8" spans="1:14" ht="14.25" customHeight="1" x14ac:dyDescent="0.35">
      <c r="A8" s="193" t="s">
        <v>4865</v>
      </c>
      <c r="B8" s="151" t="s">
        <v>4866</v>
      </c>
      <c r="C8" s="151" t="s">
        <v>4867</v>
      </c>
      <c r="D8" s="151" t="s">
        <v>4868</v>
      </c>
      <c r="E8" s="209">
        <v>89779071.329999998</v>
      </c>
      <c r="F8" s="150" t="s">
        <v>4855</v>
      </c>
      <c r="G8" s="195">
        <v>0</v>
      </c>
      <c r="H8" s="147">
        <f>SUMIFS('2_Movimientos'!$I:$I,'2_Movimientos'!$Q:$Q,$A8,'2_Movimientos'!$R:$R,"BASE")+SUMIFS('2_Movimientos'!$I:$I,'2_Movimientos'!$Q:$Q,$A8,'2_Movimientos'!$R:$R,"ANT")</f>
        <v>0</v>
      </c>
      <c r="I8" s="196">
        <f>SUMIFS('2_Movimientos'!$I:$I,'2_Movimientos'!$Q:$Q,$A8,'2_Movimientos'!$R:$R,"CAC")</f>
        <v>0</v>
      </c>
      <c r="J8" s="147">
        <f>SUMIFS('2_Movimientos'!$I:$I,'2_Movimientos'!$Q:$Q,$A8,'2_Movimientos'!$R:$R,"CS")</f>
        <v>0</v>
      </c>
      <c r="K8" s="210">
        <f>H8+I8+J8</f>
        <v>0</v>
      </c>
      <c r="L8" s="211">
        <f>$E8-H8</f>
        <v>89779071.329999998</v>
      </c>
      <c r="M8" s="212">
        <f>IFERROR(H8/$E8,0)</f>
        <v>0</v>
      </c>
      <c r="N8" t="str">
        <f>IF(L8&lt;=0,"🔴 Sin saldo",IF(M8&gt;=0.9,"🟠 &lt;10% saldo","🟢 OK"))</f>
        <v>🟢 OK</v>
      </c>
    </row>
    <row r="9" spans="1:14" ht="14.25" customHeight="1" x14ac:dyDescent="0.35">
      <c r="A9" s="193"/>
      <c r="B9" s="151"/>
      <c r="C9" s="151"/>
      <c r="D9" s="151"/>
      <c r="E9" s="194"/>
      <c r="F9" s="150"/>
      <c r="G9" s="195"/>
      <c r="H9" s="147"/>
      <c r="I9" s="196"/>
      <c r="J9" s="147"/>
      <c r="K9" s="196"/>
      <c r="L9" s="148"/>
      <c r="M9" s="163"/>
    </row>
    <row r="10" spans="1:14" ht="14.25" customHeight="1" x14ac:dyDescent="0.35">
      <c r="A10" s="193"/>
      <c r="B10" s="151"/>
      <c r="C10" s="151"/>
      <c r="D10" s="151"/>
      <c r="E10" s="194"/>
      <c r="F10" s="150"/>
      <c r="G10" s="195"/>
      <c r="H10" s="147"/>
      <c r="I10" s="196"/>
      <c r="J10" s="147"/>
      <c r="K10" s="196"/>
      <c r="L10" s="148"/>
      <c r="M10" s="163"/>
    </row>
    <row r="11" spans="1:14" ht="14.25" customHeight="1" x14ac:dyDescent="0.35">
      <c r="A11" s="193"/>
      <c r="B11" s="151"/>
      <c r="C11" s="151"/>
      <c r="D11" s="151"/>
      <c r="E11" s="194"/>
      <c r="F11" s="150"/>
      <c r="G11" s="195"/>
      <c r="H11" s="147"/>
      <c r="I11" s="196"/>
      <c r="J11" s="147"/>
      <c r="K11" s="196"/>
      <c r="L11" s="148"/>
      <c r="M11" s="163"/>
    </row>
    <row r="12" spans="1:14" ht="14.25" customHeight="1" x14ac:dyDescent="0.35">
      <c r="A12" s="193"/>
      <c r="B12" s="151"/>
      <c r="C12" s="151"/>
      <c r="D12" s="151"/>
      <c r="E12" s="194"/>
      <c r="F12" s="150"/>
      <c r="G12" s="195"/>
      <c r="H12" s="147"/>
      <c r="I12" s="196"/>
      <c r="J12" s="147"/>
      <c r="K12" s="196"/>
      <c r="L12" s="148"/>
      <c r="M12" s="163"/>
    </row>
    <row r="13" spans="1:14" ht="14.25" customHeight="1" x14ac:dyDescent="0.35">
      <c r="A13" s="193"/>
      <c r="B13" s="151"/>
      <c r="C13" s="151"/>
      <c r="D13" s="151"/>
      <c r="E13" s="194"/>
      <c r="F13" s="150"/>
      <c r="G13" s="195"/>
      <c r="H13" s="147"/>
      <c r="I13" s="196"/>
      <c r="J13" s="147"/>
      <c r="K13" s="196"/>
      <c r="L13" s="148"/>
      <c r="M13" s="163"/>
    </row>
    <row r="14" spans="1:14" ht="14.25" customHeight="1" x14ac:dyDescent="0.35">
      <c r="A14" s="197"/>
      <c r="B14" s="198"/>
      <c r="C14" s="198"/>
      <c r="D14" s="198"/>
      <c r="E14" s="199"/>
      <c r="F14" s="198"/>
      <c r="G14" s="198"/>
      <c r="H14" s="199"/>
      <c r="I14" s="199"/>
      <c r="J14" s="199"/>
      <c r="K14" s="199"/>
      <c r="L14" s="199"/>
      <c r="M14" s="163"/>
    </row>
    <row r="16" spans="1:14" ht="14.25" customHeight="1" x14ac:dyDescent="0.35">
      <c r="A16" s="2"/>
    </row>
    <row r="17" spans="1:1" ht="14.25" customHeight="1" x14ac:dyDescent="0.35">
      <c r="A17" s="5"/>
    </row>
    <row r="18" spans="1:1" ht="14.25" customHeight="1" x14ac:dyDescent="0.35">
      <c r="A18" s="5"/>
    </row>
    <row r="19" spans="1:1" ht="14.25" customHeight="1" x14ac:dyDescent="0.35">
      <c r="A19" s="5"/>
    </row>
    <row r="20" spans="1:1" ht="14.25" customHeight="1" x14ac:dyDescent="0.35">
      <c r="A20" s="5"/>
    </row>
  </sheetData>
  <conditionalFormatting sqref="M4:M14">
    <cfRule type="expression" dxfId="2" priority="1">
      <formula>L4=0</formula>
    </cfRule>
    <cfRule type="expression" dxfId="1" priority="2">
      <formula>L4&lt;0</formula>
    </cfRule>
    <cfRule type="expression" dxfId="0" priority="3">
      <formula>L4&gt;0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4"/>
  <sheetViews>
    <sheetView zoomScaleNormal="100" workbookViewId="0"/>
  </sheetViews>
  <sheetFormatPr defaultColWidth="8.54296875" defaultRowHeight="14.5" x14ac:dyDescent="0.35"/>
  <cols>
    <col min="1" max="1" width="30" customWidth="1"/>
    <col min="2" max="2" width="10" customWidth="1"/>
  </cols>
  <sheetData>
    <row r="1" spans="1:10" ht="14.25" customHeight="1" x14ac:dyDescent="0.35">
      <c r="A1" s="165" t="s">
        <v>4869</v>
      </c>
      <c r="B1" s="164" t="s">
        <v>4870</v>
      </c>
      <c r="C1" s="166" t="s">
        <v>4871</v>
      </c>
      <c r="E1" t="s">
        <v>4872</v>
      </c>
      <c r="I1" s="207" t="s">
        <v>4873</v>
      </c>
      <c r="J1" s="207" t="s">
        <v>888</v>
      </c>
    </row>
    <row r="2" spans="1:10" ht="14.25" customHeight="1" x14ac:dyDescent="0.35">
      <c r="A2" s="167" t="s">
        <v>192</v>
      </c>
      <c r="B2" s="168" t="s">
        <v>4874</v>
      </c>
      <c r="C2" s="166" t="s">
        <v>560</v>
      </c>
      <c r="E2" t="s">
        <v>4875</v>
      </c>
      <c r="F2">
        <f>SUMPRODUCT(('1_Presupuesto'!A4:A229&lt;&gt;"")*('1_Presupuesto'!A4:A229&lt;&gt;"-")*ISNA(MATCH('1_Presupuesto'!A4:A229,$A$2:$A$34,0)))+SUMPRODUCT(('1_Presupuesto'!B4:B229&lt;&gt;"")*('1_Presupuesto'!B4:B229&lt;&gt;"-")*ISNA(MATCH('1_Presupuesto'!B4:B229,$A$2:$A$34,0)))+SUMPRODUCT(('1_Presupuesto'!C4:C229&lt;&gt;"")*('1_Presupuesto'!C4:C229&lt;&gt;"-")*ISNA(MATCH('1_Presupuesto'!C4:C229,$A$2:$A$34,0)))+SUMPRODUCT(('1_Presupuesto'!D4:D229&lt;&gt;"")*('1_Presupuesto'!D4:D229&lt;&gt;"-")*ISNA(MATCH('1_Presupuesto'!D4:D229,$A$2:$A$34,0)))</f>
        <v>0</v>
      </c>
      <c r="G2" t="str">
        <f>IF(F2=0,"✓","⚠")</f>
        <v>✓</v>
      </c>
      <c r="I2" t="s">
        <v>825</v>
      </c>
      <c r="J2" t="s">
        <v>4817</v>
      </c>
    </row>
    <row r="3" spans="1:10" ht="14.25" customHeight="1" x14ac:dyDescent="0.35">
      <c r="A3" s="167" t="s">
        <v>4876</v>
      </c>
      <c r="B3" s="168" t="s">
        <v>4877</v>
      </c>
      <c r="C3" s="166" t="s">
        <v>937</v>
      </c>
      <c r="E3" t="s">
        <v>4878</v>
      </c>
      <c r="F3">
        <f>SUMPRODUCT(('2_Quincenas'!E4:E95&lt;&gt;"")*('2_Quincenas'!E4:E95&lt;&gt;"-")*ISNA(MATCH('2_Quincenas'!E4:E95,$A$2:$A$34,0)))</f>
        <v>0</v>
      </c>
      <c r="G3" t="str">
        <f>IF(F3=0,"✓","⚠")</f>
        <v>✓</v>
      </c>
      <c r="I3" t="s">
        <v>827</v>
      </c>
      <c r="J3" t="s">
        <v>4817</v>
      </c>
    </row>
    <row r="4" spans="1:10" ht="14.25" customHeight="1" x14ac:dyDescent="0.35">
      <c r="A4" s="167" t="s">
        <v>232</v>
      </c>
      <c r="B4" t="s">
        <v>4879</v>
      </c>
      <c r="C4" s="166"/>
      <c r="I4" t="s">
        <v>829</v>
      </c>
      <c r="J4" t="s">
        <v>4817</v>
      </c>
    </row>
    <row r="5" spans="1:10" ht="14.25" customHeight="1" x14ac:dyDescent="0.35">
      <c r="A5" s="167" t="s">
        <v>239</v>
      </c>
      <c r="B5" t="s">
        <v>4880</v>
      </c>
      <c r="C5" s="166"/>
      <c r="I5" t="s">
        <v>832</v>
      </c>
      <c r="J5" t="s">
        <v>4817</v>
      </c>
    </row>
    <row r="6" spans="1:10" ht="14.25" customHeight="1" x14ac:dyDescent="0.35">
      <c r="A6" s="167" t="s">
        <v>288</v>
      </c>
      <c r="B6" t="s">
        <v>4881</v>
      </c>
      <c r="I6" t="s">
        <v>837</v>
      </c>
      <c r="J6" t="s">
        <v>4817</v>
      </c>
    </row>
    <row r="7" spans="1:10" ht="14.25" customHeight="1" x14ac:dyDescent="0.35">
      <c r="A7" s="167" t="s">
        <v>4882</v>
      </c>
      <c r="B7" t="s">
        <v>4883</v>
      </c>
      <c r="I7" t="s">
        <v>841</v>
      </c>
      <c r="J7" t="s">
        <v>4817</v>
      </c>
    </row>
    <row r="8" spans="1:10" ht="14.25" customHeight="1" x14ac:dyDescent="0.35">
      <c r="A8" s="167" t="s">
        <v>4884</v>
      </c>
      <c r="B8" t="s">
        <v>4885</v>
      </c>
      <c r="I8" t="s">
        <v>843</v>
      </c>
      <c r="J8" t="s">
        <v>4817</v>
      </c>
    </row>
    <row r="9" spans="1:10" ht="14.25" customHeight="1" x14ac:dyDescent="0.35">
      <c r="A9" s="167" t="s">
        <v>305</v>
      </c>
      <c r="B9" t="s">
        <v>4886</v>
      </c>
      <c r="I9" t="s">
        <v>848</v>
      </c>
      <c r="J9" t="s">
        <v>4817</v>
      </c>
    </row>
    <row r="10" spans="1:10" ht="14.25" customHeight="1" x14ac:dyDescent="0.35">
      <c r="A10" s="167" t="s">
        <v>321</v>
      </c>
      <c r="B10" t="s">
        <v>4887</v>
      </c>
      <c r="I10" t="s">
        <v>850</v>
      </c>
      <c r="J10" t="s">
        <v>4817</v>
      </c>
    </row>
    <row r="11" spans="1:10" ht="14.25" customHeight="1" x14ac:dyDescent="0.35">
      <c r="A11" s="167" t="s">
        <v>378</v>
      </c>
      <c r="B11" t="s">
        <v>4888</v>
      </c>
      <c r="I11" t="s">
        <v>852</v>
      </c>
      <c r="J11" t="s">
        <v>4817</v>
      </c>
    </row>
    <row r="12" spans="1:10" ht="14.25" customHeight="1" x14ac:dyDescent="0.35">
      <c r="A12" s="167" t="s">
        <v>385</v>
      </c>
      <c r="B12" t="s">
        <v>4889</v>
      </c>
      <c r="I12" t="s">
        <v>854</v>
      </c>
      <c r="J12" t="s">
        <v>4817</v>
      </c>
    </row>
    <row r="13" spans="1:10" ht="14.25" customHeight="1" x14ac:dyDescent="0.35">
      <c r="A13" s="167" t="s">
        <v>4890</v>
      </c>
      <c r="B13" t="s">
        <v>4891</v>
      </c>
      <c r="I13" t="s">
        <v>855</v>
      </c>
      <c r="J13" t="s">
        <v>4817</v>
      </c>
    </row>
    <row r="14" spans="1:10" ht="14.25" customHeight="1" x14ac:dyDescent="0.35">
      <c r="A14" s="167" t="s">
        <v>389</v>
      </c>
      <c r="B14" t="s">
        <v>4892</v>
      </c>
      <c r="I14" t="s">
        <v>856</v>
      </c>
      <c r="J14" t="s">
        <v>4817</v>
      </c>
    </row>
    <row r="15" spans="1:10" ht="14.25" customHeight="1" x14ac:dyDescent="0.35">
      <c r="A15" s="167" t="s">
        <v>391</v>
      </c>
      <c r="B15" t="s">
        <v>4893</v>
      </c>
      <c r="I15" t="s">
        <v>4819</v>
      </c>
      <c r="J15" t="s">
        <v>4818</v>
      </c>
    </row>
    <row r="16" spans="1:10" ht="14.25" customHeight="1" x14ac:dyDescent="0.35">
      <c r="A16" s="167" t="s">
        <v>393</v>
      </c>
      <c r="B16" t="s">
        <v>4894</v>
      </c>
      <c r="I16" t="s">
        <v>4821</v>
      </c>
      <c r="J16" t="s">
        <v>4818</v>
      </c>
    </row>
    <row r="17" spans="1:10" ht="14.25" customHeight="1" x14ac:dyDescent="0.35">
      <c r="A17" s="167" t="s">
        <v>702</v>
      </c>
      <c r="B17" t="s">
        <v>4895</v>
      </c>
      <c r="I17" t="s">
        <v>4820</v>
      </c>
      <c r="J17" t="s">
        <v>4818</v>
      </c>
    </row>
    <row r="18" spans="1:10" ht="14.25" customHeight="1" x14ac:dyDescent="0.35">
      <c r="A18" s="167" t="s">
        <v>397</v>
      </c>
      <c r="B18" t="s">
        <v>4896</v>
      </c>
    </row>
    <row r="19" spans="1:10" ht="14.25" customHeight="1" x14ac:dyDescent="0.35">
      <c r="A19" s="167" t="s">
        <v>409</v>
      </c>
      <c r="B19" t="s">
        <v>4897</v>
      </c>
    </row>
    <row r="20" spans="1:10" ht="14.25" customHeight="1" x14ac:dyDescent="0.35">
      <c r="A20" s="167" t="s">
        <v>416</v>
      </c>
      <c r="B20" t="s">
        <v>4898</v>
      </c>
    </row>
    <row r="21" spans="1:10" ht="14.25" customHeight="1" x14ac:dyDescent="0.35">
      <c r="A21" s="167" t="s">
        <v>420</v>
      </c>
      <c r="B21" t="s">
        <v>4899</v>
      </c>
    </row>
    <row r="22" spans="1:10" ht="14.25" customHeight="1" x14ac:dyDescent="0.35">
      <c r="A22" s="167" t="s">
        <v>424</v>
      </c>
      <c r="B22" t="s">
        <v>4900</v>
      </c>
    </row>
    <row r="23" spans="1:10" ht="14.25" customHeight="1" x14ac:dyDescent="0.35">
      <c r="A23" s="167" t="s">
        <v>427</v>
      </c>
      <c r="B23" t="s">
        <v>4901</v>
      </c>
    </row>
    <row r="24" spans="1:10" ht="14.25" customHeight="1" x14ac:dyDescent="0.35">
      <c r="A24" s="167" t="s">
        <v>464</v>
      </c>
      <c r="B24" t="s">
        <v>4902</v>
      </c>
    </row>
    <row r="25" spans="1:10" ht="14.25" customHeight="1" x14ac:dyDescent="0.35">
      <c r="A25" s="166" t="s">
        <v>4903</v>
      </c>
      <c r="B25" t="s">
        <v>4904</v>
      </c>
    </row>
    <row r="26" spans="1:10" ht="14.25" customHeight="1" x14ac:dyDescent="0.35">
      <c r="A26" s="166" t="s">
        <v>4905</v>
      </c>
      <c r="B26" t="s">
        <v>4906</v>
      </c>
    </row>
    <row r="27" spans="1:10" ht="14.25" customHeight="1" x14ac:dyDescent="0.35">
      <c r="A27" s="166" t="s">
        <v>482</v>
      </c>
      <c r="B27" t="s">
        <v>4907</v>
      </c>
    </row>
    <row r="28" spans="1:10" ht="14.25" customHeight="1" x14ac:dyDescent="0.35">
      <c r="A28" s="166" t="s">
        <v>4908</v>
      </c>
      <c r="B28" t="s">
        <v>4909</v>
      </c>
    </row>
    <row r="29" spans="1:10" x14ac:dyDescent="0.35">
      <c r="A29" t="s">
        <v>4910</v>
      </c>
      <c r="B29" t="s">
        <v>4911</v>
      </c>
    </row>
    <row r="30" spans="1:10" x14ac:dyDescent="0.35">
      <c r="A30" t="s">
        <v>4912</v>
      </c>
      <c r="B30" t="s">
        <v>4913</v>
      </c>
    </row>
    <row r="31" spans="1:10" x14ac:dyDescent="0.35">
      <c r="A31" t="s">
        <v>4914</v>
      </c>
      <c r="B31" t="s">
        <v>4915</v>
      </c>
    </row>
    <row r="32" spans="1:10" x14ac:dyDescent="0.35">
      <c r="A32" t="s">
        <v>487</v>
      </c>
      <c r="B32" t="s">
        <v>4916</v>
      </c>
    </row>
    <row r="33" spans="1:2" x14ac:dyDescent="0.35">
      <c r="A33" t="s">
        <v>118</v>
      </c>
      <c r="B33" t="s">
        <v>4917</v>
      </c>
    </row>
    <row r="34" spans="1:2" x14ac:dyDescent="0.35">
      <c r="A34" t="s">
        <v>807</v>
      </c>
      <c r="B34" t="s">
        <v>4918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3" x14ac:dyDescent="0.35">
      <c r="A1" s="204" t="s">
        <v>4824</v>
      </c>
      <c r="B1" s="204" t="s">
        <v>4919</v>
      </c>
      <c r="C1" s="204" t="s">
        <v>4920</v>
      </c>
      <c r="D1" s="204" t="s">
        <v>4921</v>
      </c>
      <c r="E1" s="204" t="s">
        <v>4922</v>
      </c>
      <c r="F1" s="204" t="s">
        <v>499</v>
      </c>
      <c r="G1" s="204" t="s">
        <v>4923</v>
      </c>
      <c r="H1" s="204" t="s">
        <v>4924</v>
      </c>
      <c r="I1" s="204" t="s">
        <v>4925</v>
      </c>
      <c r="J1" s="204" t="s">
        <v>4926</v>
      </c>
      <c r="K1" s="204" t="s">
        <v>4927</v>
      </c>
      <c r="L1" s="204" t="s">
        <v>570</v>
      </c>
      <c r="M1" s="204" t="s">
        <v>4928</v>
      </c>
    </row>
    <row r="2" spans="1:13" x14ac:dyDescent="0.35">
      <c r="A2" t="s">
        <v>4929</v>
      </c>
      <c r="B2" t="s">
        <v>4930</v>
      </c>
      <c r="C2" t="s">
        <v>4931</v>
      </c>
      <c r="D2" s="206">
        <v>500907720</v>
      </c>
      <c r="E2" s="213">
        <v>0.4</v>
      </c>
      <c r="F2" s="214">
        <v>45627</v>
      </c>
      <c r="G2">
        <f>_xlfn.XLOOKUP(F2,'0_Indice_CAC'!$A:$A,'0_Indice_CAC'!$B:$B)</f>
        <v>15356.4</v>
      </c>
      <c r="H2" s="213">
        <v>0.7</v>
      </c>
      <c r="I2" s="213">
        <v>0.3</v>
      </c>
      <c r="J2" s="213">
        <v>0.4</v>
      </c>
      <c r="K2" s="213">
        <v>0.21</v>
      </c>
      <c r="L2" t="s">
        <v>577</v>
      </c>
      <c r="M2" s="205">
        <v>45689</v>
      </c>
    </row>
    <row r="3" spans="1:13" x14ac:dyDescent="0.35">
      <c r="A3" t="s">
        <v>4929</v>
      </c>
      <c r="B3" t="s">
        <v>4932</v>
      </c>
      <c r="C3" t="s">
        <v>4933</v>
      </c>
      <c r="D3" s="206">
        <v>844845248</v>
      </c>
      <c r="E3" s="213">
        <v>0.1</v>
      </c>
      <c r="F3" s="214">
        <v>45627</v>
      </c>
      <c r="G3">
        <f>_xlfn.XLOOKUP(F3,'0_Indice_CAC'!$A:$A,'0_Indice_CAC'!$B:$B)</f>
        <v>15356.4</v>
      </c>
      <c r="H3" s="213">
        <v>0.7</v>
      </c>
      <c r="I3" s="213">
        <v>0.3</v>
      </c>
      <c r="J3" s="213">
        <v>0.1</v>
      </c>
      <c r="K3" s="213">
        <v>0.21</v>
      </c>
      <c r="L3" t="s">
        <v>621</v>
      </c>
      <c r="M3" s="205">
        <v>45689</v>
      </c>
    </row>
    <row r="4" spans="1:13" x14ac:dyDescent="0.35">
      <c r="A4" t="s">
        <v>4929</v>
      </c>
      <c r="B4" t="s">
        <v>4934</v>
      </c>
      <c r="C4" t="s">
        <v>4935</v>
      </c>
      <c r="D4" s="206">
        <v>96300019</v>
      </c>
      <c r="E4" s="213">
        <v>0</v>
      </c>
      <c r="F4" s="214">
        <v>45627</v>
      </c>
      <c r="G4">
        <f>_xlfn.XLOOKUP(F4,'0_Indice_CAC'!$A:$A,'0_Indice_CAC'!$B:$B)</f>
        <v>15356.4</v>
      </c>
      <c r="H4" s="213">
        <v>0</v>
      </c>
      <c r="I4" s="213">
        <v>1</v>
      </c>
      <c r="J4" s="213">
        <v>0</v>
      </c>
      <c r="K4" s="213">
        <v>0</v>
      </c>
      <c r="L4" t="s">
        <v>4936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72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2" x14ac:dyDescent="0.35">
      <c r="A1" s="204" t="s">
        <v>4824</v>
      </c>
      <c r="B1" s="204" t="s">
        <v>4919</v>
      </c>
      <c r="C1" s="204" t="s">
        <v>4937</v>
      </c>
      <c r="D1" s="204" t="s">
        <v>4814</v>
      </c>
      <c r="E1" s="204" t="s">
        <v>4938</v>
      </c>
      <c r="F1" s="204" t="s">
        <v>4939</v>
      </c>
      <c r="G1" s="204" t="s">
        <v>4940</v>
      </c>
      <c r="H1" s="204" t="s">
        <v>4941</v>
      </c>
      <c r="I1" s="204" t="s">
        <v>4942</v>
      </c>
      <c r="J1" s="204" t="s">
        <v>4943</v>
      </c>
      <c r="K1" s="204" t="s">
        <v>570</v>
      </c>
      <c r="L1" s="204" t="s">
        <v>4944</v>
      </c>
    </row>
    <row r="2" spans="1:12" x14ac:dyDescent="0.35">
      <c r="A2" t="s">
        <v>4929</v>
      </c>
      <c r="B2" t="s">
        <v>4930</v>
      </c>
      <c r="C2" t="s">
        <v>4945</v>
      </c>
      <c r="D2" s="205">
        <v>45747</v>
      </c>
      <c r="E2">
        <v>1.02</v>
      </c>
      <c r="F2">
        <v>0</v>
      </c>
      <c r="G2">
        <v>0.33</v>
      </c>
      <c r="H2">
        <f t="shared" ref="H2:H65" si="0">F2+G2</f>
        <v>0.33</v>
      </c>
      <c r="I2" s="206">
        <f>SUMIFS('1_Presupuesto'!$V:$V,'1_Presupuesto'!$X:$X,K2,'1_Presupuesto'!$E:$E,E2)</f>
        <v>1154940.4693789855</v>
      </c>
      <c r="J2" s="206">
        <f t="shared" ref="J2:J65" si="1">G2*I2</f>
        <v>381130.35489506525</v>
      </c>
      <c r="K2" t="str">
        <f>_xlfn.XLOOKUP(B2,Cert_OC_Cliente!$B:$B,Cert_OC_Cliente!$L:$L)</f>
        <v>PTO 01</v>
      </c>
      <c r="L2" t="str">
        <f t="shared" ref="L2:L65" si="2">IF($E2="","",IF(AND(ISNUMBER($I2),$H2&lt;=1.0001),"✓","⚠"))</f>
        <v>✓</v>
      </c>
    </row>
    <row r="3" spans="1:12" x14ac:dyDescent="0.35">
      <c r="A3" t="s">
        <v>4929</v>
      </c>
      <c r="B3" t="s">
        <v>4930</v>
      </c>
      <c r="C3" t="s">
        <v>4945</v>
      </c>
      <c r="D3" s="205">
        <v>45747</v>
      </c>
      <c r="E3">
        <v>1.05</v>
      </c>
      <c r="F3">
        <v>0</v>
      </c>
      <c r="G3">
        <v>0.7</v>
      </c>
      <c r="H3">
        <f t="shared" si="0"/>
        <v>0.7</v>
      </c>
      <c r="I3" s="206">
        <f>SUMIFS('1_Presupuesto'!$V:$V,'1_Presupuesto'!$X:$X,K3,'1_Presupuesto'!$E:$E,E3)</f>
        <v>9812331.4493414909</v>
      </c>
      <c r="J3" s="206">
        <f t="shared" si="1"/>
        <v>6868632.0145390434</v>
      </c>
      <c r="K3" t="str">
        <f>_xlfn.XLOOKUP(B3,Cert_OC_Cliente!$B:$B,Cert_OC_Cliente!$L:$L)</f>
        <v>PTO 01</v>
      </c>
      <c r="L3" t="str">
        <f t="shared" si="2"/>
        <v>✓</v>
      </c>
    </row>
    <row r="4" spans="1:12" x14ac:dyDescent="0.35">
      <c r="A4" t="s">
        <v>4929</v>
      </c>
      <c r="B4" t="s">
        <v>4930</v>
      </c>
      <c r="C4" t="s">
        <v>4945</v>
      </c>
      <c r="D4" s="205">
        <v>45747</v>
      </c>
      <c r="E4">
        <v>1.06</v>
      </c>
      <c r="F4">
        <v>0</v>
      </c>
      <c r="G4">
        <v>0.25</v>
      </c>
      <c r="H4">
        <f t="shared" si="0"/>
        <v>0.25</v>
      </c>
      <c r="I4" s="206">
        <f>SUMIFS('1_Presupuesto'!$V:$V,'1_Presupuesto'!$X:$X,K4,'1_Presupuesto'!$E:$E,E4)</f>
        <v>1771384.2266153605</v>
      </c>
      <c r="J4" s="206">
        <f t="shared" si="1"/>
        <v>442846.05665384012</v>
      </c>
      <c r="K4" t="str">
        <f>_xlfn.XLOOKUP(B4,Cert_OC_Cliente!$B:$B,Cert_OC_Cliente!$L:$L)</f>
        <v>PTO 01</v>
      </c>
      <c r="L4" t="str">
        <f t="shared" si="2"/>
        <v>✓</v>
      </c>
    </row>
    <row r="5" spans="1:12" x14ac:dyDescent="0.35">
      <c r="A5" t="s">
        <v>4929</v>
      </c>
      <c r="B5" t="s">
        <v>4930</v>
      </c>
      <c r="C5" t="s">
        <v>4945</v>
      </c>
      <c r="D5" s="205">
        <v>45747</v>
      </c>
      <c r="E5">
        <v>1.07</v>
      </c>
      <c r="F5">
        <v>0</v>
      </c>
      <c r="G5">
        <v>0.5</v>
      </c>
      <c r="H5">
        <f t="shared" si="0"/>
        <v>0.5</v>
      </c>
      <c r="I5" s="206">
        <f>SUMIFS('1_Presupuesto'!$V:$V,'1_Presupuesto'!$X:$X,K5,'1_Presupuesto'!$E:$E,E5)</f>
        <v>2287981.9468976362</v>
      </c>
      <c r="J5" s="206">
        <f t="shared" si="1"/>
        <v>1143990.9734488181</v>
      </c>
      <c r="K5" t="str">
        <f>_xlfn.XLOOKUP(B5,Cert_OC_Cliente!$B:$B,Cert_OC_Cliente!$L:$L)</f>
        <v>PTO 01</v>
      </c>
      <c r="L5" t="str">
        <f t="shared" si="2"/>
        <v>✓</v>
      </c>
    </row>
    <row r="6" spans="1:12" x14ac:dyDescent="0.35">
      <c r="A6" t="s">
        <v>4929</v>
      </c>
      <c r="B6" t="s">
        <v>4930</v>
      </c>
      <c r="C6" t="s">
        <v>4945</v>
      </c>
      <c r="D6" s="205">
        <v>45747</v>
      </c>
      <c r="E6">
        <v>1.08</v>
      </c>
      <c r="F6">
        <v>0</v>
      </c>
      <c r="G6">
        <v>0.2</v>
      </c>
      <c r="H6">
        <f t="shared" si="0"/>
        <v>0.2</v>
      </c>
      <c r="I6" s="206">
        <f>SUMIFS('1_Presupuesto'!$V:$V,'1_Presupuesto'!$X:$X,K6,'1_Presupuesto'!$E:$E,E6)</f>
        <v>1808217.436234839</v>
      </c>
      <c r="J6" s="206">
        <f t="shared" si="1"/>
        <v>361643.48724696785</v>
      </c>
      <c r="K6" t="str">
        <f>_xlfn.XLOOKUP(B6,Cert_OC_Cliente!$B:$B,Cert_OC_Cliente!$L:$L)</f>
        <v>PTO 01</v>
      </c>
      <c r="L6" t="str">
        <f t="shared" si="2"/>
        <v>✓</v>
      </c>
    </row>
    <row r="7" spans="1:12" x14ac:dyDescent="0.35">
      <c r="A7" t="s">
        <v>4929</v>
      </c>
      <c r="B7" t="s">
        <v>4930</v>
      </c>
      <c r="C7" t="s">
        <v>4945</v>
      </c>
      <c r="D7" s="205">
        <v>45747</v>
      </c>
      <c r="E7">
        <v>1.0900000000000001</v>
      </c>
      <c r="F7">
        <v>0</v>
      </c>
      <c r="G7">
        <v>0.6</v>
      </c>
      <c r="H7">
        <f t="shared" si="0"/>
        <v>0.6</v>
      </c>
      <c r="I7" s="206">
        <f>SUMIFS('1_Presupuesto'!$V:$V,'1_Presupuesto'!$X:$X,K7,'1_Presupuesto'!$E:$E,E7)</f>
        <v>483368.3566706212</v>
      </c>
      <c r="J7" s="206">
        <f t="shared" si="1"/>
        <v>290021.01400237269</v>
      </c>
      <c r="K7" t="str">
        <f>_xlfn.XLOOKUP(B7,Cert_OC_Cliente!$B:$B,Cert_OC_Cliente!$L:$L)</f>
        <v>PTO 01</v>
      </c>
      <c r="L7" t="str">
        <f t="shared" si="2"/>
        <v>✓</v>
      </c>
    </row>
    <row r="8" spans="1:12" x14ac:dyDescent="0.35">
      <c r="A8" t="s">
        <v>4929</v>
      </c>
      <c r="B8" t="s">
        <v>4930</v>
      </c>
      <c r="C8" t="s">
        <v>4945</v>
      </c>
      <c r="D8" s="205">
        <v>45747</v>
      </c>
      <c r="E8">
        <v>2.0099999999999998</v>
      </c>
      <c r="F8">
        <v>0</v>
      </c>
      <c r="G8">
        <v>0.35</v>
      </c>
      <c r="H8">
        <f t="shared" si="0"/>
        <v>0.35</v>
      </c>
      <c r="I8" s="206">
        <f>SUMIFS('1_Presupuesto'!$V:$V,'1_Presupuesto'!$X:$X,K8,'1_Presupuesto'!$E:$E,E8)</f>
        <v>16262639.951929523</v>
      </c>
      <c r="J8" s="206">
        <f t="shared" si="1"/>
        <v>5691923.9831753327</v>
      </c>
      <c r="K8" t="str">
        <f>_xlfn.XLOOKUP(B8,Cert_OC_Cliente!$B:$B,Cert_OC_Cliente!$L:$L)</f>
        <v>PTO 01</v>
      </c>
      <c r="L8" t="str">
        <f t="shared" si="2"/>
        <v>✓</v>
      </c>
    </row>
    <row r="9" spans="1:12" x14ac:dyDescent="0.35">
      <c r="A9" t="s">
        <v>4929</v>
      </c>
      <c r="B9" t="s">
        <v>4930</v>
      </c>
      <c r="C9" t="s">
        <v>4945</v>
      </c>
      <c r="D9" s="205">
        <v>45747</v>
      </c>
      <c r="E9">
        <v>2.02</v>
      </c>
      <c r="F9">
        <v>0</v>
      </c>
      <c r="G9">
        <v>0.15</v>
      </c>
      <c r="H9">
        <f t="shared" si="0"/>
        <v>0.15</v>
      </c>
      <c r="I9" s="206">
        <f>SUMIFS('1_Presupuesto'!$V:$V,'1_Presupuesto'!$X:$X,K9,'1_Presupuesto'!$E:$E,E9)</f>
        <v>11624715.79945991</v>
      </c>
      <c r="J9" s="206">
        <f t="shared" si="1"/>
        <v>1743707.3699189865</v>
      </c>
      <c r="K9" t="str">
        <f>_xlfn.XLOOKUP(B9,Cert_OC_Cliente!$B:$B,Cert_OC_Cliente!$L:$L)</f>
        <v>PTO 01</v>
      </c>
      <c r="L9" t="str">
        <f t="shared" si="2"/>
        <v>✓</v>
      </c>
    </row>
    <row r="10" spans="1:12" x14ac:dyDescent="0.35">
      <c r="A10" t="s">
        <v>4929</v>
      </c>
      <c r="B10" t="s">
        <v>4930</v>
      </c>
      <c r="C10" t="s">
        <v>4945</v>
      </c>
      <c r="D10" s="205">
        <v>45747</v>
      </c>
      <c r="E10">
        <v>3.02</v>
      </c>
      <c r="F10">
        <v>0</v>
      </c>
      <c r="G10">
        <v>1</v>
      </c>
      <c r="H10">
        <f t="shared" si="0"/>
        <v>1</v>
      </c>
      <c r="I10" s="206">
        <f>SUMIFS('1_Presupuesto'!$V:$V,'1_Presupuesto'!$X:$X,K10,'1_Presupuesto'!$E:$E,E10)</f>
        <v>8292534.5121924495</v>
      </c>
      <c r="J10" s="206">
        <f t="shared" si="1"/>
        <v>8292534.5121924495</v>
      </c>
      <c r="K10" t="str">
        <f>_xlfn.XLOOKUP(B10,Cert_OC_Cliente!$B:$B,Cert_OC_Cliente!$L:$L)</f>
        <v>PTO 01</v>
      </c>
      <c r="L10" t="str">
        <f t="shared" si="2"/>
        <v>✓</v>
      </c>
    </row>
    <row r="11" spans="1:12" x14ac:dyDescent="0.35">
      <c r="A11" t="s">
        <v>4929</v>
      </c>
      <c r="B11" t="s">
        <v>4930</v>
      </c>
      <c r="C11" t="s">
        <v>4945</v>
      </c>
      <c r="D11" s="205">
        <v>45747</v>
      </c>
      <c r="E11">
        <v>3.03</v>
      </c>
      <c r="F11">
        <v>0</v>
      </c>
      <c r="G11">
        <v>0.35</v>
      </c>
      <c r="H11">
        <f t="shared" si="0"/>
        <v>0.35</v>
      </c>
      <c r="I11" s="206">
        <f>SUMIFS('1_Presupuesto'!$V:$V,'1_Presupuesto'!$X:$X,K11,'1_Presupuesto'!$E:$E,E11)</f>
        <v>12332139.653920824</v>
      </c>
      <c r="J11" s="206">
        <f t="shared" si="1"/>
        <v>4316248.8788722884</v>
      </c>
      <c r="K11" t="str">
        <f>_xlfn.XLOOKUP(B11,Cert_OC_Cliente!$B:$B,Cert_OC_Cliente!$L:$L)</f>
        <v>PTO 01</v>
      </c>
      <c r="L11" t="str">
        <f t="shared" si="2"/>
        <v>✓</v>
      </c>
    </row>
    <row r="12" spans="1:12" x14ac:dyDescent="0.35">
      <c r="A12" t="s">
        <v>4929</v>
      </c>
      <c r="B12" t="s">
        <v>4930</v>
      </c>
      <c r="C12" t="s">
        <v>4945</v>
      </c>
      <c r="D12" s="205">
        <v>45747</v>
      </c>
      <c r="E12">
        <v>3.04</v>
      </c>
      <c r="F12">
        <v>0</v>
      </c>
      <c r="G12">
        <v>0.35</v>
      </c>
      <c r="H12">
        <f t="shared" si="0"/>
        <v>0.35</v>
      </c>
      <c r="I12" s="206">
        <f>SUMIFS('1_Presupuesto'!$V:$V,'1_Presupuesto'!$X:$X,K12,'1_Presupuesto'!$E:$E,E12)</f>
        <v>6721405.5440614363</v>
      </c>
      <c r="J12" s="206">
        <f t="shared" si="1"/>
        <v>2352491.9404215026</v>
      </c>
      <c r="K12" t="str">
        <f>_xlfn.XLOOKUP(B12,Cert_OC_Cliente!$B:$B,Cert_OC_Cliente!$L:$L)</f>
        <v>PTO 01</v>
      </c>
      <c r="L12" t="str">
        <f t="shared" si="2"/>
        <v>✓</v>
      </c>
    </row>
    <row r="13" spans="1:12" x14ac:dyDescent="0.35">
      <c r="A13" t="s">
        <v>4929</v>
      </c>
      <c r="B13" t="s">
        <v>4930</v>
      </c>
      <c r="C13" t="s">
        <v>4945</v>
      </c>
      <c r="D13" s="205">
        <v>45747</v>
      </c>
      <c r="E13">
        <v>3.22</v>
      </c>
      <c r="F13">
        <v>0</v>
      </c>
      <c r="G13">
        <v>0.3</v>
      </c>
      <c r="H13">
        <f t="shared" si="0"/>
        <v>0.3</v>
      </c>
      <c r="I13" s="206">
        <f>SUMIFS('1_Presupuesto'!$V:$V,'1_Presupuesto'!$X:$X,K13,'1_Presupuesto'!$E:$E,E13)</f>
        <v>2625266.0511022829</v>
      </c>
      <c r="J13" s="206">
        <f t="shared" si="1"/>
        <v>787579.81533068488</v>
      </c>
      <c r="K13" t="str">
        <f>_xlfn.XLOOKUP(B13,Cert_OC_Cliente!$B:$B,Cert_OC_Cliente!$L:$L)</f>
        <v>PTO 01</v>
      </c>
      <c r="L13" t="str">
        <f t="shared" si="2"/>
        <v>✓</v>
      </c>
    </row>
    <row r="14" spans="1:12" x14ac:dyDescent="0.35">
      <c r="A14" t="s">
        <v>4929</v>
      </c>
      <c r="B14" t="s">
        <v>4930</v>
      </c>
      <c r="C14" t="s">
        <v>4946</v>
      </c>
      <c r="D14" s="205">
        <v>45777</v>
      </c>
      <c r="E14">
        <v>1.06</v>
      </c>
      <c r="F14">
        <v>0.25</v>
      </c>
      <c r="G14">
        <v>0.2</v>
      </c>
      <c r="H14">
        <f t="shared" si="0"/>
        <v>0.45</v>
      </c>
      <c r="I14" s="206">
        <f>SUMIFS('1_Presupuesto'!$V:$V,'1_Presupuesto'!$X:$X,K14,'1_Presupuesto'!$E:$E,E14)</f>
        <v>1771384.2266153605</v>
      </c>
      <c r="J14" s="206">
        <f t="shared" si="1"/>
        <v>354276.84532307211</v>
      </c>
      <c r="K14" t="str">
        <f>_xlfn.XLOOKUP(B14,Cert_OC_Cliente!$B:$B,Cert_OC_Cliente!$L:$L)</f>
        <v>PTO 01</v>
      </c>
      <c r="L14" t="str">
        <f t="shared" si="2"/>
        <v>✓</v>
      </c>
    </row>
    <row r="15" spans="1:12" x14ac:dyDescent="0.35">
      <c r="A15" t="s">
        <v>4929</v>
      </c>
      <c r="B15" t="s">
        <v>4930</v>
      </c>
      <c r="C15" t="s">
        <v>4946</v>
      </c>
      <c r="D15" s="205">
        <v>45777</v>
      </c>
      <c r="E15">
        <v>2.0099999999999998</v>
      </c>
      <c r="F15">
        <v>0.35</v>
      </c>
      <c r="G15">
        <v>0.15</v>
      </c>
      <c r="H15">
        <f t="shared" si="0"/>
        <v>0.5</v>
      </c>
      <c r="I15" s="206">
        <f>SUMIFS('1_Presupuesto'!$V:$V,'1_Presupuesto'!$X:$X,K15,'1_Presupuesto'!$E:$E,E15)</f>
        <v>16262639.951929523</v>
      </c>
      <c r="J15" s="206">
        <f t="shared" si="1"/>
        <v>2439395.9927894282</v>
      </c>
      <c r="K15" t="str">
        <f>_xlfn.XLOOKUP(B15,Cert_OC_Cliente!$B:$B,Cert_OC_Cliente!$L:$L)</f>
        <v>PTO 01</v>
      </c>
      <c r="L15" t="str">
        <f t="shared" si="2"/>
        <v>✓</v>
      </c>
    </row>
    <row r="16" spans="1:12" x14ac:dyDescent="0.35">
      <c r="A16" t="s">
        <v>4929</v>
      </c>
      <c r="B16" t="s">
        <v>4930</v>
      </c>
      <c r="C16" t="s">
        <v>4946</v>
      </c>
      <c r="D16" s="205">
        <v>45777</v>
      </c>
      <c r="E16">
        <v>2.02</v>
      </c>
      <c r="F16">
        <v>0.15</v>
      </c>
      <c r="G16">
        <v>0.25</v>
      </c>
      <c r="H16">
        <f t="shared" si="0"/>
        <v>0.4</v>
      </c>
      <c r="I16" s="206">
        <f>SUMIFS('1_Presupuesto'!$V:$V,'1_Presupuesto'!$X:$X,K16,'1_Presupuesto'!$E:$E,E16)</f>
        <v>11624715.79945991</v>
      </c>
      <c r="J16" s="206">
        <f t="shared" si="1"/>
        <v>2906178.9498649775</v>
      </c>
      <c r="K16" t="str">
        <f>_xlfn.XLOOKUP(B16,Cert_OC_Cliente!$B:$B,Cert_OC_Cliente!$L:$L)</f>
        <v>PTO 01</v>
      </c>
      <c r="L16" t="str">
        <f t="shared" si="2"/>
        <v>✓</v>
      </c>
    </row>
    <row r="17" spans="1:12" x14ac:dyDescent="0.35">
      <c r="A17" t="s">
        <v>4929</v>
      </c>
      <c r="B17" t="s">
        <v>4930</v>
      </c>
      <c r="C17" t="s">
        <v>4946</v>
      </c>
      <c r="D17" s="205">
        <v>45777</v>
      </c>
      <c r="E17">
        <v>3.01</v>
      </c>
      <c r="F17">
        <v>0</v>
      </c>
      <c r="G17">
        <v>0.33</v>
      </c>
      <c r="H17">
        <f t="shared" si="0"/>
        <v>0.33</v>
      </c>
      <c r="I17" s="206">
        <f>SUMIFS('1_Presupuesto'!$V:$V,'1_Presupuesto'!$X:$X,K17,'1_Presupuesto'!$E:$E,E17)</f>
        <v>3810805.8201519069</v>
      </c>
      <c r="J17" s="206">
        <f t="shared" si="1"/>
        <v>1257565.9206501294</v>
      </c>
      <c r="K17" t="str">
        <f>_xlfn.XLOOKUP(B17,Cert_OC_Cliente!$B:$B,Cert_OC_Cliente!$L:$L)</f>
        <v>PTO 01</v>
      </c>
      <c r="L17" t="str">
        <f t="shared" si="2"/>
        <v>✓</v>
      </c>
    </row>
    <row r="18" spans="1:12" x14ac:dyDescent="0.35">
      <c r="A18" t="s">
        <v>4929</v>
      </c>
      <c r="B18" t="s">
        <v>4930</v>
      </c>
      <c r="C18" t="s">
        <v>4946</v>
      </c>
      <c r="D18" s="205">
        <v>45777</v>
      </c>
      <c r="E18">
        <v>3.03</v>
      </c>
      <c r="F18">
        <v>0.35</v>
      </c>
      <c r="G18">
        <v>0.15</v>
      </c>
      <c r="H18">
        <f t="shared" si="0"/>
        <v>0.5</v>
      </c>
      <c r="I18" s="206">
        <f>SUMIFS('1_Presupuesto'!$V:$V,'1_Presupuesto'!$X:$X,K18,'1_Presupuesto'!$E:$E,E18)</f>
        <v>12332139.653920824</v>
      </c>
      <c r="J18" s="206">
        <f t="shared" si="1"/>
        <v>1849820.9480881235</v>
      </c>
      <c r="K18" t="str">
        <f>_xlfn.XLOOKUP(B18,Cert_OC_Cliente!$B:$B,Cert_OC_Cliente!$L:$L)</f>
        <v>PTO 01</v>
      </c>
      <c r="L18" t="str">
        <f t="shared" si="2"/>
        <v>✓</v>
      </c>
    </row>
    <row r="19" spans="1:12" x14ac:dyDescent="0.35">
      <c r="A19" t="s">
        <v>4929</v>
      </c>
      <c r="B19" t="s">
        <v>4930</v>
      </c>
      <c r="C19" t="s">
        <v>4946</v>
      </c>
      <c r="D19" s="205">
        <v>45777</v>
      </c>
      <c r="E19">
        <v>3.04</v>
      </c>
      <c r="F19">
        <v>0.35</v>
      </c>
      <c r="G19">
        <v>0.15</v>
      </c>
      <c r="H19">
        <f t="shared" si="0"/>
        <v>0.5</v>
      </c>
      <c r="I19" s="206">
        <f>SUMIFS('1_Presupuesto'!$V:$V,'1_Presupuesto'!$X:$X,K19,'1_Presupuesto'!$E:$E,E19)</f>
        <v>6721405.5440614363</v>
      </c>
      <c r="J19" s="206">
        <f t="shared" si="1"/>
        <v>1008210.8316092154</v>
      </c>
      <c r="K19" t="str">
        <f>_xlfn.XLOOKUP(B19,Cert_OC_Cliente!$B:$B,Cert_OC_Cliente!$L:$L)</f>
        <v>PTO 01</v>
      </c>
      <c r="L19" t="str">
        <f t="shared" si="2"/>
        <v>✓</v>
      </c>
    </row>
    <row r="20" spans="1:12" x14ac:dyDescent="0.35">
      <c r="A20" t="s">
        <v>4929</v>
      </c>
      <c r="B20" t="s">
        <v>4930</v>
      </c>
      <c r="C20" t="s">
        <v>4946</v>
      </c>
      <c r="D20" s="205">
        <v>45777</v>
      </c>
      <c r="E20">
        <v>3.06</v>
      </c>
      <c r="F20">
        <v>0</v>
      </c>
      <c r="G20">
        <v>0.33</v>
      </c>
      <c r="H20">
        <f t="shared" si="0"/>
        <v>0.33</v>
      </c>
      <c r="I20" s="206">
        <f>SUMIFS('1_Presupuesto'!$V:$V,'1_Presupuesto'!$X:$X,K20,'1_Presupuesto'!$E:$E,E20)</f>
        <v>32381182.778121762</v>
      </c>
      <c r="J20" s="206">
        <f t="shared" si="1"/>
        <v>10685790.316780182</v>
      </c>
      <c r="K20" t="str">
        <f>_xlfn.XLOOKUP(B20,Cert_OC_Cliente!$B:$B,Cert_OC_Cliente!$L:$L)</f>
        <v>PTO 01</v>
      </c>
      <c r="L20" t="str">
        <f t="shared" si="2"/>
        <v>✓</v>
      </c>
    </row>
    <row r="21" spans="1:12" x14ac:dyDescent="0.35">
      <c r="A21" t="s">
        <v>4929</v>
      </c>
      <c r="B21" t="s">
        <v>4930</v>
      </c>
      <c r="C21" t="s">
        <v>4946</v>
      </c>
      <c r="D21" s="205">
        <v>45777</v>
      </c>
      <c r="E21">
        <v>3.07</v>
      </c>
      <c r="F21">
        <v>0</v>
      </c>
      <c r="G21">
        <v>0.3</v>
      </c>
      <c r="H21">
        <f t="shared" si="0"/>
        <v>0.3</v>
      </c>
      <c r="I21" s="206">
        <f>SUMIFS('1_Presupuesto'!$V:$V,'1_Presupuesto'!$X:$X,K21,'1_Presupuesto'!$E:$E,E21)</f>
        <v>20628559.988099311</v>
      </c>
      <c r="J21" s="206">
        <f t="shared" si="1"/>
        <v>6188567.9964297926</v>
      </c>
      <c r="K21" t="str">
        <f>_xlfn.XLOOKUP(B21,Cert_OC_Cliente!$B:$B,Cert_OC_Cliente!$L:$L)</f>
        <v>PTO 01</v>
      </c>
      <c r="L21" t="str">
        <f t="shared" si="2"/>
        <v>✓</v>
      </c>
    </row>
    <row r="22" spans="1:12" x14ac:dyDescent="0.35">
      <c r="A22" t="s">
        <v>4929</v>
      </c>
      <c r="B22" t="s">
        <v>4930</v>
      </c>
      <c r="C22" t="s">
        <v>4946</v>
      </c>
      <c r="D22" s="205">
        <v>45777</v>
      </c>
      <c r="E22">
        <v>3.2</v>
      </c>
      <c r="F22">
        <v>0</v>
      </c>
      <c r="G22">
        <v>0.15</v>
      </c>
      <c r="H22">
        <f t="shared" si="0"/>
        <v>0.15</v>
      </c>
      <c r="I22" s="206">
        <f>SUMIFS('1_Presupuesto'!$V:$V,'1_Presupuesto'!$X:$X,K22,'1_Presupuesto'!$E:$E,E22)</f>
        <v>4572161.3297441388</v>
      </c>
      <c r="J22" s="206">
        <f t="shared" si="1"/>
        <v>685824.19946162077</v>
      </c>
      <c r="K22" t="str">
        <f>_xlfn.XLOOKUP(B22,Cert_OC_Cliente!$B:$B,Cert_OC_Cliente!$L:$L)</f>
        <v>PTO 01</v>
      </c>
      <c r="L22" t="str">
        <f t="shared" si="2"/>
        <v>✓</v>
      </c>
    </row>
    <row r="23" spans="1:12" x14ac:dyDescent="0.35">
      <c r="A23" t="s">
        <v>4929</v>
      </c>
      <c r="B23" t="s">
        <v>4930</v>
      </c>
      <c r="C23" t="s">
        <v>4946</v>
      </c>
      <c r="D23" s="205">
        <v>45777</v>
      </c>
      <c r="E23">
        <v>3.21</v>
      </c>
      <c r="F23">
        <v>0</v>
      </c>
      <c r="G23">
        <v>0.33</v>
      </c>
      <c r="H23">
        <f t="shared" si="0"/>
        <v>0.33</v>
      </c>
      <c r="I23" s="206">
        <f>SUMIFS('1_Presupuesto'!$V:$V,'1_Presupuesto'!$X:$X,K23,'1_Presupuesto'!$E:$E,E23)</f>
        <v>204865.53838696622</v>
      </c>
      <c r="J23" s="206">
        <f t="shared" si="1"/>
        <v>67605.627667698849</v>
      </c>
      <c r="K23" t="str">
        <f>_xlfn.XLOOKUP(B23,Cert_OC_Cliente!$B:$B,Cert_OC_Cliente!$L:$L)</f>
        <v>PTO 01</v>
      </c>
      <c r="L23" t="str">
        <f t="shared" si="2"/>
        <v>✓</v>
      </c>
    </row>
    <row r="24" spans="1:12" x14ac:dyDescent="0.35">
      <c r="A24" t="s">
        <v>4929</v>
      </c>
      <c r="B24" t="s">
        <v>4930</v>
      </c>
      <c r="C24" t="s">
        <v>4947</v>
      </c>
      <c r="D24" s="205">
        <v>45808</v>
      </c>
      <c r="E24">
        <v>1.06</v>
      </c>
      <c r="F24">
        <v>0.45</v>
      </c>
      <c r="G24">
        <v>0.24999999999999989</v>
      </c>
      <c r="H24">
        <f t="shared" si="0"/>
        <v>0.7</v>
      </c>
      <c r="I24" s="206">
        <f>SUMIFS('1_Presupuesto'!$V:$V,'1_Presupuesto'!$X:$X,K24,'1_Presupuesto'!$E:$E,E24)</f>
        <v>1771384.2266153605</v>
      </c>
      <c r="J24" s="206">
        <f t="shared" si="1"/>
        <v>442846.05665383994</v>
      </c>
      <c r="K24" t="str">
        <f>_xlfn.XLOOKUP(B24,Cert_OC_Cliente!$B:$B,Cert_OC_Cliente!$L:$L)</f>
        <v>PTO 01</v>
      </c>
      <c r="L24" t="str">
        <f t="shared" si="2"/>
        <v>✓</v>
      </c>
    </row>
    <row r="25" spans="1:12" x14ac:dyDescent="0.35">
      <c r="A25" t="s">
        <v>4929</v>
      </c>
      <c r="B25" t="s">
        <v>4930</v>
      </c>
      <c r="C25" t="s">
        <v>4947</v>
      </c>
      <c r="D25" s="205">
        <v>45808</v>
      </c>
      <c r="E25">
        <v>2.0099999999999998</v>
      </c>
      <c r="F25">
        <v>0.5</v>
      </c>
      <c r="G25">
        <v>0.3</v>
      </c>
      <c r="H25">
        <f t="shared" si="0"/>
        <v>0.8</v>
      </c>
      <c r="I25" s="206">
        <f>SUMIFS('1_Presupuesto'!$V:$V,'1_Presupuesto'!$X:$X,K25,'1_Presupuesto'!$E:$E,E25)</f>
        <v>16262639.951929523</v>
      </c>
      <c r="J25" s="206">
        <f t="shared" si="1"/>
        <v>4878791.9855788564</v>
      </c>
      <c r="K25" t="str">
        <f>_xlfn.XLOOKUP(B25,Cert_OC_Cliente!$B:$B,Cert_OC_Cliente!$L:$L)</f>
        <v>PTO 01</v>
      </c>
      <c r="L25" t="str">
        <f t="shared" si="2"/>
        <v>✓</v>
      </c>
    </row>
    <row r="26" spans="1:12" x14ac:dyDescent="0.35">
      <c r="A26" t="s">
        <v>4929</v>
      </c>
      <c r="B26" t="s">
        <v>4930</v>
      </c>
      <c r="C26" t="s">
        <v>4947</v>
      </c>
      <c r="D26" s="205">
        <v>45808</v>
      </c>
      <c r="E26">
        <v>2.02</v>
      </c>
      <c r="F26">
        <v>0.4</v>
      </c>
      <c r="G26">
        <v>0.25</v>
      </c>
      <c r="H26">
        <f t="shared" si="0"/>
        <v>0.65</v>
      </c>
      <c r="I26" s="206">
        <f>SUMIFS('1_Presupuesto'!$V:$V,'1_Presupuesto'!$X:$X,K26,'1_Presupuesto'!$E:$E,E26)</f>
        <v>11624715.79945991</v>
      </c>
      <c r="J26" s="206">
        <f t="shared" si="1"/>
        <v>2906178.9498649775</v>
      </c>
      <c r="K26" t="str">
        <f>_xlfn.XLOOKUP(B26,Cert_OC_Cliente!$B:$B,Cert_OC_Cliente!$L:$L)</f>
        <v>PTO 01</v>
      </c>
      <c r="L26" t="str">
        <f t="shared" si="2"/>
        <v>✓</v>
      </c>
    </row>
    <row r="27" spans="1:12" x14ac:dyDescent="0.35">
      <c r="A27" t="s">
        <v>4929</v>
      </c>
      <c r="B27" t="s">
        <v>4930</v>
      </c>
      <c r="C27" t="s">
        <v>4947</v>
      </c>
      <c r="D27" s="205">
        <v>45808</v>
      </c>
      <c r="E27">
        <v>2.0299999999999998</v>
      </c>
      <c r="F27">
        <v>0</v>
      </c>
      <c r="G27">
        <v>0.3</v>
      </c>
      <c r="H27">
        <f t="shared" si="0"/>
        <v>0.3</v>
      </c>
      <c r="I27" s="206">
        <f>SUMIFS('1_Presupuesto'!$V:$V,'1_Presupuesto'!$X:$X,K27,'1_Presupuesto'!$E:$E,E27)</f>
        <v>1762468.5077011515</v>
      </c>
      <c r="J27" s="206">
        <f t="shared" si="1"/>
        <v>528740.55231034546</v>
      </c>
      <c r="K27" t="str">
        <f>_xlfn.XLOOKUP(B27,Cert_OC_Cliente!$B:$B,Cert_OC_Cliente!$L:$L)</f>
        <v>PTO 01</v>
      </c>
      <c r="L27" t="str">
        <f t="shared" si="2"/>
        <v>✓</v>
      </c>
    </row>
    <row r="28" spans="1:12" x14ac:dyDescent="0.35">
      <c r="A28" t="s">
        <v>4929</v>
      </c>
      <c r="B28" t="s">
        <v>4930</v>
      </c>
      <c r="C28" t="s">
        <v>4947</v>
      </c>
      <c r="D28" s="205">
        <v>45808</v>
      </c>
      <c r="E28">
        <v>3.01</v>
      </c>
      <c r="F28">
        <v>0.33</v>
      </c>
      <c r="G28">
        <v>0.5</v>
      </c>
      <c r="H28">
        <f t="shared" si="0"/>
        <v>0.83000000000000007</v>
      </c>
      <c r="I28" s="206">
        <f>SUMIFS('1_Presupuesto'!$V:$V,'1_Presupuesto'!$X:$X,K28,'1_Presupuesto'!$E:$E,E28)</f>
        <v>3810805.8201519069</v>
      </c>
      <c r="J28" s="206">
        <f t="shared" si="1"/>
        <v>1905402.9100759535</v>
      </c>
      <c r="K28" t="str">
        <f>_xlfn.XLOOKUP(B28,Cert_OC_Cliente!$B:$B,Cert_OC_Cliente!$L:$L)</f>
        <v>PTO 01</v>
      </c>
      <c r="L28" t="str">
        <f t="shared" si="2"/>
        <v>✓</v>
      </c>
    </row>
    <row r="29" spans="1:12" x14ac:dyDescent="0.35">
      <c r="A29" t="s">
        <v>4929</v>
      </c>
      <c r="B29" t="s">
        <v>4930</v>
      </c>
      <c r="C29" t="s">
        <v>4947</v>
      </c>
      <c r="D29" s="205">
        <v>45808</v>
      </c>
      <c r="E29">
        <v>3.03</v>
      </c>
      <c r="F29">
        <v>0.5</v>
      </c>
      <c r="G29">
        <v>0.4</v>
      </c>
      <c r="H29">
        <f t="shared" si="0"/>
        <v>0.9</v>
      </c>
      <c r="I29" s="206">
        <f>SUMIFS('1_Presupuesto'!$V:$V,'1_Presupuesto'!$X:$X,K29,'1_Presupuesto'!$E:$E,E29)</f>
        <v>12332139.653920824</v>
      </c>
      <c r="J29" s="206">
        <f t="shared" si="1"/>
        <v>4932855.8615683299</v>
      </c>
      <c r="K29" t="str">
        <f>_xlfn.XLOOKUP(B29,Cert_OC_Cliente!$B:$B,Cert_OC_Cliente!$L:$L)</f>
        <v>PTO 01</v>
      </c>
      <c r="L29" t="str">
        <f t="shared" si="2"/>
        <v>✓</v>
      </c>
    </row>
    <row r="30" spans="1:12" x14ac:dyDescent="0.35">
      <c r="A30" t="s">
        <v>4929</v>
      </c>
      <c r="B30" t="s">
        <v>4930</v>
      </c>
      <c r="C30" t="s">
        <v>4947</v>
      </c>
      <c r="D30" s="205">
        <v>45808</v>
      </c>
      <c r="E30">
        <v>3.04</v>
      </c>
      <c r="F30">
        <v>0.5</v>
      </c>
      <c r="G30">
        <v>0.4</v>
      </c>
      <c r="H30">
        <f t="shared" si="0"/>
        <v>0.9</v>
      </c>
      <c r="I30" s="206">
        <f>SUMIFS('1_Presupuesto'!$V:$V,'1_Presupuesto'!$X:$X,K30,'1_Presupuesto'!$E:$E,E30)</f>
        <v>6721405.5440614363</v>
      </c>
      <c r="J30" s="206">
        <f t="shared" si="1"/>
        <v>2688562.2176245749</v>
      </c>
      <c r="K30" t="str">
        <f>_xlfn.XLOOKUP(B30,Cert_OC_Cliente!$B:$B,Cert_OC_Cliente!$L:$L)</f>
        <v>PTO 01</v>
      </c>
      <c r="L30" t="str">
        <f t="shared" si="2"/>
        <v>✓</v>
      </c>
    </row>
    <row r="31" spans="1:12" x14ac:dyDescent="0.35">
      <c r="A31" t="s">
        <v>4929</v>
      </c>
      <c r="B31" t="s">
        <v>4930</v>
      </c>
      <c r="C31" t="s">
        <v>4947</v>
      </c>
      <c r="D31" s="205">
        <v>45808</v>
      </c>
      <c r="E31">
        <v>3.05</v>
      </c>
      <c r="F31">
        <v>0</v>
      </c>
      <c r="G31">
        <v>1</v>
      </c>
      <c r="H31">
        <f t="shared" si="0"/>
        <v>1</v>
      </c>
      <c r="I31" s="206">
        <f>SUMIFS('1_Presupuesto'!$V:$V,'1_Presupuesto'!$X:$X,K31,'1_Presupuesto'!$E:$E,E31)</f>
        <v>27142376.93688079</v>
      </c>
      <c r="J31" s="206">
        <f t="shared" si="1"/>
        <v>27142376.93688079</v>
      </c>
      <c r="K31" t="str">
        <f>_xlfn.XLOOKUP(B31,Cert_OC_Cliente!$B:$B,Cert_OC_Cliente!$L:$L)</f>
        <v>PTO 01</v>
      </c>
      <c r="L31" t="str">
        <f t="shared" si="2"/>
        <v>✓</v>
      </c>
    </row>
    <row r="32" spans="1:12" x14ac:dyDescent="0.35">
      <c r="A32" t="s">
        <v>4929</v>
      </c>
      <c r="B32" t="s">
        <v>4930</v>
      </c>
      <c r="C32" t="s">
        <v>4947</v>
      </c>
      <c r="D32" s="205">
        <v>45808</v>
      </c>
      <c r="E32">
        <v>3.06</v>
      </c>
      <c r="F32">
        <v>0.33</v>
      </c>
      <c r="G32">
        <v>0.33</v>
      </c>
      <c r="H32">
        <f t="shared" si="0"/>
        <v>0.66</v>
      </c>
      <c r="I32" s="206">
        <f>SUMIFS('1_Presupuesto'!$V:$V,'1_Presupuesto'!$X:$X,K32,'1_Presupuesto'!$E:$E,E32)</f>
        <v>32381182.778121762</v>
      </c>
      <c r="J32" s="206">
        <f t="shared" si="1"/>
        <v>10685790.316780182</v>
      </c>
      <c r="K32" t="str">
        <f>_xlfn.XLOOKUP(B32,Cert_OC_Cliente!$B:$B,Cert_OC_Cliente!$L:$L)</f>
        <v>PTO 01</v>
      </c>
      <c r="L32" t="str">
        <f t="shared" si="2"/>
        <v>✓</v>
      </c>
    </row>
    <row r="33" spans="1:12" x14ac:dyDescent="0.35">
      <c r="A33" t="s">
        <v>4929</v>
      </c>
      <c r="B33" t="s">
        <v>4930</v>
      </c>
      <c r="C33" t="s">
        <v>4947</v>
      </c>
      <c r="D33" s="205">
        <v>45808</v>
      </c>
      <c r="E33">
        <v>3.07</v>
      </c>
      <c r="F33">
        <v>0.3</v>
      </c>
      <c r="G33">
        <v>0.3</v>
      </c>
      <c r="H33">
        <f t="shared" si="0"/>
        <v>0.6</v>
      </c>
      <c r="I33" s="206">
        <f>SUMIFS('1_Presupuesto'!$V:$V,'1_Presupuesto'!$X:$X,K33,'1_Presupuesto'!$E:$E,E33)</f>
        <v>20628559.988099311</v>
      </c>
      <c r="J33" s="206">
        <f t="shared" si="1"/>
        <v>6188567.9964297926</v>
      </c>
      <c r="K33" t="str">
        <f>_xlfn.XLOOKUP(B33,Cert_OC_Cliente!$B:$B,Cert_OC_Cliente!$L:$L)</f>
        <v>PTO 01</v>
      </c>
      <c r="L33" t="str">
        <f t="shared" si="2"/>
        <v>✓</v>
      </c>
    </row>
    <row r="34" spans="1:12" x14ac:dyDescent="0.35">
      <c r="A34" t="s">
        <v>4929</v>
      </c>
      <c r="B34" t="s">
        <v>4930</v>
      </c>
      <c r="C34" t="s">
        <v>4947</v>
      </c>
      <c r="D34" s="205">
        <v>45808</v>
      </c>
      <c r="E34">
        <v>3.08</v>
      </c>
      <c r="F34">
        <v>0</v>
      </c>
      <c r="G34">
        <v>0.3</v>
      </c>
      <c r="H34">
        <f t="shared" si="0"/>
        <v>0.3</v>
      </c>
      <c r="I34" s="206">
        <f>SUMIFS('1_Presupuesto'!$V:$V,'1_Presupuesto'!$X:$X,K34,'1_Presupuesto'!$E:$E,E34)</f>
        <v>7673580.6413511699</v>
      </c>
      <c r="J34" s="206">
        <f t="shared" si="1"/>
        <v>2302074.192405351</v>
      </c>
      <c r="K34" t="str">
        <f>_xlfn.XLOOKUP(B34,Cert_OC_Cliente!$B:$B,Cert_OC_Cliente!$L:$L)</f>
        <v>PTO 01</v>
      </c>
      <c r="L34" t="str">
        <f t="shared" si="2"/>
        <v>✓</v>
      </c>
    </row>
    <row r="35" spans="1:12" x14ac:dyDescent="0.35">
      <c r="A35" t="s">
        <v>4929</v>
      </c>
      <c r="B35" t="s">
        <v>4930</v>
      </c>
      <c r="C35" t="s">
        <v>4947</v>
      </c>
      <c r="D35" s="205">
        <v>45808</v>
      </c>
      <c r="E35">
        <v>3.2</v>
      </c>
      <c r="F35">
        <v>0.15</v>
      </c>
      <c r="G35">
        <v>5.0000000000000017E-2</v>
      </c>
      <c r="H35">
        <f t="shared" si="0"/>
        <v>0.2</v>
      </c>
      <c r="I35" s="206">
        <f>SUMIFS('1_Presupuesto'!$V:$V,'1_Presupuesto'!$X:$X,K35,'1_Presupuesto'!$E:$E,E35)</f>
        <v>4572161.3297441388</v>
      </c>
      <c r="J35" s="206">
        <f t="shared" si="1"/>
        <v>228608.06648720702</v>
      </c>
      <c r="K35" t="str">
        <f>_xlfn.XLOOKUP(B35,Cert_OC_Cliente!$B:$B,Cert_OC_Cliente!$L:$L)</f>
        <v>PTO 01</v>
      </c>
      <c r="L35" t="str">
        <f t="shared" si="2"/>
        <v>✓</v>
      </c>
    </row>
    <row r="36" spans="1:12" x14ac:dyDescent="0.35">
      <c r="A36" t="s">
        <v>4929</v>
      </c>
      <c r="B36" t="s">
        <v>4930</v>
      </c>
      <c r="C36" t="s">
        <v>4948</v>
      </c>
      <c r="D36" s="205">
        <v>45838</v>
      </c>
      <c r="E36">
        <v>1.06</v>
      </c>
      <c r="F36">
        <v>0.7</v>
      </c>
      <c r="G36">
        <v>0.2</v>
      </c>
      <c r="H36">
        <f t="shared" si="0"/>
        <v>0.89999999999999991</v>
      </c>
      <c r="I36" s="206">
        <f>SUMIFS('1_Presupuesto'!$V:$V,'1_Presupuesto'!$X:$X,K36,'1_Presupuesto'!$E:$E,E36)</f>
        <v>1771384.2266153605</v>
      </c>
      <c r="J36" s="206">
        <f t="shared" si="1"/>
        <v>354276.84532307211</v>
      </c>
      <c r="K36" t="str">
        <f>_xlfn.XLOOKUP(B36,Cert_OC_Cliente!$B:$B,Cert_OC_Cliente!$L:$L)</f>
        <v>PTO 01</v>
      </c>
      <c r="L36" t="str">
        <f t="shared" si="2"/>
        <v>✓</v>
      </c>
    </row>
    <row r="37" spans="1:12" x14ac:dyDescent="0.35">
      <c r="A37" t="s">
        <v>4929</v>
      </c>
      <c r="B37" t="s">
        <v>4930</v>
      </c>
      <c r="C37" t="s">
        <v>4948</v>
      </c>
      <c r="D37" s="205">
        <v>45838</v>
      </c>
      <c r="E37">
        <v>2.0099999999999998</v>
      </c>
      <c r="F37">
        <v>0.8</v>
      </c>
      <c r="G37">
        <v>0.2</v>
      </c>
      <c r="H37">
        <f t="shared" si="0"/>
        <v>1</v>
      </c>
      <c r="I37" s="206">
        <f>SUMIFS('1_Presupuesto'!$V:$V,'1_Presupuesto'!$X:$X,K37,'1_Presupuesto'!$E:$E,E37)</f>
        <v>16262639.951929523</v>
      </c>
      <c r="J37" s="206">
        <f t="shared" si="1"/>
        <v>3252527.9903859049</v>
      </c>
      <c r="K37" t="str">
        <f>_xlfn.XLOOKUP(B37,Cert_OC_Cliente!$B:$B,Cert_OC_Cliente!$L:$L)</f>
        <v>PTO 01</v>
      </c>
      <c r="L37" t="str">
        <f t="shared" si="2"/>
        <v>✓</v>
      </c>
    </row>
    <row r="38" spans="1:12" x14ac:dyDescent="0.35">
      <c r="A38" t="s">
        <v>4929</v>
      </c>
      <c r="B38" t="s">
        <v>4930</v>
      </c>
      <c r="C38" t="s">
        <v>4948</v>
      </c>
      <c r="D38" s="205">
        <v>45838</v>
      </c>
      <c r="E38">
        <v>2.02</v>
      </c>
      <c r="F38">
        <v>0.65</v>
      </c>
      <c r="G38">
        <v>0.35</v>
      </c>
      <c r="H38">
        <f t="shared" si="0"/>
        <v>1</v>
      </c>
      <c r="I38" s="206">
        <f>SUMIFS('1_Presupuesto'!$V:$V,'1_Presupuesto'!$X:$X,K38,'1_Presupuesto'!$E:$E,E38)</f>
        <v>11624715.79945991</v>
      </c>
      <c r="J38" s="206">
        <f t="shared" si="1"/>
        <v>4068650.5298109683</v>
      </c>
      <c r="K38" t="str">
        <f>_xlfn.XLOOKUP(B38,Cert_OC_Cliente!$B:$B,Cert_OC_Cliente!$L:$L)</f>
        <v>PTO 01</v>
      </c>
      <c r="L38" t="str">
        <f t="shared" si="2"/>
        <v>✓</v>
      </c>
    </row>
    <row r="39" spans="1:12" x14ac:dyDescent="0.35">
      <c r="A39" t="s">
        <v>4929</v>
      </c>
      <c r="B39" t="s">
        <v>4930</v>
      </c>
      <c r="C39" t="s">
        <v>4948</v>
      </c>
      <c r="D39" s="205">
        <v>45838</v>
      </c>
      <c r="E39">
        <v>2.0299999999999998</v>
      </c>
      <c r="F39">
        <v>0.3</v>
      </c>
      <c r="G39">
        <v>0.4</v>
      </c>
      <c r="H39">
        <f t="shared" si="0"/>
        <v>0.7</v>
      </c>
      <c r="I39" s="206">
        <f>SUMIFS('1_Presupuesto'!$V:$V,'1_Presupuesto'!$X:$X,K39,'1_Presupuesto'!$E:$E,E39)</f>
        <v>1762468.5077011515</v>
      </c>
      <c r="J39" s="206">
        <f t="shared" si="1"/>
        <v>704987.40308046062</v>
      </c>
      <c r="K39" t="str">
        <f>_xlfn.XLOOKUP(B39,Cert_OC_Cliente!$B:$B,Cert_OC_Cliente!$L:$L)</f>
        <v>PTO 01</v>
      </c>
      <c r="L39" t="str">
        <f t="shared" si="2"/>
        <v>✓</v>
      </c>
    </row>
    <row r="40" spans="1:12" x14ac:dyDescent="0.35">
      <c r="A40" t="s">
        <v>4929</v>
      </c>
      <c r="B40" t="s">
        <v>4930</v>
      </c>
      <c r="C40" t="s">
        <v>4948</v>
      </c>
      <c r="D40" s="205">
        <v>45838</v>
      </c>
      <c r="E40">
        <v>3.01</v>
      </c>
      <c r="F40">
        <v>0.83000000000000007</v>
      </c>
      <c r="G40">
        <v>0.1699999999999999</v>
      </c>
      <c r="H40">
        <f t="shared" si="0"/>
        <v>1</v>
      </c>
      <c r="I40" s="206">
        <f>SUMIFS('1_Presupuesto'!$V:$V,'1_Presupuesto'!$X:$X,K40,'1_Presupuesto'!$E:$E,E40)</f>
        <v>3810805.8201519069</v>
      </c>
      <c r="J40" s="206">
        <f t="shared" si="1"/>
        <v>647836.98942582379</v>
      </c>
      <c r="K40" t="str">
        <f>_xlfn.XLOOKUP(B40,Cert_OC_Cliente!$B:$B,Cert_OC_Cliente!$L:$L)</f>
        <v>PTO 01</v>
      </c>
      <c r="L40" t="str">
        <f t="shared" si="2"/>
        <v>✓</v>
      </c>
    </row>
    <row r="41" spans="1:12" x14ac:dyDescent="0.35">
      <c r="A41" t="s">
        <v>4929</v>
      </c>
      <c r="B41" t="s">
        <v>4930</v>
      </c>
      <c r="C41" t="s">
        <v>4948</v>
      </c>
      <c r="D41" s="205">
        <v>45838</v>
      </c>
      <c r="E41">
        <v>3.03</v>
      </c>
      <c r="F41">
        <v>0.9</v>
      </c>
      <c r="G41">
        <v>9.9999999999999978E-2</v>
      </c>
      <c r="H41">
        <f t="shared" si="0"/>
        <v>1</v>
      </c>
      <c r="I41" s="206">
        <f>SUMIFS('1_Presupuesto'!$V:$V,'1_Presupuesto'!$X:$X,K41,'1_Presupuesto'!$E:$E,E41)</f>
        <v>12332139.653920824</v>
      </c>
      <c r="J41" s="206">
        <f t="shared" si="1"/>
        <v>1233213.965392082</v>
      </c>
      <c r="K41" t="str">
        <f>_xlfn.XLOOKUP(B41,Cert_OC_Cliente!$B:$B,Cert_OC_Cliente!$L:$L)</f>
        <v>PTO 01</v>
      </c>
      <c r="L41" t="str">
        <f t="shared" si="2"/>
        <v>✓</v>
      </c>
    </row>
    <row r="42" spans="1:12" x14ac:dyDescent="0.35">
      <c r="A42" t="s">
        <v>4929</v>
      </c>
      <c r="B42" t="s">
        <v>4930</v>
      </c>
      <c r="C42" t="s">
        <v>4948</v>
      </c>
      <c r="D42" s="205">
        <v>45838</v>
      </c>
      <c r="E42">
        <v>3.04</v>
      </c>
      <c r="F42">
        <v>0.9</v>
      </c>
      <c r="G42">
        <v>9.9999999999999978E-2</v>
      </c>
      <c r="H42">
        <f t="shared" si="0"/>
        <v>1</v>
      </c>
      <c r="I42" s="206">
        <f>SUMIFS('1_Presupuesto'!$V:$V,'1_Presupuesto'!$X:$X,K42,'1_Presupuesto'!$E:$E,E42)</f>
        <v>6721405.5440614363</v>
      </c>
      <c r="J42" s="206">
        <f t="shared" si="1"/>
        <v>672140.55440614349</v>
      </c>
      <c r="K42" t="str">
        <f>_xlfn.XLOOKUP(B42,Cert_OC_Cliente!$B:$B,Cert_OC_Cliente!$L:$L)</f>
        <v>PTO 01</v>
      </c>
      <c r="L42" t="str">
        <f t="shared" si="2"/>
        <v>✓</v>
      </c>
    </row>
    <row r="43" spans="1:12" x14ac:dyDescent="0.35">
      <c r="A43" t="s">
        <v>4929</v>
      </c>
      <c r="B43" t="s">
        <v>4930</v>
      </c>
      <c r="C43" t="s">
        <v>4948</v>
      </c>
      <c r="D43" s="205">
        <v>45838</v>
      </c>
      <c r="E43">
        <v>3.06</v>
      </c>
      <c r="F43">
        <v>0.66</v>
      </c>
      <c r="G43">
        <v>0.34</v>
      </c>
      <c r="H43">
        <f t="shared" si="0"/>
        <v>1</v>
      </c>
      <c r="I43" s="206">
        <f>SUMIFS('1_Presupuesto'!$V:$V,'1_Presupuesto'!$X:$X,K43,'1_Presupuesto'!$E:$E,E43)</f>
        <v>32381182.778121762</v>
      </c>
      <c r="J43" s="206">
        <f t="shared" si="1"/>
        <v>11009602.144561401</v>
      </c>
      <c r="K43" t="str">
        <f>_xlfn.XLOOKUP(B43,Cert_OC_Cliente!$B:$B,Cert_OC_Cliente!$L:$L)</f>
        <v>PTO 01</v>
      </c>
      <c r="L43" t="str">
        <f t="shared" si="2"/>
        <v>✓</v>
      </c>
    </row>
    <row r="44" spans="1:12" x14ac:dyDescent="0.35">
      <c r="A44" t="s">
        <v>4929</v>
      </c>
      <c r="B44" t="s">
        <v>4930</v>
      </c>
      <c r="C44" t="s">
        <v>4948</v>
      </c>
      <c r="D44" s="205">
        <v>45838</v>
      </c>
      <c r="E44">
        <v>3.07</v>
      </c>
      <c r="F44">
        <v>0.6</v>
      </c>
      <c r="G44">
        <v>0.4</v>
      </c>
      <c r="H44">
        <f t="shared" si="0"/>
        <v>1</v>
      </c>
      <c r="I44" s="206">
        <f>SUMIFS('1_Presupuesto'!$V:$V,'1_Presupuesto'!$X:$X,K44,'1_Presupuesto'!$E:$E,E44)</f>
        <v>20628559.988099311</v>
      </c>
      <c r="J44" s="206">
        <f t="shared" si="1"/>
        <v>8251423.9952397244</v>
      </c>
      <c r="K44" t="str">
        <f>_xlfn.XLOOKUP(B44,Cert_OC_Cliente!$B:$B,Cert_OC_Cliente!$L:$L)</f>
        <v>PTO 01</v>
      </c>
      <c r="L44" t="str">
        <f t="shared" si="2"/>
        <v>✓</v>
      </c>
    </row>
    <row r="45" spans="1:12" x14ac:dyDescent="0.35">
      <c r="A45" t="s">
        <v>4929</v>
      </c>
      <c r="B45" t="s">
        <v>4930</v>
      </c>
      <c r="C45" t="s">
        <v>4948</v>
      </c>
      <c r="D45" s="205">
        <v>45838</v>
      </c>
      <c r="E45">
        <v>3.08</v>
      </c>
      <c r="F45">
        <v>0.3</v>
      </c>
      <c r="G45">
        <v>0.7</v>
      </c>
      <c r="H45">
        <f t="shared" si="0"/>
        <v>1</v>
      </c>
      <c r="I45" s="206">
        <f>SUMIFS('1_Presupuesto'!$V:$V,'1_Presupuesto'!$X:$X,K45,'1_Presupuesto'!$E:$E,E45)</f>
        <v>7673580.6413511699</v>
      </c>
      <c r="J45" s="206">
        <f t="shared" si="1"/>
        <v>5371506.4489458185</v>
      </c>
      <c r="K45" t="str">
        <f>_xlfn.XLOOKUP(B45,Cert_OC_Cliente!$B:$B,Cert_OC_Cliente!$L:$L)</f>
        <v>PTO 01</v>
      </c>
      <c r="L45" t="str">
        <f t="shared" si="2"/>
        <v>✓</v>
      </c>
    </row>
    <row r="46" spans="1:12" x14ac:dyDescent="0.35">
      <c r="A46" t="s">
        <v>4929</v>
      </c>
      <c r="B46" t="s">
        <v>4930</v>
      </c>
      <c r="C46" t="s">
        <v>4948</v>
      </c>
      <c r="D46" s="205">
        <v>45838</v>
      </c>
      <c r="E46">
        <v>3.2</v>
      </c>
      <c r="F46">
        <v>0.2</v>
      </c>
      <c r="G46">
        <v>4.9999999999999989E-2</v>
      </c>
      <c r="H46">
        <f t="shared" si="0"/>
        <v>0.25</v>
      </c>
      <c r="I46" s="206">
        <f>SUMIFS('1_Presupuesto'!$V:$V,'1_Presupuesto'!$X:$X,K46,'1_Presupuesto'!$E:$E,E46)</f>
        <v>4572161.3297441388</v>
      </c>
      <c r="J46" s="206">
        <f t="shared" si="1"/>
        <v>228608.06648720687</v>
      </c>
      <c r="K46" t="str">
        <f>_xlfn.XLOOKUP(B46,Cert_OC_Cliente!$B:$B,Cert_OC_Cliente!$L:$L)</f>
        <v>PTO 01</v>
      </c>
      <c r="L46" t="str">
        <f t="shared" si="2"/>
        <v>✓</v>
      </c>
    </row>
    <row r="47" spans="1:12" x14ac:dyDescent="0.35">
      <c r="A47" t="s">
        <v>4929</v>
      </c>
      <c r="B47" t="s">
        <v>4930</v>
      </c>
      <c r="C47" t="s">
        <v>4948</v>
      </c>
      <c r="D47" s="205">
        <v>45838</v>
      </c>
      <c r="E47">
        <v>3.22</v>
      </c>
      <c r="F47">
        <v>0.3</v>
      </c>
      <c r="G47">
        <v>0.1</v>
      </c>
      <c r="H47">
        <f t="shared" si="0"/>
        <v>0.4</v>
      </c>
      <c r="I47" s="206">
        <f>SUMIFS('1_Presupuesto'!$V:$V,'1_Presupuesto'!$X:$X,K47,'1_Presupuesto'!$E:$E,E47)</f>
        <v>2625266.0511022829</v>
      </c>
      <c r="J47" s="206">
        <f t="shared" si="1"/>
        <v>262526.60511022829</v>
      </c>
      <c r="K47" t="str">
        <f>_xlfn.XLOOKUP(B47,Cert_OC_Cliente!$B:$B,Cert_OC_Cliente!$L:$L)</f>
        <v>PTO 01</v>
      </c>
      <c r="L47" t="str">
        <f t="shared" si="2"/>
        <v>✓</v>
      </c>
    </row>
    <row r="48" spans="1:12" x14ac:dyDescent="0.35">
      <c r="A48" t="s">
        <v>4929</v>
      </c>
      <c r="B48" t="s">
        <v>4930</v>
      </c>
      <c r="C48" t="s">
        <v>4949</v>
      </c>
      <c r="D48" s="205">
        <v>45869</v>
      </c>
      <c r="E48">
        <v>1.06</v>
      </c>
      <c r="F48">
        <v>0.89999999999999991</v>
      </c>
      <c r="G48">
        <v>9.9999999999999978E-2</v>
      </c>
      <c r="H48">
        <f t="shared" si="0"/>
        <v>0.99999999999999989</v>
      </c>
      <c r="I48" s="206">
        <f>SUMIFS('1_Presupuesto'!$V:$V,'1_Presupuesto'!$X:$X,K48,'1_Presupuesto'!$E:$E,E48)</f>
        <v>1771384.2266153605</v>
      </c>
      <c r="J48" s="206">
        <f t="shared" si="1"/>
        <v>177138.42266153599</v>
      </c>
      <c r="K48" t="str">
        <f>_xlfn.XLOOKUP(B48,Cert_OC_Cliente!$B:$B,Cert_OC_Cliente!$L:$L)</f>
        <v>PTO 01</v>
      </c>
      <c r="L48" t="str">
        <f t="shared" si="2"/>
        <v>✓</v>
      </c>
    </row>
    <row r="49" spans="1:12" x14ac:dyDescent="0.35">
      <c r="A49" t="s">
        <v>4929</v>
      </c>
      <c r="B49" t="s">
        <v>4930</v>
      </c>
      <c r="C49" t="s">
        <v>4949</v>
      </c>
      <c r="D49" s="205">
        <v>45869</v>
      </c>
      <c r="E49">
        <v>1.07</v>
      </c>
      <c r="F49">
        <v>0.5</v>
      </c>
      <c r="G49">
        <v>0.3</v>
      </c>
      <c r="H49">
        <f t="shared" si="0"/>
        <v>0.8</v>
      </c>
      <c r="I49" s="206">
        <f>SUMIFS('1_Presupuesto'!$V:$V,'1_Presupuesto'!$X:$X,K49,'1_Presupuesto'!$E:$E,E49)</f>
        <v>2287981.9468976362</v>
      </c>
      <c r="J49" s="206">
        <f t="shared" si="1"/>
        <v>686394.58406929078</v>
      </c>
      <c r="K49" t="str">
        <f>_xlfn.XLOOKUP(B49,Cert_OC_Cliente!$B:$B,Cert_OC_Cliente!$L:$L)</f>
        <v>PTO 01</v>
      </c>
      <c r="L49" t="str">
        <f t="shared" si="2"/>
        <v>✓</v>
      </c>
    </row>
    <row r="50" spans="1:12" x14ac:dyDescent="0.35">
      <c r="A50" t="s">
        <v>4929</v>
      </c>
      <c r="B50" t="s">
        <v>4930</v>
      </c>
      <c r="C50" t="s">
        <v>4949</v>
      </c>
      <c r="D50" s="205">
        <v>45869</v>
      </c>
      <c r="E50">
        <v>1.0900000000000001</v>
      </c>
      <c r="F50">
        <v>0.6</v>
      </c>
      <c r="G50">
        <v>9.9999999999999978E-2</v>
      </c>
      <c r="H50">
        <f t="shared" si="0"/>
        <v>0.7</v>
      </c>
      <c r="I50" s="206">
        <f>SUMIFS('1_Presupuesto'!$V:$V,'1_Presupuesto'!$X:$X,K50,'1_Presupuesto'!$E:$E,E50)</f>
        <v>483368.3566706212</v>
      </c>
      <c r="J50" s="206">
        <f t="shared" si="1"/>
        <v>48336.835667062107</v>
      </c>
      <c r="K50" t="str">
        <f>_xlfn.XLOOKUP(B50,Cert_OC_Cliente!$B:$B,Cert_OC_Cliente!$L:$L)</f>
        <v>PTO 01</v>
      </c>
      <c r="L50" t="str">
        <f t="shared" si="2"/>
        <v>✓</v>
      </c>
    </row>
    <row r="51" spans="1:12" x14ac:dyDescent="0.35">
      <c r="A51" t="s">
        <v>4929</v>
      </c>
      <c r="B51" t="s">
        <v>4930</v>
      </c>
      <c r="C51" t="s">
        <v>4949</v>
      </c>
      <c r="D51" s="205">
        <v>45869</v>
      </c>
      <c r="E51">
        <v>2.0299999999999998</v>
      </c>
      <c r="F51">
        <v>0.7</v>
      </c>
      <c r="G51">
        <v>0.3</v>
      </c>
      <c r="H51">
        <f t="shared" si="0"/>
        <v>1</v>
      </c>
      <c r="I51" s="206">
        <f>SUMIFS('1_Presupuesto'!$V:$V,'1_Presupuesto'!$X:$X,K51,'1_Presupuesto'!$E:$E,E51)</f>
        <v>1762468.5077011515</v>
      </c>
      <c r="J51" s="206">
        <f t="shared" si="1"/>
        <v>528740.55231034546</v>
      </c>
      <c r="K51" t="str">
        <f>_xlfn.XLOOKUP(B51,Cert_OC_Cliente!$B:$B,Cert_OC_Cliente!$L:$L)</f>
        <v>PTO 01</v>
      </c>
      <c r="L51" t="str">
        <f t="shared" si="2"/>
        <v>✓</v>
      </c>
    </row>
    <row r="52" spans="1:12" x14ac:dyDescent="0.35">
      <c r="A52" t="s">
        <v>4929</v>
      </c>
      <c r="B52" t="s">
        <v>4930</v>
      </c>
      <c r="C52" t="s">
        <v>4949</v>
      </c>
      <c r="D52" s="205">
        <v>45869</v>
      </c>
      <c r="E52">
        <v>3.09</v>
      </c>
      <c r="F52">
        <v>0</v>
      </c>
      <c r="G52">
        <v>0.1333</v>
      </c>
      <c r="H52">
        <f t="shared" si="0"/>
        <v>0.1333</v>
      </c>
      <c r="I52" s="206">
        <f>SUMIFS('1_Presupuesto'!$V:$V,'1_Presupuesto'!$X:$X,K52,'1_Presupuesto'!$E:$E,E52)</f>
        <v>72361991.826387569</v>
      </c>
      <c r="J52" s="206">
        <f t="shared" si="1"/>
        <v>9645853.5104574636</v>
      </c>
      <c r="K52" t="str">
        <f>_xlfn.XLOOKUP(B52,Cert_OC_Cliente!$B:$B,Cert_OC_Cliente!$L:$L)</f>
        <v>PTO 01</v>
      </c>
      <c r="L52" t="str">
        <f t="shared" si="2"/>
        <v>✓</v>
      </c>
    </row>
    <row r="53" spans="1:12" x14ac:dyDescent="0.35">
      <c r="A53" t="s">
        <v>4929</v>
      </c>
      <c r="B53" t="s">
        <v>4930</v>
      </c>
      <c r="C53" t="s">
        <v>4949</v>
      </c>
      <c r="D53" s="205">
        <v>45869</v>
      </c>
      <c r="E53">
        <v>3.1</v>
      </c>
      <c r="F53">
        <v>0</v>
      </c>
      <c r="G53">
        <v>0.23280000000000001</v>
      </c>
      <c r="H53">
        <f t="shared" si="0"/>
        <v>0.23280000000000001</v>
      </c>
      <c r="I53" s="206">
        <f>SUMIFS('1_Presupuesto'!$V:$V,'1_Presupuesto'!$X:$X,K53,'1_Presupuesto'!$E:$E,E53)</f>
        <v>28439434.667147275</v>
      </c>
      <c r="J53" s="206">
        <f t="shared" si="1"/>
        <v>6620700.3905118862</v>
      </c>
      <c r="K53" t="str">
        <f>_xlfn.XLOOKUP(B53,Cert_OC_Cliente!$B:$B,Cert_OC_Cliente!$L:$L)</f>
        <v>PTO 01</v>
      </c>
      <c r="L53" t="str">
        <f t="shared" si="2"/>
        <v>✓</v>
      </c>
    </row>
    <row r="54" spans="1:12" x14ac:dyDescent="0.35">
      <c r="A54" t="s">
        <v>4929</v>
      </c>
      <c r="B54" t="s">
        <v>4930</v>
      </c>
      <c r="C54" t="s">
        <v>4949</v>
      </c>
      <c r="D54" s="205">
        <v>45869</v>
      </c>
      <c r="E54">
        <v>3.11</v>
      </c>
      <c r="F54">
        <v>0</v>
      </c>
      <c r="G54">
        <v>0.37440000000000001</v>
      </c>
      <c r="H54">
        <f t="shared" si="0"/>
        <v>0.37440000000000001</v>
      </c>
      <c r="I54" s="206">
        <f>SUMIFS('1_Presupuesto'!$V:$V,'1_Presupuesto'!$X:$X,K54,'1_Presupuesto'!$E:$E,E54)</f>
        <v>68755581.396662742</v>
      </c>
      <c r="J54" s="206">
        <f t="shared" si="1"/>
        <v>25742089.67491053</v>
      </c>
      <c r="K54" t="str">
        <f>_xlfn.XLOOKUP(B54,Cert_OC_Cliente!$B:$B,Cert_OC_Cliente!$L:$L)</f>
        <v>PTO 01</v>
      </c>
      <c r="L54" t="str">
        <f t="shared" si="2"/>
        <v>✓</v>
      </c>
    </row>
    <row r="55" spans="1:12" x14ac:dyDescent="0.35">
      <c r="A55" t="s">
        <v>4929</v>
      </c>
      <c r="B55" t="s">
        <v>4930</v>
      </c>
      <c r="C55" t="s">
        <v>4949</v>
      </c>
      <c r="D55" s="205">
        <v>45869</v>
      </c>
      <c r="E55">
        <v>3.12</v>
      </c>
      <c r="F55">
        <v>0</v>
      </c>
      <c r="G55">
        <v>0.51380000000000003</v>
      </c>
      <c r="H55">
        <f t="shared" si="0"/>
        <v>0.51380000000000003</v>
      </c>
      <c r="I55" s="206">
        <f>SUMIFS('1_Presupuesto'!$V:$V,'1_Presupuesto'!$X:$X,K55,'1_Presupuesto'!$E:$E,E55)</f>
        <v>51874907.339525312</v>
      </c>
      <c r="J55" s="206">
        <f t="shared" si="1"/>
        <v>26653327.391048107</v>
      </c>
      <c r="K55" t="str">
        <f>_xlfn.XLOOKUP(B55,Cert_OC_Cliente!$B:$B,Cert_OC_Cliente!$L:$L)</f>
        <v>PTO 01</v>
      </c>
      <c r="L55" t="str">
        <f t="shared" si="2"/>
        <v>✓</v>
      </c>
    </row>
    <row r="56" spans="1:12" x14ac:dyDescent="0.35">
      <c r="A56" t="s">
        <v>4929</v>
      </c>
      <c r="B56" t="s">
        <v>4930</v>
      </c>
      <c r="C56" t="s">
        <v>4949</v>
      </c>
      <c r="D56" s="205">
        <v>45869</v>
      </c>
      <c r="E56">
        <v>3.13</v>
      </c>
      <c r="F56">
        <v>0</v>
      </c>
      <c r="G56">
        <v>0.26290000000000002</v>
      </c>
      <c r="H56">
        <f t="shared" si="0"/>
        <v>0.26290000000000002</v>
      </c>
      <c r="I56" s="206">
        <f>SUMIFS('1_Presupuesto'!$V:$V,'1_Presupuesto'!$X:$X,K56,'1_Presupuesto'!$E:$E,E56)</f>
        <v>24936329.335638743</v>
      </c>
      <c r="J56" s="206">
        <f t="shared" si="1"/>
        <v>6555760.9823394259</v>
      </c>
      <c r="K56" t="str">
        <f>_xlfn.XLOOKUP(B56,Cert_OC_Cliente!$B:$B,Cert_OC_Cliente!$L:$L)</f>
        <v>PTO 01</v>
      </c>
      <c r="L56" t="str">
        <f t="shared" si="2"/>
        <v>✓</v>
      </c>
    </row>
    <row r="57" spans="1:12" x14ac:dyDescent="0.35">
      <c r="A57" t="s">
        <v>4929</v>
      </c>
      <c r="B57" t="s">
        <v>4930</v>
      </c>
      <c r="C57" t="s">
        <v>4949</v>
      </c>
      <c r="D57" s="205">
        <v>45869</v>
      </c>
      <c r="E57">
        <v>3.14</v>
      </c>
      <c r="F57">
        <v>0</v>
      </c>
      <c r="G57">
        <v>0.26719999999999999</v>
      </c>
      <c r="H57">
        <f t="shared" si="0"/>
        <v>0.26719999999999999</v>
      </c>
      <c r="I57" s="206">
        <f>SUMIFS('1_Presupuesto'!$V:$V,'1_Presupuesto'!$X:$X,K57,'1_Presupuesto'!$E:$E,E57)</f>
        <v>44977139.428949133</v>
      </c>
      <c r="J57" s="206">
        <f t="shared" si="1"/>
        <v>12017891.655415207</v>
      </c>
      <c r="K57" t="str">
        <f>_xlfn.XLOOKUP(B57,Cert_OC_Cliente!$B:$B,Cert_OC_Cliente!$L:$L)</f>
        <v>PTO 01</v>
      </c>
      <c r="L57" t="str">
        <f t="shared" si="2"/>
        <v>✓</v>
      </c>
    </row>
    <row r="58" spans="1:12" x14ac:dyDescent="0.35">
      <c r="A58" t="s">
        <v>4929</v>
      </c>
      <c r="B58" t="s">
        <v>4930</v>
      </c>
      <c r="C58" t="s">
        <v>4949</v>
      </c>
      <c r="D58" s="205">
        <v>45869</v>
      </c>
      <c r="E58">
        <v>3.16</v>
      </c>
      <c r="F58">
        <v>0</v>
      </c>
      <c r="G58">
        <v>0.1925</v>
      </c>
      <c r="H58">
        <f t="shared" si="0"/>
        <v>0.1925</v>
      </c>
      <c r="I58" s="206">
        <f>SUMIFS('1_Presupuesto'!$V:$V,'1_Presupuesto'!$X:$X,K58,'1_Presupuesto'!$E:$E,E58)</f>
        <v>5016655.3532214398</v>
      </c>
      <c r="J58" s="206">
        <f t="shared" si="1"/>
        <v>965706.1554951272</v>
      </c>
      <c r="K58" t="str">
        <f>_xlfn.XLOOKUP(B58,Cert_OC_Cliente!$B:$B,Cert_OC_Cliente!$L:$L)</f>
        <v>PTO 01</v>
      </c>
      <c r="L58" t="str">
        <f t="shared" si="2"/>
        <v>✓</v>
      </c>
    </row>
    <row r="59" spans="1:12" x14ac:dyDescent="0.35">
      <c r="A59" t="s">
        <v>4929</v>
      </c>
      <c r="B59" t="s">
        <v>4930</v>
      </c>
      <c r="C59" t="s">
        <v>4949</v>
      </c>
      <c r="D59" s="205">
        <v>45869</v>
      </c>
      <c r="E59">
        <v>3.19</v>
      </c>
      <c r="F59">
        <v>0</v>
      </c>
      <c r="G59">
        <v>0.2</v>
      </c>
      <c r="H59">
        <f t="shared" si="0"/>
        <v>0.2</v>
      </c>
      <c r="I59" s="206">
        <f>SUMIFS('1_Presupuesto'!$V:$V,'1_Presupuesto'!$X:$X,K59,'1_Presupuesto'!$E:$E,E59)</f>
        <v>11272950.40816284</v>
      </c>
      <c r="J59" s="206">
        <f t="shared" si="1"/>
        <v>2254590.081632568</v>
      </c>
      <c r="K59" t="str">
        <f>_xlfn.XLOOKUP(B59,Cert_OC_Cliente!$B:$B,Cert_OC_Cliente!$L:$L)</f>
        <v>PTO 01</v>
      </c>
      <c r="L59" t="str">
        <f t="shared" si="2"/>
        <v>✓</v>
      </c>
    </row>
    <row r="60" spans="1:12" x14ac:dyDescent="0.35">
      <c r="A60" t="s">
        <v>4929</v>
      </c>
      <c r="B60" t="s">
        <v>4930</v>
      </c>
      <c r="C60" t="s">
        <v>4949</v>
      </c>
      <c r="D60" s="205">
        <v>45869</v>
      </c>
      <c r="E60">
        <v>3.2</v>
      </c>
      <c r="F60">
        <v>0.25</v>
      </c>
      <c r="G60">
        <v>0.35</v>
      </c>
      <c r="H60">
        <f t="shared" si="0"/>
        <v>0.6</v>
      </c>
      <c r="I60" s="206">
        <f>SUMIFS('1_Presupuesto'!$V:$V,'1_Presupuesto'!$X:$X,K60,'1_Presupuesto'!$E:$E,E60)</f>
        <v>4572161.3297441388</v>
      </c>
      <c r="J60" s="206">
        <f t="shared" si="1"/>
        <v>1600256.4654104484</v>
      </c>
      <c r="K60" t="str">
        <f>_xlfn.XLOOKUP(B60,Cert_OC_Cliente!$B:$B,Cert_OC_Cliente!$L:$L)</f>
        <v>PTO 01</v>
      </c>
      <c r="L60" t="str">
        <f t="shared" si="2"/>
        <v>✓</v>
      </c>
    </row>
    <row r="61" spans="1:12" x14ac:dyDescent="0.35">
      <c r="A61" t="s">
        <v>4929</v>
      </c>
      <c r="B61" t="s">
        <v>4930</v>
      </c>
      <c r="C61" t="s">
        <v>4949</v>
      </c>
      <c r="D61" s="205">
        <v>45869</v>
      </c>
      <c r="E61">
        <v>3.21</v>
      </c>
      <c r="F61">
        <v>0.33</v>
      </c>
      <c r="G61">
        <v>0.33</v>
      </c>
      <c r="H61">
        <f t="shared" si="0"/>
        <v>0.66</v>
      </c>
      <c r="I61" s="206">
        <f>SUMIFS('1_Presupuesto'!$V:$V,'1_Presupuesto'!$X:$X,K61,'1_Presupuesto'!$E:$E,E61)</f>
        <v>204865.53838696622</v>
      </c>
      <c r="J61" s="206">
        <f t="shared" si="1"/>
        <v>67605.627667698849</v>
      </c>
      <c r="K61" t="str">
        <f>_xlfn.XLOOKUP(B61,Cert_OC_Cliente!$B:$B,Cert_OC_Cliente!$L:$L)</f>
        <v>PTO 01</v>
      </c>
      <c r="L61" t="str">
        <f t="shared" si="2"/>
        <v>✓</v>
      </c>
    </row>
    <row r="62" spans="1:12" x14ac:dyDescent="0.35">
      <c r="A62" t="s">
        <v>4929</v>
      </c>
      <c r="B62" t="s">
        <v>4930</v>
      </c>
      <c r="C62" t="s">
        <v>4949</v>
      </c>
      <c r="D62" s="205">
        <v>45869</v>
      </c>
      <c r="E62">
        <v>3.22</v>
      </c>
      <c r="F62">
        <v>0.4</v>
      </c>
      <c r="G62">
        <v>0.15</v>
      </c>
      <c r="H62">
        <f t="shared" si="0"/>
        <v>0.55000000000000004</v>
      </c>
      <c r="I62" s="206">
        <f>SUMIFS('1_Presupuesto'!$V:$V,'1_Presupuesto'!$X:$X,K62,'1_Presupuesto'!$E:$E,E62)</f>
        <v>2625266.0511022829</v>
      </c>
      <c r="J62" s="206">
        <f t="shared" si="1"/>
        <v>393789.90766534244</v>
      </c>
      <c r="K62" t="str">
        <f>_xlfn.XLOOKUP(B62,Cert_OC_Cliente!$B:$B,Cert_OC_Cliente!$L:$L)</f>
        <v>PTO 01</v>
      </c>
      <c r="L62" t="str">
        <f t="shared" si="2"/>
        <v>✓</v>
      </c>
    </row>
    <row r="63" spans="1:12" x14ac:dyDescent="0.35">
      <c r="A63" t="s">
        <v>4929</v>
      </c>
      <c r="B63" t="s">
        <v>4930</v>
      </c>
      <c r="C63" t="s">
        <v>4950</v>
      </c>
      <c r="D63" s="205">
        <v>45900</v>
      </c>
      <c r="E63">
        <v>3.1</v>
      </c>
      <c r="F63">
        <v>0.23280000000000001</v>
      </c>
      <c r="G63">
        <v>0.76719999999999999</v>
      </c>
      <c r="H63">
        <f t="shared" si="0"/>
        <v>1</v>
      </c>
      <c r="I63" s="206">
        <f>SUMIFS('1_Presupuesto'!$V:$V,'1_Presupuesto'!$X:$X,K63,'1_Presupuesto'!$E:$E,E63)</f>
        <v>28439434.667147275</v>
      </c>
      <c r="J63" s="206">
        <f t="shared" si="1"/>
        <v>21818734.27663539</v>
      </c>
      <c r="K63" t="str">
        <f>_xlfn.XLOOKUP(B63,Cert_OC_Cliente!$B:$B,Cert_OC_Cliente!$L:$L)</f>
        <v>PTO 01</v>
      </c>
      <c r="L63" t="str">
        <f t="shared" si="2"/>
        <v>✓</v>
      </c>
    </row>
    <row r="64" spans="1:12" x14ac:dyDescent="0.35">
      <c r="A64" t="s">
        <v>4929</v>
      </c>
      <c r="B64" t="s">
        <v>4930</v>
      </c>
      <c r="C64" t="s">
        <v>4950</v>
      </c>
      <c r="D64" s="205">
        <v>45900</v>
      </c>
      <c r="E64">
        <v>3.11</v>
      </c>
      <c r="F64">
        <v>0.37440000000000001</v>
      </c>
      <c r="G64">
        <v>6.9000000000000006E-2</v>
      </c>
      <c r="H64">
        <f t="shared" si="0"/>
        <v>0.44340000000000002</v>
      </c>
      <c r="I64" s="206">
        <f>SUMIFS('1_Presupuesto'!$V:$V,'1_Presupuesto'!$X:$X,K64,'1_Presupuesto'!$E:$E,E64)</f>
        <v>68755581.396662742</v>
      </c>
      <c r="J64" s="206">
        <f t="shared" si="1"/>
        <v>4744135.1163697299</v>
      </c>
      <c r="K64" t="str">
        <f>_xlfn.XLOOKUP(B64,Cert_OC_Cliente!$B:$B,Cert_OC_Cliente!$L:$L)</f>
        <v>PTO 01</v>
      </c>
      <c r="L64" t="str">
        <f t="shared" si="2"/>
        <v>✓</v>
      </c>
    </row>
    <row r="65" spans="1:12" x14ac:dyDescent="0.35">
      <c r="A65" t="s">
        <v>4929</v>
      </c>
      <c r="B65" t="s">
        <v>4930</v>
      </c>
      <c r="C65" t="s">
        <v>4950</v>
      </c>
      <c r="D65" s="205">
        <v>45900</v>
      </c>
      <c r="E65">
        <v>3.12</v>
      </c>
      <c r="F65">
        <v>0.51380000000000003</v>
      </c>
      <c r="G65">
        <v>0.23580000000000001</v>
      </c>
      <c r="H65">
        <f t="shared" si="0"/>
        <v>0.74960000000000004</v>
      </c>
      <c r="I65" s="206">
        <f>SUMIFS('1_Presupuesto'!$V:$V,'1_Presupuesto'!$X:$X,K65,'1_Presupuesto'!$E:$E,E65)</f>
        <v>51874907.339525312</v>
      </c>
      <c r="J65" s="206">
        <f t="shared" si="1"/>
        <v>12232103.15066007</v>
      </c>
      <c r="K65" t="str">
        <f>_xlfn.XLOOKUP(B65,Cert_OC_Cliente!$B:$B,Cert_OC_Cliente!$L:$L)</f>
        <v>PTO 01</v>
      </c>
      <c r="L65" t="str">
        <f t="shared" si="2"/>
        <v>✓</v>
      </c>
    </row>
    <row r="66" spans="1:12" x14ac:dyDescent="0.35">
      <c r="A66" t="s">
        <v>4929</v>
      </c>
      <c r="B66" t="s">
        <v>4930</v>
      </c>
      <c r="C66" t="s">
        <v>4950</v>
      </c>
      <c r="D66" s="205">
        <v>45900</v>
      </c>
      <c r="E66">
        <v>3.13</v>
      </c>
      <c r="F66">
        <v>0.26290000000000002</v>
      </c>
      <c r="G66">
        <v>0.1295</v>
      </c>
      <c r="H66">
        <f t="shared" ref="H66:H129" si="3">F66+G66</f>
        <v>0.39240000000000003</v>
      </c>
      <c r="I66" s="206">
        <f>SUMIFS('1_Presupuesto'!$V:$V,'1_Presupuesto'!$X:$X,K66,'1_Presupuesto'!$E:$E,E66)</f>
        <v>24936329.335638743</v>
      </c>
      <c r="J66" s="206">
        <f t="shared" ref="J66:J129" si="4">G66*I66</f>
        <v>3229254.6489652172</v>
      </c>
      <c r="K66" t="str">
        <f>_xlfn.XLOOKUP(B66,Cert_OC_Cliente!$B:$B,Cert_OC_Cliente!$L:$L)</f>
        <v>PTO 01</v>
      </c>
      <c r="L66" t="str">
        <f t="shared" ref="L66:L129" si="5">IF($E66="","",IF(AND(ISNUMBER($I66),$H66&lt;=1.0001),"✓","⚠"))</f>
        <v>✓</v>
      </c>
    </row>
    <row r="67" spans="1:12" x14ac:dyDescent="0.35">
      <c r="A67" t="s">
        <v>4929</v>
      </c>
      <c r="B67" t="s">
        <v>4930</v>
      </c>
      <c r="C67" t="s">
        <v>4950</v>
      </c>
      <c r="D67" s="205">
        <v>45900</v>
      </c>
      <c r="E67">
        <v>3.14</v>
      </c>
      <c r="F67">
        <v>0.26719999999999999</v>
      </c>
      <c r="G67">
        <v>0.18590000000000001</v>
      </c>
      <c r="H67">
        <f t="shared" si="3"/>
        <v>0.4531</v>
      </c>
      <c r="I67" s="206">
        <f>SUMIFS('1_Presupuesto'!$V:$V,'1_Presupuesto'!$X:$X,K67,'1_Presupuesto'!$E:$E,E67)</f>
        <v>44977139.428949133</v>
      </c>
      <c r="J67" s="206">
        <f t="shared" si="4"/>
        <v>8361250.2198416442</v>
      </c>
      <c r="K67" t="str">
        <f>_xlfn.XLOOKUP(B67,Cert_OC_Cliente!$B:$B,Cert_OC_Cliente!$L:$L)</f>
        <v>PTO 01</v>
      </c>
      <c r="L67" t="str">
        <f t="shared" si="5"/>
        <v>✓</v>
      </c>
    </row>
    <row r="68" spans="1:12" x14ac:dyDescent="0.35">
      <c r="A68" t="s">
        <v>4929</v>
      </c>
      <c r="B68" t="s">
        <v>4930</v>
      </c>
      <c r="C68" t="s">
        <v>4950</v>
      </c>
      <c r="D68" s="205">
        <v>45900</v>
      </c>
      <c r="E68">
        <v>3.16</v>
      </c>
      <c r="F68">
        <v>0.1925</v>
      </c>
      <c r="G68">
        <v>0.14499999999999999</v>
      </c>
      <c r="H68">
        <f t="shared" si="3"/>
        <v>0.33750000000000002</v>
      </c>
      <c r="I68" s="206">
        <f>SUMIFS('1_Presupuesto'!$V:$V,'1_Presupuesto'!$X:$X,K68,'1_Presupuesto'!$E:$E,E68)</f>
        <v>5016655.3532214398</v>
      </c>
      <c r="J68" s="206">
        <f t="shared" si="4"/>
        <v>727415.02621710871</v>
      </c>
      <c r="K68" t="str">
        <f>_xlfn.XLOOKUP(B68,Cert_OC_Cliente!$B:$B,Cert_OC_Cliente!$L:$L)</f>
        <v>PTO 01</v>
      </c>
      <c r="L68" t="str">
        <f t="shared" si="5"/>
        <v>✓</v>
      </c>
    </row>
    <row r="69" spans="1:12" x14ac:dyDescent="0.35">
      <c r="A69" t="s">
        <v>4929</v>
      </c>
      <c r="B69" t="s">
        <v>4930</v>
      </c>
      <c r="C69" t="s">
        <v>4950</v>
      </c>
      <c r="D69" s="205">
        <v>45900</v>
      </c>
      <c r="E69">
        <v>3.17</v>
      </c>
      <c r="F69">
        <v>0</v>
      </c>
      <c r="G69">
        <v>0.184</v>
      </c>
      <c r="H69">
        <f t="shared" si="3"/>
        <v>0.184</v>
      </c>
      <c r="I69" s="206">
        <f>SUMIFS('1_Presupuesto'!$V:$V,'1_Presupuesto'!$X:$X,K69,'1_Presupuesto'!$E:$E,E69)</f>
        <v>11115342.66805636</v>
      </c>
      <c r="J69" s="206">
        <f t="shared" si="4"/>
        <v>2045223.0509223701</v>
      </c>
      <c r="K69" t="str">
        <f>_xlfn.XLOOKUP(B69,Cert_OC_Cliente!$B:$B,Cert_OC_Cliente!$L:$L)</f>
        <v>PTO 01</v>
      </c>
      <c r="L69" t="str">
        <f t="shared" si="5"/>
        <v>✓</v>
      </c>
    </row>
    <row r="70" spans="1:12" x14ac:dyDescent="0.35">
      <c r="A70" t="s">
        <v>4929</v>
      </c>
      <c r="B70" t="s">
        <v>4930</v>
      </c>
      <c r="C70" t="s">
        <v>4950</v>
      </c>
      <c r="D70" s="205">
        <v>45900</v>
      </c>
      <c r="E70">
        <v>3.19</v>
      </c>
      <c r="F70">
        <v>0.2</v>
      </c>
      <c r="G70">
        <v>0.15</v>
      </c>
      <c r="H70">
        <f t="shared" si="3"/>
        <v>0.35</v>
      </c>
      <c r="I70" s="206">
        <f>SUMIFS('1_Presupuesto'!$V:$V,'1_Presupuesto'!$X:$X,K70,'1_Presupuesto'!$E:$E,E70)</f>
        <v>11272950.40816284</v>
      </c>
      <c r="J70" s="206">
        <f t="shared" si="4"/>
        <v>1690942.5612244259</v>
      </c>
      <c r="K70" t="str">
        <f>_xlfn.XLOOKUP(B70,Cert_OC_Cliente!$B:$B,Cert_OC_Cliente!$L:$L)</f>
        <v>PTO 01</v>
      </c>
      <c r="L70" t="str">
        <f t="shared" si="5"/>
        <v>✓</v>
      </c>
    </row>
    <row r="71" spans="1:12" x14ac:dyDescent="0.35">
      <c r="A71" t="s">
        <v>4929</v>
      </c>
      <c r="B71" t="s">
        <v>4930</v>
      </c>
      <c r="C71" t="s">
        <v>4950</v>
      </c>
      <c r="D71" s="205">
        <v>45900</v>
      </c>
      <c r="E71">
        <v>3.2</v>
      </c>
      <c r="F71">
        <v>0.6</v>
      </c>
      <c r="G71">
        <v>5.0000000000000037E-2</v>
      </c>
      <c r="H71">
        <f t="shared" si="3"/>
        <v>0.65</v>
      </c>
      <c r="I71" s="206">
        <f>SUMIFS('1_Presupuesto'!$V:$V,'1_Presupuesto'!$X:$X,K71,'1_Presupuesto'!$E:$E,E71)</f>
        <v>4572161.3297441388</v>
      </c>
      <c r="J71" s="206">
        <f t="shared" si="4"/>
        <v>228608.06648720711</v>
      </c>
      <c r="K71" t="str">
        <f>_xlfn.XLOOKUP(B71,Cert_OC_Cliente!$B:$B,Cert_OC_Cliente!$L:$L)</f>
        <v>PTO 01</v>
      </c>
      <c r="L71" t="str">
        <f t="shared" si="5"/>
        <v>✓</v>
      </c>
    </row>
    <row r="72" spans="1:12" x14ac:dyDescent="0.35">
      <c r="A72" t="s">
        <v>4929</v>
      </c>
      <c r="B72" t="s">
        <v>4930</v>
      </c>
      <c r="C72" t="s">
        <v>4950</v>
      </c>
      <c r="D72" s="205">
        <v>45900</v>
      </c>
      <c r="E72">
        <v>3.22</v>
      </c>
      <c r="F72">
        <v>0.55000000000000004</v>
      </c>
      <c r="G72">
        <v>0.3</v>
      </c>
      <c r="H72">
        <f t="shared" si="3"/>
        <v>0.85000000000000009</v>
      </c>
      <c r="I72" s="206">
        <f>SUMIFS('1_Presupuesto'!$V:$V,'1_Presupuesto'!$X:$X,K72,'1_Presupuesto'!$E:$E,E72)</f>
        <v>2625266.0511022829</v>
      </c>
      <c r="J72" s="206">
        <f t="shared" si="4"/>
        <v>787579.81533068488</v>
      </c>
      <c r="K72" t="str">
        <f>_xlfn.XLOOKUP(B72,Cert_OC_Cliente!$B:$B,Cert_OC_Cliente!$L:$L)</f>
        <v>PTO 01</v>
      </c>
      <c r="L72" t="str">
        <f t="shared" si="5"/>
        <v>✓</v>
      </c>
    </row>
    <row r="73" spans="1:12" x14ac:dyDescent="0.35">
      <c r="A73" t="s">
        <v>4929</v>
      </c>
      <c r="B73" t="s">
        <v>4930</v>
      </c>
      <c r="C73" t="s">
        <v>4951</v>
      </c>
      <c r="D73" s="205">
        <v>45930</v>
      </c>
      <c r="E73">
        <v>3.1</v>
      </c>
      <c r="F73">
        <v>1</v>
      </c>
      <c r="G73">
        <v>2.8000000000001361E-3</v>
      </c>
      <c r="H73">
        <f t="shared" si="3"/>
        <v>1.0028000000000001</v>
      </c>
      <c r="I73" s="206">
        <f>SUMIFS('1_Presupuesto'!$V:$V,'1_Presupuesto'!$X:$X,K73,'1_Presupuesto'!$E:$E,E73)</f>
        <v>28439434.667147275</v>
      </c>
      <c r="J73" s="206">
        <f t="shared" si="4"/>
        <v>79630.417068016235</v>
      </c>
      <c r="K73" t="str">
        <f>_xlfn.XLOOKUP(B73,Cert_OC_Cliente!$B:$B,Cert_OC_Cliente!$L:$L)</f>
        <v>PTO 01</v>
      </c>
      <c r="L73" t="str">
        <f t="shared" si="5"/>
        <v>⚠</v>
      </c>
    </row>
    <row r="74" spans="1:12" x14ac:dyDescent="0.35">
      <c r="A74" t="s">
        <v>4929</v>
      </c>
      <c r="B74" t="s">
        <v>4930</v>
      </c>
      <c r="C74" t="s">
        <v>4951</v>
      </c>
      <c r="D74" s="205">
        <v>45930</v>
      </c>
      <c r="E74">
        <v>3.11</v>
      </c>
      <c r="F74">
        <v>0.44340000000000002</v>
      </c>
      <c r="G74">
        <v>6.899999999999995E-2</v>
      </c>
      <c r="H74">
        <f t="shared" si="3"/>
        <v>0.51239999999999997</v>
      </c>
      <c r="I74" s="206">
        <f>SUMIFS('1_Presupuesto'!$V:$V,'1_Presupuesto'!$X:$X,K74,'1_Presupuesto'!$E:$E,E74)</f>
        <v>68755581.396662742</v>
      </c>
      <c r="J74" s="206">
        <f t="shared" si="4"/>
        <v>4744135.1163697261</v>
      </c>
      <c r="K74" t="str">
        <f>_xlfn.XLOOKUP(B74,Cert_OC_Cliente!$B:$B,Cert_OC_Cliente!$L:$L)</f>
        <v>PTO 01</v>
      </c>
      <c r="L74" t="str">
        <f t="shared" si="5"/>
        <v>✓</v>
      </c>
    </row>
    <row r="75" spans="1:12" x14ac:dyDescent="0.35">
      <c r="A75" t="s">
        <v>4929</v>
      </c>
      <c r="B75" t="s">
        <v>4930</v>
      </c>
      <c r="C75" t="s">
        <v>4951</v>
      </c>
      <c r="D75" s="205">
        <v>45930</v>
      </c>
      <c r="E75">
        <v>3.12</v>
      </c>
      <c r="F75">
        <v>0.74960000000000004</v>
      </c>
      <c r="G75">
        <v>0.23499999999999999</v>
      </c>
      <c r="H75">
        <f t="shared" si="3"/>
        <v>0.98460000000000003</v>
      </c>
      <c r="I75" s="206">
        <f>SUMIFS('1_Presupuesto'!$V:$V,'1_Presupuesto'!$X:$X,K75,'1_Presupuesto'!$E:$E,E75)</f>
        <v>51874907.339525312</v>
      </c>
      <c r="J75" s="206">
        <f t="shared" si="4"/>
        <v>12190603.224788448</v>
      </c>
      <c r="K75" t="str">
        <f>_xlfn.XLOOKUP(B75,Cert_OC_Cliente!$B:$B,Cert_OC_Cliente!$L:$L)</f>
        <v>PTO 01</v>
      </c>
      <c r="L75" t="str">
        <f t="shared" si="5"/>
        <v>✓</v>
      </c>
    </row>
    <row r="76" spans="1:12" x14ac:dyDescent="0.35">
      <c r="A76" t="s">
        <v>4929</v>
      </c>
      <c r="B76" t="s">
        <v>4930</v>
      </c>
      <c r="C76" t="s">
        <v>4951</v>
      </c>
      <c r="D76" s="205">
        <v>45930</v>
      </c>
      <c r="E76">
        <v>3.13</v>
      </c>
      <c r="F76">
        <v>0.39240000000000003</v>
      </c>
      <c r="G76">
        <v>0.1295</v>
      </c>
      <c r="H76">
        <f t="shared" si="3"/>
        <v>0.52190000000000003</v>
      </c>
      <c r="I76" s="206">
        <f>SUMIFS('1_Presupuesto'!$V:$V,'1_Presupuesto'!$X:$X,K76,'1_Presupuesto'!$E:$E,E76)</f>
        <v>24936329.335638743</v>
      </c>
      <c r="J76" s="206">
        <f t="shared" si="4"/>
        <v>3229254.6489652172</v>
      </c>
      <c r="K76" t="str">
        <f>_xlfn.XLOOKUP(B76,Cert_OC_Cliente!$B:$B,Cert_OC_Cliente!$L:$L)</f>
        <v>PTO 01</v>
      </c>
      <c r="L76" t="str">
        <f t="shared" si="5"/>
        <v>✓</v>
      </c>
    </row>
    <row r="77" spans="1:12" x14ac:dyDescent="0.35">
      <c r="A77" t="s">
        <v>4929</v>
      </c>
      <c r="B77" t="s">
        <v>4930</v>
      </c>
      <c r="C77" t="s">
        <v>4951</v>
      </c>
      <c r="D77" s="205">
        <v>45930</v>
      </c>
      <c r="E77">
        <v>3.14</v>
      </c>
      <c r="F77">
        <v>0.4531</v>
      </c>
      <c r="G77">
        <v>0.18579999999999999</v>
      </c>
      <c r="H77">
        <f t="shared" si="3"/>
        <v>0.63890000000000002</v>
      </c>
      <c r="I77" s="206">
        <f>SUMIFS('1_Presupuesto'!$V:$V,'1_Presupuesto'!$X:$X,K77,'1_Presupuesto'!$E:$E,E77)</f>
        <v>44977139.428949133</v>
      </c>
      <c r="J77" s="206">
        <f t="shared" si="4"/>
        <v>8356752.5058987485</v>
      </c>
      <c r="K77" t="str">
        <f>_xlfn.XLOOKUP(B77,Cert_OC_Cliente!$B:$B,Cert_OC_Cliente!$L:$L)</f>
        <v>PTO 01</v>
      </c>
      <c r="L77" t="str">
        <f t="shared" si="5"/>
        <v>✓</v>
      </c>
    </row>
    <row r="78" spans="1:12" x14ac:dyDescent="0.35">
      <c r="A78" t="s">
        <v>4929</v>
      </c>
      <c r="B78" t="s">
        <v>4930</v>
      </c>
      <c r="C78" t="s">
        <v>4951</v>
      </c>
      <c r="D78" s="205">
        <v>45930</v>
      </c>
      <c r="E78">
        <v>3.16</v>
      </c>
      <c r="F78">
        <v>0.33750000000000002</v>
      </c>
      <c r="G78">
        <v>0.14499999999999999</v>
      </c>
      <c r="H78">
        <f t="shared" si="3"/>
        <v>0.48250000000000004</v>
      </c>
      <c r="I78" s="206">
        <f>SUMIFS('1_Presupuesto'!$V:$V,'1_Presupuesto'!$X:$X,K78,'1_Presupuesto'!$E:$E,E78)</f>
        <v>5016655.3532214398</v>
      </c>
      <c r="J78" s="206">
        <f t="shared" si="4"/>
        <v>727415.02621710871</v>
      </c>
      <c r="K78" t="str">
        <f>_xlfn.XLOOKUP(B78,Cert_OC_Cliente!$B:$B,Cert_OC_Cliente!$L:$L)</f>
        <v>PTO 01</v>
      </c>
      <c r="L78" t="str">
        <f t="shared" si="5"/>
        <v>✓</v>
      </c>
    </row>
    <row r="79" spans="1:12" x14ac:dyDescent="0.35">
      <c r="A79" t="s">
        <v>4929</v>
      </c>
      <c r="B79" t="s">
        <v>4930</v>
      </c>
      <c r="C79" t="s">
        <v>4951</v>
      </c>
      <c r="D79" s="205">
        <v>45930</v>
      </c>
      <c r="E79">
        <v>3.17</v>
      </c>
      <c r="F79">
        <v>0.184</v>
      </c>
      <c r="G79">
        <v>0.2</v>
      </c>
      <c r="H79">
        <f t="shared" si="3"/>
        <v>0.38400000000000001</v>
      </c>
      <c r="I79" s="206">
        <f>SUMIFS('1_Presupuesto'!$V:$V,'1_Presupuesto'!$X:$X,K79,'1_Presupuesto'!$E:$E,E79)</f>
        <v>11115342.66805636</v>
      </c>
      <c r="J79" s="206">
        <f t="shared" si="4"/>
        <v>2223068.533611272</v>
      </c>
      <c r="K79" t="str">
        <f>_xlfn.XLOOKUP(B79,Cert_OC_Cliente!$B:$B,Cert_OC_Cliente!$L:$L)</f>
        <v>PTO 01</v>
      </c>
      <c r="L79" t="str">
        <f t="shared" si="5"/>
        <v>✓</v>
      </c>
    </row>
    <row r="80" spans="1:12" x14ac:dyDescent="0.35">
      <c r="A80" t="s">
        <v>4929</v>
      </c>
      <c r="B80" t="s">
        <v>4930</v>
      </c>
      <c r="C80" t="s">
        <v>4951</v>
      </c>
      <c r="D80" s="205">
        <v>45930</v>
      </c>
      <c r="E80">
        <v>3.19</v>
      </c>
      <c r="F80">
        <v>0.35</v>
      </c>
      <c r="G80">
        <v>0.15</v>
      </c>
      <c r="H80">
        <f t="shared" si="3"/>
        <v>0.5</v>
      </c>
      <c r="I80" s="206">
        <f>SUMIFS('1_Presupuesto'!$V:$V,'1_Presupuesto'!$X:$X,K80,'1_Presupuesto'!$E:$E,E80)</f>
        <v>11272950.40816284</v>
      </c>
      <c r="J80" s="206">
        <f t="shared" si="4"/>
        <v>1690942.5612244259</v>
      </c>
      <c r="K80" t="str">
        <f>_xlfn.XLOOKUP(B80,Cert_OC_Cliente!$B:$B,Cert_OC_Cliente!$L:$L)</f>
        <v>PTO 01</v>
      </c>
      <c r="L80" t="str">
        <f t="shared" si="5"/>
        <v>✓</v>
      </c>
    </row>
    <row r="81" spans="1:12" x14ac:dyDescent="0.35">
      <c r="A81" t="s">
        <v>4929</v>
      </c>
      <c r="B81" t="s">
        <v>4930</v>
      </c>
      <c r="C81" t="s">
        <v>4951</v>
      </c>
      <c r="D81" s="205">
        <v>45930</v>
      </c>
      <c r="E81">
        <v>3.2</v>
      </c>
      <c r="F81">
        <v>0.65</v>
      </c>
      <c r="G81">
        <v>5.0000000000000037E-2</v>
      </c>
      <c r="H81">
        <f t="shared" si="3"/>
        <v>0.70000000000000007</v>
      </c>
      <c r="I81" s="206">
        <f>SUMIFS('1_Presupuesto'!$V:$V,'1_Presupuesto'!$X:$X,K81,'1_Presupuesto'!$E:$E,E81)</f>
        <v>4572161.3297441388</v>
      </c>
      <c r="J81" s="206">
        <f t="shared" si="4"/>
        <v>228608.06648720711</v>
      </c>
      <c r="K81" t="str">
        <f>_xlfn.XLOOKUP(B81,Cert_OC_Cliente!$B:$B,Cert_OC_Cliente!$L:$L)</f>
        <v>PTO 01</v>
      </c>
      <c r="L81" t="str">
        <f t="shared" si="5"/>
        <v>✓</v>
      </c>
    </row>
    <row r="82" spans="1:12" x14ac:dyDescent="0.35">
      <c r="A82" t="s">
        <v>4929</v>
      </c>
      <c r="B82" t="s">
        <v>4930</v>
      </c>
      <c r="C82" t="s">
        <v>4951</v>
      </c>
      <c r="D82" s="205">
        <v>45930</v>
      </c>
      <c r="E82">
        <v>3.22</v>
      </c>
      <c r="F82">
        <v>0.85000000000000009</v>
      </c>
      <c r="G82">
        <v>0.14999999999999991</v>
      </c>
      <c r="H82">
        <f t="shared" si="3"/>
        <v>1</v>
      </c>
      <c r="I82" s="206">
        <f>SUMIFS('1_Presupuesto'!$V:$V,'1_Presupuesto'!$X:$X,K82,'1_Presupuesto'!$E:$E,E82)</f>
        <v>2625266.0511022829</v>
      </c>
      <c r="J82" s="206">
        <f t="shared" si="4"/>
        <v>393789.90766534221</v>
      </c>
      <c r="K82" t="str">
        <f>_xlfn.XLOOKUP(B82,Cert_OC_Cliente!$B:$B,Cert_OC_Cliente!$L:$L)</f>
        <v>PTO 01</v>
      </c>
      <c r="L82" t="str">
        <f t="shared" si="5"/>
        <v>✓</v>
      </c>
    </row>
    <row r="83" spans="1:12" x14ac:dyDescent="0.35">
      <c r="A83" t="s">
        <v>4929</v>
      </c>
      <c r="B83" t="s">
        <v>4930</v>
      </c>
      <c r="C83" t="s">
        <v>4952</v>
      </c>
      <c r="D83" s="205">
        <v>45958</v>
      </c>
      <c r="E83">
        <v>1.04</v>
      </c>
      <c r="F83">
        <v>0</v>
      </c>
      <c r="G83">
        <v>0.75</v>
      </c>
      <c r="H83">
        <f t="shared" si="3"/>
        <v>0.75</v>
      </c>
      <c r="I83" s="206">
        <f>SUMIFS('1_Presupuesto'!$V:$V,'1_Presupuesto'!$X:$X,K83,'1_Presupuesto'!$E:$E,E83)</f>
        <v>2569962.8671047459</v>
      </c>
      <c r="J83" s="206">
        <f t="shared" si="4"/>
        <v>1927472.1503285593</v>
      </c>
      <c r="K83" t="str">
        <f>_xlfn.XLOOKUP(B83,Cert_OC_Cliente!$B:$B,Cert_OC_Cliente!$L:$L)</f>
        <v>PTO 01</v>
      </c>
      <c r="L83" t="str">
        <f t="shared" si="5"/>
        <v>✓</v>
      </c>
    </row>
    <row r="84" spans="1:12" x14ac:dyDescent="0.35">
      <c r="A84" t="s">
        <v>4929</v>
      </c>
      <c r="B84" t="s">
        <v>4930</v>
      </c>
      <c r="C84" t="s">
        <v>4952</v>
      </c>
      <c r="D84" s="205">
        <v>45958</v>
      </c>
      <c r="E84">
        <v>1.05</v>
      </c>
      <c r="F84">
        <v>0.7</v>
      </c>
      <c r="G84">
        <v>0.15</v>
      </c>
      <c r="H84">
        <f t="shared" si="3"/>
        <v>0.85</v>
      </c>
      <c r="I84" s="206">
        <f>SUMIFS('1_Presupuesto'!$V:$V,'1_Presupuesto'!$X:$X,K84,'1_Presupuesto'!$E:$E,E84)</f>
        <v>9812331.4493414909</v>
      </c>
      <c r="J84" s="206">
        <f t="shared" si="4"/>
        <v>1471849.7174012235</v>
      </c>
      <c r="K84" t="str">
        <f>_xlfn.XLOOKUP(B84,Cert_OC_Cliente!$B:$B,Cert_OC_Cliente!$L:$L)</f>
        <v>PTO 01</v>
      </c>
      <c r="L84" t="str">
        <f t="shared" si="5"/>
        <v>✓</v>
      </c>
    </row>
    <row r="85" spans="1:12" x14ac:dyDescent="0.35">
      <c r="A85" t="s">
        <v>4929</v>
      </c>
      <c r="B85" t="s">
        <v>4930</v>
      </c>
      <c r="C85" t="s">
        <v>4952</v>
      </c>
      <c r="D85" s="205">
        <v>45958</v>
      </c>
      <c r="E85">
        <v>3.11</v>
      </c>
      <c r="F85">
        <v>0.51239999999999997</v>
      </c>
      <c r="G85">
        <v>7.0000000000000062E-2</v>
      </c>
      <c r="H85">
        <f t="shared" si="3"/>
        <v>0.58240000000000003</v>
      </c>
      <c r="I85" s="206">
        <f>SUMIFS('1_Presupuesto'!$V:$V,'1_Presupuesto'!$X:$X,K85,'1_Presupuesto'!$E:$E,E85)</f>
        <v>68755581.396662742</v>
      </c>
      <c r="J85" s="206">
        <f t="shared" si="4"/>
        <v>4812890.6977663962</v>
      </c>
      <c r="K85" t="str">
        <f>_xlfn.XLOOKUP(B85,Cert_OC_Cliente!$B:$B,Cert_OC_Cliente!$L:$L)</f>
        <v>PTO 01</v>
      </c>
      <c r="L85" t="str">
        <f t="shared" si="5"/>
        <v>✓</v>
      </c>
    </row>
    <row r="86" spans="1:12" x14ac:dyDescent="0.35">
      <c r="A86" t="s">
        <v>4929</v>
      </c>
      <c r="B86" t="s">
        <v>4930</v>
      </c>
      <c r="C86" t="s">
        <v>4952</v>
      </c>
      <c r="D86" s="205">
        <v>45958</v>
      </c>
      <c r="E86">
        <v>3.12</v>
      </c>
      <c r="F86">
        <v>0.98460000000000003</v>
      </c>
      <c r="G86">
        <v>1.5399999999999969E-2</v>
      </c>
      <c r="H86">
        <f t="shared" si="3"/>
        <v>1</v>
      </c>
      <c r="I86" s="206">
        <f>SUMIFS('1_Presupuesto'!$V:$V,'1_Presupuesto'!$X:$X,K86,'1_Presupuesto'!$E:$E,E86)</f>
        <v>51874907.339525312</v>
      </c>
      <c r="J86" s="206">
        <f t="shared" si="4"/>
        <v>798873.5730286882</v>
      </c>
      <c r="K86" t="str">
        <f>_xlfn.XLOOKUP(B86,Cert_OC_Cliente!$B:$B,Cert_OC_Cliente!$L:$L)</f>
        <v>PTO 01</v>
      </c>
      <c r="L86" t="str">
        <f t="shared" si="5"/>
        <v>✓</v>
      </c>
    </row>
    <row r="87" spans="1:12" x14ac:dyDescent="0.35">
      <c r="A87" t="s">
        <v>4929</v>
      </c>
      <c r="B87" t="s">
        <v>4930</v>
      </c>
      <c r="C87" t="s">
        <v>4952</v>
      </c>
      <c r="D87" s="205">
        <v>45958</v>
      </c>
      <c r="E87">
        <v>3.13</v>
      </c>
      <c r="F87">
        <v>0.52190000000000003</v>
      </c>
      <c r="G87">
        <v>0.13</v>
      </c>
      <c r="H87">
        <f t="shared" si="3"/>
        <v>0.65190000000000003</v>
      </c>
      <c r="I87" s="206">
        <f>SUMIFS('1_Presupuesto'!$V:$V,'1_Presupuesto'!$X:$X,K87,'1_Presupuesto'!$E:$E,E87)</f>
        <v>24936329.335638743</v>
      </c>
      <c r="J87" s="206">
        <f t="shared" si="4"/>
        <v>3241722.8136330368</v>
      </c>
      <c r="K87" t="str">
        <f>_xlfn.XLOOKUP(B87,Cert_OC_Cliente!$B:$B,Cert_OC_Cliente!$L:$L)</f>
        <v>PTO 01</v>
      </c>
      <c r="L87" t="str">
        <f t="shared" si="5"/>
        <v>✓</v>
      </c>
    </row>
    <row r="88" spans="1:12" x14ac:dyDescent="0.35">
      <c r="A88" t="s">
        <v>4929</v>
      </c>
      <c r="B88" t="s">
        <v>4930</v>
      </c>
      <c r="C88" t="s">
        <v>4952</v>
      </c>
      <c r="D88" s="205">
        <v>45958</v>
      </c>
      <c r="E88">
        <v>3.14</v>
      </c>
      <c r="F88">
        <v>0.63890000000000002</v>
      </c>
      <c r="G88">
        <v>0.17999999999999991</v>
      </c>
      <c r="H88">
        <f t="shared" si="3"/>
        <v>0.81889999999999996</v>
      </c>
      <c r="I88" s="206">
        <f>SUMIFS('1_Presupuesto'!$V:$V,'1_Presupuesto'!$X:$X,K88,'1_Presupuesto'!$E:$E,E88)</f>
        <v>44977139.428949133</v>
      </c>
      <c r="J88" s="206">
        <f t="shared" si="4"/>
        <v>8095885.0972108394</v>
      </c>
      <c r="K88" t="str">
        <f>_xlfn.XLOOKUP(B88,Cert_OC_Cliente!$B:$B,Cert_OC_Cliente!$L:$L)</f>
        <v>PTO 01</v>
      </c>
      <c r="L88" t="str">
        <f t="shared" si="5"/>
        <v>✓</v>
      </c>
    </row>
    <row r="89" spans="1:12" x14ac:dyDescent="0.35">
      <c r="A89" t="s">
        <v>4929</v>
      </c>
      <c r="B89" t="s">
        <v>4930</v>
      </c>
      <c r="C89" t="s">
        <v>4952</v>
      </c>
      <c r="D89" s="205">
        <v>45958</v>
      </c>
      <c r="E89">
        <v>3.16</v>
      </c>
      <c r="F89">
        <v>0.48249999999999998</v>
      </c>
      <c r="G89">
        <v>0.15</v>
      </c>
      <c r="H89">
        <f t="shared" si="3"/>
        <v>0.63249999999999995</v>
      </c>
      <c r="I89" s="206">
        <f>SUMIFS('1_Presupuesto'!$V:$V,'1_Presupuesto'!$X:$X,K89,'1_Presupuesto'!$E:$E,E89)</f>
        <v>5016655.3532214398</v>
      </c>
      <c r="J89" s="206">
        <f t="shared" si="4"/>
        <v>752498.30298321589</v>
      </c>
      <c r="K89" t="str">
        <f>_xlfn.XLOOKUP(B89,Cert_OC_Cliente!$B:$B,Cert_OC_Cliente!$L:$L)</f>
        <v>PTO 01</v>
      </c>
      <c r="L89" t="str">
        <f t="shared" si="5"/>
        <v>✓</v>
      </c>
    </row>
    <row r="90" spans="1:12" x14ac:dyDescent="0.35">
      <c r="A90" t="s">
        <v>4929</v>
      </c>
      <c r="B90" t="s">
        <v>4930</v>
      </c>
      <c r="C90" t="s">
        <v>4952</v>
      </c>
      <c r="D90" s="205">
        <v>45958</v>
      </c>
      <c r="E90">
        <v>3.17</v>
      </c>
      <c r="F90">
        <v>0.38400000000000001</v>
      </c>
      <c r="G90">
        <v>0.18</v>
      </c>
      <c r="H90">
        <f t="shared" si="3"/>
        <v>0.56400000000000006</v>
      </c>
      <c r="I90" s="206">
        <f>SUMIFS('1_Presupuesto'!$V:$V,'1_Presupuesto'!$X:$X,K90,'1_Presupuesto'!$E:$E,E90)</f>
        <v>11115342.66805636</v>
      </c>
      <c r="J90" s="206">
        <f t="shared" si="4"/>
        <v>2000761.6802501446</v>
      </c>
      <c r="K90" t="str">
        <f>_xlfn.XLOOKUP(B90,Cert_OC_Cliente!$B:$B,Cert_OC_Cliente!$L:$L)</f>
        <v>PTO 01</v>
      </c>
      <c r="L90" t="str">
        <f t="shared" si="5"/>
        <v>✓</v>
      </c>
    </row>
    <row r="91" spans="1:12" x14ac:dyDescent="0.35">
      <c r="A91" t="s">
        <v>4929</v>
      </c>
      <c r="B91" t="s">
        <v>4930</v>
      </c>
      <c r="C91" t="s">
        <v>4952</v>
      </c>
      <c r="D91" s="205">
        <v>45958</v>
      </c>
      <c r="E91">
        <v>3.19</v>
      </c>
      <c r="F91">
        <v>0.5</v>
      </c>
      <c r="G91">
        <v>0.15</v>
      </c>
      <c r="H91">
        <f t="shared" si="3"/>
        <v>0.65</v>
      </c>
      <c r="I91" s="206">
        <f>SUMIFS('1_Presupuesto'!$V:$V,'1_Presupuesto'!$X:$X,K91,'1_Presupuesto'!$E:$E,E91)</f>
        <v>11272950.40816284</v>
      </c>
      <c r="J91" s="206">
        <f t="shared" si="4"/>
        <v>1690942.5612244259</v>
      </c>
      <c r="K91" t="str">
        <f>_xlfn.XLOOKUP(B91,Cert_OC_Cliente!$B:$B,Cert_OC_Cliente!$L:$L)</f>
        <v>PTO 01</v>
      </c>
      <c r="L91" t="str">
        <f t="shared" si="5"/>
        <v>✓</v>
      </c>
    </row>
    <row r="92" spans="1:12" x14ac:dyDescent="0.35">
      <c r="A92" t="s">
        <v>4929</v>
      </c>
      <c r="B92" t="s">
        <v>4930</v>
      </c>
      <c r="C92" t="s">
        <v>4952</v>
      </c>
      <c r="D92" s="205">
        <v>45958</v>
      </c>
      <c r="E92">
        <v>3.2</v>
      </c>
      <c r="F92">
        <v>0.70000000000000007</v>
      </c>
      <c r="G92">
        <v>9.9999999999999978E-2</v>
      </c>
      <c r="H92">
        <f t="shared" si="3"/>
        <v>0.8</v>
      </c>
      <c r="I92" s="206">
        <f>SUMIFS('1_Presupuesto'!$V:$V,'1_Presupuesto'!$X:$X,K92,'1_Presupuesto'!$E:$E,E92)</f>
        <v>4572161.3297441388</v>
      </c>
      <c r="J92" s="206">
        <f t="shared" si="4"/>
        <v>457216.13297441375</v>
      </c>
      <c r="K92" t="str">
        <f>_xlfn.XLOOKUP(B92,Cert_OC_Cliente!$B:$B,Cert_OC_Cliente!$L:$L)</f>
        <v>PTO 01</v>
      </c>
      <c r="L92" t="str">
        <f t="shared" si="5"/>
        <v>✓</v>
      </c>
    </row>
    <row r="93" spans="1:12" x14ac:dyDescent="0.35">
      <c r="A93" t="s">
        <v>4929</v>
      </c>
      <c r="B93" t="s">
        <v>4930</v>
      </c>
      <c r="C93" t="s">
        <v>4952</v>
      </c>
      <c r="D93" s="205">
        <v>45958</v>
      </c>
      <c r="E93">
        <v>3.21</v>
      </c>
      <c r="F93">
        <v>0.66</v>
      </c>
      <c r="G93">
        <v>0.34</v>
      </c>
      <c r="H93">
        <f t="shared" si="3"/>
        <v>1</v>
      </c>
      <c r="I93" s="206">
        <f>SUMIFS('1_Presupuesto'!$V:$V,'1_Presupuesto'!$X:$X,K93,'1_Presupuesto'!$E:$E,E93)</f>
        <v>204865.53838696622</v>
      </c>
      <c r="J93" s="206">
        <f t="shared" si="4"/>
        <v>69654.28305156852</v>
      </c>
      <c r="K93" t="str">
        <f>_xlfn.XLOOKUP(B93,Cert_OC_Cliente!$B:$B,Cert_OC_Cliente!$L:$L)</f>
        <v>PTO 01</v>
      </c>
      <c r="L93" t="str">
        <f t="shared" si="5"/>
        <v>✓</v>
      </c>
    </row>
    <row r="94" spans="1:12" x14ac:dyDescent="0.35">
      <c r="A94" t="s">
        <v>4929</v>
      </c>
      <c r="B94" t="s">
        <v>4930</v>
      </c>
      <c r="C94" t="s">
        <v>4953</v>
      </c>
      <c r="D94" s="205">
        <v>45988</v>
      </c>
      <c r="E94">
        <v>1.02</v>
      </c>
      <c r="F94">
        <v>0.33</v>
      </c>
      <c r="G94">
        <v>0.66999999999999993</v>
      </c>
      <c r="H94">
        <f t="shared" si="3"/>
        <v>1</v>
      </c>
      <c r="I94" s="206">
        <f>SUMIFS('1_Presupuesto'!$V:$V,'1_Presupuesto'!$X:$X,K94,'1_Presupuesto'!$E:$E,E94)</f>
        <v>1154940.4693789855</v>
      </c>
      <c r="J94" s="206">
        <f t="shared" si="4"/>
        <v>773810.11448392016</v>
      </c>
      <c r="K94" t="str">
        <f>_xlfn.XLOOKUP(B94,Cert_OC_Cliente!$B:$B,Cert_OC_Cliente!$L:$L)</f>
        <v>PTO 01</v>
      </c>
      <c r="L94" t="str">
        <f t="shared" si="5"/>
        <v>✓</v>
      </c>
    </row>
    <row r="95" spans="1:12" x14ac:dyDescent="0.35">
      <c r="A95" t="s">
        <v>4929</v>
      </c>
      <c r="B95" t="s">
        <v>4930</v>
      </c>
      <c r="C95" t="s">
        <v>4953</v>
      </c>
      <c r="D95" s="205">
        <v>45988</v>
      </c>
      <c r="E95">
        <v>1.04</v>
      </c>
      <c r="F95">
        <v>0.75</v>
      </c>
      <c r="G95">
        <v>0.25</v>
      </c>
      <c r="H95">
        <f t="shared" si="3"/>
        <v>1</v>
      </c>
      <c r="I95" s="206">
        <f>SUMIFS('1_Presupuesto'!$V:$V,'1_Presupuesto'!$X:$X,K95,'1_Presupuesto'!$E:$E,E95)</f>
        <v>2569962.8671047459</v>
      </c>
      <c r="J95" s="206">
        <f t="shared" si="4"/>
        <v>642490.71677618648</v>
      </c>
      <c r="K95" t="str">
        <f>_xlfn.XLOOKUP(B95,Cert_OC_Cliente!$B:$B,Cert_OC_Cliente!$L:$L)</f>
        <v>PTO 01</v>
      </c>
      <c r="L95" t="str">
        <f t="shared" si="5"/>
        <v>✓</v>
      </c>
    </row>
    <row r="96" spans="1:12" x14ac:dyDescent="0.35">
      <c r="A96" t="s">
        <v>4929</v>
      </c>
      <c r="B96" t="s">
        <v>4930</v>
      </c>
      <c r="C96" t="s">
        <v>4953</v>
      </c>
      <c r="D96" s="205">
        <v>45988</v>
      </c>
      <c r="E96">
        <v>1.05</v>
      </c>
      <c r="F96">
        <v>0.85</v>
      </c>
      <c r="G96">
        <v>0.15</v>
      </c>
      <c r="H96">
        <f t="shared" si="3"/>
        <v>1</v>
      </c>
      <c r="I96" s="206">
        <f>SUMIFS('1_Presupuesto'!$V:$V,'1_Presupuesto'!$X:$X,K96,'1_Presupuesto'!$E:$E,E96)</f>
        <v>9812331.4493414909</v>
      </c>
      <c r="J96" s="206">
        <f t="shared" si="4"/>
        <v>1471849.7174012235</v>
      </c>
      <c r="K96" t="str">
        <f>_xlfn.XLOOKUP(B96,Cert_OC_Cliente!$B:$B,Cert_OC_Cliente!$L:$L)</f>
        <v>PTO 01</v>
      </c>
      <c r="L96" t="str">
        <f t="shared" si="5"/>
        <v>✓</v>
      </c>
    </row>
    <row r="97" spans="1:12" x14ac:dyDescent="0.35">
      <c r="A97" t="s">
        <v>4929</v>
      </c>
      <c r="B97" t="s">
        <v>4930</v>
      </c>
      <c r="C97" t="s">
        <v>4953</v>
      </c>
      <c r="D97" s="205">
        <v>45988</v>
      </c>
      <c r="E97">
        <v>1.07</v>
      </c>
      <c r="F97">
        <v>0.8</v>
      </c>
      <c r="G97">
        <v>0.2</v>
      </c>
      <c r="H97">
        <f t="shared" si="3"/>
        <v>1</v>
      </c>
      <c r="I97" s="206">
        <f>SUMIFS('1_Presupuesto'!$V:$V,'1_Presupuesto'!$X:$X,K97,'1_Presupuesto'!$E:$E,E97)</f>
        <v>2287981.9468976362</v>
      </c>
      <c r="J97" s="206">
        <f t="shared" si="4"/>
        <v>457596.38937952725</v>
      </c>
      <c r="K97" t="str">
        <f>_xlfn.XLOOKUP(B97,Cert_OC_Cliente!$B:$B,Cert_OC_Cliente!$L:$L)</f>
        <v>PTO 01</v>
      </c>
      <c r="L97" t="str">
        <f t="shared" si="5"/>
        <v>✓</v>
      </c>
    </row>
    <row r="98" spans="1:12" x14ac:dyDescent="0.35">
      <c r="A98" t="s">
        <v>4929</v>
      </c>
      <c r="B98" t="s">
        <v>4930</v>
      </c>
      <c r="C98" t="s">
        <v>4953</v>
      </c>
      <c r="D98" s="205">
        <v>45988</v>
      </c>
      <c r="E98">
        <v>1.08</v>
      </c>
      <c r="F98">
        <v>0.2</v>
      </c>
      <c r="G98">
        <v>0.8</v>
      </c>
      <c r="H98">
        <f t="shared" si="3"/>
        <v>1</v>
      </c>
      <c r="I98" s="206">
        <f>SUMIFS('1_Presupuesto'!$V:$V,'1_Presupuesto'!$X:$X,K98,'1_Presupuesto'!$E:$E,E98)</f>
        <v>1808217.436234839</v>
      </c>
      <c r="J98" s="206">
        <f t="shared" si="4"/>
        <v>1446573.9489878714</v>
      </c>
      <c r="K98" t="str">
        <f>_xlfn.XLOOKUP(B98,Cert_OC_Cliente!$B:$B,Cert_OC_Cliente!$L:$L)</f>
        <v>PTO 01</v>
      </c>
      <c r="L98" t="str">
        <f t="shared" si="5"/>
        <v>✓</v>
      </c>
    </row>
    <row r="99" spans="1:12" x14ac:dyDescent="0.35">
      <c r="A99" t="s">
        <v>4929</v>
      </c>
      <c r="B99" t="s">
        <v>4930</v>
      </c>
      <c r="C99" t="s">
        <v>4953</v>
      </c>
      <c r="D99" s="205">
        <v>45988</v>
      </c>
      <c r="E99">
        <v>1.0900000000000001</v>
      </c>
      <c r="F99">
        <v>0.7</v>
      </c>
      <c r="G99">
        <v>0.3</v>
      </c>
      <c r="H99">
        <f t="shared" si="3"/>
        <v>1</v>
      </c>
      <c r="I99" s="206">
        <f>SUMIFS('1_Presupuesto'!$V:$V,'1_Presupuesto'!$X:$X,K99,'1_Presupuesto'!$E:$E,E99)</f>
        <v>483368.3566706212</v>
      </c>
      <c r="J99" s="206">
        <f t="shared" si="4"/>
        <v>145010.50700118634</v>
      </c>
      <c r="K99" t="str">
        <f>_xlfn.XLOOKUP(B99,Cert_OC_Cliente!$B:$B,Cert_OC_Cliente!$L:$L)</f>
        <v>PTO 01</v>
      </c>
      <c r="L99" t="str">
        <f t="shared" si="5"/>
        <v>✓</v>
      </c>
    </row>
    <row r="100" spans="1:12" x14ac:dyDescent="0.35">
      <c r="A100" t="s">
        <v>4929</v>
      </c>
      <c r="B100" t="s">
        <v>4930</v>
      </c>
      <c r="C100" t="s">
        <v>4953</v>
      </c>
      <c r="D100" s="205">
        <v>45988</v>
      </c>
      <c r="E100">
        <v>3.09</v>
      </c>
      <c r="F100">
        <v>0.1333</v>
      </c>
      <c r="G100">
        <v>0.86670000000000003</v>
      </c>
      <c r="H100">
        <f t="shared" si="3"/>
        <v>1</v>
      </c>
      <c r="I100" s="206">
        <f>SUMIFS('1_Presupuesto'!$V:$V,'1_Presupuesto'!$X:$X,K100,'1_Presupuesto'!$E:$E,E100)</f>
        <v>72361991.826387569</v>
      </c>
      <c r="J100" s="206">
        <f t="shared" si="4"/>
        <v>62716138.315930106</v>
      </c>
      <c r="K100" t="str">
        <f>_xlfn.XLOOKUP(B100,Cert_OC_Cliente!$B:$B,Cert_OC_Cliente!$L:$L)</f>
        <v>PTO 01</v>
      </c>
      <c r="L100" t="str">
        <f t="shared" si="5"/>
        <v>✓</v>
      </c>
    </row>
    <row r="101" spans="1:12" x14ac:dyDescent="0.35">
      <c r="A101" t="s">
        <v>4929</v>
      </c>
      <c r="B101" t="s">
        <v>4930</v>
      </c>
      <c r="C101" t="s">
        <v>4953</v>
      </c>
      <c r="D101" s="205">
        <v>45988</v>
      </c>
      <c r="E101">
        <v>3.1</v>
      </c>
      <c r="F101">
        <v>1.0027999999999999</v>
      </c>
      <c r="G101">
        <v>-2.8000000000001361E-3</v>
      </c>
      <c r="H101">
        <f t="shared" si="3"/>
        <v>0.99999999999999978</v>
      </c>
      <c r="I101" s="206">
        <f>SUMIFS('1_Presupuesto'!$V:$V,'1_Presupuesto'!$X:$X,K101,'1_Presupuesto'!$E:$E,E101)</f>
        <v>28439434.667147275</v>
      </c>
      <c r="J101" s="206">
        <f t="shared" si="4"/>
        <v>-79630.417068016235</v>
      </c>
      <c r="K101" t="str">
        <f>_xlfn.XLOOKUP(B101,Cert_OC_Cliente!$B:$B,Cert_OC_Cliente!$L:$L)</f>
        <v>PTO 01</v>
      </c>
      <c r="L101" t="str">
        <f t="shared" si="5"/>
        <v>✓</v>
      </c>
    </row>
    <row r="102" spans="1:12" x14ac:dyDescent="0.35">
      <c r="A102" t="s">
        <v>4929</v>
      </c>
      <c r="B102" t="s">
        <v>4930</v>
      </c>
      <c r="C102" t="s">
        <v>4953</v>
      </c>
      <c r="D102" s="205">
        <v>45988</v>
      </c>
      <c r="E102">
        <v>3.11</v>
      </c>
      <c r="F102">
        <v>0.58240000000000003</v>
      </c>
      <c r="G102">
        <v>0.41760000000000003</v>
      </c>
      <c r="H102">
        <f t="shared" si="3"/>
        <v>1</v>
      </c>
      <c r="I102" s="206">
        <f>SUMIFS('1_Presupuesto'!$V:$V,'1_Presupuesto'!$X:$X,K102,'1_Presupuesto'!$E:$E,E102)</f>
        <v>68755581.396662742</v>
      </c>
      <c r="J102" s="206">
        <f t="shared" si="4"/>
        <v>28712330.791246362</v>
      </c>
      <c r="K102" t="str">
        <f>_xlfn.XLOOKUP(B102,Cert_OC_Cliente!$B:$B,Cert_OC_Cliente!$L:$L)</f>
        <v>PTO 01</v>
      </c>
      <c r="L102" t="str">
        <f t="shared" si="5"/>
        <v>✓</v>
      </c>
    </row>
    <row r="103" spans="1:12" x14ac:dyDescent="0.35">
      <c r="A103" t="s">
        <v>4929</v>
      </c>
      <c r="B103" t="s">
        <v>4930</v>
      </c>
      <c r="C103" t="s">
        <v>4953</v>
      </c>
      <c r="D103" s="205">
        <v>45988</v>
      </c>
      <c r="E103">
        <v>3.13</v>
      </c>
      <c r="F103">
        <v>0.65190000000000003</v>
      </c>
      <c r="G103">
        <v>0.34810000000000002</v>
      </c>
      <c r="H103">
        <f t="shared" si="3"/>
        <v>1</v>
      </c>
      <c r="I103" s="206">
        <f>SUMIFS('1_Presupuesto'!$V:$V,'1_Presupuesto'!$X:$X,K103,'1_Presupuesto'!$E:$E,E103)</f>
        <v>24936329.335638743</v>
      </c>
      <c r="J103" s="206">
        <f t="shared" si="4"/>
        <v>8680336.2417358477</v>
      </c>
      <c r="K103" t="str">
        <f>_xlfn.XLOOKUP(B103,Cert_OC_Cliente!$B:$B,Cert_OC_Cliente!$L:$L)</f>
        <v>PTO 01</v>
      </c>
      <c r="L103" t="str">
        <f t="shared" si="5"/>
        <v>✓</v>
      </c>
    </row>
    <row r="104" spans="1:12" x14ac:dyDescent="0.35">
      <c r="A104" t="s">
        <v>4929</v>
      </c>
      <c r="B104" t="s">
        <v>4930</v>
      </c>
      <c r="C104" t="s">
        <v>4953</v>
      </c>
      <c r="D104" s="205">
        <v>45988</v>
      </c>
      <c r="E104">
        <v>3.14</v>
      </c>
      <c r="F104">
        <v>0.81889999999999996</v>
      </c>
      <c r="G104">
        <v>0.18110000000000001</v>
      </c>
      <c r="H104">
        <f t="shared" si="3"/>
        <v>1</v>
      </c>
      <c r="I104" s="206">
        <f>SUMIFS('1_Presupuesto'!$V:$V,'1_Presupuesto'!$X:$X,K104,'1_Presupuesto'!$E:$E,E104)</f>
        <v>44977139.428949133</v>
      </c>
      <c r="J104" s="206">
        <f t="shared" si="4"/>
        <v>8145359.9505826887</v>
      </c>
      <c r="K104" t="str">
        <f>_xlfn.XLOOKUP(B104,Cert_OC_Cliente!$B:$B,Cert_OC_Cliente!$L:$L)</f>
        <v>PTO 01</v>
      </c>
      <c r="L104" t="str">
        <f t="shared" si="5"/>
        <v>✓</v>
      </c>
    </row>
    <row r="105" spans="1:12" x14ac:dyDescent="0.35">
      <c r="A105" t="s">
        <v>4929</v>
      </c>
      <c r="B105" t="s">
        <v>4930</v>
      </c>
      <c r="C105" t="s">
        <v>4953</v>
      </c>
      <c r="D105" s="205">
        <v>45988</v>
      </c>
      <c r="E105">
        <v>3.16</v>
      </c>
      <c r="F105">
        <v>0.63250000000000006</v>
      </c>
      <c r="G105">
        <v>0.36749999999999988</v>
      </c>
      <c r="H105">
        <f t="shared" si="3"/>
        <v>1</v>
      </c>
      <c r="I105" s="206">
        <f>SUMIFS('1_Presupuesto'!$V:$V,'1_Presupuesto'!$X:$X,K105,'1_Presupuesto'!$E:$E,E105)</f>
        <v>5016655.3532214398</v>
      </c>
      <c r="J105" s="206">
        <f t="shared" si="4"/>
        <v>1843620.8423088784</v>
      </c>
      <c r="K105" t="str">
        <f>_xlfn.XLOOKUP(B105,Cert_OC_Cliente!$B:$B,Cert_OC_Cliente!$L:$L)</f>
        <v>PTO 01</v>
      </c>
      <c r="L105" t="str">
        <f t="shared" si="5"/>
        <v>✓</v>
      </c>
    </row>
    <row r="106" spans="1:12" x14ac:dyDescent="0.35">
      <c r="A106" t="s">
        <v>4929</v>
      </c>
      <c r="B106" t="s">
        <v>4930</v>
      </c>
      <c r="C106" t="s">
        <v>4953</v>
      </c>
      <c r="D106" s="205">
        <v>45988</v>
      </c>
      <c r="E106">
        <v>3.17</v>
      </c>
      <c r="F106">
        <v>0.56400000000000006</v>
      </c>
      <c r="G106">
        <v>0.43599999999999989</v>
      </c>
      <c r="H106">
        <f t="shared" si="3"/>
        <v>1</v>
      </c>
      <c r="I106" s="206">
        <f>SUMIFS('1_Presupuesto'!$V:$V,'1_Presupuesto'!$X:$X,K106,'1_Presupuesto'!$E:$E,E106)</f>
        <v>11115342.66805636</v>
      </c>
      <c r="J106" s="206">
        <f t="shared" si="4"/>
        <v>4846289.403272571</v>
      </c>
      <c r="K106" t="str">
        <f>_xlfn.XLOOKUP(B106,Cert_OC_Cliente!$B:$B,Cert_OC_Cliente!$L:$L)</f>
        <v>PTO 01</v>
      </c>
      <c r="L106" t="str">
        <f t="shared" si="5"/>
        <v>✓</v>
      </c>
    </row>
    <row r="107" spans="1:12" x14ac:dyDescent="0.35">
      <c r="A107" t="s">
        <v>4929</v>
      </c>
      <c r="B107" t="s">
        <v>4930</v>
      </c>
      <c r="C107" t="s">
        <v>4953</v>
      </c>
      <c r="D107" s="205">
        <v>45988</v>
      </c>
      <c r="E107">
        <v>3.18</v>
      </c>
      <c r="F107">
        <v>0</v>
      </c>
      <c r="G107">
        <v>1</v>
      </c>
      <c r="H107">
        <f t="shared" si="3"/>
        <v>1</v>
      </c>
      <c r="I107" s="206">
        <f>SUMIFS('1_Presupuesto'!$V:$V,'1_Presupuesto'!$X:$X,K107,'1_Presupuesto'!$E:$E,E107)</f>
        <v>6234082.3339096857</v>
      </c>
      <c r="J107" s="206">
        <f t="shared" si="4"/>
        <v>6234082.3339096857</v>
      </c>
      <c r="K107" t="str">
        <f>_xlfn.XLOOKUP(B107,Cert_OC_Cliente!$B:$B,Cert_OC_Cliente!$L:$L)</f>
        <v>PTO 01</v>
      </c>
      <c r="L107" t="str">
        <f t="shared" si="5"/>
        <v>✓</v>
      </c>
    </row>
    <row r="108" spans="1:12" x14ac:dyDescent="0.35">
      <c r="A108" t="s">
        <v>4929</v>
      </c>
      <c r="B108" t="s">
        <v>4930</v>
      </c>
      <c r="C108" t="s">
        <v>4953</v>
      </c>
      <c r="D108" s="205">
        <v>45988</v>
      </c>
      <c r="E108">
        <v>3.19</v>
      </c>
      <c r="F108">
        <v>0.65</v>
      </c>
      <c r="G108">
        <v>0.35</v>
      </c>
      <c r="H108">
        <f t="shared" si="3"/>
        <v>1</v>
      </c>
      <c r="I108" s="206">
        <f>SUMIFS('1_Presupuesto'!$V:$V,'1_Presupuesto'!$X:$X,K108,'1_Presupuesto'!$E:$E,E108)</f>
        <v>11272950.40816284</v>
      </c>
      <c r="J108" s="206">
        <f t="shared" si="4"/>
        <v>3945532.6428569937</v>
      </c>
      <c r="K108" t="str">
        <f>_xlfn.XLOOKUP(B108,Cert_OC_Cliente!$B:$B,Cert_OC_Cliente!$L:$L)</f>
        <v>PTO 01</v>
      </c>
      <c r="L108" t="str">
        <f t="shared" si="5"/>
        <v>✓</v>
      </c>
    </row>
    <row r="109" spans="1:12" x14ac:dyDescent="0.35">
      <c r="A109" t="s">
        <v>4929</v>
      </c>
      <c r="B109" t="s">
        <v>4930</v>
      </c>
      <c r="C109" t="s">
        <v>4953</v>
      </c>
      <c r="D109" s="205">
        <v>45988</v>
      </c>
      <c r="E109">
        <v>3.2</v>
      </c>
      <c r="F109">
        <v>0.8</v>
      </c>
      <c r="G109">
        <v>0.2</v>
      </c>
      <c r="H109">
        <f t="shared" si="3"/>
        <v>1</v>
      </c>
      <c r="I109" s="206">
        <f>SUMIFS('1_Presupuesto'!$V:$V,'1_Presupuesto'!$X:$X,K109,'1_Presupuesto'!$E:$E,E109)</f>
        <v>4572161.3297441388</v>
      </c>
      <c r="J109" s="206">
        <f t="shared" si="4"/>
        <v>914432.26594882784</v>
      </c>
      <c r="K109" t="str">
        <f>_xlfn.XLOOKUP(B109,Cert_OC_Cliente!$B:$B,Cert_OC_Cliente!$L:$L)</f>
        <v>PTO 01</v>
      </c>
      <c r="L109" t="str">
        <f t="shared" si="5"/>
        <v>✓</v>
      </c>
    </row>
    <row r="110" spans="1:12" x14ac:dyDescent="0.35">
      <c r="A110" t="s">
        <v>4929</v>
      </c>
      <c r="B110" t="s">
        <v>4932</v>
      </c>
      <c r="C110" t="s">
        <v>4954</v>
      </c>
      <c r="D110" s="205">
        <v>45747</v>
      </c>
      <c r="E110">
        <v>24.01</v>
      </c>
      <c r="F110">
        <v>0</v>
      </c>
      <c r="G110">
        <v>0.05</v>
      </c>
      <c r="H110">
        <f t="shared" si="3"/>
        <v>0.05</v>
      </c>
      <c r="I110" s="206">
        <f>SUMIFS('1_Presupuesto'!$V:$V,'1_Presupuesto'!$X:$X,K110,'1_Presupuesto'!$E:$E,E110)</f>
        <v>16546555.307464439</v>
      </c>
      <c r="J110" s="206">
        <f t="shared" si="4"/>
        <v>827327.76537322206</v>
      </c>
      <c r="K110" t="str">
        <f>_xlfn.XLOOKUP(B110,Cert_OC_Cliente!$B:$B,Cert_OC_Cliente!$L:$L)</f>
        <v>PTO 02</v>
      </c>
      <c r="L110" t="str">
        <f t="shared" si="5"/>
        <v>✓</v>
      </c>
    </row>
    <row r="111" spans="1:12" x14ac:dyDescent="0.35">
      <c r="A111" t="s">
        <v>4929</v>
      </c>
      <c r="B111" t="s">
        <v>4932</v>
      </c>
      <c r="C111" t="s">
        <v>4954</v>
      </c>
      <c r="D111" s="205">
        <v>45747</v>
      </c>
      <c r="E111">
        <v>24.02</v>
      </c>
      <c r="F111">
        <v>0</v>
      </c>
      <c r="G111">
        <v>0.25</v>
      </c>
      <c r="H111">
        <f t="shared" si="3"/>
        <v>0.25</v>
      </c>
      <c r="I111" s="206">
        <f>SUMIFS('1_Presupuesto'!$V:$V,'1_Presupuesto'!$X:$X,K111,'1_Presupuesto'!$E:$E,E111)</f>
        <v>8021261.4624798121</v>
      </c>
      <c r="J111" s="206">
        <f t="shared" si="4"/>
        <v>2005315.365619953</v>
      </c>
      <c r="K111" t="str">
        <f>_xlfn.XLOOKUP(B111,Cert_OC_Cliente!$B:$B,Cert_OC_Cliente!$L:$L)</f>
        <v>PTO 02</v>
      </c>
      <c r="L111" t="str">
        <f t="shared" si="5"/>
        <v>✓</v>
      </c>
    </row>
    <row r="112" spans="1:12" x14ac:dyDescent="0.35">
      <c r="A112" t="s">
        <v>4929</v>
      </c>
      <c r="B112" t="s">
        <v>4932</v>
      </c>
      <c r="C112" t="s">
        <v>4954</v>
      </c>
      <c r="D112" s="205">
        <v>45747</v>
      </c>
      <c r="E112">
        <v>24.03</v>
      </c>
      <c r="F112">
        <v>0</v>
      </c>
      <c r="G112">
        <v>0.05</v>
      </c>
      <c r="H112">
        <f t="shared" si="3"/>
        <v>0.05</v>
      </c>
      <c r="I112" s="206">
        <f>SUMIFS('1_Presupuesto'!$V:$V,'1_Presupuesto'!$X:$X,K112,'1_Presupuesto'!$E:$E,E112)</f>
        <v>3398454.9392095888</v>
      </c>
      <c r="J112" s="206">
        <f t="shared" si="4"/>
        <v>169922.74696047945</v>
      </c>
      <c r="K112" t="str">
        <f>_xlfn.XLOOKUP(B112,Cert_OC_Cliente!$B:$B,Cert_OC_Cliente!$L:$L)</f>
        <v>PTO 02</v>
      </c>
      <c r="L112" t="str">
        <f t="shared" si="5"/>
        <v>✓</v>
      </c>
    </row>
    <row r="113" spans="1:12" x14ac:dyDescent="0.35">
      <c r="A113" t="s">
        <v>4929</v>
      </c>
      <c r="B113" t="s">
        <v>4932</v>
      </c>
      <c r="C113" t="s">
        <v>4954</v>
      </c>
      <c r="D113" s="205">
        <v>45747</v>
      </c>
      <c r="E113">
        <v>24.08</v>
      </c>
      <c r="F113">
        <v>0</v>
      </c>
      <c r="G113">
        <v>0.03</v>
      </c>
      <c r="H113">
        <f t="shared" si="3"/>
        <v>0.03</v>
      </c>
      <c r="I113" s="206">
        <f>SUMIFS('1_Presupuesto'!$V:$V,'1_Presupuesto'!$X:$X,K113,'1_Presupuesto'!$E:$E,E113)</f>
        <v>6796909.8784191776</v>
      </c>
      <c r="J113" s="206">
        <f t="shared" si="4"/>
        <v>203907.29635257533</v>
      </c>
      <c r="K113" t="str">
        <f>_xlfn.XLOOKUP(B113,Cert_OC_Cliente!$B:$B,Cert_OC_Cliente!$L:$L)</f>
        <v>PTO 02</v>
      </c>
      <c r="L113" t="str">
        <f t="shared" si="5"/>
        <v>✓</v>
      </c>
    </row>
    <row r="114" spans="1:12" x14ac:dyDescent="0.35">
      <c r="A114" t="s">
        <v>4929</v>
      </c>
      <c r="B114" t="s">
        <v>4932</v>
      </c>
      <c r="C114" t="s">
        <v>4954</v>
      </c>
      <c r="D114" s="205">
        <v>45747</v>
      </c>
      <c r="E114">
        <v>24.09</v>
      </c>
      <c r="F114">
        <v>0</v>
      </c>
      <c r="G114">
        <v>0.03</v>
      </c>
      <c r="H114">
        <f t="shared" si="3"/>
        <v>0.03</v>
      </c>
      <c r="I114" s="206">
        <f>SUMIFS('1_Presupuesto'!$V:$V,'1_Presupuesto'!$X:$X,K114,'1_Presupuesto'!$E:$E,E114)</f>
        <v>5910152.861234813</v>
      </c>
      <c r="J114" s="206">
        <f t="shared" si="4"/>
        <v>177304.58583704437</v>
      </c>
      <c r="K114" t="str">
        <f>_xlfn.XLOOKUP(B114,Cert_OC_Cliente!$B:$B,Cert_OC_Cliente!$L:$L)</f>
        <v>PTO 02</v>
      </c>
      <c r="L114" t="str">
        <f t="shared" si="5"/>
        <v>✓</v>
      </c>
    </row>
    <row r="115" spans="1:12" x14ac:dyDescent="0.35">
      <c r="A115" t="s">
        <v>4929</v>
      </c>
      <c r="B115" t="s">
        <v>4932</v>
      </c>
      <c r="C115" t="s">
        <v>4954</v>
      </c>
      <c r="D115" s="205">
        <v>45747</v>
      </c>
      <c r="E115">
        <v>25.01</v>
      </c>
      <c r="F115">
        <v>0</v>
      </c>
      <c r="G115">
        <v>0.05</v>
      </c>
      <c r="H115">
        <f t="shared" si="3"/>
        <v>0.05</v>
      </c>
      <c r="I115" s="206">
        <f>SUMIFS('1_Presupuesto'!$V:$V,'1_Presupuesto'!$X:$X,K115,'1_Presupuesto'!$E:$E,E115)</f>
        <v>99058404.317748845</v>
      </c>
      <c r="J115" s="206">
        <f t="shared" si="4"/>
        <v>4952920.2158874422</v>
      </c>
      <c r="K115" t="str">
        <f>_xlfn.XLOOKUP(B115,Cert_OC_Cliente!$B:$B,Cert_OC_Cliente!$L:$L)</f>
        <v>PTO 02</v>
      </c>
      <c r="L115" t="str">
        <f t="shared" si="5"/>
        <v>✓</v>
      </c>
    </row>
    <row r="116" spans="1:12" x14ac:dyDescent="0.35">
      <c r="A116" t="s">
        <v>4929</v>
      </c>
      <c r="B116" t="s">
        <v>4932</v>
      </c>
      <c r="C116" t="s">
        <v>4954</v>
      </c>
      <c r="D116" s="205">
        <v>45747</v>
      </c>
      <c r="E116">
        <v>25.02</v>
      </c>
      <c r="F116">
        <v>0</v>
      </c>
      <c r="G116">
        <v>0.05</v>
      </c>
      <c r="H116">
        <f t="shared" si="3"/>
        <v>0.05</v>
      </c>
      <c r="I116" s="206">
        <f>SUMIFS('1_Presupuesto'!$V:$V,'1_Presupuesto'!$X:$X,K116,'1_Presupuesto'!$E:$E,E116)</f>
        <v>11328183.130698629</v>
      </c>
      <c r="J116" s="206">
        <f t="shared" si="4"/>
        <v>566409.15653493151</v>
      </c>
      <c r="K116" t="str">
        <f>_xlfn.XLOOKUP(B116,Cert_OC_Cliente!$B:$B,Cert_OC_Cliente!$L:$L)</f>
        <v>PTO 02</v>
      </c>
      <c r="L116" t="str">
        <f t="shared" si="5"/>
        <v>✓</v>
      </c>
    </row>
    <row r="117" spans="1:12" x14ac:dyDescent="0.35">
      <c r="A117" t="s">
        <v>4929</v>
      </c>
      <c r="B117" t="s">
        <v>4932</v>
      </c>
      <c r="C117" t="s">
        <v>4955</v>
      </c>
      <c r="D117" s="205">
        <v>45777</v>
      </c>
      <c r="E117">
        <v>24.01</v>
      </c>
      <c r="F117">
        <v>0.05</v>
      </c>
      <c r="G117">
        <v>0.05</v>
      </c>
      <c r="H117">
        <f t="shared" si="3"/>
        <v>0.1</v>
      </c>
      <c r="I117" s="206">
        <f>SUMIFS('1_Presupuesto'!$V:$V,'1_Presupuesto'!$X:$X,K117,'1_Presupuesto'!$E:$E,E117)</f>
        <v>16546555.307464439</v>
      </c>
      <c r="J117" s="206">
        <f t="shared" si="4"/>
        <v>827327.76537322206</v>
      </c>
      <c r="K117" t="str">
        <f>_xlfn.XLOOKUP(B117,Cert_OC_Cliente!$B:$B,Cert_OC_Cliente!$L:$L)</f>
        <v>PTO 02</v>
      </c>
      <c r="L117" t="str">
        <f t="shared" si="5"/>
        <v>✓</v>
      </c>
    </row>
    <row r="118" spans="1:12" x14ac:dyDescent="0.35">
      <c r="A118" t="s">
        <v>4929</v>
      </c>
      <c r="B118" t="s">
        <v>4932</v>
      </c>
      <c r="C118" t="s">
        <v>4955</v>
      </c>
      <c r="D118" s="205">
        <v>45777</v>
      </c>
      <c r="E118">
        <v>24.02</v>
      </c>
      <c r="F118">
        <v>0.25</v>
      </c>
      <c r="G118">
        <v>0.25</v>
      </c>
      <c r="H118">
        <f t="shared" si="3"/>
        <v>0.5</v>
      </c>
      <c r="I118" s="206">
        <f>SUMIFS('1_Presupuesto'!$V:$V,'1_Presupuesto'!$X:$X,K118,'1_Presupuesto'!$E:$E,E118)</f>
        <v>8021261.4624798121</v>
      </c>
      <c r="J118" s="206">
        <f t="shared" si="4"/>
        <v>2005315.365619953</v>
      </c>
      <c r="K118" t="str">
        <f>_xlfn.XLOOKUP(B118,Cert_OC_Cliente!$B:$B,Cert_OC_Cliente!$L:$L)</f>
        <v>PTO 02</v>
      </c>
      <c r="L118" t="str">
        <f t="shared" si="5"/>
        <v>✓</v>
      </c>
    </row>
    <row r="119" spans="1:12" x14ac:dyDescent="0.35">
      <c r="A119" t="s">
        <v>4929</v>
      </c>
      <c r="B119" t="s">
        <v>4932</v>
      </c>
      <c r="C119" t="s">
        <v>4955</v>
      </c>
      <c r="D119" s="205">
        <v>45777</v>
      </c>
      <c r="E119">
        <v>24.03</v>
      </c>
      <c r="F119">
        <v>0.05</v>
      </c>
      <c r="G119">
        <v>0.05</v>
      </c>
      <c r="H119">
        <f t="shared" si="3"/>
        <v>0.1</v>
      </c>
      <c r="I119" s="206">
        <f>SUMIFS('1_Presupuesto'!$V:$V,'1_Presupuesto'!$X:$X,K119,'1_Presupuesto'!$E:$E,E119)</f>
        <v>3398454.9392095888</v>
      </c>
      <c r="J119" s="206">
        <f t="shared" si="4"/>
        <v>169922.74696047945</v>
      </c>
      <c r="K119" t="str">
        <f>_xlfn.XLOOKUP(B119,Cert_OC_Cliente!$B:$B,Cert_OC_Cliente!$L:$L)</f>
        <v>PTO 02</v>
      </c>
      <c r="L119" t="str">
        <f t="shared" si="5"/>
        <v>✓</v>
      </c>
    </row>
    <row r="120" spans="1:12" x14ac:dyDescent="0.35">
      <c r="A120" t="s">
        <v>4929</v>
      </c>
      <c r="B120" t="s">
        <v>4932</v>
      </c>
      <c r="C120" t="s">
        <v>4955</v>
      </c>
      <c r="D120" s="205">
        <v>45777</v>
      </c>
      <c r="E120">
        <v>24.08</v>
      </c>
      <c r="F120">
        <v>0.03</v>
      </c>
      <c r="G120">
        <v>0.03</v>
      </c>
      <c r="H120">
        <f t="shared" si="3"/>
        <v>0.06</v>
      </c>
      <c r="I120" s="206">
        <f>SUMIFS('1_Presupuesto'!$V:$V,'1_Presupuesto'!$X:$X,K120,'1_Presupuesto'!$E:$E,E120)</f>
        <v>6796909.8784191776</v>
      </c>
      <c r="J120" s="206">
        <f t="shared" si="4"/>
        <v>203907.29635257533</v>
      </c>
      <c r="K120" t="str">
        <f>_xlfn.XLOOKUP(B120,Cert_OC_Cliente!$B:$B,Cert_OC_Cliente!$L:$L)</f>
        <v>PTO 02</v>
      </c>
      <c r="L120" t="str">
        <f t="shared" si="5"/>
        <v>✓</v>
      </c>
    </row>
    <row r="121" spans="1:12" x14ac:dyDescent="0.35">
      <c r="A121" t="s">
        <v>4929</v>
      </c>
      <c r="B121" t="s">
        <v>4932</v>
      </c>
      <c r="C121" t="s">
        <v>4955</v>
      </c>
      <c r="D121" s="205">
        <v>45777</v>
      </c>
      <c r="E121">
        <v>25.01</v>
      </c>
      <c r="F121">
        <v>0.05</v>
      </c>
      <c r="G121">
        <v>0.05</v>
      </c>
      <c r="H121">
        <f t="shared" si="3"/>
        <v>0.1</v>
      </c>
      <c r="I121" s="206">
        <f>SUMIFS('1_Presupuesto'!$V:$V,'1_Presupuesto'!$X:$X,K121,'1_Presupuesto'!$E:$E,E121)</f>
        <v>99058404.317748845</v>
      </c>
      <c r="J121" s="206">
        <f t="shared" si="4"/>
        <v>4952920.2158874422</v>
      </c>
      <c r="K121" t="str">
        <f>_xlfn.XLOOKUP(B121,Cert_OC_Cliente!$B:$B,Cert_OC_Cliente!$L:$L)</f>
        <v>PTO 02</v>
      </c>
      <c r="L121" t="str">
        <f t="shared" si="5"/>
        <v>✓</v>
      </c>
    </row>
    <row r="122" spans="1:12" x14ac:dyDescent="0.35">
      <c r="A122" t="s">
        <v>4929</v>
      </c>
      <c r="B122" t="s">
        <v>4932</v>
      </c>
      <c r="C122" t="s">
        <v>4955</v>
      </c>
      <c r="D122" s="205">
        <v>45777</v>
      </c>
      <c r="E122">
        <v>25.02</v>
      </c>
      <c r="F122">
        <v>0.05</v>
      </c>
      <c r="G122">
        <v>0.05</v>
      </c>
      <c r="H122">
        <f t="shared" si="3"/>
        <v>0.1</v>
      </c>
      <c r="I122" s="206">
        <f>SUMIFS('1_Presupuesto'!$V:$V,'1_Presupuesto'!$X:$X,K122,'1_Presupuesto'!$E:$E,E122)</f>
        <v>11328183.130698629</v>
      </c>
      <c r="J122" s="206">
        <f t="shared" si="4"/>
        <v>566409.15653493151</v>
      </c>
      <c r="K122" t="str">
        <f>_xlfn.XLOOKUP(B122,Cert_OC_Cliente!$B:$B,Cert_OC_Cliente!$L:$L)</f>
        <v>PTO 02</v>
      </c>
      <c r="L122" t="str">
        <f t="shared" si="5"/>
        <v>✓</v>
      </c>
    </row>
    <row r="123" spans="1:12" x14ac:dyDescent="0.35">
      <c r="A123" t="s">
        <v>4929</v>
      </c>
      <c r="B123" t="s">
        <v>4932</v>
      </c>
      <c r="C123" t="s">
        <v>4956</v>
      </c>
      <c r="D123" s="205">
        <v>45808</v>
      </c>
      <c r="E123">
        <v>24.01</v>
      </c>
      <c r="F123">
        <v>0.1</v>
      </c>
      <c r="G123">
        <v>5.0000000000000017E-2</v>
      </c>
      <c r="H123">
        <f t="shared" si="3"/>
        <v>0.15000000000000002</v>
      </c>
      <c r="I123" s="206">
        <f>SUMIFS('1_Presupuesto'!$V:$V,'1_Presupuesto'!$X:$X,K123,'1_Presupuesto'!$E:$E,E123)</f>
        <v>16546555.307464439</v>
      </c>
      <c r="J123" s="206">
        <f t="shared" si="4"/>
        <v>827327.7653732223</v>
      </c>
      <c r="K123" t="str">
        <f>_xlfn.XLOOKUP(B123,Cert_OC_Cliente!$B:$B,Cert_OC_Cliente!$L:$L)</f>
        <v>PTO 02</v>
      </c>
      <c r="L123" t="str">
        <f t="shared" si="5"/>
        <v>✓</v>
      </c>
    </row>
    <row r="124" spans="1:12" x14ac:dyDescent="0.35">
      <c r="A124" t="s">
        <v>4929</v>
      </c>
      <c r="B124" t="s">
        <v>4932</v>
      </c>
      <c r="C124" t="s">
        <v>4956</v>
      </c>
      <c r="D124" s="205">
        <v>45808</v>
      </c>
      <c r="E124">
        <v>24.02</v>
      </c>
      <c r="F124">
        <v>0.5</v>
      </c>
      <c r="G124">
        <v>0.25</v>
      </c>
      <c r="H124">
        <f t="shared" si="3"/>
        <v>0.75</v>
      </c>
      <c r="I124" s="206">
        <f>SUMIFS('1_Presupuesto'!$V:$V,'1_Presupuesto'!$X:$X,K124,'1_Presupuesto'!$E:$E,E124)</f>
        <v>8021261.4624798121</v>
      </c>
      <c r="J124" s="206">
        <f t="shared" si="4"/>
        <v>2005315.365619953</v>
      </c>
      <c r="K124" t="str">
        <f>_xlfn.XLOOKUP(B124,Cert_OC_Cliente!$B:$B,Cert_OC_Cliente!$L:$L)</f>
        <v>PTO 02</v>
      </c>
      <c r="L124" t="str">
        <f t="shared" si="5"/>
        <v>✓</v>
      </c>
    </row>
    <row r="125" spans="1:12" x14ac:dyDescent="0.35">
      <c r="A125" t="s">
        <v>4929</v>
      </c>
      <c r="B125" t="s">
        <v>4932</v>
      </c>
      <c r="C125" t="s">
        <v>4956</v>
      </c>
      <c r="D125" s="205">
        <v>45808</v>
      </c>
      <c r="E125">
        <v>24.03</v>
      </c>
      <c r="F125">
        <v>0.1</v>
      </c>
      <c r="G125">
        <v>5.0000000000000017E-2</v>
      </c>
      <c r="H125">
        <f t="shared" si="3"/>
        <v>0.15000000000000002</v>
      </c>
      <c r="I125" s="206">
        <f>SUMIFS('1_Presupuesto'!$V:$V,'1_Presupuesto'!$X:$X,K125,'1_Presupuesto'!$E:$E,E125)</f>
        <v>3398454.9392095888</v>
      </c>
      <c r="J125" s="206">
        <f t="shared" si="4"/>
        <v>169922.7469604795</v>
      </c>
      <c r="K125" t="str">
        <f>_xlfn.XLOOKUP(B125,Cert_OC_Cliente!$B:$B,Cert_OC_Cliente!$L:$L)</f>
        <v>PTO 02</v>
      </c>
      <c r="L125" t="str">
        <f t="shared" si="5"/>
        <v>✓</v>
      </c>
    </row>
    <row r="126" spans="1:12" x14ac:dyDescent="0.35">
      <c r="A126" t="s">
        <v>4929</v>
      </c>
      <c r="B126" t="s">
        <v>4932</v>
      </c>
      <c r="C126" t="s">
        <v>4956</v>
      </c>
      <c r="D126" s="205">
        <v>45808</v>
      </c>
      <c r="E126">
        <v>24.05</v>
      </c>
      <c r="F126">
        <v>0</v>
      </c>
      <c r="G126">
        <v>0.05</v>
      </c>
      <c r="H126">
        <f t="shared" si="3"/>
        <v>0.05</v>
      </c>
      <c r="I126" s="206">
        <f>SUMIFS('1_Presupuesto'!$V:$V,'1_Presupuesto'!$X:$X,K126,'1_Presupuesto'!$E:$E,E126)</f>
        <v>14856213.332043247</v>
      </c>
      <c r="J126" s="206">
        <f t="shared" si="4"/>
        <v>742810.66660216241</v>
      </c>
      <c r="K126" t="str">
        <f>_xlfn.XLOOKUP(B126,Cert_OC_Cliente!$B:$B,Cert_OC_Cliente!$L:$L)</f>
        <v>PTO 02</v>
      </c>
      <c r="L126" t="str">
        <f t="shared" si="5"/>
        <v>✓</v>
      </c>
    </row>
    <row r="127" spans="1:12" x14ac:dyDescent="0.35">
      <c r="A127" t="s">
        <v>4929</v>
      </c>
      <c r="B127" t="s">
        <v>4932</v>
      </c>
      <c r="C127" t="s">
        <v>4956</v>
      </c>
      <c r="D127" s="205">
        <v>45808</v>
      </c>
      <c r="E127">
        <v>24.06</v>
      </c>
      <c r="F127">
        <v>0</v>
      </c>
      <c r="G127">
        <v>0.05</v>
      </c>
      <c r="H127">
        <f t="shared" si="3"/>
        <v>0.05</v>
      </c>
      <c r="I127" s="206">
        <f>SUMIFS('1_Presupuesto'!$V:$V,'1_Presupuesto'!$X:$X,K127,'1_Presupuesto'!$E:$E,E127)</f>
        <v>9812019.7942749579</v>
      </c>
      <c r="J127" s="206">
        <f t="shared" si="4"/>
        <v>490600.98971374793</v>
      </c>
      <c r="K127" t="str">
        <f>_xlfn.XLOOKUP(B127,Cert_OC_Cliente!$B:$B,Cert_OC_Cliente!$L:$L)</f>
        <v>PTO 02</v>
      </c>
      <c r="L127" t="str">
        <f t="shared" si="5"/>
        <v>✓</v>
      </c>
    </row>
    <row r="128" spans="1:12" x14ac:dyDescent="0.35">
      <c r="A128" t="s">
        <v>4929</v>
      </c>
      <c r="B128" t="s">
        <v>4932</v>
      </c>
      <c r="C128" t="s">
        <v>4956</v>
      </c>
      <c r="D128" s="205">
        <v>45808</v>
      </c>
      <c r="E128">
        <v>24.08</v>
      </c>
      <c r="F128">
        <v>0.06</v>
      </c>
      <c r="G128">
        <v>0.03</v>
      </c>
      <c r="H128">
        <f t="shared" si="3"/>
        <v>0.09</v>
      </c>
      <c r="I128" s="206">
        <f>SUMIFS('1_Presupuesto'!$V:$V,'1_Presupuesto'!$X:$X,K128,'1_Presupuesto'!$E:$E,E128)</f>
        <v>6796909.8784191776</v>
      </c>
      <c r="J128" s="206">
        <f t="shared" si="4"/>
        <v>203907.29635257533</v>
      </c>
      <c r="K128" t="str">
        <f>_xlfn.XLOOKUP(B128,Cert_OC_Cliente!$B:$B,Cert_OC_Cliente!$L:$L)</f>
        <v>PTO 02</v>
      </c>
      <c r="L128" t="str">
        <f t="shared" si="5"/>
        <v>✓</v>
      </c>
    </row>
    <row r="129" spans="1:12" x14ac:dyDescent="0.35">
      <c r="A129" t="s">
        <v>4929</v>
      </c>
      <c r="B129" t="s">
        <v>4932</v>
      </c>
      <c r="C129" t="s">
        <v>4956</v>
      </c>
      <c r="D129" s="205">
        <v>45808</v>
      </c>
      <c r="E129">
        <v>25.01</v>
      </c>
      <c r="F129">
        <v>0.1</v>
      </c>
      <c r="G129">
        <v>5.0000000000000017E-2</v>
      </c>
      <c r="H129">
        <f t="shared" si="3"/>
        <v>0.15000000000000002</v>
      </c>
      <c r="I129" s="206">
        <f>SUMIFS('1_Presupuesto'!$V:$V,'1_Presupuesto'!$X:$X,K129,'1_Presupuesto'!$E:$E,E129)</f>
        <v>99058404.317748845</v>
      </c>
      <c r="J129" s="206">
        <f t="shared" si="4"/>
        <v>4952920.2158874441</v>
      </c>
      <c r="K129" t="str">
        <f>_xlfn.XLOOKUP(B129,Cert_OC_Cliente!$B:$B,Cert_OC_Cliente!$L:$L)</f>
        <v>PTO 02</v>
      </c>
      <c r="L129" t="str">
        <f t="shared" si="5"/>
        <v>✓</v>
      </c>
    </row>
    <row r="130" spans="1:12" x14ac:dyDescent="0.35">
      <c r="A130" t="s">
        <v>4929</v>
      </c>
      <c r="B130" t="s">
        <v>4932</v>
      </c>
      <c r="C130" t="s">
        <v>4956</v>
      </c>
      <c r="D130" s="205">
        <v>45808</v>
      </c>
      <c r="E130">
        <v>25.02</v>
      </c>
      <c r="F130">
        <v>0.1</v>
      </c>
      <c r="G130">
        <v>5.0000000000000017E-2</v>
      </c>
      <c r="H130">
        <f t="shared" ref="H130:H193" si="6">F130+G130</f>
        <v>0.15000000000000002</v>
      </c>
      <c r="I130" s="206">
        <f>SUMIFS('1_Presupuesto'!$V:$V,'1_Presupuesto'!$X:$X,K130,'1_Presupuesto'!$E:$E,E130)</f>
        <v>11328183.130698629</v>
      </c>
      <c r="J130" s="206">
        <f t="shared" ref="J130:J193" si="7">G130*I130</f>
        <v>566409.15653493162</v>
      </c>
      <c r="K130" t="str">
        <f>_xlfn.XLOOKUP(B130,Cert_OC_Cliente!$B:$B,Cert_OC_Cliente!$L:$L)</f>
        <v>PTO 02</v>
      </c>
      <c r="L130" t="str">
        <f t="shared" ref="L130:L193" si="8">IF($E130="","",IF(AND(ISNUMBER($I130),$H130&lt;=1.0001),"✓","⚠"))</f>
        <v>✓</v>
      </c>
    </row>
    <row r="131" spans="1:12" x14ac:dyDescent="0.35">
      <c r="A131" t="s">
        <v>4929</v>
      </c>
      <c r="B131" t="s">
        <v>4932</v>
      </c>
      <c r="C131" t="s">
        <v>4957</v>
      </c>
      <c r="D131" s="205">
        <v>45838</v>
      </c>
      <c r="E131">
        <v>24.01</v>
      </c>
      <c r="F131">
        <v>0.15</v>
      </c>
      <c r="G131">
        <v>4.9999999999999989E-2</v>
      </c>
      <c r="H131">
        <f t="shared" si="6"/>
        <v>0.19999999999999998</v>
      </c>
      <c r="I131" s="206">
        <f>SUMIFS('1_Presupuesto'!$V:$V,'1_Presupuesto'!$X:$X,K131,'1_Presupuesto'!$E:$E,E131)</f>
        <v>16546555.307464439</v>
      </c>
      <c r="J131" s="206">
        <f t="shared" si="7"/>
        <v>827327.76537322183</v>
      </c>
      <c r="K131" t="str">
        <f>_xlfn.XLOOKUP(B131,Cert_OC_Cliente!$B:$B,Cert_OC_Cliente!$L:$L)</f>
        <v>PTO 02</v>
      </c>
      <c r="L131" t="str">
        <f t="shared" si="8"/>
        <v>✓</v>
      </c>
    </row>
    <row r="132" spans="1:12" x14ac:dyDescent="0.35">
      <c r="A132" t="s">
        <v>4929</v>
      </c>
      <c r="B132" t="s">
        <v>4932</v>
      </c>
      <c r="C132" t="s">
        <v>4957</v>
      </c>
      <c r="D132" s="205">
        <v>45838</v>
      </c>
      <c r="E132">
        <v>24.02</v>
      </c>
      <c r="F132">
        <v>0.75</v>
      </c>
      <c r="G132">
        <v>0.15</v>
      </c>
      <c r="H132">
        <f t="shared" si="6"/>
        <v>0.9</v>
      </c>
      <c r="I132" s="206">
        <f>SUMIFS('1_Presupuesto'!$V:$V,'1_Presupuesto'!$X:$X,K132,'1_Presupuesto'!$E:$E,E132)</f>
        <v>8021261.4624798121</v>
      </c>
      <c r="J132" s="206">
        <f t="shared" si="7"/>
        <v>1203189.2193719717</v>
      </c>
      <c r="K132" t="str">
        <f>_xlfn.XLOOKUP(B132,Cert_OC_Cliente!$B:$B,Cert_OC_Cliente!$L:$L)</f>
        <v>PTO 02</v>
      </c>
      <c r="L132" t="str">
        <f t="shared" si="8"/>
        <v>✓</v>
      </c>
    </row>
    <row r="133" spans="1:12" x14ac:dyDescent="0.35">
      <c r="A133" t="s">
        <v>4929</v>
      </c>
      <c r="B133" t="s">
        <v>4932</v>
      </c>
      <c r="C133" t="s">
        <v>4957</v>
      </c>
      <c r="D133" s="205">
        <v>45838</v>
      </c>
      <c r="E133">
        <v>24.03</v>
      </c>
      <c r="F133">
        <v>0.15</v>
      </c>
      <c r="G133">
        <v>4.9999999999999989E-2</v>
      </c>
      <c r="H133">
        <f t="shared" si="6"/>
        <v>0.19999999999999998</v>
      </c>
      <c r="I133" s="206">
        <f>SUMIFS('1_Presupuesto'!$V:$V,'1_Presupuesto'!$X:$X,K133,'1_Presupuesto'!$E:$E,E133)</f>
        <v>3398454.9392095888</v>
      </c>
      <c r="J133" s="206">
        <f t="shared" si="7"/>
        <v>169922.74696047942</v>
      </c>
      <c r="K133" t="str">
        <f>_xlfn.XLOOKUP(B133,Cert_OC_Cliente!$B:$B,Cert_OC_Cliente!$L:$L)</f>
        <v>PTO 02</v>
      </c>
      <c r="L133" t="str">
        <f t="shared" si="8"/>
        <v>✓</v>
      </c>
    </row>
    <row r="134" spans="1:12" x14ac:dyDescent="0.35">
      <c r="A134" t="s">
        <v>4929</v>
      </c>
      <c r="B134" t="s">
        <v>4932</v>
      </c>
      <c r="C134" t="s">
        <v>4957</v>
      </c>
      <c r="D134" s="205">
        <v>45838</v>
      </c>
      <c r="E134">
        <v>24.05</v>
      </c>
      <c r="F134">
        <v>0.05</v>
      </c>
      <c r="G134">
        <v>0.05</v>
      </c>
      <c r="H134">
        <f t="shared" si="6"/>
        <v>0.1</v>
      </c>
      <c r="I134" s="206">
        <f>SUMIFS('1_Presupuesto'!$V:$V,'1_Presupuesto'!$X:$X,K134,'1_Presupuesto'!$E:$E,E134)</f>
        <v>14856213.332043247</v>
      </c>
      <c r="J134" s="206">
        <f t="shared" si="7"/>
        <v>742810.66660216241</v>
      </c>
      <c r="K134" t="str">
        <f>_xlfn.XLOOKUP(B134,Cert_OC_Cliente!$B:$B,Cert_OC_Cliente!$L:$L)</f>
        <v>PTO 02</v>
      </c>
      <c r="L134" t="str">
        <f t="shared" si="8"/>
        <v>✓</v>
      </c>
    </row>
    <row r="135" spans="1:12" x14ac:dyDescent="0.35">
      <c r="A135" t="s">
        <v>4929</v>
      </c>
      <c r="B135" t="s">
        <v>4932</v>
      </c>
      <c r="C135" t="s">
        <v>4957</v>
      </c>
      <c r="D135" s="205">
        <v>45838</v>
      </c>
      <c r="E135">
        <v>24.06</v>
      </c>
      <c r="F135">
        <v>0.05</v>
      </c>
      <c r="G135">
        <v>0.05</v>
      </c>
      <c r="H135">
        <f t="shared" si="6"/>
        <v>0.1</v>
      </c>
      <c r="I135" s="206">
        <f>SUMIFS('1_Presupuesto'!$V:$V,'1_Presupuesto'!$X:$X,K135,'1_Presupuesto'!$E:$E,E135)</f>
        <v>9812019.7942749579</v>
      </c>
      <c r="J135" s="206">
        <f t="shared" si="7"/>
        <v>490600.98971374793</v>
      </c>
      <c r="K135" t="str">
        <f>_xlfn.XLOOKUP(B135,Cert_OC_Cliente!$B:$B,Cert_OC_Cliente!$L:$L)</f>
        <v>PTO 02</v>
      </c>
      <c r="L135" t="str">
        <f t="shared" si="8"/>
        <v>✓</v>
      </c>
    </row>
    <row r="136" spans="1:12" x14ac:dyDescent="0.35">
      <c r="A136" t="s">
        <v>4929</v>
      </c>
      <c r="B136" t="s">
        <v>4932</v>
      </c>
      <c r="C136" t="s">
        <v>4957</v>
      </c>
      <c r="D136" s="205">
        <v>45838</v>
      </c>
      <c r="E136">
        <v>24.08</v>
      </c>
      <c r="F136">
        <v>0.09</v>
      </c>
      <c r="G136">
        <v>0.03</v>
      </c>
      <c r="H136">
        <f t="shared" si="6"/>
        <v>0.12</v>
      </c>
      <c r="I136" s="206">
        <f>SUMIFS('1_Presupuesto'!$V:$V,'1_Presupuesto'!$X:$X,K136,'1_Presupuesto'!$E:$E,E136)</f>
        <v>6796909.8784191776</v>
      </c>
      <c r="J136" s="206">
        <f t="shared" si="7"/>
        <v>203907.29635257533</v>
      </c>
      <c r="K136" t="str">
        <f>_xlfn.XLOOKUP(B136,Cert_OC_Cliente!$B:$B,Cert_OC_Cliente!$L:$L)</f>
        <v>PTO 02</v>
      </c>
      <c r="L136" t="str">
        <f t="shared" si="8"/>
        <v>✓</v>
      </c>
    </row>
    <row r="137" spans="1:12" x14ac:dyDescent="0.35">
      <c r="A137" t="s">
        <v>4929</v>
      </c>
      <c r="B137" t="s">
        <v>4932</v>
      </c>
      <c r="C137" t="s">
        <v>4957</v>
      </c>
      <c r="D137" s="205">
        <v>45838</v>
      </c>
      <c r="E137">
        <v>25.01</v>
      </c>
      <c r="F137">
        <v>0.15</v>
      </c>
      <c r="G137">
        <v>4.9999999999999989E-2</v>
      </c>
      <c r="H137">
        <f t="shared" si="6"/>
        <v>0.19999999999999998</v>
      </c>
      <c r="I137" s="206">
        <f>SUMIFS('1_Presupuesto'!$V:$V,'1_Presupuesto'!$X:$X,K137,'1_Presupuesto'!$E:$E,E137)</f>
        <v>99058404.317748845</v>
      </c>
      <c r="J137" s="206">
        <f t="shared" si="7"/>
        <v>4952920.2158874413</v>
      </c>
      <c r="K137" t="str">
        <f>_xlfn.XLOOKUP(B137,Cert_OC_Cliente!$B:$B,Cert_OC_Cliente!$L:$L)</f>
        <v>PTO 02</v>
      </c>
      <c r="L137" t="str">
        <f t="shared" si="8"/>
        <v>✓</v>
      </c>
    </row>
    <row r="138" spans="1:12" x14ac:dyDescent="0.35">
      <c r="A138" t="s">
        <v>4929</v>
      </c>
      <c r="B138" t="s">
        <v>4932</v>
      </c>
      <c r="C138" t="s">
        <v>4957</v>
      </c>
      <c r="D138" s="205">
        <v>45838</v>
      </c>
      <c r="E138">
        <v>25.02</v>
      </c>
      <c r="F138">
        <v>0.15</v>
      </c>
      <c r="G138">
        <v>4.9999999999999989E-2</v>
      </c>
      <c r="H138">
        <f t="shared" si="6"/>
        <v>0.19999999999999998</v>
      </c>
      <c r="I138" s="206">
        <f>SUMIFS('1_Presupuesto'!$V:$V,'1_Presupuesto'!$X:$X,K138,'1_Presupuesto'!$E:$E,E138)</f>
        <v>11328183.130698629</v>
      </c>
      <c r="J138" s="206">
        <f t="shared" si="7"/>
        <v>566409.15653493127</v>
      </c>
      <c r="K138" t="str">
        <f>_xlfn.XLOOKUP(B138,Cert_OC_Cliente!$B:$B,Cert_OC_Cliente!$L:$L)</f>
        <v>PTO 02</v>
      </c>
      <c r="L138" t="str">
        <f t="shared" si="8"/>
        <v>✓</v>
      </c>
    </row>
    <row r="139" spans="1:12" x14ac:dyDescent="0.35">
      <c r="A139" t="s">
        <v>4929</v>
      </c>
      <c r="B139" t="s">
        <v>4932</v>
      </c>
      <c r="C139" t="s">
        <v>4958</v>
      </c>
      <c r="D139" s="205">
        <v>45869</v>
      </c>
      <c r="E139">
        <v>18.010000000000002</v>
      </c>
      <c r="F139">
        <v>0</v>
      </c>
      <c r="G139">
        <v>0.05</v>
      </c>
      <c r="H139">
        <f t="shared" si="6"/>
        <v>0.05</v>
      </c>
      <c r="I139" s="206">
        <f>SUMIFS('1_Presupuesto'!$V:$V,'1_Presupuesto'!$X:$X,K139,'1_Presupuesto'!$E:$E,E139)</f>
        <v>0</v>
      </c>
      <c r="J139" s="206">
        <f t="shared" si="7"/>
        <v>0</v>
      </c>
      <c r="K139" t="str">
        <f>_xlfn.XLOOKUP(B139,Cert_OC_Cliente!$B:$B,Cert_OC_Cliente!$L:$L)</f>
        <v>PTO 02</v>
      </c>
      <c r="L139" t="str">
        <f t="shared" si="8"/>
        <v>✓</v>
      </c>
    </row>
    <row r="140" spans="1:12" x14ac:dyDescent="0.35">
      <c r="A140" t="s">
        <v>4929</v>
      </c>
      <c r="B140" t="s">
        <v>4932</v>
      </c>
      <c r="C140" t="s">
        <v>4958</v>
      </c>
      <c r="D140" s="205">
        <v>45869</v>
      </c>
      <c r="E140">
        <v>18.02</v>
      </c>
      <c r="F140">
        <v>0</v>
      </c>
      <c r="G140">
        <v>0.06</v>
      </c>
      <c r="H140">
        <f t="shared" si="6"/>
        <v>0.06</v>
      </c>
      <c r="I140" s="206">
        <f>SUMIFS('1_Presupuesto'!$V:$V,'1_Presupuesto'!$X:$X,K140,'1_Presupuesto'!$E:$E,E140)</f>
        <v>4540566.038479845</v>
      </c>
      <c r="J140" s="206">
        <f t="shared" si="7"/>
        <v>272433.96230879071</v>
      </c>
      <c r="K140" t="str">
        <f>_xlfn.XLOOKUP(B140,Cert_OC_Cliente!$B:$B,Cert_OC_Cliente!$L:$L)</f>
        <v>PTO 02</v>
      </c>
      <c r="L140" t="str">
        <f t="shared" si="8"/>
        <v>✓</v>
      </c>
    </row>
    <row r="141" spans="1:12" x14ac:dyDescent="0.35">
      <c r="A141" t="s">
        <v>4929</v>
      </c>
      <c r="B141" t="s">
        <v>4932</v>
      </c>
      <c r="C141" t="s">
        <v>4958</v>
      </c>
      <c r="D141" s="205">
        <v>45869</v>
      </c>
      <c r="E141">
        <v>18.03</v>
      </c>
      <c r="F141">
        <v>0</v>
      </c>
      <c r="G141">
        <v>0.25</v>
      </c>
      <c r="H141">
        <f t="shared" si="6"/>
        <v>0.25</v>
      </c>
      <c r="I141" s="206">
        <f>SUMIFS('1_Presupuesto'!$V:$V,'1_Presupuesto'!$X:$X,K141,'1_Presupuesto'!$E:$E,E141)</f>
        <v>878819.23325416353</v>
      </c>
      <c r="J141" s="206">
        <f t="shared" si="7"/>
        <v>219704.80831354088</v>
      </c>
      <c r="K141" t="str">
        <f>_xlfn.XLOOKUP(B141,Cert_OC_Cliente!$B:$B,Cert_OC_Cliente!$L:$L)</f>
        <v>PTO 02</v>
      </c>
      <c r="L141" t="str">
        <f t="shared" si="8"/>
        <v>✓</v>
      </c>
    </row>
    <row r="142" spans="1:12" x14ac:dyDescent="0.35">
      <c r="A142" t="s">
        <v>4929</v>
      </c>
      <c r="B142" t="s">
        <v>4932</v>
      </c>
      <c r="C142" t="s">
        <v>4958</v>
      </c>
      <c r="D142" s="205">
        <v>45869</v>
      </c>
      <c r="E142">
        <v>18.04</v>
      </c>
      <c r="F142">
        <v>0</v>
      </c>
      <c r="G142">
        <v>0.15</v>
      </c>
      <c r="H142">
        <f t="shared" si="6"/>
        <v>0.15</v>
      </c>
      <c r="I142" s="206">
        <f>SUMIFS('1_Presupuesto'!$V:$V,'1_Presupuesto'!$X:$X,K142,'1_Presupuesto'!$E:$E,E142)</f>
        <v>1171758.9776722181</v>
      </c>
      <c r="J142" s="206">
        <f t="shared" si="7"/>
        <v>175763.84665083271</v>
      </c>
      <c r="K142" t="str">
        <f>_xlfn.XLOOKUP(B142,Cert_OC_Cliente!$B:$B,Cert_OC_Cliente!$L:$L)</f>
        <v>PTO 02</v>
      </c>
      <c r="L142" t="str">
        <f t="shared" si="8"/>
        <v>✓</v>
      </c>
    </row>
    <row r="143" spans="1:12" x14ac:dyDescent="0.35">
      <c r="A143" t="s">
        <v>4929</v>
      </c>
      <c r="B143" t="s">
        <v>4932</v>
      </c>
      <c r="C143" t="s">
        <v>4958</v>
      </c>
      <c r="D143" s="205">
        <v>45869</v>
      </c>
      <c r="E143">
        <v>18.05</v>
      </c>
      <c r="F143">
        <v>0</v>
      </c>
      <c r="G143">
        <v>0.4</v>
      </c>
      <c r="H143">
        <f t="shared" si="6"/>
        <v>0.4</v>
      </c>
      <c r="I143" s="206">
        <f>SUMIFS('1_Presupuesto'!$V:$V,'1_Presupuesto'!$X:$X,K143,'1_Presupuesto'!$E:$E,E143)</f>
        <v>73234.936104513632</v>
      </c>
      <c r="J143" s="206">
        <f t="shared" si="7"/>
        <v>29293.974441805454</v>
      </c>
      <c r="K143" t="str">
        <f>_xlfn.XLOOKUP(B143,Cert_OC_Cliente!$B:$B,Cert_OC_Cliente!$L:$L)</f>
        <v>PTO 02</v>
      </c>
      <c r="L143" t="str">
        <f t="shared" si="8"/>
        <v>✓</v>
      </c>
    </row>
    <row r="144" spans="1:12" x14ac:dyDescent="0.35">
      <c r="A144" t="s">
        <v>4929</v>
      </c>
      <c r="B144" t="s">
        <v>4932</v>
      </c>
      <c r="C144" t="s">
        <v>4958</v>
      </c>
      <c r="D144" s="205">
        <v>45869</v>
      </c>
      <c r="E144">
        <v>18.07</v>
      </c>
      <c r="F144">
        <v>0</v>
      </c>
      <c r="G144">
        <v>0.03</v>
      </c>
      <c r="H144">
        <f t="shared" si="6"/>
        <v>0.03</v>
      </c>
      <c r="I144" s="206">
        <f>SUMIFS('1_Presupuesto'!$V:$V,'1_Presupuesto'!$X:$X,K144,'1_Presupuesto'!$E:$E,E144)</f>
        <v>15628623.979244839</v>
      </c>
      <c r="J144" s="206">
        <f t="shared" si="7"/>
        <v>468858.71937734517</v>
      </c>
      <c r="K144" t="str">
        <f>_xlfn.XLOOKUP(B144,Cert_OC_Cliente!$B:$B,Cert_OC_Cliente!$L:$L)</f>
        <v>PTO 02</v>
      </c>
      <c r="L144" t="str">
        <f t="shared" si="8"/>
        <v>✓</v>
      </c>
    </row>
    <row r="145" spans="1:12" x14ac:dyDescent="0.35">
      <c r="A145" t="s">
        <v>4929</v>
      </c>
      <c r="B145" t="s">
        <v>4932</v>
      </c>
      <c r="C145" t="s">
        <v>4958</v>
      </c>
      <c r="D145" s="205">
        <v>45869</v>
      </c>
      <c r="E145">
        <v>18.149999999999999</v>
      </c>
      <c r="F145">
        <v>0</v>
      </c>
      <c r="G145">
        <v>0.4</v>
      </c>
      <c r="H145">
        <f t="shared" si="6"/>
        <v>0.4</v>
      </c>
      <c r="I145" s="206">
        <f>SUMIFS('1_Presupuesto'!$V:$V,'1_Presupuesto'!$X:$X,K145,'1_Presupuesto'!$E:$E,E145)</f>
        <v>151846.80934847845</v>
      </c>
      <c r="J145" s="206">
        <f t="shared" si="7"/>
        <v>60738.723739391382</v>
      </c>
      <c r="K145" t="str">
        <f>_xlfn.XLOOKUP(B145,Cert_OC_Cliente!$B:$B,Cert_OC_Cliente!$L:$L)</f>
        <v>PTO 02</v>
      </c>
      <c r="L145" t="str">
        <f t="shared" si="8"/>
        <v>✓</v>
      </c>
    </row>
    <row r="146" spans="1:12" x14ac:dyDescent="0.35">
      <c r="A146" t="s">
        <v>4929</v>
      </c>
      <c r="B146" t="s">
        <v>4932</v>
      </c>
      <c r="C146" t="s">
        <v>4958</v>
      </c>
      <c r="D146" s="205">
        <v>45869</v>
      </c>
      <c r="E146">
        <v>24.01</v>
      </c>
      <c r="F146">
        <v>0.2</v>
      </c>
      <c r="G146">
        <v>4.9999999999999989E-2</v>
      </c>
      <c r="H146">
        <f t="shared" si="6"/>
        <v>0.25</v>
      </c>
      <c r="I146" s="206">
        <f>SUMIFS('1_Presupuesto'!$V:$V,'1_Presupuesto'!$X:$X,K146,'1_Presupuesto'!$E:$E,E146)</f>
        <v>16546555.307464439</v>
      </c>
      <c r="J146" s="206">
        <f t="shared" si="7"/>
        <v>827327.76537322183</v>
      </c>
      <c r="K146" t="str">
        <f>_xlfn.XLOOKUP(B146,Cert_OC_Cliente!$B:$B,Cert_OC_Cliente!$L:$L)</f>
        <v>PTO 02</v>
      </c>
      <c r="L146" t="str">
        <f t="shared" si="8"/>
        <v>✓</v>
      </c>
    </row>
    <row r="147" spans="1:12" x14ac:dyDescent="0.35">
      <c r="A147" t="s">
        <v>4929</v>
      </c>
      <c r="B147" t="s">
        <v>4932</v>
      </c>
      <c r="C147" t="s">
        <v>4958</v>
      </c>
      <c r="D147" s="205">
        <v>45869</v>
      </c>
      <c r="E147">
        <v>24.02</v>
      </c>
      <c r="F147">
        <v>0.9</v>
      </c>
      <c r="G147">
        <v>9.9999999999999978E-2</v>
      </c>
      <c r="H147">
        <f t="shared" si="6"/>
        <v>1</v>
      </c>
      <c r="I147" s="206">
        <f>SUMIFS('1_Presupuesto'!$V:$V,'1_Presupuesto'!$X:$X,K147,'1_Presupuesto'!$E:$E,E147)</f>
        <v>8021261.4624798121</v>
      </c>
      <c r="J147" s="206">
        <f t="shared" si="7"/>
        <v>802126.146247981</v>
      </c>
      <c r="K147" t="str">
        <f>_xlfn.XLOOKUP(B147,Cert_OC_Cliente!$B:$B,Cert_OC_Cliente!$L:$L)</f>
        <v>PTO 02</v>
      </c>
      <c r="L147" t="str">
        <f t="shared" si="8"/>
        <v>✓</v>
      </c>
    </row>
    <row r="148" spans="1:12" x14ac:dyDescent="0.35">
      <c r="A148" t="s">
        <v>4929</v>
      </c>
      <c r="B148" t="s">
        <v>4932</v>
      </c>
      <c r="C148" t="s">
        <v>4958</v>
      </c>
      <c r="D148" s="205">
        <v>45869</v>
      </c>
      <c r="E148">
        <v>24.03</v>
      </c>
      <c r="F148">
        <v>0.2</v>
      </c>
      <c r="G148">
        <v>4.9999999999999989E-2</v>
      </c>
      <c r="H148">
        <f t="shared" si="6"/>
        <v>0.25</v>
      </c>
      <c r="I148" s="206">
        <f>SUMIFS('1_Presupuesto'!$V:$V,'1_Presupuesto'!$X:$X,K148,'1_Presupuesto'!$E:$E,E148)</f>
        <v>3398454.9392095888</v>
      </c>
      <c r="J148" s="206">
        <f t="shared" si="7"/>
        <v>169922.74696047942</v>
      </c>
      <c r="K148" t="str">
        <f>_xlfn.XLOOKUP(B148,Cert_OC_Cliente!$B:$B,Cert_OC_Cliente!$L:$L)</f>
        <v>PTO 02</v>
      </c>
      <c r="L148" t="str">
        <f t="shared" si="8"/>
        <v>✓</v>
      </c>
    </row>
    <row r="149" spans="1:12" x14ac:dyDescent="0.35">
      <c r="A149" t="s">
        <v>4929</v>
      </c>
      <c r="B149" t="s">
        <v>4932</v>
      </c>
      <c r="C149" t="s">
        <v>4958</v>
      </c>
      <c r="D149" s="205">
        <v>45869</v>
      </c>
      <c r="E149">
        <v>24.05</v>
      </c>
      <c r="F149">
        <v>0.1</v>
      </c>
      <c r="G149">
        <v>5.0000000000000017E-2</v>
      </c>
      <c r="H149">
        <f t="shared" si="6"/>
        <v>0.15000000000000002</v>
      </c>
      <c r="I149" s="206">
        <f>SUMIFS('1_Presupuesto'!$V:$V,'1_Presupuesto'!$X:$X,K149,'1_Presupuesto'!$E:$E,E149)</f>
        <v>14856213.332043247</v>
      </c>
      <c r="J149" s="206">
        <f t="shared" si="7"/>
        <v>742810.66660216264</v>
      </c>
      <c r="K149" t="str">
        <f>_xlfn.XLOOKUP(B149,Cert_OC_Cliente!$B:$B,Cert_OC_Cliente!$L:$L)</f>
        <v>PTO 02</v>
      </c>
      <c r="L149" t="str">
        <f t="shared" si="8"/>
        <v>✓</v>
      </c>
    </row>
    <row r="150" spans="1:12" x14ac:dyDescent="0.35">
      <c r="A150" t="s">
        <v>4929</v>
      </c>
      <c r="B150" t="s">
        <v>4932</v>
      </c>
      <c r="C150" t="s">
        <v>4958</v>
      </c>
      <c r="D150" s="205">
        <v>45869</v>
      </c>
      <c r="E150">
        <v>24.06</v>
      </c>
      <c r="F150">
        <v>0.1</v>
      </c>
      <c r="G150">
        <v>5.0000000000000017E-2</v>
      </c>
      <c r="H150">
        <f t="shared" si="6"/>
        <v>0.15000000000000002</v>
      </c>
      <c r="I150" s="206">
        <f>SUMIFS('1_Presupuesto'!$V:$V,'1_Presupuesto'!$X:$X,K150,'1_Presupuesto'!$E:$E,E150)</f>
        <v>9812019.7942749579</v>
      </c>
      <c r="J150" s="206">
        <f t="shared" si="7"/>
        <v>490600.98971374804</v>
      </c>
      <c r="K150" t="str">
        <f>_xlfn.XLOOKUP(B150,Cert_OC_Cliente!$B:$B,Cert_OC_Cliente!$L:$L)</f>
        <v>PTO 02</v>
      </c>
      <c r="L150" t="str">
        <f t="shared" si="8"/>
        <v>✓</v>
      </c>
    </row>
    <row r="151" spans="1:12" x14ac:dyDescent="0.35">
      <c r="A151" t="s">
        <v>4929</v>
      </c>
      <c r="B151" t="s">
        <v>4932</v>
      </c>
      <c r="C151" t="s">
        <v>4958</v>
      </c>
      <c r="D151" s="205">
        <v>45869</v>
      </c>
      <c r="E151">
        <v>24.08</v>
      </c>
      <c r="F151">
        <v>0.12</v>
      </c>
      <c r="G151">
        <v>8.0000000000000016E-2</v>
      </c>
      <c r="H151">
        <f t="shared" si="6"/>
        <v>0.2</v>
      </c>
      <c r="I151" s="206">
        <f>SUMIFS('1_Presupuesto'!$V:$V,'1_Presupuesto'!$X:$X,K151,'1_Presupuesto'!$E:$E,E151)</f>
        <v>6796909.8784191776</v>
      </c>
      <c r="J151" s="206">
        <f t="shared" si="7"/>
        <v>543752.79027353437</v>
      </c>
      <c r="K151" t="str">
        <f>_xlfn.XLOOKUP(B151,Cert_OC_Cliente!$B:$B,Cert_OC_Cliente!$L:$L)</f>
        <v>PTO 02</v>
      </c>
      <c r="L151" t="str">
        <f t="shared" si="8"/>
        <v>✓</v>
      </c>
    </row>
    <row r="152" spans="1:12" x14ac:dyDescent="0.35">
      <c r="A152" t="s">
        <v>4929</v>
      </c>
      <c r="B152" t="s">
        <v>4932</v>
      </c>
      <c r="C152" t="s">
        <v>4958</v>
      </c>
      <c r="D152" s="205">
        <v>45869</v>
      </c>
      <c r="E152">
        <v>24.09</v>
      </c>
      <c r="F152">
        <v>0.03</v>
      </c>
      <c r="G152">
        <v>0.1</v>
      </c>
      <c r="H152">
        <f t="shared" si="6"/>
        <v>0.13</v>
      </c>
      <c r="I152" s="206">
        <f>SUMIFS('1_Presupuesto'!$V:$V,'1_Presupuesto'!$X:$X,K152,'1_Presupuesto'!$E:$E,E152)</f>
        <v>5910152.861234813</v>
      </c>
      <c r="J152" s="206">
        <f t="shared" si="7"/>
        <v>591015.28612348135</v>
      </c>
      <c r="K152" t="str">
        <f>_xlfn.XLOOKUP(B152,Cert_OC_Cliente!$B:$B,Cert_OC_Cliente!$L:$L)</f>
        <v>PTO 02</v>
      </c>
      <c r="L152" t="str">
        <f t="shared" si="8"/>
        <v>✓</v>
      </c>
    </row>
    <row r="153" spans="1:12" x14ac:dyDescent="0.35">
      <c r="A153" t="s">
        <v>4929</v>
      </c>
      <c r="B153" t="s">
        <v>4932</v>
      </c>
      <c r="C153" t="s">
        <v>4958</v>
      </c>
      <c r="D153" s="205">
        <v>45869</v>
      </c>
      <c r="E153">
        <v>25.01</v>
      </c>
      <c r="F153">
        <v>0.2</v>
      </c>
      <c r="G153">
        <v>4.9999999999999989E-2</v>
      </c>
      <c r="H153">
        <f t="shared" si="6"/>
        <v>0.25</v>
      </c>
      <c r="I153" s="206">
        <f>SUMIFS('1_Presupuesto'!$V:$V,'1_Presupuesto'!$X:$X,K153,'1_Presupuesto'!$E:$E,E153)</f>
        <v>99058404.317748845</v>
      </c>
      <c r="J153" s="206">
        <f t="shared" si="7"/>
        <v>4952920.2158874413</v>
      </c>
      <c r="K153" t="str">
        <f>_xlfn.XLOOKUP(B153,Cert_OC_Cliente!$B:$B,Cert_OC_Cliente!$L:$L)</f>
        <v>PTO 02</v>
      </c>
      <c r="L153" t="str">
        <f t="shared" si="8"/>
        <v>✓</v>
      </c>
    </row>
    <row r="154" spans="1:12" x14ac:dyDescent="0.35">
      <c r="A154" t="s">
        <v>4929</v>
      </c>
      <c r="B154" t="s">
        <v>4932</v>
      </c>
      <c r="C154" t="s">
        <v>4958</v>
      </c>
      <c r="D154" s="205">
        <v>45869</v>
      </c>
      <c r="E154">
        <v>25.02</v>
      </c>
      <c r="F154">
        <v>0.2</v>
      </c>
      <c r="G154">
        <v>4.9999999999999989E-2</v>
      </c>
      <c r="H154">
        <f t="shared" si="6"/>
        <v>0.25</v>
      </c>
      <c r="I154" s="206">
        <f>SUMIFS('1_Presupuesto'!$V:$V,'1_Presupuesto'!$X:$X,K154,'1_Presupuesto'!$E:$E,E154)</f>
        <v>11328183.130698629</v>
      </c>
      <c r="J154" s="206">
        <f t="shared" si="7"/>
        <v>566409.15653493127</v>
      </c>
      <c r="K154" t="str">
        <f>_xlfn.XLOOKUP(B154,Cert_OC_Cliente!$B:$B,Cert_OC_Cliente!$L:$L)</f>
        <v>PTO 02</v>
      </c>
      <c r="L154" t="str">
        <f t="shared" si="8"/>
        <v>✓</v>
      </c>
    </row>
    <row r="155" spans="1:12" x14ac:dyDescent="0.35">
      <c r="A155" t="s">
        <v>4929</v>
      </c>
      <c r="B155" t="s">
        <v>4932</v>
      </c>
      <c r="C155" t="s">
        <v>4959</v>
      </c>
      <c r="D155" s="205">
        <v>45900</v>
      </c>
      <c r="E155">
        <v>18.010000000000002</v>
      </c>
      <c r="F155">
        <v>0.05</v>
      </c>
      <c r="G155">
        <v>0.05</v>
      </c>
      <c r="H155">
        <f t="shared" si="6"/>
        <v>0.1</v>
      </c>
      <c r="I155" s="206">
        <f>SUMIFS('1_Presupuesto'!$V:$V,'1_Presupuesto'!$X:$X,K155,'1_Presupuesto'!$E:$E,E155)</f>
        <v>0</v>
      </c>
      <c r="J155" s="206">
        <f t="shared" si="7"/>
        <v>0</v>
      </c>
      <c r="K155" t="str">
        <f>_xlfn.XLOOKUP(B155,Cert_OC_Cliente!$B:$B,Cert_OC_Cliente!$L:$L)</f>
        <v>PTO 02</v>
      </c>
      <c r="L155" t="str">
        <f t="shared" si="8"/>
        <v>✓</v>
      </c>
    </row>
    <row r="156" spans="1:12" x14ac:dyDescent="0.35">
      <c r="A156" t="s">
        <v>4929</v>
      </c>
      <c r="B156" t="s">
        <v>4932</v>
      </c>
      <c r="C156" t="s">
        <v>4959</v>
      </c>
      <c r="D156" s="205">
        <v>45900</v>
      </c>
      <c r="E156">
        <v>18.02</v>
      </c>
      <c r="F156">
        <v>0.06</v>
      </c>
      <c r="G156">
        <v>0.06</v>
      </c>
      <c r="H156">
        <f t="shared" si="6"/>
        <v>0.12</v>
      </c>
      <c r="I156" s="206">
        <f>SUMIFS('1_Presupuesto'!$V:$V,'1_Presupuesto'!$X:$X,K156,'1_Presupuesto'!$E:$E,E156)</f>
        <v>4540566.038479845</v>
      </c>
      <c r="J156" s="206">
        <f t="shared" si="7"/>
        <v>272433.96230879071</v>
      </c>
      <c r="K156" t="str">
        <f>_xlfn.XLOOKUP(B156,Cert_OC_Cliente!$B:$B,Cert_OC_Cliente!$L:$L)</f>
        <v>PTO 02</v>
      </c>
      <c r="L156" t="str">
        <f t="shared" si="8"/>
        <v>✓</v>
      </c>
    </row>
    <row r="157" spans="1:12" x14ac:dyDescent="0.35">
      <c r="A157" t="s">
        <v>4929</v>
      </c>
      <c r="B157" t="s">
        <v>4932</v>
      </c>
      <c r="C157" t="s">
        <v>4959</v>
      </c>
      <c r="D157" s="205">
        <v>45900</v>
      </c>
      <c r="E157">
        <v>18.03</v>
      </c>
      <c r="F157">
        <v>0.25</v>
      </c>
      <c r="G157">
        <v>9.9999999999999978E-2</v>
      </c>
      <c r="H157">
        <f t="shared" si="6"/>
        <v>0.35</v>
      </c>
      <c r="I157" s="206">
        <f>SUMIFS('1_Presupuesto'!$V:$V,'1_Presupuesto'!$X:$X,K157,'1_Presupuesto'!$E:$E,E157)</f>
        <v>878819.23325416353</v>
      </c>
      <c r="J157" s="206">
        <f t="shared" si="7"/>
        <v>87881.923325416326</v>
      </c>
      <c r="K157" t="str">
        <f>_xlfn.XLOOKUP(B157,Cert_OC_Cliente!$B:$B,Cert_OC_Cliente!$L:$L)</f>
        <v>PTO 02</v>
      </c>
      <c r="L157" t="str">
        <f t="shared" si="8"/>
        <v>✓</v>
      </c>
    </row>
    <row r="158" spans="1:12" x14ac:dyDescent="0.35">
      <c r="A158" t="s">
        <v>4929</v>
      </c>
      <c r="B158" t="s">
        <v>4932</v>
      </c>
      <c r="C158" t="s">
        <v>4959</v>
      </c>
      <c r="D158" s="205">
        <v>45900</v>
      </c>
      <c r="E158">
        <v>18.04</v>
      </c>
      <c r="F158">
        <v>0.15</v>
      </c>
      <c r="G158">
        <v>0.1</v>
      </c>
      <c r="H158">
        <f t="shared" si="6"/>
        <v>0.25</v>
      </c>
      <c r="I158" s="206">
        <f>SUMIFS('1_Presupuesto'!$V:$V,'1_Presupuesto'!$X:$X,K158,'1_Presupuesto'!$E:$E,E158)</f>
        <v>1171758.9776722181</v>
      </c>
      <c r="J158" s="206">
        <f t="shared" si="7"/>
        <v>117175.89776722182</v>
      </c>
      <c r="K158" t="str">
        <f>_xlfn.XLOOKUP(B158,Cert_OC_Cliente!$B:$B,Cert_OC_Cliente!$L:$L)</f>
        <v>PTO 02</v>
      </c>
      <c r="L158" t="str">
        <f t="shared" si="8"/>
        <v>✓</v>
      </c>
    </row>
    <row r="159" spans="1:12" x14ac:dyDescent="0.35">
      <c r="A159" t="s">
        <v>4929</v>
      </c>
      <c r="B159" t="s">
        <v>4932</v>
      </c>
      <c r="C159" t="s">
        <v>4959</v>
      </c>
      <c r="D159" s="205">
        <v>45900</v>
      </c>
      <c r="E159">
        <v>18.059999999999999</v>
      </c>
      <c r="F159">
        <v>0</v>
      </c>
      <c r="G159">
        <v>0.1</v>
      </c>
      <c r="H159">
        <f t="shared" si="6"/>
        <v>0.1</v>
      </c>
      <c r="I159" s="206">
        <f>SUMIFS('1_Presupuesto'!$V:$V,'1_Presupuesto'!$X:$X,K159,'1_Presupuesto'!$E:$E,E159)</f>
        <v>1757638.4665083271</v>
      </c>
      <c r="J159" s="206">
        <f t="shared" si="7"/>
        <v>175763.84665083271</v>
      </c>
      <c r="K159" t="str">
        <f>_xlfn.XLOOKUP(B159,Cert_OC_Cliente!$B:$B,Cert_OC_Cliente!$L:$L)</f>
        <v>PTO 02</v>
      </c>
      <c r="L159" t="str">
        <f t="shared" si="8"/>
        <v>✓</v>
      </c>
    </row>
    <row r="160" spans="1:12" x14ac:dyDescent="0.35">
      <c r="A160" t="s">
        <v>4929</v>
      </c>
      <c r="B160" t="s">
        <v>4932</v>
      </c>
      <c r="C160" t="s">
        <v>4959</v>
      </c>
      <c r="D160" s="205">
        <v>45900</v>
      </c>
      <c r="E160">
        <v>18.07</v>
      </c>
      <c r="F160">
        <v>0.03</v>
      </c>
      <c r="G160">
        <v>0.05</v>
      </c>
      <c r="H160">
        <f t="shared" si="6"/>
        <v>0.08</v>
      </c>
      <c r="I160" s="206">
        <f>SUMIFS('1_Presupuesto'!$V:$V,'1_Presupuesto'!$X:$X,K160,'1_Presupuesto'!$E:$E,E160)</f>
        <v>15628623.979244839</v>
      </c>
      <c r="J160" s="206">
        <f t="shared" si="7"/>
        <v>781431.19896224199</v>
      </c>
      <c r="K160" t="str">
        <f>_xlfn.XLOOKUP(B160,Cert_OC_Cliente!$B:$B,Cert_OC_Cliente!$L:$L)</f>
        <v>PTO 02</v>
      </c>
      <c r="L160" t="str">
        <f t="shared" si="8"/>
        <v>✓</v>
      </c>
    </row>
    <row r="161" spans="1:12" x14ac:dyDescent="0.35">
      <c r="A161" t="s">
        <v>4929</v>
      </c>
      <c r="B161" t="s">
        <v>4932</v>
      </c>
      <c r="C161" t="s">
        <v>4959</v>
      </c>
      <c r="D161" s="205">
        <v>45900</v>
      </c>
      <c r="E161">
        <v>18.079999999999998</v>
      </c>
      <c r="F161">
        <v>0</v>
      </c>
      <c r="G161">
        <v>0.05</v>
      </c>
      <c r="H161">
        <f t="shared" si="6"/>
        <v>0.05</v>
      </c>
      <c r="I161" s="206">
        <f>SUMIFS('1_Presupuesto'!$V:$V,'1_Presupuesto'!$X:$X,K161,'1_Presupuesto'!$E:$E,E161)</f>
        <v>3049848.1124811382</v>
      </c>
      <c r="J161" s="206">
        <f t="shared" si="7"/>
        <v>152492.4056240569</v>
      </c>
      <c r="K161" t="str">
        <f>_xlfn.XLOOKUP(B161,Cert_OC_Cliente!$B:$B,Cert_OC_Cliente!$L:$L)</f>
        <v>PTO 02</v>
      </c>
      <c r="L161" t="str">
        <f t="shared" si="8"/>
        <v>✓</v>
      </c>
    </row>
    <row r="162" spans="1:12" x14ac:dyDescent="0.35">
      <c r="A162" t="s">
        <v>4929</v>
      </c>
      <c r="B162" t="s">
        <v>4932</v>
      </c>
      <c r="C162" t="s">
        <v>4959</v>
      </c>
      <c r="D162" s="205">
        <v>45900</v>
      </c>
      <c r="E162">
        <v>18.100000000000001</v>
      </c>
      <c r="F162">
        <v>0</v>
      </c>
      <c r="G162">
        <v>0.1</v>
      </c>
      <c r="H162">
        <f t="shared" si="6"/>
        <v>0.1</v>
      </c>
      <c r="I162" s="206">
        <f>SUMIFS('1_Presupuesto'!$V:$V,'1_Presupuesto'!$X:$X,K162,'1_Presupuesto'!$E:$E,E162)</f>
        <v>553225.62758388813</v>
      </c>
      <c r="J162" s="206">
        <f t="shared" si="7"/>
        <v>55322.562758388813</v>
      </c>
      <c r="K162" t="str">
        <f>_xlfn.XLOOKUP(B162,Cert_OC_Cliente!$B:$B,Cert_OC_Cliente!$L:$L)</f>
        <v>PTO 02</v>
      </c>
      <c r="L162" t="str">
        <f t="shared" si="8"/>
        <v>✓</v>
      </c>
    </row>
    <row r="163" spans="1:12" x14ac:dyDescent="0.35">
      <c r="A163" t="s">
        <v>4929</v>
      </c>
      <c r="B163" t="s">
        <v>4932</v>
      </c>
      <c r="C163" t="s">
        <v>4959</v>
      </c>
      <c r="D163" s="205">
        <v>45900</v>
      </c>
      <c r="E163">
        <v>18.12</v>
      </c>
      <c r="F163">
        <v>0</v>
      </c>
      <c r="G163">
        <v>0.1</v>
      </c>
      <c r="H163">
        <f t="shared" si="6"/>
        <v>0.1</v>
      </c>
      <c r="I163" s="206">
        <f>SUMIFS('1_Presupuesto'!$V:$V,'1_Presupuesto'!$X:$X,K163,'1_Presupuesto'!$E:$E,E163)</f>
        <v>1366621.284136306</v>
      </c>
      <c r="J163" s="206">
        <f t="shared" si="7"/>
        <v>136662.12841363062</v>
      </c>
      <c r="K163" t="str">
        <f>_xlfn.XLOOKUP(B163,Cert_OC_Cliente!$B:$B,Cert_OC_Cliente!$L:$L)</f>
        <v>PTO 02</v>
      </c>
      <c r="L163" t="str">
        <f t="shared" si="8"/>
        <v>✓</v>
      </c>
    </row>
    <row r="164" spans="1:12" x14ac:dyDescent="0.35">
      <c r="A164" t="s">
        <v>4929</v>
      </c>
      <c r="B164" t="s">
        <v>4932</v>
      </c>
      <c r="C164" t="s">
        <v>4959</v>
      </c>
      <c r="D164" s="205">
        <v>45900</v>
      </c>
      <c r="E164">
        <v>18.14</v>
      </c>
      <c r="F164">
        <v>0</v>
      </c>
      <c r="G164">
        <v>0.1</v>
      </c>
      <c r="H164">
        <f t="shared" si="6"/>
        <v>0.1</v>
      </c>
      <c r="I164" s="206">
        <f>SUMIFS('1_Presupuesto'!$V:$V,'1_Presupuesto'!$X:$X,K164,'1_Presupuesto'!$E:$E,E164)</f>
        <v>1467852.4903686249</v>
      </c>
      <c r="J164" s="206">
        <f t="shared" si="7"/>
        <v>146785.24903686249</v>
      </c>
      <c r="K164" t="str">
        <f>_xlfn.XLOOKUP(B164,Cert_OC_Cliente!$B:$B,Cert_OC_Cliente!$L:$L)</f>
        <v>PTO 02</v>
      </c>
      <c r="L164" t="str">
        <f t="shared" si="8"/>
        <v>✓</v>
      </c>
    </row>
    <row r="165" spans="1:12" x14ac:dyDescent="0.35">
      <c r="A165" t="s">
        <v>4929</v>
      </c>
      <c r="B165" t="s">
        <v>4932</v>
      </c>
      <c r="C165" t="s">
        <v>4959</v>
      </c>
      <c r="D165" s="205">
        <v>45900</v>
      </c>
      <c r="E165">
        <v>24.01</v>
      </c>
      <c r="F165">
        <v>0.25</v>
      </c>
      <c r="G165">
        <v>4.9999999999999989E-2</v>
      </c>
      <c r="H165">
        <f t="shared" si="6"/>
        <v>0.3</v>
      </c>
      <c r="I165" s="206">
        <f>SUMIFS('1_Presupuesto'!$V:$V,'1_Presupuesto'!$X:$X,K165,'1_Presupuesto'!$E:$E,E165)</f>
        <v>16546555.307464439</v>
      </c>
      <c r="J165" s="206">
        <f t="shared" si="7"/>
        <v>827327.76537322183</v>
      </c>
      <c r="K165" t="str">
        <f>_xlfn.XLOOKUP(B165,Cert_OC_Cliente!$B:$B,Cert_OC_Cliente!$L:$L)</f>
        <v>PTO 02</v>
      </c>
      <c r="L165" t="str">
        <f t="shared" si="8"/>
        <v>✓</v>
      </c>
    </row>
    <row r="166" spans="1:12" x14ac:dyDescent="0.35">
      <c r="A166" t="s">
        <v>4929</v>
      </c>
      <c r="B166" t="s">
        <v>4932</v>
      </c>
      <c r="C166" t="s">
        <v>4959</v>
      </c>
      <c r="D166" s="205">
        <v>45900</v>
      </c>
      <c r="E166">
        <v>24.03</v>
      </c>
      <c r="F166">
        <v>0.25</v>
      </c>
      <c r="G166">
        <v>4.9999999999999989E-2</v>
      </c>
      <c r="H166">
        <f t="shared" si="6"/>
        <v>0.3</v>
      </c>
      <c r="I166" s="206">
        <f>SUMIFS('1_Presupuesto'!$V:$V,'1_Presupuesto'!$X:$X,K166,'1_Presupuesto'!$E:$E,E166)</f>
        <v>3398454.9392095888</v>
      </c>
      <c r="J166" s="206">
        <f t="shared" si="7"/>
        <v>169922.74696047942</v>
      </c>
      <c r="K166" t="str">
        <f>_xlfn.XLOOKUP(B166,Cert_OC_Cliente!$B:$B,Cert_OC_Cliente!$L:$L)</f>
        <v>PTO 02</v>
      </c>
      <c r="L166" t="str">
        <f t="shared" si="8"/>
        <v>✓</v>
      </c>
    </row>
    <row r="167" spans="1:12" x14ac:dyDescent="0.35">
      <c r="A167" t="s">
        <v>4929</v>
      </c>
      <c r="B167" t="s">
        <v>4932</v>
      </c>
      <c r="C167" t="s">
        <v>4959</v>
      </c>
      <c r="D167" s="205">
        <v>45900</v>
      </c>
      <c r="E167">
        <v>24.05</v>
      </c>
      <c r="F167">
        <v>0.15</v>
      </c>
      <c r="G167">
        <v>4.9999999999999989E-2</v>
      </c>
      <c r="H167">
        <f t="shared" si="6"/>
        <v>0.19999999999999998</v>
      </c>
      <c r="I167" s="206">
        <f>SUMIFS('1_Presupuesto'!$V:$V,'1_Presupuesto'!$X:$X,K167,'1_Presupuesto'!$E:$E,E167)</f>
        <v>14856213.332043247</v>
      </c>
      <c r="J167" s="206">
        <f t="shared" si="7"/>
        <v>742810.66660216218</v>
      </c>
      <c r="K167" t="str">
        <f>_xlfn.XLOOKUP(B167,Cert_OC_Cliente!$B:$B,Cert_OC_Cliente!$L:$L)</f>
        <v>PTO 02</v>
      </c>
      <c r="L167" t="str">
        <f t="shared" si="8"/>
        <v>✓</v>
      </c>
    </row>
    <row r="168" spans="1:12" x14ac:dyDescent="0.35">
      <c r="A168" t="s">
        <v>4929</v>
      </c>
      <c r="B168" t="s">
        <v>4932</v>
      </c>
      <c r="C168" t="s">
        <v>4959</v>
      </c>
      <c r="D168" s="205">
        <v>45900</v>
      </c>
      <c r="E168">
        <v>24.06</v>
      </c>
      <c r="F168">
        <v>0.15</v>
      </c>
      <c r="G168">
        <v>4.9999999999999989E-2</v>
      </c>
      <c r="H168">
        <f t="shared" si="6"/>
        <v>0.19999999999999998</v>
      </c>
      <c r="I168" s="206">
        <f>SUMIFS('1_Presupuesto'!$V:$V,'1_Presupuesto'!$X:$X,K168,'1_Presupuesto'!$E:$E,E168)</f>
        <v>9812019.7942749579</v>
      </c>
      <c r="J168" s="206">
        <f t="shared" si="7"/>
        <v>490600.98971374781</v>
      </c>
      <c r="K168" t="str">
        <f>_xlfn.XLOOKUP(B168,Cert_OC_Cliente!$B:$B,Cert_OC_Cliente!$L:$L)</f>
        <v>PTO 02</v>
      </c>
      <c r="L168" t="str">
        <f t="shared" si="8"/>
        <v>✓</v>
      </c>
    </row>
    <row r="169" spans="1:12" x14ac:dyDescent="0.35">
      <c r="A169" t="s">
        <v>4929</v>
      </c>
      <c r="B169" t="s">
        <v>4932</v>
      </c>
      <c r="C169" t="s">
        <v>4959</v>
      </c>
      <c r="D169" s="205">
        <v>45900</v>
      </c>
      <c r="E169">
        <v>24.08</v>
      </c>
      <c r="F169">
        <v>0.2</v>
      </c>
      <c r="G169">
        <v>4.9999999999999989E-2</v>
      </c>
      <c r="H169">
        <f t="shared" si="6"/>
        <v>0.25</v>
      </c>
      <c r="I169" s="206">
        <f>SUMIFS('1_Presupuesto'!$V:$V,'1_Presupuesto'!$X:$X,K169,'1_Presupuesto'!$E:$E,E169)</f>
        <v>6796909.8784191776</v>
      </c>
      <c r="J169" s="206">
        <f t="shared" si="7"/>
        <v>339845.49392095883</v>
      </c>
      <c r="K169" t="str">
        <f>_xlfn.XLOOKUP(B169,Cert_OC_Cliente!$B:$B,Cert_OC_Cliente!$L:$L)</f>
        <v>PTO 02</v>
      </c>
      <c r="L169" t="str">
        <f t="shared" si="8"/>
        <v>✓</v>
      </c>
    </row>
    <row r="170" spans="1:12" x14ac:dyDescent="0.35">
      <c r="A170" t="s">
        <v>4929</v>
      </c>
      <c r="B170" t="s">
        <v>4932</v>
      </c>
      <c r="C170" t="s">
        <v>4959</v>
      </c>
      <c r="D170" s="205">
        <v>45900</v>
      </c>
      <c r="E170">
        <v>24.09</v>
      </c>
      <c r="F170">
        <v>0.13</v>
      </c>
      <c r="G170">
        <v>4.9999999999999989E-2</v>
      </c>
      <c r="H170">
        <f t="shared" si="6"/>
        <v>0.18</v>
      </c>
      <c r="I170" s="206">
        <f>SUMIFS('1_Presupuesto'!$V:$V,'1_Presupuesto'!$X:$X,K170,'1_Presupuesto'!$E:$E,E170)</f>
        <v>5910152.861234813</v>
      </c>
      <c r="J170" s="206">
        <f t="shared" si="7"/>
        <v>295507.64306174056</v>
      </c>
      <c r="K170" t="str">
        <f>_xlfn.XLOOKUP(B170,Cert_OC_Cliente!$B:$B,Cert_OC_Cliente!$L:$L)</f>
        <v>PTO 02</v>
      </c>
      <c r="L170" t="str">
        <f t="shared" si="8"/>
        <v>✓</v>
      </c>
    </row>
    <row r="171" spans="1:12" x14ac:dyDescent="0.35">
      <c r="A171" t="s">
        <v>4929</v>
      </c>
      <c r="B171" t="s">
        <v>4932</v>
      </c>
      <c r="C171" t="s">
        <v>4959</v>
      </c>
      <c r="D171" s="205">
        <v>45900</v>
      </c>
      <c r="E171">
        <v>25.01</v>
      </c>
      <c r="F171">
        <v>0.25</v>
      </c>
      <c r="G171">
        <v>4.9999999999999989E-2</v>
      </c>
      <c r="H171">
        <f t="shared" si="6"/>
        <v>0.3</v>
      </c>
      <c r="I171" s="206">
        <f>SUMIFS('1_Presupuesto'!$V:$V,'1_Presupuesto'!$X:$X,K171,'1_Presupuesto'!$E:$E,E171)</f>
        <v>99058404.317748845</v>
      </c>
      <c r="J171" s="206">
        <f t="shared" si="7"/>
        <v>4952920.2158874413</v>
      </c>
      <c r="K171" t="str">
        <f>_xlfn.XLOOKUP(B171,Cert_OC_Cliente!$B:$B,Cert_OC_Cliente!$L:$L)</f>
        <v>PTO 02</v>
      </c>
      <c r="L171" t="str">
        <f t="shared" si="8"/>
        <v>✓</v>
      </c>
    </row>
    <row r="172" spans="1:12" x14ac:dyDescent="0.35">
      <c r="A172" t="s">
        <v>4929</v>
      </c>
      <c r="B172" t="s">
        <v>4932</v>
      </c>
      <c r="C172" t="s">
        <v>4959</v>
      </c>
      <c r="D172" s="205">
        <v>45900</v>
      </c>
      <c r="E172">
        <v>25.02</v>
      </c>
      <c r="F172">
        <v>0.25</v>
      </c>
      <c r="G172">
        <v>4.9999999999999989E-2</v>
      </c>
      <c r="H172">
        <f t="shared" si="6"/>
        <v>0.3</v>
      </c>
      <c r="I172" s="206">
        <f>SUMIFS('1_Presupuesto'!$V:$V,'1_Presupuesto'!$X:$X,K172,'1_Presupuesto'!$E:$E,E172)</f>
        <v>11328183.130698629</v>
      </c>
      <c r="J172" s="206">
        <f t="shared" si="7"/>
        <v>566409.15653493127</v>
      </c>
      <c r="K172" t="str">
        <f>_xlfn.XLOOKUP(B172,Cert_OC_Cliente!$B:$B,Cert_OC_Cliente!$L:$L)</f>
        <v>PTO 02</v>
      </c>
      <c r="L172" t="str">
        <f t="shared" si="8"/>
        <v>✓</v>
      </c>
    </row>
    <row r="173" spans="1:12" x14ac:dyDescent="0.35">
      <c r="A173" t="s">
        <v>4929</v>
      </c>
      <c r="B173" t="s">
        <v>4932</v>
      </c>
      <c r="C173" t="s">
        <v>4960</v>
      </c>
      <c r="D173" s="205">
        <v>45930</v>
      </c>
      <c r="E173">
        <v>18.010000000000002</v>
      </c>
      <c r="F173">
        <v>0.1</v>
      </c>
      <c r="G173">
        <v>5.0000000000000017E-2</v>
      </c>
      <c r="H173">
        <f t="shared" si="6"/>
        <v>0.15000000000000002</v>
      </c>
      <c r="I173" s="206">
        <f>SUMIFS('1_Presupuesto'!$V:$V,'1_Presupuesto'!$X:$X,K173,'1_Presupuesto'!$E:$E,E173)</f>
        <v>0</v>
      </c>
      <c r="J173" s="206">
        <f t="shared" si="7"/>
        <v>0</v>
      </c>
      <c r="K173" t="str">
        <f>_xlfn.XLOOKUP(B173,Cert_OC_Cliente!$B:$B,Cert_OC_Cliente!$L:$L)</f>
        <v>PTO 02</v>
      </c>
      <c r="L173" t="str">
        <f t="shared" si="8"/>
        <v>✓</v>
      </c>
    </row>
    <row r="174" spans="1:12" x14ac:dyDescent="0.35">
      <c r="A174" t="s">
        <v>4929</v>
      </c>
      <c r="B174" t="s">
        <v>4932</v>
      </c>
      <c r="C174" t="s">
        <v>4960</v>
      </c>
      <c r="D174" s="205">
        <v>45930</v>
      </c>
      <c r="E174">
        <v>18.02</v>
      </c>
      <c r="F174">
        <v>0.12</v>
      </c>
      <c r="G174">
        <v>0.06</v>
      </c>
      <c r="H174">
        <f t="shared" si="6"/>
        <v>0.18</v>
      </c>
      <c r="I174" s="206">
        <f>SUMIFS('1_Presupuesto'!$V:$V,'1_Presupuesto'!$X:$X,K174,'1_Presupuesto'!$E:$E,E174)</f>
        <v>4540566.038479845</v>
      </c>
      <c r="J174" s="206">
        <f t="shared" si="7"/>
        <v>272433.96230879071</v>
      </c>
      <c r="K174" t="str">
        <f>_xlfn.XLOOKUP(B174,Cert_OC_Cliente!$B:$B,Cert_OC_Cliente!$L:$L)</f>
        <v>PTO 02</v>
      </c>
      <c r="L174" t="str">
        <f t="shared" si="8"/>
        <v>✓</v>
      </c>
    </row>
    <row r="175" spans="1:12" x14ac:dyDescent="0.35">
      <c r="A175" t="s">
        <v>4929</v>
      </c>
      <c r="B175" t="s">
        <v>4932</v>
      </c>
      <c r="C175" t="s">
        <v>4960</v>
      </c>
      <c r="D175" s="205">
        <v>45930</v>
      </c>
      <c r="E175">
        <v>18.03</v>
      </c>
      <c r="F175">
        <v>0.35</v>
      </c>
      <c r="G175">
        <v>9.9999999999999978E-2</v>
      </c>
      <c r="H175">
        <f t="shared" si="6"/>
        <v>0.44999999999999996</v>
      </c>
      <c r="I175" s="206">
        <f>SUMIFS('1_Presupuesto'!$V:$V,'1_Presupuesto'!$X:$X,K175,'1_Presupuesto'!$E:$E,E175)</f>
        <v>878819.23325416353</v>
      </c>
      <c r="J175" s="206">
        <f t="shared" si="7"/>
        <v>87881.923325416326</v>
      </c>
      <c r="K175" t="str">
        <f>_xlfn.XLOOKUP(B175,Cert_OC_Cliente!$B:$B,Cert_OC_Cliente!$L:$L)</f>
        <v>PTO 02</v>
      </c>
      <c r="L175" t="str">
        <f t="shared" si="8"/>
        <v>✓</v>
      </c>
    </row>
    <row r="176" spans="1:12" x14ac:dyDescent="0.35">
      <c r="A176" t="s">
        <v>4929</v>
      </c>
      <c r="B176" t="s">
        <v>4932</v>
      </c>
      <c r="C176" t="s">
        <v>4960</v>
      </c>
      <c r="D176" s="205">
        <v>45930</v>
      </c>
      <c r="E176">
        <v>18.04</v>
      </c>
      <c r="F176">
        <v>0.25</v>
      </c>
      <c r="G176">
        <v>9.9999999999999978E-2</v>
      </c>
      <c r="H176">
        <f t="shared" si="6"/>
        <v>0.35</v>
      </c>
      <c r="I176" s="206">
        <f>SUMIFS('1_Presupuesto'!$V:$V,'1_Presupuesto'!$X:$X,K176,'1_Presupuesto'!$E:$E,E176)</f>
        <v>1171758.9776722181</v>
      </c>
      <c r="J176" s="206">
        <f t="shared" si="7"/>
        <v>117175.89776722179</v>
      </c>
      <c r="K176" t="str">
        <f>_xlfn.XLOOKUP(B176,Cert_OC_Cliente!$B:$B,Cert_OC_Cliente!$L:$L)</f>
        <v>PTO 02</v>
      </c>
      <c r="L176" t="str">
        <f t="shared" si="8"/>
        <v>✓</v>
      </c>
    </row>
    <row r="177" spans="1:12" x14ac:dyDescent="0.35">
      <c r="A177" t="s">
        <v>4929</v>
      </c>
      <c r="B177" t="s">
        <v>4932</v>
      </c>
      <c r="C177" t="s">
        <v>4960</v>
      </c>
      <c r="D177" s="205">
        <v>45930</v>
      </c>
      <c r="E177">
        <v>18.059999999999999</v>
      </c>
      <c r="F177">
        <v>0.1</v>
      </c>
      <c r="G177">
        <v>0.1</v>
      </c>
      <c r="H177">
        <f t="shared" si="6"/>
        <v>0.2</v>
      </c>
      <c r="I177" s="206">
        <f>SUMIFS('1_Presupuesto'!$V:$V,'1_Presupuesto'!$X:$X,K177,'1_Presupuesto'!$E:$E,E177)</f>
        <v>1757638.4665083271</v>
      </c>
      <c r="J177" s="206">
        <f t="shared" si="7"/>
        <v>175763.84665083271</v>
      </c>
      <c r="K177" t="str">
        <f>_xlfn.XLOOKUP(B177,Cert_OC_Cliente!$B:$B,Cert_OC_Cliente!$L:$L)</f>
        <v>PTO 02</v>
      </c>
      <c r="L177" t="str">
        <f t="shared" si="8"/>
        <v>✓</v>
      </c>
    </row>
    <row r="178" spans="1:12" x14ac:dyDescent="0.35">
      <c r="A178" t="s">
        <v>4929</v>
      </c>
      <c r="B178" t="s">
        <v>4932</v>
      </c>
      <c r="C178" t="s">
        <v>4960</v>
      </c>
      <c r="D178" s="205">
        <v>45930</v>
      </c>
      <c r="E178">
        <v>18.07</v>
      </c>
      <c r="F178">
        <v>0.08</v>
      </c>
      <c r="G178">
        <v>0.05</v>
      </c>
      <c r="H178">
        <f t="shared" si="6"/>
        <v>0.13</v>
      </c>
      <c r="I178" s="206">
        <f>SUMIFS('1_Presupuesto'!$V:$V,'1_Presupuesto'!$X:$X,K178,'1_Presupuesto'!$E:$E,E178)</f>
        <v>15628623.979244839</v>
      </c>
      <c r="J178" s="206">
        <f t="shared" si="7"/>
        <v>781431.19896224199</v>
      </c>
      <c r="K178" t="str">
        <f>_xlfn.XLOOKUP(B178,Cert_OC_Cliente!$B:$B,Cert_OC_Cliente!$L:$L)</f>
        <v>PTO 02</v>
      </c>
      <c r="L178" t="str">
        <f t="shared" si="8"/>
        <v>✓</v>
      </c>
    </row>
    <row r="179" spans="1:12" x14ac:dyDescent="0.35">
      <c r="A179" t="s">
        <v>4929</v>
      </c>
      <c r="B179" t="s">
        <v>4932</v>
      </c>
      <c r="C179" t="s">
        <v>4960</v>
      </c>
      <c r="D179" s="205">
        <v>45930</v>
      </c>
      <c r="E179">
        <v>18.079999999999998</v>
      </c>
      <c r="F179">
        <v>0.05</v>
      </c>
      <c r="G179">
        <v>0.05</v>
      </c>
      <c r="H179">
        <f t="shared" si="6"/>
        <v>0.1</v>
      </c>
      <c r="I179" s="206">
        <f>SUMIFS('1_Presupuesto'!$V:$V,'1_Presupuesto'!$X:$X,K179,'1_Presupuesto'!$E:$E,E179)</f>
        <v>3049848.1124811382</v>
      </c>
      <c r="J179" s="206">
        <f t="shared" si="7"/>
        <v>152492.4056240569</v>
      </c>
      <c r="K179" t="str">
        <f>_xlfn.XLOOKUP(B179,Cert_OC_Cliente!$B:$B,Cert_OC_Cliente!$L:$L)</f>
        <v>PTO 02</v>
      </c>
      <c r="L179" t="str">
        <f t="shared" si="8"/>
        <v>✓</v>
      </c>
    </row>
    <row r="180" spans="1:12" x14ac:dyDescent="0.35">
      <c r="A180" t="s">
        <v>4929</v>
      </c>
      <c r="B180" t="s">
        <v>4932</v>
      </c>
      <c r="C180" t="s">
        <v>4960</v>
      </c>
      <c r="D180" s="205">
        <v>45930</v>
      </c>
      <c r="E180">
        <v>18.100000000000001</v>
      </c>
      <c r="F180">
        <v>0.1</v>
      </c>
      <c r="G180">
        <v>0.1</v>
      </c>
      <c r="H180">
        <f t="shared" si="6"/>
        <v>0.2</v>
      </c>
      <c r="I180" s="206">
        <f>SUMIFS('1_Presupuesto'!$V:$V,'1_Presupuesto'!$X:$X,K180,'1_Presupuesto'!$E:$E,E180)</f>
        <v>553225.62758388813</v>
      </c>
      <c r="J180" s="206">
        <f t="shared" si="7"/>
        <v>55322.562758388813</v>
      </c>
      <c r="K180" t="str">
        <f>_xlfn.XLOOKUP(B180,Cert_OC_Cliente!$B:$B,Cert_OC_Cliente!$L:$L)</f>
        <v>PTO 02</v>
      </c>
      <c r="L180" t="str">
        <f t="shared" si="8"/>
        <v>✓</v>
      </c>
    </row>
    <row r="181" spans="1:12" x14ac:dyDescent="0.35">
      <c r="A181" t="s">
        <v>4929</v>
      </c>
      <c r="B181" t="s">
        <v>4932</v>
      </c>
      <c r="C181" t="s">
        <v>4960</v>
      </c>
      <c r="D181" s="205">
        <v>45930</v>
      </c>
      <c r="E181">
        <v>18.12</v>
      </c>
      <c r="F181">
        <v>0.1</v>
      </c>
      <c r="G181">
        <v>0.1</v>
      </c>
      <c r="H181">
        <f t="shared" si="6"/>
        <v>0.2</v>
      </c>
      <c r="I181" s="206">
        <f>SUMIFS('1_Presupuesto'!$V:$V,'1_Presupuesto'!$X:$X,K181,'1_Presupuesto'!$E:$E,E181)</f>
        <v>1366621.284136306</v>
      </c>
      <c r="J181" s="206">
        <f t="shared" si="7"/>
        <v>136662.12841363062</v>
      </c>
      <c r="K181" t="str">
        <f>_xlfn.XLOOKUP(B181,Cert_OC_Cliente!$B:$B,Cert_OC_Cliente!$L:$L)</f>
        <v>PTO 02</v>
      </c>
      <c r="L181" t="str">
        <f t="shared" si="8"/>
        <v>✓</v>
      </c>
    </row>
    <row r="182" spans="1:12" x14ac:dyDescent="0.35">
      <c r="A182" t="s">
        <v>4929</v>
      </c>
      <c r="B182" t="s">
        <v>4932</v>
      </c>
      <c r="C182" t="s">
        <v>4960</v>
      </c>
      <c r="D182" s="205">
        <v>45930</v>
      </c>
      <c r="E182">
        <v>18.14</v>
      </c>
      <c r="F182">
        <v>0.1</v>
      </c>
      <c r="G182">
        <v>0.1</v>
      </c>
      <c r="H182">
        <f t="shared" si="6"/>
        <v>0.2</v>
      </c>
      <c r="I182" s="206">
        <f>SUMIFS('1_Presupuesto'!$V:$V,'1_Presupuesto'!$X:$X,K182,'1_Presupuesto'!$E:$E,E182)</f>
        <v>1467852.4903686249</v>
      </c>
      <c r="J182" s="206">
        <f t="shared" si="7"/>
        <v>146785.24903686249</v>
      </c>
      <c r="K182" t="str">
        <f>_xlfn.XLOOKUP(B182,Cert_OC_Cliente!$B:$B,Cert_OC_Cliente!$L:$L)</f>
        <v>PTO 02</v>
      </c>
      <c r="L182" t="str">
        <f t="shared" si="8"/>
        <v>✓</v>
      </c>
    </row>
    <row r="183" spans="1:12" x14ac:dyDescent="0.35">
      <c r="A183" t="s">
        <v>4929</v>
      </c>
      <c r="B183" t="s">
        <v>4932</v>
      </c>
      <c r="C183" t="s">
        <v>4960</v>
      </c>
      <c r="D183" s="205">
        <v>45930</v>
      </c>
      <c r="E183">
        <v>24.01</v>
      </c>
      <c r="F183">
        <v>0.3</v>
      </c>
      <c r="G183">
        <v>4.9999999999999989E-2</v>
      </c>
      <c r="H183">
        <f t="shared" si="6"/>
        <v>0.35</v>
      </c>
      <c r="I183" s="206">
        <f>SUMIFS('1_Presupuesto'!$V:$V,'1_Presupuesto'!$X:$X,K183,'1_Presupuesto'!$E:$E,E183)</f>
        <v>16546555.307464439</v>
      </c>
      <c r="J183" s="206">
        <f t="shared" si="7"/>
        <v>827327.76537322183</v>
      </c>
      <c r="K183" t="str">
        <f>_xlfn.XLOOKUP(B183,Cert_OC_Cliente!$B:$B,Cert_OC_Cliente!$L:$L)</f>
        <v>PTO 02</v>
      </c>
      <c r="L183" t="str">
        <f t="shared" si="8"/>
        <v>✓</v>
      </c>
    </row>
    <row r="184" spans="1:12" x14ac:dyDescent="0.35">
      <c r="A184" t="s">
        <v>4929</v>
      </c>
      <c r="B184" t="s">
        <v>4932</v>
      </c>
      <c r="C184" t="s">
        <v>4960</v>
      </c>
      <c r="D184" s="205">
        <v>45930</v>
      </c>
      <c r="E184">
        <v>24.03</v>
      </c>
      <c r="F184">
        <v>0.3</v>
      </c>
      <c r="G184">
        <v>4.9999999999999989E-2</v>
      </c>
      <c r="H184">
        <f t="shared" si="6"/>
        <v>0.35</v>
      </c>
      <c r="I184" s="206">
        <f>SUMIFS('1_Presupuesto'!$V:$V,'1_Presupuesto'!$X:$X,K184,'1_Presupuesto'!$E:$E,E184)</f>
        <v>3398454.9392095888</v>
      </c>
      <c r="J184" s="206">
        <f t="shared" si="7"/>
        <v>169922.74696047942</v>
      </c>
      <c r="K184" t="str">
        <f>_xlfn.XLOOKUP(B184,Cert_OC_Cliente!$B:$B,Cert_OC_Cliente!$L:$L)</f>
        <v>PTO 02</v>
      </c>
      <c r="L184" t="str">
        <f t="shared" si="8"/>
        <v>✓</v>
      </c>
    </row>
    <row r="185" spans="1:12" x14ac:dyDescent="0.35">
      <c r="A185" t="s">
        <v>4929</v>
      </c>
      <c r="B185" t="s">
        <v>4932</v>
      </c>
      <c r="C185" t="s">
        <v>4960</v>
      </c>
      <c r="D185" s="205">
        <v>45930</v>
      </c>
      <c r="E185">
        <v>24.04</v>
      </c>
      <c r="F185">
        <v>0</v>
      </c>
      <c r="G185">
        <v>0.45</v>
      </c>
      <c r="H185">
        <f t="shared" si="6"/>
        <v>0.45</v>
      </c>
      <c r="I185" s="206">
        <f>SUMIFS('1_Presupuesto'!$V:$V,'1_Presupuesto'!$X:$X,K185,'1_Presupuesto'!$E:$E,E185)</f>
        <v>6284455.8655328834</v>
      </c>
      <c r="J185" s="206">
        <f t="shared" si="7"/>
        <v>2828005.1394897974</v>
      </c>
      <c r="K185" t="str">
        <f>_xlfn.XLOOKUP(B185,Cert_OC_Cliente!$B:$B,Cert_OC_Cliente!$L:$L)</f>
        <v>PTO 02</v>
      </c>
      <c r="L185" t="str">
        <f t="shared" si="8"/>
        <v>✓</v>
      </c>
    </row>
    <row r="186" spans="1:12" x14ac:dyDescent="0.35">
      <c r="A186" t="s">
        <v>4929</v>
      </c>
      <c r="B186" t="s">
        <v>4932</v>
      </c>
      <c r="C186" t="s">
        <v>4960</v>
      </c>
      <c r="D186" s="205">
        <v>45930</v>
      </c>
      <c r="E186">
        <v>24.05</v>
      </c>
      <c r="F186">
        <v>0.2</v>
      </c>
      <c r="G186">
        <v>4.9999999999999989E-2</v>
      </c>
      <c r="H186">
        <f t="shared" si="6"/>
        <v>0.25</v>
      </c>
      <c r="I186" s="206">
        <f>SUMIFS('1_Presupuesto'!$V:$V,'1_Presupuesto'!$X:$X,K186,'1_Presupuesto'!$E:$E,E186)</f>
        <v>14856213.332043247</v>
      </c>
      <c r="J186" s="206">
        <f t="shared" si="7"/>
        <v>742810.66660216218</v>
      </c>
      <c r="K186" t="str">
        <f>_xlfn.XLOOKUP(B186,Cert_OC_Cliente!$B:$B,Cert_OC_Cliente!$L:$L)</f>
        <v>PTO 02</v>
      </c>
      <c r="L186" t="str">
        <f t="shared" si="8"/>
        <v>✓</v>
      </c>
    </row>
    <row r="187" spans="1:12" x14ac:dyDescent="0.35">
      <c r="A187" t="s">
        <v>4929</v>
      </c>
      <c r="B187" t="s">
        <v>4932</v>
      </c>
      <c r="C187" t="s">
        <v>4960</v>
      </c>
      <c r="D187" s="205">
        <v>45930</v>
      </c>
      <c r="E187">
        <v>24.06</v>
      </c>
      <c r="F187">
        <v>0.2</v>
      </c>
      <c r="G187">
        <v>4.9999999999999989E-2</v>
      </c>
      <c r="H187">
        <f t="shared" si="6"/>
        <v>0.25</v>
      </c>
      <c r="I187" s="206">
        <f>SUMIFS('1_Presupuesto'!$V:$V,'1_Presupuesto'!$X:$X,K187,'1_Presupuesto'!$E:$E,E187)</f>
        <v>9812019.7942749579</v>
      </c>
      <c r="J187" s="206">
        <f t="shared" si="7"/>
        <v>490600.98971374781</v>
      </c>
      <c r="K187" t="str">
        <f>_xlfn.XLOOKUP(B187,Cert_OC_Cliente!$B:$B,Cert_OC_Cliente!$L:$L)</f>
        <v>PTO 02</v>
      </c>
      <c r="L187" t="str">
        <f t="shared" si="8"/>
        <v>✓</v>
      </c>
    </row>
    <row r="188" spans="1:12" x14ac:dyDescent="0.35">
      <c r="A188" t="s">
        <v>4929</v>
      </c>
      <c r="B188" t="s">
        <v>4932</v>
      </c>
      <c r="C188" t="s">
        <v>4960</v>
      </c>
      <c r="D188" s="205">
        <v>45930</v>
      </c>
      <c r="E188">
        <v>24.08</v>
      </c>
      <c r="F188">
        <v>0.25</v>
      </c>
      <c r="G188">
        <v>4.9999999999999989E-2</v>
      </c>
      <c r="H188">
        <f t="shared" si="6"/>
        <v>0.3</v>
      </c>
      <c r="I188" s="206">
        <f>SUMIFS('1_Presupuesto'!$V:$V,'1_Presupuesto'!$X:$X,K188,'1_Presupuesto'!$E:$E,E188)</f>
        <v>6796909.8784191776</v>
      </c>
      <c r="J188" s="206">
        <f t="shared" si="7"/>
        <v>339845.49392095883</v>
      </c>
      <c r="K188" t="str">
        <f>_xlfn.XLOOKUP(B188,Cert_OC_Cliente!$B:$B,Cert_OC_Cliente!$L:$L)</f>
        <v>PTO 02</v>
      </c>
      <c r="L188" t="str">
        <f t="shared" si="8"/>
        <v>✓</v>
      </c>
    </row>
    <row r="189" spans="1:12" x14ac:dyDescent="0.35">
      <c r="A189" t="s">
        <v>4929</v>
      </c>
      <c r="B189" t="s">
        <v>4932</v>
      </c>
      <c r="C189" t="s">
        <v>4960</v>
      </c>
      <c r="D189" s="205">
        <v>45930</v>
      </c>
      <c r="E189">
        <v>24.09</v>
      </c>
      <c r="F189">
        <v>0.18</v>
      </c>
      <c r="G189">
        <v>4.9999999999999989E-2</v>
      </c>
      <c r="H189">
        <f t="shared" si="6"/>
        <v>0.22999999999999998</v>
      </c>
      <c r="I189" s="206">
        <f>SUMIFS('1_Presupuesto'!$V:$V,'1_Presupuesto'!$X:$X,K189,'1_Presupuesto'!$E:$E,E189)</f>
        <v>5910152.861234813</v>
      </c>
      <c r="J189" s="206">
        <f t="shared" si="7"/>
        <v>295507.64306174056</v>
      </c>
      <c r="K189" t="str">
        <f>_xlfn.XLOOKUP(B189,Cert_OC_Cliente!$B:$B,Cert_OC_Cliente!$L:$L)</f>
        <v>PTO 02</v>
      </c>
      <c r="L189" t="str">
        <f t="shared" si="8"/>
        <v>✓</v>
      </c>
    </row>
    <row r="190" spans="1:12" x14ac:dyDescent="0.35">
      <c r="A190" t="s">
        <v>4929</v>
      </c>
      <c r="B190" t="s">
        <v>4932</v>
      </c>
      <c r="C190" t="s">
        <v>4960</v>
      </c>
      <c r="D190" s="205">
        <v>45930</v>
      </c>
      <c r="E190">
        <v>25.01</v>
      </c>
      <c r="F190">
        <v>0.3</v>
      </c>
      <c r="G190">
        <v>4.9999999999999989E-2</v>
      </c>
      <c r="H190">
        <f t="shared" si="6"/>
        <v>0.35</v>
      </c>
      <c r="I190" s="206">
        <f>SUMIFS('1_Presupuesto'!$V:$V,'1_Presupuesto'!$X:$X,K190,'1_Presupuesto'!$E:$E,E190)</f>
        <v>99058404.317748845</v>
      </c>
      <c r="J190" s="206">
        <f t="shared" si="7"/>
        <v>4952920.2158874413</v>
      </c>
      <c r="K190" t="str">
        <f>_xlfn.XLOOKUP(B190,Cert_OC_Cliente!$B:$B,Cert_OC_Cliente!$L:$L)</f>
        <v>PTO 02</v>
      </c>
      <c r="L190" t="str">
        <f t="shared" si="8"/>
        <v>✓</v>
      </c>
    </row>
    <row r="191" spans="1:12" x14ac:dyDescent="0.35">
      <c r="A191" t="s">
        <v>4929</v>
      </c>
      <c r="B191" t="s">
        <v>4932</v>
      </c>
      <c r="C191" t="s">
        <v>4960</v>
      </c>
      <c r="D191" s="205">
        <v>45930</v>
      </c>
      <c r="E191">
        <v>25.02</v>
      </c>
      <c r="F191">
        <v>0.3</v>
      </c>
      <c r="G191">
        <v>4.9999999999999989E-2</v>
      </c>
      <c r="H191">
        <f t="shared" si="6"/>
        <v>0.35</v>
      </c>
      <c r="I191" s="206">
        <f>SUMIFS('1_Presupuesto'!$V:$V,'1_Presupuesto'!$X:$X,K191,'1_Presupuesto'!$E:$E,E191)</f>
        <v>11328183.130698629</v>
      </c>
      <c r="J191" s="206">
        <f t="shared" si="7"/>
        <v>566409.15653493127</v>
      </c>
      <c r="K191" t="str">
        <f>_xlfn.XLOOKUP(B191,Cert_OC_Cliente!$B:$B,Cert_OC_Cliente!$L:$L)</f>
        <v>PTO 02</v>
      </c>
      <c r="L191" t="str">
        <f t="shared" si="8"/>
        <v>✓</v>
      </c>
    </row>
    <row r="192" spans="1:12" x14ac:dyDescent="0.35">
      <c r="A192" t="s">
        <v>4929</v>
      </c>
      <c r="B192" t="s">
        <v>4932</v>
      </c>
      <c r="C192" t="s">
        <v>4961</v>
      </c>
      <c r="D192" s="205">
        <v>45958</v>
      </c>
      <c r="E192">
        <v>18.010000000000002</v>
      </c>
      <c r="F192">
        <v>0.15</v>
      </c>
      <c r="G192">
        <v>4.9999999999999989E-2</v>
      </c>
      <c r="H192">
        <f t="shared" si="6"/>
        <v>0.19999999999999998</v>
      </c>
      <c r="I192" s="206">
        <f>SUMIFS('1_Presupuesto'!$V:$V,'1_Presupuesto'!$X:$X,K192,'1_Presupuesto'!$E:$E,E192)</f>
        <v>0</v>
      </c>
      <c r="J192" s="206">
        <f t="shared" si="7"/>
        <v>0</v>
      </c>
      <c r="K192" t="str">
        <f>_xlfn.XLOOKUP(B192,Cert_OC_Cliente!$B:$B,Cert_OC_Cliente!$L:$L)</f>
        <v>PTO 02</v>
      </c>
      <c r="L192" t="str">
        <f t="shared" si="8"/>
        <v>✓</v>
      </c>
    </row>
    <row r="193" spans="1:12" x14ac:dyDescent="0.35">
      <c r="A193" t="s">
        <v>4929</v>
      </c>
      <c r="B193" t="s">
        <v>4932</v>
      </c>
      <c r="C193" t="s">
        <v>4961</v>
      </c>
      <c r="D193" s="205">
        <v>45958</v>
      </c>
      <c r="E193">
        <v>18.02</v>
      </c>
      <c r="F193">
        <v>0.18</v>
      </c>
      <c r="G193">
        <v>0.06</v>
      </c>
      <c r="H193">
        <f t="shared" si="6"/>
        <v>0.24</v>
      </c>
      <c r="I193" s="206">
        <f>SUMIFS('1_Presupuesto'!$V:$V,'1_Presupuesto'!$X:$X,K193,'1_Presupuesto'!$E:$E,E193)</f>
        <v>4540566.038479845</v>
      </c>
      <c r="J193" s="206">
        <f t="shared" si="7"/>
        <v>272433.96230879071</v>
      </c>
      <c r="K193" t="str">
        <f>_xlfn.XLOOKUP(B193,Cert_OC_Cliente!$B:$B,Cert_OC_Cliente!$L:$L)</f>
        <v>PTO 02</v>
      </c>
      <c r="L193" t="str">
        <f t="shared" si="8"/>
        <v>✓</v>
      </c>
    </row>
    <row r="194" spans="1:12" x14ac:dyDescent="0.35">
      <c r="A194" t="s">
        <v>4929</v>
      </c>
      <c r="B194" t="s">
        <v>4932</v>
      </c>
      <c r="C194" t="s">
        <v>4961</v>
      </c>
      <c r="D194" s="205">
        <v>45958</v>
      </c>
      <c r="E194">
        <v>18.03</v>
      </c>
      <c r="F194">
        <v>0.45</v>
      </c>
      <c r="G194">
        <v>9.9999999999999978E-2</v>
      </c>
      <c r="H194">
        <f t="shared" ref="H194:H257" si="9">F194+G194</f>
        <v>0.55000000000000004</v>
      </c>
      <c r="I194" s="206">
        <f>SUMIFS('1_Presupuesto'!$V:$V,'1_Presupuesto'!$X:$X,K194,'1_Presupuesto'!$E:$E,E194)</f>
        <v>878819.23325416353</v>
      </c>
      <c r="J194" s="206">
        <f t="shared" ref="J194:J257" si="10">G194*I194</f>
        <v>87881.923325416326</v>
      </c>
      <c r="K194" t="str">
        <f>_xlfn.XLOOKUP(B194,Cert_OC_Cliente!$B:$B,Cert_OC_Cliente!$L:$L)</f>
        <v>PTO 02</v>
      </c>
      <c r="L194" t="str">
        <f t="shared" ref="L194:L257" si="11">IF($E194="","",IF(AND(ISNUMBER($I194),$H194&lt;=1.0001),"✓","⚠"))</f>
        <v>✓</v>
      </c>
    </row>
    <row r="195" spans="1:12" x14ac:dyDescent="0.35">
      <c r="A195" t="s">
        <v>4929</v>
      </c>
      <c r="B195" t="s">
        <v>4932</v>
      </c>
      <c r="C195" t="s">
        <v>4961</v>
      </c>
      <c r="D195" s="205">
        <v>45958</v>
      </c>
      <c r="E195">
        <v>18.04</v>
      </c>
      <c r="F195">
        <v>0.35</v>
      </c>
      <c r="G195">
        <v>9.9999999999999978E-2</v>
      </c>
      <c r="H195">
        <f t="shared" si="9"/>
        <v>0.44999999999999996</v>
      </c>
      <c r="I195" s="206">
        <f>SUMIFS('1_Presupuesto'!$V:$V,'1_Presupuesto'!$X:$X,K195,'1_Presupuesto'!$E:$E,E195)</f>
        <v>1171758.9776722181</v>
      </c>
      <c r="J195" s="206">
        <f t="shared" si="10"/>
        <v>117175.89776722179</v>
      </c>
      <c r="K195" t="str">
        <f>_xlfn.XLOOKUP(B195,Cert_OC_Cliente!$B:$B,Cert_OC_Cliente!$L:$L)</f>
        <v>PTO 02</v>
      </c>
      <c r="L195" t="str">
        <f t="shared" si="11"/>
        <v>✓</v>
      </c>
    </row>
    <row r="196" spans="1:12" x14ac:dyDescent="0.35">
      <c r="A196" t="s">
        <v>4929</v>
      </c>
      <c r="B196" t="s">
        <v>4932</v>
      </c>
      <c r="C196" t="s">
        <v>4961</v>
      </c>
      <c r="D196" s="205">
        <v>45958</v>
      </c>
      <c r="E196">
        <v>18.059999999999999</v>
      </c>
      <c r="F196">
        <v>0.2</v>
      </c>
      <c r="G196">
        <v>0.1</v>
      </c>
      <c r="H196">
        <f t="shared" si="9"/>
        <v>0.30000000000000004</v>
      </c>
      <c r="I196" s="206">
        <f>SUMIFS('1_Presupuesto'!$V:$V,'1_Presupuesto'!$X:$X,K196,'1_Presupuesto'!$E:$E,E196)</f>
        <v>1757638.4665083271</v>
      </c>
      <c r="J196" s="206">
        <f t="shared" si="10"/>
        <v>175763.84665083271</v>
      </c>
      <c r="K196" t="str">
        <f>_xlfn.XLOOKUP(B196,Cert_OC_Cliente!$B:$B,Cert_OC_Cliente!$L:$L)</f>
        <v>PTO 02</v>
      </c>
      <c r="L196" t="str">
        <f t="shared" si="11"/>
        <v>✓</v>
      </c>
    </row>
    <row r="197" spans="1:12" x14ac:dyDescent="0.35">
      <c r="A197" t="s">
        <v>4929</v>
      </c>
      <c r="B197" t="s">
        <v>4932</v>
      </c>
      <c r="C197" t="s">
        <v>4961</v>
      </c>
      <c r="D197" s="205">
        <v>45958</v>
      </c>
      <c r="E197">
        <v>18.07</v>
      </c>
      <c r="F197">
        <v>0.13</v>
      </c>
      <c r="G197">
        <v>4.9999999999999989E-2</v>
      </c>
      <c r="H197">
        <f t="shared" si="9"/>
        <v>0.18</v>
      </c>
      <c r="I197" s="206">
        <f>SUMIFS('1_Presupuesto'!$V:$V,'1_Presupuesto'!$X:$X,K197,'1_Presupuesto'!$E:$E,E197)</f>
        <v>15628623.979244839</v>
      </c>
      <c r="J197" s="206">
        <f t="shared" si="10"/>
        <v>781431.19896224176</v>
      </c>
      <c r="K197" t="str">
        <f>_xlfn.XLOOKUP(B197,Cert_OC_Cliente!$B:$B,Cert_OC_Cliente!$L:$L)</f>
        <v>PTO 02</v>
      </c>
      <c r="L197" t="str">
        <f t="shared" si="11"/>
        <v>✓</v>
      </c>
    </row>
    <row r="198" spans="1:12" x14ac:dyDescent="0.35">
      <c r="A198" t="s">
        <v>4929</v>
      </c>
      <c r="B198" t="s">
        <v>4932</v>
      </c>
      <c r="C198" t="s">
        <v>4961</v>
      </c>
      <c r="D198" s="205">
        <v>45958</v>
      </c>
      <c r="E198">
        <v>18.079999999999998</v>
      </c>
      <c r="F198">
        <v>0.1</v>
      </c>
      <c r="G198">
        <v>5.0000000000000017E-2</v>
      </c>
      <c r="H198">
        <f t="shared" si="9"/>
        <v>0.15000000000000002</v>
      </c>
      <c r="I198" s="206">
        <f>SUMIFS('1_Presupuesto'!$V:$V,'1_Presupuesto'!$X:$X,K198,'1_Presupuesto'!$E:$E,E198)</f>
        <v>3049848.1124811382</v>
      </c>
      <c r="J198" s="206">
        <f t="shared" si="10"/>
        <v>152492.40562405696</v>
      </c>
      <c r="K198" t="str">
        <f>_xlfn.XLOOKUP(B198,Cert_OC_Cliente!$B:$B,Cert_OC_Cliente!$L:$L)</f>
        <v>PTO 02</v>
      </c>
      <c r="L198" t="str">
        <f t="shared" si="11"/>
        <v>✓</v>
      </c>
    </row>
    <row r="199" spans="1:12" x14ac:dyDescent="0.35">
      <c r="A199" t="s">
        <v>4929</v>
      </c>
      <c r="B199" t="s">
        <v>4932</v>
      </c>
      <c r="C199" t="s">
        <v>4961</v>
      </c>
      <c r="D199" s="205">
        <v>45958</v>
      </c>
      <c r="E199">
        <v>18.100000000000001</v>
      </c>
      <c r="F199">
        <v>0.2</v>
      </c>
      <c r="G199">
        <v>0.1</v>
      </c>
      <c r="H199">
        <f t="shared" si="9"/>
        <v>0.30000000000000004</v>
      </c>
      <c r="I199" s="206">
        <f>SUMIFS('1_Presupuesto'!$V:$V,'1_Presupuesto'!$X:$X,K199,'1_Presupuesto'!$E:$E,E199)</f>
        <v>553225.62758388813</v>
      </c>
      <c r="J199" s="206">
        <f t="shared" si="10"/>
        <v>55322.562758388813</v>
      </c>
      <c r="K199" t="str">
        <f>_xlfn.XLOOKUP(B199,Cert_OC_Cliente!$B:$B,Cert_OC_Cliente!$L:$L)</f>
        <v>PTO 02</v>
      </c>
      <c r="L199" t="str">
        <f t="shared" si="11"/>
        <v>✓</v>
      </c>
    </row>
    <row r="200" spans="1:12" x14ac:dyDescent="0.35">
      <c r="A200" t="s">
        <v>4929</v>
      </c>
      <c r="B200" t="s">
        <v>4932</v>
      </c>
      <c r="C200" t="s">
        <v>4961</v>
      </c>
      <c r="D200" s="205">
        <v>45958</v>
      </c>
      <c r="E200">
        <v>18.12</v>
      </c>
      <c r="F200">
        <v>0.2</v>
      </c>
      <c r="G200">
        <v>0.1</v>
      </c>
      <c r="H200">
        <f t="shared" si="9"/>
        <v>0.30000000000000004</v>
      </c>
      <c r="I200" s="206">
        <f>SUMIFS('1_Presupuesto'!$V:$V,'1_Presupuesto'!$X:$X,K200,'1_Presupuesto'!$E:$E,E200)</f>
        <v>1366621.284136306</v>
      </c>
      <c r="J200" s="206">
        <f t="shared" si="10"/>
        <v>136662.12841363062</v>
      </c>
      <c r="K200" t="str">
        <f>_xlfn.XLOOKUP(B200,Cert_OC_Cliente!$B:$B,Cert_OC_Cliente!$L:$L)</f>
        <v>PTO 02</v>
      </c>
      <c r="L200" t="str">
        <f t="shared" si="11"/>
        <v>✓</v>
      </c>
    </row>
    <row r="201" spans="1:12" x14ac:dyDescent="0.35">
      <c r="A201" t="s">
        <v>4929</v>
      </c>
      <c r="B201" t="s">
        <v>4932</v>
      </c>
      <c r="C201" t="s">
        <v>4961</v>
      </c>
      <c r="D201" s="205">
        <v>45958</v>
      </c>
      <c r="E201">
        <v>18.14</v>
      </c>
      <c r="F201">
        <v>0.2</v>
      </c>
      <c r="G201">
        <v>0.1</v>
      </c>
      <c r="H201">
        <f t="shared" si="9"/>
        <v>0.30000000000000004</v>
      </c>
      <c r="I201" s="206">
        <f>SUMIFS('1_Presupuesto'!$V:$V,'1_Presupuesto'!$X:$X,K201,'1_Presupuesto'!$E:$E,E201)</f>
        <v>1467852.4903686249</v>
      </c>
      <c r="J201" s="206">
        <f t="shared" si="10"/>
        <v>146785.24903686249</v>
      </c>
      <c r="K201" t="str">
        <f>_xlfn.XLOOKUP(B201,Cert_OC_Cliente!$B:$B,Cert_OC_Cliente!$L:$L)</f>
        <v>PTO 02</v>
      </c>
      <c r="L201" t="str">
        <f t="shared" si="11"/>
        <v>✓</v>
      </c>
    </row>
    <row r="202" spans="1:12" x14ac:dyDescent="0.35">
      <c r="A202" t="s">
        <v>4929</v>
      </c>
      <c r="B202" t="s">
        <v>4932</v>
      </c>
      <c r="C202" t="s">
        <v>4961</v>
      </c>
      <c r="D202" s="205">
        <v>45958</v>
      </c>
      <c r="E202">
        <v>24.01</v>
      </c>
      <c r="F202">
        <v>0.35</v>
      </c>
      <c r="G202">
        <v>4.9999999999999989E-2</v>
      </c>
      <c r="H202">
        <f t="shared" si="9"/>
        <v>0.39999999999999997</v>
      </c>
      <c r="I202" s="206">
        <f>SUMIFS('1_Presupuesto'!$V:$V,'1_Presupuesto'!$X:$X,K202,'1_Presupuesto'!$E:$E,E202)</f>
        <v>16546555.307464439</v>
      </c>
      <c r="J202" s="206">
        <f t="shared" si="10"/>
        <v>827327.76537322183</v>
      </c>
      <c r="K202" t="str">
        <f>_xlfn.XLOOKUP(B202,Cert_OC_Cliente!$B:$B,Cert_OC_Cliente!$L:$L)</f>
        <v>PTO 02</v>
      </c>
      <c r="L202" t="str">
        <f t="shared" si="11"/>
        <v>✓</v>
      </c>
    </row>
    <row r="203" spans="1:12" x14ac:dyDescent="0.35">
      <c r="A203" t="s">
        <v>4929</v>
      </c>
      <c r="B203" t="s">
        <v>4932</v>
      </c>
      <c r="C203" t="s">
        <v>4961</v>
      </c>
      <c r="D203" s="205">
        <v>45958</v>
      </c>
      <c r="E203">
        <v>24.03</v>
      </c>
      <c r="F203">
        <v>0.35</v>
      </c>
      <c r="G203">
        <v>4.9999999999999989E-2</v>
      </c>
      <c r="H203">
        <f t="shared" si="9"/>
        <v>0.39999999999999997</v>
      </c>
      <c r="I203" s="206">
        <f>SUMIFS('1_Presupuesto'!$V:$V,'1_Presupuesto'!$X:$X,K203,'1_Presupuesto'!$E:$E,E203)</f>
        <v>3398454.9392095888</v>
      </c>
      <c r="J203" s="206">
        <f t="shared" si="10"/>
        <v>169922.74696047942</v>
      </c>
      <c r="K203" t="str">
        <f>_xlfn.XLOOKUP(B203,Cert_OC_Cliente!$B:$B,Cert_OC_Cliente!$L:$L)</f>
        <v>PTO 02</v>
      </c>
      <c r="L203" t="str">
        <f t="shared" si="11"/>
        <v>✓</v>
      </c>
    </row>
    <row r="204" spans="1:12" x14ac:dyDescent="0.35">
      <c r="A204" t="s">
        <v>4929</v>
      </c>
      <c r="B204" t="s">
        <v>4932</v>
      </c>
      <c r="C204" t="s">
        <v>4961</v>
      </c>
      <c r="D204" s="205">
        <v>45958</v>
      </c>
      <c r="E204">
        <v>24.04</v>
      </c>
      <c r="F204">
        <v>0.45</v>
      </c>
      <c r="G204">
        <v>0.15</v>
      </c>
      <c r="H204">
        <f t="shared" si="9"/>
        <v>0.6</v>
      </c>
      <c r="I204" s="206">
        <f>SUMIFS('1_Presupuesto'!$V:$V,'1_Presupuesto'!$X:$X,K204,'1_Presupuesto'!$E:$E,E204)</f>
        <v>6284455.8655328834</v>
      </c>
      <c r="J204" s="206">
        <f t="shared" si="10"/>
        <v>942668.37982993247</v>
      </c>
      <c r="K204" t="str">
        <f>_xlfn.XLOOKUP(B204,Cert_OC_Cliente!$B:$B,Cert_OC_Cliente!$L:$L)</f>
        <v>PTO 02</v>
      </c>
      <c r="L204" t="str">
        <f t="shared" si="11"/>
        <v>✓</v>
      </c>
    </row>
    <row r="205" spans="1:12" x14ac:dyDescent="0.35">
      <c r="A205" t="s">
        <v>4929</v>
      </c>
      <c r="B205" t="s">
        <v>4932</v>
      </c>
      <c r="C205" t="s">
        <v>4961</v>
      </c>
      <c r="D205" s="205">
        <v>45958</v>
      </c>
      <c r="E205">
        <v>24.05</v>
      </c>
      <c r="F205">
        <v>0.25</v>
      </c>
      <c r="G205">
        <v>4.9999999999999989E-2</v>
      </c>
      <c r="H205">
        <f t="shared" si="9"/>
        <v>0.3</v>
      </c>
      <c r="I205" s="206">
        <f>SUMIFS('1_Presupuesto'!$V:$V,'1_Presupuesto'!$X:$X,K205,'1_Presupuesto'!$E:$E,E205)</f>
        <v>14856213.332043247</v>
      </c>
      <c r="J205" s="206">
        <f t="shared" si="10"/>
        <v>742810.66660216218</v>
      </c>
      <c r="K205" t="str">
        <f>_xlfn.XLOOKUP(B205,Cert_OC_Cliente!$B:$B,Cert_OC_Cliente!$L:$L)</f>
        <v>PTO 02</v>
      </c>
      <c r="L205" t="str">
        <f t="shared" si="11"/>
        <v>✓</v>
      </c>
    </row>
    <row r="206" spans="1:12" x14ac:dyDescent="0.35">
      <c r="A206" t="s">
        <v>4929</v>
      </c>
      <c r="B206" t="s">
        <v>4932</v>
      </c>
      <c r="C206" t="s">
        <v>4961</v>
      </c>
      <c r="D206" s="205">
        <v>45958</v>
      </c>
      <c r="E206">
        <v>24.06</v>
      </c>
      <c r="F206">
        <v>0.25</v>
      </c>
      <c r="G206">
        <v>4.9999999999999989E-2</v>
      </c>
      <c r="H206">
        <f t="shared" si="9"/>
        <v>0.3</v>
      </c>
      <c r="I206" s="206">
        <f>SUMIFS('1_Presupuesto'!$V:$V,'1_Presupuesto'!$X:$X,K206,'1_Presupuesto'!$E:$E,E206)</f>
        <v>9812019.7942749579</v>
      </c>
      <c r="J206" s="206">
        <f t="shared" si="10"/>
        <v>490600.98971374781</v>
      </c>
      <c r="K206" t="str">
        <f>_xlfn.XLOOKUP(B206,Cert_OC_Cliente!$B:$B,Cert_OC_Cliente!$L:$L)</f>
        <v>PTO 02</v>
      </c>
      <c r="L206" t="str">
        <f t="shared" si="11"/>
        <v>✓</v>
      </c>
    </row>
    <row r="207" spans="1:12" x14ac:dyDescent="0.35">
      <c r="A207" t="s">
        <v>4929</v>
      </c>
      <c r="B207" t="s">
        <v>4932</v>
      </c>
      <c r="C207" t="s">
        <v>4961</v>
      </c>
      <c r="D207" s="205">
        <v>45958</v>
      </c>
      <c r="E207">
        <v>24.08</v>
      </c>
      <c r="F207">
        <v>0.3</v>
      </c>
      <c r="G207">
        <v>4.9999999999999989E-2</v>
      </c>
      <c r="H207">
        <f t="shared" si="9"/>
        <v>0.35</v>
      </c>
      <c r="I207" s="206">
        <f>SUMIFS('1_Presupuesto'!$V:$V,'1_Presupuesto'!$X:$X,K207,'1_Presupuesto'!$E:$E,E207)</f>
        <v>6796909.8784191776</v>
      </c>
      <c r="J207" s="206">
        <f t="shared" si="10"/>
        <v>339845.49392095883</v>
      </c>
      <c r="K207" t="str">
        <f>_xlfn.XLOOKUP(B207,Cert_OC_Cliente!$B:$B,Cert_OC_Cliente!$L:$L)</f>
        <v>PTO 02</v>
      </c>
      <c r="L207" t="str">
        <f t="shared" si="11"/>
        <v>✓</v>
      </c>
    </row>
    <row r="208" spans="1:12" x14ac:dyDescent="0.35">
      <c r="A208" t="s">
        <v>4929</v>
      </c>
      <c r="B208" t="s">
        <v>4932</v>
      </c>
      <c r="C208" t="s">
        <v>4961</v>
      </c>
      <c r="D208" s="205">
        <v>45958</v>
      </c>
      <c r="E208">
        <v>24.09</v>
      </c>
      <c r="F208">
        <v>0.23</v>
      </c>
      <c r="G208">
        <v>4.9999999999999989E-2</v>
      </c>
      <c r="H208">
        <f t="shared" si="9"/>
        <v>0.28000000000000003</v>
      </c>
      <c r="I208" s="206">
        <f>SUMIFS('1_Presupuesto'!$V:$V,'1_Presupuesto'!$X:$X,K208,'1_Presupuesto'!$E:$E,E208)</f>
        <v>5910152.861234813</v>
      </c>
      <c r="J208" s="206">
        <f t="shared" si="10"/>
        <v>295507.64306174056</v>
      </c>
      <c r="K208" t="str">
        <f>_xlfn.XLOOKUP(B208,Cert_OC_Cliente!$B:$B,Cert_OC_Cliente!$L:$L)</f>
        <v>PTO 02</v>
      </c>
      <c r="L208" t="str">
        <f t="shared" si="11"/>
        <v>✓</v>
      </c>
    </row>
    <row r="209" spans="1:12" x14ac:dyDescent="0.35">
      <c r="A209" t="s">
        <v>4929</v>
      </c>
      <c r="B209" t="s">
        <v>4932</v>
      </c>
      <c r="C209" t="s">
        <v>4961</v>
      </c>
      <c r="D209" s="205">
        <v>45958</v>
      </c>
      <c r="E209">
        <v>25.01</v>
      </c>
      <c r="F209">
        <v>0.35</v>
      </c>
      <c r="G209">
        <v>4.9999999999999989E-2</v>
      </c>
      <c r="H209">
        <f t="shared" si="9"/>
        <v>0.39999999999999997</v>
      </c>
      <c r="I209" s="206">
        <f>SUMIFS('1_Presupuesto'!$V:$V,'1_Presupuesto'!$X:$X,K209,'1_Presupuesto'!$E:$E,E209)</f>
        <v>99058404.317748845</v>
      </c>
      <c r="J209" s="206">
        <f t="shared" si="10"/>
        <v>4952920.2158874413</v>
      </c>
      <c r="K209" t="str">
        <f>_xlfn.XLOOKUP(B209,Cert_OC_Cliente!$B:$B,Cert_OC_Cliente!$L:$L)</f>
        <v>PTO 02</v>
      </c>
      <c r="L209" t="str">
        <f t="shared" si="11"/>
        <v>✓</v>
      </c>
    </row>
    <row r="210" spans="1:12" x14ac:dyDescent="0.35">
      <c r="A210" t="s">
        <v>4929</v>
      </c>
      <c r="B210" t="s">
        <v>4932</v>
      </c>
      <c r="C210" t="s">
        <v>4961</v>
      </c>
      <c r="D210" s="205">
        <v>45958</v>
      </c>
      <c r="E210">
        <v>25.02</v>
      </c>
      <c r="F210">
        <v>0.35</v>
      </c>
      <c r="G210">
        <v>4.9999999999999989E-2</v>
      </c>
      <c r="H210">
        <f t="shared" si="9"/>
        <v>0.39999999999999997</v>
      </c>
      <c r="I210" s="206">
        <f>SUMIFS('1_Presupuesto'!$V:$V,'1_Presupuesto'!$X:$X,K210,'1_Presupuesto'!$E:$E,E210)</f>
        <v>11328183.130698629</v>
      </c>
      <c r="J210" s="206">
        <f t="shared" si="10"/>
        <v>566409.15653493127</v>
      </c>
      <c r="K210" t="str">
        <f>_xlfn.XLOOKUP(B210,Cert_OC_Cliente!$B:$B,Cert_OC_Cliente!$L:$L)</f>
        <v>PTO 02</v>
      </c>
      <c r="L210" t="str">
        <f t="shared" si="11"/>
        <v>✓</v>
      </c>
    </row>
    <row r="211" spans="1:12" x14ac:dyDescent="0.35">
      <c r="A211" t="s">
        <v>4929</v>
      </c>
      <c r="B211" t="s">
        <v>4932</v>
      </c>
      <c r="C211" t="s">
        <v>4962</v>
      </c>
      <c r="D211" s="205">
        <v>45988</v>
      </c>
      <c r="E211">
        <v>4.01</v>
      </c>
      <c r="F211">
        <v>0</v>
      </c>
      <c r="G211">
        <v>0.15</v>
      </c>
      <c r="H211">
        <f t="shared" si="9"/>
        <v>0.15</v>
      </c>
      <c r="I211" s="206">
        <f>SUMIFS('1_Presupuesto'!$V:$V,'1_Presupuesto'!$X:$X,K211,'1_Presupuesto'!$E:$E,E211)</f>
        <v>22289464.745651998</v>
      </c>
      <c r="J211" s="206">
        <f t="shared" si="10"/>
        <v>3343419.7118477994</v>
      </c>
      <c r="K211" t="str">
        <f>_xlfn.XLOOKUP(B211,Cert_OC_Cliente!$B:$B,Cert_OC_Cliente!$L:$L)</f>
        <v>PTO 02</v>
      </c>
      <c r="L211" t="str">
        <f t="shared" si="11"/>
        <v>✓</v>
      </c>
    </row>
    <row r="212" spans="1:12" x14ac:dyDescent="0.35">
      <c r="A212" t="s">
        <v>4929</v>
      </c>
      <c r="B212" t="s">
        <v>4932</v>
      </c>
      <c r="C212" t="s">
        <v>4962</v>
      </c>
      <c r="D212" s="205">
        <v>45988</v>
      </c>
      <c r="E212">
        <v>4.0199999999999996</v>
      </c>
      <c r="F212">
        <v>0</v>
      </c>
      <c r="G212">
        <v>0.25</v>
      </c>
      <c r="H212">
        <f t="shared" si="9"/>
        <v>0.25</v>
      </c>
      <c r="I212" s="206">
        <f>SUMIFS('1_Presupuesto'!$V:$V,'1_Presupuesto'!$X:$X,K212,'1_Presupuesto'!$E:$E,E212)</f>
        <v>19060436.605236452</v>
      </c>
      <c r="J212" s="206">
        <f t="shared" si="10"/>
        <v>4765109.151309113</v>
      </c>
      <c r="K212" t="str">
        <f>_xlfn.XLOOKUP(B212,Cert_OC_Cliente!$B:$B,Cert_OC_Cliente!$L:$L)</f>
        <v>PTO 02</v>
      </c>
      <c r="L212" t="str">
        <f t="shared" si="11"/>
        <v>✓</v>
      </c>
    </row>
    <row r="213" spans="1:12" x14ac:dyDescent="0.35">
      <c r="A213" t="s">
        <v>4929</v>
      </c>
      <c r="B213" t="s">
        <v>4932</v>
      </c>
      <c r="C213" t="s">
        <v>4962</v>
      </c>
      <c r="D213" s="205">
        <v>45988</v>
      </c>
      <c r="E213">
        <v>18.010000000000002</v>
      </c>
      <c r="F213">
        <v>0.2</v>
      </c>
      <c r="G213">
        <v>5.4999999999999993E-2</v>
      </c>
      <c r="H213">
        <f t="shared" si="9"/>
        <v>0.255</v>
      </c>
      <c r="I213" s="206">
        <f>SUMIFS('1_Presupuesto'!$V:$V,'1_Presupuesto'!$X:$X,K213,'1_Presupuesto'!$E:$E,E213)</f>
        <v>0</v>
      </c>
      <c r="J213" s="206">
        <f t="shared" si="10"/>
        <v>0</v>
      </c>
      <c r="K213" t="str">
        <f>_xlfn.XLOOKUP(B213,Cert_OC_Cliente!$B:$B,Cert_OC_Cliente!$L:$L)</f>
        <v>PTO 02</v>
      </c>
      <c r="L213" t="str">
        <f t="shared" si="11"/>
        <v>✓</v>
      </c>
    </row>
    <row r="214" spans="1:12" x14ac:dyDescent="0.35">
      <c r="A214" t="s">
        <v>4929</v>
      </c>
      <c r="B214" t="s">
        <v>4932</v>
      </c>
      <c r="C214" t="s">
        <v>4962</v>
      </c>
      <c r="D214" s="205">
        <v>45988</v>
      </c>
      <c r="E214">
        <v>18.02</v>
      </c>
      <c r="F214">
        <v>0.24</v>
      </c>
      <c r="G214">
        <v>7.5000000000000011E-2</v>
      </c>
      <c r="H214">
        <f t="shared" si="9"/>
        <v>0.315</v>
      </c>
      <c r="I214" s="206">
        <f>SUMIFS('1_Presupuesto'!$V:$V,'1_Presupuesto'!$X:$X,K214,'1_Presupuesto'!$E:$E,E214)</f>
        <v>4540566.038479845</v>
      </c>
      <c r="J214" s="206">
        <f t="shared" si="10"/>
        <v>340542.4528859884</v>
      </c>
      <c r="K214" t="str">
        <f>_xlfn.XLOOKUP(B214,Cert_OC_Cliente!$B:$B,Cert_OC_Cliente!$L:$L)</f>
        <v>PTO 02</v>
      </c>
      <c r="L214" t="str">
        <f t="shared" si="11"/>
        <v>✓</v>
      </c>
    </row>
    <row r="215" spans="1:12" x14ac:dyDescent="0.35">
      <c r="A215" t="s">
        <v>4929</v>
      </c>
      <c r="B215" t="s">
        <v>4932</v>
      </c>
      <c r="C215" t="s">
        <v>4962</v>
      </c>
      <c r="D215" s="205">
        <v>45988</v>
      </c>
      <c r="E215">
        <v>18.03</v>
      </c>
      <c r="F215">
        <v>0.54999999999999993</v>
      </c>
      <c r="G215">
        <v>0.105</v>
      </c>
      <c r="H215">
        <f t="shared" si="9"/>
        <v>0.65499999999999992</v>
      </c>
      <c r="I215" s="206">
        <f>SUMIFS('1_Presupuesto'!$V:$V,'1_Presupuesto'!$X:$X,K215,'1_Presupuesto'!$E:$E,E215)</f>
        <v>878819.23325416353</v>
      </c>
      <c r="J215" s="206">
        <f t="shared" si="10"/>
        <v>92276.01949168717</v>
      </c>
      <c r="K215" t="str">
        <f>_xlfn.XLOOKUP(B215,Cert_OC_Cliente!$B:$B,Cert_OC_Cliente!$L:$L)</f>
        <v>PTO 02</v>
      </c>
      <c r="L215" t="str">
        <f t="shared" si="11"/>
        <v>✓</v>
      </c>
    </row>
    <row r="216" spans="1:12" x14ac:dyDescent="0.35">
      <c r="A216" t="s">
        <v>4929</v>
      </c>
      <c r="B216" t="s">
        <v>4932</v>
      </c>
      <c r="C216" t="s">
        <v>4962</v>
      </c>
      <c r="D216" s="205">
        <v>45988</v>
      </c>
      <c r="E216">
        <v>18.04</v>
      </c>
      <c r="F216">
        <v>0.45</v>
      </c>
      <c r="G216">
        <v>0.105</v>
      </c>
      <c r="H216">
        <f t="shared" si="9"/>
        <v>0.55500000000000005</v>
      </c>
      <c r="I216" s="206">
        <f>SUMIFS('1_Presupuesto'!$V:$V,'1_Presupuesto'!$X:$X,K216,'1_Presupuesto'!$E:$E,E216)</f>
        <v>1171758.9776722181</v>
      </c>
      <c r="J216" s="206">
        <f t="shared" si="10"/>
        <v>123034.6926555829</v>
      </c>
      <c r="K216" t="str">
        <f>_xlfn.XLOOKUP(B216,Cert_OC_Cliente!$B:$B,Cert_OC_Cliente!$L:$L)</f>
        <v>PTO 02</v>
      </c>
      <c r="L216" t="str">
        <f t="shared" si="11"/>
        <v>✓</v>
      </c>
    </row>
    <row r="217" spans="1:12" x14ac:dyDescent="0.35">
      <c r="A217" t="s">
        <v>4929</v>
      </c>
      <c r="B217" t="s">
        <v>4932</v>
      </c>
      <c r="C217" t="s">
        <v>4962</v>
      </c>
      <c r="D217" s="205">
        <v>45988</v>
      </c>
      <c r="E217">
        <v>18.059999999999999</v>
      </c>
      <c r="F217">
        <v>0.3</v>
      </c>
      <c r="G217">
        <v>9.9999999999999978E-2</v>
      </c>
      <c r="H217">
        <f t="shared" si="9"/>
        <v>0.39999999999999997</v>
      </c>
      <c r="I217" s="206">
        <f>SUMIFS('1_Presupuesto'!$V:$V,'1_Presupuesto'!$X:$X,K217,'1_Presupuesto'!$E:$E,E217)</f>
        <v>1757638.4665083271</v>
      </c>
      <c r="J217" s="206">
        <f t="shared" si="10"/>
        <v>175763.84665083265</v>
      </c>
      <c r="K217" t="str">
        <f>_xlfn.XLOOKUP(B217,Cert_OC_Cliente!$B:$B,Cert_OC_Cliente!$L:$L)</f>
        <v>PTO 02</v>
      </c>
      <c r="L217" t="str">
        <f t="shared" si="11"/>
        <v>✓</v>
      </c>
    </row>
    <row r="218" spans="1:12" x14ac:dyDescent="0.35">
      <c r="A218" t="s">
        <v>4929</v>
      </c>
      <c r="B218" t="s">
        <v>4932</v>
      </c>
      <c r="C218" t="s">
        <v>4962</v>
      </c>
      <c r="D218" s="205">
        <v>45988</v>
      </c>
      <c r="E218">
        <v>18.07</v>
      </c>
      <c r="F218">
        <v>0.18</v>
      </c>
      <c r="G218">
        <v>5.2999999999999992E-2</v>
      </c>
      <c r="H218">
        <f t="shared" si="9"/>
        <v>0.23299999999999998</v>
      </c>
      <c r="I218" s="206">
        <f>SUMIFS('1_Presupuesto'!$V:$V,'1_Presupuesto'!$X:$X,K218,'1_Presupuesto'!$E:$E,E218)</f>
        <v>15628623.979244839</v>
      </c>
      <c r="J218" s="206">
        <f t="shared" si="10"/>
        <v>828317.0708999763</v>
      </c>
      <c r="K218" t="str">
        <f>_xlfn.XLOOKUP(B218,Cert_OC_Cliente!$B:$B,Cert_OC_Cliente!$L:$L)</f>
        <v>PTO 02</v>
      </c>
      <c r="L218" t="str">
        <f t="shared" si="11"/>
        <v>✓</v>
      </c>
    </row>
    <row r="219" spans="1:12" x14ac:dyDescent="0.35">
      <c r="A219" t="s">
        <v>4929</v>
      </c>
      <c r="B219" t="s">
        <v>4932</v>
      </c>
      <c r="C219" t="s">
        <v>4962</v>
      </c>
      <c r="D219" s="205">
        <v>45988</v>
      </c>
      <c r="E219">
        <v>18.079999999999998</v>
      </c>
      <c r="F219">
        <v>0.15</v>
      </c>
      <c r="G219">
        <v>4.9999999999999989E-2</v>
      </c>
      <c r="H219">
        <f t="shared" si="9"/>
        <v>0.19999999999999998</v>
      </c>
      <c r="I219" s="206">
        <f>SUMIFS('1_Presupuesto'!$V:$V,'1_Presupuesto'!$X:$X,K219,'1_Presupuesto'!$E:$E,E219)</f>
        <v>3049848.1124811382</v>
      </c>
      <c r="J219" s="206">
        <f t="shared" si="10"/>
        <v>152492.40562405688</v>
      </c>
      <c r="K219" t="str">
        <f>_xlfn.XLOOKUP(B219,Cert_OC_Cliente!$B:$B,Cert_OC_Cliente!$L:$L)</f>
        <v>PTO 02</v>
      </c>
      <c r="L219" t="str">
        <f t="shared" si="11"/>
        <v>✓</v>
      </c>
    </row>
    <row r="220" spans="1:12" x14ac:dyDescent="0.35">
      <c r="A220" t="s">
        <v>4929</v>
      </c>
      <c r="B220" t="s">
        <v>4932</v>
      </c>
      <c r="C220" t="s">
        <v>4962</v>
      </c>
      <c r="D220" s="205">
        <v>45988</v>
      </c>
      <c r="E220">
        <v>18.100000000000001</v>
      </c>
      <c r="F220">
        <v>0.3</v>
      </c>
      <c r="G220">
        <v>9.9999999999999978E-2</v>
      </c>
      <c r="H220">
        <f t="shared" si="9"/>
        <v>0.39999999999999997</v>
      </c>
      <c r="I220" s="206">
        <f>SUMIFS('1_Presupuesto'!$V:$V,'1_Presupuesto'!$X:$X,K220,'1_Presupuesto'!$E:$E,E220)</f>
        <v>553225.62758388813</v>
      </c>
      <c r="J220" s="206">
        <f t="shared" si="10"/>
        <v>55322.562758388798</v>
      </c>
      <c r="K220" t="str">
        <f>_xlfn.XLOOKUP(B220,Cert_OC_Cliente!$B:$B,Cert_OC_Cliente!$L:$L)</f>
        <v>PTO 02</v>
      </c>
      <c r="L220" t="str">
        <f t="shared" si="11"/>
        <v>✓</v>
      </c>
    </row>
    <row r="221" spans="1:12" x14ac:dyDescent="0.35">
      <c r="A221" t="s">
        <v>4929</v>
      </c>
      <c r="B221" t="s">
        <v>4932</v>
      </c>
      <c r="C221" t="s">
        <v>4962</v>
      </c>
      <c r="D221" s="205">
        <v>45988</v>
      </c>
      <c r="E221">
        <v>18.12</v>
      </c>
      <c r="F221">
        <v>0.3</v>
      </c>
      <c r="G221">
        <v>9.9999999999999978E-2</v>
      </c>
      <c r="H221">
        <f t="shared" si="9"/>
        <v>0.39999999999999997</v>
      </c>
      <c r="I221" s="206">
        <f>SUMIFS('1_Presupuesto'!$V:$V,'1_Presupuesto'!$X:$X,K221,'1_Presupuesto'!$E:$E,E221)</f>
        <v>1366621.284136306</v>
      </c>
      <c r="J221" s="206">
        <f t="shared" si="10"/>
        <v>136662.12841363056</v>
      </c>
      <c r="K221" t="str">
        <f>_xlfn.XLOOKUP(B221,Cert_OC_Cliente!$B:$B,Cert_OC_Cliente!$L:$L)</f>
        <v>PTO 02</v>
      </c>
      <c r="L221" t="str">
        <f t="shared" si="11"/>
        <v>✓</v>
      </c>
    </row>
    <row r="222" spans="1:12" x14ac:dyDescent="0.35">
      <c r="A222" t="s">
        <v>4929</v>
      </c>
      <c r="B222" t="s">
        <v>4932</v>
      </c>
      <c r="C222" t="s">
        <v>4962</v>
      </c>
      <c r="D222" s="205">
        <v>45988</v>
      </c>
      <c r="E222">
        <v>18.14</v>
      </c>
      <c r="F222">
        <v>0.3</v>
      </c>
      <c r="G222">
        <v>9.9999999999999978E-2</v>
      </c>
      <c r="H222">
        <f t="shared" si="9"/>
        <v>0.39999999999999997</v>
      </c>
      <c r="I222" s="206">
        <f>SUMIFS('1_Presupuesto'!$V:$V,'1_Presupuesto'!$X:$X,K222,'1_Presupuesto'!$E:$E,E222)</f>
        <v>1467852.4903686249</v>
      </c>
      <c r="J222" s="206">
        <f t="shared" si="10"/>
        <v>146785.24903686246</v>
      </c>
      <c r="K222" t="str">
        <f>_xlfn.XLOOKUP(B222,Cert_OC_Cliente!$B:$B,Cert_OC_Cliente!$L:$L)</f>
        <v>PTO 02</v>
      </c>
      <c r="L222" t="str">
        <f t="shared" si="11"/>
        <v>✓</v>
      </c>
    </row>
    <row r="223" spans="1:12" x14ac:dyDescent="0.35">
      <c r="A223" t="s">
        <v>4929</v>
      </c>
      <c r="B223" t="s">
        <v>4932</v>
      </c>
      <c r="C223" t="s">
        <v>4962</v>
      </c>
      <c r="D223" s="205">
        <v>45988</v>
      </c>
      <c r="E223">
        <v>24.01</v>
      </c>
      <c r="F223">
        <v>0.4</v>
      </c>
      <c r="G223">
        <v>4.9999999999999989E-2</v>
      </c>
      <c r="H223">
        <f t="shared" si="9"/>
        <v>0.45</v>
      </c>
      <c r="I223" s="206">
        <f>SUMIFS('1_Presupuesto'!$V:$V,'1_Presupuesto'!$X:$X,K223,'1_Presupuesto'!$E:$E,E223)</f>
        <v>16546555.307464439</v>
      </c>
      <c r="J223" s="206">
        <f t="shared" si="10"/>
        <v>827327.76537322183</v>
      </c>
      <c r="K223" t="str">
        <f>_xlfn.XLOOKUP(B223,Cert_OC_Cliente!$B:$B,Cert_OC_Cliente!$L:$L)</f>
        <v>PTO 02</v>
      </c>
      <c r="L223" t="str">
        <f t="shared" si="11"/>
        <v>✓</v>
      </c>
    </row>
    <row r="224" spans="1:12" x14ac:dyDescent="0.35">
      <c r="A224" t="s">
        <v>4929</v>
      </c>
      <c r="B224" t="s">
        <v>4932</v>
      </c>
      <c r="C224" t="s">
        <v>4962</v>
      </c>
      <c r="D224" s="205">
        <v>45988</v>
      </c>
      <c r="E224">
        <v>24.03</v>
      </c>
      <c r="F224">
        <v>0.4</v>
      </c>
      <c r="G224">
        <v>4.9999999999999989E-2</v>
      </c>
      <c r="H224">
        <f t="shared" si="9"/>
        <v>0.45</v>
      </c>
      <c r="I224" s="206">
        <f>SUMIFS('1_Presupuesto'!$V:$V,'1_Presupuesto'!$X:$X,K224,'1_Presupuesto'!$E:$E,E224)</f>
        <v>3398454.9392095888</v>
      </c>
      <c r="J224" s="206">
        <f t="shared" si="10"/>
        <v>169922.74696047942</v>
      </c>
      <c r="K224" t="str">
        <f>_xlfn.XLOOKUP(B224,Cert_OC_Cliente!$B:$B,Cert_OC_Cliente!$L:$L)</f>
        <v>PTO 02</v>
      </c>
      <c r="L224" t="str">
        <f t="shared" si="11"/>
        <v>✓</v>
      </c>
    </row>
    <row r="225" spans="1:12" x14ac:dyDescent="0.35">
      <c r="A225" t="s">
        <v>4929</v>
      </c>
      <c r="B225" t="s">
        <v>4932</v>
      </c>
      <c r="C225" t="s">
        <v>4962</v>
      </c>
      <c r="D225" s="205">
        <v>45988</v>
      </c>
      <c r="E225">
        <v>24.04</v>
      </c>
      <c r="F225">
        <v>0.6</v>
      </c>
      <c r="G225">
        <v>0.15</v>
      </c>
      <c r="H225">
        <f t="shared" si="9"/>
        <v>0.75</v>
      </c>
      <c r="I225" s="206">
        <f>SUMIFS('1_Presupuesto'!$V:$V,'1_Presupuesto'!$X:$X,K225,'1_Presupuesto'!$E:$E,E225)</f>
        <v>6284455.8655328834</v>
      </c>
      <c r="J225" s="206">
        <f t="shared" si="10"/>
        <v>942668.37982993247</v>
      </c>
      <c r="K225" t="str">
        <f>_xlfn.XLOOKUP(B225,Cert_OC_Cliente!$B:$B,Cert_OC_Cliente!$L:$L)</f>
        <v>PTO 02</v>
      </c>
      <c r="L225" t="str">
        <f t="shared" si="11"/>
        <v>✓</v>
      </c>
    </row>
    <row r="226" spans="1:12" x14ac:dyDescent="0.35">
      <c r="A226" t="s">
        <v>4929</v>
      </c>
      <c r="B226" t="s">
        <v>4932</v>
      </c>
      <c r="C226" t="s">
        <v>4962</v>
      </c>
      <c r="D226" s="205">
        <v>45988</v>
      </c>
      <c r="E226">
        <v>24.05</v>
      </c>
      <c r="F226">
        <v>0.3</v>
      </c>
      <c r="G226">
        <v>4.9999999999999989E-2</v>
      </c>
      <c r="H226">
        <f t="shared" si="9"/>
        <v>0.35</v>
      </c>
      <c r="I226" s="206">
        <f>SUMIFS('1_Presupuesto'!$V:$V,'1_Presupuesto'!$X:$X,K226,'1_Presupuesto'!$E:$E,E226)</f>
        <v>14856213.332043247</v>
      </c>
      <c r="J226" s="206">
        <f t="shared" si="10"/>
        <v>742810.66660216218</v>
      </c>
      <c r="K226" t="str">
        <f>_xlfn.XLOOKUP(B226,Cert_OC_Cliente!$B:$B,Cert_OC_Cliente!$L:$L)</f>
        <v>PTO 02</v>
      </c>
      <c r="L226" t="str">
        <f t="shared" si="11"/>
        <v>✓</v>
      </c>
    </row>
    <row r="227" spans="1:12" x14ac:dyDescent="0.35">
      <c r="A227" t="s">
        <v>4929</v>
      </c>
      <c r="B227" t="s">
        <v>4932</v>
      </c>
      <c r="C227" t="s">
        <v>4962</v>
      </c>
      <c r="D227" s="205">
        <v>45988</v>
      </c>
      <c r="E227">
        <v>24.06</v>
      </c>
      <c r="F227">
        <v>0.3</v>
      </c>
      <c r="G227">
        <v>4.9999999999999989E-2</v>
      </c>
      <c r="H227">
        <f t="shared" si="9"/>
        <v>0.35</v>
      </c>
      <c r="I227" s="206">
        <f>SUMIFS('1_Presupuesto'!$V:$V,'1_Presupuesto'!$X:$X,K227,'1_Presupuesto'!$E:$E,E227)</f>
        <v>9812019.7942749579</v>
      </c>
      <c r="J227" s="206">
        <f t="shared" si="10"/>
        <v>490600.98971374781</v>
      </c>
      <c r="K227" t="str">
        <f>_xlfn.XLOOKUP(B227,Cert_OC_Cliente!$B:$B,Cert_OC_Cliente!$L:$L)</f>
        <v>PTO 02</v>
      </c>
      <c r="L227" t="str">
        <f t="shared" si="11"/>
        <v>✓</v>
      </c>
    </row>
    <row r="228" spans="1:12" x14ac:dyDescent="0.35">
      <c r="A228" t="s">
        <v>4929</v>
      </c>
      <c r="B228" t="s">
        <v>4932</v>
      </c>
      <c r="C228" t="s">
        <v>4962</v>
      </c>
      <c r="D228" s="205">
        <v>45988</v>
      </c>
      <c r="E228">
        <v>24.08</v>
      </c>
      <c r="F228">
        <v>0.35</v>
      </c>
      <c r="G228">
        <v>4.9999999999999989E-2</v>
      </c>
      <c r="H228">
        <f t="shared" si="9"/>
        <v>0.39999999999999997</v>
      </c>
      <c r="I228" s="206">
        <f>SUMIFS('1_Presupuesto'!$V:$V,'1_Presupuesto'!$X:$X,K228,'1_Presupuesto'!$E:$E,E228)</f>
        <v>6796909.8784191776</v>
      </c>
      <c r="J228" s="206">
        <f t="shared" si="10"/>
        <v>339845.49392095883</v>
      </c>
      <c r="K228" t="str">
        <f>_xlfn.XLOOKUP(B228,Cert_OC_Cliente!$B:$B,Cert_OC_Cliente!$L:$L)</f>
        <v>PTO 02</v>
      </c>
      <c r="L228" t="str">
        <f t="shared" si="11"/>
        <v>✓</v>
      </c>
    </row>
    <row r="229" spans="1:12" x14ac:dyDescent="0.35">
      <c r="A229" t="s">
        <v>4929</v>
      </c>
      <c r="B229" t="s">
        <v>4932</v>
      </c>
      <c r="C229" t="s">
        <v>4962</v>
      </c>
      <c r="D229" s="205">
        <v>45988</v>
      </c>
      <c r="E229">
        <v>24.09</v>
      </c>
      <c r="F229">
        <v>0.28000000000000003</v>
      </c>
      <c r="G229">
        <v>4.9999999999999989E-2</v>
      </c>
      <c r="H229">
        <f t="shared" si="9"/>
        <v>0.33</v>
      </c>
      <c r="I229" s="206">
        <f>SUMIFS('1_Presupuesto'!$V:$V,'1_Presupuesto'!$X:$X,K229,'1_Presupuesto'!$E:$E,E229)</f>
        <v>5910152.861234813</v>
      </c>
      <c r="J229" s="206">
        <f t="shared" si="10"/>
        <v>295507.64306174056</v>
      </c>
      <c r="K229" t="str">
        <f>_xlfn.XLOOKUP(B229,Cert_OC_Cliente!$B:$B,Cert_OC_Cliente!$L:$L)</f>
        <v>PTO 02</v>
      </c>
      <c r="L229" t="str">
        <f t="shared" si="11"/>
        <v>✓</v>
      </c>
    </row>
    <row r="230" spans="1:12" x14ac:dyDescent="0.35">
      <c r="A230" t="s">
        <v>4929</v>
      </c>
      <c r="B230" t="s">
        <v>4932</v>
      </c>
      <c r="C230" t="s">
        <v>4962</v>
      </c>
      <c r="D230" s="205">
        <v>45988</v>
      </c>
      <c r="E230">
        <v>25.01</v>
      </c>
      <c r="F230">
        <v>0.4</v>
      </c>
      <c r="G230">
        <v>4.9999999999999989E-2</v>
      </c>
      <c r="H230">
        <f t="shared" si="9"/>
        <v>0.45</v>
      </c>
      <c r="I230" s="206">
        <f>SUMIFS('1_Presupuesto'!$V:$V,'1_Presupuesto'!$X:$X,K230,'1_Presupuesto'!$E:$E,E230)</f>
        <v>99058404.317748845</v>
      </c>
      <c r="J230" s="206">
        <f t="shared" si="10"/>
        <v>4952920.2158874413</v>
      </c>
      <c r="K230" t="str">
        <f>_xlfn.XLOOKUP(B230,Cert_OC_Cliente!$B:$B,Cert_OC_Cliente!$L:$L)</f>
        <v>PTO 02</v>
      </c>
      <c r="L230" t="str">
        <f t="shared" si="11"/>
        <v>✓</v>
      </c>
    </row>
    <row r="231" spans="1:12" x14ac:dyDescent="0.35">
      <c r="A231" t="s">
        <v>4929</v>
      </c>
      <c r="B231" t="s">
        <v>4932</v>
      </c>
      <c r="C231" t="s">
        <v>4962</v>
      </c>
      <c r="D231" s="205">
        <v>45988</v>
      </c>
      <c r="E231">
        <v>25.02</v>
      </c>
      <c r="F231">
        <v>0.4</v>
      </c>
      <c r="G231">
        <v>4.9999999999999989E-2</v>
      </c>
      <c r="H231">
        <f t="shared" si="9"/>
        <v>0.45</v>
      </c>
      <c r="I231" s="206">
        <f>SUMIFS('1_Presupuesto'!$V:$V,'1_Presupuesto'!$X:$X,K231,'1_Presupuesto'!$E:$E,E231)</f>
        <v>11328183.130698629</v>
      </c>
      <c r="J231" s="206">
        <f t="shared" si="10"/>
        <v>566409.15653493127</v>
      </c>
      <c r="K231" t="str">
        <f>_xlfn.XLOOKUP(B231,Cert_OC_Cliente!$B:$B,Cert_OC_Cliente!$L:$L)</f>
        <v>PTO 02</v>
      </c>
      <c r="L231" t="str">
        <f t="shared" si="11"/>
        <v>✓</v>
      </c>
    </row>
    <row r="232" spans="1:12" x14ac:dyDescent="0.35">
      <c r="A232" t="s">
        <v>4929</v>
      </c>
      <c r="B232" t="s">
        <v>4932</v>
      </c>
      <c r="C232" t="s">
        <v>4963</v>
      </c>
      <c r="D232" s="205">
        <v>46017</v>
      </c>
      <c r="E232">
        <v>4.01</v>
      </c>
      <c r="F232">
        <v>0.15</v>
      </c>
      <c r="G232">
        <v>0.43999999999999989</v>
      </c>
      <c r="H232">
        <f t="shared" si="9"/>
        <v>0.58999999999999986</v>
      </c>
      <c r="I232" s="206">
        <f>SUMIFS('1_Presupuesto'!$V:$V,'1_Presupuesto'!$X:$X,K232,'1_Presupuesto'!$E:$E,E232)</f>
        <v>22289464.745651998</v>
      </c>
      <c r="J232" s="206">
        <f t="shared" si="10"/>
        <v>9807364.4880868774</v>
      </c>
      <c r="K232" t="str">
        <f>_xlfn.XLOOKUP(B232,Cert_OC_Cliente!$B:$B,Cert_OC_Cliente!$L:$L)</f>
        <v>PTO 02</v>
      </c>
      <c r="L232" t="str">
        <f t="shared" si="11"/>
        <v>✓</v>
      </c>
    </row>
    <row r="233" spans="1:12" x14ac:dyDescent="0.35">
      <c r="A233" t="s">
        <v>4929</v>
      </c>
      <c r="B233" t="s">
        <v>4932</v>
      </c>
      <c r="C233" t="s">
        <v>4963</v>
      </c>
      <c r="D233" s="205">
        <v>46017</v>
      </c>
      <c r="E233">
        <v>4.0199999999999996</v>
      </c>
      <c r="F233">
        <v>0.25</v>
      </c>
      <c r="G233">
        <v>0.26</v>
      </c>
      <c r="H233">
        <f t="shared" si="9"/>
        <v>0.51</v>
      </c>
      <c r="I233" s="206">
        <f>SUMIFS('1_Presupuesto'!$V:$V,'1_Presupuesto'!$X:$X,K233,'1_Presupuesto'!$E:$E,E233)</f>
        <v>19060436.605236452</v>
      </c>
      <c r="J233" s="206">
        <f t="shared" si="10"/>
        <v>4955713.5173614779</v>
      </c>
      <c r="K233" t="str">
        <f>_xlfn.XLOOKUP(B233,Cert_OC_Cliente!$B:$B,Cert_OC_Cliente!$L:$L)</f>
        <v>PTO 02</v>
      </c>
      <c r="L233" t="str">
        <f t="shared" si="11"/>
        <v>✓</v>
      </c>
    </row>
    <row r="234" spans="1:12" x14ac:dyDescent="0.35">
      <c r="A234" t="s">
        <v>4929</v>
      </c>
      <c r="B234" t="s">
        <v>4932</v>
      </c>
      <c r="C234" t="s">
        <v>4963</v>
      </c>
      <c r="D234" s="205">
        <v>46017</v>
      </c>
      <c r="E234">
        <v>4.03</v>
      </c>
      <c r="F234">
        <v>0</v>
      </c>
      <c r="G234">
        <v>0.5</v>
      </c>
      <c r="H234">
        <f t="shared" si="9"/>
        <v>0.5</v>
      </c>
      <c r="I234" s="206">
        <f>SUMIFS('1_Presupuesto'!$V:$V,'1_Presupuesto'!$X:$X,K234,'1_Presupuesto'!$E:$E,E234)</f>
        <v>1301879.0372966074</v>
      </c>
      <c r="J234" s="206">
        <f t="shared" si="10"/>
        <v>650939.5186483037</v>
      </c>
      <c r="K234" t="str">
        <f>_xlfn.XLOOKUP(B234,Cert_OC_Cliente!$B:$B,Cert_OC_Cliente!$L:$L)</f>
        <v>PTO 02</v>
      </c>
      <c r="L234" t="str">
        <f t="shared" si="11"/>
        <v>✓</v>
      </c>
    </row>
    <row r="235" spans="1:12" x14ac:dyDescent="0.35">
      <c r="A235" t="s">
        <v>4929</v>
      </c>
      <c r="B235" t="s">
        <v>4932</v>
      </c>
      <c r="C235" t="s">
        <v>4963</v>
      </c>
      <c r="D235" s="205">
        <v>46017</v>
      </c>
      <c r="E235">
        <v>4.04</v>
      </c>
      <c r="F235">
        <v>0</v>
      </c>
      <c r="G235">
        <v>0.1</v>
      </c>
      <c r="H235">
        <f t="shared" si="9"/>
        <v>0.1</v>
      </c>
      <c r="I235" s="206">
        <f>SUMIFS('1_Presupuesto'!$V:$V,'1_Presupuesto'!$X:$X,K235,'1_Presupuesto'!$E:$E,E235)</f>
        <v>1207319.07622362</v>
      </c>
      <c r="J235" s="206">
        <f t="shared" si="10"/>
        <v>120731.90762236201</v>
      </c>
      <c r="K235" t="str">
        <f>_xlfn.XLOOKUP(B235,Cert_OC_Cliente!$B:$B,Cert_OC_Cliente!$L:$L)</f>
        <v>PTO 02</v>
      </c>
      <c r="L235" t="str">
        <f t="shared" si="11"/>
        <v>✓</v>
      </c>
    </row>
    <row r="236" spans="1:12" x14ac:dyDescent="0.35">
      <c r="A236" t="s">
        <v>4929</v>
      </c>
      <c r="B236" t="s">
        <v>4932</v>
      </c>
      <c r="C236" t="s">
        <v>4963</v>
      </c>
      <c r="D236" s="205">
        <v>46017</v>
      </c>
      <c r="E236">
        <v>4.05</v>
      </c>
      <c r="F236">
        <v>0</v>
      </c>
      <c r="G236">
        <v>0.1</v>
      </c>
      <c r="H236">
        <f t="shared" si="9"/>
        <v>0.1</v>
      </c>
      <c r="I236" s="206">
        <f>SUMIFS('1_Presupuesto'!$V:$V,'1_Presupuesto'!$X:$X,K236,'1_Presupuesto'!$E:$E,E236)</f>
        <v>2585307.4938179324</v>
      </c>
      <c r="J236" s="206">
        <f t="shared" si="10"/>
        <v>258530.74938179326</v>
      </c>
      <c r="K236" t="str">
        <f>_xlfn.XLOOKUP(B236,Cert_OC_Cliente!$B:$B,Cert_OC_Cliente!$L:$L)</f>
        <v>PTO 02</v>
      </c>
      <c r="L236" t="str">
        <f t="shared" si="11"/>
        <v>✓</v>
      </c>
    </row>
    <row r="237" spans="1:12" x14ac:dyDescent="0.35">
      <c r="A237" t="s">
        <v>4929</v>
      </c>
      <c r="B237" t="s">
        <v>4932</v>
      </c>
      <c r="C237" t="s">
        <v>4963</v>
      </c>
      <c r="D237" s="205">
        <v>46017</v>
      </c>
      <c r="E237">
        <v>4.0599999999999996</v>
      </c>
      <c r="F237">
        <v>0</v>
      </c>
      <c r="G237">
        <v>0.1</v>
      </c>
      <c r="H237">
        <f t="shared" si="9"/>
        <v>0.1</v>
      </c>
      <c r="I237" s="206">
        <f>SUMIFS('1_Presupuesto'!$V:$V,'1_Presupuesto'!$X:$X,K237,'1_Presupuesto'!$E:$E,E237)</f>
        <v>143358.94035564177</v>
      </c>
      <c r="J237" s="206">
        <f t="shared" si="10"/>
        <v>14335.894035564177</v>
      </c>
      <c r="K237" t="str">
        <f>_xlfn.XLOOKUP(B237,Cert_OC_Cliente!$B:$B,Cert_OC_Cliente!$L:$L)</f>
        <v>PTO 02</v>
      </c>
      <c r="L237" t="str">
        <f t="shared" si="11"/>
        <v>✓</v>
      </c>
    </row>
    <row r="238" spans="1:12" x14ac:dyDescent="0.35">
      <c r="A238" t="s">
        <v>4929</v>
      </c>
      <c r="B238" t="s">
        <v>4932</v>
      </c>
      <c r="C238" t="s">
        <v>4963</v>
      </c>
      <c r="D238" s="205">
        <v>46017</v>
      </c>
      <c r="E238">
        <v>18.010000000000002</v>
      </c>
      <c r="F238">
        <v>0.255</v>
      </c>
      <c r="G238">
        <v>9.9999999999999978E-2</v>
      </c>
      <c r="H238">
        <f t="shared" si="9"/>
        <v>0.35499999999999998</v>
      </c>
      <c r="I238" s="206">
        <f>SUMIFS('1_Presupuesto'!$V:$V,'1_Presupuesto'!$X:$X,K238,'1_Presupuesto'!$E:$E,E238)</f>
        <v>0</v>
      </c>
      <c r="J238" s="206">
        <f t="shared" si="10"/>
        <v>0</v>
      </c>
      <c r="K238" t="str">
        <f>_xlfn.XLOOKUP(B238,Cert_OC_Cliente!$B:$B,Cert_OC_Cliente!$L:$L)</f>
        <v>PTO 02</v>
      </c>
      <c r="L238" t="str">
        <f t="shared" si="11"/>
        <v>✓</v>
      </c>
    </row>
    <row r="239" spans="1:12" x14ac:dyDescent="0.35">
      <c r="A239" t="s">
        <v>4929</v>
      </c>
      <c r="B239" t="s">
        <v>4932</v>
      </c>
      <c r="C239" t="s">
        <v>4963</v>
      </c>
      <c r="D239" s="205">
        <v>46017</v>
      </c>
      <c r="E239">
        <v>18.07</v>
      </c>
      <c r="F239">
        <v>0.23300000000000001</v>
      </c>
      <c r="G239">
        <v>7.0000000000000007E-2</v>
      </c>
      <c r="H239">
        <f t="shared" si="9"/>
        <v>0.30300000000000005</v>
      </c>
      <c r="I239" s="206">
        <f>SUMIFS('1_Presupuesto'!$V:$V,'1_Presupuesto'!$X:$X,K239,'1_Presupuesto'!$E:$E,E239)</f>
        <v>15628623.979244839</v>
      </c>
      <c r="J239" s="206">
        <f t="shared" si="10"/>
        <v>1094003.6785471388</v>
      </c>
      <c r="K239" t="str">
        <f>_xlfn.XLOOKUP(B239,Cert_OC_Cliente!$B:$B,Cert_OC_Cliente!$L:$L)</f>
        <v>PTO 02</v>
      </c>
      <c r="L239" t="str">
        <f t="shared" si="11"/>
        <v>✓</v>
      </c>
    </row>
    <row r="240" spans="1:12" x14ac:dyDescent="0.35">
      <c r="A240" t="s">
        <v>4929</v>
      </c>
      <c r="B240" t="s">
        <v>4932</v>
      </c>
      <c r="C240" t="s">
        <v>4963</v>
      </c>
      <c r="D240" s="205">
        <v>46017</v>
      </c>
      <c r="E240">
        <v>18.079999999999998</v>
      </c>
      <c r="F240">
        <v>0.2</v>
      </c>
      <c r="G240">
        <v>0.1</v>
      </c>
      <c r="H240">
        <f t="shared" si="9"/>
        <v>0.30000000000000004</v>
      </c>
      <c r="I240" s="206">
        <f>SUMIFS('1_Presupuesto'!$V:$V,'1_Presupuesto'!$X:$X,K240,'1_Presupuesto'!$E:$E,E240)</f>
        <v>3049848.1124811382</v>
      </c>
      <c r="J240" s="206">
        <f t="shared" si="10"/>
        <v>304984.81124811381</v>
      </c>
      <c r="K240" t="str">
        <f>_xlfn.XLOOKUP(B240,Cert_OC_Cliente!$B:$B,Cert_OC_Cliente!$L:$L)</f>
        <v>PTO 02</v>
      </c>
      <c r="L240" t="str">
        <f t="shared" si="11"/>
        <v>✓</v>
      </c>
    </row>
    <row r="241" spans="1:12" x14ac:dyDescent="0.35">
      <c r="A241" t="s">
        <v>4929</v>
      </c>
      <c r="B241" t="s">
        <v>4932</v>
      </c>
      <c r="C241" t="s">
        <v>4963</v>
      </c>
      <c r="D241" s="205">
        <v>46017</v>
      </c>
      <c r="E241">
        <v>18.100000000000001</v>
      </c>
      <c r="F241">
        <v>0.4</v>
      </c>
      <c r="G241">
        <v>4.9999999999999989E-2</v>
      </c>
      <c r="H241">
        <f t="shared" si="9"/>
        <v>0.45</v>
      </c>
      <c r="I241" s="206">
        <f>SUMIFS('1_Presupuesto'!$V:$V,'1_Presupuesto'!$X:$X,K241,'1_Presupuesto'!$E:$E,E241)</f>
        <v>553225.62758388813</v>
      </c>
      <c r="J241" s="206">
        <f t="shared" si="10"/>
        <v>27661.281379194399</v>
      </c>
      <c r="K241" t="str">
        <f>_xlfn.XLOOKUP(B241,Cert_OC_Cliente!$B:$B,Cert_OC_Cliente!$L:$L)</f>
        <v>PTO 02</v>
      </c>
      <c r="L241" t="str">
        <f t="shared" si="11"/>
        <v>✓</v>
      </c>
    </row>
    <row r="242" spans="1:12" x14ac:dyDescent="0.35">
      <c r="A242" t="s">
        <v>4929</v>
      </c>
      <c r="B242" t="s">
        <v>4932</v>
      </c>
      <c r="C242" t="s">
        <v>4963</v>
      </c>
      <c r="D242" s="205">
        <v>46017</v>
      </c>
      <c r="E242">
        <v>18.12</v>
      </c>
      <c r="F242">
        <v>0.4</v>
      </c>
      <c r="G242">
        <v>4.9999999999999989E-2</v>
      </c>
      <c r="H242">
        <f t="shared" si="9"/>
        <v>0.45</v>
      </c>
      <c r="I242" s="206">
        <f>SUMIFS('1_Presupuesto'!$V:$V,'1_Presupuesto'!$X:$X,K242,'1_Presupuesto'!$E:$E,E242)</f>
        <v>1366621.284136306</v>
      </c>
      <c r="J242" s="206">
        <f t="shared" si="10"/>
        <v>68331.064206815281</v>
      </c>
      <c r="K242" t="str">
        <f>_xlfn.XLOOKUP(B242,Cert_OC_Cliente!$B:$B,Cert_OC_Cliente!$L:$L)</f>
        <v>PTO 02</v>
      </c>
      <c r="L242" t="str">
        <f t="shared" si="11"/>
        <v>✓</v>
      </c>
    </row>
    <row r="243" spans="1:12" x14ac:dyDescent="0.35">
      <c r="A243" t="s">
        <v>4929</v>
      </c>
      <c r="B243" t="s">
        <v>4932</v>
      </c>
      <c r="C243" t="s">
        <v>4963</v>
      </c>
      <c r="D243" s="205">
        <v>46017</v>
      </c>
      <c r="E243">
        <v>18.14</v>
      </c>
      <c r="F243">
        <v>0.4</v>
      </c>
      <c r="G243">
        <v>4.9999999999999989E-2</v>
      </c>
      <c r="H243">
        <f t="shared" si="9"/>
        <v>0.45</v>
      </c>
      <c r="I243" s="206">
        <f>SUMIFS('1_Presupuesto'!$V:$V,'1_Presupuesto'!$X:$X,K243,'1_Presupuesto'!$E:$E,E243)</f>
        <v>1467852.4903686249</v>
      </c>
      <c r="J243" s="206">
        <f t="shared" si="10"/>
        <v>73392.624518431228</v>
      </c>
      <c r="K243" t="str">
        <f>_xlfn.XLOOKUP(B243,Cert_OC_Cliente!$B:$B,Cert_OC_Cliente!$L:$L)</f>
        <v>PTO 02</v>
      </c>
      <c r="L243" t="str">
        <f t="shared" si="11"/>
        <v>✓</v>
      </c>
    </row>
    <row r="244" spans="1:12" x14ac:dyDescent="0.35">
      <c r="A244" t="s">
        <v>4929</v>
      </c>
      <c r="B244" t="s">
        <v>4932</v>
      </c>
      <c r="C244" t="s">
        <v>4963</v>
      </c>
      <c r="D244" s="205">
        <v>46017</v>
      </c>
      <c r="E244">
        <v>19.02</v>
      </c>
      <c r="F244">
        <v>0</v>
      </c>
      <c r="G244">
        <v>0.15</v>
      </c>
      <c r="H244">
        <f t="shared" si="9"/>
        <v>0.15</v>
      </c>
      <c r="I244" s="206">
        <f>SUMIFS('1_Presupuesto'!$V:$V,'1_Presupuesto'!$X:$X,K244,'1_Presupuesto'!$E:$E,E244)</f>
        <v>9552582.557606468</v>
      </c>
      <c r="J244" s="206">
        <f t="shared" si="10"/>
        <v>1432887.3836409701</v>
      </c>
      <c r="K244" t="str">
        <f>_xlfn.XLOOKUP(B244,Cert_OC_Cliente!$B:$B,Cert_OC_Cliente!$L:$L)</f>
        <v>PTO 02</v>
      </c>
      <c r="L244" t="str">
        <f t="shared" si="11"/>
        <v>✓</v>
      </c>
    </row>
    <row r="245" spans="1:12" x14ac:dyDescent="0.35">
      <c r="A245" t="s">
        <v>4929</v>
      </c>
      <c r="B245" t="s">
        <v>4932</v>
      </c>
      <c r="C245" t="s">
        <v>4963</v>
      </c>
      <c r="D245" s="205">
        <v>46017</v>
      </c>
      <c r="E245">
        <v>19.03</v>
      </c>
      <c r="F245">
        <v>0</v>
      </c>
      <c r="G245">
        <v>0.1</v>
      </c>
      <c r="H245">
        <f t="shared" si="9"/>
        <v>0.1</v>
      </c>
      <c r="I245" s="206">
        <f>SUMIFS('1_Presupuesto'!$V:$V,'1_Presupuesto'!$X:$X,K245,'1_Presupuesto'!$E:$E,E245)</f>
        <v>4881534.9792620176</v>
      </c>
      <c r="J245" s="206">
        <f t="shared" si="10"/>
        <v>488153.49792620179</v>
      </c>
      <c r="K245" t="str">
        <f>_xlfn.XLOOKUP(B245,Cert_OC_Cliente!$B:$B,Cert_OC_Cliente!$L:$L)</f>
        <v>PTO 02</v>
      </c>
      <c r="L245" t="str">
        <f t="shared" si="11"/>
        <v>✓</v>
      </c>
    </row>
    <row r="246" spans="1:12" x14ac:dyDescent="0.35">
      <c r="A246" t="s">
        <v>4929</v>
      </c>
      <c r="B246" t="s">
        <v>4932</v>
      </c>
      <c r="C246" t="s">
        <v>4963</v>
      </c>
      <c r="D246" s="205">
        <v>46017</v>
      </c>
      <c r="E246">
        <v>19.05</v>
      </c>
      <c r="F246">
        <v>0</v>
      </c>
      <c r="G246">
        <v>0.2</v>
      </c>
      <c r="H246">
        <f t="shared" si="9"/>
        <v>0.2</v>
      </c>
      <c r="I246" s="206">
        <f>SUMIFS('1_Presupuesto'!$V:$V,'1_Presupuesto'!$X:$X,K246,'1_Presupuesto'!$E:$E,E246)</f>
        <v>3537993.5398542481</v>
      </c>
      <c r="J246" s="206">
        <f t="shared" si="10"/>
        <v>707598.7079708497</v>
      </c>
      <c r="K246" t="str">
        <f>_xlfn.XLOOKUP(B246,Cert_OC_Cliente!$B:$B,Cert_OC_Cliente!$L:$L)</f>
        <v>PTO 02</v>
      </c>
      <c r="L246" t="str">
        <f t="shared" si="11"/>
        <v>✓</v>
      </c>
    </row>
    <row r="247" spans="1:12" x14ac:dyDescent="0.35">
      <c r="A247" t="s">
        <v>4929</v>
      </c>
      <c r="B247" t="s">
        <v>4932</v>
      </c>
      <c r="C247" t="s">
        <v>4963</v>
      </c>
      <c r="D247" s="205">
        <v>46017</v>
      </c>
      <c r="E247">
        <v>19.100000000000001</v>
      </c>
      <c r="F247">
        <v>0</v>
      </c>
      <c r="G247">
        <v>0.25</v>
      </c>
      <c r="H247">
        <f t="shared" si="9"/>
        <v>0.25</v>
      </c>
      <c r="I247" s="206">
        <f>SUMIFS('1_Presupuesto'!$V:$V,'1_Presupuesto'!$X:$X,K247,'1_Presupuesto'!$E:$E,E247)</f>
        <v>18413868.763299089</v>
      </c>
      <c r="J247" s="206">
        <f t="shared" si="10"/>
        <v>4603467.1908247722</v>
      </c>
      <c r="K247" t="str">
        <f>_xlfn.XLOOKUP(B247,Cert_OC_Cliente!$B:$B,Cert_OC_Cliente!$L:$L)</f>
        <v>PTO 02</v>
      </c>
      <c r="L247" t="str">
        <f t="shared" si="11"/>
        <v>✓</v>
      </c>
    </row>
    <row r="248" spans="1:12" x14ac:dyDescent="0.35">
      <c r="A248" t="s">
        <v>4929</v>
      </c>
      <c r="B248" t="s">
        <v>4932</v>
      </c>
      <c r="C248" t="s">
        <v>4963</v>
      </c>
      <c r="D248" s="205">
        <v>46017</v>
      </c>
      <c r="E248">
        <v>19.12</v>
      </c>
      <c r="F248">
        <v>0</v>
      </c>
      <c r="G248">
        <v>0.1</v>
      </c>
      <c r="H248">
        <f t="shared" si="9"/>
        <v>0.1</v>
      </c>
      <c r="I248" s="206">
        <f>SUMIFS('1_Presupuesto'!$V:$V,'1_Presupuesto'!$X:$X,K248,'1_Presupuesto'!$E:$E,E248)</f>
        <v>2637800.7601688541</v>
      </c>
      <c r="J248" s="206">
        <f t="shared" si="10"/>
        <v>263780.0760168854</v>
      </c>
      <c r="K248" t="str">
        <f>_xlfn.XLOOKUP(B248,Cert_OC_Cliente!$B:$B,Cert_OC_Cliente!$L:$L)</f>
        <v>PTO 02</v>
      </c>
      <c r="L248" t="str">
        <f t="shared" si="11"/>
        <v>✓</v>
      </c>
    </row>
    <row r="249" spans="1:12" x14ac:dyDescent="0.35">
      <c r="A249" t="s">
        <v>4929</v>
      </c>
      <c r="B249" t="s">
        <v>4932</v>
      </c>
      <c r="C249" t="s">
        <v>4963</v>
      </c>
      <c r="D249" s="205">
        <v>46017</v>
      </c>
      <c r="E249">
        <v>19.13</v>
      </c>
      <c r="F249">
        <v>0</v>
      </c>
      <c r="G249">
        <v>0.1</v>
      </c>
      <c r="H249">
        <f t="shared" si="9"/>
        <v>0.1</v>
      </c>
      <c r="I249" s="206">
        <f>SUMIFS('1_Presupuesto'!$V:$V,'1_Presupuesto'!$X:$X,K249,'1_Presupuesto'!$E:$E,E249)</f>
        <v>36002857.867846049</v>
      </c>
      <c r="J249" s="206">
        <f t="shared" si="10"/>
        <v>3600285.7867846051</v>
      </c>
      <c r="K249" t="str">
        <f>_xlfn.XLOOKUP(B249,Cert_OC_Cliente!$B:$B,Cert_OC_Cliente!$L:$L)</f>
        <v>PTO 02</v>
      </c>
      <c r="L249" t="str">
        <f t="shared" si="11"/>
        <v>✓</v>
      </c>
    </row>
    <row r="250" spans="1:12" x14ac:dyDescent="0.35">
      <c r="A250" t="s">
        <v>4929</v>
      </c>
      <c r="B250" t="s">
        <v>4932</v>
      </c>
      <c r="C250" t="s">
        <v>4963</v>
      </c>
      <c r="D250" s="205">
        <v>46017</v>
      </c>
      <c r="E250">
        <v>24.01</v>
      </c>
      <c r="F250">
        <v>0.45</v>
      </c>
      <c r="G250">
        <v>4.9999999999999989E-2</v>
      </c>
      <c r="H250">
        <f t="shared" si="9"/>
        <v>0.5</v>
      </c>
      <c r="I250" s="206">
        <f>SUMIFS('1_Presupuesto'!$V:$V,'1_Presupuesto'!$X:$X,K250,'1_Presupuesto'!$E:$E,E250)</f>
        <v>16546555.307464439</v>
      </c>
      <c r="J250" s="206">
        <f t="shared" si="10"/>
        <v>827327.76537322183</v>
      </c>
      <c r="K250" t="str">
        <f>_xlfn.XLOOKUP(B250,Cert_OC_Cliente!$B:$B,Cert_OC_Cliente!$L:$L)</f>
        <v>PTO 02</v>
      </c>
      <c r="L250" t="str">
        <f t="shared" si="11"/>
        <v>✓</v>
      </c>
    </row>
    <row r="251" spans="1:12" x14ac:dyDescent="0.35">
      <c r="A251" t="s">
        <v>4929</v>
      </c>
      <c r="B251" t="s">
        <v>4932</v>
      </c>
      <c r="C251" t="s">
        <v>4963</v>
      </c>
      <c r="D251" s="205">
        <v>46017</v>
      </c>
      <c r="E251">
        <v>24.03</v>
      </c>
      <c r="F251">
        <v>0.45</v>
      </c>
      <c r="G251">
        <v>4.9999999999999989E-2</v>
      </c>
      <c r="H251">
        <f t="shared" si="9"/>
        <v>0.5</v>
      </c>
      <c r="I251" s="206">
        <f>SUMIFS('1_Presupuesto'!$V:$V,'1_Presupuesto'!$X:$X,K251,'1_Presupuesto'!$E:$E,E251)</f>
        <v>3398454.9392095888</v>
      </c>
      <c r="J251" s="206">
        <f t="shared" si="10"/>
        <v>169922.74696047942</v>
      </c>
      <c r="K251" t="str">
        <f>_xlfn.XLOOKUP(B251,Cert_OC_Cliente!$B:$B,Cert_OC_Cliente!$L:$L)</f>
        <v>PTO 02</v>
      </c>
      <c r="L251" t="str">
        <f t="shared" si="11"/>
        <v>✓</v>
      </c>
    </row>
    <row r="252" spans="1:12" x14ac:dyDescent="0.35">
      <c r="A252" t="s">
        <v>4929</v>
      </c>
      <c r="B252" t="s">
        <v>4932</v>
      </c>
      <c r="C252" t="s">
        <v>4963</v>
      </c>
      <c r="D252" s="205">
        <v>46017</v>
      </c>
      <c r="E252">
        <v>24.04</v>
      </c>
      <c r="F252">
        <v>0.75</v>
      </c>
      <c r="G252">
        <v>0.25</v>
      </c>
      <c r="H252">
        <f t="shared" si="9"/>
        <v>1</v>
      </c>
      <c r="I252" s="206">
        <f>SUMIFS('1_Presupuesto'!$V:$V,'1_Presupuesto'!$X:$X,K252,'1_Presupuesto'!$E:$E,E252)</f>
        <v>6284455.8655328834</v>
      </c>
      <c r="J252" s="206">
        <f t="shared" si="10"/>
        <v>1571113.9663832209</v>
      </c>
      <c r="K252" t="str">
        <f>_xlfn.XLOOKUP(B252,Cert_OC_Cliente!$B:$B,Cert_OC_Cliente!$L:$L)</f>
        <v>PTO 02</v>
      </c>
      <c r="L252" t="str">
        <f t="shared" si="11"/>
        <v>✓</v>
      </c>
    </row>
    <row r="253" spans="1:12" x14ac:dyDescent="0.35">
      <c r="A253" t="s">
        <v>4929</v>
      </c>
      <c r="B253" t="s">
        <v>4932</v>
      </c>
      <c r="C253" t="s">
        <v>4963</v>
      </c>
      <c r="D253" s="205">
        <v>46017</v>
      </c>
      <c r="E253">
        <v>24.05</v>
      </c>
      <c r="F253">
        <v>0.35</v>
      </c>
      <c r="G253">
        <v>4.9999999999999989E-2</v>
      </c>
      <c r="H253">
        <f t="shared" si="9"/>
        <v>0.39999999999999997</v>
      </c>
      <c r="I253" s="206">
        <f>SUMIFS('1_Presupuesto'!$V:$V,'1_Presupuesto'!$X:$X,K253,'1_Presupuesto'!$E:$E,E253)</f>
        <v>14856213.332043247</v>
      </c>
      <c r="J253" s="206">
        <f t="shared" si="10"/>
        <v>742810.66660216218</v>
      </c>
      <c r="K253" t="str">
        <f>_xlfn.XLOOKUP(B253,Cert_OC_Cliente!$B:$B,Cert_OC_Cliente!$L:$L)</f>
        <v>PTO 02</v>
      </c>
      <c r="L253" t="str">
        <f t="shared" si="11"/>
        <v>✓</v>
      </c>
    </row>
    <row r="254" spans="1:12" x14ac:dyDescent="0.35">
      <c r="A254" t="s">
        <v>4929</v>
      </c>
      <c r="B254" t="s">
        <v>4932</v>
      </c>
      <c r="C254" t="s">
        <v>4963</v>
      </c>
      <c r="D254" s="205">
        <v>46017</v>
      </c>
      <c r="E254">
        <v>24.06</v>
      </c>
      <c r="F254">
        <v>0.35</v>
      </c>
      <c r="G254">
        <v>4.9999999999999989E-2</v>
      </c>
      <c r="H254">
        <f t="shared" si="9"/>
        <v>0.39999999999999997</v>
      </c>
      <c r="I254" s="206">
        <f>SUMIFS('1_Presupuesto'!$V:$V,'1_Presupuesto'!$X:$X,K254,'1_Presupuesto'!$E:$E,E254)</f>
        <v>9812019.7942749579</v>
      </c>
      <c r="J254" s="206">
        <f t="shared" si="10"/>
        <v>490600.98971374781</v>
      </c>
      <c r="K254" t="str">
        <f>_xlfn.XLOOKUP(B254,Cert_OC_Cliente!$B:$B,Cert_OC_Cliente!$L:$L)</f>
        <v>PTO 02</v>
      </c>
      <c r="L254" t="str">
        <f t="shared" si="11"/>
        <v>✓</v>
      </c>
    </row>
    <row r="255" spans="1:12" x14ac:dyDescent="0.35">
      <c r="A255" t="s">
        <v>4929</v>
      </c>
      <c r="B255" t="s">
        <v>4932</v>
      </c>
      <c r="C255" t="s">
        <v>4963</v>
      </c>
      <c r="D255" s="205">
        <v>46017</v>
      </c>
      <c r="E255">
        <v>24.08</v>
      </c>
      <c r="F255">
        <v>0.4</v>
      </c>
      <c r="G255">
        <v>4.9999999999999989E-2</v>
      </c>
      <c r="H255">
        <f t="shared" si="9"/>
        <v>0.45</v>
      </c>
      <c r="I255" s="206">
        <f>SUMIFS('1_Presupuesto'!$V:$V,'1_Presupuesto'!$X:$X,K255,'1_Presupuesto'!$E:$E,E255)</f>
        <v>6796909.8784191776</v>
      </c>
      <c r="J255" s="206">
        <f t="shared" si="10"/>
        <v>339845.49392095883</v>
      </c>
      <c r="K255" t="str">
        <f>_xlfn.XLOOKUP(B255,Cert_OC_Cliente!$B:$B,Cert_OC_Cliente!$L:$L)</f>
        <v>PTO 02</v>
      </c>
      <c r="L255" t="str">
        <f t="shared" si="11"/>
        <v>✓</v>
      </c>
    </row>
    <row r="256" spans="1:12" x14ac:dyDescent="0.35">
      <c r="A256" t="s">
        <v>4929</v>
      </c>
      <c r="B256" t="s">
        <v>4932</v>
      </c>
      <c r="C256" t="s">
        <v>4963</v>
      </c>
      <c r="D256" s="205">
        <v>46017</v>
      </c>
      <c r="E256">
        <v>24.09</v>
      </c>
      <c r="F256">
        <v>0.33</v>
      </c>
      <c r="G256">
        <v>4.9999999999999989E-2</v>
      </c>
      <c r="H256">
        <f t="shared" si="9"/>
        <v>0.38</v>
      </c>
      <c r="I256" s="206">
        <f>SUMIFS('1_Presupuesto'!$V:$V,'1_Presupuesto'!$X:$X,K256,'1_Presupuesto'!$E:$E,E256)</f>
        <v>5910152.861234813</v>
      </c>
      <c r="J256" s="206">
        <f t="shared" si="10"/>
        <v>295507.64306174056</v>
      </c>
      <c r="K256" t="str">
        <f>_xlfn.XLOOKUP(B256,Cert_OC_Cliente!$B:$B,Cert_OC_Cliente!$L:$L)</f>
        <v>PTO 02</v>
      </c>
      <c r="L256" t="str">
        <f t="shared" si="11"/>
        <v>✓</v>
      </c>
    </row>
    <row r="257" spans="1:12" x14ac:dyDescent="0.35">
      <c r="A257" t="s">
        <v>4929</v>
      </c>
      <c r="B257" t="s">
        <v>4932</v>
      </c>
      <c r="C257" t="s">
        <v>4963</v>
      </c>
      <c r="D257" s="205">
        <v>46017</v>
      </c>
      <c r="E257">
        <v>25.01</v>
      </c>
      <c r="F257">
        <v>0.45</v>
      </c>
      <c r="G257">
        <v>4.9999999999999989E-2</v>
      </c>
      <c r="H257">
        <f t="shared" si="9"/>
        <v>0.5</v>
      </c>
      <c r="I257" s="206">
        <f>SUMIFS('1_Presupuesto'!$V:$V,'1_Presupuesto'!$X:$X,K257,'1_Presupuesto'!$E:$E,E257)</f>
        <v>99058404.317748845</v>
      </c>
      <c r="J257" s="206">
        <f t="shared" si="10"/>
        <v>4952920.2158874413</v>
      </c>
      <c r="K257" t="str">
        <f>_xlfn.XLOOKUP(B257,Cert_OC_Cliente!$B:$B,Cert_OC_Cliente!$L:$L)</f>
        <v>PTO 02</v>
      </c>
      <c r="L257" t="str">
        <f t="shared" si="11"/>
        <v>✓</v>
      </c>
    </row>
    <row r="258" spans="1:12" x14ac:dyDescent="0.35">
      <c r="A258" t="s">
        <v>4929</v>
      </c>
      <c r="B258" t="s">
        <v>4932</v>
      </c>
      <c r="C258" t="s">
        <v>4963</v>
      </c>
      <c r="D258" s="205">
        <v>46017</v>
      </c>
      <c r="E258">
        <v>25.02</v>
      </c>
      <c r="F258">
        <v>0.45</v>
      </c>
      <c r="G258">
        <v>4.9999999999999989E-2</v>
      </c>
      <c r="H258">
        <f t="shared" ref="H258:H321" si="12">F258+G258</f>
        <v>0.5</v>
      </c>
      <c r="I258" s="206">
        <f>SUMIFS('1_Presupuesto'!$V:$V,'1_Presupuesto'!$X:$X,K258,'1_Presupuesto'!$E:$E,E258)</f>
        <v>11328183.130698629</v>
      </c>
      <c r="J258" s="206">
        <f t="shared" ref="J258:J321" si="13">G258*I258</f>
        <v>566409.15653493127</v>
      </c>
      <c r="K258" t="str">
        <f>_xlfn.XLOOKUP(B258,Cert_OC_Cliente!$B:$B,Cert_OC_Cliente!$L:$L)</f>
        <v>PTO 02</v>
      </c>
      <c r="L258" t="str">
        <f t="shared" ref="L258:L321" si="14">IF($E258="","",IF(AND(ISNUMBER($I258),$H258&lt;=1.0001),"✓","⚠"))</f>
        <v>✓</v>
      </c>
    </row>
    <row r="259" spans="1:12" x14ac:dyDescent="0.35">
      <c r="A259" t="s">
        <v>4929</v>
      </c>
      <c r="B259" t="s">
        <v>4932</v>
      </c>
      <c r="C259" t="s">
        <v>4964</v>
      </c>
      <c r="D259" s="205">
        <v>46050</v>
      </c>
      <c r="E259">
        <v>4.01</v>
      </c>
      <c r="F259">
        <v>0.59</v>
      </c>
      <c r="G259">
        <v>0.21</v>
      </c>
      <c r="H259">
        <f t="shared" si="12"/>
        <v>0.79999999999999993</v>
      </c>
      <c r="I259" s="206">
        <f>SUMIFS('1_Presupuesto'!$V:$V,'1_Presupuesto'!$X:$X,K259,'1_Presupuesto'!$E:$E,E259)</f>
        <v>22289464.745651998</v>
      </c>
      <c r="J259" s="206">
        <f t="shared" si="13"/>
        <v>4680787.5965869194</v>
      </c>
      <c r="K259" t="str">
        <f>_xlfn.XLOOKUP(B259,Cert_OC_Cliente!$B:$B,Cert_OC_Cliente!$L:$L)</f>
        <v>PTO 02</v>
      </c>
      <c r="L259" t="str">
        <f t="shared" si="14"/>
        <v>✓</v>
      </c>
    </row>
    <row r="260" spans="1:12" x14ac:dyDescent="0.35">
      <c r="A260" t="s">
        <v>4929</v>
      </c>
      <c r="B260" t="s">
        <v>4932</v>
      </c>
      <c r="C260" t="s">
        <v>4964</v>
      </c>
      <c r="D260" s="205">
        <v>46050</v>
      </c>
      <c r="E260">
        <v>4.0199999999999996</v>
      </c>
      <c r="F260">
        <v>0.51</v>
      </c>
      <c r="G260">
        <v>0.24</v>
      </c>
      <c r="H260">
        <f t="shared" si="12"/>
        <v>0.75</v>
      </c>
      <c r="I260" s="206">
        <f>SUMIFS('1_Presupuesto'!$V:$V,'1_Presupuesto'!$X:$X,K260,'1_Presupuesto'!$E:$E,E260)</f>
        <v>19060436.605236452</v>
      </c>
      <c r="J260" s="206">
        <f t="shared" si="13"/>
        <v>4574504.7852567481</v>
      </c>
      <c r="K260" t="str">
        <f>_xlfn.XLOOKUP(B260,Cert_OC_Cliente!$B:$B,Cert_OC_Cliente!$L:$L)</f>
        <v>PTO 02</v>
      </c>
      <c r="L260" t="str">
        <f t="shared" si="14"/>
        <v>✓</v>
      </c>
    </row>
    <row r="261" spans="1:12" x14ac:dyDescent="0.35">
      <c r="A261" t="s">
        <v>4929</v>
      </c>
      <c r="B261" t="s">
        <v>4932</v>
      </c>
      <c r="C261" t="s">
        <v>4964</v>
      </c>
      <c r="D261" s="205">
        <v>46050</v>
      </c>
      <c r="E261">
        <v>4.03</v>
      </c>
      <c r="F261">
        <v>0.5</v>
      </c>
      <c r="G261">
        <v>0.4</v>
      </c>
      <c r="H261">
        <f t="shared" si="12"/>
        <v>0.9</v>
      </c>
      <c r="I261" s="206">
        <f>SUMIFS('1_Presupuesto'!$V:$V,'1_Presupuesto'!$X:$X,K261,'1_Presupuesto'!$E:$E,E261)</f>
        <v>1301879.0372966074</v>
      </c>
      <c r="J261" s="206">
        <f t="shared" si="13"/>
        <v>520751.61491864297</v>
      </c>
      <c r="K261" t="str">
        <f>_xlfn.XLOOKUP(B261,Cert_OC_Cliente!$B:$B,Cert_OC_Cliente!$L:$L)</f>
        <v>PTO 02</v>
      </c>
      <c r="L261" t="str">
        <f t="shared" si="14"/>
        <v>✓</v>
      </c>
    </row>
    <row r="262" spans="1:12" x14ac:dyDescent="0.35">
      <c r="A262" t="s">
        <v>4929</v>
      </c>
      <c r="B262" t="s">
        <v>4932</v>
      </c>
      <c r="C262" t="s">
        <v>4964</v>
      </c>
      <c r="D262" s="205">
        <v>46050</v>
      </c>
      <c r="E262">
        <v>4.08</v>
      </c>
      <c r="F262">
        <v>0</v>
      </c>
      <c r="G262">
        <v>0.4</v>
      </c>
      <c r="H262">
        <f t="shared" si="12"/>
        <v>0.4</v>
      </c>
      <c r="I262" s="206">
        <f>SUMIFS('1_Presupuesto'!$V:$V,'1_Presupuesto'!$X:$X,K262,'1_Presupuesto'!$E:$E,E262)</f>
        <v>1743209.6423325713</v>
      </c>
      <c r="J262" s="206">
        <f t="shared" si="13"/>
        <v>697283.85693302855</v>
      </c>
      <c r="K262" t="str">
        <f>_xlfn.XLOOKUP(B262,Cert_OC_Cliente!$B:$B,Cert_OC_Cliente!$L:$L)</f>
        <v>PTO 02</v>
      </c>
      <c r="L262" t="str">
        <f t="shared" si="14"/>
        <v>✓</v>
      </c>
    </row>
    <row r="263" spans="1:12" x14ac:dyDescent="0.35">
      <c r="A263" t="s">
        <v>4929</v>
      </c>
      <c r="B263" t="s">
        <v>4932</v>
      </c>
      <c r="C263" t="s">
        <v>4964</v>
      </c>
      <c r="D263" s="205">
        <v>46050</v>
      </c>
      <c r="E263">
        <v>5.05</v>
      </c>
      <c r="F263">
        <v>0</v>
      </c>
      <c r="G263">
        <v>1</v>
      </c>
      <c r="H263">
        <f t="shared" si="12"/>
        <v>1</v>
      </c>
      <c r="I263" s="206">
        <f>SUMIFS('1_Presupuesto'!$V:$V,'1_Presupuesto'!$X:$X,K263,'1_Presupuesto'!$E:$E,E263)</f>
        <v>768826.14007578371</v>
      </c>
      <c r="J263" s="206">
        <f t="shared" si="13"/>
        <v>768826.14007578371</v>
      </c>
      <c r="K263" t="str">
        <f>_xlfn.XLOOKUP(B263,Cert_OC_Cliente!$B:$B,Cert_OC_Cliente!$L:$L)</f>
        <v>PTO 02</v>
      </c>
      <c r="L263" t="str">
        <f t="shared" si="14"/>
        <v>✓</v>
      </c>
    </row>
    <row r="264" spans="1:12" x14ac:dyDescent="0.35">
      <c r="A264" t="s">
        <v>4929</v>
      </c>
      <c r="B264" t="s">
        <v>4932</v>
      </c>
      <c r="C264" t="s">
        <v>4964</v>
      </c>
      <c r="D264" s="205">
        <v>46050</v>
      </c>
      <c r="E264">
        <v>7.02</v>
      </c>
      <c r="F264">
        <v>0</v>
      </c>
      <c r="G264">
        <v>0.1</v>
      </c>
      <c r="H264">
        <f t="shared" si="12"/>
        <v>0.1</v>
      </c>
      <c r="I264" s="206">
        <f>SUMIFS('1_Presupuesto'!$V:$V,'1_Presupuesto'!$X:$X,K264,'1_Presupuesto'!$E:$E,E264)</f>
        <v>19164786.150262561</v>
      </c>
      <c r="J264" s="206">
        <f t="shared" si="13"/>
        <v>1916478.6150262561</v>
      </c>
      <c r="K264" t="str">
        <f>_xlfn.XLOOKUP(B264,Cert_OC_Cliente!$B:$B,Cert_OC_Cliente!$L:$L)</f>
        <v>PTO 02</v>
      </c>
      <c r="L264" t="str">
        <f t="shared" si="14"/>
        <v>✓</v>
      </c>
    </row>
    <row r="265" spans="1:12" x14ac:dyDescent="0.35">
      <c r="A265" t="s">
        <v>4929</v>
      </c>
      <c r="B265" t="s">
        <v>4932</v>
      </c>
      <c r="C265" t="s">
        <v>4964</v>
      </c>
      <c r="D265" s="205">
        <v>46050</v>
      </c>
      <c r="E265">
        <v>7.03</v>
      </c>
      <c r="F265">
        <v>0</v>
      </c>
      <c r="G265">
        <v>0.1</v>
      </c>
      <c r="H265">
        <f t="shared" si="12"/>
        <v>0.1</v>
      </c>
      <c r="I265" s="206">
        <f>SUMIFS('1_Presupuesto'!$V:$V,'1_Presupuesto'!$X:$X,K265,'1_Presupuesto'!$E:$E,E265)</f>
        <v>33043643.401339307</v>
      </c>
      <c r="J265" s="206">
        <f t="shared" si="13"/>
        <v>3304364.340133931</v>
      </c>
      <c r="K265" t="str">
        <f>_xlfn.XLOOKUP(B265,Cert_OC_Cliente!$B:$B,Cert_OC_Cliente!$L:$L)</f>
        <v>PTO 02</v>
      </c>
      <c r="L265" t="str">
        <f t="shared" si="14"/>
        <v>✓</v>
      </c>
    </row>
    <row r="266" spans="1:12" x14ac:dyDescent="0.35">
      <c r="A266" t="s">
        <v>4929</v>
      </c>
      <c r="B266" t="s">
        <v>4932</v>
      </c>
      <c r="C266" t="s">
        <v>4964</v>
      </c>
      <c r="D266" s="205">
        <v>46050</v>
      </c>
      <c r="E266">
        <v>7.04</v>
      </c>
      <c r="F266">
        <v>0</v>
      </c>
      <c r="G266">
        <v>0.1</v>
      </c>
      <c r="H266">
        <f t="shared" si="12"/>
        <v>0.1</v>
      </c>
      <c r="I266" s="206">
        <f>SUMIFS('1_Presupuesto'!$V:$V,'1_Presupuesto'!$X:$X,K266,'1_Presupuesto'!$E:$E,E266)</f>
        <v>5867168.4969474869</v>
      </c>
      <c r="J266" s="206">
        <f t="shared" si="13"/>
        <v>586716.84969474876</v>
      </c>
      <c r="K266" t="str">
        <f>_xlfn.XLOOKUP(B266,Cert_OC_Cliente!$B:$B,Cert_OC_Cliente!$L:$L)</f>
        <v>PTO 02</v>
      </c>
      <c r="L266" t="str">
        <f t="shared" si="14"/>
        <v>✓</v>
      </c>
    </row>
    <row r="267" spans="1:12" x14ac:dyDescent="0.35">
      <c r="A267" t="s">
        <v>4929</v>
      </c>
      <c r="B267" t="s">
        <v>4932</v>
      </c>
      <c r="C267" t="s">
        <v>4964</v>
      </c>
      <c r="D267" s="205">
        <v>46050</v>
      </c>
      <c r="E267">
        <v>7.05</v>
      </c>
      <c r="F267">
        <v>0</v>
      </c>
      <c r="G267">
        <v>0.1</v>
      </c>
      <c r="H267">
        <f t="shared" si="12"/>
        <v>0.1</v>
      </c>
      <c r="I267" s="206">
        <f>SUMIFS('1_Presupuesto'!$V:$V,'1_Presupuesto'!$X:$X,K267,'1_Presupuesto'!$E:$E,E267)</f>
        <v>2558676.04249387</v>
      </c>
      <c r="J267" s="206">
        <f t="shared" si="13"/>
        <v>255867.60424938702</v>
      </c>
      <c r="K267" t="str">
        <f>_xlfn.XLOOKUP(B267,Cert_OC_Cliente!$B:$B,Cert_OC_Cliente!$L:$L)</f>
        <v>PTO 02</v>
      </c>
      <c r="L267" t="str">
        <f t="shared" si="14"/>
        <v>✓</v>
      </c>
    </row>
    <row r="268" spans="1:12" x14ac:dyDescent="0.35">
      <c r="A268" t="s">
        <v>4929</v>
      </c>
      <c r="B268" t="s">
        <v>4932</v>
      </c>
      <c r="C268" t="s">
        <v>4964</v>
      </c>
      <c r="D268" s="205">
        <v>46050</v>
      </c>
      <c r="E268">
        <v>7.06</v>
      </c>
      <c r="F268">
        <v>0</v>
      </c>
      <c r="G268">
        <v>0.02</v>
      </c>
      <c r="H268">
        <f t="shared" si="12"/>
        <v>0.02</v>
      </c>
      <c r="I268" s="206">
        <f>SUMIFS('1_Presupuesto'!$V:$V,'1_Presupuesto'!$X:$X,K268,'1_Presupuesto'!$E:$E,E268)</f>
        <v>14158950.255610978</v>
      </c>
      <c r="J268" s="206">
        <f t="shared" si="13"/>
        <v>283179.00511221954</v>
      </c>
      <c r="K268" t="str">
        <f>_xlfn.XLOOKUP(B268,Cert_OC_Cliente!$B:$B,Cert_OC_Cliente!$L:$L)</f>
        <v>PTO 02</v>
      </c>
      <c r="L268" t="str">
        <f t="shared" si="14"/>
        <v>✓</v>
      </c>
    </row>
    <row r="269" spans="1:12" x14ac:dyDescent="0.35">
      <c r="A269" t="s">
        <v>4929</v>
      </c>
      <c r="B269" t="s">
        <v>4932</v>
      </c>
      <c r="C269" t="s">
        <v>4964</v>
      </c>
      <c r="D269" s="205">
        <v>46050</v>
      </c>
      <c r="E269">
        <v>14.07</v>
      </c>
      <c r="F269">
        <v>0</v>
      </c>
      <c r="G269">
        <v>0.1</v>
      </c>
      <c r="H269">
        <f t="shared" si="12"/>
        <v>0.1</v>
      </c>
      <c r="I269" s="206">
        <f>SUMIFS('1_Presupuesto'!$V:$V,'1_Presupuesto'!$X:$X,K269,'1_Presupuesto'!$E:$E,E269)</f>
        <v>2502141.6181814857</v>
      </c>
      <c r="J269" s="206">
        <f t="shared" si="13"/>
        <v>250214.16181814857</v>
      </c>
      <c r="K269" t="str">
        <f>_xlfn.XLOOKUP(B269,Cert_OC_Cliente!$B:$B,Cert_OC_Cliente!$L:$L)</f>
        <v>PTO 02</v>
      </c>
      <c r="L269" t="str">
        <f t="shared" si="14"/>
        <v>✓</v>
      </c>
    </row>
    <row r="270" spans="1:12" x14ac:dyDescent="0.35">
      <c r="A270" t="s">
        <v>4929</v>
      </c>
      <c r="B270" t="s">
        <v>4932</v>
      </c>
      <c r="C270" t="s">
        <v>4964</v>
      </c>
      <c r="D270" s="205">
        <v>46050</v>
      </c>
      <c r="E270">
        <v>17.010000000000002</v>
      </c>
      <c r="F270">
        <v>0</v>
      </c>
      <c r="G270">
        <v>0.4</v>
      </c>
      <c r="H270">
        <f t="shared" si="12"/>
        <v>0.4</v>
      </c>
      <c r="I270" s="206">
        <f>SUMIFS('1_Presupuesto'!$V:$V,'1_Presupuesto'!$X:$X,K270,'1_Presupuesto'!$E:$E,E270)</f>
        <v>0</v>
      </c>
      <c r="J270" s="206">
        <f t="shared" si="13"/>
        <v>0</v>
      </c>
      <c r="K270" t="str">
        <f>_xlfn.XLOOKUP(B270,Cert_OC_Cliente!$B:$B,Cert_OC_Cliente!$L:$L)</f>
        <v>PTO 02</v>
      </c>
      <c r="L270" t="str">
        <f t="shared" si="14"/>
        <v>✓</v>
      </c>
    </row>
    <row r="271" spans="1:12" x14ac:dyDescent="0.35">
      <c r="A271" t="s">
        <v>4929</v>
      </c>
      <c r="B271" t="s">
        <v>4932</v>
      </c>
      <c r="C271" t="s">
        <v>4964</v>
      </c>
      <c r="D271" s="205">
        <v>46050</v>
      </c>
      <c r="E271">
        <v>17.03</v>
      </c>
      <c r="F271">
        <v>0</v>
      </c>
      <c r="G271">
        <v>0.4</v>
      </c>
      <c r="H271">
        <f t="shared" si="12"/>
        <v>0.4</v>
      </c>
      <c r="I271" s="206">
        <f>SUMIFS('1_Presupuesto'!$V:$V,'1_Presupuesto'!$X:$X,K271,'1_Presupuesto'!$E:$E,E271)</f>
        <v>3325413.5444801827</v>
      </c>
      <c r="J271" s="206">
        <f t="shared" si="13"/>
        <v>1330165.4177920732</v>
      </c>
      <c r="K271" t="str">
        <f>_xlfn.XLOOKUP(B271,Cert_OC_Cliente!$B:$B,Cert_OC_Cliente!$L:$L)</f>
        <v>PTO 02</v>
      </c>
      <c r="L271" t="str">
        <f t="shared" si="14"/>
        <v>✓</v>
      </c>
    </row>
    <row r="272" spans="1:12" x14ac:dyDescent="0.35">
      <c r="A272" t="s">
        <v>4929</v>
      </c>
      <c r="B272" t="s">
        <v>4932</v>
      </c>
      <c r="C272" t="s">
        <v>4964</v>
      </c>
      <c r="D272" s="205">
        <v>46050</v>
      </c>
      <c r="E272">
        <v>18.010000000000002</v>
      </c>
      <c r="F272">
        <v>0.35499999999999998</v>
      </c>
      <c r="G272">
        <v>9.9999999999999978E-2</v>
      </c>
      <c r="H272">
        <f t="shared" si="12"/>
        <v>0.45499999999999996</v>
      </c>
      <c r="I272" s="206">
        <f>SUMIFS('1_Presupuesto'!$V:$V,'1_Presupuesto'!$X:$X,K272,'1_Presupuesto'!$E:$E,E272)</f>
        <v>0</v>
      </c>
      <c r="J272" s="206">
        <f t="shared" si="13"/>
        <v>0</v>
      </c>
      <c r="K272" t="str">
        <f>_xlfn.XLOOKUP(B272,Cert_OC_Cliente!$B:$B,Cert_OC_Cliente!$L:$L)</f>
        <v>PTO 02</v>
      </c>
      <c r="L272" t="str">
        <f t="shared" si="14"/>
        <v>✓</v>
      </c>
    </row>
    <row r="273" spans="1:12" x14ac:dyDescent="0.35">
      <c r="A273" t="s">
        <v>4929</v>
      </c>
      <c r="B273" t="s">
        <v>4932</v>
      </c>
      <c r="C273" t="s">
        <v>4964</v>
      </c>
      <c r="D273" s="205">
        <v>46050</v>
      </c>
      <c r="E273">
        <v>18.02</v>
      </c>
      <c r="F273">
        <v>0.315</v>
      </c>
      <c r="G273">
        <v>8.0000000000000016E-2</v>
      </c>
      <c r="H273">
        <f t="shared" si="12"/>
        <v>0.39500000000000002</v>
      </c>
      <c r="I273" s="206">
        <f>SUMIFS('1_Presupuesto'!$V:$V,'1_Presupuesto'!$X:$X,K273,'1_Presupuesto'!$E:$E,E273)</f>
        <v>4540566.038479845</v>
      </c>
      <c r="J273" s="206">
        <f t="shared" si="13"/>
        <v>363245.28307838767</v>
      </c>
      <c r="K273" t="str">
        <f>_xlfn.XLOOKUP(B273,Cert_OC_Cliente!$B:$B,Cert_OC_Cliente!$L:$L)</f>
        <v>PTO 02</v>
      </c>
      <c r="L273" t="str">
        <f t="shared" si="14"/>
        <v>✓</v>
      </c>
    </row>
    <row r="274" spans="1:12" x14ac:dyDescent="0.35">
      <c r="A274" t="s">
        <v>4929</v>
      </c>
      <c r="B274" t="s">
        <v>4932</v>
      </c>
      <c r="C274" t="s">
        <v>4964</v>
      </c>
      <c r="D274" s="205">
        <v>46050</v>
      </c>
      <c r="E274">
        <v>18.07</v>
      </c>
      <c r="F274">
        <v>0.30299999999999999</v>
      </c>
      <c r="G274">
        <v>0.1</v>
      </c>
      <c r="H274">
        <f t="shared" si="12"/>
        <v>0.40300000000000002</v>
      </c>
      <c r="I274" s="206">
        <f>SUMIFS('1_Presupuesto'!$V:$V,'1_Presupuesto'!$X:$X,K274,'1_Presupuesto'!$E:$E,E274)</f>
        <v>15628623.979244839</v>
      </c>
      <c r="J274" s="206">
        <f t="shared" si="13"/>
        <v>1562862.397924484</v>
      </c>
      <c r="K274" t="str">
        <f>_xlfn.XLOOKUP(B274,Cert_OC_Cliente!$B:$B,Cert_OC_Cliente!$L:$L)</f>
        <v>PTO 02</v>
      </c>
      <c r="L274" t="str">
        <f t="shared" si="14"/>
        <v>✓</v>
      </c>
    </row>
    <row r="275" spans="1:12" x14ac:dyDescent="0.35">
      <c r="A275" t="s">
        <v>4929</v>
      </c>
      <c r="B275" t="s">
        <v>4932</v>
      </c>
      <c r="C275" t="s">
        <v>4964</v>
      </c>
      <c r="D275" s="205">
        <v>46050</v>
      </c>
      <c r="E275">
        <v>18.079999999999998</v>
      </c>
      <c r="F275">
        <v>0.3</v>
      </c>
      <c r="G275">
        <v>9.9999999999999978E-2</v>
      </c>
      <c r="H275">
        <f t="shared" si="12"/>
        <v>0.39999999999999997</v>
      </c>
      <c r="I275" s="206">
        <f>SUMIFS('1_Presupuesto'!$V:$V,'1_Presupuesto'!$X:$X,K275,'1_Presupuesto'!$E:$E,E275)</f>
        <v>3049848.1124811382</v>
      </c>
      <c r="J275" s="206">
        <f t="shared" si="13"/>
        <v>304984.81124811375</v>
      </c>
      <c r="K275" t="str">
        <f>_xlfn.XLOOKUP(B275,Cert_OC_Cliente!$B:$B,Cert_OC_Cliente!$L:$L)</f>
        <v>PTO 02</v>
      </c>
      <c r="L275" t="str">
        <f t="shared" si="14"/>
        <v>✓</v>
      </c>
    </row>
    <row r="276" spans="1:12" x14ac:dyDescent="0.35">
      <c r="A276" t="s">
        <v>4929</v>
      </c>
      <c r="B276" t="s">
        <v>4932</v>
      </c>
      <c r="C276" t="s">
        <v>4964</v>
      </c>
      <c r="D276" s="205">
        <v>46050</v>
      </c>
      <c r="E276">
        <v>18.12</v>
      </c>
      <c r="F276">
        <v>0.45</v>
      </c>
      <c r="G276">
        <v>4.9999999999999989E-2</v>
      </c>
      <c r="H276">
        <f t="shared" si="12"/>
        <v>0.5</v>
      </c>
      <c r="I276" s="206">
        <f>SUMIFS('1_Presupuesto'!$V:$V,'1_Presupuesto'!$X:$X,K276,'1_Presupuesto'!$E:$E,E276)</f>
        <v>1366621.284136306</v>
      </c>
      <c r="J276" s="206">
        <f t="shared" si="13"/>
        <v>68331.064206815281</v>
      </c>
      <c r="K276" t="str">
        <f>_xlfn.XLOOKUP(B276,Cert_OC_Cliente!$B:$B,Cert_OC_Cliente!$L:$L)</f>
        <v>PTO 02</v>
      </c>
      <c r="L276" t="str">
        <f t="shared" si="14"/>
        <v>✓</v>
      </c>
    </row>
    <row r="277" spans="1:12" x14ac:dyDescent="0.35">
      <c r="A277" t="s">
        <v>4929</v>
      </c>
      <c r="B277" t="s">
        <v>4932</v>
      </c>
      <c r="C277" t="s">
        <v>4964</v>
      </c>
      <c r="D277" s="205">
        <v>46050</v>
      </c>
      <c r="E277">
        <v>18.14</v>
      </c>
      <c r="F277">
        <v>0.45</v>
      </c>
      <c r="G277">
        <v>4.9999999999999989E-2</v>
      </c>
      <c r="H277">
        <f t="shared" si="12"/>
        <v>0.5</v>
      </c>
      <c r="I277" s="206">
        <f>SUMIFS('1_Presupuesto'!$V:$V,'1_Presupuesto'!$X:$X,K277,'1_Presupuesto'!$E:$E,E277)</f>
        <v>1467852.4903686249</v>
      </c>
      <c r="J277" s="206">
        <f t="shared" si="13"/>
        <v>73392.624518431228</v>
      </c>
      <c r="K277" t="str">
        <f>_xlfn.XLOOKUP(B277,Cert_OC_Cliente!$B:$B,Cert_OC_Cliente!$L:$L)</f>
        <v>PTO 02</v>
      </c>
      <c r="L277" t="str">
        <f t="shared" si="14"/>
        <v>✓</v>
      </c>
    </row>
    <row r="278" spans="1:12" x14ac:dyDescent="0.35">
      <c r="A278" t="s">
        <v>4929</v>
      </c>
      <c r="B278" t="s">
        <v>4932</v>
      </c>
      <c r="C278" t="s">
        <v>4964</v>
      </c>
      <c r="D278" s="205">
        <v>46050</v>
      </c>
      <c r="E278">
        <v>18.190000000000001</v>
      </c>
      <c r="F278">
        <v>0</v>
      </c>
      <c r="G278">
        <v>0.1</v>
      </c>
      <c r="H278">
        <f t="shared" si="12"/>
        <v>0.1</v>
      </c>
      <c r="I278" s="206">
        <f>SUMIFS('1_Presupuesto'!$V:$V,'1_Presupuesto'!$X:$X,K278,'1_Presupuesto'!$E:$E,E278)</f>
        <v>5358679.4448621087</v>
      </c>
      <c r="J278" s="206">
        <f t="shared" si="13"/>
        <v>535867.94448621094</v>
      </c>
      <c r="K278" t="str">
        <f>_xlfn.XLOOKUP(B278,Cert_OC_Cliente!$B:$B,Cert_OC_Cliente!$L:$L)</f>
        <v>PTO 02</v>
      </c>
      <c r="L278" t="str">
        <f t="shared" si="14"/>
        <v>✓</v>
      </c>
    </row>
    <row r="279" spans="1:12" x14ac:dyDescent="0.35">
      <c r="A279" t="s">
        <v>4929</v>
      </c>
      <c r="B279" t="s">
        <v>4932</v>
      </c>
      <c r="C279" t="s">
        <v>4964</v>
      </c>
      <c r="D279" s="205">
        <v>46050</v>
      </c>
      <c r="E279">
        <v>19.02</v>
      </c>
      <c r="F279">
        <v>0.15</v>
      </c>
      <c r="G279">
        <v>0.15</v>
      </c>
      <c r="H279">
        <f t="shared" si="12"/>
        <v>0.3</v>
      </c>
      <c r="I279" s="206">
        <f>SUMIFS('1_Presupuesto'!$V:$V,'1_Presupuesto'!$X:$X,K279,'1_Presupuesto'!$E:$E,E279)</f>
        <v>9552582.557606468</v>
      </c>
      <c r="J279" s="206">
        <f t="shared" si="13"/>
        <v>1432887.3836409701</v>
      </c>
      <c r="K279" t="str">
        <f>_xlfn.XLOOKUP(B279,Cert_OC_Cliente!$B:$B,Cert_OC_Cliente!$L:$L)</f>
        <v>PTO 02</v>
      </c>
      <c r="L279" t="str">
        <f t="shared" si="14"/>
        <v>✓</v>
      </c>
    </row>
    <row r="280" spans="1:12" x14ac:dyDescent="0.35">
      <c r="A280" t="s">
        <v>4929</v>
      </c>
      <c r="B280" t="s">
        <v>4932</v>
      </c>
      <c r="C280" t="s">
        <v>4964</v>
      </c>
      <c r="D280" s="205">
        <v>46050</v>
      </c>
      <c r="E280">
        <v>19.03</v>
      </c>
      <c r="F280">
        <v>0.1</v>
      </c>
      <c r="G280">
        <v>0.15</v>
      </c>
      <c r="H280">
        <f t="shared" si="12"/>
        <v>0.25</v>
      </c>
      <c r="I280" s="206">
        <f>SUMIFS('1_Presupuesto'!$V:$V,'1_Presupuesto'!$X:$X,K280,'1_Presupuesto'!$E:$E,E280)</f>
        <v>4881534.9792620176</v>
      </c>
      <c r="J280" s="206">
        <f t="shared" si="13"/>
        <v>732230.24688930262</v>
      </c>
      <c r="K280" t="str">
        <f>_xlfn.XLOOKUP(B280,Cert_OC_Cliente!$B:$B,Cert_OC_Cliente!$L:$L)</f>
        <v>PTO 02</v>
      </c>
      <c r="L280" t="str">
        <f t="shared" si="14"/>
        <v>✓</v>
      </c>
    </row>
    <row r="281" spans="1:12" x14ac:dyDescent="0.35">
      <c r="A281" t="s">
        <v>4929</v>
      </c>
      <c r="B281" t="s">
        <v>4932</v>
      </c>
      <c r="C281" t="s">
        <v>4964</v>
      </c>
      <c r="D281" s="205">
        <v>46050</v>
      </c>
      <c r="E281">
        <v>19.05</v>
      </c>
      <c r="F281">
        <v>0.2</v>
      </c>
      <c r="G281">
        <v>0.15</v>
      </c>
      <c r="H281">
        <f t="shared" si="12"/>
        <v>0.35</v>
      </c>
      <c r="I281" s="206">
        <f>SUMIFS('1_Presupuesto'!$V:$V,'1_Presupuesto'!$X:$X,K281,'1_Presupuesto'!$E:$E,E281)</f>
        <v>3537993.5398542481</v>
      </c>
      <c r="J281" s="206">
        <f t="shared" si="13"/>
        <v>530699.03097813716</v>
      </c>
      <c r="K281" t="str">
        <f>_xlfn.XLOOKUP(B281,Cert_OC_Cliente!$B:$B,Cert_OC_Cliente!$L:$L)</f>
        <v>PTO 02</v>
      </c>
      <c r="L281" t="str">
        <f t="shared" si="14"/>
        <v>✓</v>
      </c>
    </row>
    <row r="282" spans="1:12" x14ac:dyDescent="0.35">
      <c r="A282" t="s">
        <v>4929</v>
      </c>
      <c r="B282" t="s">
        <v>4932</v>
      </c>
      <c r="C282" t="s">
        <v>4964</v>
      </c>
      <c r="D282" s="205">
        <v>46050</v>
      </c>
      <c r="E282">
        <v>19.100000000000001</v>
      </c>
      <c r="F282">
        <v>0.25</v>
      </c>
      <c r="G282">
        <v>4.9999999999999989E-2</v>
      </c>
      <c r="H282">
        <f t="shared" si="12"/>
        <v>0.3</v>
      </c>
      <c r="I282" s="206">
        <f>SUMIFS('1_Presupuesto'!$V:$V,'1_Presupuesto'!$X:$X,K282,'1_Presupuesto'!$E:$E,E282)</f>
        <v>18413868.763299089</v>
      </c>
      <c r="J282" s="206">
        <f t="shared" si="13"/>
        <v>920693.43816495419</v>
      </c>
      <c r="K282" t="str">
        <f>_xlfn.XLOOKUP(B282,Cert_OC_Cliente!$B:$B,Cert_OC_Cliente!$L:$L)</f>
        <v>PTO 02</v>
      </c>
      <c r="L282" t="str">
        <f t="shared" si="14"/>
        <v>✓</v>
      </c>
    </row>
    <row r="283" spans="1:12" x14ac:dyDescent="0.35">
      <c r="A283" t="s">
        <v>4929</v>
      </c>
      <c r="B283" t="s">
        <v>4932</v>
      </c>
      <c r="C283" t="s">
        <v>4964</v>
      </c>
      <c r="D283" s="205">
        <v>46050</v>
      </c>
      <c r="E283">
        <v>19.12</v>
      </c>
      <c r="F283">
        <v>0.1</v>
      </c>
      <c r="G283">
        <v>0.1</v>
      </c>
      <c r="H283">
        <f t="shared" si="12"/>
        <v>0.2</v>
      </c>
      <c r="I283" s="206">
        <f>SUMIFS('1_Presupuesto'!$V:$V,'1_Presupuesto'!$X:$X,K283,'1_Presupuesto'!$E:$E,E283)</f>
        <v>2637800.7601688541</v>
      </c>
      <c r="J283" s="206">
        <f t="shared" si="13"/>
        <v>263780.0760168854</v>
      </c>
      <c r="K283" t="str">
        <f>_xlfn.XLOOKUP(B283,Cert_OC_Cliente!$B:$B,Cert_OC_Cliente!$L:$L)</f>
        <v>PTO 02</v>
      </c>
      <c r="L283" t="str">
        <f t="shared" si="14"/>
        <v>✓</v>
      </c>
    </row>
    <row r="284" spans="1:12" x14ac:dyDescent="0.35">
      <c r="A284" t="s">
        <v>4929</v>
      </c>
      <c r="B284" t="s">
        <v>4932</v>
      </c>
      <c r="C284" t="s">
        <v>4964</v>
      </c>
      <c r="D284" s="205">
        <v>46050</v>
      </c>
      <c r="E284">
        <v>19.13</v>
      </c>
      <c r="F284">
        <v>0.1</v>
      </c>
      <c r="G284">
        <v>5.0000000000000017E-2</v>
      </c>
      <c r="H284">
        <f t="shared" si="12"/>
        <v>0.15000000000000002</v>
      </c>
      <c r="I284" s="206">
        <f>SUMIFS('1_Presupuesto'!$V:$V,'1_Presupuesto'!$X:$X,K284,'1_Presupuesto'!$E:$E,E284)</f>
        <v>36002857.867846049</v>
      </c>
      <c r="J284" s="206">
        <f t="shared" si="13"/>
        <v>1800142.893392303</v>
      </c>
      <c r="K284" t="str">
        <f>_xlfn.XLOOKUP(B284,Cert_OC_Cliente!$B:$B,Cert_OC_Cliente!$L:$L)</f>
        <v>PTO 02</v>
      </c>
      <c r="L284" t="str">
        <f t="shared" si="14"/>
        <v>✓</v>
      </c>
    </row>
    <row r="285" spans="1:12" x14ac:dyDescent="0.35">
      <c r="A285" t="s">
        <v>4929</v>
      </c>
      <c r="B285" t="s">
        <v>4932</v>
      </c>
      <c r="C285" t="s">
        <v>4964</v>
      </c>
      <c r="D285" s="205">
        <v>46050</v>
      </c>
      <c r="E285">
        <v>19.16</v>
      </c>
      <c r="F285">
        <v>0</v>
      </c>
      <c r="G285">
        <v>0.1</v>
      </c>
      <c r="H285">
        <f t="shared" si="12"/>
        <v>0.1</v>
      </c>
      <c r="I285" s="206">
        <f>SUMIFS('1_Presupuesto'!$V:$V,'1_Presupuesto'!$X:$X,K285,'1_Presupuesto'!$E:$E,E285)</f>
        <v>27794006.689447839</v>
      </c>
      <c r="J285" s="206">
        <f t="shared" si="13"/>
        <v>2779400.668944784</v>
      </c>
      <c r="K285" t="str">
        <f>_xlfn.XLOOKUP(B285,Cert_OC_Cliente!$B:$B,Cert_OC_Cliente!$L:$L)</f>
        <v>PTO 02</v>
      </c>
      <c r="L285" t="str">
        <f t="shared" si="14"/>
        <v>✓</v>
      </c>
    </row>
    <row r="286" spans="1:12" x14ac:dyDescent="0.35">
      <c r="A286" t="s">
        <v>4929</v>
      </c>
      <c r="B286" t="s">
        <v>4932</v>
      </c>
      <c r="C286" t="s">
        <v>4964</v>
      </c>
      <c r="D286" s="205">
        <v>46050</v>
      </c>
      <c r="E286">
        <v>19.190000000000001</v>
      </c>
      <c r="F286">
        <v>0</v>
      </c>
      <c r="G286">
        <v>0.2</v>
      </c>
      <c r="H286">
        <f t="shared" si="12"/>
        <v>0.2</v>
      </c>
      <c r="I286" s="206">
        <f>SUMIFS('1_Presupuesto'!$V:$V,'1_Presupuesto'!$X:$X,K286,'1_Presupuesto'!$E:$E,E286)</f>
        <v>4677873.2692649635</v>
      </c>
      <c r="J286" s="206">
        <f t="shared" si="13"/>
        <v>935574.65385299269</v>
      </c>
      <c r="K286" t="str">
        <f>_xlfn.XLOOKUP(B286,Cert_OC_Cliente!$B:$B,Cert_OC_Cliente!$L:$L)</f>
        <v>PTO 02</v>
      </c>
      <c r="L286" t="str">
        <f t="shared" si="14"/>
        <v>✓</v>
      </c>
    </row>
    <row r="287" spans="1:12" x14ac:dyDescent="0.35">
      <c r="A287" t="s">
        <v>4929</v>
      </c>
      <c r="B287" t="s">
        <v>4932</v>
      </c>
      <c r="C287" t="s">
        <v>4964</v>
      </c>
      <c r="D287" s="205">
        <v>46050</v>
      </c>
      <c r="E287">
        <v>24.01</v>
      </c>
      <c r="F287">
        <v>0.49999999999999989</v>
      </c>
      <c r="G287">
        <v>4.9999999999999989E-2</v>
      </c>
      <c r="H287">
        <f t="shared" si="12"/>
        <v>0.54999999999999982</v>
      </c>
      <c r="I287" s="206">
        <f>SUMIFS('1_Presupuesto'!$V:$V,'1_Presupuesto'!$X:$X,K287,'1_Presupuesto'!$E:$E,E287)</f>
        <v>16546555.307464439</v>
      </c>
      <c r="J287" s="206">
        <f t="shared" si="13"/>
        <v>827327.76537322183</v>
      </c>
      <c r="K287" t="str">
        <f>_xlfn.XLOOKUP(B287,Cert_OC_Cliente!$B:$B,Cert_OC_Cliente!$L:$L)</f>
        <v>PTO 02</v>
      </c>
      <c r="L287" t="str">
        <f t="shared" si="14"/>
        <v>✓</v>
      </c>
    </row>
    <row r="288" spans="1:12" x14ac:dyDescent="0.35">
      <c r="A288" t="s">
        <v>4929</v>
      </c>
      <c r="B288" t="s">
        <v>4932</v>
      </c>
      <c r="C288" t="s">
        <v>4964</v>
      </c>
      <c r="D288" s="205">
        <v>46050</v>
      </c>
      <c r="E288">
        <v>24.03</v>
      </c>
      <c r="F288">
        <v>0.49999999999999989</v>
      </c>
      <c r="G288">
        <v>4.9999999999999989E-2</v>
      </c>
      <c r="H288">
        <f t="shared" si="12"/>
        <v>0.54999999999999982</v>
      </c>
      <c r="I288" s="206">
        <f>SUMIFS('1_Presupuesto'!$V:$V,'1_Presupuesto'!$X:$X,K288,'1_Presupuesto'!$E:$E,E288)</f>
        <v>3398454.9392095888</v>
      </c>
      <c r="J288" s="206">
        <f t="shared" si="13"/>
        <v>169922.74696047942</v>
      </c>
      <c r="K288" t="str">
        <f>_xlfn.XLOOKUP(B288,Cert_OC_Cliente!$B:$B,Cert_OC_Cliente!$L:$L)</f>
        <v>PTO 02</v>
      </c>
      <c r="L288" t="str">
        <f t="shared" si="14"/>
        <v>✓</v>
      </c>
    </row>
    <row r="289" spans="1:12" x14ac:dyDescent="0.35">
      <c r="A289" t="s">
        <v>4929</v>
      </c>
      <c r="B289" t="s">
        <v>4932</v>
      </c>
      <c r="C289" t="s">
        <v>4964</v>
      </c>
      <c r="D289" s="205">
        <v>46050</v>
      </c>
      <c r="E289">
        <v>24.05</v>
      </c>
      <c r="F289">
        <v>0.4</v>
      </c>
      <c r="G289">
        <v>4.9999999999999989E-2</v>
      </c>
      <c r="H289">
        <f t="shared" si="12"/>
        <v>0.45</v>
      </c>
      <c r="I289" s="206">
        <f>SUMIFS('1_Presupuesto'!$V:$V,'1_Presupuesto'!$X:$X,K289,'1_Presupuesto'!$E:$E,E289)</f>
        <v>14856213.332043247</v>
      </c>
      <c r="J289" s="206">
        <f t="shared" si="13"/>
        <v>742810.66660216218</v>
      </c>
      <c r="K289" t="str">
        <f>_xlfn.XLOOKUP(B289,Cert_OC_Cliente!$B:$B,Cert_OC_Cliente!$L:$L)</f>
        <v>PTO 02</v>
      </c>
      <c r="L289" t="str">
        <f t="shared" si="14"/>
        <v>✓</v>
      </c>
    </row>
    <row r="290" spans="1:12" x14ac:dyDescent="0.35">
      <c r="A290" t="s">
        <v>4929</v>
      </c>
      <c r="B290" t="s">
        <v>4932</v>
      </c>
      <c r="C290" t="s">
        <v>4964</v>
      </c>
      <c r="D290" s="205">
        <v>46050</v>
      </c>
      <c r="E290">
        <v>24.06</v>
      </c>
      <c r="F290">
        <v>0.4</v>
      </c>
      <c r="G290">
        <v>4.9999999999999989E-2</v>
      </c>
      <c r="H290">
        <f t="shared" si="12"/>
        <v>0.45</v>
      </c>
      <c r="I290" s="206">
        <f>SUMIFS('1_Presupuesto'!$V:$V,'1_Presupuesto'!$X:$X,K290,'1_Presupuesto'!$E:$E,E290)</f>
        <v>9812019.7942749579</v>
      </c>
      <c r="J290" s="206">
        <f t="shared" si="13"/>
        <v>490600.98971374781</v>
      </c>
      <c r="K290" t="str">
        <f>_xlfn.XLOOKUP(B290,Cert_OC_Cliente!$B:$B,Cert_OC_Cliente!$L:$L)</f>
        <v>PTO 02</v>
      </c>
      <c r="L290" t="str">
        <f t="shared" si="14"/>
        <v>✓</v>
      </c>
    </row>
    <row r="291" spans="1:12" x14ac:dyDescent="0.35">
      <c r="A291" t="s">
        <v>4929</v>
      </c>
      <c r="B291" t="s">
        <v>4932</v>
      </c>
      <c r="C291" t="s">
        <v>4964</v>
      </c>
      <c r="D291" s="205">
        <v>46050</v>
      </c>
      <c r="E291">
        <v>24.08</v>
      </c>
      <c r="F291">
        <v>0.45</v>
      </c>
      <c r="G291">
        <v>4.9999999999999989E-2</v>
      </c>
      <c r="H291">
        <f t="shared" si="12"/>
        <v>0.5</v>
      </c>
      <c r="I291" s="206">
        <f>SUMIFS('1_Presupuesto'!$V:$V,'1_Presupuesto'!$X:$X,K291,'1_Presupuesto'!$E:$E,E291)</f>
        <v>6796909.8784191776</v>
      </c>
      <c r="J291" s="206">
        <f t="shared" si="13"/>
        <v>339845.49392095883</v>
      </c>
      <c r="K291" t="str">
        <f>_xlfn.XLOOKUP(B291,Cert_OC_Cliente!$B:$B,Cert_OC_Cliente!$L:$L)</f>
        <v>PTO 02</v>
      </c>
      <c r="L291" t="str">
        <f t="shared" si="14"/>
        <v>✓</v>
      </c>
    </row>
    <row r="292" spans="1:12" x14ac:dyDescent="0.35">
      <c r="A292" t="s">
        <v>4929</v>
      </c>
      <c r="B292" t="s">
        <v>4932</v>
      </c>
      <c r="C292" t="s">
        <v>4964</v>
      </c>
      <c r="D292" s="205">
        <v>46050</v>
      </c>
      <c r="E292">
        <v>24.09</v>
      </c>
      <c r="F292">
        <v>0.37999999999999989</v>
      </c>
      <c r="G292">
        <v>4.9999999999999989E-2</v>
      </c>
      <c r="H292">
        <f t="shared" si="12"/>
        <v>0.42999999999999988</v>
      </c>
      <c r="I292" s="206">
        <f>SUMIFS('1_Presupuesto'!$V:$V,'1_Presupuesto'!$X:$X,K292,'1_Presupuesto'!$E:$E,E292)</f>
        <v>5910152.861234813</v>
      </c>
      <c r="J292" s="206">
        <f t="shared" si="13"/>
        <v>295507.64306174056</v>
      </c>
      <c r="K292" t="str">
        <f>_xlfn.XLOOKUP(B292,Cert_OC_Cliente!$B:$B,Cert_OC_Cliente!$L:$L)</f>
        <v>PTO 02</v>
      </c>
      <c r="L292" t="str">
        <f t="shared" si="14"/>
        <v>✓</v>
      </c>
    </row>
    <row r="293" spans="1:12" x14ac:dyDescent="0.35">
      <c r="A293" t="s">
        <v>4929</v>
      </c>
      <c r="B293" t="s">
        <v>4932</v>
      </c>
      <c r="C293" t="s">
        <v>4964</v>
      </c>
      <c r="D293" s="205">
        <v>46050</v>
      </c>
      <c r="E293">
        <v>25.01</v>
      </c>
      <c r="F293">
        <v>0.49999999999999989</v>
      </c>
      <c r="G293">
        <v>4.9999999999999989E-2</v>
      </c>
      <c r="H293">
        <f t="shared" si="12"/>
        <v>0.54999999999999982</v>
      </c>
      <c r="I293" s="206">
        <f>SUMIFS('1_Presupuesto'!$V:$V,'1_Presupuesto'!$X:$X,K293,'1_Presupuesto'!$E:$E,E293)</f>
        <v>99058404.317748845</v>
      </c>
      <c r="J293" s="206">
        <f t="shared" si="13"/>
        <v>4952920.2158874413</v>
      </c>
      <c r="K293" t="str">
        <f>_xlfn.XLOOKUP(B293,Cert_OC_Cliente!$B:$B,Cert_OC_Cliente!$L:$L)</f>
        <v>PTO 02</v>
      </c>
      <c r="L293" t="str">
        <f t="shared" si="14"/>
        <v>✓</v>
      </c>
    </row>
    <row r="294" spans="1:12" x14ac:dyDescent="0.35">
      <c r="A294" t="s">
        <v>4929</v>
      </c>
      <c r="B294" t="s">
        <v>4932</v>
      </c>
      <c r="C294" t="s">
        <v>4964</v>
      </c>
      <c r="D294" s="205">
        <v>46050</v>
      </c>
      <c r="E294">
        <v>25.02</v>
      </c>
      <c r="F294">
        <v>0.49999999999999989</v>
      </c>
      <c r="G294">
        <v>4.9999999999999989E-2</v>
      </c>
      <c r="H294">
        <f t="shared" si="12"/>
        <v>0.54999999999999982</v>
      </c>
      <c r="I294" s="206">
        <f>SUMIFS('1_Presupuesto'!$V:$V,'1_Presupuesto'!$X:$X,K294,'1_Presupuesto'!$E:$E,E294)</f>
        <v>11328183.130698629</v>
      </c>
      <c r="J294" s="206">
        <f t="shared" si="13"/>
        <v>566409.15653493127</v>
      </c>
      <c r="K294" t="str">
        <f>_xlfn.XLOOKUP(B294,Cert_OC_Cliente!$B:$B,Cert_OC_Cliente!$L:$L)</f>
        <v>PTO 02</v>
      </c>
      <c r="L294" t="str">
        <f t="shared" si="14"/>
        <v>✓</v>
      </c>
    </row>
    <row r="295" spans="1:12" x14ac:dyDescent="0.35">
      <c r="A295" t="s">
        <v>4929</v>
      </c>
      <c r="B295" t="s">
        <v>4932</v>
      </c>
      <c r="C295" t="s">
        <v>4965</v>
      </c>
      <c r="D295" s="205">
        <v>46080</v>
      </c>
      <c r="E295">
        <v>4.01</v>
      </c>
      <c r="F295">
        <v>0.79999999999999993</v>
      </c>
      <c r="G295">
        <v>5.0000000000000037E-2</v>
      </c>
      <c r="H295">
        <f t="shared" si="12"/>
        <v>0.85</v>
      </c>
      <c r="I295" s="206">
        <f>SUMIFS('1_Presupuesto'!$V:$V,'1_Presupuesto'!$X:$X,K295,'1_Presupuesto'!$E:$E,E295)</f>
        <v>22289464.745651998</v>
      </c>
      <c r="J295" s="206">
        <f t="shared" si="13"/>
        <v>1114473.2372826007</v>
      </c>
      <c r="K295" t="str">
        <f>_xlfn.XLOOKUP(B295,Cert_OC_Cliente!$B:$B,Cert_OC_Cliente!$L:$L)</f>
        <v>PTO 02</v>
      </c>
      <c r="L295" t="str">
        <f t="shared" si="14"/>
        <v>✓</v>
      </c>
    </row>
    <row r="296" spans="1:12" x14ac:dyDescent="0.35">
      <c r="A296" t="s">
        <v>4929</v>
      </c>
      <c r="B296" t="s">
        <v>4932</v>
      </c>
      <c r="C296" t="s">
        <v>4965</v>
      </c>
      <c r="D296" s="205">
        <v>46080</v>
      </c>
      <c r="E296">
        <v>4.0199999999999996</v>
      </c>
      <c r="F296">
        <v>0.75</v>
      </c>
      <c r="G296">
        <v>9.9999999999999978E-2</v>
      </c>
      <c r="H296">
        <f t="shared" si="12"/>
        <v>0.85</v>
      </c>
      <c r="I296" s="206">
        <f>SUMIFS('1_Presupuesto'!$V:$V,'1_Presupuesto'!$X:$X,K296,'1_Presupuesto'!$E:$E,E296)</f>
        <v>19060436.605236452</v>
      </c>
      <c r="J296" s="206">
        <f t="shared" si="13"/>
        <v>1906043.6605236449</v>
      </c>
      <c r="K296" t="str">
        <f>_xlfn.XLOOKUP(B296,Cert_OC_Cliente!$B:$B,Cert_OC_Cliente!$L:$L)</f>
        <v>PTO 02</v>
      </c>
      <c r="L296" t="str">
        <f t="shared" si="14"/>
        <v>✓</v>
      </c>
    </row>
    <row r="297" spans="1:12" x14ac:dyDescent="0.35">
      <c r="A297" t="s">
        <v>4929</v>
      </c>
      <c r="B297" t="s">
        <v>4932</v>
      </c>
      <c r="C297" t="s">
        <v>4965</v>
      </c>
      <c r="D297" s="205">
        <v>46080</v>
      </c>
      <c r="E297">
        <v>4.03</v>
      </c>
      <c r="F297">
        <v>0.9</v>
      </c>
      <c r="G297">
        <v>9.9999999999999978E-2</v>
      </c>
      <c r="H297">
        <f t="shared" si="12"/>
        <v>1</v>
      </c>
      <c r="I297" s="206">
        <f>SUMIFS('1_Presupuesto'!$V:$V,'1_Presupuesto'!$X:$X,K297,'1_Presupuesto'!$E:$E,E297)</f>
        <v>1301879.0372966074</v>
      </c>
      <c r="J297" s="206">
        <f t="shared" si="13"/>
        <v>130187.90372966071</v>
      </c>
      <c r="K297" t="str">
        <f>_xlfn.XLOOKUP(B297,Cert_OC_Cliente!$B:$B,Cert_OC_Cliente!$L:$L)</f>
        <v>PTO 02</v>
      </c>
      <c r="L297" t="str">
        <f t="shared" si="14"/>
        <v>✓</v>
      </c>
    </row>
    <row r="298" spans="1:12" x14ac:dyDescent="0.35">
      <c r="A298" t="s">
        <v>4929</v>
      </c>
      <c r="B298" t="s">
        <v>4932</v>
      </c>
      <c r="C298" t="s">
        <v>4965</v>
      </c>
      <c r="D298" s="205">
        <v>46080</v>
      </c>
      <c r="E298">
        <v>4.04</v>
      </c>
      <c r="F298">
        <v>0.1</v>
      </c>
      <c r="G298">
        <v>0.6</v>
      </c>
      <c r="H298">
        <f t="shared" si="12"/>
        <v>0.7</v>
      </c>
      <c r="I298" s="206">
        <f>SUMIFS('1_Presupuesto'!$V:$V,'1_Presupuesto'!$X:$X,K298,'1_Presupuesto'!$E:$E,E298)</f>
        <v>1207319.07622362</v>
      </c>
      <c r="J298" s="206">
        <f t="shared" si="13"/>
        <v>724391.44573417201</v>
      </c>
      <c r="K298" t="str">
        <f>_xlfn.XLOOKUP(B298,Cert_OC_Cliente!$B:$B,Cert_OC_Cliente!$L:$L)</f>
        <v>PTO 02</v>
      </c>
      <c r="L298" t="str">
        <f t="shared" si="14"/>
        <v>✓</v>
      </c>
    </row>
    <row r="299" spans="1:12" x14ac:dyDescent="0.35">
      <c r="A299" t="s">
        <v>4929</v>
      </c>
      <c r="B299" t="s">
        <v>4932</v>
      </c>
      <c r="C299" t="s">
        <v>4965</v>
      </c>
      <c r="D299" s="205">
        <v>46080</v>
      </c>
      <c r="E299">
        <v>4.08</v>
      </c>
      <c r="F299">
        <v>0.4</v>
      </c>
      <c r="G299">
        <v>0.20000000000000009</v>
      </c>
      <c r="H299">
        <f t="shared" si="12"/>
        <v>0.60000000000000009</v>
      </c>
      <c r="I299" s="206">
        <f>SUMIFS('1_Presupuesto'!$V:$V,'1_Presupuesto'!$X:$X,K299,'1_Presupuesto'!$E:$E,E299)</f>
        <v>1743209.6423325713</v>
      </c>
      <c r="J299" s="206">
        <f t="shared" si="13"/>
        <v>348641.92846651445</v>
      </c>
      <c r="K299" t="str">
        <f>_xlfn.XLOOKUP(B299,Cert_OC_Cliente!$B:$B,Cert_OC_Cliente!$L:$L)</f>
        <v>PTO 02</v>
      </c>
      <c r="L299" t="str">
        <f t="shared" si="14"/>
        <v>✓</v>
      </c>
    </row>
    <row r="300" spans="1:12" x14ac:dyDescent="0.35">
      <c r="A300" t="s">
        <v>4929</v>
      </c>
      <c r="B300" t="s">
        <v>4932</v>
      </c>
      <c r="C300" t="s">
        <v>4965</v>
      </c>
      <c r="D300" s="205">
        <v>46080</v>
      </c>
      <c r="E300">
        <v>7.02</v>
      </c>
      <c r="F300">
        <v>0.1</v>
      </c>
      <c r="G300">
        <v>0.3</v>
      </c>
      <c r="H300">
        <f t="shared" si="12"/>
        <v>0.4</v>
      </c>
      <c r="I300" s="206">
        <f>SUMIFS('1_Presupuesto'!$V:$V,'1_Presupuesto'!$X:$X,K300,'1_Presupuesto'!$E:$E,E300)</f>
        <v>19164786.150262561</v>
      </c>
      <c r="J300" s="206">
        <f t="shared" si="13"/>
        <v>5749435.8450787682</v>
      </c>
      <c r="K300" t="str">
        <f>_xlfn.XLOOKUP(B300,Cert_OC_Cliente!$B:$B,Cert_OC_Cliente!$L:$L)</f>
        <v>PTO 02</v>
      </c>
      <c r="L300" t="str">
        <f t="shared" si="14"/>
        <v>✓</v>
      </c>
    </row>
    <row r="301" spans="1:12" x14ac:dyDescent="0.35">
      <c r="A301" t="s">
        <v>4929</v>
      </c>
      <c r="B301" t="s">
        <v>4932</v>
      </c>
      <c r="C301" t="s">
        <v>4965</v>
      </c>
      <c r="D301" s="205">
        <v>46080</v>
      </c>
      <c r="E301">
        <v>7.06</v>
      </c>
      <c r="F301">
        <v>0.02</v>
      </c>
      <c r="G301">
        <v>0.03</v>
      </c>
      <c r="H301">
        <f t="shared" si="12"/>
        <v>0.05</v>
      </c>
      <c r="I301" s="206">
        <f>SUMIFS('1_Presupuesto'!$V:$V,'1_Presupuesto'!$X:$X,K301,'1_Presupuesto'!$E:$E,E301)</f>
        <v>14158950.255610978</v>
      </c>
      <c r="J301" s="206">
        <f t="shared" si="13"/>
        <v>424768.50766832934</v>
      </c>
      <c r="K301" t="str">
        <f>_xlfn.XLOOKUP(B301,Cert_OC_Cliente!$B:$B,Cert_OC_Cliente!$L:$L)</f>
        <v>PTO 02</v>
      </c>
      <c r="L301" t="str">
        <f t="shared" si="14"/>
        <v>✓</v>
      </c>
    </row>
    <row r="302" spans="1:12" x14ac:dyDescent="0.35">
      <c r="A302" t="s">
        <v>4929</v>
      </c>
      <c r="B302" t="s">
        <v>4932</v>
      </c>
      <c r="C302" t="s">
        <v>4965</v>
      </c>
      <c r="D302" s="205">
        <v>46080</v>
      </c>
      <c r="E302">
        <v>14.03</v>
      </c>
      <c r="F302">
        <v>0</v>
      </c>
      <c r="G302">
        <v>0.1</v>
      </c>
      <c r="H302">
        <f t="shared" si="12"/>
        <v>0.1</v>
      </c>
      <c r="I302" s="206">
        <f>SUMIFS('1_Presupuesto'!$V:$V,'1_Presupuesto'!$X:$X,K302,'1_Presupuesto'!$E:$E,E302)</f>
        <v>4118904.3140828707</v>
      </c>
      <c r="J302" s="206">
        <f t="shared" si="13"/>
        <v>411890.43140828708</v>
      </c>
      <c r="K302" t="str">
        <f>_xlfn.XLOOKUP(B302,Cert_OC_Cliente!$B:$B,Cert_OC_Cliente!$L:$L)</f>
        <v>PTO 02</v>
      </c>
      <c r="L302" t="str">
        <f t="shared" si="14"/>
        <v>✓</v>
      </c>
    </row>
    <row r="303" spans="1:12" x14ac:dyDescent="0.35">
      <c r="A303" t="s">
        <v>4929</v>
      </c>
      <c r="B303" t="s">
        <v>4932</v>
      </c>
      <c r="C303" t="s">
        <v>4965</v>
      </c>
      <c r="D303" s="205">
        <v>46080</v>
      </c>
      <c r="E303">
        <v>14.04</v>
      </c>
      <c r="F303">
        <v>0</v>
      </c>
      <c r="G303">
        <v>0.1</v>
      </c>
      <c r="H303">
        <f t="shared" si="12"/>
        <v>0.1</v>
      </c>
      <c r="I303" s="206">
        <f>SUMIFS('1_Presupuesto'!$V:$V,'1_Presupuesto'!$X:$X,K303,'1_Presupuesto'!$E:$E,E303)</f>
        <v>3660715.3766015153</v>
      </c>
      <c r="J303" s="206">
        <f t="shared" si="13"/>
        <v>366071.53766015155</v>
      </c>
      <c r="K303" t="str">
        <f>_xlfn.XLOOKUP(B303,Cert_OC_Cliente!$B:$B,Cert_OC_Cliente!$L:$L)</f>
        <v>PTO 02</v>
      </c>
      <c r="L303" t="str">
        <f t="shared" si="14"/>
        <v>✓</v>
      </c>
    </row>
    <row r="304" spans="1:12" x14ac:dyDescent="0.35">
      <c r="A304" t="s">
        <v>4929</v>
      </c>
      <c r="B304" t="s">
        <v>4932</v>
      </c>
      <c r="C304" t="s">
        <v>4965</v>
      </c>
      <c r="D304" s="205">
        <v>46080</v>
      </c>
      <c r="E304">
        <v>14.07</v>
      </c>
      <c r="F304">
        <v>0.1</v>
      </c>
      <c r="G304">
        <v>5.0000000000000017E-2</v>
      </c>
      <c r="H304">
        <f t="shared" si="12"/>
        <v>0.15000000000000002</v>
      </c>
      <c r="I304" s="206">
        <f>SUMIFS('1_Presupuesto'!$V:$V,'1_Presupuesto'!$X:$X,K304,'1_Presupuesto'!$E:$E,E304)</f>
        <v>2502141.6181814857</v>
      </c>
      <c r="J304" s="206">
        <f t="shared" si="13"/>
        <v>125107.08090907433</v>
      </c>
      <c r="K304" t="str">
        <f>_xlfn.XLOOKUP(B304,Cert_OC_Cliente!$B:$B,Cert_OC_Cliente!$L:$L)</f>
        <v>PTO 02</v>
      </c>
      <c r="L304" t="str">
        <f t="shared" si="14"/>
        <v>✓</v>
      </c>
    </row>
    <row r="305" spans="1:12" x14ac:dyDescent="0.35">
      <c r="A305" t="s">
        <v>4929</v>
      </c>
      <c r="B305" t="s">
        <v>4932</v>
      </c>
      <c r="C305" t="s">
        <v>4965</v>
      </c>
      <c r="D305" s="205">
        <v>46080</v>
      </c>
      <c r="E305">
        <v>17.010000000000002</v>
      </c>
      <c r="F305">
        <v>0.4</v>
      </c>
      <c r="G305">
        <v>0.29999999999999988</v>
      </c>
      <c r="H305">
        <f t="shared" si="12"/>
        <v>0.7</v>
      </c>
      <c r="I305" s="206">
        <f>SUMIFS('1_Presupuesto'!$V:$V,'1_Presupuesto'!$X:$X,K305,'1_Presupuesto'!$E:$E,E305)</f>
        <v>0</v>
      </c>
      <c r="J305" s="206">
        <f t="shared" si="13"/>
        <v>0</v>
      </c>
      <c r="K305" t="str">
        <f>_xlfn.XLOOKUP(B305,Cert_OC_Cliente!$B:$B,Cert_OC_Cliente!$L:$L)</f>
        <v>PTO 02</v>
      </c>
      <c r="L305" t="str">
        <f t="shared" si="14"/>
        <v>✓</v>
      </c>
    </row>
    <row r="306" spans="1:12" x14ac:dyDescent="0.35">
      <c r="A306" t="s">
        <v>4929</v>
      </c>
      <c r="B306" t="s">
        <v>4932</v>
      </c>
      <c r="C306" t="s">
        <v>4965</v>
      </c>
      <c r="D306" s="205">
        <v>46080</v>
      </c>
      <c r="E306">
        <v>17.03</v>
      </c>
      <c r="F306">
        <v>0.4</v>
      </c>
      <c r="G306">
        <v>0.29999999999999988</v>
      </c>
      <c r="H306">
        <f t="shared" si="12"/>
        <v>0.7</v>
      </c>
      <c r="I306" s="206">
        <f>SUMIFS('1_Presupuesto'!$V:$V,'1_Presupuesto'!$X:$X,K306,'1_Presupuesto'!$E:$E,E306)</f>
        <v>3325413.5444801827</v>
      </c>
      <c r="J306" s="206">
        <f t="shared" si="13"/>
        <v>997624.06334405439</v>
      </c>
      <c r="K306" t="str">
        <f>_xlfn.XLOOKUP(B306,Cert_OC_Cliente!$B:$B,Cert_OC_Cliente!$L:$L)</f>
        <v>PTO 02</v>
      </c>
      <c r="L306" t="str">
        <f t="shared" si="14"/>
        <v>✓</v>
      </c>
    </row>
    <row r="307" spans="1:12" x14ac:dyDescent="0.35">
      <c r="A307" t="s">
        <v>4929</v>
      </c>
      <c r="B307" t="s">
        <v>4932</v>
      </c>
      <c r="C307" t="s">
        <v>4965</v>
      </c>
      <c r="D307" s="205">
        <v>46080</v>
      </c>
      <c r="E307">
        <v>18.010000000000002</v>
      </c>
      <c r="F307">
        <v>0.45500000000000002</v>
      </c>
      <c r="G307">
        <v>3.999999999999998E-2</v>
      </c>
      <c r="H307">
        <f t="shared" si="12"/>
        <v>0.495</v>
      </c>
      <c r="I307" s="206">
        <f>SUMIFS('1_Presupuesto'!$V:$V,'1_Presupuesto'!$X:$X,K307,'1_Presupuesto'!$E:$E,E307)</f>
        <v>0</v>
      </c>
      <c r="J307" s="206">
        <f t="shared" si="13"/>
        <v>0</v>
      </c>
      <c r="K307" t="str">
        <f>_xlfn.XLOOKUP(B307,Cert_OC_Cliente!$B:$B,Cert_OC_Cliente!$L:$L)</f>
        <v>PTO 02</v>
      </c>
      <c r="L307" t="str">
        <f t="shared" si="14"/>
        <v>✓</v>
      </c>
    </row>
    <row r="308" spans="1:12" x14ac:dyDescent="0.35">
      <c r="A308" t="s">
        <v>4929</v>
      </c>
      <c r="B308" t="s">
        <v>4932</v>
      </c>
      <c r="C308" t="s">
        <v>4965</v>
      </c>
      <c r="D308" s="205">
        <v>46080</v>
      </c>
      <c r="E308">
        <v>18.02</v>
      </c>
      <c r="F308">
        <v>0.39500000000000002</v>
      </c>
      <c r="G308">
        <v>4.9999999999999989E-2</v>
      </c>
      <c r="H308">
        <f t="shared" si="12"/>
        <v>0.44500000000000001</v>
      </c>
      <c r="I308" s="206">
        <f>SUMIFS('1_Presupuesto'!$V:$V,'1_Presupuesto'!$X:$X,K308,'1_Presupuesto'!$E:$E,E308)</f>
        <v>4540566.038479845</v>
      </c>
      <c r="J308" s="206">
        <f t="shared" si="13"/>
        <v>227028.3019239922</v>
      </c>
      <c r="K308" t="str">
        <f>_xlfn.XLOOKUP(B308,Cert_OC_Cliente!$B:$B,Cert_OC_Cliente!$L:$L)</f>
        <v>PTO 02</v>
      </c>
      <c r="L308" t="str">
        <f t="shared" si="14"/>
        <v>✓</v>
      </c>
    </row>
    <row r="309" spans="1:12" x14ac:dyDescent="0.35">
      <c r="A309" t="s">
        <v>4929</v>
      </c>
      <c r="B309" t="s">
        <v>4932</v>
      </c>
      <c r="C309" t="s">
        <v>4965</v>
      </c>
      <c r="D309" s="205">
        <v>46080</v>
      </c>
      <c r="E309">
        <v>18.07</v>
      </c>
      <c r="F309">
        <v>0.40300000000000002</v>
      </c>
      <c r="G309">
        <v>4.9999999999999989E-2</v>
      </c>
      <c r="H309">
        <f t="shared" si="12"/>
        <v>0.45300000000000001</v>
      </c>
      <c r="I309" s="206">
        <f>SUMIFS('1_Presupuesto'!$V:$V,'1_Presupuesto'!$X:$X,K309,'1_Presupuesto'!$E:$E,E309)</f>
        <v>15628623.979244839</v>
      </c>
      <c r="J309" s="206">
        <f t="shared" si="13"/>
        <v>781431.19896224176</v>
      </c>
      <c r="K309" t="str">
        <f>_xlfn.XLOOKUP(B309,Cert_OC_Cliente!$B:$B,Cert_OC_Cliente!$L:$L)</f>
        <v>PTO 02</v>
      </c>
      <c r="L309" t="str">
        <f t="shared" si="14"/>
        <v>✓</v>
      </c>
    </row>
    <row r="310" spans="1:12" x14ac:dyDescent="0.35">
      <c r="A310" t="s">
        <v>4929</v>
      </c>
      <c r="B310" t="s">
        <v>4932</v>
      </c>
      <c r="C310" t="s">
        <v>4965</v>
      </c>
      <c r="D310" s="205">
        <v>46080</v>
      </c>
      <c r="E310">
        <v>18.079999999999998</v>
      </c>
      <c r="F310">
        <v>0.4</v>
      </c>
      <c r="G310">
        <v>4.9999999999999989E-2</v>
      </c>
      <c r="H310">
        <f t="shared" si="12"/>
        <v>0.45</v>
      </c>
      <c r="I310" s="206">
        <f>SUMIFS('1_Presupuesto'!$V:$V,'1_Presupuesto'!$X:$X,K310,'1_Presupuesto'!$E:$E,E310)</f>
        <v>3049848.1124811382</v>
      </c>
      <c r="J310" s="206">
        <f t="shared" si="13"/>
        <v>152492.40562405688</v>
      </c>
      <c r="K310" t="str">
        <f>_xlfn.XLOOKUP(B310,Cert_OC_Cliente!$B:$B,Cert_OC_Cliente!$L:$L)</f>
        <v>PTO 02</v>
      </c>
      <c r="L310" t="str">
        <f t="shared" si="14"/>
        <v>✓</v>
      </c>
    </row>
    <row r="311" spans="1:12" x14ac:dyDescent="0.35">
      <c r="A311" t="s">
        <v>4929</v>
      </c>
      <c r="B311" t="s">
        <v>4932</v>
      </c>
      <c r="C311" t="s">
        <v>4965</v>
      </c>
      <c r="D311" s="205">
        <v>46080</v>
      </c>
      <c r="E311">
        <v>18.12</v>
      </c>
      <c r="F311">
        <v>0.5</v>
      </c>
      <c r="G311">
        <v>5.0000000000000037E-2</v>
      </c>
      <c r="H311">
        <f t="shared" si="12"/>
        <v>0.55000000000000004</v>
      </c>
      <c r="I311" s="206">
        <f>SUMIFS('1_Presupuesto'!$V:$V,'1_Presupuesto'!$X:$X,K311,'1_Presupuesto'!$E:$E,E311)</f>
        <v>1366621.284136306</v>
      </c>
      <c r="J311" s="206">
        <f t="shared" si="13"/>
        <v>68331.064206815354</v>
      </c>
      <c r="K311" t="str">
        <f>_xlfn.XLOOKUP(B311,Cert_OC_Cliente!$B:$B,Cert_OC_Cliente!$L:$L)</f>
        <v>PTO 02</v>
      </c>
      <c r="L311" t="str">
        <f t="shared" si="14"/>
        <v>✓</v>
      </c>
    </row>
    <row r="312" spans="1:12" x14ac:dyDescent="0.35">
      <c r="A312" t="s">
        <v>4929</v>
      </c>
      <c r="B312" t="s">
        <v>4932</v>
      </c>
      <c r="C312" t="s">
        <v>4965</v>
      </c>
      <c r="D312" s="205">
        <v>46080</v>
      </c>
      <c r="E312">
        <v>18.14</v>
      </c>
      <c r="F312">
        <v>0.5</v>
      </c>
      <c r="G312">
        <v>5.0000000000000037E-2</v>
      </c>
      <c r="H312">
        <f t="shared" si="12"/>
        <v>0.55000000000000004</v>
      </c>
      <c r="I312" s="206">
        <f>SUMIFS('1_Presupuesto'!$V:$V,'1_Presupuesto'!$X:$X,K312,'1_Presupuesto'!$E:$E,E312)</f>
        <v>1467852.4903686249</v>
      </c>
      <c r="J312" s="206">
        <f t="shared" si="13"/>
        <v>73392.624518431301</v>
      </c>
      <c r="K312" t="str">
        <f>_xlfn.XLOOKUP(B312,Cert_OC_Cliente!$B:$B,Cert_OC_Cliente!$L:$L)</f>
        <v>PTO 02</v>
      </c>
      <c r="L312" t="str">
        <f t="shared" si="14"/>
        <v>✓</v>
      </c>
    </row>
    <row r="313" spans="1:12" x14ac:dyDescent="0.35">
      <c r="A313" t="s">
        <v>4929</v>
      </c>
      <c r="B313" t="s">
        <v>4932</v>
      </c>
      <c r="C313" t="s">
        <v>4965</v>
      </c>
      <c r="D313" s="205">
        <v>46080</v>
      </c>
      <c r="E313">
        <v>18.190000000000001</v>
      </c>
      <c r="F313">
        <v>0.1</v>
      </c>
      <c r="G313">
        <v>0.1</v>
      </c>
      <c r="H313">
        <f t="shared" si="12"/>
        <v>0.2</v>
      </c>
      <c r="I313" s="206">
        <f>SUMIFS('1_Presupuesto'!$V:$V,'1_Presupuesto'!$X:$X,K313,'1_Presupuesto'!$E:$E,E313)</f>
        <v>5358679.4448621087</v>
      </c>
      <c r="J313" s="206">
        <f t="shared" si="13"/>
        <v>535867.94448621094</v>
      </c>
      <c r="K313" t="str">
        <f>_xlfn.XLOOKUP(B313,Cert_OC_Cliente!$B:$B,Cert_OC_Cliente!$L:$L)</f>
        <v>PTO 02</v>
      </c>
      <c r="L313" t="str">
        <f t="shared" si="14"/>
        <v>✓</v>
      </c>
    </row>
    <row r="314" spans="1:12" x14ac:dyDescent="0.35">
      <c r="A314" t="s">
        <v>4929</v>
      </c>
      <c r="B314" t="s">
        <v>4932</v>
      </c>
      <c r="C314" t="s">
        <v>4965</v>
      </c>
      <c r="D314" s="205">
        <v>46080</v>
      </c>
      <c r="E314">
        <v>19.02</v>
      </c>
      <c r="F314">
        <v>0.3</v>
      </c>
      <c r="G314">
        <v>4.9999999999999989E-2</v>
      </c>
      <c r="H314">
        <f t="shared" si="12"/>
        <v>0.35</v>
      </c>
      <c r="I314" s="206">
        <f>SUMIFS('1_Presupuesto'!$V:$V,'1_Presupuesto'!$X:$X,K314,'1_Presupuesto'!$E:$E,E314)</f>
        <v>9552582.557606468</v>
      </c>
      <c r="J314" s="206">
        <f t="shared" si="13"/>
        <v>477629.12788032327</v>
      </c>
      <c r="K314" t="str">
        <f>_xlfn.XLOOKUP(B314,Cert_OC_Cliente!$B:$B,Cert_OC_Cliente!$L:$L)</f>
        <v>PTO 02</v>
      </c>
      <c r="L314" t="str">
        <f t="shared" si="14"/>
        <v>✓</v>
      </c>
    </row>
    <row r="315" spans="1:12" x14ac:dyDescent="0.35">
      <c r="A315" t="s">
        <v>4929</v>
      </c>
      <c r="B315" t="s">
        <v>4932</v>
      </c>
      <c r="C315" t="s">
        <v>4965</v>
      </c>
      <c r="D315" s="205">
        <v>46080</v>
      </c>
      <c r="E315">
        <v>19.03</v>
      </c>
      <c r="F315">
        <v>0.25</v>
      </c>
      <c r="G315">
        <v>9.9999999999999978E-2</v>
      </c>
      <c r="H315">
        <f t="shared" si="12"/>
        <v>0.35</v>
      </c>
      <c r="I315" s="206">
        <f>SUMIFS('1_Presupuesto'!$V:$V,'1_Presupuesto'!$X:$X,K315,'1_Presupuesto'!$E:$E,E315)</f>
        <v>4881534.9792620176</v>
      </c>
      <c r="J315" s="206">
        <f t="shared" si="13"/>
        <v>488153.49792620167</v>
      </c>
      <c r="K315" t="str">
        <f>_xlfn.XLOOKUP(B315,Cert_OC_Cliente!$B:$B,Cert_OC_Cliente!$L:$L)</f>
        <v>PTO 02</v>
      </c>
      <c r="L315" t="str">
        <f t="shared" si="14"/>
        <v>✓</v>
      </c>
    </row>
    <row r="316" spans="1:12" x14ac:dyDescent="0.35">
      <c r="A316" t="s">
        <v>4929</v>
      </c>
      <c r="B316" t="s">
        <v>4932</v>
      </c>
      <c r="C316" t="s">
        <v>4965</v>
      </c>
      <c r="D316" s="205">
        <v>46080</v>
      </c>
      <c r="E316">
        <v>19.05</v>
      </c>
      <c r="F316">
        <v>0.35</v>
      </c>
      <c r="G316">
        <v>4.9999999999999989E-2</v>
      </c>
      <c r="H316">
        <f t="shared" si="12"/>
        <v>0.39999999999999997</v>
      </c>
      <c r="I316" s="206">
        <f>SUMIFS('1_Presupuesto'!$V:$V,'1_Presupuesto'!$X:$X,K316,'1_Presupuesto'!$E:$E,E316)</f>
        <v>3537993.5398542481</v>
      </c>
      <c r="J316" s="206">
        <f t="shared" si="13"/>
        <v>176899.67699271237</v>
      </c>
      <c r="K316" t="str">
        <f>_xlfn.XLOOKUP(B316,Cert_OC_Cliente!$B:$B,Cert_OC_Cliente!$L:$L)</f>
        <v>PTO 02</v>
      </c>
      <c r="L316" t="str">
        <f t="shared" si="14"/>
        <v>✓</v>
      </c>
    </row>
    <row r="317" spans="1:12" x14ac:dyDescent="0.35">
      <c r="A317" t="s">
        <v>4929</v>
      </c>
      <c r="B317" t="s">
        <v>4932</v>
      </c>
      <c r="C317" t="s">
        <v>4965</v>
      </c>
      <c r="D317" s="205">
        <v>46080</v>
      </c>
      <c r="E317">
        <v>19.100000000000001</v>
      </c>
      <c r="F317">
        <v>0.3</v>
      </c>
      <c r="G317">
        <v>0.1</v>
      </c>
      <c r="H317">
        <f t="shared" si="12"/>
        <v>0.4</v>
      </c>
      <c r="I317" s="206">
        <f>SUMIFS('1_Presupuesto'!$V:$V,'1_Presupuesto'!$X:$X,K317,'1_Presupuesto'!$E:$E,E317)</f>
        <v>18413868.763299089</v>
      </c>
      <c r="J317" s="206">
        <f t="shared" si="13"/>
        <v>1841386.8763299091</v>
      </c>
      <c r="K317" t="str">
        <f>_xlfn.XLOOKUP(B317,Cert_OC_Cliente!$B:$B,Cert_OC_Cliente!$L:$L)</f>
        <v>PTO 02</v>
      </c>
      <c r="L317" t="str">
        <f t="shared" si="14"/>
        <v>✓</v>
      </c>
    </row>
    <row r="318" spans="1:12" x14ac:dyDescent="0.35">
      <c r="A318" t="s">
        <v>4929</v>
      </c>
      <c r="B318" t="s">
        <v>4932</v>
      </c>
      <c r="C318" t="s">
        <v>4965</v>
      </c>
      <c r="D318" s="205">
        <v>46080</v>
      </c>
      <c r="E318">
        <v>19.12</v>
      </c>
      <c r="F318">
        <v>0.2</v>
      </c>
      <c r="G318">
        <v>0.1</v>
      </c>
      <c r="H318">
        <f t="shared" si="12"/>
        <v>0.30000000000000004</v>
      </c>
      <c r="I318" s="206">
        <f>SUMIFS('1_Presupuesto'!$V:$V,'1_Presupuesto'!$X:$X,K318,'1_Presupuesto'!$E:$E,E318)</f>
        <v>2637800.7601688541</v>
      </c>
      <c r="J318" s="206">
        <f t="shared" si="13"/>
        <v>263780.0760168854</v>
      </c>
      <c r="K318" t="str">
        <f>_xlfn.XLOOKUP(B318,Cert_OC_Cliente!$B:$B,Cert_OC_Cliente!$L:$L)</f>
        <v>PTO 02</v>
      </c>
      <c r="L318" t="str">
        <f t="shared" si="14"/>
        <v>✓</v>
      </c>
    </row>
    <row r="319" spans="1:12" x14ac:dyDescent="0.35">
      <c r="A319" t="s">
        <v>4929</v>
      </c>
      <c r="B319" t="s">
        <v>4932</v>
      </c>
      <c r="C319" t="s">
        <v>4965</v>
      </c>
      <c r="D319" s="205">
        <v>46080</v>
      </c>
      <c r="E319">
        <v>24.01</v>
      </c>
      <c r="F319">
        <v>0.54999999999999993</v>
      </c>
      <c r="G319">
        <v>5.0000000000000037E-2</v>
      </c>
      <c r="H319">
        <f t="shared" si="12"/>
        <v>0.6</v>
      </c>
      <c r="I319" s="206">
        <f>SUMIFS('1_Presupuesto'!$V:$V,'1_Presupuesto'!$X:$X,K319,'1_Presupuesto'!$E:$E,E319)</f>
        <v>16546555.307464439</v>
      </c>
      <c r="J319" s="206">
        <f t="shared" si="13"/>
        <v>827327.76537322265</v>
      </c>
      <c r="K319" t="str">
        <f>_xlfn.XLOOKUP(B319,Cert_OC_Cliente!$B:$B,Cert_OC_Cliente!$L:$L)</f>
        <v>PTO 02</v>
      </c>
      <c r="L319" t="str">
        <f t="shared" si="14"/>
        <v>✓</v>
      </c>
    </row>
    <row r="320" spans="1:12" x14ac:dyDescent="0.35">
      <c r="A320" t="s">
        <v>4929</v>
      </c>
      <c r="B320" t="s">
        <v>4932</v>
      </c>
      <c r="C320" t="s">
        <v>4965</v>
      </c>
      <c r="D320" s="205">
        <v>46080</v>
      </c>
      <c r="E320">
        <v>24.03</v>
      </c>
      <c r="F320">
        <v>0.54999999999999993</v>
      </c>
      <c r="G320">
        <v>5.0000000000000037E-2</v>
      </c>
      <c r="H320">
        <f t="shared" si="12"/>
        <v>0.6</v>
      </c>
      <c r="I320" s="206">
        <f>SUMIFS('1_Presupuesto'!$V:$V,'1_Presupuesto'!$X:$X,K320,'1_Presupuesto'!$E:$E,E320)</f>
        <v>3398454.9392095888</v>
      </c>
      <c r="J320" s="206">
        <f t="shared" si="13"/>
        <v>169922.74696047956</v>
      </c>
      <c r="K320" t="str">
        <f>_xlfn.XLOOKUP(B320,Cert_OC_Cliente!$B:$B,Cert_OC_Cliente!$L:$L)</f>
        <v>PTO 02</v>
      </c>
      <c r="L320" t="str">
        <f t="shared" si="14"/>
        <v>✓</v>
      </c>
    </row>
    <row r="321" spans="1:12" x14ac:dyDescent="0.35">
      <c r="A321" t="s">
        <v>4929</v>
      </c>
      <c r="B321" t="s">
        <v>4932</v>
      </c>
      <c r="C321" t="s">
        <v>4965</v>
      </c>
      <c r="D321" s="205">
        <v>46080</v>
      </c>
      <c r="E321">
        <v>24.05</v>
      </c>
      <c r="F321">
        <v>0.45</v>
      </c>
      <c r="G321">
        <v>4.9999999999999989E-2</v>
      </c>
      <c r="H321">
        <f t="shared" si="12"/>
        <v>0.5</v>
      </c>
      <c r="I321" s="206">
        <f>SUMIFS('1_Presupuesto'!$V:$V,'1_Presupuesto'!$X:$X,K321,'1_Presupuesto'!$E:$E,E321)</f>
        <v>14856213.332043247</v>
      </c>
      <c r="J321" s="206">
        <f t="shared" si="13"/>
        <v>742810.66660216218</v>
      </c>
      <c r="K321" t="str">
        <f>_xlfn.XLOOKUP(B321,Cert_OC_Cliente!$B:$B,Cert_OC_Cliente!$L:$L)</f>
        <v>PTO 02</v>
      </c>
      <c r="L321" t="str">
        <f t="shared" si="14"/>
        <v>✓</v>
      </c>
    </row>
    <row r="322" spans="1:12" x14ac:dyDescent="0.35">
      <c r="A322" t="s">
        <v>4929</v>
      </c>
      <c r="B322" t="s">
        <v>4932</v>
      </c>
      <c r="C322" t="s">
        <v>4965</v>
      </c>
      <c r="D322" s="205">
        <v>46080</v>
      </c>
      <c r="E322">
        <v>24.06</v>
      </c>
      <c r="F322">
        <v>0.45</v>
      </c>
      <c r="G322">
        <v>4.9999999999999989E-2</v>
      </c>
      <c r="H322">
        <f t="shared" ref="H322:H385" si="15">F322+G322</f>
        <v>0.5</v>
      </c>
      <c r="I322" s="206">
        <f>SUMIFS('1_Presupuesto'!$V:$V,'1_Presupuesto'!$X:$X,K322,'1_Presupuesto'!$E:$E,E322)</f>
        <v>9812019.7942749579</v>
      </c>
      <c r="J322" s="206">
        <f t="shared" ref="J322:J385" si="16">G322*I322</f>
        <v>490600.98971374781</v>
      </c>
      <c r="K322" t="str">
        <f>_xlfn.XLOOKUP(B322,Cert_OC_Cliente!$B:$B,Cert_OC_Cliente!$L:$L)</f>
        <v>PTO 02</v>
      </c>
      <c r="L322" t="str">
        <f t="shared" ref="L322:L385" si="17">IF($E322="","",IF(AND(ISNUMBER($I322),$H322&lt;=1.0001),"✓","⚠"))</f>
        <v>✓</v>
      </c>
    </row>
    <row r="323" spans="1:12" x14ac:dyDescent="0.35">
      <c r="A323" t="s">
        <v>4929</v>
      </c>
      <c r="B323" t="s">
        <v>4932</v>
      </c>
      <c r="C323" t="s">
        <v>4965</v>
      </c>
      <c r="D323" s="205">
        <v>46080</v>
      </c>
      <c r="E323">
        <v>24.08</v>
      </c>
      <c r="F323">
        <v>0.49999999999999989</v>
      </c>
      <c r="G323">
        <v>0.1</v>
      </c>
      <c r="H323">
        <f t="shared" si="15"/>
        <v>0.59999999999999987</v>
      </c>
      <c r="I323" s="206">
        <f>SUMIFS('1_Presupuesto'!$V:$V,'1_Presupuesto'!$X:$X,K323,'1_Presupuesto'!$E:$E,E323)</f>
        <v>6796909.8784191776</v>
      </c>
      <c r="J323" s="206">
        <f t="shared" si="16"/>
        <v>679690.98784191778</v>
      </c>
      <c r="K323" t="str">
        <f>_xlfn.XLOOKUP(B323,Cert_OC_Cliente!$B:$B,Cert_OC_Cliente!$L:$L)</f>
        <v>PTO 02</v>
      </c>
      <c r="L323" t="str">
        <f t="shared" si="17"/>
        <v>✓</v>
      </c>
    </row>
    <row r="324" spans="1:12" x14ac:dyDescent="0.35">
      <c r="A324" t="s">
        <v>4929</v>
      </c>
      <c r="B324" t="s">
        <v>4932</v>
      </c>
      <c r="C324" t="s">
        <v>4965</v>
      </c>
      <c r="D324" s="205">
        <v>46080</v>
      </c>
      <c r="E324">
        <v>24.09</v>
      </c>
      <c r="F324">
        <v>0.42999999999999988</v>
      </c>
      <c r="G324">
        <v>7.0000000000000007E-2</v>
      </c>
      <c r="H324">
        <f t="shared" si="15"/>
        <v>0.49999999999999989</v>
      </c>
      <c r="I324" s="206">
        <f>SUMIFS('1_Presupuesto'!$V:$V,'1_Presupuesto'!$X:$X,K324,'1_Presupuesto'!$E:$E,E324)</f>
        <v>5910152.861234813</v>
      </c>
      <c r="J324" s="206">
        <f t="shared" si="16"/>
        <v>413710.70028643694</v>
      </c>
      <c r="K324" t="str">
        <f>_xlfn.XLOOKUP(B324,Cert_OC_Cliente!$B:$B,Cert_OC_Cliente!$L:$L)</f>
        <v>PTO 02</v>
      </c>
      <c r="L324" t="str">
        <f t="shared" si="17"/>
        <v>✓</v>
      </c>
    </row>
    <row r="325" spans="1:12" x14ac:dyDescent="0.35">
      <c r="A325" t="s">
        <v>4929</v>
      </c>
      <c r="B325" t="s">
        <v>4932</v>
      </c>
      <c r="C325" t="s">
        <v>4965</v>
      </c>
      <c r="D325" s="205">
        <v>46080</v>
      </c>
      <c r="E325">
        <v>25.01</v>
      </c>
      <c r="F325">
        <v>0.54999999999999993</v>
      </c>
      <c r="G325">
        <v>5.0000000000000037E-2</v>
      </c>
      <c r="H325">
        <f t="shared" si="15"/>
        <v>0.6</v>
      </c>
      <c r="I325" s="206">
        <f>SUMIFS('1_Presupuesto'!$V:$V,'1_Presupuesto'!$X:$X,K325,'1_Presupuesto'!$E:$E,E325)</f>
        <v>99058404.317748845</v>
      </c>
      <c r="J325" s="206">
        <f t="shared" si="16"/>
        <v>4952920.215887446</v>
      </c>
      <c r="K325" t="str">
        <f>_xlfn.XLOOKUP(B325,Cert_OC_Cliente!$B:$B,Cert_OC_Cliente!$L:$L)</f>
        <v>PTO 02</v>
      </c>
      <c r="L325" t="str">
        <f t="shared" si="17"/>
        <v>✓</v>
      </c>
    </row>
    <row r="326" spans="1:12" x14ac:dyDescent="0.35">
      <c r="A326" t="s">
        <v>4929</v>
      </c>
      <c r="B326" t="s">
        <v>4932</v>
      </c>
      <c r="C326" t="s">
        <v>4965</v>
      </c>
      <c r="D326" s="205">
        <v>46080</v>
      </c>
      <c r="E326">
        <v>25.02</v>
      </c>
      <c r="F326">
        <v>0.54999999999999993</v>
      </c>
      <c r="G326">
        <v>5.0000000000000037E-2</v>
      </c>
      <c r="H326">
        <f t="shared" si="15"/>
        <v>0.6</v>
      </c>
      <c r="I326" s="206">
        <f>SUMIFS('1_Presupuesto'!$V:$V,'1_Presupuesto'!$X:$X,K326,'1_Presupuesto'!$E:$E,E326)</f>
        <v>11328183.130698629</v>
      </c>
      <c r="J326" s="206">
        <f t="shared" si="16"/>
        <v>566409.15653493186</v>
      </c>
      <c r="K326" t="str">
        <f>_xlfn.XLOOKUP(B326,Cert_OC_Cliente!$B:$B,Cert_OC_Cliente!$L:$L)</f>
        <v>PTO 02</v>
      </c>
      <c r="L326" t="str">
        <f t="shared" si="17"/>
        <v>✓</v>
      </c>
    </row>
    <row r="327" spans="1:12" x14ac:dyDescent="0.35">
      <c r="A327" t="s">
        <v>4929</v>
      </c>
      <c r="B327" t="s">
        <v>4932</v>
      </c>
      <c r="C327" t="s">
        <v>4966</v>
      </c>
      <c r="D327" s="205">
        <v>46108</v>
      </c>
      <c r="E327">
        <v>4.01</v>
      </c>
      <c r="F327">
        <v>0.85</v>
      </c>
      <c r="G327">
        <v>2.0000000000000021E-2</v>
      </c>
      <c r="H327">
        <f t="shared" si="15"/>
        <v>0.87</v>
      </c>
      <c r="I327" s="206">
        <f>SUMIFS('1_Presupuesto'!$V:$V,'1_Presupuesto'!$X:$X,K327,'1_Presupuesto'!$E:$E,E327)</f>
        <v>22289464.745651998</v>
      </c>
      <c r="J327" s="206">
        <f t="shared" si="16"/>
        <v>445789.29491304042</v>
      </c>
      <c r="K327" t="str">
        <f>_xlfn.XLOOKUP(B327,Cert_OC_Cliente!$B:$B,Cert_OC_Cliente!$L:$L)</f>
        <v>PTO 02</v>
      </c>
      <c r="L327" t="str">
        <f t="shared" si="17"/>
        <v>✓</v>
      </c>
    </row>
    <row r="328" spans="1:12" x14ac:dyDescent="0.35">
      <c r="A328" t="s">
        <v>4929</v>
      </c>
      <c r="B328" t="s">
        <v>4932</v>
      </c>
      <c r="C328" t="s">
        <v>4966</v>
      </c>
      <c r="D328" s="205">
        <v>46108</v>
      </c>
      <c r="E328">
        <v>4.0199999999999996</v>
      </c>
      <c r="F328">
        <v>0.85</v>
      </c>
      <c r="G328">
        <v>5.0000000000000037E-2</v>
      </c>
      <c r="H328">
        <f t="shared" si="15"/>
        <v>0.9</v>
      </c>
      <c r="I328" s="206">
        <f>SUMIFS('1_Presupuesto'!$V:$V,'1_Presupuesto'!$X:$X,K328,'1_Presupuesto'!$E:$E,E328)</f>
        <v>19060436.605236452</v>
      </c>
      <c r="J328" s="206">
        <f t="shared" si="16"/>
        <v>953021.83026182337</v>
      </c>
      <c r="K328" t="str">
        <f>_xlfn.XLOOKUP(B328,Cert_OC_Cliente!$B:$B,Cert_OC_Cliente!$L:$L)</f>
        <v>PTO 02</v>
      </c>
      <c r="L328" t="str">
        <f t="shared" si="17"/>
        <v>✓</v>
      </c>
    </row>
    <row r="329" spans="1:12" x14ac:dyDescent="0.35">
      <c r="A329" t="s">
        <v>4929</v>
      </c>
      <c r="B329" t="s">
        <v>4932</v>
      </c>
      <c r="C329" t="s">
        <v>4966</v>
      </c>
      <c r="D329" s="205">
        <v>46108</v>
      </c>
      <c r="E329">
        <v>4.04</v>
      </c>
      <c r="F329">
        <v>0.7</v>
      </c>
      <c r="G329">
        <v>0.15</v>
      </c>
      <c r="H329">
        <f t="shared" si="15"/>
        <v>0.85</v>
      </c>
      <c r="I329" s="206">
        <f>SUMIFS('1_Presupuesto'!$V:$V,'1_Presupuesto'!$X:$X,K329,'1_Presupuesto'!$E:$E,E329)</f>
        <v>1207319.07622362</v>
      </c>
      <c r="J329" s="206">
        <f t="shared" si="16"/>
        <v>181097.861433543</v>
      </c>
      <c r="K329" t="str">
        <f>_xlfn.XLOOKUP(B329,Cert_OC_Cliente!$B:$B,Cert_OC_Cliente!$L:$L)</f>
        <v>PTO 02</v>
      </c>
      <c r="L329" t="str">
        <f t="shared" si="17"/>
        <v>✓</v>
      </c>
    </row>
    <row r="330" spans="1:12" x14ac:dyDescent="0.35">
      <c r="A330" t="s">
        <v>4929</v>
      </c>
      <c r="B330" t="s">
        <v>4932</v>
      </c>
      <c r="C330" t="s">
        <v>4966</v>
      </c>
      <c r="D330" s="205">
        <v>46108</v>
      </c>
      <c r="E330">
        <v>4.08</v>
      </c>
      <c r="F330">
        <v>0.60000000000000009</v>
      </c>
      <c r="G330">
        <v>0.39999999999999991</v>
      </c>
      <c r="H330">
        <f t="shared" si="15"/>
        <v>1</v>
      </c>
      <c r="I330" s="206">
        <f>SUMIFS('1_Presupuesto'!$V:$V,'1_Presupuesto'!$X:$X,K330,'1_Presupuesto'!$E:$E,E330)</f>
        <v>1743209.6423325713</v>
      </c>
      <c r="J330" s="206">
        <f t="shared" si="16"/>
        <v>697283.85693302832</v>
      </c>
      <c r="K330" t="str">
        <f>_xlfn.XLOOKUP(B330,Cert_OC_Cliente!$B:$B,Cert_OC_Cliente!$L:$L)</f>
        <v>PTO 02</v>
      </c>
      <c r="L330" t="str">
        <f t="shared" si="17"/>
        <v>✓</v>
      </c>
    </row>
    <row r="331" spans="1:12" x14ac:dyDescent="0.35">
      <c r="A331" t="s">
        <v>4929</v>
      </c>
      <c r="B331" t="s">
        <v>4932</v>
      </c>
      <c r="C331" t="s">
        <v>4966</v>
      </c>
      <c r="D331" s="205">
        <v>46108</v>
      </c>
      <c r="E331">
        <v>7.02</v>
      </c>
      <c r="F331">
        <v>0.4</v>
      </c>
      <c r="G331">
        <v>0.15</v>
      </c>
      <c r="H331">
        <f t="shared" si="15"/>
        <v>0.55000000000000004</v>
      </c>
      <c r="I331" s="206">
        <f>SUMIFS('1_Presupuesto'!$V:$V,'1_Presupuesto'!$X:$X,K331,'1_Presupuesto'!$E:$E,E331)</f>
        <v>19164786.150262561</v>
      </c>
      <c r="J331" s="206">
        <f t="shared" si="16"/>
        <v>2874717.9225393841</v>
      </c>
      <c r="K331" t="str">
        <f>_xlfn.XLOOKUP(B331,Cert_OC_Cliente!$B:$B,Cert_OC_Cliente!$L:$L)</f>
        <v>PTO 02</v>
      </c>
      <c r="L331" t="str">
        <f t="shared" si="17"/>
        <v>✓</v>
      </c>
    </row>
    <row r="332" spans="1:12" x14ac:dyDescent="0.35">
      <c r="A332" t="s">
        <v>4929</v>
      </c>
      <c r="B332" t="s">
        <v>4932</v>
      </c>
      <c r="C332" t="s">
        <v>4966</v>
      </c>
      <c r="D332" s="205">
        <v>46108</v>
      </c>
      <c r="E332">
        <v>7.03</v>
      </c>
      <c r="F332">
        <v>0.1</v>
      </c>
      <c r="G332">
        <v>0.7</v>
      </c>
      <c r="H332">
        <f t="shared" si="15"/>
        <v>0.79999999999999993</v>
      </c>
      <c r="I332" s="206">
        <f>SUMIFS('1_Presupuesto'!$V:$V,'1_Presupuesto'!$X:$X,K332,'1_Presupuesto'!$E:$E,E332)</f>
        <v>33043643.401339307</v>
      </c>
      <c r="J332" s="206">
        <f t="shared" si="16"/>
        <v>23130550.380937513</v>
      </c>
      <c r="K332" t="str">
        <f>_xlfn.XLOOKUP(B332,Cert_OC_Cliente!$B:$B,Cert_OC_Cliente!$L:$L)</f>
        <v>PTO 02</v>
      </c>
      <c r="L332" t="str">
        <f t="shared" si="17"/>
        <v>✓</v>
      </c>
    </row>
    <row r="333" spans="1:12" x14ac:dyDescent="0.35">
      <c r="A333" t="s">
        <v>4929</v>
      </c>
      <c r="B333" t="s">
        <v>4932</v>
      </c>
      <c r="C333" t="s">
        <v>4966</v>
      </c>
      <c r="D333" s="205">
        <v>46108</v>
      </c>
      <c r="E333">
        <v>7.04</v>
      </c>
      <c r="F333">
        <v>0.1</v>
      </c>
      <c r="G333">
        <v>0.7</v>
      </c>
      <c r="H333">
        <f t="shared" si="15"/>
        <v>0.79999999999999993</v>
      </c>
      <c r="I333" s="206">
        <f>SUMIFS('1_Presupuesto'!$V:$V,'1_Presupuesto'!$X:$X,K333,'1_Presupuesto'!$E:$E,E333)</f>
        <v>5867168.4969474869</v>
      </c>
      <c r="J333" s="206">
        <f t="shared" si="16"/>
        <v>4107017.9478632407</v>
      </c>
      <c r="K333" t="str">
        <f>_xlfn.XLOOKUP(B333,Cert_OC_Cliente!$B:$B,Cert_OC_Cliente!$L:$L)</f>
        <v>PTO 02</v>
      </c>
      <c r="L333" t="str">
        <f t="shared" si="17"/>
        <v>✓</v>
      </c>
    </row>
    <row r="334" spans="1:12" x14ac:dyDescent="0.35">
      <c r="A334" t="s">
        <v>4929</v>
      </c>
      <c r="B334" t="s">
        <v>4932</v>
      </c>
      <c r="C334" t="s">
        <v>4966</v>
      </c>
      <c r="D334" s="205">
        <v>46108</v>
      </c>
      <c r="E334">
        <v>7.05</v>
      </c>
      <c r="F334">
        <v>0.1</v>
      </c>
      <c r="G334">
        <v>0.7</v>
      </c>
      <c r="H334">
        <f t="shared" si="15"/>
        <v>0.79999999999999993</v>
      </c>
      <c r="I334" s="206">
        <f>SUMIFS('1_Presupuesto'!$V:$V,'1_Presupuesto'!$X:$X,K334,'1_Presupuesto'!$E:$E,E334)</f>
        <v>2558676.04249387</v>
      </c>
      <c r="J334" s="206">
        <f t="shared" si="16"/>
        <v>1791073.2297457089</v>
      </c>
      <c r="K334" t="str">
        <f>_xlfn.XLOOKUP(B334,Cert_OC_Cliente!$B:$B,Cert_OC_Cliente!$L:$L)</f>
        <v>PTO 02</v>
      </c>
      <c r="L334" t="str">
        <f t="shared" si="17"/>
        <v>✓</v>
      </c>
    </row>
    <row r="335" spans="1:12" x14ac:dyDescent="0.35">
      <c r="A335" t="s">
        <v>4929</v>
      </c>
      <c r="B335" t="s">
        <v>4932</v>
      </c>
      <c r="C335" t="s">
        <v>4966</v>
      </c>
      <c r="D335" s="205">
        <v>46108</v>
      </c>
      <c r="E335">
        <v>7.06</v>
      </c>
      <c r="F335">
        <v>0.05</v>
      </c>
      <c r="G335">
        <v>0.2</v>
      </c>
      <c r="H335">
        <f t="shared" si="15"/>
        <v>0.25</v>
      </c>
      <c r="I335" s="206">
        <f>SUMIFS('1_Presupuesto'!$V:$V,'1_Presupuesto'!$X:$X,K335,'1_Presupuesto'!$E:$E,E335)</f>
        <v>14158950.255610978</v>
      </c>
      <c r="J335" s="206">
        <f t="shared" si="16"/>
        <v>2831790.051122196</v>
      </c>
      <c r="K335" t="str">
        <f>_xlfn.XLOOKUP(B335,Cert_OC_Cliente!$B:$B,Cert_OC_Cliente!$L:$L)</f>
        <v>PTO 02</v>
      </c>
      <c r="L335" t="str">
        <f t="shared" si="17"/>
        <v>✓</v>
      </c>
    </row>
    <row r="336" spans="1:12" x14ac:dyDescent="0.35">
      <c r="A336" t="s">
        <v>4929</v>
      </c>
      <c r="B336" t="s">
        <v>4932</v>
      </c>
      <c r="C336" t="s">
        <v>4966</v>
      </c>
      <c r="D336" s="205">
        <v>46108</v>
      </c>
      <c r="E336">
        <v>10.01</v>
      </c>
      <c r="F336">
        <v>0</v>
      </c>
      <c r="G336">
        <v>0.75</v>
      </c>
      <c r="H336">
        <f t="shared" si="15"/>
        <v>0.75</v>
      </c>
      <c r="I336" s="206">
        <f>SUMIFS('1_Presupuesto'!$V:$V,'1_Presupuesto'!$X:$X,K336,'1_Presupuesto'!$E:$E,E336)</f>
        <v>1844531.3872844379</v>
      </c>
      <c r="J336" s="206">
        <f t="shared" si="16"/>
        <v>1383398.5404633284</v>
      </c>
      <c r="K336" t="str">
        <f>_xlfn.XLOOKUP(B336,Cert_OC_Cliente!$B:$B,Cert_OC_Cliente!$L:$L)</f>
        <v>PTO 02</v>
      </c>
      <c r="L336" t="str">
        <f t="shared" si="17"/>
        <v>✓</v>
      </c>
    </row>
    <row r="337" spans="1:12" x14ac:dyDescent="0.35">
      <c r="A337" t="s">
        <v>4929</v>
      </c>
      <c r="B337" t="s">
        <v>4932</v>
      </c>
      <c r="C337" t="s">
        <v>4966</v>
      </c>
      <c r="D337" s="205">
        <v>46108</v>
      </c>
      <c r="E337">
        <v>14.03</v>
      </c>
      <c r="F337">
        <v>0.1</v>
      </c>
      <c r="G337">
        <v>0.1</v>
      </c>
      <c r="H337">
        <f t="shared" si="15"/>
        <v>0.2</v>
      </c>
      <c r="I337" s="206">
        <f>SUMIFS('1_Presupuesto'!$V:$V,'1_Presupuesto'!$X:$X,K337,'1_Presupuesto'!$E:$E,E337)</f>
        <v>4118904.3140828707</v>
      </c>
      <c r="J337" s="206">
        <f t="shared" si="16"/>
        <v>411890.43140828708</v>
      </c>
      <c r="K337" t="str">
        <f>_xlfn.XLOOKUP(B337,Cert_OC_Cliente!$B:$B,Cert_OC_Cliente!$L:$L)</f>
        <v>PTO 02</v>
      </c>
      <c r="L337" t="str">
        <f t="shared" si="17"/>
        <v>✓</v>
      </c>
    </row>
    <row r="338" spans="1:12" x14ac:dyDescent="0.35">
      <c r="A338" t="s">
        <v>4929</v>
      </c>
      <c r="B338" t="s">
        <v>4932</v>
      </c>
      <c r="C338" t="s">
        <v>4966</v>
      </c>
      <c r="D338" s="205">
        <v>46108</v>
      </c>
      <c r="E338">
        <v>14.04</v>
      </c>
      <c r="F338">
        <v>0.1</v>
      </c>
      <c r="G338">
        <v>0.1</v>
      </c>
      <c r="H338">
        <f t="shared" si="15"/>
        <v>0.2</v>
      </c>
      <c r="I338" s="206">
        <f>SUMIFS('1_Presupuesto'!$V:$V,'1_Presupuesto'!$X:$X,K338,'1_Presupuesto'!$E:$E,E338)</f>
        <v>3660715.3766015153</v>
      </c>
      <c r="J338" s="206">
        <f t="shared" si="16"/>
        <v>366071.53766015155</v>
      </c>
      <c r="K338" t="str">
        <f>_xlfn.XLOOKUP(B338,Cert_OC_Cliente!$B:$B,Cert_OC_Cliente!$L:$L)</f>
        <v>PTO 02</v>
      </c>
      <c r="L338" t="str">
        <f t="shared" si="17"/>
        <v>✓</v>
      </c>
    </row>
    <row r="339" spans="1:12" x14ac:dyDescent="0.35">
      <c r="A339" t="s">
        <v>4929</v>
      </c>
      <c r="B339" t="s">
        <v>4932</v>
      </c>
      <c r="C339" t="s">
        <v>4966</v>
      </c>
      <c r="D339" s="205">
        <v>46108</v>
      </c>
      <c r="E339">
        <v>17.010000000000002</v>
      </c>
      <c r="F339">
        <v>0.7</v>
      </c>
      <c r="G339">
        <v>0.3</v>
      </c>
      <c r="H339">
        <f t="shared" si="15"/>
        <v>1</v>
      </c>
      <c r="I339" s="206">
        <f>SUMIFS('1_Presupuesto'!$V:$V,'1_Presupuesto'!$X:$X,K339,'1_Presupuesto'!$E:$E,E339)</f>
        <v>0</v>
      </c>
      <c r="J339" s="206">
        <f t="shared" si="16"/>
        <v>0</v>
      </c>
      <c r="K339" t="str">
        <f>_xlfn.XLOOKUP(B339,Cert_OC_Cliente!$B:$B,Cert_OC_Cliente!$L:$L)</f>
        <v>PTO 02</v>
      </c>
      <c r="L339" t="str">
        <f t="shared" si="17"/>
        <v>✓</v>
      </c>
    </row>
    <row r="340" spans="1:12" x14ac:dyDescent="0.35">
      <c r="A340" t="s">
        <v>4929</v>
      </c>
      <c r="B340" t="s">
        <v>4932</v>
      </c>
      <c r="C340" t="s">
        <v>4966</v>
      </c>
      <c r="D340" s="205">
        <v>46108</v>
      </c>
      <c r="E340">
        <v>17.03</v>
      </c>
      <c r="F340">
        <v>0.7</v>
      </c>
      <c r="G340">
        <v>0.2</v>
      </c>
      <c r="H340">
        <f t="shared" si="15"/>
        <v>0.89999999999999991</v>
      </c>
      <c r="I340" s="206">
        <f>SUMIFS('1_Presupuesto'!$V:$V,'1_Presupuesto'!$X:$X,K340,'1_Presupuesto'!$E:$E,E340)</f>
        <v>3325413.5444801827</v>
      </c>
      <c r="J340" s="206">
        <f t="shared" si="16"/>
        <v>665082.70889603661</v>
      </c>
      <c r="K340" t="str">
        <f>_xlfn.XLOOKUP(B340,Cert_OC_Cliente!$B:$B,Cert_OC_Cliente!$L:$L)</f>
        <v>PTO 02</v>
      </c>
      <c r="L340" t="str">
        <f t="shared" si="17"/>
        <v>✓</v>
      </c>
    </row>
    <row r="341" spans="1:12" x14ac:dyDescent="0.35">
      <c r="A341" t="s">
        <v>4929</v>
      </c>
      <c r="B341" t="s">
        <v>4932</v>
      </c>
      <c r="C341" t="s">
        <v>4966</v>
      </c>
      <c r="D341" s="205">
        <v>46108</v>
      </c>
      <c r="E341">
        <v>18.010000000000002</v>
      </c>
      <c r="F341">
        <v>0.49499999999999988</v>
      </c>
      <c r="G341">
        <v>1.9999999999999959E-2</v>
      </c>
      <c r="H341">
        <f t="shared" si="15"/>
        <v>0.51499999999999979</v>
      </c>
      <c r="I341" s="206">
        <f>SUMIFS('1_Presupuesto'!$V:$V,'1_Presupuesto'!$X:$X,K341,'1_Presupuesto'!$E:$E,E341)</f>
        <v>0</v>
      </c>
      <c r="J341" s="206">
        <f t="shared" si="16"/>
        <v>0</v>
      </c>
      <c r="K341" t="str">
        <f>_xlfn.XLOOKUP(B341,Cert_OC_Cliente!$B:$B,Cert_OC_Cliente!$L:$L)</f>
        <v>PTO 02</v>
      </c>
      <c r="L341" t="str">
        <f t="shared" si="17"/>
        <v>✓</v>
      </c>
    </row>
    <row r="342" spans="1:12" x14ac:dyDescent="0.35">
      <c r="A342" t="s">
        <v>4929</v>
      </c>
      <c r="B342" t="s">
        <v>4932</v>
      </c>
      <c r="C342" t="s">
        <v>4966</v>
      </c>
      <c r="D342" s="205">
        <v>46108</v>
      </c>
      <c r="E342">
        <v>18.02</v>
      </c>
      <c r="F342">
        <v>0.44500000000000001</v>
      </c>
      <c r="G342">
        <v>2.0000000000000021E-2</v>
      </c>
      <c r="H342">
        <f t="shared" si="15"/>
        <v>0.46500000000000002</v>
      </c>
      <c r="I342" s="206">
        <f>SUMIFS('1_Presupuesto'!$V:$V,'1_Presupuesto'!$X:$X,K342,'1_Presupuesto'!$E:$E,E342)</f>
        <v>4540566.038479845</v>
      </c>
      <c r="J342" s="206">
        <f t="shared" si="16"/>
        <v>90811.32076959699</v>
      </c>
      <c r="K342" t="str">
        <f>_xlfn.XLOOKUP(B342,Cert_OC_Cliente!$B:$B,Cert_OC_Cliente!$L:$L)</f>
        <v>PTO 02</v>
      </c>
      <c r="L342" t="str">
        <f t="shared" si="17"/>
        <v>✓</v>
      </c>
    </row>
    <row r="343" spans="1:12" x14ac:dyDescent="0.35">
      <c r="A343" t="s">
        <v>4929</v>
      </c>
      <c r="B343" t="s">
        <v>4932</v>
      </c>
      <c r="C343" t="s">
        <v>4966</v>
      </c>
      <c r="D343" s="205">
        <v>46108</v>
      </c>
      <c r="E343">
        <v>18.07</v>
      </c>
      <c r="F343">
        <v>0.45300000000000001</v>
      </c>
      <c r="G343">
        <v>2.0000000000000021E-2</v>
      </c>
      <c r="H343">
        <f t="shared" si="15"/>
        <v>0.47300000000000003</v>
      </c>
      <c r="I343" s="206">
        <f>SUMIFS('1_Presupuesto'!$V:$V,'1_Presupuesto'!$X:$X,K343,'1_Presupuesto'!$E:$E,E343)</f>
        <v>15628623.979244839</v>
      </c>
      <c r="J343" s="206">
        <f t="shared" si="16"/>
        <v>312572.47958489711</v>
      </c>
      <c r="K343" t="str">
        <f>_xlfn.XLOOKUP(B343,Cert_OC_Cliente!$B:$B,Cert_OC_Cliente!$L:$L)</f>
        <v>PTO 02</v>
      </c>
      <c r="L343" t="str">
        <f t="shared" si="17"/>
        <v>✓</v>
      </c>
    </row>
    <row r="344" spans="1:12" x14ac:dyDescent="0.35">
      <c r="A344" t="s">
        <v>4929</v>
      </c>
      <c r="B344" t="s">
        <v>4932</v>
      </c>
      <c r="C344" t="s">
        <v>4966</v>
      </c>
      <c r="D344" s="205">
        <v>46108</v>
      </c>
      <c r="E344">
        <v>18.079999999999998</v>
      </c>
      <c r="F344">
        <v>0.45</v>
      </c>
      <c r="G344">
        <v>2.0000000000000021E-2</v>
      </c>
      <c r="H344">
        <f t="shared" si="15"/>
        <v>0.47000000000000003</v>
      </c>
      <c r="I344" s="206">
        <f>SUMIFS('1_Presupuesto'!$V:$V,'1_Presupuesto'!$X:$X,K344,'1_Presupuesto'!$E:$E,E344)</f>
        <v>3049848.1124811382</v>
      </c>
      <c r="J344" s="206">
        <f t="shared" si="16"/>
        <v>60996.962249622826</v>
      </c>
      <c r="K344" t="str">
        <f>_xlfn.XLOOKUP(B344,Cert_OC_Cliente!$B:$B,Cert_OC_Cliente!$L:$L)</f>
        <v>PTO 02</v>
      </c>
      <c r="L344" t="str">
        <f t="shared" si="17"/>
        <v>✓</v>
      </c>
    </row>
    <row r="345" spans="1:12" x14ac:dyDescent="0.35">
      <c r="A345" t="s">
        <v>4929</v>
      </c>
      <c r="B345" t="s">
        <v>4932</v>
      </c>
      <c r="C345" t="s">
        <v>4966</v>
      </c>
      <c r="D345" s="205">
        <v>46108</v>
      </c>
      <c r="E345">
        <v>18.12</v>
      </c>
      <c r="F345">
        <v>0.55000000000000004</v>
      </c>
      <c r="G345">
        <v>2.0000000000000021E-2</v>
      </c>
      <c r="H345">
        <f t="shared" si="15"/>
        <v>0.57000000000000006</v>
      </c>
      <c r="I345" s="206">
        <f>SUMIFS('1_Presupuesto'!$V:$V,'1_Presupuesto'!$X:$X,K345,'1_Presupuesto'!$E:$E,E345)</f>
        <v>1366621.284136306</v>
      </c>
      <c r="J345" s="206">
        <f t="shared" si="16"/>
        <v>27332.425682726149</v>
      </c>
      <c r="K345" t="str">
        <f>_xlfn.XLOOKUP(B345,Cert_OC_Cliente!$B:$B,Cert_OC_Cliente!$L:$L)</f>
        <v>PTO 02</v>
      </c>
      <c r="L345" t="str">
        <f t="shared" si="17"/>
        <v>✓</v>
      </c>
    </row>
    <row r="346" spans="1:12" x14ac:dyDescent="0.35">
      <c r="A346" t="s">
        <v>4929</v>
      </c>
      <c r="B346" t="s">
        <v>4932</v>
      </c>
      <c r="C346" t="s">
        <v>4966</v>
      </c>
      <c r="D346" s="205">
        <v>46108</v>
      </c>
      <c r="E346">
        <v>18.14</v>
      </c>
      <c r="F346">
        <v>0.55000000000000004</v>
      </c>
      <c r="G346">
        <v>2.0000000000000021E-2</v>
      </c>
      <c r="H346">
        <f t="shared" si="15"/>
        <v>0.57000000000000006</v>
      </c>
      <c r="I346" s="206">
        <f>SUMIFS('1_Presupuesto'!$V:$V,'1_Presupuesto'!$X:$X,K346,'1_Presupuesto'!$E:$E,E346)</f>
        <v>1467852.4903686249</v>
      </c>
      <c r="J346" s="206">
        <f t="shared" si="16"/>
        <v>29357.049807372528</v>
      </c>
      <c r="K346" t="str">
        <f>_xlfn.XLOOKUP(B346,Cert_OC_Cliente!$B:$B,Cert_OC_Cliente!$L:$L)</f>
        <v>PTO 02</v>
      </c>
      <c r="L346" t="str">
        <f t="shared" si="17"/>
        <v>✓</v>
      </c>
    </row>
    <row r="347" spans="1:12" x14ac:dyDescent="0.35">
      <c r="A347" t="s">
        <v>4929</v>
      </c>
      <c r="B347" t="s">
        <v>4932</v>
      </c>
      <c r="C347" t="s">
        <v>4966</v>
      </c>
      <c r="D347" s="205">
        <v>46108</v>
      </c>
      <c r="E347">
        <v>18.2</v>
      </c>
      <c r="F347">
        <v>0</v>
      </c>
      <c r="G347">
        <v>0.15</v>
      </c>
      <c r="H347">
        <f t="shared" si="15"/>
        <v>0.15</v>
      </c>
      <c r="I347" s="206">
        <f>SUMIFS('1_Presupuesto'!$V:$V,'1_Presupuesto'!$X:$X,K347,'1_Presupuesto'!$E:$E,E347)</f>
        <v>6378277.9181874543</v>
      </c>
      <c r="J347" s="206">
        <f t="shared" si="16"/>
        <v>956741.68772811815</v>
      </c>
      <c r="K347" t="str">
        <f>_xlfn.XLOOKUP(B347,Cert_OC_Cliente!$B:$B,Cert_OC_Cliente!$L:$L)</f>
        <v>PTO 02</v>
      </c>
      <c r="L347" t="str">
        <f t="shared" si="17"/>
        <v>✓</v>
      </c>
    </row>
    <row r="348" spans="1:12" x14ac:dyDescent="0.35">
      <c r="A348" t="s">
        <v>4929</v>
      </c>
      <c r="B348" t="s">
        <v>4932</v>
      </c>
      <c r="C348" t="s">
        <v>4966</v>
      </c>
      <c r="D348" s="205">
        <v>46108</v>
      </c>
      <c r="E348">
        <v>18.21</v>
      </c>
      <c r="F348">
        <v>0</v>
      </c>
      <c r="G348">
        <v>0.15</v>
      </c>
      <c r="H348">
        <f t="shared" si="15"/>
        <v>0.15</v>
      </c>
      <c r="I348" s="206">
        <f>SUMIFS('1_Presupuesto'!$V:$V,'1_Presupuesto'!$X:$X,K348,'1_Presupuesto'!$E:$E,E348)</f>
        <v>1695725.341478114</v>
      </c>
      <c r="J348" s="206">
        <f t="shared" si="16"/>
        <v>254358.80122171709</v>
      </c>
      <c r="K348" t="str">
        <f>_xlfn.XLOOKUP(B348,Cert_OC_Cliente!$B:$B,Cert_OC_Cliente!$L:$L)</f>
        <v>PTO 02</v>
      </c>
      <c r="L348" t="str">
        <f t="shared" si="17"/>
        <v>✓</v>
      </c>
    </row>
    <row r="349" spans="1:12" x14ac:dyDescent="0.35">
      <c r="A349" t="s">
        <v>4929</v>
      </c>
      <c r="B349" t="s">
        <v>4932</v>
      </c>
      <c r="C349" t="s">
        <v>4966</v>
      </c>
      <c r="D349" s="205">
        <v>46108</v>
      </c>
      <c r="E349">
        <v>18.22</v>
      </c>
      <c r="F349">
        <v>0</v>
      </c>
      <c r="G349">
        <v>0.15</v>
      </c>
      <c r="H349">
        <f t="shared" si="15"/>
        <v>0.15</v>
      </c>
      <c r="I349" s="206">
        <f>SUMIFS('1_Presupuesto'!$V:$V,'1_Presupuesto'!$X:$X,K349,'1_Presupuesto'!$E:$E,E349)</f>
        <v>1695725.341478114</v>
      </c>
      <c r="J349" s="206">
        <f t="shared" si="16"/>
        <v>254358.80122171709</v>
      </c>
      <c r="K349" t="str">
        <f>_xlfn.XLOOKUP(B349,Cert_OC_Cliente!$B:$B,Cert_OC_Cliente!$L:$L)</f>
        <v>PTO 02</v>
      </c>
      <c r="L349" t="str">
        <f t="shared" si="17"/>
        <v>✓</v>
      </c>
    </row>
    <row r="350" spans="1:12" x14ac:dyDescent="0.35">
      <c r="A350" t="s">
        <v>4929</v>
      </c>
      <c r="B350" t="s">
        <v>4932</v>
      </c>
      <c r="C350" t="s">
        <v>4966</v>
      </c>
      <c r="D350" s="205">
        <v>46108</v>
      </c>
      <c r="E350">
        <v>19.02</v>
      </c>
      <c r="F350">
        <v>0.35</v>
      </c>
      <c r="G350">
        <v>0.20000000000000009</v>
      </c>
      <c r="H350">
        <f t="shared" si="15"/>
        <v>0.55000000000000004</v>
      </c>
      <c r="I350" s="206">
        <f>SUMIFS('1_Presupuesto'!$V:$V,'1_Presupuesto'!$X:$X,K350,'1_Presupuesto'!$E:$E,E350)</f>
        <v>9552582.557606468</v>
      </c>
      <c r="J350" s="206">
        <f t="shared" si="16"/>
        <v>1910516.5115212945</v>
      </c>
      <c r="K350" t="str">
        <f>_xlfn.XLOOKUP(B350,Cert_OC_Cliente!$B:$B,Cert_OC_Cliente!$L:$L)</f>
        <v>PTO 02</v>
      </c>
      <c r="L350" t="str">
        <f t="shared" si="17"/>
        <v>✓</v>
      </c>
    </row>
    <row r="351" spans="1:12" x14ac:dyDescent="0.35">
      <c r="A351" t="s">
        <v>4929</v>
      </c>
      <c r="B351" t="s">
        <v>4932</v>
      </c>
      <c r="C351" t="s">
        <v>4966</v>
      </c>
      <c r="D351" s="205">
        <v>46108</v>
      </c>
      <c r="E351">
        <v>19.03</v>
      </c>
      <c r="F351">
        <v>0.35</v>
      </c>
      <c r="G351">
        <v>9.9999999999999978E-2</v>
      </c>
      <c r="H351">
        <f t="shared" si="15"/>
        <v>0.44999999999999996</v>
      </c>
      <c r="I351" s="206">
        <f>SUMIFS('1_Presupuesto'!$V:$V,'1_Presupuesto'!$X:$X,K351,'1_Presupuesto'!$E:$E,E351)</f>
        <v>4881534.9792620176</v>
      </c>
      <c r="J351" s="206">
        <f t="shared" si="16"/>
        <v>488153.49792620167</v>
      </c>
      <c r="K351" t="str">
        <f>_xlfn.XLOOKUP(B351,Cert_OC_Cliente!$B:$B,Cert_OC_Cliente!$L:$L)</f>
        <v>PTO 02</v>
      </c>
      <c r="L351" t="str">
        <f t="shared" si="17"/>
        <v>✓</v>
      </c>
    </row>
    <row r="352" spans="1:12" x14ac:dyDescent="0.35">
      <c r="A352" t="s">
        <v>4929</v>
      </c>
      <c r="B352" t="s">
        <v>4932</v>
      </c>
      <c r="C352" t="s">
        <v>4966</v>
      </c>
      <c r="D352" s="205">
        <v>46108</v>
      </c>
      <c r="E352">
        <v>19.05</v>
      </c>
      <c r="F352">
        <v>0.4</v>
      </c>
      <c r="G352">
        <v>4.9999999999999989E-2</v>
      </c>
      <c r="H352">
        <f t="shared" si="15"/>
        <v>0.45</v>
      </c>
      <c r="I352" s="206">
        <f>SUMIFS('1_Presupuesto'!$V:$V,'1_Presupuesto'!$X:$X,K352,'1_Presupuesto'!$E:$E,E352)</f>
        <v>3537993.5398542481</v>
      </c>
      <c r="J352" s="206">
        <f t="shared" si="16"/>
        <v>176899.67699271237</v>
      </c>
      <c r="K352" t="str">
        <f>_xlfn.XLOOKUP(B352,Cert_OC_Cliente!$B:$B,Cert_OC_Cliente!$L:$L)</f>
        <v>PTO 02</v>
      </c>
      <c r="L352" t="str">
        <f t="shared" si="17"/>
        <v>✓</v>
      </c>
    </row>
    <row r="353" spans="1:12" x14ac:dyDescent="0.35">
      <c r="A353" t="s">
        <v>4929</v>
      </c>
      <c r="B353" t="s">
        <v>4932</v>
      </c>
      <c r="C353" t="s">
        <v>4966</v>
      </c>
      <c r="D353" s="205">
        <v>46108</v>
      </c>
      <c r="E353">
        <v>19.100000000000001</v>
      </c>
      <c r="F353">
        <v>0.4</v>
      </c>
      <c r="G353">
        <v>0.20000000000000009</v>
      </c>
      <c r="H353">
        <f t="shared" si="15"/>
        <v>0.60000000000000009</v>
      </c>
      <c r="I353" s="206">
        <f>SUMIFS('1_Presupuesto'!$V:$V,'1_Presupuesto'!$X:$X,K353,'1_Presupuesto'!$E:$E,E353)</f>
        <v>18413868.763299089</v>
      </c>
      <c r="J353" s="206">
        <f t="shared" si="16"/>
        <v>3682773.7526598196</v>
      </c>
      <c r="K353" t="str">
        <f>_xlfn.XLOOKUP(B353,Cert_OC_Cliente!$B:$B,Cert_OC_Cliente!$L:$L)</f>
        <v>PTO 02</v>
      </c>
      <c r="L353" t="str">
        <f t="shared" si="17"/>
        <v>✓</v>
      </c>
    </row>
    <row r="354" spans="1:12" x14ac:dyDescent="0.35">
      <c r="A354" t="s">
        <v>4929</v>
      </c>
      <c r="B354" t="s">
        <v>4932</v>
      </c>
      <c r="C354" t="s">
        <v>4966</v>
      </c>
      <c r="D354" s="205">
        <v>46108</v>
      </c>
      <c r="E354">
        <v>19.12</v>
      </c>
      <c r="F354">
        <v>0.3</v>
      </c>
      <c r="G354">
        <v>0.5</v>
      </c>
      <c r="H354">
        <f t="shared" si="15"/>
        <v>0.8</v>
      </c>
      <c r="I354" s="206">
        <f>SUMIFS('1_Presupuesto'!$V:$V,'1_Presupuesto'!$X:$X,K354,'1_Presupuesto'!$E:$E,E354)</f>
        <v>2637800.7601688541</v>
      </c>
      <c r="J354" s="206">
        <f t="shared" si="16"/>
        <v>1318900.3800844271</v>
      </c>
      <c r="K354" t="str">
        <f>_xlfn.XLOOKUP(B354,Cert_OC_Cliente!$B:$B,Cert_OC_Cliente!$L:$L)</f>
        <v>PTO 02</v>
      </c>
      <c r="L354" t="str">
        <f t="shared" si="17"/>
        <v>✓</v>
      </c>
    </row>
    <row r="355" spans="1:12" x14ac:dyDescent="0.35">
      <c r="A355" t="s">
        <v>4929</v>
      </c>
      <c r="B355" t="s">
        <v>4932</v>
      </c>
      <c r="C355" t="s">
        <v>4966</v>
      </c>
      <c r="D355" s="205">
        <v>46108</v>
      </c>
      <c r="E355">
        <v>19.16</v>
      </c>
      <c r="F355">
        <v>0.1</v>
      </c>
      <c r="G355">
        <v>0.15</v>
      </c>
      <c r="H355">
        <f t="shared" si="15"/>
        <v>0.25</v>
      </c>
      <c r="I355" s="206">
        <f>SUMIFS('1_Presupuesto'!$V:$V,'1_Presupuesto'!$X:$X,K355,'1_Presupuesto'!$E:$E,E355)</f>
        <v>27794006.689447839</v>
      </c>
      <c r="J355" s="206">
        <f t="shared" si="16"/>
        <v>4169101.0034171757</v>
      </c>
      <c r="K355" t="str">
        <f>_xlfn.XLOOKUP(B355,Cert_OC_Cliente!$B:$B,Cert_OC_Cliente!$L:$L)</f>
        <v>PTO 02</v>
      </c>
      <c r="L355" t="str">
        <f t="shared" si="17"/>
        <v>✓</v>
      </c>
    </row>
    <row r="356" spans="1:12" x14ac:dyDescent="0.35">
      <c r="A356" t="s">
        <v>4929</v>
      </c>
      <c r="B356" t="s">
        <v>4932</v>
      </c>
      <c r="C356" t="s">
        <v>4966</v>
      </c>
      <c r="D356" s="205">
        <v>46108</v>
      </c>
      <c r="E356">
        <v>23.01</v>
      </c>
      <c r="F356">
        <v>0</v>
      </c>
      <c r="G356">
        <v>0.15</v>
      </c>
      <c r="H356">
        <f t="shared" si="15"/>
        <v>0.15</v>
      </c>
      <c r="I356" s="206">
        <f>SUMIFS('1_Presupuesto'!$V:$V,'1_Presupuesto'!$X:$X,K356,'1_Presupuesto'!$E:$E,E356)</f>
        <v>1554374.5569766986</v>
      </c>
      <c r="J356" s="206">
        <f t="shared" si="16"/>
        <v>233156.18354650479</v>
      </c>
      <c r="K356" t="str">
        <f>_xlfn.XLOOKUP(B356,Cert_OC_Cliente!$B:$B,Cert_OC_Cliente!$L:$L)</f>
        <v>PTO 02</v>
      </c>
      <c r="L356" t="str">
        <f t="shared" si="17"/>
        <v>✓</v>
      </c>
    </row>
    <row r="357" spans="1:12" x14ac:dyDescent="0.35">
      <c r="A357" t="s">
        <v>4929</v>
      </c>
      <c r="B357" t="s">
        <v>4932</v>
      </c>
      <c r="C357" t="s">
        <v>4966</v>
      </c>
      <c r="D357" s="205">
        <v>46108</v>
      </c>
      <c r="E357">
        <v>24.01</v>
      </c>
      <c r="F357">
        <v>0.6</v>
      </c>
      <c r="G357">
        <v>5.0000000000000037E-2</v>
      </c>
      <c r="H357">
        <f t="shared" si="15"/>
        <v>0.65</v>
      </c>
      <c r="I357" s="206">
        <f>SUMIFS('1_Presupuesto'!$V:$V,'1_Presupuesto'!$X:$X,K357,'1_Presupuesto'!$E:$E,E357)</f>
        <v>16546555.307464439</v>
      </c>
      <c r="J357" s="206">
        <f t="shared" si="16"/>
        <v>827327.76537322265</v>
      </c>
      <c r="K357" t="str">
        <f>_xlfn.XLOOKUP(B357,Cert_OC_Cliente!$B:$B,Cert_OC_Cliente!$L:$L)</f>
        <v>PTO 02</v>
      </c>
      <c r="L357" t="str">
        <f t="shared" si="17"/>
        <v>✓</v>
      </c>
    </row>
    <row r="358" spans="1:12" x14ac:dyDescent="0.35">
      <c r="A358" t="s">
        <v>4929</v>
      </c>
      <c r="B358" t="s">
        <v>4932</v>
      </c>
      <c r="C358" t="s">
        <v>4966</v>
      </c>
      <c r="D358" s="205">
        <v>46108</v>
      </c>
      <c r="E358">
        <v>24.03</v>
      </c>
      <c r="F358">
        <v>0.6</v>
      </c>
      <c r="G358">
        <v>5.0000000000000037E-2</v>
      </c>
      <c r="H358">
        <f t="shared" si="15"/>
        <v>0.65</v>
      </c>
      <c r="I358" s="206">
        <f>SUMIFS('1_Presupuesto'!$V:$V,'1_Presupuesto'!$X:$X,K358,'1_Presupuesto'!$E:$E,E358)</f>
        <v>3398454.9392095888</v>
      </c>
      <c r="J358" s="206">
        <f t="shared" si="16"/>
        <v>169922.74696047956</v>
      </c>
      <c r="K358" t="str">
        <f>_xlfn.XLOOKUP(B358,Cert_OC_Cliente!$B:$B,Cert_OC_Cliente!$L:$L)</f>
        <v>PTO 02</v>
      </c>
      <c r="L358" t="str">
        <f t="shared" si="17"/>
        <v>✓</v>
      </c>
    </row>
    <row r="359" spans="1:12" x14ac:dyDescent="0.35">
      <c r="A359" t="s">
        <v>4929</v>
      </c>
      <c r="B359" t="s">
        <v>4932</v>
      </c>
      <c r="C359" t="s">
        <v>4966</v>
      </c>
      <c r="D359" s="205">
        <v>46108</v>
      </c>
      <c r="E359">
        <v>24.05</v>
      </c>
      <c r="F359">
        <v>0.49999999999999989</v>
      </c>
      <c r="G359">
        <v>4.9999999999999989E-2</v>
      </c>
      <c r="H359">
        <f t="shared" si="15"/>
        <v>0.54999999999999982</v>
      </c>
      <c r="I359" s="206">
        <f>SUMIFS('1_Presupuesto'!$V:$V,'1_Presupuesto'!$X:$X,K359,'1_Presupuesto'!$E:$E,E359)</f>
        <v>14856213.332043247</v>
      </c>
      <c r="J359" s="206">
        <f t="shared" si="16"/>
        <v>742810.66660216218</v>
      </c>
      <c r="K359" t="str">
        <f>_xlfn.XLOOKUP(B359,Cert_OC_Cliente!$B:$B,Cert_OC_Cliente!$L:$L)</f>
        <v>PTO 02</v>
      </c>
      <c r="L359" t="str">
        <f t="shared" si="17"/>
        <v>✓</v>
      </c>
    </row>
    <row r="360" spans="1:12" x14ac:dyDescent="0.35">
      <c r="A360" t="s">
        <v>4929</v>
      </c>
      <c r="B360" t="s">
        <v>4932</v>
      </c>
      <c r="C360" t="s">
        <v>4966</v>
      </c>
      <c r="D360" s="205">
        <v>46108</v>
      </c>
      <c r="E360">
        <v>24.06</v>
      </c>
      <c r="F360">
        <v>0.49999999999999989</v>
      </c>
      <c r="G360">
        <v>4.9999999999999989E-2</v>
      </c>
      <c r="H360">
        <f t="shared" si="15"/>
        <v>0.54999999999999982</v>
      </c>
      <c r="I360" s="206">
        <f>SUMIFS('1_Presupuesto'!$V:$V,'1_Presupuesto'!$X:$X,K360,'1_Presupuesto'!$E:$E,E360)</f>
        <v>9812019.7942749579</v>
      </c>
      <c r="J360" s="206">
        <f t="shared" si="16"/>
        <v>490600.98971374781</v>
      </c>
      <c r="K360" t="str">
        <f>_xlfn.XLOOKUP(B360,Cert_OC_Cliente!$B:$B,Cert_OC_Cliente!$L:$L)</f>
        <v>PTO 02</v>
      </c>
      <c r="L360" t="str">
        <f t="shared" si="17"/>
        <v>✓</v>
      </c>
    </row>
    <row r="361" spans="1:12" x14ac:dyDescent="0.35">
      <c r="A361" t="s">
        <v>4929</v>
      </c>
      <c r="B361" t="s">
        <v>4932</v>
      </c>
      <c r="C361" t="s">
        <v>4966</v>
      </c>
      <c r="D361" s="205">
        <v>46108</v>
      </c>
      <c r="E361">
        <v>24.08</v>
      </c>
      <c r="F361">
        <v>0.6</v>
      </c>
      <c r="G361">
        <v>5.0000000000000037E-2</v>
      </c>
      <c r="H361">
        <f t="shared" si="15"/>
        <v>0.65</v>
      </c>
      <c r="I361" s="206">
        <f>SUMIFS('1_Presupuesto'!$V:$V,'1_Presupuesto'!$X:$X,K361,'1_Presupuesto'!$E:$E,E361)</f>
        <v>6796909.8784191776</v>
      </c>
      <c r="J361" s="206">
        <f t="shared" si="16"/>
        <v>339845.49392095912</v>
      </c>
      <c r="K361" t="str">
        <f>_xlfn.XLOOKUP(B361,Cert_OC_Cliente!$B:$B,Cert_OC_Cliente!$L:$L)</f>
        <v>PTO 02</v>
      </c>
      <c r="L361" t="str">
        <f t="shared" si="17"/>
        <v>✓</v>
      </c>
    </row>
    <row r="362" spans="1:12" x14ac:dyDescent="0.35">
      <c r="A362" t="s">
        <v>4929</v>
      </c>
      <c r="B362" t="s">
        <v>4932</v>
      </c>
      <c r="C362" t="s">
        <v>4966</v>
      </c>
      <c r="D362" s="205">
        <v>46108</v>
      </c>
      <c r="E362">
        <v>24.09</v>
      </c>
      <c r="F362">
        <v>0.49999999999999989</v>
      </c>
      <c r="G362">
        <v>4.9999999999999989E-2</v>
      </c>
      <c r="H362">
        <f t="shared" si="15"/>
        <v>0.54999999999999982</v>
      </c>
      <c r="I362" s="206">
        <f>SUMIFS('1_Presupuesto'!$V:$V,'1_Presupuesto'!$X:$X,K362,'1_Presupuesto'!$E:$E,E362)</f>
        <v>5910152.861234813</v>
      </c>
      <c r="J362" s="206">
        <f t="shared" si="16"/>
        <v>295507.64306174056</v>
      </c>
      <c r="K362" t="str">
        <f>_xlfn.XLOOKUP(B362,Cert_OC_Cliente!$B:$B,Cert_OC_Cliente!$L:$L)</f>
        <v>PTO 02</v>
      </c>
      <c r="L362" t="str">
        <f t="shared" si="17"/>
        <v>✓</v>
      </c>
    </row>
    <row r="363" spans="1:12" x14ac:dyDescent="0.35">
      <c r="A363" t="s">
        <v>4929</v>
      </c>
      <c r="B363" t="s">
        <v>4932</v>
      </c>
      <c r="C363" t="s">
        <v>4966</v>
      </c>
      <c r="D363" s="205">
        <v>46108</v>
      </c>
      <c r="E363">
        <v>25.01</v>
      </c>
      <c r="F363">
        <v>0.6</v>
      </c>
      <c r="G363">
        <v>5.0000000000000037E-2</v>
      </c>
      <c r="H363">
        <f t="shared" si="15"/>
        <v>0.65</v>
      </c>
      <c r="I363" s="206">
        <f>SUMIFS('1_Presupuesto'!$V:$V,'1_Presupuesto'!$X:$X,K363,'1_Presupuesto'!$E:$E,E363)</f>
        <v>99058404.317748845</v>
      </c>
      <c r="J363" s="206">
        <f t="shared" si="16"/>
        <v>4952920.215887446</v>
      </c>
      <c r="K363" t="str">
        <f>_xlfn.XLOOKUP(B363,Cert_OC_Cliente!$B:$B,Cert_OC_Cliente!$L:$L)</f>
        <v>PTO 02</v>
      </c>
      <c r="L363" t="str">
        <f t="shared" si="17"/>
        <v>✓</v>
      </c>
    </row>
    <row r="364" spans="1:12" x14ac:dyDescent="0.35">
      <c r="A364" t="s">
        <v>4929</v>
      </c>
      <c r="B364" t="s">
        <v>4932</v>
      </c>
      <c r="C364" t="s">
        <v>4966</v>
      </c>
      <c r="D364" s="205">
        <v>46108</v>
      </c>
      <c r="E364">
        <v>25.02</v>
      </c>
      <c r="F364">
        <v>0.6</v>
      </c>
      <c r="G364">
        <v>5.0000000000000037E-2</v>
      </c>
      <c r="H364">
        <f t="shared" si="15"/>
        <v>0.65</v>
      </c>
      <c r="I364" s="206">
        <f>SUMIFS('1_Presupuesto'!$V:$V,'1_Presupuesto'!$X:$X,K364,'1_Presupuesto'!$E:$E,E364)</f>
        <v>11328183.130698629</v>
      </c>
      <c r="J364" s="206">
        <f t="shared" si="16"/>
        <v>566409.15653493186</v>
      </c>
      <c r="K364" t="str">
        <f>_xlfn.XLOOKUP(B364,Cert_OC_Cliente!$B:$B,Cert_OC_Cliente!$L:$L)</f>
        <v>PTO 02</v>
      </c>
      <c r="L364" t="str">
        <f t="shared" si="17"/>
        <v>✓</v>
      </c>
    </row>
    <row r="365" spans="1:12" x14ac:dyDescent="0.35">
      <c r="A365" t="s">
        <v>4929</v>
      </c>
      <c r="B365" t="s">
        <v>4932</v>
      </c>
      <c r="C365" t="s">
        <v>4967</v>
      </c>
      <c r="D365" s="205">
        <v>46140</v>
      </c>
      <c r="E365">
        <v>4.01</v>
      </c>
      <c r="F365">
        <v>0.87</v>
      </c>
      <c r="G365">
        <v>3.000000000000003E-2</v>
      </c>
      <c r="H365">
        <f t="shared" si="15"/>
        <v>0.9</v>
      </c>
      <c r="I365" s="206">
        <f>SUMIFS('1_Presupuesto'!$V:$V,'1_Presupuesto'!$X:$X,K365,'1_Presupuesto'!$E:$E,E365)</f>
        <v>22289464.745651998</v>
      </c>
      <c r="J365" s="206">
        <f t="shared" si="16"/>
        <v>668683.94236956059</v>
      </c>
      <c r="K365" t="str">
        <f>_xlfn.XLOOKUP(B365,Cert_OC_Cliente!$B:$B,Cert_OC_Cliente!$L:$L)</f>
        <v>PTO 02</v>
      </c>
      <c r="L365" t="str">
        <f t="shared" si="17"/>
        <v>✓</v>
      </c>
    </row>
    <row r="366" spans="1:12" x14ac:dyDescent="0.35">
      <c r="A366" t="s">
        <v>4929</v>
      </c>
      <c r="B366" t="s">
        <v>4932</v>
      </c>
      <c r="C366" t="s">
        <v>4967</v>
      </c>
      <c r="D366" s="205">
        <v>46140</v>
      </c>
      <c r="E366">
        <v>4.0199999999999996</v>
      </c>
      <c r="F366">
        <v>0.9</v>
      </c>
      <c r="G366">
        <v>2.0000000000000021E-2</v>
      </c>
      <c r="H366">
        <f t="shared" si="15"/>
        <v>0.92</v>
      </c>
      <c r="I366" s="206">
        <f>SUMIFS('1_Presupuesto'!$V:$V,'1_Presupuesto'!$X:$X,K366,'1_Presupuesto'!$E:$E,E366)</f>
        <v>19060436.605236452</v>
      </c>
      <c r="J366" s="206">
        <f t="shared" si="16"/>
        <v>381208.73210472945</v>
      </c>
      <c r="K366" t="str">
        <f>_xlfn.XLOOKUP(B366,Cert_OC_Cliente!$B:$B,Cert_OC_Cliente!$L:$L)</f>
        <v>PTO 02</v>
      </c>
      <c r="L366" t="str">
        <f t="shared" si="17"/>
        <v>✓</v>
      </c>
    </row>
    <row r="367" spans="1:12" x14ac:dyDescent="0.35">
      <c r="A367" t="s">
        <v>4929</v>
      </c>
      <c r="B367" t="s">
        <v>4932</v>
      </c>
      <c r="C367" t="s">
        <v>4967</v>
      </c>
      <c r="D367" s="205">
        <v>46140</v>
      </c>
      <c r="E367">
        <v>4.04</v>
      </c>
      <c r="F367">
        <v>0.85</v>
      </c>
      <c r="G367">
        <v>9.9999999999999978E-2</v>
      </c>
      <c r="H367">
        <f t="shared" si="15"/>
        <v>0.95</v>
      </c>
      <c r="I367" s="206">
        <f>SUMIFS('1_Presupuesto'!$V:$V,'1_Presupuesto'!$X:$X,K367,'1_Presupuesto'!$E:$E,E367)</f>
        <v>1207319.07622362</v>
      </c>
      <c r="J367" s="206">
        <f t="shared" si="16"/>
        <v>120731.90762236198</v>
      </c>
      <c r="K367" t="str">
        <f>_xlfn.XLOOKUP(B367,Cert_OC_Cliente!$B:$B,Cert_OC_Cliente!$L:$L)</f>
        <v>PTO 02</v>
      </c>
      <c r="L367" t="str">
        <f t="shared" si="17"/>
        <v>✓</v>
      </c>
    </row>
    <row r="368" spans="1:12" x14ac:dyDescent="0.35">
      <c r="A368" t="s">
        <v>4929</v>
      </c>
      <c r="B368" t="s">
        <v>4932</v>
      </c>
      <c r="C368" t="s">
        <v>4967</v>
      </c>
      <c r="D368" s="205">
        <v>46140</v>
      </c>
      <c r="E368">
        <v>4.05</v>
      </c>
      <c r="F368">
        <v>0.1</v>
      </c>
      <c r="G368">
        <v>0.4</v>
      </c>
      <c r="H368">
        <f t="shared" si="15"/>
        <v>0.5</v>
      </c>
      <c r="I368" s="206">
        <f>SUMIFS('1_Presupuesto'!$V:$V,'1_Presupuesto'!$X:$X,K368,'1_Presupuesto'!$E:$E,E368)</f>
        <v>2585307.4938179324</v>
      </c>
      <c r="J368" s="206">
        <f t="shared" si="16"/>
        <v>1034122.997527173</v>
      </c>
      <c r="K368" t="str">
        <f>_xlfn.XLOOKUP(B368,Cert_OC_Cliente!$B:$B,Cert_OC_Cliente!$L:$L)</f>
        <v>PTO 02</v>
      </c>
      <c r="L368" t="str">
        <f t="shared" si="17"/>
        <v>✓</v>
      </c>
    </row>
    <row r="369" spans="1:12" x14ac:dyDescent="0.35">
      <c r="A369" t="s">
        <v>4929</v>
      </c>
      <c r="B369" t="s">
        <v>4932</v>
      </c>
      <c r="C369" t="s">
        <v>4967</v>
      </c>
      <c r="D369" s="205">
        <v>46140</v>
      </c>
      <c r="E369">
        <v>4.0599999999999996</v>
      </c>
      <c r="F369">
        <v>0.1</v>
      </c>
      <c r="G369">
        <v>0.9</v>
      </c>
      <c r="H369">
        <f t="shared" si="15"/>
        <v>1</v>
      </c>
      <c r="I369" s="206">
        <f>SUMIFS('1_Presupuesto'!$V:$V,'1_Presupuesto'!$X:$X,K369,'1_Presupuesto'!$E:$E,E369)</f>
        <v>143358.94035564177</v>
      </c>
      <c r="J369" s="206">
        <f t="shared" si="16"/>
        <v>129023.0463200776</v>
      </c>
      <c r="K369" t="str">
        <f>_xlfn.XLOOKUP(B369,Cert_OC_Cliente!$B:$B,Cert_OC_Cliente!$L:$L)</f>
        <v>PTO 02</v>
      </c>
      <c r="L369" t="str">
        <f t="shared" si="17"/>
        <v>✓</v>
      </c>
    </row>
    <row r="370" spans="1:12" x14ac:dyDescent="0.35">
      <c r="A370" t="s">
        <v>4929</v>
      </c>
      <c r="B370" t="s">
        <v>4932</v>
      </c>
      <c r="C370" t="s">
        <v>4967</v>
      </c>
      <c r="D370" s="205">
        <v>46140</v>
      </c>
      <c r="E370">
        <v>5.01</v>
      </c>
      <c r="F370">
        <v>0</v>
      </c>
      <c r="G370">
        <v>0.25</v>
      </c>
      <c r="H370">
        <f t="shared" si="15"/>
        <v>0.25</v>
      </c>
      <c r="I370" s="206">
        <f>SUMIFS('1_Presupuesto'!$V:$V,'1_Presupuesto'!$X:$X,K370,'1_Presupuesto'!$E:$E,E370)</f>
        <v>883407.51180308696</v>
      </c>
      <c r="J370" s="206">
        <f t="shared" si="16"/>
        <v>220851.87795077174</v>
      </c>
      <c r="K370" t="str">
        <f>_xlfn.XLOOKUP(B370,Cert_OC_Cliente!$B:$B,Cert_OC_Cliente!$L:$L)</f>
        <v>PTO 02</v>
      </c>
      <c r="L370" t="str">
        <f t="shared" si="17"/>
        <v>✓</v>
      </c>
    </row>
    <row r="371" spans="1:12" x14ac:dyDescent="0.35">
      <c r="A371" t="s">
        <v>4929</v>
      </c>
      <c r="B371" t="s">
        <v>4932</v>
      </c>
      <c r="C371" t="s">
        <v>4967</v>
      </c>
      <c r="D371" s="205">
        <v>46140</v>
      </c>
      <c r="E371">
        <v>5.0199999999999996</v>
      </c>
      <c r="F371">
        <v>0</v>
      </c>
      <c r="G371">
        <v>0.3</v>
      </c>
      <c r="H371">
        <f t="shared" si="15"/>
        <v>0.3</v>
      </c>
      <c r="I371" s="206">
        <f>SUMIFS('1_Presupuesto'!$V:$V,'1_Presupuesto'!$X:$X,K371,'1_Presupuesto'!$E:$E,E371)</f>
        <v>2561760.0096084238</v>
      </c>
      <c r="J371" s="206">
        <f t="shared" si="16"/>
        <v>768528.00288252707</v>
      </c>
      <c r="K371" t="str">
        <f>_xlfn.XLOOKUP(B371,Cert_OC_Cliente!$B:$B,Cert_OC_Cliente!$L:$L)</f>
        <v>PTO 02</v>
      </c>
      <c r="L371" t="str">
        <f t="shared" si="17"/>
        <v>✓</v>
      </c>
    </row>
    <row r="372" spans="1:12" x14ac:dyDescent="0.35">
      <c r="A372" t="s">
        <v>4929</v>
      </c>
      <c r="B372" t="s">
        <v>4932</v>
      </c>
      <c r="C372" t="s">
        <v>4967</v>
      </c>
      <c r="D372" s="205">
        <v>46140</v>
      </c>
      <c r="E372">
        <v>5.0599999999999996</v>
      </c>
      <c r="F372">
        <v>0</v>
      </c>
      <c r="G372">
        <v>0.3</v>
      </c>
      <c r="H372">
        <f t="shared" si="15"/>
        <v>0.3</v>
      </c>
      <c r="I372" s="206">
        <f>SUMIFS('1_Presupuesto'!$V:$V,'1_Presupuesto'!$X:$X,K372,'1_Presupuesto'!$E:$E,E372)</f>
        <v>10992781.880976241</v>
      </c>
      <c r="J372" s="206">
        <f t="shared" si="16"/>
        <v>3297834.5642928723</v>
      </c>
      <c r="K372" t="str">
        <f>_xlfn.XLOOKUP(B372,Cert_OC_Cliente!$B:$B,Cert_OC_Cliente!$L:$L)</f>
        <v>PTO 02</v>
      </c>
      <c r="L372" t="str">
        <f t="shared" si="17"/>
        <v>✓</v>
      </c>
    </row>
    <row r="373" spans="1:12" x14ac:dyDescent="0.35">
      <c r="A373" t="s">
        <v>4929</v>
      </c>
      <c r="B373" t="s">
        <v>4932</v>
      </c>
      <c r="C373" t="s">
        <v>4967</v>
      </c>
      <c r="D373" s="205">
        <v>46140</v>
      </c>
      <c r="E373">
        <v>7.01</v>
      </c>
      <c r="F373">
        <v>0</v>
      </c>
      <c r="G373">
        <v>0.3</v>
      </c>
      <c r="H373">
        <f t="shared" si="15"/>
        <v>0.3</v>
      </c>
      <c r="I373" s="206">
        <f>SUMIFS('1_Presupuesto'!$V:$V,'1_Presupuesto'!$X:$X,K373,'1_Presupuesto'!$E:$E,E373)</f>
        <v>17529179.260115553</v>
      </c>
      <c r="J373" s="206">
        <f t="shared" si="16"/>
        <v>5258753.7780346656</v>
      </c>
      <c r="K373" t="str">
        <f>_xlfn.XLOOKUP(B373,Cert_OC_Cliente!$B:$B,Cert_OC_Cliente!$L:$L)</f>
        <v>PTO 02</v>
      </c>
      <c r="L373" t="str">
        <f t="shared" si="17"/>
        <v>✓</v>
      </c>
    </row>
    <row r="374" spans="1:12" x14ac:dyDescent="0.35">
      <c r="A374" t="s">
        <v>4929</v>
      </c>
      <c r="B374" t="s">
        <v>4932</v>
      </c>
      <c r="C374" t="s">
        <v>4967</v>
      </c>
      <c r="D374" s="205">
        <v>46140</v>
      </c>
      <c r="E374">
        <v>7.02</v>
      </c>
      <c r="F374">
        <v>0.55000000000000004</v>
      </c>
      <c r="G374">
        <v>0.2</v>
      </c>
      <c r="H374">
        <f t="shared" si="15"/>
        <v>0.75</v>
      </c>
      <c r="I374" s="206">
        <f>SUMIFS('1_Presupuesto'!$V:$V,'1_Presupuesto'!$X:$X,K374,'1_Presupuesto'!$E:$E,E374)</f>
        <v>19164786.150262561</v>
      </c>
      <c r="J374" s="206">
        <f t="shared" si="16"/>
        <v>3832957.2300525121</v>
      </c>
      <c r="K374" t="str">
        <f>_xlfn.XLOOKUP(B374,Cert_OC_Cliente!$B:$B,Cert_OC_Cliente!$L:$L)</f>
        <v>PTO 02</v>
      </c>
      <c r="L374" t="str">
        <f t="shared" si="17"/>
        <v>✓</v>
      </c>
    </row>
    <row r="375" spans="1:12" x14ac:dyDescent="0.35">
      <c r="A375" t="s">
        <v>4929</v>
      </c>
      <c r="B375" t="s">
        <v>4932</v>
      </c>
      <c r="C375" t="s">
        <v>4967</v>
      </c>
      <c r="D375" s="205">
        <v>46140</v>
      </c>
      <c r="E375">
        <v>7.03</v>
      </c>
      <c r="F375">
        <v>0.79999999999999993</v>
      </c>
      <c r="G375">
        <v>9.9999999999999978E-2</v>
      </c>
      <c r="H375">
        <f t="shared" si="15"/>
        <v>0.89999999999999991</v>
      </c>
      <c r="I375" s="206">
        <f>SUMIFS('1_Presupuesto'!$V:$V,'1_Presupuesto'!$X:$X,K375,'1_Presupuesto'!$E:$E,E375)</f>
        <v>33043643.401339307</v>
      </c>
      <c r="J375" s="206">
        <f t="shared" si="16"/>
        <v>3304364.3401339301</v>
      </c>
      <c r="K375" t="str">
        <f>_xlfn.XLOOKUP(B375,Cert_OC_Cliente!$B:$B,Cert_OC_Cliente!$L:$L)</f>
        <v>PTO 02</v>
      </c>
      <c r="L375" t="str">
        <f t="shared" si="17"/>
        <v>✓</v>
      </c>
    </row>
    <row r="376" spans="1:12" x14ac:dyDescent="0.35">
      <c r="A376" t="s">
        <v>4929</v>
      </c>
      <c r="B376" t="s">
        <v>4932</v>
      </c>
      <c r="C376" t="s">
        <v>4967</v>
      </c>
      <c r="D376" s="205">
        <v>46140</v>
      </c>
      <c r="E376">
        <v>7.04</v>
      </c>
      <c r="F376">
        <v>0.79999999999999993</v>
      </c>
      <c r="G376">
        <v>9.9999999999999978E-2</v>
      </c>
      <c r="H376">
        <f t="shared" si="15"/>
        <v>0.89999999999999991</v>
      </c>
      <c r="I376" s="206">
        <f>SUMIFS('1_Presupuesto'!$V:$V,'1_Presupuesto'!$X:$X,K376,'1_Presupuesto'!$E:$E,E376)</f>
        <v>5867168.4969474869</v>
      </c>
      <c r="J376" s="206">
        <f t="shared" si="16"/>
        <v>586716.84969474853</v>
      </c>
      <c r="K376" t="str">
        <f>_xlfn.XLOOKUP(B376,Cert_OC_Cliente!$B:$B,Cert_OC_Cliente!$L:$L)</f>
        <v>PTO 02</v>
      </c>
      <c r="L376" t="str">
        <f t="shared" si="17"/>
        <v>✓</v>
      </c>
    </row>
    <row r="377" spans="1:12" x14ac:dyDescent="0.35">
      <c r="A377" t="s">
        <v>4929</v>
      </c>
      <c r="B377" t="s">
        <v>4932</v>
      </c>
      <c r="C377" t="s">
        <v>4967</v>
      </c>
      <c r="D377" s="205">
        <v>46140</v>
      </c>
      <c r="E377">
        <v>7.05</v>
      </c>
      <c r="F377">
        <v>0.79999999999999993</v>
      </c>
      <c r="G377">
        <v>9.9999999999999978E-2</v>
      </c>
      <c r="H377">
        <f t="shared" si="15"/>
        <v>0.89999999999999991</v>
      </c>
      <c r="I377" s="206">
        <f>SUMIFS('1_Presupuesto'!$V:$V,'1_Presupuesto'!$X:$X,K377,'1_Presupuesto'!$E:$E,E377)</f>
        <v>2558676.04249387</v>
      </c>
      <c r="J377" s="206">
        <f t="shared" si="16"/>
        <v>255867.60424938693</v>
      </c>
      <c r="K377" t="str">
        <f>_xlfn.XLOOKUP(B377,Cert_OC_Cliente!$B:$B,Cert_OC_Cliente!$L:$L)</f>
        <v>PTO 02</v>
      </c>
      <c r="L377" t="str">
        <f t="shared" si="17"/>
        <v>✓</v>
      </c>
    </row>
    <row r="378" spans="1:12" x14ac:dyDescent="0.35">
      <c r="A378" t="s">
        <v>4929</v>
      </c>
      <c r="B378" t="s">
        <v>4932</v>
      </c>
      <c r="C378" t="s">
        <v>4967</v>
      </c>
      <c r="D378" s="205">
        <v>46140</v>
      </c>
      <c r="E378">
        <v>7.06</v>
      </c>
      <c r="F378">
        <v>0.25</v>
      </c>
      <c r="G378">
        <v>0.45</v>
      </c>
      <c r="H378">
        <f t="shared" si="15"/>
        <v>0.7</v>
      </c>
      <c r="I378" s="206">
        <f>SUMIFS('1_Presupuesto'!$V:$V,'1_Presupuesto'!$X:$X,K378,'1_Presupuesto'!$E:$E,E378)</f>
        <v>14158950.255610978</v>
      </c>
      <c r="J378" s="206">
        <f t="shared" si="16"/>
        <v>6371527.6150249401</v>
      </c>
      <c r="K378" t="str">
        <f>_xlfn.XLOOKUP(B378,Cert_OC_Cliente!$B:$B,Cert_OC_Cliente!$L:$L)</f>
        <v>PTO 02</v>
      </c>
      <c r="L378" t="str">
        <f t="shared" si="17"/>
        <v>✓</v>
      </c>
    </row>
    <row r="379" spans="1:12" x14ac:dyDescent="0.35">
      <c r="A379" t="s">
        <v>4929</v>
      </c>
      <c r="B379" t="s">
        <v>4932</v>
      </c>
      <c r="C379" t="s">
        <v>4967</v>
      </c>
      <c r="D379" s="205">
        <v>46140</v>
      </c>
      <c r="E379">
        <v>8.07</v>
      </c>
      <c r="F379">
        <v>0</v>
      </c>
      <c r="G379">
        <v>0.05</v>
      </c>
      <c r="H379">
        <f t="shared" si="15"/>
        <v>0.05</v>
      </c>
      <c r="I379" s="206">
        <f>SUMIFS('1_Presupuesto'!$V:$V,'1_Presupuesto'!$X:$X,K379,'1_Presupuesto'!$E:$E,E379)</f>
        <v>6336019.4916287214</v>
      </c>
      <c r="J379" s="206">
        <f t="shared" si="16"/>
        <v>316800.97458143608</v>
      </c>
      <c r="K379" t="str">
        <f>_xlfn.XLOOKUP(B379,Cert_OC_Cliente!$B:$B,Cert_OC_Cliente!$L:$L)</f>
        <v>PTO 02</v>
      </c>
      <c r="L379" t="str">
        <f t="shared" si="17"/>
        <v>✓</v>
      </c>
    </row>
    <row r="380" spans="1:12" x14ac:dyDescent="0.35">
      <c r="A380" t="s">
        <v>4929</v>
      </c>
      <c r="B380" t="s">
        <v>4932</v>
      </c>
      <c r="C380" t="s">
        <v>4967</v>
      </c>
      <c r="D380" s="205">
        <v>46140</v>
      </c>
      <c r="E380">
        <v>10.01</v>
      </c>
      <c r="F380">
        <v>0.75</v>
      </c>
      <c r="G380">
        <v>0.15</v>
      </c>
      <c r="H380">
        <f t="shared" si="15"/>
        <v>0.9</v>
      </c>
      <c r="I380" s="206">
        <f>SUMIFS('1_Presupuesto'!$V:$V,'1_Presupuesto'!$X:$X,K380,'1_Presupuesto'!$E:$E,E380)</f>
        <v>1844531.3872844379</v>
      </c>
      <c r="J380" s="206">
        <f t="shared" si="16"/>
        <v>276679.70809266565</v>
      </c>
      <c r="K380" t="str">
        <f>_xlfn.XLOOKUP(B380,Cert_OC_Cliente!$B:$B,Cert_OC_Cliente!$L:$L)</f>
        <v>PTO 02</v>
      </c>
      <c r="L380" t="str">
        <f t="shared" si="17"/>
        <v>✓</v>
      </c>
    </row>
    <row r="381" spans="1:12" x14ac:dyDescent="0.35">
      <c r="A381" t="s">
        <v>4929</v>
      </c>
      <c r="B381" t="s">
        <v>4932</v>
      </c>
      <c r="C381" t="s">
        <v>4967</v>
      </c>
      <c r="D381" s="205">
        <v>46140</v>
      </c>
      <c r="E381">
        <v>10.02</v>
      </c>
      <c r="F381">
        <v>0</v>
      </c>
      <c r="G381">
        <v>0.1</v>
      </c>
      <c r="H381">
        <f t="shared" si="15"/>
        <v>0.1</v>
      </c>
      <c r="I381" s="206">
        <f>SUMIFS('1_Presupuesto'!$V:$V,'1_Presupuesto'!$X:$X,K381,'1_Presupuesto'!$E:$E,E381)</f>
        <v>1214936.299454513</v>
      </c>
      <c r="J381" s="206">
        <f t="shared" si="16"/>
        <v>121493.62994545131</v>
      </c>
      <c r="K381" t="str">
        <f>_xlfn.XLOOKUP(B381,Cert_OC_Cliente!$B:$B,Cert_OC_Cliente!$L:$L)</f>
        <v>PTO 02</v>
      </c>
      <c r="L381" t="str">
        <f t="shared" si="17"/>
        <v>✓</v>
      </c>
    </row>
    <row r="382" spans="1:12" x14ac:dyDescent="0.35">
      <c r="A382" t="s">
        <v>4929</v>
      </c>
      <c r="B382" t="s">
        <v>4932</v>
      </c>
      <c r="C382" t="s">
        <v>4967</v>
      </c>
      <c r="D382" s="205">
        <v>46140</v>
      </c>
      <c r="E382">
        <v>14.03</v>
      </c>
      <c r="F382">
        <v>0.2</v>
      </c>
      <c r="G382">
        <v>0.1</v>
      </c>
      <c r="H382">
        <f t="shared" si="15"/>
        <v>0.30000000000000004</v>
      </c>
      <c r="I382" s="206">
        <f>SUMIFS('1_Presupuesto'!$V:$V,'1_Presupuesto'!$X:$X,K382,'1_Presupuesto'!$E:$E,E382)</f>
        <v>4118904.3140828707</v>
      </c>
      <c r="J382" s="206">
        <f t="shared" si="16"/>
        <v>411890.43140828708</v>
      </c>
      <c r="K382" t="str">
        <f>_xlfn.XLOOKUP(B382,Cert_OC_Cliente!$B:$B,Cert_OC_Cliente!$L:$L)</f>
        <v>PTO 02</v>
      </c>
      <c r="L382" t="str">
        <f t="shared" si="17"/>
        <v>✓</v>
      </c>
    </row>
    <row r="383" spans="1:12" x14ac:dyDescent="0.35">
      <c r="A383" t="s">
        <v>4929</v>
      </c>
      <c r="B383" t="s">
        <v>4932</v>
      </c>
      <c r="C383" t="s">
        <v>4967</v>
      </c>
      <c r="D383" s="205">
        <v>46140</v>
      </c>
      <c r="E383">
        <v>14.04</v>
      </c>
      <c r="F383">
        <v>0.2</v>
      </c>
      <c r="G383">
        <v>0.1</v>
      </c>
      <c r="H383">
        <f t="shared" si="15"/>
        <v>0.30000000000000004</v>
      </c>
      <c r="I383" s="206">
        <f>SUMIFS('1_Presupuesto'!$V:$V,'1_Presupuesto'!$X:$X,K383,'1_Presupuesto'!$E:$E,E383)</f>
        <v>3660715.3766015153</v>
      </c>
      <c r="J383" s="206">
        <f t="shared" si="16"/>
        <v>366071.53766015155</v>
      </c>
      <c r="K383" t="str">
        <f>_xlfn.XLOOKUP(B383,Cert_OC_Cliente!$B:$B,Cert_OC_Cliente!$L:$L)</f>
        <v>PTO 02</v>
      </c>
      <c r="L383" t="str">
        <f t="shared" si="17"/>
        <v>✓</v>
      </c>
    </row>
    <row r="384" spans="1:12" x14ac:dyDescent="0.35">
      <c r="A384" t="s">
        <v>4929</v>
      </c>
      <c r="B384" t="s">
        <v>4932</v>
      </c>
      <c r="C384" t="s">
        <v>4967</v>
      </c>
      <c r="D384" s="205">
        <v>46140</v>
      </c>
      <c r="E384">
        <v>17.02</v>
      </c>
      <c r="F384">
        <v>0</v>
      </c>
      <c r="G384">
        <v>0.7</v>
      </c>
      <c r="H384">
        <f t="shared" si="15"/>
        <v>0.7</v>
      </c>
      <c r="I384" s="206">
        <f>SUMIFS('1_Presupuesto'!$V:$V,'1_Presupuesto'!$X:$X,K384,'1_Presupuesto'!$E:$E,E384)</f>
        <v>872523.09467364079</v>
      </c>
      <c r="J384" s="206">
        <f t="shared" si="16"/>
        <v>610766.16627154849</v>
      </c>
      <c r="K384" t="str">
        <f>_xlfn.XLOOKUP(B384,Cert_OC_Cliente!$B:$B,Cert_OC_Cliente!$L:$L)</f>
        <v>PTO 02</v>
      </c>
      <c r="L384" t="str">
        <f t="shared" si="17"/>
        <v>✓</v>
      </c>
    </row>
    <row r="385" spans="1:12" x14ac:dyDescent="0.35">
      <c r="A385" t="s">
        <v>4929</v>
      </c>
      <c r="B385" t="s">
        <v>4932</v>
      </c>
      <c r="C385" t="s">
        <v>4967</v>
      </c>
      <c r="D385" s="205">
        <v>46140</v>
      </c>
      <c r="E385">
        <v>17.03</v>
      </c>
      <c r="F385">
        <v>0.89999999999999991</v>
      </c>
      <c r="G385">
        <v>9.9999999999999978E-2</v>
      </c>
      <c r="H385">
        <f t="shared" si="15"/>
        <v>0.99999999999999989</v>
      </c>
      <c r="I385" s="206">
        <f>SUMIFS('1_Presupuesto'!$V:$V,'1_Presupuesto'!$X:$X,K385,'1_Presupuesto'!$E:$E,E385)</f>
        <v>3325413.5444801827</v>
      </c>
      <c r="J385" s="206">
        <f t="shared" si="16"/>
        <v>332541.35444801819</v>
      </c>
      <c r="K385" t="str">
        <f>_xlfn.XLOOKUP(B385,Cert_OC_Cliente!$B:$B,Cert_OC_Cliente!$L:$L)</f>
        <v>PTO 02</v>
      </c>
      <c r="L385" t="str">
        <f t="shared" si="17"/>
        <v>✓</v>
      </c>
    </row>
    <row r="386" spans="1:12" x14ac:dyDescent="0.35">
      <c r="A386" t="s">
        <v>4929</v>
      </c>
      <c r="B386" t="s">
        <v>4932</v>
      </c>
      <c r="C386" t="s">
        <v>4967</v>
      </c>
      <c r="D386" s="205">
        <v>46140</v>
      </c>
      <c r="E386">
        <v>18.010000000000002</v>
      </c>
      <c r="F386">
        <v>0.5149999999999999</v>
      </c>
      <c r="G386">
        <v>2.0000000000000021E-2</v>
      </c>
      <c r="H386">
        <f t="shared" ref="H386:H449" si="18">F386+G386</f>
        <v>0.53499999999999992</v>
      </c>
      <c r="I386" s="206">
        <f>SUMIFS('1_Presupuesto'!$V:$V,'1_Presupuesto'!$X:$X,K386,'1_Presupuesto'!$E:$E,E386)</f>
        <v>0</v>
      </c>
      <c r="J386" s="206">
        <f t="shared" ref="J386:J449" si="19">G386*I386</f>
        <v>0</v>
      </c>
      <c r="K386" t="str">
        <f>_xlfn.XLOOKUP(B386,Cert_OC_Cliente!$B:$B,Cert_OC_Cliente!$L:$L)</f>
        <v>PTO 02</v>
      </c>
      <c r="L386" t="str">
        <f t="shared" ref="L386:L449" si="20">IF($E386="","",IF(AND(ISNUMBER($I386),$H386&lt;=1.0001),"✓","⚠"))</f>
        <v>✓</v>
      </c>
    </row>
    <row r="387" spans="1:12" x14ac:dyDescent="0.35">
      <c r="A387" t="s">
        <v>4929</v>
      </c>
      <c r="B387" t="s">
        <v>4932</v>
      </c>
      <c r="C387" t="s">
        <v>4967</v>
      </c>
      <c r="D387" s="205">
        <v>46140</v>
      </c>
      <c r="E387">
        <v>18.02</v>
      </c>
      <c r="F387">
        <v>0.46500000000000002</v>
      </c>
      <c r="G387">
        <v>2.9999999999999971E-2</v>
      </c>
      <c r="H387">
        <f t="shared" si="18"/>
        <v>0.495</v>
      </c>
      <c r="I387" s="206">
        <f>SUMIFS('1_Presupuesto'!$V:$V,'1_Presupuesto'!$X:$X,K387,'1_Presupuesto'!$E:$E,E387)</f>
        <v>4540566.038479845</v>
      </c>
      <c r="J387" s="206">
        <f t="shared" si="19"/>
        <v>136216.98115439521</v>
      </c>
      <c r="K387" t="str">
        <f>_xlfn.XLOOKUP(B387,Cert_OC_Cliente!$B:$B,Cert_OC_Cliente!$L:$L)</f>
        <v>PTO 02</v>
      </c>
      <c r="L387" t="str">
        <f t="shared" si="20"/>
        <v>✓</v>
      </c>
    </row>
    <row r="388" spans="1:12" x14ac:dyDescent="0.35">
      <c r="A388" t="s">
        <v>4929</v>
      </c>
      <c r="B388" t="s">
        <v>4932</v>
      </c>
      <c r="C388" t="s">
        <v>4967</v>
      </c>
      <c r="D388" s="205">
        <v>46140</v>
      </c>
      <c r="E388">
        <v>18.07</v>
      </c>
      <c r="F388">
        <v>0.47299999999999998</v>
      </c>
      <c r="G388">
        <v>2.9999999999999971E-2</v>
      </c>
      <c r="H388">
        <f t="shared" si="18"/>
        <v>0.50299999999999989</v>
      </c>
      <c r="I388" s="206">
        <f>SUMIFS('1_Presupuesto'!$V:$V,'1_Presupuesto'!$X:$X,K388,'1_Presupuesto'!$E:$E,E388)</f>
        <v>15628623.979244839</v>
      </c>
      <c r="J388" s="206">
        <f t="shared" si="19"/>
        <v>468858.71937734471</v>
      </c>
      <c r="K388" t="str">
        <f>_xlfn.XLOOKUP(B388,Cert_OC_Cliente!$B:$B,Cert_OC_Cliente!$L:$L)</f>
        <v>PTO 02</v>
      </c>
      <c r="L388" t="str">
        <f t="shared" si="20"/>
        <v>✓</v>
      </c>
    </row>
    <row r="389" spans="1:12" x14ac:dyDescent="0.35">
      <c r="A389" t="s">
        <v>4929</v>
      </c>
      <c r="B389" t="s">
        <v>4932</v>
      </c>
      <c r="C389" t="s">
        <v>4967</v>
      </c>
      <c r="D389" s="205">
        <v>46140</v>
      </c>
      <c r="E389">
        <v>18.079999999999998</v>
      </c>
      <c r="F389">
        <v>0.47</v>
      </c>
      <c r="G389">
        <v>2.9999999999999971E-2</v>
      </c>
      <c r="H389">
        <f t="shared" si="18"/>
        <v>0.49999999999999994</v>
      </c>
      <c r="I389" s="206">
        <f>SUMIFS('1_Presupuesto'!$V:$V,'1_Presupuesto'!$X:$X,K389,'1_Presupuesto'!$E:$E,E389)</f>
        <v>3049848.1124811382</v>
      </c>
      <c r="J389" s="206">
        <f t="shared" si="19"/>
        <v>91495.443374434064</v>
      </c>
      <c r="K389" t="str">
        <f>_xlfn.XLOOKUP(B389,Cert_OC_Cliente!$B:$B,Cert_OC_Cliente!$L:$L)</f>
        <v>PTO 02</v>
      </c>
      <c r="L389" t="str">
        <f t="shared" si="20"/>
        <v>✓</v>
      </c>
    </row>
    <row r="390" spans="1:12" x14ac:dyDescent="0.35">
      <c r="A390" t="s">
        <v>4929</v>
      </c>
      <c r="B390" t="s">
        <v>4932</v>
      </c>
      <c r="C390" t="s">
        <v>4967</v>
      </c>
      <c r="D390" s="205">
        <v>46140</v>
      </c>
      <c r="E390">
        <v>18.12</v>
      </c>
      <c r="F390">
        <v>0.57000000000000006</v>
      </c>
      <c r="G390">
        <v>3.000000000000003E-2</v>
      </c>
      <c r="H390">
        <f t="shared" si="18"/>
        <v>0.60000000000000009</v>
      </c>
      <c r="I390" s="206">
        <f>SUMIFS('1_Presupuesto'!$V:$V,'1_Presupuesto'!$X:$X,K390,'1_Presupuesto'!$E:$E,E390)</f>
        <v>1366621.284136306</v>
      </c>
      <c r="J390" s="206">
        <f t="shared" si="19"/>
        <v>40998.63852408922</v>
      </c>
      <c r="K390" t="str">
        <f>_xlfn.XLOOKUP(B390,Cert_OC_Cliente!$B:$B,Cert_OC_Cliente!$L:$L)</f>
        <v>PTO 02</v>
      </c>
      <c r="L390" t="str">
        <f t="shared" si="20"/>
        <v>✓</v>
      </c>
    </row>
    <row r="391" spans="1:12" x14ac:dyDescent="0.35">
      <c r="A391" t="s">
        <v>4929</v>
      </c>
      <c r="B391" t="s">
        <v>4932</v>
      </c>
      <c r="C391" t="s">
        <v>4967</v>
      </c>
      <c r="D391" s="205">
        <v>46140</v>
      </c>
      <c r="E391">
        <v>18.14</v>
      </c>
      <c r="F391">
        <v>0.57000000000000006</v>
      </c>
      <c r="G391">
        <v>3.000000000000003E-2</v>
      </c>
      <c r="H391">
        <f t="shared" si="18"/>
        <v>0.60000000000000009</v>
      </c>
      <c r="I391" s="206">
        <f>SUMIFS('1_Presupuesto'!$V:$V,'1_Presupuesto'!$X:$X,K391,'1_Presupuesto'!$E:$E,E391)</f>
        <v>1467852.4903686249</v>
      </c>
      <c r="J391" s="206">
        <f t="shared" si="19"/>
        <v>44035.574711058791</v>
      </c>
      <c r="K391" t="str">
        <f>_xlfn.XLOOKUP(B391,Cert_OC_Cliente!$B:$B,Cert_OC_Cliente!$L:$L)</f>
        <v>PTO 02</v>
      </c>
      <c r="L391" t="str">
        <f t="shared" si="20"/>
        <v>✓</v>
      </c>
    </row>
    <row r="392" spans="1:12" x14ac:dyDescent="0.35">
      <c r="A392" t="s">
        <v>4929</v>
      </c>
      <c r="B392" t="s">
        <v>4932</v>
      </c>
      <c r="C392" t="s">
        <v>4967</v>
      </c>
      <c r="D392" s="205">
        <v>46140</v>
      </c>
      <c r="E392">
        <v>18.190000000000001</v>
      </c>
      <c r="F392">
        <v>0.2</v>
      </c>
      <c r="G392">
        <v>0.1</v>
      </c>
      <c r="H392">
        <f t="shared" si="18"/>
        <v>0.30000000000000004</v>
      </c>
      <c r="I392" s="206">
        <f>SUMIFS('1_Presupuesto'!$V:$V,'1_Presupuesto'!$X:$X,K392,'1_Presupuesto'!$E:$E,E392)</f>
        <v>5358679.4448621087</v>
      </c>
      <c r="J392" s="206">
        <f t="shared" si="19"/>
        <v>535867.94448621094</v>
      </c>
      <c r="K392" t="str">
        <f>_xlfn.XLOOKUP(B392,Cert_OC_Cliente!$B:$B,Cert_OC_Cliente!$L:$L)</f>
        <v>PTO 02</v>
      </c>
      <c r="L392" t="str">
        <f t="shared" si="20"/>
        <v>✓</v>
      </c>
    </row>
    <row r="393" spans="1:12" x14ac:dyDescent="0.35">
      <c r="A393" t="s">
        <v>4929</v>
      </c>
      <c r="B393" t="s">
        <v>4932</v>
      </c>
      <c r="C393" t="s">
        <v>4967</v>
      </c>
      <c r="D393" s="205">
        <v>46140</v>
      </c>
      <c r="E393">
        <v>18.2</v>
      </c>
      <c r="F393">
        <v>0.15</v>
      </c>
      <c r="G393">
        <v>0.15</v>
      </c>
      <c r="H393">
        <f t="shared" si="18"/>
        <v>0.3</v>
      </c>
      <c r="I393" s="206">
        <f>SUMIFS('1_Presupuesto'!$V:$V,'1_Presupuesto'!$X:$X,K393,'1_Presupuesto'!$E:$E,E393)</f>
        <v>6378277.9181874543</v>
      </c>
      <c r="J393" s="206">
        <f t="shared" si="19"/>
        <v>956741.68772811815</v>
      </c>
      <c r="K393" t="str">
        <f>_xlfn.XLOOKUP(B393,Cert_OC_Cliente!$B:$B,Cert_OC_Cliente!$L:$L)</f>
        <v>PTO 02</v>
      </c>
      <c r="L393" t="str">
        <f t="shared" si="20"/>
        <v>✓</v>
      </c>
    </row>
    <row r="394" spans="1:12" x14ac:dyDescent="0.35">
      <c r="A394" t="s">
        <v>4929</v>
      </c>
      <c r="B394" t="s">
        <v>4932</v>
      </c>
      <c r="C394" t="s">
        <v>4967</v>
      </c>
      <c r="D394" s="205">
        <v>46140</v>
      </c>
      <c r="E394">
        <v>18.21</v>
      </c>
      <c r="F394">
        <v>0.15</v>
      </c>
      <c r="G394">
        <v>0.15</v>
      </c>
      <c r="H394">
        <f t="shared" si="18"/>
        <v>0.3</v>
      </c>
      <c r="I394" s="206">
        <f>SUMIFS('1_Presupuesto'!$V:$V,'1_Presupuesto'!$X:$X,K394,'1_Presupuesto'!$E:$E,E394)</f>
        <v>1695725.341478114</v>
      </c>
      <c r="J394" s="206">
        <f t="shared" si="19"/>
        <v>254358.80122171709</v>
      </c>
      <c r="K394" t="str">
        <f>_xlfn.XLOOKUP(B394,Cert_OC_Cliente!$B:$B,Cert_OC_Cliente!$L:$L)</f>
        <v>PTO 02</v>
      </c>
      <c r="L394" t="str">
        <f t="shared" si="20"/>
        <v>✓</v>
      </c>
    </row>
    <row r="395" spans="1:12" x14ac:dyDescent="0.35">
      <c r="A395" t="s">
        <v>4929</v>
      </c>
      <c r="B395" t="s">
        <v>4932</v>
      </c>
      <c r="C395" t="s">
        <v>4967</v>
      </c>
      <c r="D395" s="205">
        <v>46140</v>
      </c>
      <c r="E395">
        <v>18.22</v>
      </c>
      <c r="F395">
        <v>0.15</v>
      </c>
      <c r="G395">
        <v>0.15</v>
      </c>
      <c r="H395">
        <f t="shared" si="18"/>
        <v>0.3</v>
      </c>
      <c r="I395" s="206">
        <f>SUMIFS('1_Presupuesto'!$V:$V,'1_Presupuesto'!$X:$X,K395,'1_Presupuesto'!$E:$E,E395)</f>
        <v>1695725.341478114</v>
      </c>
      <c r="J395" s="206">
        <f t="shared" si="19"/>
        <v>254358.80122171709</v>
      </c>
      <c r="K395" t="str">
        <f>_xlfn.XLOOKUP(B395,Cert_OC_Cliente!$B:$B,Cert_OC_Cliente!$L:$L)</f>
        <v>PTO 02</v>
      </c>
      <c r="L395" t="str">
        <f t="shared" si="20"/>
        <v>✓</v>
      </c>
    </row>
    <row r="396" spans="1:12" x14ac:dyDescent="0.35">
      <c r="A396" t="s">
        <v>4929</v>
      </c>
      <c r="B396" t="s">
        <v>4932</v>
      </c>
      <c r="C396" t="s">
        <v>4967</v>
      </c>
      <c r="D396" s="205">
        <v>46140</v>
      </c>
      <c r="E396">
        <v>19.02</v>
      </c>
      <c r="F396">
        <v>0.55000000000000004</v>
      </c>
      <c r="G396">
        <v>0.25</v>
      </c>
      <c r="H396">
        <f t="shared" si="18"/>
        <v>0.8</v>
      </c>
      <c r="I396" s="206">
        <f>SUMIFS('1_Presupuesto'!$V:$V,'1_Presupuesto'!$X:$X,K396,'1_Presupuesto'!$E:$E,E396)</f>
        <v>9552582.557606468</v>
      </c>
      <c r="J396" s="206">
        <f t="shared" si="19"/>
        <v>2388145.639401617</v>
      </c>
      <c r="K396" t="str">
        <f>_xlfn.XLOOKUP(B396,Cert_OC_Cliente!$B:$B,Cert_OC_Cliente!$L:$L)</f>
        <v>PTO 02</v>
      </c>
      <c r="L396" t="str">
        <f t="shared" si="20"/>
        <v>✓</v>
      </c>
    </row>
    <row r="397" spans="1:12" x14ac:dyDescent="0.35">
      <c r="A397" t="s">
        <v>4929</v>
      </c>
      <c r="B397" t="s">
        <v>4932</v>
      </c>
      <c r="C397" t="s">
        <v>4967</v>
      </c>
      <c r="D397" s="205">
        <v>46140</v>
      </c>
      <c r="E397">
        <v>19.03</v>
      </c>
      <c r="F397">
        <v>0.45</v>
      </c>
      <c r="G397">
        <v>0.15</v>
      </c>
      <c r="H397">
        <f t="shared" si="18"/>
        <v>0.6</v>
      </c>
      <c r="I397" s="206">
        <f>SUMIFS('1_Presupuesto'!$V:$V,'1_Presupuesto'!$X:$X,K397,'1_Presupuesto'!$E:$E,E397)</f>
        <v>4881534.9792620176</v>
      </c>
      <c r="J397" s="206">
        <f t="shared" si="19"/>
        <v>732230.24688930262</v>
      </c>
      <c r="K397" t="str">
        <f>_xlfn.XLOOKUP(B397,Cert_OC_Cliente!$B:$B,Cert_OC_Cliente!$L:$L)</f>
        <v>PTO 02</v>
      </c>
      <c r="L397" t="str">
        <f t="shared" si="20"/>
        <v>✓</v>
      </c>
    </row>
    <row r="398" spans="1:12" x14ac:dyDescent="0.35">
      <c r="A398" t="s">
        <v>4929</v>
      </c>
      <c r="B398" t="s">
        <v>4932</v>
      </c>
      <c r="C398" t="s">
        <v>4967</v>
      </c>
      <c r="D398" s="205">
        <v>46140</v>
      </c>
      <c r="E398">
        <v>19.05</v>
      </c>
      <c r="F398">
        <v>0.45</v>
      </c>
      <c r="G398">
        <v>0.2</v>
      </c>
      <c r="H398">
        <f t="shared" si="18"/>
        <v>0.65</v>
      </c>
      <c r="I398" s="206">
        <f>SUMIFS('1_Presupuesto'!$V:$V,'1_Presupuesto'!$X:$X,K398,'1_Presupuesto'!$E:$E,E398)</f>
        <v>3537993.5398542481</v>
      </c>
      <c r="J398" s="206">
        <f t="shared" si="19"/>
        <v>707598.7079708497</v>
      </c>
      <c r="K398" t="str">
        <f>_xlfn.XLOOKUP(B398,Cert_OC_Cliente!$B:$B,Cert_OC_Cliente!$L:$L)</f>
        <v>PTO 02</v>
      </c>
      <c r="L398" t="str">
        <f t="shared" si="20"/>
        <v>✓</v>
      </c>
    </row>
    <row r="399" spans="1:12" x14ac:dyDescent="0.35">
      <c r="A399" t="s">
        <v>4929</v>
      </c>
      <c r="B399" t="s">
        <v>4932</v>
      </c>
      <c r="C399" t="s">
        <v>4967</v>
      </c>
      <c r="D399" s="205">
        <v>46140</v>
      </c>
      <c r="E399">
        <v>19.079999999999998</v>
      </c>
      <c r="F399">
        <v>0</v>
      </c>
      <c r="G399">
        <v>0.3</v>
      </c>
      <c r="H399">
        <f t="shared" si="18"/>
        <v>0.3</v>
      </c>
      <c r="I399" s="206">
        <f>SUMIFS('1_Presupuesto'!$V:$V,'1_Presupuesto'!$X:$X,K399,'1_Presupuesto'!$E:$E,E399)</f>
        <v>3665830.8740470451</v>
      </c>
      <c r="J399" s="206">
        <f t="shared" si="19"/>
        <v>1099749.2622141135</v>
      </c>
      <c r="K399" t="str">
        <f>_xlfn.XLOOKUP(B399,Cert_OC_Cliente!$B:$B,Cert_OC_Cliente!$L:$L)</f>
        <v>PTO 02</v>
      </c>
      <c r="L399" t="str">
        <f t="shared" si="20"/>
        <v>✓</v>
      </c>
    </row>
    <row r="400" spans="1:12" x14ac:dyDescent="0.35">
      <c r="A400" t="s">
        <v>4929</v>
      </c>
      <c r="B400" t="s">
        <v>4932</v>
      </c>
      <c r="C400" t="s">
        <v>4967</v>
      </c>
      <c r="D400" s="205">
        <v>46140</v>
      </c>
      <c r="E400">
        <v>19.100000000000001</v>
      </c>
      <c r="F400">
        <v>0.60000000000000009</v>
      </c>
      <c r="G400">
        <v>0.15</v>
      </c>
      <c r="H400">
        <f t="shared" si="18"/>
        <v>0.75000000000000011</v>
      </c>
      <c r="I400" s="206">
        <f>SUMIFS('1_Presupuesto'!$V:$V,'1_Presupuesto'!$X:$X,K400,'1_Presupuesto'!$E:$E,E400)</f>
        <v>18413868.763299089</v>
      </c>
      <c r="J400" s="206">
        <f t="shared" si="19"/>
        <v>2762080.3144948632</v>
      </c>
      <c r="K400" t="str">
        <f>_xlfn.XLOOKUP(B400,Cert_OC_Cliente!$B:$B,Cert_OC_Cliente!$L:$L)</f>
        <v>PTO 02</v>
      </c>
      <c r="L400" t="str">
        <f t="shared" si="20"/>
        <v>✓</v>
      </c>
    </row>
    <row r="401" spans="1:12" x14ac:dyDescent="0.35">
      <c r="A401" t="s">
        <v>4929</v>
      </c>
      <c r="B401" t="s">
        <v>4932</v>
      </c>
      <c r="C401" t="s">
        <v>4967</v>
      </c>
      <c r="D401" s="205">
        <v>46140</v>
      </c>
      <c r="E401">
        <v>19.12</v>
      </c>
      <c r="F401">
        <v>0.8</v>
      </c>
      <c r="G401">
        <v>9.9999999999999978E-2</v>
      </c>
      <c r="H401">
        <f t="shared" si="18"/>
        <v>0.9</v>
      </c>
      <c r="I401" s="206">
        <f>SUMIFS('1_Presupuesto'!$V:$V,'1_Presupuesto'!$X:$X,K401,'1_Presupuesto'!$E:$E,E401)</f>
        <v>2637800.7601688541</v>
      </c>
      <c r="J401" s="206">
        <f t="shared" si="19"/>
        <v>263780.07601688534</v>
      </c>
      <c r="K401" t="str">
        <f>_xlfn.XLOOKUP(B401,Cert_OC_Cliente!$B:$B,Cert_OC_Cliente!$L:$L)</f>
        <v>PTO 02</v>
      </c>
      <c r="L401" t="str">
        <f t="shared" si="20"/>
        <v>✓</v>
      </c>
    </row>
    <row r="402" spans="1:12" x14ac:dyDescent="0.35">
      <c r="A402" t="s">
        <v>4929</v>
      </c>
      <c r="B402" t="s">
        <v>4932</v>
      </c>
      <c r="C402" t="s">
        <v>4967</v>
      </c>
      <c r="D402" s="205">
        <v>46140</v>
      </c>
      <c r="E402">
        <v>19.149999999999999</v>
      </c>
      <c r="F402">
        <v>0</v>
      </c>
      <c r="G402">
        <v>0.3</v>
      </c>
      <c r="H402">
        <f t="shared" si="18"/>
        <v>0.3</v>
      </c>
      <c r="I402" s="206">
        <f>SUMIFS('1_Presupuesto'!$V:$V,'1_Presupuesto'!$X:$X,K402,'1_Presupuesto'!$E:$E,E402)</f>
        <v>6439006.4091121592</v>
      </c>
      <c r="J402" s="206">
        <f t="shared" si="19"/>
        <v>1931701.9227336477</v>
      </c>
      <c r="K402" t="str">
        <f>_xlfn.XLOOKUP(B402,Cert_OC_Cliente!$B:$B,Cert_OC_Cliente!$L:$L)</f>
        <v>PTO 02</v>
      </c>
      <c r="L402" t="str">
        <f t="shared" si="20"/>
        <v>✓</v>
      </c>
    </row>
    <row r="403" spans="1:12" x14ac:dyDescent="0.35">
      <c r="A403" t="s">
        <v>4929</v>
      </c>
      <c r="B403" t="s">
        <v>4932</v>
      </c>
      <c r="C403" t="s">
        <v>4967</v>
      </c>
      <c r="D403" s="205">
        <v>46140</v>
      </c>
      <c r="E403">
        <v>19.16</v>
      </c>
      <c r="F403">
        <v>0.25</v>
      </c>
      <c r="G403">
        <v>0.2</v>
      </c>
      <c r="H403">
        <f t="shared" si="18"/>
        <v>0.45</v>
      </c>
      <c r="I403" s="206">
        <f>SUMIFS('1_Presupuesto'!$V:$V,'1_Presupuesto'!$X:$X,K403,'1_Presupuesto'!$E:$E,E403)</f>
        <v>27794006.689447839</v>
      </c>
      <c r="J403" s="206">
        <f t="shared" si="19"/>
        <v>5558801.3378895679</v>
      </c>
      <c r="K403" t="str">
        <f>_xlfn.XLOOKUP(B403,Cert_OC_Cliente!$B:$B,Cert_OC_Cliente!$L:$L)</f>
        <v>PTO 02</v>
      </c>
      <c r="L403" t="str">
        <f t="shared" si="20"/>
        <v>✓</v>
      </c>
    </row>
    <row r="404" spans="1:12" x14ac:dyDescent="0.35">
      <c r="A404" t="s">
        <v>4929</v>
      </c>
      <c r="B404" t="s">
        <v>4932</v>
      </c>
      <c r="C404" t="s">
        <v>4967</v>
      </c>
      <c r="D404" s="205">
        <v>46140</v>
      </c>
      <c r="E404">
        <v>23.01</v>
      </c>
      <c r="F404">
        <v>0.15</v>
      </c>
      <c r="G404">
        <v>0.35</v>
      </c>
      <c r="H404">
        <f t="shared" si="18"/>
        <v>0.5</v>
      </c>
      <c r="I404" s="206">
        <f>SUMIFS('1_Presupuesto'!$V:$V,'1_Presupuesto'!$X:$X,K404,'1_Presupuesto'!$E:$E,E404)</f>
        <v>1554374.5569766986</v>
      </c>
      <c r="J404" s="206">
        <f t="shared" si="19"/>
        <v>544031.09494184447</v>
      </c>
      <c r="K404" t="str">
        <f>_xlfn.XLOOKUP(B404,Cert_OC_Cliente!$B:$B,Cert_OC_Cliente!$L:$L)</f>
        <v>PTO 02</v>
      </c>
      <c r="L404" t="str">
        <f t="shared" si="20"/>
        <v>✓</v>
      </c>
    </row>
    <row r="405" spans="1:12" x14ac:dyDescent="0.35">
      <c r="A405" t="s">
        <v>4929</v>
      </c>
      <c r="B405" t="s">
        <v>4932</v>
      </c>
      <c r="C405" t="s">
        <v>4967</v>
      </c>
      <c r="D405" s="205">
        <v>46140</v>
      </c>
      <c r="E405">
        <v>24.01</v>
      </c>
      <c r="F405">
        <v>0.65</v>
      </c>
      <c r="G405">
        <v>5.0000000000000037E-2</v>
      </c>
      <c r="H405">
        <f t="shared" si="18"/>
        <v>0.70000000000000007</v>
      </c>
      <c r="I405" s="206">
        <f>SUMIFS('1_Presupuesto'!$V:$V,'1_Presupuesto'!$X:$X,K405,'1_Presupuesto'!$E:$E,E405)</f>
        <v>16546555.307464439</v>
      </c>
      <c r="J405" s="206">
        <f t="shared" si="19"/>
        <v>827327.76537322265</v>
      </c>
      <c r="K405" t="str">
        <f>_xlfn.XLOOKUP(B405,Cert_OC_Cliente!$B:$B,Cert_OC_Cliente!$L:$L)</f>
        <v>PTO 02</v>
      </c>
      <c r="L405" t="str">
        <f t="shared" si="20"/>
        <v>✓</v>
      </c>
    </row>
    <row r="406" spans="1:12" x14ac:dyDescent="0.35">
      <c r="A406" t="s">
        <v>4929</v>
      </c>
      <c r="B406" t="s">
        <v>4932</v>
      </c>
      <c r="C406" t="s">
        <v>4967</v>
      </c>
      <c r="D406" s="205">
        <v>46140</v>
      </c>
      <c r="E406">
        <v>24.03</v>
      </c>
      <c r="F406">
        <v>0.65</v>
      </c>
      <c r="G406">
        <v>5.0000000000000037E-2</v>
      </c>
      <c r="H406">
        <f t="shared" si="18"/>
        <v>0.70000000000000007</v>
      </c>
      <c r="I406" s="206">
        <f>SUMIFS('1_Presupuesto'!$V:$V,'1_Presupuesto'!$X:$X,K406,'1_Presupuesto'!$E:$E,E406)</f>
        <v>3398454.9392095888</v>
      </c>
      <c r="J406" s="206">
        <f t="shared" si="19"/>
        <v>169922.74696047956</v>
      </c>
      <c r="K406" t="str">
        <f>_xlfn.XLOOKUP(B406,Cert_OC_Cliente!$B:$B,Cert_OC_Cliente!$L:$L)</f>
        <v>PTO 02</v>
      </c>
      <c r="L406" t="str">
        <f t="shared" si="20"/>
        <v>✓</v>
      </c>
    </row>
    <row r="407" spans="1:12" x14ac:dyDescent="0.35">
      <c r="A407" t="s">
        <v>4929</v>
      </c>
      <c r="B407" t="s">
        <v>4932</v>
      </c>
      <c r="C407" t="s">
        <v>4967</v>
      </c>
      <c r="D407" s="205">
        <v>46140</v>
      </c>
      <c r="E407">
        <v>24.05</v>
      </c>
      <c r="F407">
        <v>0.54999999999999993</v>
      </c>
      <c r="G407">
        <v>5.0000000000000037E-2</v>
      </c>
      <c r="H407">
        <f t="shared" si="18"/>
        <v>0.6</v>
      </c>
      <c r="I407" s="206">
        <f>SUMIFS('1_Presupuesto'!$V:$V,'1_Presupuesto'!$X:$X,K407,'1_Presupuesto'!$E:$E,E407)</f>
        <v>14856213.332043247</v>
      </c>
      <c r="J407" s="206">
        <f t="shared" si="19"/>
        <v>742810.66660216288</v>
      </c>
      <c r="K407" t="str">
        <f>_xlfn.XLOOKUP(B407,Cert_OC_Cliente!$B:$B,Cert_OC_Cliente!$L:$L)</f>
        <v>PTO 02</v>
      </c>
      <c r="L407" t="str">
        <f t="shared" si="20"/>
        <v>✓</v>
      </c>
    </row>
    <row r="408" spans="1:12" x14ac:dyDescent="0.35">
      <c r="A408" t="s">
        <v>4929</v>
      </c>
      <c r="B408" t="s">
        <v>4932</v>
      </c>
      <c r="C408" t="s">
        <v>4967</v>
      </c>
      <c r="D408" s="205">
        <v>46140</v>
      </c>
      <c r="E408">
        <v>24.06</v>
      </c>
      <c r="F408">
        <v>0.54999999999999993</v>
      </c>
      <c r="G408">
        <v>5.0000000000000037E-2</v>
      </c>
      <c r="H408">
        <f t="shared" si="18"/>
        <v>0.6</v>
      </c>
      <c r="I408" s="206">
        <f>SUMIFS('1_Presupuesto'!$V:$V,'1_Presupuesto'!$X:$X,K408,'1_Presupuesto'!$E:$E,E408)</f>
        <v>9812019.7942749579</v>
      </c>
      <c r="J408" s="206">
        <f t="shared" si="19"/>
        <v>490600.98971374828</v>
      </c>
      <c r="K408" t="str">
        <f>_xlfn.XLOOKUP(B408,Cert_OC_Cliente!$B:$B,Cert_OC_Cliente!$L:$L)</f>
        <v>PTO 02</v>
      </c>
      <c r="L408" t="str">
        <f t="shared" si="20"/>
        <v>✓</v>
      </c>
    </row>
    <row r="409" spans="1:12" x14ac:dyDescent="0.35">
      <c r="A409" t="s">
        <v>4929</v>
      </c>
      <c r="B409" t="s">
        <v>4932</v>
      </c>
      <c r="C409" t="s">
        <v>4967</v>
      </c>
      <c r="D409" s="205">
        <v>46140</v>
      </c>
      <c r="E409">
        <v>24.08</v>
      </c>
      <c r="F409">
        <v>0.65</v>
      </c>
      <c r="G409">
        <v>5.0000000000000037E-2</v>
      </c>
      <c r="H409">
        <f t="shared" si="18"/>
        <v>0.70000000000000007</v>
      </c>
      <c r="I409" s="206">
        <f>SUMIFS('1_Presupuesto'!$V:$V,'1_Presupuesto'!$X:$X,K409,'1_Presupuesto'!$E:$E,E409)</f>
        <v>6796909.8784191776</v>
      </c>
      <c r="J409" s="206">
        <f t="shared" si="19"/>
        <v>339845.49392095912</v>
      </c>
      <c r="K409" t="str">
        <f>_xlfn.XLOOKUP(B409,Cert_OC_Cliente!$B:$B,Cert_OC_Cliente!$L:$L)</f>
        <v>PTO 02</v>
      </c>
      <c r="L409" t="str">
        <f t="shared" si="20"/>
        <v>✓</v>
      </c>
    </row>
    <row r="410" spans="1:12" x14ac:dyDescent="0.35">
      <c r="A410" t="s">
        <v>4929</v>
      </c>
      <c r="B410" t="s">
        <v>4932</v>
      </c>
      <c r="C410" t="s">
        <v>4967</v>
      </c>
      <c r="D410" s="205">
        <v>46140</v>
      </c>
      <c r="E410">
        <v>24.09</v>
      </c>
      <c r="F410">
        <v>0.54999999999999993</v>
      </c>
      <c r="G410">
        <v>5.0000000000000037E-2</v>
      </c>
      <c r="H410">
        <f t="shared" si="18"/>
        <v>0.6</v>
      </c>
      <c r="I410" s="206">
        <f>SUMIFS('1_Presupuesto'!$V:$V,'1_Presupuesto'!$X:$X,K410,'1_Presupuesto'!$E:$E,E410)</f>
        <v>5910152.861234813</v>
      </c>
      <c r="J410" s="206">
        <f t="shared" si="19"/>
        <v>295507.64306174085</v>
      </c>
      <c r="K410" t="str">
        <f>_xlfn.XLOOKUP(B410,Cert_OC_Cliente!$B:$B,Cert_OC_Cliente!$L:$L)</f>
        <v>PTO 02</v>
      </c>
      <c r="L410" t="str">
        <f t="shared" si="20"/>
        <v>✓</v>
      </c>
    </row>
    <row r="411" spans="1:12" x14ac:dyDescent="0.35">
      <c r="A411" t="s">
        <v>4929</v>
      </c>
      <c r="B411" t="s">
        <v>4932</v>
      </c>
      <c r="C411" t="s">
        <v>4967</v>
      </c>
      <c r="D411" s="205">
        <v>46140</v>
      </c>
      <c r="E411">
        <v>25.01</v>
      </c>
      <c r="F411">
        <v>0.65</v>
      </c>
      <c r="G411">
        <v>5.0000000000000037E-2</v>
      </c>
      <c r="H411">
        <f t="shared" si="18"/>
        <v>0.70000000000000007</v>
      </c>
      <c r="I411" s="206">
        <f>SUMIFS('1_Presupuesto'!$V:$V,'1_Presupuesto'!$X:$X,K411,'1_Presupuesto'!$E:$E,E411)</f>
        <v>99058404.317748845</v>
      </c>
      <c r="J411" s="206">
        <f t="shared" si="19"/>
        <v>4952920.215887446</v>
      </c>
      <c r="K411" t="str">
        <f>_xlfn.XLOOKUP(B411,Cert_OC_Cliente!$B:$B,Cert_OC_Cliente!$L:$L)</f>
        <v>PTO 02</v>
      </c>
      <c r="L411" t="str">
        <f t="shared" si="20"/>
        <v>✓</v>
      </c>
    </row>
    <row r="412" spans="1:12" x14ac:dyDescent="0.35">
      <c r="A412" t="s">
        <v>4929</v>
      </c>
      <c r="B412" t="s">
        <v>4932</v>
      </c>
      <c r="C412" t="s">
        <v>4967</v>
      </c>
      <c r="D412" s="205">
        <v>46140</v>
      </c>
      <c r="E412">
        <v>25.02</v>
      </c>
      <c r="F412">
        <v>0.65</v>
      </c>
      <c r="G412">
        <v>5.0000000000000037E-2</v>
      </c>
      <c r="H412">
        <f t="shared" si="18"/>
        <v>0.70000000000000007</v>
      </c>
      <c r="I412" s="206">
        <f>SUMIFS('1_Presupuesto'!$V:$V,'1_Presupuesto'!$X:$X,K412,'1_Presupuesto'!$E:$E,E412)</f>
        <v>11328183.130698629</v>
      </c>
      <c r="J412" s="206">
        <f t="shared" si="19"/>
        <v>566409.15653493186</v>
      </c>
      <c r="K412" t="str">
        <f>_xlfn.XLOOKUP(B412,Cert_OC_Cliente!$B:$B,Cert_OC_Cliente!$L:$L)</f>
        <v>PTO 02</v>
      </c>
      <c r="L412" t="str">
        <f t="shared" si="20"/>
        <v>✓</v>
      </c>
    </row>
    <row r="413" spans="1:12" x14ac:dyDescent="0.35">
      <c r="A413" t="s">
        <v>4929</v>
      </c>
      <c r="B413" t="s">
        <v>4932</v>
      </c>
      <c r="C413" t="s">
        <v>4968</v>
      </c>
      <c r="D413" s="205">
        <v>46172</v>
      </c>
      <c r="E413">
        <v>4.01</v>
      </c>
      <c r="F413">
        <v>0.9</v>
      </c>
      <c r="G413">
        <v>3.000000000000003E-2</v>
      </c>
      <c r="H413">
        <f t="shared" si="18"/>
        <v>0.93</v>
      </c>
      <c r="I413" s="206">
        <f>SUMIFS('1_Presupuesto'!$V:$V,'1_Presupuesto'!$X:$X,K413,'1_Presupuesto'!$E:$E,E413)</f>
        <v>22289464.745651998</v>
      </c>
      <c r="J413" s="206">
        <f t="shared" si="19"/>
        <v>668683.94236956059</v>
      </c>
      <c r="K413" t="str">
        <f>_xlfn.XLOOKUP(B413,Cert_OC_Cliente!$B:$B,Cert_OC_Cliente!$L:$L)</f>
        <v>PTO 02</v>
      </c>
      <c r="L413" t="str">
        <f t="shared" si="20"/>
        <v>✓</v>
      </c>
    </row>
    <row r="414" spans="1:12" x14ac:dyDescent="0.35">
      <c r="A414" t="s">
        <v>4929</v>
      </c>
      <c r="B414" t="s">
        <v>4932</v>
      </c>
      <c r="C414" t="s">
        <v>4968</v>
      </c>
      <c r="D414" s="205">
        <v>46172</v>
      </c>
      <c r="E414">
        <v>4.0199999999999996</v>
      </c>
      <c r="F414">
        <v>0.92</v>
      </c>
      <c r="G414">
        <v>2.0000000000000021E-2</v>
      </c>
      <c r="H414">
        <f t="shared" si="18"/>
        <v>0.94000000000000006</v>
      </c>
      <c r="I414" s="206">
        <f>SUMIFS('1_Presupuesto'!$V:$V,'1_Presupuesto'!$X:$X,K414,'1_Presupuesto'!$E:$E,E414)</f>
        <v>19060436.605236452</v>
      </c>
      <c r="J414" s="206">
        <f t="shared" si="19"/>
        <v>381208.73210472945</v>
      </c>
      <c r="K414" t="str">
        <f>_xlfn.XLOOKUP(B414,Cert_OC_Cliente!$B:$B,Cert_OC_Cliente!$L:$L)</f>
        <v>PTO 02</v>
      </c>
      <c r="L414" t="str">
        <f t="shared" si="20"/>
        <v>✓</v>
      </c>
    </row>
    <row r="415" spans="1:12" x14ac:dyDescent="0.35">
      <c r="A415" t="s">
        <v>4929</v>
      </c>
      <c r="B415" t="s">
        <v>4932</v>
      </c>
      <c r="C415" t="s">
        <v>4968</v>
      </c>
      <c r="D415" s="205">
        <v>46172</v>
      </c>
      <c r="E415">
        <v>4.05</v>
      </c>
      <c r="F415">
        <v>0.5</v>
      </c>
      <c r="G415">
        <v>0.3</v>
      </c>
      <c r="H415">
        <f t="shared" si="18"/>
        <v>0.8</v>
      </c>
      <c r="I415" s="206">
        <f>SUMIFS('1_Presupuesto'!$V:$V,'1_Presupuesto'!$X:$X,K415,'1_Presupuesto'!$E:$E,E415)</f>
        <v>2585307.4938179324</v>
      </c>
      <c r="J415" s="206">
        <f t="shared" si="19"/>
        <v>775592.24814537971</v>
      </c>
      <c r="K415" t="str">
        <f>_xlfn.XLOOKUP(B415,Cert_OC_Cliente!$B:$B,Cert_OC_Cliente!$L:$L)</f>
        <v>PTO 02</v>
      </c>
      <c r="L415" t="str">
        <f t="shared" si="20"/>
        <v>✓</v>
      </c>
    </row>
    <row r="416" spans="1:12" x14ac:dyDescent="0.35">
      <c r="A416" t="s">
        <v>4929</v>
      </c>
      <c r="B416" t="s">
        <v>4932</v>
      </c>
      <c r="C416" t="s">
        <v>4968</v>
      </c>
      <c r="D416" s="205">
        <v>46172</v>
      </c>
      <c r="E416">
        <v>4.07</v>
      </c>
      <c r="F416">
        <v>0</v>
      </c>
      <c r="G416">
        <v>0.1</v>
      </c>
      <c r="H416">
        <f t="shared" si="18"/>
        <v>0.1</v>
      </c>
      <c r="I416" s="206">
        <f>SUMIFS('1_Presupuesto'!$V:$V,'1_Presupuesto'!$X:$X,K416,'1_Presupuesto'!$E:$E,E416)</f>
        <v>3591852.1667391057</v>
      </c>
      <c r="J416" s="206">
        <f t="shared" si="19"/>
        <v>359185.21667391062</v>
      </c>
      <c r="K416" t="str">
        <f>_xlfn.XLOOKUP(B416,Cert_OC_Cliente!$B:$B,Cert_OC_Cliente!$L:$L)</f>
        <v>PTO 02</v>
      </c>
      <c r="L416" t="str">
        <f t="shared" si="20"/>
        <v>✓</v>
      </c>
    </row>
    <row r="417" spans="1:12" x14ac:dyDescent="0.35">
      <c r="A417" t="s">
        <v>4929</v>
      </c>
      <c r="B417" t="s">
        <v>4932</v>
      </c>
      <c r="C417" t="s">
        <v>4968</v>
      </c>
      <c r="D417" s="205">
        <v>46172</v>
      </c>
      <c r="E417">
        <v>4.12</v>
      </c>
      <c r="F417">
        <v>0</v>
      </c>
      <c r="G417">
        <v>1</v>
      </c>
      <c r="H417">
        <f t="shared" si="18"/>
        <v>1</v>
      </c>
      <c r="I417" s="206">
        <f>SUMIFS('1_Presupuesto'!$V:$V,'1_Presupuesto'!$X:$X,K417,'1_Presupuesto'!$E:$E,E417)</f>
        <v>713349.23435940244</v>
      </c>
      <c r="J417" s="206">
        <f t="shared" si="19"/>
        <v>713349.23435940244</v>
      </c>
      <c r="K417" t="str">
        <f>_xlfn.XLOOKUP(B417,Cert_OC_Cliente!$B:$B,Cert_OC_Cliente!$L:$L)</f>
        <v>PTO 02</v>
      </c>
      <c r="L417" t="str">
        <f t="shared" si="20"/>
        <v>✓</v>
      </c>
    </row>
    <row r="418" spans="1:12" x14ac:dyDescent="0.35">
      <c r="A418" t="s">
        <v>4929</v>
      </c>
      <c r="B418" t="s">
        <v>4932</v>
      </c>
      <c r="C418" t="s">
        <v>4968</v>
      </c>
      <c r="D418" s="205">
        <v>46172</v>
      </c>
      <c r="E418">
        <v>4.13</v>
      </c>
      <c r="F418">
        <v>0</v>
      </c>
      <c r="G418">
        <v>0.15</v>
      </c>
      <c r="H418">
        <f t="shared" si="18"/>
        <v>0.15</v>
      </c>
      <c r="I418" s="206">
        <f>SUMIFS('1_Presupuesto'!$V:$V,'1_Presupuesto'!$X:$X,K418,'1_Presupuesto'!$E:$E,E418)</f>
        <v>3921023.9427422341</v>
      </c>
      <c r="J418" s="206">
        <f t="shared" si="19"/>
        <v>588153.59141133504</v>
      </c>
      <c r="K418" t="str">
        <f>_xlfn.XLOOKUP(B418,Cert_OC_Cliente!$B:$B,Cert_OC_Cliente!$L:$L)</f>
        <v>PTO 02</v>
      </c>
      <c r="L418" t="str">
        <f t="shared" si="20"/>
        <v>✓</v>
      </c>
    </row>
    <row r="419" spans="1:12" x14ac:dyDescent="0.35">
      <c r="A419" t="s">
        <v>4929</v>
      </c>
      <c r="B419" t="s">
        <v>4932</v>
      </c>
      <c r="C419" t="s">
        <v>4968</v>
      </c>
      <c r="D419" s="205">
        <v>46172</v>
      </c>
      <c r="E419">
        <v>5.01</v>
      </c>
      <c r="F419">
        <v>0.25</v>
      </c>
      <c r="G419">
        <v>0.25</v>
      </c>
      <c r="H419">
        <f t="shared" si="18"/>
        <v>0.5</v>
      </c>
      <c r="I419" s="206">
        <f>SUMIFS('1_Presupuesto'!$V:$V,'1_Presupuesto'!$X:$X,K419,'1_Presupuesto'!$E:$E,E419)</f>
        <v>883407.51180308696</v>
      </c>
      <c r="J419" s="206">
        <f t="shared" si="19"/>
        <v>220851.87795077174</v>
      </c>
      <c r="K419" t="str">
        <f>_xlfn.XLOOKUP(B419,Cert_OC_Cliente!$B:$B,Cert_OC_Cliente!$L:$L)</f>
        <v>PTO 02</v>
      </c>
      <c r="L419" t="str">
        <f t="shared" si="20"/>
        <v>✓</v>
      </c>
    </row>
    <row r="420" spans="1:12" x14ac:dyDescent="0.35">
      <c r="A420" t="s">
        <v>4929</v>
      </c>
      <c r="B420" t="s">
        <v>4932</v>
      </c>
      <c r="C420" t="s">
        <v>4968</v>
      </c>
      <c r="D420" s="205">
        <v>46172</v>
      </c>
      <c r="E420">
        <v>5.0199999999999996</v>
      </c>
      <c r="F420">
        <v>0.3</v>
      </c>
      <c r="G420">
        <v>0.2</v>
      </c>
      <c r="H420">
        <f t="shared" si="18"/>
        <v>0.5</v>
      </c>
      <c r="I420" s="206">
        <f>SUMIFS('1_Presupuesto'!$V:$V,'1_Presupuesto'!$X:$X,K420,'1_Presupuesto'!$E:$E,E420)</f>
        <v>2561760.0096084238</v>
      </c>
      <c r="J420" s="206">
        <f t="shared" si="19"/>
        <v>512352.00192168477</v>
      </c>
      <c r="K420" t="str">
        <f>_xlfn.XLOOKUP(B420,Cert_OC_Cliente!$B:$B,Cert_OC_Cliente!$L:$L)</f>
        <v>PTO 02</v>
      </c>
      <c r="L420" t="str">
        <f t="shared" si="20"/>
        <v>✓</v>
      </c>
    </row>
    <row r="421" spans="1:12" x14ac:dyDescent="0.35">
      <c r="A421" t="s">
        <v>4929</v>
      </c>
      <c r="B421" t="s">
        <v>4932</v>
      </c>
      <c r="C421" t="s">
        <v>4968</v>
      </c>
      <c r="D421" s="205">
        <v>46172</v>
      </c>
      <c r="E421">
        <v>5.07</v>
      </c>
      <c r="F421">
        <v>0</v>
      </c>
      <c r="G421">
        <v>1</v>
      </c>
      <c r="H421">
        <f t="shared" si="18"/>
        <v>1</v>
      </c>
      <c r="I421" s="206">
        <f>SUMIFS('1_Presupuesto'!$V:$V,'1_Presupuesto'!$X:$X,K421,'1_Presupuesto'!$E:$E,E421)</f>
        <v>2438773.3631610079</v>
      </c>
      <c r="J421" s="206">
        <f t="shared" si="19"/>
        <v>2438773.3631610079</v>
      </c>
      <c r="K421" t="str">
        <f>_xlfn.XLOOKUP(B421,Cert_OC_Cliente!$B:$B,Cert_OC_Cliente!$L:$L)</f>
        <v>PTO 02</v>
      </c>
      <c r="L421" t="str">
        <f t="shared" si="20"/>
        <v>✓</v>
      </c>
    </row>
    <row r="422" spans="1:12" x14ac:dyDescent="0.35">
      <c r="A422" t="s">
        <v>4929</v>
      </c>
      <c r="B422" t="s">
        <v>4932</v>
      </c>
      <c r="C422" t="s">
        <v>4968</v>
      </c>
      <c r="D422" s="205">
        <v>46172</v>
      </c>
      <c r="E422">
        <v>7.01</v>
      </c>
      <c r="F422">
        <v>0.3</v>
      </c>
      <c r="G422">
        <v>0.34999999999999992</v>
      </c>
      <c r="H422">
        <f t="shared" si="18"/>
        <v>0.64999999999999991</v>
      </c>
      <c r="I422" s="206">
        <f>SUMIFS('1_Presupuesto'!$V:$V,'1_Presupuesto'!$X:$X,K422,'1_Presupuesto'!$E:$E,E422)</f>
        <v>17529179.260115553</v>
      </c>
      <c r="J422" s="206">
        <f t="shared" si="19"/>
        <v>6135212.7410404421</v>
      </c>
      <c r="K422" t="str">
        <f>_xlfn.XLOOKUP(B422,Cert_OC_Cliente!$B:$B,Cert_OC_Cliente!$L:$L)</f>
        <v>PTO 02</v>
      </c>
      <c r="L422" t="str">
        <f t="shared" si="20"/>
        <v>✓</v>
      </c>
    </row>
    <row r="423" spans="1:12" x14ac:dyDescent="0.35">
      <c r="A423" t="s">
        <v>4929</v>
      </c>
      <c r="B423" t="s">
        <v>4932</v>
      </c>
      <c r="C423" t="s">
        <v>4968</v>
      </c>
      <c r="D423" s="205">
        <v>46172</v>
      </c>
      <c r="E423">
        <v>7.02</v>
      </c>
      <c r="F423">
        <v>0.75</v>
      </c>
      <c r="G423">
        <v>9.9999999999999978E-2</v>
      </c>
      <c r="H423">
        <f t="shared" si="18"/>
        <v>0.85</v>
      </c>
      <c r="I423" s="206">
        <f>SUMIFS('1_Presupuesto'!$V:$V,'1_Presupuesto'!$X:$X,K423,'1_Presupuesto'!$E:$E,E423)</f>
        <v>19164786.150262561</v>
      </c>
      <c r="J423" s="206">
        <f t="shared" si="19"/>
        <v>1916478.6150262556</v>
      </c>
      <c r="K423" t="str">
        <f>_xlfn.XLOOKUP(B423,Cert_OC_Cliente!$B:$B,Cert_OC_Cliente!$L:$L)</f>
        <v>PTO 02</v>
      </c>
      <c r="L423" t="str">
        <f t="shared" si="20"/>
        <v>✓</v>
      </c>
    </row>
    <row r="424" spans="1:12" x14ac:dyDescent="0.35">
      <c r="A424" t="s">
        <v>4929</v>
      </c>
      <c r="B424" t="s">
        <v>4932</v>
      </c>
      <c r="C424" t="s">
        <v>4968</v>
      </c>
      <c r="D424" s="205">
        <v>46172</v>
      </c>
      <c r="E424">
        <v>7.03</v>
      </c>
      <c r="F424">
        <v>0.89999999999999991</v>
      </c>
      <c r="G424">
        <v>9.9999999999999978E-2</v>
      </c>
      <c r="H424">
        <f t="shared" si="18"/>
        <v>0.99999999999999989</v>
      </c>
      <c r="I424" s="206">
        <f>SUMIFS('1_Presupuesto'!$V:$V,'1_Presupuesto'!$X:$X,K424,'1_Presupuesto'!$E:$E,E424)</f>
        <v>33043643.401339307</v>
      </c>
      <c r="J424" s="206">
        <f t="shared" si="19"/>
        <v>3304364.3401339301</v>
      </c>
      <c r="K424" t="str">
        <f>_xlfn.XLOOKUP(B424,Cert_OC_Cliente!$B:$B,Cert_OC_Cliente!$L:$L)</f>
        <v>PTO 02</v>
      </c>
      <c r="L424" t="str">
        <f t="shared" si="20"/>
        <v>✓</v>
      </c>
    </row>
    <row r="425" spans="1:12" x14ac:dyDescent="0.35">
      <c r="A425" t="s">
        <v>4929</v>
      </c>
      <c r="B425" t="s">
        <v>4932</v>
      </c>
      <c r="C425" t="s">
        <v>4968</v>
      </c>
      <c r="D425" s="205">
        <v>46172</v>
      </c>
      <c r="E425">
        <v>7.04</v>
      </c>
      <c r="F425">
        <v>0.89999999999999991</v>
      </c>
      <c r="G425">
        <v>5.0000000000000037E-2</v>
      </c>
      <c r="H425">
        <f t="shared" si="18"/>
        <v>0.95</v>
      </c>
      <c r="I425" s="206">
        <f>SUMIFS('1_Presupuesto'!$V:$V,'1_Presupuesto'!$X:$X,K425,'1_Presupuesto'!$E:$E,E425)</f>
        <v>5867168.4969474869</v>
      </c>
      <c r="J425" s="206">
        <f t="shared" si="19"/>
        <v>293358.42484737455</v>
      </c>
      <c r="K425" t="str">
        <f>_xlfn.XLOOKUP(B425,Cert_OC_Cliente!$B:$B,Cert_OC_Cliente!$L:$L)</f>
        <v>PTO 02</v>
      </c>
      <c r="L425" t="str">
        <f t="shared" si="20"/>
        <v>✓</v>
      </c>
    </row>
    <row r="426" spans="1:12" x14ac:dyDescent="0.35">
      <c r="A426" t="s">
        <v>4929</v>
      </c>
      <c r="B426" t="s">
        <v>4932</v>
      </c>
      <c r="C426" t="s">
        <v>4968</v>
      </c>
      <c r="D426" s="205">
        <v>46172</v>
      </c>
      <c r="E426">
        <v>7.05</v>
      </c>
      <c r="F426">
        <v>0.89999999999999991</v>
      </c>
      <c r="G426">
        <v>5.0000000000000037E-2</v>
      </c>
      <c r="H426">
        <f t="shared" si="18"/>
        <v>0.95</v>
      </c>
      <c r="I426" s="206">
        <f>SUMIFS('1_Presupuesto'!$V:$V,'1_Presupuesto'!$X:$X,K426,'1_Presupuesto'!$E:$E,E426)</f>
        <v>2558676.04249387</v>
      </c>
      <c r="J426" s="206">
        <f t="shared" si="19"/>
        <v>127933.8021246936</v>
      </c>
      <c r="K426" t="str">
        <f>_xlfn.XLOOKUP(B426,Cert_OC_Cliente!$B:$B,Cert_OC_Cliente!$L:$L)</f>
        <v>PTO 02</v>
      </c>
      <c r="L426" t="str">
        <f t="shared" si="20"/>
        <v>✓</v>
      </c>
    </row>
    <row r="427" spans="1:12" x14ac:dyDescent="0.35">
      <c r="A427" t="s">
        <v>4929</v>
      </c>
      <c r="B427" t="s">
        <v>4932</v>
      </c>
      <c r="C427" t="s">
        <v>4968</v>
      </c>
      <c r="D427" s="205">
        <v>46172</v>
      </c>
      <c r="E427">
        <v>7.06</v>
      </c>
      <c r="F427">
        <v>0.7</v>
      </c>
      <c r="G427">
        <v>0.15</v>
      </c>
      <c r="H427">
        <f t="shared" si="18"/>
        <v>0.85</v>
      </c>
      <c r="I427" s="206">
        <f>SUMIFS('1_Presupuesto'!$V:$V,'1_Presupuesto'!$X:$X,K427,'1_Presupuesto'!$E:$E,E427)</f>
        <v>14158950.255610978</v>
      </c>
      <c r="J427" s="206">
        <f t="shared" si="19"/>
        <v>2123842.5383416465</v>
      </c>
      <c r="K427" t="str">
        <f>_xlfn.XLOOKUP(B427,Cert_OC_Cliente!$B:$B,Cert_OC_Cliente!$L:$L)</f>
        <v>PTO 02</v>
      </c>
      <c r="L427" t="str">
        <f t="shared" si="20"/>
        <v>✓</v>
      </c>
    </row>
    <row r="428" spans="1:12" x14ac:dyDescent="0.35">
      <c r="A428" t="s">
        <v>4929</v>
      </c>
      <c r="B428" t="s">
        <v>4932</v>
      </c>
      <c r="C428" t="s">
        <v>4968</v>
      </c>
      <c r="D428" s="205">
        <v>46172</v>
      </c>
      <c r="E428">
        <v>8.0299999999999994</v>
      </c>
      <c r="F428">
        <v>0</v>
      </c>
      <c r="G428">
        <v>0.5</v>
      </c>
      <c r="H428">
        <f t="shared" si="18"/>
        <v>0.5</v>
      </c>
      <c r="I428" s="206">
        <f>SUMIFS('1_Presupuesto'!$V:$V,'1_Presupuesto'!$X:$X,K428,'1_Presupuesto'!$E:$E,E428)</f>
        <v>9750630.8798963819</v>
      </c>
      <c r="J428" s="206">
        <f t="shared" si="19"/>
        <v>4875315.4399481909</v>
      </c>
      <c r="K428" t="str">
        <f>_xlfn.XLOOKUP(B428,Cert_OC_Cliente!$B:$B,Cert_OC_Cliente!$L:$L)</f>
        <v>PTO 02</v>
      </c>
      <c r="L428" t="str">
        <f t="shared" si="20"/>
        <v>✓</v>
      </c>
    </row>
    <row r="429" spans="1:12" x14ac:dyDescent="0.35">
      <c r="A429" t="s">
        <v>4929</v>
      </c>
      <c r="B429" t="s">
        <v>4932</v>
      </c>
      <c r="C429" t="s">
        <v>4968</v>
      </c>
      <c r="D429" s="205">
        <v>46172</v>
      </c>
      <c r="E429">
        <v>8.0399999999999991</v>
      </c>
      <c r="F429">
        <v>0</v>
      </c>
      <c r="G429">
        <v>0.5</v>
      </c>
      <c r="H429">
        <f t="shared" si="18"/>
        <v>0.5</v>
      </c>
      <c r="I429" s="206">
        <f>SUMIFS('1_Presupuesto'!$V:$V,'1_Presupuesto'!$X:$X,K429,'1_Presupuesto'!$E:$E,E429)</f>
        <v>8070816.4716949658</v>
      </c>
      <c r="J429" s="206">
        <f t="shared" si="19"/>
        <v>4035408.2358474829</v>
      </c>
      <c r="K429" t="str">
        <f>_xlfn.XLOOKUP(B429,Cert_OC_Cliente!$B:$B,Cert_OC_Cliente!$L:$L)</f>
        <v>PTO 02</v>
      </c>
      <c r="L429" t="str">
        <f t="shared" si="20"/>
        <v>✓</v>
      </c>
    </row>
    <row r="430" spans="1:12" x14ac:dyDescent="0.35">
      <c r="A430" t="s">
        <v>4929</v>
      </c>
      <c r="B430" t="s">
        <v>4932</v>
      </c>
      <c r="C430" t="s">
        <v>4968</v>
      </c>
      <c r="D430" s="205">
        <v>46172</v>
      </c>
      <c r="E430">
        <v>8.0500000000000007</v>
      </c>
      <c r="F430">
        <v>0</v>
      </c>
      <c r="G430">
        <v>0.5</v>
      </c>
      <c r="H430">
        <f t="shared" si="18"/>
        <v>0.5</v>
      </c>
      <c r="I430" s="206">
        <f>SUMIFS('1_Presupuesto'!$V:$V,'1_Presupuesto'!$X:$X,K430,'1_Presupuesto'!$E:$E,E430)</f>
        <v>2426618.8772986722</v>
      </c>
      <c r="J430" s="206">
        <f t="shared" si="19"/>
        <v>1213309.4386493361</v>
      </c>
      <c r="K430" t="str">
        <f>_xlfn.XLOOKUP(B430,Cert_OC_Cliente!$B:$B,Cert_OC_Cliente!$L:$L)</f>
        <v>PTO 02</v>
      </c>
      <c r="L430" t="str">
        <f t="shared" si="20"/>
        <v>✓</v>
      </c>
    </row>
    <row r="431" spans="1:12" x14ac:dyDescent="0.35">
      <c r="A431" t="s">
        <v>4929</v>
      </c>
      <c r="B431" t="s">
        <v>4932</v>
      </c>
      <c r="C431" t="s">
        <v>4968</v>
      </c>
      <c r="D431" s="205">
        <v>46172</v>
      </c>
      <c r="E431">
        <v>8.07</v>
      </c>
      <c r="F431">
        <v>0.05</v>
      </c>
      <c r="G431">
        <v>0.2</v>
      </c>
      <c r="H431">
        <f t="shared" si="18"/>
        <v>0.25</v>
      </c>
      <c r="I431" s="206">
        <f>SUMIFS('1_Presupuesto'!$V:$V,'1_Presupuesto'!$X:$X,K431,'1_Presupuesto'!$E:$E,E431)</f>
        <v>6336019.4916287214</v>
      </c>
      <c r="J431" s="206">
        <f t="shared" si="19"/>
        <v>1267203.8983257443</v>
      </c>
      <c r="K431" t="str">
        <f>_xlfn.XLOOKUP(B431,Cert_OC_Cliente!$B:$B,Cert_OC_Cliente!$L:$L)</f>
        <v>PTO 02</v>
      </c>
      <c r="L431" t="str">
        <f t="shared" si="20"/>
        <v>✓</v>
      </c>
    </row>
    <row r="432" spans="1:12" x14ac:dyDescent="0.35">
      <c r="A432" t="s">
        <v>4929</v>
      </c>
      <c r="B432" t="s">
        <v>4932</v>
      </c>
      <c r="C432" t="s">
        <v>4968</v>
      </c>
      <c r="D432" s="205">
        <v>46172</v>
      </c>
      <c r="E432">
        <v>10.01</v>
      </c>
      <c r="F432">
        <v>0.9</v>
      </c>
      <c r="G432">
        <v>5.0000000000000037E-2</v>
      </c>
      <c r="H432">
        <f t="shared" si="18"/>
        <v>0.95000000000000007</v>
      </c>
      <c r="I432" s="206">
        <f>SUMIFS('1_Presupuesto'!$V:$V,'1_Presupuesto'!$X:$X,K432,'1_Presupuesto'!$E:$E,E432)</f>
        <v>1844531.3872844379</v>
      </c>
      <c r="J432" s="206">
        <f t="shared" si="19"/>
        <v>92226.56936422197</v>
      </c>
      <c r="K432" t="str">
        <f>_xlfn.XLOOKUP(B432,Cert_OC_Cliente!$B:$B,Cert_OC_Cliente!$L:$L)</f>
        <v>PTO 02</v>
      </c>
      <c r="L432" t="str">
        <f t="shared" si="20"/>
        <v>✓</v>
      </c>
    </row>
    <row r="433" spans="1:12" x14ac:dyDescent="0.35">
      <c r="A433" t="s">
        <v>4929</v>
      </c>
      <c r="B433" t="s">
        <v>4932</v>
      </c>
      <c r="C433" t="s">
        <v>4968</v>
      </c>
      <c r="D433" s="205">
        <v>46172</v>
      </c>
      <c r="E433">
        <v>10.02</v>
      </c>
      <c r="F433">
        <v>0.1</v>
      </c>
      <c r="G433">
        <v>0.7</v>
      </c>
      <c r="H433">
        <f t="shared" si="18"/>
        <v>0.79999999999999993</v>
      </c>
      <c r="I433" s="206">
        <f>SUMIFS('1_Presupuesto'!$V:$V,'1_Presupuesto'!$X:$X,K433,'1_Presupuesto'!$E:$E,E433)</f>
        <v>1214936.299454513</v>
      </c>
      <c r="J433" s="206">
        <f t="shared" si="19"/>
        <v>850455.40961815906</v>
      </c>
      <c r="K433" t="str">
        <f>_xlfn.XLOOKUP(B433,Cert_OC_Cliente!$B:$B,Cert_OC_Cliente!$L:$L)</f>
        <v>PTO 02</v>
      </c>
      <c r="L433" t="str">
        <f t="shared" si="20"/>
        <v>✓</v>
      </c>
    </row>
    <row r="434" spans="1:12" x14ac:dyDescent="0.35">
      <c r="A434" t="s">
        <v>4929</v>
      </c>
      <c r="B434" t="s">
        <v>4932</v>
      </c>
      <c r="C434" t="s">
        <v>4968</v>
      </c>
      <c r="D434" s="205">
        <v>46172</v>
      </c>
      <c r="E434">
        <v>14.03</v>
      </c>
      <c r="F434">
        <v>0.3</v>
      </c>
      <c r="G434">
        <v>0.2</v>
      </c>
      <c r="H434">
        <f t="shared" si="18"/>
        <v>0.5</v>
      </c>
      <c r="I434" s="206">
        <f>SUMIFS('1_Presupuesto'!$V:$V,'1_Presupuesto'!$X:$X,K434,'1_Presupuesto'!$E:$E,E434)</f>
        <v>4118904.3140828707</v>
      </c>
      <c r="J434" s="206">
        <f t="shared" si="19"/>
        <v>823780.86281657417</v>
      </c>
      <c r="K434" t="str">
        <f>_xlfn.XLOOKUP(B434,Cert_OC_Cliente!$B:$B,Cert_OC_Cliente!$L:$L)</f>
        <v>PTO 02</v>
      </c>
      <c r="L434" t="str">
        <f t="shared" si="20"/>
        <v>✓</v>
      </c>
    </row>
    <row r="435" spans="1:12" x14ac:dyDescent="0.35">
      <c r="A435" t="s">
        <v>4929</v>
      </c>
      <c r="B435" t="s">
        <v>4932</v>
      </c>
      <c r="C435" t="s">
        <v>4968</v>
      </c>
      <c r="D435" s="205">
        <v>46172</v>
      </c>
      <c r="E435">
        <v>14.04</v>
      </c>
      <c r="F435">
        <v>0.3</v>
      </c>
      <c r="G435">
        <v>0.2</v>
      </c>
      <c r="H435">
        <f t="shared" si="18"/>
        <v>0.5</v>
      </c>
      <c r="I435" s="206">
        <f>SUMIFS('1_Presupuesto'!$V:$V,'1_Presupuesto'!$X:$X,K435,'1_Presupuesto'!$E:$E,E435)</f>
        <v>3660715.3766015153</v>
      </c>
      <c r="J435" s="206">
        <f t="shared" si="19"/>
        <v>732143.07532030309</v>
      </c>
      <c r="K435" t="str">
        <f>_xlfn.XLOOKUP(B435,Cert_OC_Cliente!$B:$B,Cert_OC_Cliente!$L:$L)</f>
        <v>PTO 02</v>
      </c>
      <c r="L435" t="str">
        <f t="shared" si="20"/>
        <v>✓</v>
      </c>
    </row>
    <row r="436" spans="1:12" x14ac:dyDescent="0.35">
      <c r="A436" t="s">
        <v>4929</v>
      </c>
      <c r="B436" t="s">
        <v>4932</v>
      </c>
      <c r="C436" t="s">
        <v>4968</v>
      </c>
      <c r="D436" s="205">
        <v>46172</v>
      </c>
      <c r="E436">
        <v>14.05</v>
      </c>
      <c r="F436">
        <v>0</v>
      </c>
      <c r="G436">
        <v>0.15</v>
      </c>
      <c r="H436">
        <f t="shared" si="18"/>
        <v>0.15</v>
      </c>
      <c r="I436" s="206">
        <f>SUMIFS('1_Presupuesto'!$V:$V,'1_Presupuesto'!$X:$X,K436,'1_Presupuesto'!$E:$E,E436)</f>
        <v>4915016.4417725848</v>
      </c>
      <c r="J436" s="206">
        <f t="shared" si="19"/>
        <v>737252.46626588772</v>
      </c>
      <c r="K436" t="str">
        <f>_xlfn.XLOOKUP(B436,Cert_OC_Cliente!$B:$B,Cert_OC_Cliente!$L:$L)</f>
        <v>PTO 02</v>
      </c>
      <c r="L436" t="str">
        <f t="shared" si="20"/>
        <v>✓</v>
      </c>
    </row>
    <row r="437" spans="1:12" x14ac:dyDescent="0.35">
      <c r="A437" t="s">
        <v>4929</v>
      </c>
      <c r="B437" t="s">
        <v>4932</v>
      </c>
      <c r="C437" t="s">
        <v>4968</v>
      </c>
      <c r="D437" s="205">
        <v>46172</v>
      </c>
      <c r="E437">
        <v>14.06</v>
      </c>
      <c r="F437">
        <v>0</v>
      </c>
      <c r="G437">
        <v>0.4</v>
      </c>
      <c r="H437">
        <f t="shared" si="18"/>
        <v>0.4</v>
      </c>
      <c r="I437" s="206">
        <f>SUMIFS('1_Presupuesto'!$V:$V,'1_Presupuesto'!$X:$X,K437,'1_Presupuesto'!$E:$E,E437)</f>
        <v>519322.49196087616</v>
      </c>
      <c r="J437" s="206">
        <f t="shared" si="19"/>
        <v>207728.99678435049</v>
      </c>
      <c r="K437" t="str">
        <f>_xlfn.XLOOKUP(B437,Cert_OC_Cliente!$B:$B,Cert_OC_Cliente!$L:$L)</f>
        <v>PTO 02</v>
      </c>
      <c r="L437" t="str">
        <f t="shared" si="20"/>
        <v>✓</v>
      </c>
    </row>
    <row r="438" spans="1:12" x14ac:dyDescent="0.35">
      <c r="A438" t="s">
        <v>4929</v>
      </c>
      <c r="B438" t="s">
        <v>4932</v>
      </c>
      <c r="C438" t="s">
        <v>4968</v>
      </c>
      <c r="D438" s="205">
        <v>46172</v>
      </c>
      <c r="E438">
        <v>15.12</v>
      </c>
      <c r="F438">
        <v>0</v>
      </c>
      <c r="G438">
        <v>0.1</v>
      </c>
      <c r="H438">
        <f t="shared" si="18"/>
        <v>0.1</v>
      </c>
      <c r="I438" s="206">
        <f>SUMIFS('1_Presupuesto'!$V:$V,'1_Presupuesto'!$X:$X,K438,'1_Presupuesto'!$E:$E,E438)</f>
        <v>4286491.2829616163</v>
      </c>
      <c r="J438" s="206">
        <f t="shared" si="19"/>
        <v>428649.12829616165</v>
      </c>
      <c r="K438" t="str">
        <f>_xlfn.XLOOKUP(B438,Cert_OC_Cliente!$B:$B,Cert_OC_Cliente!$L:$L)</f>
        <v>PTO 02</v>
      </c>
      <c r="L438" t="str">
        <f t="shared" si="20"/>
        <v>✓</v>
      </c>
    </row>
    <row r="439" spans="1:12" x14ac:dyDescent="0.35">
      <c r="A439" t="s">
        <v>4929</v>
      </c>
      <c r="B439" t="s">
        <v>4932</v>
      </c>
      <c r="C439" t="s">
        <v>4968</v>
      </c>
      <c r="D439" s="205">
        <v>46172</v>
      </c>
      <c r="E439">
        <v>18.010000000000002</v>
      </c>
      <c r="F439">
        <v>0.53499999999999992</v>
      </c>
      <c r="G439">
        <v>1.0000000000000011E-2</v>
      </c>
      <c r="H439">
        <f t="shared" si="18"/>
        <v>0.54499999999999993</v>
      </c>
      <c r="I439" s="206">
        <f>SUMIFS('1_Presupuesto'!$V:$V,'1_Presupuesto'!$X:$X,K439,'1_Presupuesto'!$E:$E,E439)</f>
        <v>0</v>
      </c>
      <c r="J439" s="206">
        <f t="shared" si="19"/>
        <v>0</v>
      </c>
      <c r="K439" t="str">
        <f>_xlfn.XLOOKUP(B439,Cert_OC_Cliente!$B:$B,Cert_OC_Cliente!$L:$L)</f>
        <v>PTO 02</v>
      </c>
      <c r="L439" t="str">
        <f t="shared" si="20"/>
        <v>✓</v>
      </c>
    </row>
    <row r="440" spans="1:12" x14ac:dyDescent="0.35">
      <c r="A440" t="s">
        <v>4929</v>
      </c>
      <c r="B440" t="s">
        <v>4932</v>
      </c>
      <c r="C440" t="s">
        <v>4968</v>
      </c>
      <c r="D440" s="205">
        <v>46172</v>
      </c>
      <c r="E440">
        <v>18.02</v>
      </c>
      <c r="F440">
        <v>0.495</v>
      </c>
      <c r="G440">
        <v>5.0000000000000037E-2</v>
      </c>
      <c r="H440">
        <f t="shared" si="18"/>
        <v>0.54500000000000004</v>
      </c>
      <c r="I440" s="206">
        <f>SUMIFS('1_Presupuesto'!$V:$V,'1_Presupuesto'!$X:$X,K440,'1_Presupuesto'!$E:$E,E440)</f>
        <v>4540566.038479845</v>
      </c>
      <c r="J440" s="206">
        <f t="shared" si="19"/>
        <v>227028.30192399243</v>
      </c>
      <c r="K440" t="str">
        <f>_xlfn.XLOOKUP(B440,Cert_OC_Cliente!$B:$B,Cert_OC_Cliente!$L:$L)</f>
        <v>PTO 02</v>
      </c>
      <c r="L440" t="str">
        <f t="shared" si="20"/>
        <v>✓</v>
      </c>
    </row>
    <row r="441" spans="1:12" x14ac:dyDescent="0.35">
      <c r="A441" t="s">
        <v>4929</v>
      </c>
      <c r="B441" t="s">
        <v>4932</v>
      </c>
      <c r="C441" t="s">
        <v>4968</v>
      </c>
      <c r="D441" s="205">
        <v>46172</v>
      </c>
      <c r="E441">
        <v>18.03</v>
      </c>
      <c r="F441">
        <v>0.65499999999999992</v>
      </c>
      <c r="G441">
        <v>4.0000000000000042E-2</v>
      </c>
      <c r="H441">
        <f t="shared" si="18"/>
        <v>0.69499999999999995</v>
      </c>
      <c r="I441" s="206">
        <f>SUMIFS('1_Presupuesto'!$V:$V,'1_Presupuesto'!$X:$X,K441,'1_Presupuesto'!$E:$E,E441)</f>
        <v>878819.23325416353</v>
      </c>
      <c r="J441" s="206">
        <f t="shared" si="19"/>
        <v>35152.769330166579</v>
      </c>
      <c r="K441" t="str">
        <f>_xlfn.XLOOKUP(B441,Cert_OC_Cliente!$B:$B,Cert_OC_Cliente!$L:$L)</f>
        <v>PTO 02</v>
      </c>
      <c r="L441" t="str">
        <f t="shared" si="20"/>
        <v>✓</v>
      </c>
    </row>
    <row r="442" spans="1:12" x14ac:dyDescent="0.35">
      <c r="A442" t="s">
        <v>4929</v>
      </c>
      <c r="B442" t="s">
        <v>4932</v>
      </c>
      <c r="C442" t="s">
        <v>4968</v>
      </c>
      <c r="D442" s="205">
        <v>46172</v>
      </c>
      <c r="E442">
        <v>18.059999999999999</v>
      </c>
      <c r="F442">
        <v>0.4</v>
      </c>
      <c r="G442">
        <v>9.9999999999999978E-2</v>
      </c>
      <c r="H442">
        <f t="shared" si="18"/>
        <v>0.5</v>
      </c>
      <c r="I442" s="206">
        <f>SUMIFS('1_Presupuesto'!$V:$V,'1_Presupuesto'!$X:$X,K442,'1_Presupuesto'!$E:$E,E442)</f>
        <v>1757638.4665083271</v>
      </c>
      <c r="J442" s="206">
        <f t="shared" si="19"/>
        <v>175763.84665083265</v>
      </c>
      <c r="K442" t="str">
        <f>_xlfn.XLOOKUP(B442,Cert_OC_Cliente!$B:$B,Cert_OC_Cliente!$L:$L)</f>
        <v>PTO 02</v>
      </c>
      <c r="L442" t="str">
        <f t="shared" si="20"/>
        <v>✓</v>
      </c>
    </row>
    <row r="443" spans="1:12" x14ac:dyDescent="0.35">
      <c r="A443" t="s">
        <v>4929</v>
      </c>
      <c r="B443" t="s">
        <v>4932</v>
      </c>
      <c r="C443" t="s">
        <v>4968</v>
      </c>
      <c r="D443" s="205">
        <v>46172</v>
      </c>
      <c r="E443">
        <v>18.07</v>
      </c>
      <c r="F443">
        <v>0.503</v>
      </c>
      <c r="G443">
        <v>5.0000000000000037E-2</v>
      </c>
      <c r="H443">
        <f t="shared" si="18"/>
        <v>0.55300000000000005</v>
      </c>
      <c r="I443" s="206">
        <f>SUMIFS('1_Presupuesto'!$V:$V,'1_Presupuesto'!$X:$X,K443,'1_Presupuesto'!$E:$E,E443)</f>
        <v>15628623.979244839</v>
      </c>
      <c r="J443" s="206">
        <f t="shared" si="19"/>
        <v>781431.19896224258</v>
      </c>
      <c r="K443" t="str">
        <f>_xlfn.XLOOKUP(B443,Cert_OC_Cliente!$B:$B,Cert_OC_Cliente!$L:$L)</f>
        <v>PTO 02</v>
      </c>
      <c r="L443" t="str">
        <f t="shared" si="20"/>
        <v>✓</v>
      </c>
    </row>
    <row r="444" spans="1:12" x14ac:dyDescent="0.35">
      <c r="A444" t="s">
        <v>4929</v>
      </c>
      <c r="B444" t="s">
        <v>4932</v>
      </c>
      <c r="C444" t="s">
        <v>4968</v>
      </c>
      <c r="D444" s="205">
        <v>46172</v>
      </c>
      <c r="E444">
        <v>18.079999999999998</v>
      </c>
      <c r="F444">
        <v>0.5</v>
      </c>
      <c r="G444">
        <v>5.0000000000000037E-2</v>
      </c>
      <c r="H444">
        <f t="shared" si="18"/>
        <v>0.55000000000000004</v>
      </c>
      <c r="I444" s="206">
        <f>SUMIFS('1_Presupuesto'!$V:$V,'1_Presupuesto'!$X:$X,K444,'1_Presupuesto'!$E:$E,E444)</f>
        <v>3049848.1124811382</v>
      </c>
      <c r="J444" s="206">
        <f t="shared" si="19"/>
        <v>152492.40562405702</v>
      </c>
      <c r="K444" t="str">
        <f>_xlfn.XLOOKUP(B444,Cert_OC_Cliente!$B:$B,Cert_OC_Cliente!$L:$L)</f>
        <v>PTO 02</v>
      </c>
      <c r="L444" t="str">
        <f t="shared" si="20"/>
        <v>✓</v>
      </c>
    </row>
    <row r="445" spans="1:12" x14ac:dyDescent="0.35">
      <c r="A445" t="s">
        <v>4929</v>
      </c>
      <c r="B445" t="s">
        <v>4932</v>
      </c>
      <c r="C445" t="s">
        <v>4968</v>
      </c>
      <c r="D445" s="205">
        <v>46172</v>
      </c>
      <c r="E445">
        <v>18.12</v>
      </c>
      <c r="F445">
        <v>0.60000000000000009</v>
      </c>
      <c r="G445">
        <v>5.0000000000000037E-2</v>
      </c>
      <c r="H445">
        <f t="shared" si="18"/>
        <v>0.65000000000000013</v>
      </c>
      <c r="I445" s="206">
        <f>SUMIFS('1_Presupuesto'!$V:$V,'1_Presupuesto'!$X:$X,K445,'1_Presupuesto'!$E:$E,E445)</f>
        <v>1366621.284136306</v>
      </c>
      <c r="J445" s="206">
        <f t="shared" si="19"/>
        <v>68331.064206815354</v>
      </c>
      <c r="K445" t="str">
        <f>_xlfn.XLOOKUP(B445,Cert_OC_Cliente!$B:$B,Cert_OC_Cliente!$L:$L)</f>
        <v>PTO 02</v>
      </c>
      <c r="L445" t="str">
        <f t="shared" si="20"/>
        <v>✓</v>
      </c>
    </row>
    <row r="446" spans="1:12" x14ac:dyDescent="0.35">
      <c r="A446" t="s">
        <v>4929</v>
      </c>
      <c r="B446" t="s">
        <v>4932</v>
      </c>
      <c r="C446" t="s">
        <v>4968</v>
      </c>
      <c r="D446" s="205">
        <v>46172</v>
      </c>
      <c r="E446">
        <v>18.14</v>
      </c>
      <c r="F446">
        <v>0.60000000000000009</v>
      </c>
      <c r="G446">
        <v>5.0000000000000037E-2</v>
      </c>
      <c r="H446">
        <f t="shared" si="18"/>
        <v>0.65000000000000013</v>
      </c>
      <c r="I446" s="206">
        <f>SUMIFS('1_Presupuesto'!$V:$V,'1_Presupuesto'!$X:$X,K446,'1_Presupuesto'!$E:$E,E446)</f>
        <v>1467852.4903686249</v>
      </c>
      <c r="J446" s="206">
        <f t="shared" si="19"/>
        <v>73392.624518431301</v>
      </c>
      <c r="K446" t="str">
        <f>_xlfn.XLOOKUP(B446,Cert_OC_Cliente!$B:$B,Cert_OC_Cliente!$L:$L)</f>
        <v>PTO 02</v>
      </c>
      <c r="L446" t="str">
        <f t="shared" si="20"/>
        <v>✓</v>
      </c>
    </row>
    <row r="447" spans="1:12" x14ac:dyDescent="0.35">
      <c r="A447" t="s">
        <v>4929</v>
      </c>
      <c r="B447" t="s">
        <v>4932</v>
      </c>
      <c r="C447" t="s">
        <v>4968</v>
      </c>
      <c r="D447" s="205">
        <v>46172</v>
      </c>
      <c r="E447">
        <v>18.190000000000001</v>
      </c>
      <c r="F447">
        <v>0.3</v>
      </c>
      <c r="G447">
        <v>4.9999999999999989E-2</v>
      </c>
      <c r="H447">
        <f t="shared" si="18"/>
        <v>0.35</v>
      </c>
      <c r="I447" s="206">
        <f>SUMIFS('1_Presupuesto'!$V:$V,'1_Presupuesto'!$X:$X,K447,'1_Presupuesto'!$E:$E,E447)</f>
        <v>5358679.4448621087</v>
      </c>
      <c r="J447" s="206">
        <f t="shared" si="19"/>
        <v>267933.97224310535</v>
      </c>
      <c r="K447" t="str">
        <f>_xlfn.XLOOKUP(B447,Cert_OC_Cliente!$B:$B,Cert_OC_Cliente!$L:$L)</f>
        <v>PTO 02</v>
      </c>
      <c r="L447" t="str">
        <f t="shared" si="20"/>
        <v>✓</v>
      </c>
    </row>
    <row r="448" spans="1:12" x14ac:dyDescent="0.35">
      <c r="A448" t="s">
        <v>4929</v>
      </c>
      <c r="B448" t="s">
        <v>4932</v>
      </c>
      <c r="C448" t="s">
        <v>4968</v>
      </c>
      <c r="D448" s="205">
        <v>46172</v>
      </c>
      <c r="E448">
        <v>18.2</v>
      </c>
      <c r="F448">
        <v>0.3</v>
      </c>
      <c r="G448">
        <v>0.15</v>
      </c>
      <c r="H448">
        <f t="shared" si="18"/>
        <v>0.44999999999999996</v>
      </c>
      <c r="I448" s="206">
        <f>SUMIFS('1_Presupuesto'!$V:$V,'1_Presupuesto'!$X:$X,K448,'1_Presupuesto'!$E:$E,E448)</f>
        <v>6378277.9181874543</v>
      </c>
      <c r="J448" s="206">
        <f t="shared" si="19"/>
        <v>956741.68772811815</v>
      </c>
      <c r="K448" t="str">
        <f>_xlfn.XLOOKUP(B448,Cert_OC_Cliente!$B:$B,Cert_OC_Cliente!$L:$L)</f>
        <v>PTO 02</v>
      </c>
      <c r="L448" t="str">
        <f t="shared" si="20"/>
        <v>✓</v>
      </c>
    </row>
    <row r="449" spans="1:12" x14ac:dyDescent="0.35">
      <c r="A449" t="s">
        <v>4929</v>
      </c>
      <c r="B449" t="s">
        <v>4932</v>
      </c>
      <c r="C449" t="s">
        <v>4968</v>
      </c>
      <c r="D449" s="205">
        <v>46172</v>
      </c>
      <c r="E449">
        <v>18.21</v>
      </c>
      <c r="F449">
        <v>0.3</v>
      </c>
      <c r="G449">
        <v>0.15</v>
      </c>
      <c r="H449">
        <f t="shared" si="18"/>
        <v>0.44999999999999996</v>
      </c>
      <c r="I449" s="206">
        <f>SUMIFS('1_Presupuesto'!$V:$V,'1_Presupuesto'!$X:$X,K449,'1_Presupuesto'!$E:$E,E449)</f>
        <v>1695725.341478114</v>
      </c>
      <c r="J449" s="206">
        <f t="shared" si="19"/>
        <v>254358.80122171709</v>
      </c>
      <c r="K449" t="str">
        <f>_xlfn.XLOOKUP(B449,Cert_OC_Cliente!$B:$B,Cert_OC_Cliente!$L:$L)</f>
        <v>PTO 02</v>
      </c>
      <c r="L449" t="str">
        <f t="shared" si="20"/>
        <v>✓</v>
      </c>
    </row>
    <row r="450" spans="1:12" x14ac:dyDescent="0.35">
      <c r="A450" t="s">
        <v>4929</v>
      </c>
      <c r="B450" t="s">
        <v>4932</v>
      </c>
      <c r="C450" t="s">
        <v>4968</v>
      </c>
      <c r="D450" s="205">
        <v>46172</v>
      </c>
      <c r="E450">
        <v>19.02</v>
      </c>
      <c r="F450">
        <v>0.8</v>
      </c>
      <c r="G450">
        <v>9.9999999999999978E-2</v>
      </c>
      <c r="H450">
        <f t="shared" ref="H450:H513" si="21">F450+G450</f>
        <v>0.9</v>
      </c>
      <c r="I450" s="206">
        <f>SUMIFS('1_Presupuesto'!$V:$V,'1_Presupuesto'!$X:$X,K450,'1_Presupuesto'!$E:$E,E450)</f>
        <v>9552582.557606468</v>
      </c>
      <c r="J450" s="206">
        <f t="shared" ref="J450:J513" si="22">G450*I450</f>
        <v>955258.25576064654</v>
      </c>
      <c r="K450" t="str">
        <f>_xlfn.XLOOKUP(B450,Cert_OC_Cliente!$B:$B,Cert_OC_Cliente!$L:$L)</f>
        <v>PTO 02</v>
      </c>
      <c r="L450" t="str">
        <f t="shared" ref="L450:L472" si="23">IF($E450="","",IF(AND(ISNUMBER($I450),$H450&lt;=1.0001),"✓","⚠"))</f>
        <v>✓</v>
      </c>
    </row>
    <row r="451" spans="1:12" x14ac:dyDescent="0.35">
      <c r="A451" t="s">
        <v>4929</v>
      </c>
      <c r="B451" t="s">
        <v>4932</v>
      </c>
      <c r="C451" t="s">
        <v>4968</v>
      </c>
      <c r="D451" s="205">
        <v>46172</v>
      </c>
      <c r="E451">
        <v>19.03</v>
      </c>
      <c r="F451">
        <v>0.6</v>
      </c>
      <c r="G451">
        <v>9.9999999999999978E-2</v>
      </c>
      <c r="H451">
        <f t="shared" si="21"/>
        <v>0.7</v>
      </c>
      <c r="I451" s="206">
        <f>SUMIFS('1_Presupuesto'!$V:$V,'1_Presupuesto'!$X:$X,K451,'1_Presupuesto'!$E:$E,E451)</f>
        <v>4881534.9792620176</v>
      </c>
      <c r="J451" s="206">
        <f t="shared" si="22"/>
        <v>488153.49792620167</v>
      </c>
      <c r="K451" t="str">
        <f>_xlfn.XLOOKUP(B451,Cert_OC_Cliente!$B:$B,Cert_OC_Cliente!$L:$L)</f>
        <v>PTO 02</v>
      </c>
      <c r="L451" t="str">
        <f t="shared" si="23"/>
        <v>✓</v>
      </c>
    </row>
    <row r="452" spans="1:12" x14ac:dyDescent="0.35">
      <c r="A452" t="s">
        <v>4929</v>
      </c>
      <c r="B452" t="s">
        <v>4932</v>
      </c>
      <c r="C452" t="s">
        <v>4968</v>
      </c>
      <c r="D452" s="205">
        <v>46172</v>
      </c>
      <c r="E452">
        <v>19.05</v>
      </c>
      <c r="F452">
        <v>0.64999999999999991</v>
      </c>
      <c r="G452">
        <v>0.25</v>
      </c>
      <c r="H452">
        <f t="shared" si="21"/>
        <v>0.89999999999999991</v>
      </c>
      <c r="I452" s="206">
        <f>SUMIFS('1_Presupuesto'!$V:$V,'1_Presupuesto'!$X:$X,K452,'1_Presupuesto'!$E:$E,E452)</f>
        <v>3537993.5398542481</v>
      </c>
      <c r="J452" s="206">
        <f t="shared" si="22"/>
        <v>884498.38496356201</v>
      </c>
      <c r="K452" t="str">
        <f>_xlfn.XLOOKUP(B452,Cert_OC_Cliente!$B:$B,Cert_OC_Cliente!$L:$L)</f>
        <v>PTO 02</v>
      </c>
      <c r="L452" t="str">
        <f t="shared" si="23"/>
        <v>✓</v>
      </c>
    </row>
    <row r="453" spans="1:12" x14ac:dyDescent="0.35">
      <c r="A453" t="s">
        <v>4929</v>
      </c>
      <c r="B453" t="s">
        <v>4932</v>
      </c>
      <c r="C453" t="s">
        <v>4968</v>
      </c>
      <c r="D453" s="205">
        <v>46172</v>
      </c>
      <c r="E453">
        <v>19.079999999999998</v>
      </c>
      <c r="F453">
        <v>0.3</v>
      </c>
      <c r="G453">
        <v>0.4</v>
      </c>
      <c r="H453">
        <f t="shared" si="21"/>
        <v>0.7</v>
      </c>
      <c r="I453" s="206">
        <f>SUMIFS('1_Presupuesto'!$V:$V,'1_Presupuesto'!$X:$X,K453,'1_Presupuesto'!$E:$E,E453)</f>
        <v>3665830.8740470451</v>
      </c>
      <c r="J453" s="206">
        <f t="shared" si="22"/>
        <v>1466332.3496188181</v>
      </c>
      <c r="K453" t="str">
        <f>_xlfn.XLOOKUP(B453,Cert_OC_Cliente!$B:$B,Cert_OC_Cliente!$L:$L)</f>
        <v>PTO 02</v>
      </c>
      <c r="L453" t="str">
        <f t="shared" si="23"/>
        <v>✓</v>
      </c>
    </row>
    <row r="454" spans="1:12" x14ac:dyDescent="0.35">
      <c r="A454" t="s">
        <v>4929</v>
      </c>
      <c r="B454" t="s">
        <v>4932</v>
      </c>
      <c r="C454" t="s">
        <v>4968</v>
      </c>
      <c r="D454" s="205">
        <v>46172</v>
      </c>
      <c r="E454">
        <v>19.100000000000001</v>
      </c>
      <c r="F454">
        <v>0.75000000000000011</v>
      </c>
      <c r="G454">
        <v>0.15</v>
      </c>
      <c r="H454">
        <f t="shared" si="21"/>
        <v>0.90000000000000013</v>
      </c>
      <c r="I454" s="206">
        <f>SUMIFS('1_Presupuesto'!$V:$V,'1_Presupuesto'!$X:$X,K454,'1_Presupuesto'!$E:$E,E454)</f>
        <v>18413868.763299089</v>
      </c>
      <c r="J454" s="206">
        <f t="shared" si="22"/>
        <v>2762080.3144948632</v>
      </c>
      <c r="K454" t="str">
        <f>_xlfn.XLOOKUP(B454,Cert_OC_Cliente!$B:$B,Cert_OC_Cliente!$L:$L)</f>
        <v>PTO 02</v>
      </c>
      <c r="L454" t="str">
        <f t="shared" si="23"/>
        <v>✓</v>
      </c>
    </row>
    <row r="455" spans="1:12" x14ac:dyDescent="0.35">
      <c r="A455" t="s">
        <v>4929</v>
      </c>
      <c r="B455" t="s">
        <v>4932</v>
      </c>
      <c r="C455" t="s">
        <v>4968</v>
      </c>
      <c r="D455" s="205">
        <v>46172</v>
      </c>
      <c r="E455">
        <v>19.12</v>
      </c>
      <c r="F455">
        <v>0.9</v>
      </c>
      <c r="G455">
        <v>9.9999999999999978E-2</v>
      </c>
      <c r="H455">
        <f t="shared" si="21"/>
        <v>1</v>
      </c>
      <c r="I455" s="206">
        <f>SUMIFS('1_Presupuesto'!$V:$V,'1_Presupuesto'!$X:$X,K455,'1_Presupuesto'!$E:$E,E455)</f>
        <v>2637800.7601688541</v>
      </c>
      <c r="J455" s="206">
        <f t="shared" si="22"/>
        <v>263780.07601688534</v>
      </c>
      <c r="K455" t="str">
        <f>_xlfn.XLOOKUP(B455,Cert_OC_Cliente!$B:$B,Cert_OC_Cliente!$L:$L)</f>
        <v>PTO 02</v>
      </c>
      <c r="L455" t="str">
        <f t="shared" si="23"/>
        <v>✓</v>
      </c>
    </row>
    <row r="456" spans="1:12" x14ac:dyDescent="0.35">
      <c r="A456" t="s">
        <v>4929</v>
      </c>
      <c r="B456" t="s">
        <v>4932</v>
      </c>
      <c r="C456" t="s">
        <v>4968</v>
      </c>
      <c r="D456" s="205">
        <v>46172</v>
      </c>
      <c r="E456">
        <v>19.13</v>
      </c>
      <c r="F456">
        <v>0.15</v>
      </c>
      <c r="G456">
        <v>0.45000000000000012</v>
      </c>
      <c r="H456">
        <f t="shared" si="21"/>
        <v>0.60000000000000009</v>
      </c>
      <c r="I456" s="206">
        <f>SUMIFS('1_Presupuesto'!$V:$V,'1_Presupuesto'!$X:$X,K456,'1_Presupuesto'!$E:$E,E456)</f>
        <v>36002857.867846049</v>
      </c>
      <c r="J456" s="206">
        <f t="shared" si="22"/>
        <v>16201286.040530726</v>
      </c>
      <c r="K456" t="str">
        <f>_xlfn.XLOOKUP(B456,Cert_OC_Cliente!$B:$B,Cert_OC_Cliente!$L:$L)</f>
        <v>PTO 02</v>
      </c>
      <c r="L456" t="str">
        <f t="shared" si="23"/>
        <v>✓</v>
      </c>
    </row>
    <row r="457" spans="1:12" x14ac:dyDescent="0.35">
      <c r="A457" t="s">
        <v>4929</v>
      </c>
      <c r="B457" t="s">
        <v>4932</v>
      </c>
      <c r="C457" t="s">
        <v>4968</v>
      </c>
      <c r="D457" s="205">
        <v>46172</v>
      </c>
      <c r="E457">
        <v>19.149999999999999</v>
      </c>
      <c r="F457">
        <v>0.3</v>
      </c>
      <c r="G457">
        <v>0.2</v>
      </c>
      <c r="H457">
        <f t="shared" si="21"/>
        <v>0.5</v>
      </c>
      <c r="I457" s="206">
        <f>SUMIFS('1_Presupuesto'!$V:$V,'1_Presupuesto'!$X:$X,K457,'1_Presupuesto'!$E:$E,E457)</f>
        <v>6439006.4091121592</v>
      </c>
      <c r="J457" s="206">
        <f t="shared" si="22"/>
        <v>1287801.2818224318</v>
      </c>
      <c r="K457" t="str">
        <f>_xlfn.XLOOKUP(B457,Cert_OC_Cliente!$B:$B,Cert_OC_Cliente!$L:$L)</f>
        <v>PTO 02</v>
      </c>
      <c r="L457" t="str">
        <f t="shared" si="23"/>
        <v>✓</v>
      </c>
    </row>
    <row r="458" spans="1:12" x14ac:dyDescent="0.35">
      <c r="A458" t="s">
        <v>4929</v>
      </c>
      <c r="B458" t="s">
        <v>4932</v>
      </c>
      <c r="C458" t="s">
        <v>4968</v>
      </c>
      <c r="D458" s="205">
        <v>46172</v>
      </c>
      <c r="E458">
        <v>19.16</v>
      </c>
      <c r="F458">
        <v>0.45</v>
      </c>
      <c r="G458">
        <v>0.24999999999999989</v>
      </c>
      <c r="H458">
        <f t="shared" si="21"/>
        <v>0.7</v>
      </c>
      <c r="I458" s="206">
        <f>SUMIFS('1_Presupuesto'!$V:$V,'1_Presupuesto'!$X:$X,K458,'1_Presupuesto'!$E:$E,E458)</f>
        <v>27794006.689447839</v>
      </c>
      <c r="J458" s="206">
        <f t="shared" si="22"/>
        <v>6948501.6723619569</v>
      </c>
      <c r="K458" t="str">
        <f>_xlfn.XLOOKUP(B458,Cert_OC_Cliente!$B:$B,Cert_OC_Cliente!$L:$L)</f>
        <v>PTO 02</v>
      </c>
      <c r="L458" t="str">
        <f t="shared" si="23"/>
        <v>✓</v>
      </c>
    </row>
    <row r="459" spans="1:12" x14ac:dyDescent="0.35">
      <c r="A459" t="s">
        <v>4929</v>
      </c>
      <c r="B459" t="s">
        <v>4932</v>
      </c>
      <c r="C459" t="s">
        <v>4968</v>
      </c>
      <c r="D459" s="205">
        <v>46172</v>
      </c>
      <c r="E459">
        <v>19.190000000000001</v>
      </c>
      <c r="F459">
        <v>0.2</v>
      </c>
      <c r="G459">
        <v>0.15</v>
      </c>
      <c r="H459">
        <f t="shared" si="21"/>
        <v>0.35</v>
      </c>
      <c r="I459" s="206">
        <f>SUMIFS('1_Presupuesto'!$V:$V,'1_Presupuesto'!$X:$X,K459,'1_Presupuesto'!$E:$E,E459)</f>
        <v>4677873.2692649635</v>
      </c>
      <c r="J459" s="206">
        <f t="shared" si="22"/>
        <v>701680.99038974452</v>
      </c>
      <c r="K459" t="str">
        <f>_xlfn.XLOOKUP(B459,Cert_OC_Cliente!$B:$B,Cert_OC_Cliente!$L:$L)</f>
        <v>PTO 02</v>
      </c>
      <c r="L459" t="str">
        <f t="shared" si="23"/>
        <v>✓</v>
      </c>
    </row>
    <row r="460" spans="1:12" x14ac:dyDescent="0.35">
      <c r="A460" t="s">
        <v>4929</v>
      </c>
      <c r="B460" t="s">
        <v>4932</v>
      </c>
      <c r="C460" t="s">
        <v>4968</v>
      </c>
      <c r="D460" s="205">
        <v>46172</v>
      </c>
      <c r="E460">
        <v>23.01</v>
      </c>
      <c r="F460">
        <v>0.5</v>
      </c>
      <c r="G460">
        <v>9.9999999999999978E-2</v>
      </c>
      <c r="H460">
        <f t="shared" si="21"/>
        <v>0.6</v>
      </c>
      <c r="I460" s="206">
        <f>SUMIFS('1_Presupuesto'!$V:$V,'1_Presupuesto'!$X:$X,K460,'1_Presupuesto'!$E:$E,E460)</f>
        <v>1554374.5569766986</v>
      </c>
      <c r="J460" s="206">
        <f t="shared" si="22"/>
        <v>155437.45569766982</v>
      </c>
      <c r="K460" t="str">
        <f>_xlfn.XLOOKUP(B460,Cert_OC_Cliente!$B:$B,Cert_OC_Cliente!$L:$L)</f>
        <v>PTO 02</v>
      </c>
      <c r="L460" t="str">
        <f t="shared" si="23"/>
        <v>✓</v>
      </c>
    </row>
    <row r="461" spans="1:12" x14ac:dyDescent="0.35">
      <c r="A461" t="s">
        <v>4929</v>
      </c>
      <c r="B461" t="s">
        <v>4932</v>
      </c>
      <c r="C461" t="s">
        <v>4968</v>
      </c>
      <c r="D461" s="205">
        <v>46172</v>
      </c>
      <c r="E461">
        <v>24.01</v>
      </c>
      <c r="F461">
        <v>0.70000000000000007</v>
      </c>
      <c r="G461">
        <v>5.0000000000000037E-2</v>
      </c>
      <c r="H461">
        <f t="shared" si="21"/>
        <v>0.75000000000000011</v>
      </c>
      <c r="I461" s="206">
        <f>SUMIFS('1_Presupuesto'!$V:$V,'1_Presupuesto'!$X:$X,K461,'1_Presupuesto'!$E:$E,E461)</f>
        <v>16546555.307464439</v>
      </c>
      <c r="J461" s="206">
        <f t="shared" si="22"/>
        <v>827327.76537322265</v>
      </c>
      <c r="K461" t="str">
        <f>_xlfn.XLOOKUP(B461,Cert_OC_Cliente!$B:$B,Cert_OC_Cliente!$L:$L)</f>
        <v>PTO 02</v>
      </c>
      <c r="L461" t="str">
        <f t="shared" si="23"/>
        <v>✓</v>
      </c>
    </row>
    <row r="462" spans="1:12" x14ac:dyDescent="0.35">
      <c r="A462" t="s">
        <v>4929</v>
      </c>
      <c r="B462" t="s">
        <v>4932</v>
      </c>
      <c r="C462" t="s">
        <v>4968</v>
      </c>
      <c r="D462" s="205">
        <v>46172</v>
      </c>
      <c r="E462">
        <v>24.03</v>
      </c>
      <c r="F462">
        <v>0.70000000000000007</v>
      </c>
      <c r="G462">
        <v>5.0000000000000037E-2</v>
      </c>
      <c r="H462">
        <f t="shared" si="21"/>
        <v>0.75000000000000011</v>
      </c>
      <c r="I462" s="206">
        <f>SUMIFS('1_Presupuesto'!$V:$V,'1_Presupuesto'!$X:$X,K462,'1_Presupuesto'!$E:$E,E462)</f>
        <v>3398454.9392095888</v>
      </c>
      <c r="J462" s="206">
        <f t="shared" si="22"/>
        <v>169922.74696047956</v>
      </c>
      <c r="K462" t="str">
        <f>_xlfn.XLOOKUP(B462,Cert_OC_Cliente!$B:$B,Cert_OC_Cliente!$L:$L)</f>
        <v>PTO 02</v>
      </c>
      <c r="L462" t="str">
        <f t="shared" si="23"/>
        <v>✓</v>
      </c>
    </row>
    <row r="463" spans="1:12" x14ac:dyDescent="0.35">
      <c r="A463" t="s">
        <v>4929</v>
      </c>
      <c r="B463" t="s">
        <v>4932</v>
      </c>
      <c r="C463" t="s">
        <v>4968</v>
      </c>
      <c r="D463" s="205">
        <v>46172</v>
      </c>
      <c r="E463">
        <v>24.05</v>
      </c>
      <c r="F463">
        <v>0.6</v>
      </c>
      <c r="G463">
        <v>5.0000000000000037E-2</v>
      </c>
      <c r="H463">
        <f t="shared" si="21"/>
        <v>0.65</v>
      </c>
      <c r="I463" s="206">
        <f>SUMIFS('1_Presupuesto'!$V:$V,'1_Presupuesto'!$X:$X,K463,'1_Presupuesto'!$E:$E,E463)</f>
        <v>14856213.332043247</v>
      </c>
      <c r="J463" s="206">
        <f t="shared" si="22"/>
        <v>742810.66660216288</v>
      </c>
      <c r="K463" t="str">
        <f>_xlfn.XLOOKUP(B463,Cert_OC_Cliente!$B:$B,Cert_OC_Cliente!$L:$L)</f>
        <v>PTO 02</v>
      </c>
      <c r="L463" t="str">
        <f t="shared" si="23"/>
        <v>✓</v>
      </c>
    </row>
    <row r="464" spans="1:12" x14ac:dyDescent="0.35">
      <c r="A464" t="s">
        <v>4929</v>
      </c>
      <c r="B464" t="s">
        <v>4932</v>
      </c>
      <c r="C464" t="s">
        <v>4968</v>
      </c>
      <c r="D464" s="205">
        <v>46172</v>
      </c>
      <c r="E464">
        <v>24.06</v>
      </c>
      <c r="F464">
        <v>0.6</v>
      </c>
      <c r="G464">
        <v>5.0000000000000037E-2</v>
      </c>
      <c r="H464">
        <f t="shared" si="21"/>
        <v>0.65</v>
      </c>
      <c r="I464" s="206">
        <f>SUMIFS('1_Presupuesto'!$V:$V,'1_Presupuesto'!$X:$X,K464,'1_Presupuesto'!$E:$E,E464)</f>
        <v>9812019.7942749579</v>
      </c>
      <c r="J464" s="206">
        <f t="shared" si="22"/>
        <v>490600.98971374828</v>
      </c>
      <c r="K464" t="str">
        <f>_xlfn.XLOOKUP(B464,Cert_OC_Cliente!$B:$B,Cert_OC_Cliente!$L:$L)</f>
        <v>PTO 02</v>
      </c>
      <c r="L464" t="str">
        <f t="shared" si="23"/>
        <v>✓</v>
      </c>
    </row>
    <row r="465" spans="1:12" x14ac:dyDescent="0.35">
      <c r="A465" t="s">
        <v>4929</v>
      </c>
      <c r="B465" t="s">
        <v>4932</v>
      </c>
      <c r="C465" t="s">
        <v>4968</v>
      </c>
      <c r="D465" s="205">
        <v>46172</v>
      </c>
      <c r="E465">
        <v>24.08</v>
      </c>
      <c r="F465">
        <v>0.70000000000000007</v>
      </c>
      <c r="G465">
        <v>5.0000000000000037E-2</v>
      </c>
      <c r="H465">
        <f t="shared" si="21"/>
        <v>0.75000000000000011</v>
      </c>
      <c r="I465" s="206">
        <f>SUMIFS('1_Presupuesto'!$V:$V,'1_Presupuesto'!$X:$X,K465,'1_Presupuesto'!$E:$E,E465)</f>
        <v>6796909.8784191776</v>
      </c>
      <c r="J465" s="206">
        <f t="shared" si="22"/>
        <v>339845.49392095912</v>
      </c>
      <c r="K465" t="str">
        <f>_xlfn.XLOOKUP(B465,Cert_OC_Cliente!$B:$B,Cert_OC_Cliente!$L:$L)</f>
        <v>PTO 02</v>
      </c>
      <c r="L465" t="str">
        <f t="shared" si="23"/>
        <v>✓</v>
      </c>
    </row>
    <row r="466" spans="1:12" x14ac:dyDescent="0.35">
      <c r="A466" t="s">
        <v>4929</v>
      </c>
      <c r="B466" t="s">
        <v>4932</v>
      </c>
      <c r="C466" t="s">
        <v>4968</v>
      </c>
      <c r="D466" s="205">
        <v>46172</v>
      </c>
      <c r="E466">
        <v>24.09</v>
      </c>
      <c r="F466">
        <v>0.6</v>
      </c>
      <c r="G466">
        <v>5.0000000000000037E-2</v>
      </c>
      <c r="H466">
        <f t="shared" si="21"/>
        <v>0.65</v>
      </c>
      <c r="I466" s="206">
        <f>SUMIFS('1_Presupuesto'!$V:$V,'1_Presupuesto'!$X:$X,K466,'1_Presupuesto'!$E:$E,E466)</f>
        <v>5910152.861234813</v>
      </c>
      <c r="J466" s="206">
        <f t="shared" si="22"/>
        <v>295507.64306174085</v>
      </c>
      <c r="K466" t="str">
        <f>_xlfn.XLOOKUP(B466,Cert_OC_Cliente!$B:$B,Cert_OC_Cliente!$L:$L)</f>
        <v>PTO 02</v>
      </c>
      <c r="L466" t="str">
        <f t="shared" si="23"/>
        <v>✓</v>
      </c>
    </row>
    <row r="467" spans="1:12" x14ac:dyDescent="0.35">
      <c r="A467" t="s">
        <v>4929</v>
      </c>
      <c r="B467" t="s">
        <v>4932</v>
      </c>
      <c r="C467" t="s">
        <v>4968</v>
      </c>
      <c r="D467" s="205">
        <v>46172</v>
      </c>
      <c r="E467">
        <v>25.01</v>
      </c>
      <c r="F467">
        <v>0.70000000000000007</v>
      </c>
      <c r="G467">
        <v>5.0000000000000037E-2</v>
      </c>
      <c r="H467">
        <f t="shared" si="21"/>
        <v>0.75000000000000011</v>
      </c>
      <c r="I467" s="206">
        <f>SUMIFS('1_Presupuesto'!$V:$V,'1_Presupuesto'!$X:$X,K467,'1_Presupuesto'!$E:$E,E467)</f>
        <v>99058404.317748845</v>
      </c>
      <c r="J467" s="206">
        <f t="shared" si="22"/>
        <v>4952920.215887446</v>
      </c>
      <c r="K467" t="str">
        <f>_xlfn.XLOOKUP(B467,Cert_OC_Cliente!$B:$B,Cert_OC_Cliente!$L:$L)</f>
        <v>PTO 02</v>
      </c>
      <c r="L467" t="str">
        <f t="shared" si="23"/>
        <v>✓</v>
      </c>
    </row>
    <row r="468" spans="1:12" x14ac:dyDescent="0.35">
      <c r="A468" t="s">
        <v>4929</v>
      </c>
      <c r="B468" t="s">
        <v>4932</v>
      </c>
      <c r="C468" t="s">
        <v>4968</v>
      </c>
      <c r="D468" s="205">
        <v>46172</v>
      </c>
      <c r="E468">
        <v>25.02</v>
      </c>
      <c r="F468">
        <v>0.70000000000000007</v>
      </c>
      <c r="G468">
        <v>5.0000000000000037E-2</v>
      </c>
      <c r="H468">
        <f t="shared" si="21"/>
        <v>0.75000000000000011</v>
      </c>
      <c r="I468" s="206">
        <f>SUMIFS('1_Presupuesto'!$V:$V,'1_Presupuesto'!$X:$X,K468,'1_Presupuesto'!$E:$E,E468)</f>
        <v>11328183.130698629</v>
      </c>
      <c r="J468" s="206">
        <f t="shared" si="22"/>
        <v>566409.15653493186</v>
      </c>
      <c r="K468" t="str">
        <f>_xlfn.XLOOKUP(B468,Cert_OC_Cliente!$B:$B,Cert_OC_Cliente!$L:$L)</f>
        <v>PTO 02</v>
      </c>
      <c r="L468" t="str">
        <f t="shared" si="23"/>
        <v>✓</v>
      </c>
    </row>
    <row r="469" spans="1:12" x14ac:dyDescent="0.35">
      <c r="A469" t="s">
        <v>4929</v>
      </c>
      <c r="B469" t="s">
        <v>4934</v>
      </c>
      <c r="C469" t="s">
        <v>4969</v>
      </c>
      <c r="D469" s="205">
        <v>45900</v>
      </c>
      <c r="E469">
        <v>5.01</v>
      </c>
      <c r="F469">
        <v>0</v>
      </c>
      <c r="G469">
        <v>0.03</v>
      </c>
      <c r="H469">
        <f t="shared" si="21"/>
        <v>0.03</v>
      </c>
      <c r="I469" s="206">
        <v>73764839</v>
      </c>
      <c r="J469" s="206">
        <f t="shared" si="22"/>
        <v>2212945.17</v>
      </c>
      <c r="K469" t="str">
        <f>_xlfn.XLOOKUP(B469,Cert_OC_Cliente!$B:$B,Cert_OC_Cliente!$L:$L)</f>
        <v>PTO 03</v>
      </c>
      <c r="L469" t="str">
        <f t="shared" si="23"/>
        <v>✓</v>
      </c>
    </row>
    <row r="470" spans="1:12" x14ac:dyDescent="0.35">
      <c r="A470" t="s">
        <v>4929</v>
      </c>
      <c r="B470" t="s">
        <v>4934</v>
      </c>
      <c r="C470" t="s">
        <v>4970</v>
      </c>
      <c r="D470" s="205">
        <v>45930</v>
      </c>
      <c r="E470">
        <v>5.01</v>
      </c>
      <c r="F470">
        <v>0.03</v>
      </c>
      <c r="G470">
        <v>0.32279999999999998</v>
      </c>
      <c r="H470">
        <f t="shared" si="21"/>
        <v>0.3528</v>
      </c>
      <c r="I470" s="206">
        <v>73764839</v>
      </c>
      <c r="J470" s="206">
        <f t="shared" si="22"/>
        <v>23811290.029199999</v>
      </c>
      <c r="K470" t="str">
        <f>_xlfn.XLOOKUP(B470,Cert_OC_Cliente!$B:$B,Cert_OC_Cliente!$L:$L)</f>
        <v>PTO 03</v>
      </c>
      <c r="L470" t="str">
        <f t="shared" si="23"/>
        <v>✓</v>
      </c>
    </row>
    <row r="471" spans="1:12" x14ac:dyDescent="0.35">
      <c r="A471" t="s">
        <v>4929</v>
      </c>
      <c r="B471" t="s">
        <v>4934</v>
      </c>
      <c r="C471" t="s">
        <v>4971</v>
      </c>
      <c r="D471" s="205">
        <v>45958</v>
      </c>
      <c r="E471">
        <v>5.01</v>
      </c>
      <c r="F471">
        <v>0.3528</v>
      </c>
      <c r="G471">
        <v>0.32279999999999998</v>
      </c>
      <c r="H471">
        <f t="shared" si="21"/>
        <v>0.67559999999999998</v>
      </c>
      <c r="I471" s="206">
        <v>73764839</v>
      </c>
      <c r="J471" s="206">
        <f t="shared" si="22"/>
        <v>23811290.029199999</v>
      </c>
      <c r="K471" t="str">
        <f>_xlfn.XLOOKUP(B471,Cert_OC_Cliente!$B:$B,Cert_OC_Cliente!$L:$L)</f>
        <v>PTO 03</v>
      </c>
      <c r="L471" t="str">
        <f t="shared" si="23"/>
        <v>✓</v>
      </c>
    </row>
    <row r="472" spans="1:12" x14ac:dyDescent="0.35">
      <c r="A472" t="s">
        <v>4929</v>
      </c>
      <c r="B472" t="s">
        <v>4934</v>
      </c>
      <c r="C472" t="s">
        <v>4971</v>
      </c>
      <c r="D472" s="205">
        <v>45958</v>
      </c>
      <c r="E472">
        <v>5.0199999999999996</v>
      </c>
      <c r="F472">
        <v>0</v>
      </c>
      <c r="G472">
        <v>0.56599999999999995</v>
      </c>
      <c r="H472">
        <f t="shared" si="21"/>
        <v>0.56599999999999995</v>
      </c>
      <c r="I472" s="206">
        <v>20080620</v>
      </c>
      <c r="J472" s="206">
        <f t="shared" si="22"/>
        <v>11365630.919999998</v>
      </c>
      <c r="K472" t="str">
        <f>_xlfn.XLOOKUP(B472,Cert_OC_Cliente!$B:$B,Cert_OC_Cliente!$L:$L)</f>
        <v>PTO 03</v>
      </c>
      <c r="L472" t="str">
        <f t="shared" si="23"/>
        <v>✓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3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8" x14ac:dyDescent="0.35">
      <c r="A1" s="204" t="s">
        <v>4937</v>
      </c>
      <c r="B1" s="204" t="s">
        <v>4919</v>
      </c>
      <c r="C1" s="204" t="s">
        <v>4814</v>
      </c>
      <c r="D1" s="204" t="s">
        <v>4972</v>
      </c>
      <c r="E1" s="204" t="s">
        <v>4973</v>
      </c>
      <c r="F1" s="204" t="s">
        <v>4974</v>
      </c>
      <c r="G1" s="204" t="s">
        <v>4975</v>
      </c>
      <c r="H1" s="204" t="s">
        <v>4976</v>
      </c>
    </row>
    <row r="2" spans="1:8" x14ac:dyDescent="0.35">
      <c r="A2" t="s">
        <v>4977</v>
      </c>
      <c r="B2" t="str">
        <f t="shared" ref="B2:B31" si="0">LEFT($A2,FIND("|",SUBSTITUTE($A2,"-","|",2))-1)</f>
        <v>GDR-OC01</v>
      </c>
      <c r="C2" t="str">
        <f>IFERROR(_xlfn.XLOOKUP($A2,Cert_App_Output!$C:$C,Cert_App_Output!$D:$D),"")</f>
        <v/>
      </c>
      <c r="D2">
        <f>SUMIFS(Cert_App_Output!$J:$J,Cert_App_Output!$C:$C,$A2)</f>
        <v>0</v>
      </c>
      <c r="E2" s="213">
        <v>0</v>
      </c>
      <c r="F2">
        <f t="shared" ref="F2:F31" si="1">$D2*$E2</f>
        <v>0</v>
      </c>
      <c r="G2">
        <f t="shared" ref="G2:G31" si="2">$D2-$F2</f>
        <v>0</v>
      </c>
      <c r="H2" t="str">
        <f>IF(COUNTIF(Cert_Calculo!$A:$A,$A2)&gt;0,"OK","FALTA en Calculo")</f>
        <v>OK</v>
      </c>
    </row>
    <row r="3" spans="1:8" x14ac:dyDescent="0.35">
      <c r="A3" t="s">
        <v>4978</v>
      </c>
      <c r="B3" t="str">
        <f t="shared" si="0"/>
        <v>GDR-OC02</v>
      </c>
      <c r="C3" t="str">
        <f>IFERROR(_xlfn.XLOOKUP($A3,Cert_App_Output!$C:$C,Cert_App_Output!$D:$D),"")</f>
        <v/>
      </c>
      <c r="D3">
        <f>SUMIFS(Cert_App_Output!$J:$J,Cert_App_Output!$C:$C,$A3)</f>
        <v>0</v>
      </c>
      <c r="E3" s="213">
        <v>0</v>
      </c>
      <c r="F3">
        <f t="shared" si="1"/>
        <v>0</v>
      </c>
      <c r="G3">
        <f t="shared" si="2"/>
        <v>0</v>
      </c>
      <c r="H3" t="str">
        <f>IF(COUNTIF(Cert_Calculo!$A:$A,$A3)&gt;0,"OK","FALTA en Calculo")</f>
        <v>OK</v>
      </c>
    </row>
    <row r="4" spans="1:8" x14ac:dyDescent="0.35">
      <c r="A4" t="s">
        <v>4979</v>
      </c>
      <c r="B4" t="str">
        <f t="shared" si="0"/>
        <v>GDR-OC03</v>
      </c>
      <c r="C4" t="str">
        <f>IFERROR(_xlfn.XLOOKUP($A4,Cert_App_Output!$C:$C,Cert_App_Output!$D:$D),"")</f>
        <v/>
      </c>
      <c r="D4">
        <f>SUMIFS(Cert_App_Output!$J:$J,Cert_App_Output!$C:$C,$A4)</f>
        <v>0</v>
      </c>
      <c r="E4" s="213">
        <v>0</v>
      </c>
      <c r="F4">
        <f t="shared" si="1"/>
        <v>0</v>
      </c>
      <c r="G4">
        <f t="shared" si="2"/>
        <v>0</v>
      </c>
      <c r="H4" t="str">
        <f>IF(COUNTIF(Cert_Calculo!$A:$A,$A4)&gt;0,"OK","FALTA en Calculo")</f>
        <v>OK</v>
      </c>
    </row>
    <row r="5" spans="1:8" x14ac:dyDescent="0.35">
      <c r="A5" t="s">
        <v>4945</v>
      </c>
      <c r="B5" t="str">
        <f t="shared" si="0"/>
        <v>GDR-OC01</v>
      </c>
      <c r="C5">
        <f>IFERROR(_xlfn.XLOOKUP($A5,Cert_App_Output!$C:$C,Cert_App_Output!$D:$D),"")</f>
        <v>45747</v>
      </c>
      <c r="D5">
        <f>SUMIFS(Cert_App_Output!$J:$J,Cert_App_Output!$C:$C,$A5)</f>
        <v>32672750.400697354</v>
      </c>
      <c r="E5" s="213">
        <v>0.4</v>
      </c>
      <c r="F5">
        <f t="shared" si="1"/>
        <v>13069100.160278942</v>
      </c>
      <c r="G5">
        <f t="shared" si="2"/>
        <v>19603650.240418412</v>
      </c>
      <c r="H5" t="str">
        <f>IF(COUNTIF(Cert_Calculo!$A:$A,$A5)&gt;0,"OK","FALTA en Calculo")</f>
        <v>OK</v>
      </c>
    </row>
    <row r="6" spans="1:8" x14ac:dyDescent="0.35">
      <c r="A6" t="s">
        <v>4946</v>
      </c>
      <c r="B6" t="str">
        <f t="shared" si="0"/>
        <v>GDR-OC01</v>
      </c>
      <c r="C6">
        <f>IFERROR(_xlfn.XLOOKUP($A6,Cert_App_Output!$C:$C,Cert_App_Output!$D:$D),"")</f>
        <v>45777</v>
      </c>
      <c r="D6">
        <f>SUMIFS(Cert_App_Output!$J:$J,Cert_App_Output!$C:$C,$A6)</f>
        <v>27443237.62866424</v>
      </c>
      <c r="E6" s="213">
        <v>0.4</v>
      </c>
      <c r="F6">
        <f t="shared" si="1"/>
        <v>10977295.051465698</v>
      </c>
      <c r="G6">
        <f t="shared" si="2"/>
        <v>16465942.577198543</v>
      </c>
      <c r="H6" t="str">
        <f>IF(COUNTIF(Cert_Calculo!$A:$A,$A6)&gt;0,"OK","FALTA en Calculo")</f>
        <v>OK</v>
      </c>
    </row>
    <row r="7" spans="1:8" x14ac:dyDescent="0.35">
      <c r="A7" t="s">
        <v>4947</v>
      </c>
      <c r="B7" t="str">
        <f t="shared" si="0"/>
        <v>GDR-OC01</v>
      </c>
      <c r="C7">
        <f>IFERROR(_xlfn.XLOOKUP($A7,Cert_App_Output!$C:$C,Cert_App_Output!$D:$D),"")</f>
        <v>45808</v>
      </c>
      <c r="D7">
        <f>SUMIFS(Cert_App_Output!$J:$J,Cert_App_Output!$C:$C,$A7)</f>
        <v>64830796.042660199</v>
      </c>
      <c r="E7" s="213">
        <v>0.4</v>
      </c>
      <c r="F7">
        <f t="shared" si="1"/>
        <v>25932318.417064082</v>
      </c>
      <c r="G7">
        <f t="shared" si="2"/>
        <v>38898477.625596121</v>
      </c>
      <c r="H7" t="str">
        <f>IF(COUNTIF(Cert_Calculo!$A:$A,$A7)&gt;0,"OK","FALTA en Calculo")</f>
        <v>OK</v>
      </c>
    </row>
    <row r="8" spans="1:8" x14ac:dyDescent="0.35">
      <c r="A8" t="s">
        <v>4948</v>
      </c>
      <c r="B8" t="str">
        <f t="shared" si="0"/>
        <v>GDR-OC01</v>
      </c>
      <c r="C8">
        <f>IFERROR(_xlfn.XLOOKUP($A8,Cert_App_Output!$C:$C,Cert_App_Output!$D:$D),"")</f>
        <v>45838</v>
      </c>
      <c r="D8">
        <f>SUMIFS(Cert_App_Output!$J:$J,Cert_App_Output!$C:$C,$A8)</f>
        <v>36057301.538168833</v>
      </c>
      <c r="E8" s="213">
        <v>0.4</v>
      </c>
      <c r="F8">
        <f t="shared" si="1"/>
        <v>14422920.615267534</v>
      </c>
      <c r="G8">
        <f t="shared" si="2"/>
        <v>21634380.922901299</v>
      </c>
      <c r="H8" t="str">
        <f>IF(COUNTIF(Cert_Calculo!$A:$A,$A8)&gt;0,"OK","FALTA en Calculo")</f>
        <v>OK</v>
      </c>
    </row>
    <row r="9" spans="1:8" x14ac:dyDescent="0.35">
      <c r="A9" t="s">
        <v>4949</v>
      </c>
      <c r="B9" t="str">
        <f t="shared" si="0"/>
        <v>GDR-OC01</v>
      </c>
      <c r="C9">
        <f>IFERROR(_xlfn.XLOOKUP($A9,Cert_App_Output!$C:$C,Cert_App_Output!$D:$D),"")</f>
        <v>45869</v>
      </c>
      <c r="D9">
        <f>SUMIFS(Cert_App_Output!$J:$J,Cert_App_Output!$C:$C,$A9)</f>
        <v>93958182.237262025</v>
      </c>
      <c r="E9" s="213">
        <v>0.4</v>
      </c>
      <c r="F9">
        <f t="shared" si="1"/>
        <v>37583272.894904815</v>
      </c>
      <c r="G9">
        <f t="shared" si="2"/>
        <v>56374909.342357211</v>
      </c>
      <c r="H9" t="str">
        <f>IF(COUNTIF(Cert_Calculo!$A:$A,$A9)&gt;0,"OK","FALTA en Calculo")</f>
        <v>OK</v>
      </c>
    </row>
    <row r="10" spans="1:8" x14ac:dyDescent="0.35">
      <c r="A10" t="s">
        <v>4950</v>
      </c>
      <c r="B10" t="str">
        <f t="shared" si="0"/>
        <v>GDR-OC01</v>
      </c>
      <c r="C10">
        <f>IFERROR(_xlfn.XLOOKUP($A10,Cert_App_Output!$C:$C,Cert_App_Output!$D:$D),"")</f>
        <v>45900</v>
      </c>
      <c r="D10">
        <f>SUMIFS(Cert_App_Output!$J:$J,Cert_App_Output!$C:$C,$A10)</f>
        <v>55865245.932653844</v>
      </c>
      <c r="E10" s="213">
        <v>0.4</v>
      </c>
      <c r="F10">
        <f t="shared" si="1"/>
        <v>22346098.373061538</v>
      </c>
      <c r="G10">
        <f t="shared" si="2"/>
        <v>33519147.559592307</v>
      </c>
      <c r="H10" t="str">
        <f>IF(COUNTIF(Cert_Calculo!$A:$A,$A10)&gt;0,"OK","FALTA en Calculo")</f>
        <v>OK</v>
      </c>
    </row>
    <row r="11" spans="1:8" x14ac:dyDescent="0.35">
      <c r="A11" t="s">
        <v>4951</v>
      </c>
      <c r="B11" t="str">
        <f t="shared" si="0"/>
        <v>GDR-OC01</v>
      </c>
      <c r="C11">
        <f>IFERROR(_xlfn.XLOOKUP($A11,Cert_App_Output!$C:$C,Cert_App_Output!$D:$D),"")</f>
        <v>45930</v>
      </c>
      <c r="D11">
        <f>SUMIFS(Cert_App_Output!$J:$J,Cert_App_Output!$C:$C,$A11)</f>
        <v>33864200.008295514</v>
      </c>
      <c r="E11" s="213">
        <v>0.4</v>
      </c>
      <c r="F11">
        <f t="shared" si="1"/>
        <v>13545680.003318205</v>
      </c>
      <c r="G11">
        <f t="shared" si="2"/>
        <v>20318520.004977308</v>
      </c>
      <c r="H11" t="str">
        <f>IF(COUNTIF(Cert_Calculo!$A:$A,$A11)&gt;0,"OK","FALTA en Calculo")</f>
        <v>OK</v>
      </c>
    </row>
    <row r="12" spans="1:8" x14ac:dyDescent="0.35">
      <c r="A12" t="s">
        <v>4952</v>
      </c>
      <c r="B12" t="str">
        <f t="shared" si="0"/>
        <v>GDR-OC01</v>
      </c>
      <c r="C12">
        <f>IFERROR(_xlfn.XLOOKUP($A12,Cert_App_Output!$C:$C,Cert_App_Output!$D:$D),"")</f>
        <v>45958</v>
      </c>
      <c r="D12">
        <f>SUMIFS(Cert_App_Output!$J:$J,Cert_App_Output!$C:$C,$A12)</f>
        <v>25319767.009852514</v>
      </c>
      <c r="E12" s="213">
        <v>0.4</v>
      </c>
      <c r="F12">
        <f t="shared" si="1"/>
        <v>10127906.803941006</v>
      </c>
      <c r="G12">
        <f t="shared" si="2"/>
        <v>15191860.205911508</v>
      </c>
      <c r="H12" t="str">
        <f>IF(COUNTIF(Cert_Calculo!$A:$A,$A12)&gt;0,"OK","FALTA en Calculo")</f>
        <v>OK</v>
      </c>
    </row>
    <row r="13" spans="1:8" x14ac:dyDescent="0.35">
      <c r="A13" t="s">
        <v>4953</v>
      </c>
      <c r="B13" t="str">
        <f t="shared" si="0"/>
        <v>GDR-OC01</v>
      </c>
      <c r="C13">
        <f>IFERROR(_xlfn.XLOOKUP($A13,Cert_App_Output!$C:$C,Cert_App_Output!$D:$D),"")</f>
        <v>45988</v>
      </c>
      <c r="D13">
        <f>SUMIFS(Cert_App_Output!$J:$J,Cert_App_Output!$C:$C,$A13)</f>
        <v>130895823.76475386</v>
      </c>
      <c r="E13" s="213">
        <v>0.4</v>
      </c>
      <c r="F13">
        <f t="shared" si="1"/>
        <v>52358329.505901545</v>
      </c>
      <c r="G13">
        <f t="shared" si="2"/>
        <v>78537494.258852318</v>
      </c>
      <c r="H13" t="str">
        <f>IF(COUNTIF(Cert_Calculo!$A:$A,$A13)&gt;0,"OK","FALTA en Calculo")</f>
        <v>OK</v>
      </c>
    </row>
    <row r="14" spans="1:8" x14ac:dyDescent="0.35">
      <c r="A14" t="s">
        <v>4954</v>
      </c>
      <c r="B14" t="str">
        <f t="shared" si="0"/>
        <v>GDR-OC02</v>
      </c>
      <c r="C14">
        <f>IFERROR(_xlfn.XLOOKUP($A14,Cert_App_Output!$C:$C,Cert_App_Output!$D:$D),"")</f>
        <v>45747</v>
      </c>
      <c r="D14">
        <f>SUMIFS(Cert_App_Output!$J:$J,Cert_App_Output!$C:$C,$A14)</f>
        <v>8903107.1325656474</v>
      </c>
      <c r="E14" s="213">
        <v>0.1</v>
      </c>
      <c r="F14">
        <f t="shared" si="1"/>
        <v>890310.71325656481</v>
      </c>
      <c r="G14">
        <f t="shared" si="2"/>
        <v>8012796.4193090824</v>
      </c>
      <c r="H14" t="str">
        <f>IF(COUNTIF(Cert_Calculo!$A:$A,$A14)&gt;0,"OK","FALTA en Calculo")</f>
        <v>OK</v>
      </c>
    </row>
    <row r="15" spans="1:8" x14ac:dyDescent="0.35">
      <c r="A15" t="s">
        <v>4955</v>
      </c>
      <c r="B15" t="str">
        <f t="shared" si="0"/>
        <v>GDR-OC02</v>
      </c>
      <c r="C15">
        <f>IFERROR(_xlfn.XLOOKUP($A15,Cert_App_Output!$C:$C,Cert_App_Output!$D:$D),"")</f>
        <v>45777</v>
      </c>
      <c r="D15">
        <f>SUMIFS(Cert_App_Output!$J:$J,Cert_App_Output!$C:$C,$A15)</f>
        <v>8725802.5467286035</v>
      </c>
      <c r="E15" s="213">
        <v>0.1</v>
      </c>
      <c r="F15">
        <f t="shared" si="1"/>
        <v>872580.25467286038</v>
      </c>
      <c r="G15">
        <f t="shared" si="2"/>
        <v>7853222.2920557428</v>
      </c>
      <c r="H15" t="str">
        <f>IF(COUNTIF(Cert_Calculo!$A:$A,$A15)&gt;0,"OK","FALTA en Calculo")</f>
        <v>OK</v>
      </c>
    </row>
    <row r="16" spans="1:8" x14ac:dyDescent="0.35">
      <c r="A16" t="s">
        <v>4956</v>
      </c>
      <c r="B16" t="str">
        <f t="shared" si="0"/>
        <v>GDR-OC02</v>
      </c>
      <c r="C16">
        <f>IFERROR(_xlfn.XLOOKUP($A16,Cert_App_Output!$C:$C,Cert_App_Output!$D:$D),"")</f>
        <v>45808</v>
      </c>
      <c r="D16">
        <f>SUMIFS(Cert_App_Output!$J:$J,Cert_App_Output!$C:$C,$A16)</f>
        <v>9959214.2030445151</v>
      </c>
      <c r="E16" s="213">
        <v>0.1</v>
      </c>
      <c r="F16">
        <f t="shared" si="1"/>
        <v>995921.4203044516</v>
      </c>
      <c r="G16">
        <f t="shared" si="2"/>
        <v>8963292.782740064</v>
      </c>
      <c r="H16" t="str">
        <f>IF(COUNTIF(Cert_Calculo!$A:$A,$A16)&gt;0,"OK","FALTA en Calculo")</f>
        <v>OK</v>
      </c>
    </row>
    <row r="17" spans="1:8" x14ac:dyDescent="0.35">
      <c r="A17" t="s">
        <v>4957</v>
      </c>
      <c r="B17" t="str">
        <f t="shared" si="0"/>
        <v>GDR-OC02</v>
      </c>
      <c r="C17">
        <f>IFERROR(_xlfn.XLOOKUP($A17,Cert_App_Output!$C:$C,Cert_App_Output!$D:$D),"")</f>
        <v>45838</v>
      </c>
      <c r="D17">
        <f>SUMIFS(Cert_App_Output!$J:$J,Cert_App_Output!$C:$C,$A17)</f>
        <v>9157088.0567965303</v>
      </c>
      <c r="E17" s="213">
        <v>0.1</v>
      </c>
      <c r="F17">
        <f t="shared" si="1"/>
        <v>915708.80567965307</v>
      </c>
      <c r="G17">
        <f t="shared" si="2"/>
        <v>8241379.2511168774</v>
      </c>
      <c r="H17" t="str">
        <f>IF(COUNTIF(Cert_Calculo!$A:$A,$A17)&gt;0,"OK","FALTA en Calculo")</f>
        <v>OK</v>
      </c>
    </row>
    <row r="18" spans="1:8" x14ac:dyDescent="0.35">
      <c r="A18" t="s">
        <v>4958</v>
      </c>
      <c r="B18" t="str">
        <f t="shared" si="0"/>
        <v>GDR-OC02</v>
      </c>
      <c r="C18">
        <f>IFERROR(_xlfn.XLOOKUP($A18,Cert_App_Output!$C:$C,Cert_App_Output!$D:$D),"")</f>
        <v>45869</v>
      </c>
      <c r="D18">
        <f>SUMIFS(Cert_App_Output!$J:$J,Cert_App_Output!$C:$C,$A18)</f>
        <v>10913679.798548687</v>
      </c>
      <c r="E18" s="213">
        <v>0.1</v>
      </c>
      <c r="F18">
        <f t="shared" si="1"/>
        <v>1091367.9798548687</v>
      </c>
      <c r="G18">
        <f t="shared" si="2"/>
        <v>9822311.8186938185</v>
      </c>
      <c r="H18" t="str">
        <f>IF(COUNTIF(Cert_Calculo!$A:$A,$A18)&gt;0,"OK","FALTA en Calculo")</f>
        <v>OK</v>
      </c>
    </row>
    <row r="19" spans="1:8" x14ac:dyDescent="0.35">
      <c r="A19" t="s">
        <v>4959</v>
      </c>
      <c r="B19" t="str">
        <f t="shared" si="0"/>
        <v>GDR-OC02</v>
      </c>
      <c r="C19">
        <f>IFERROR(_xlfn.XLOOKUP($A19,Cert_App_Output!$C:$C,Cert_App_Output!$D:$D),"")</f>
        <v>45900</v>
      </c>
      <c r="D19">
        <f>SUMIFS(Cert_App_Output!$J:$J,Cert_App_Output!$C:$C,$A19)</f>
        <v>10311293.852902124</v>
      </c>
      <c r="E19" s="213">
        <v>0.1</v>
      </c>
      <c r="F19">
        <f t="shared" si="1"/>
        <v>1031129.3852902125</v>
      </c>
      <c r="G19">
        <f t="shared" si="2"/>
        <v>9280164.4676119108</v>
      </c>
      <c r="H19" t="str">
        <f>IF(COUNTIF(Cert_Calculo!$A:$A,$A19)&gt;0,"OK","FALTA en Calculo")</f>
        <v>OK</v>
      </c>
    </row>
    <row r="20" spans="1:8" x14ac:dyDescent="0.35">
      <c r="A20" t="s">
        <v>4960</v>
      </c>
      <c r="B20" t="str">
        <f t="shared" si="0"/>
        <v>GDR-OC02</v>
      </c>
      <c r="C20">
        <f>IFERROR(_xlfn.XLOOKUP($A20,Cert_App_Output!$C:$C,Cert_App_Output!$D:$D),"")</f>
        <v>45930</v>
      </c>
      <c r="D20">
        <f>SUMIFS(Cert_App_Output!$J:$J,Cert_App_Output!$C:$C,$A20)</f>
        <v>13139298.992391923</v>
      </c>
      <c r="E20" s="213">
        <v>0.1</v>
      </c>
      <c r="F20">
        <f t="shared" si="1"/>
        <v>1313929.8992391925</v>
      </c>
      <c r="G20">
        <f t="shared" si="2"/>
        <v>11825369.093152732</v>
      </c>
      <c r="H20" t="str">
        <f>IF(COUNTIF(Cert_Calculo!$A:$A,$A20)&gt;0,"OK","FALTA en Calculo")</f>
        <v>OK</v>
      </c>
    </row>
    <row r="21" spans="1:8" x14ac:dyDescent="0.35">
      <c r="A21" t="s">
        <v>4961</v>
      </c>
      <c r="B21" t="str">
        <f t="shared" si="0"/>
        <v>GDR-OC02</v>
      </c>
      <c r="C21">
        <f>IFERROR(_xlfn.XLOOKUP($A21,Cert_App_Output!$C:$C,Cert_App_Output!$D:$D),"")</f>
        <v>45958</v>
      </c>
      <c r="D21">
        <f>SUMIFS(Cert_App_Output!$J:$J,Cert_App_Output!$C:$C,$A21)</f>
        <v>11253962.232732056</v>
      </c>
      <c r="E21" s="213">
        <v>0.1</v>
      </c>
      <c r="F21">
        <f t="shared" si="1"/>
        <v>1125396.2232732056</v>
      </c>
      <c r="G21">
        <f t="shared" si="2"/>
        <v>10128566.009458851</v>
      </c>
      <c r="H21" t="str">
        <f>IF(COUNTIF(Cert_Calculo!$A:$A,$A21)&gt;0,"OK","FALTA en Calculo")</f>
        <v>OK</v>
      </c>
    </row>
    <row r="22" spans="1:8" x14ac:dyDescent="0.35">
      <c r="A22" t="s">
        <v>4962</v>
      </c>
      <c r="B22" t="str">
        <f t="shared" si="0"/>
        <v>GDR-OC02</v>
      </c>
      <c r="C22">
        <f>IFERROR(_xlfn.XLOOKUP($A22,Cert_App_Output!$C:$C,Cert_App_Output!$D:$D),"")</f>
        <v>45988</v>
      </c>
      <c r="D22">
        <f>SUMIFS(Cert_App_Output!$J:$J,Cert_App_Output!$C:$C,$A22)</f>
        <v>19487738.349458534</v>
      </c>
      <c r="E22" s="213">
        <v>0.1</v>
      </c>
      <c r="F22">
        <f t="shared" si="1"/>
        <v>1948773.8349458536</v>
      </c>
      <c r="G22">
        <f t="shared" si="2"/>
        <v>17538964.51451268</v>
      </c>
      <c r="H22" t="str">
        <f>IF(COUNTIF(Cert_Calculo!$A:$A,$A22)&gt;0,"OK","FALTA en Calculo")</f>
        <v>OK</v>
      </c>
    </row>
    <row r="23" spans="1:8" x14ac:dyDescent="0.35">
      <c r="A23" t="s">
        <v>4963</v>
      </c>
      <c r="B23" t="str">
        <f t="shared" si="0"/>
        <v>GDR-OC02</v>
      </c>
      <c r="C23">
        <f>IFERROR(_xlfn.XLOOKUP($A23,Cert_App_Output!$C:$C,Cert_App_Output!$D:$D),"")</f>
        <v>46017</v>
      </c>
      <c r="D23">
        <f>SUMIFS(Cert_App_Output!$J:$J,Cert_App_Output!$C:$C,$A23)</f>
        <v>38428620.822638266</v>
      </c>
      <c r="E23" s="213">
        <v>0.1</v>
      </c>
      <c r="F23">
        <f t="shared" si="1"/>
        <v>3842862.0822638269</v>
      </c>
      <c r="G23">
        <f t="shared" si="2"/>
        <v>34585758.740374438</v>
      </c>
      <c r="H23" t="str">
        <f>IF(COUNTIF(Cert_Calculo!$A:$A,$A23)&gt;0,"OK","FALTA en Calculo")</f>
        <v>OK</v>
      </c>
    </row>
    <row r="24" spans="1:8" x14ac:dyDescent="0.35">
      <c r="A24" t="s">
        <v>4964</v>
      </c>
      <c r="B24" t="str">
        <f t="shared" si="0"/>
        <v>GDR-OC02</v>
      </c>
      <c r="C24">
        <f>IFERROR(_xlfn.XLOOKUP($A24,Cert_App_Output!$C:$C,Cert_App_Output!$D:$D),"")</f>
        <v>46050</v>
      </c>
      <c r="D24">
        <f>SUMIFS(Cert_App_Output!$J:$J,Cert_App_Output!$C:$C,$A24)</f>
        <v>39858577.182995349</v>
      </c>
      <c r="E24" s="213">
        <v>0.1</v>
      </c>
      <c r="F24">
        <f t="shared" si="1"/>
        <v>3985857.7182995351</v>
      </c>
      <c r="G24">
        <f t="shared" si="2"/>
        <v>35872719.464695811</v>
      </c>
      <c r="H24" t="str">
        <f>IF(COUNTIF(Cert_Calculo!$A:$A,$A24)&gt;0,"OK","FALTA en Calculo")</f>
        <v>OK</v>
      </c>
    </row>
    <row r="25" spans="1:8" x14ac:dyDescent="0.35">
      <c r="A25" t="s">
        <v>4965</v>
      </c>
      <c r="B25" t="str">
        <f t="shared" si="0"/>
        <v>GDR-OC02</v>
      </c>
      <c r="C25">
        <f>IFERROR(_xlfn.XLOOKUP($A25,Cert_App_Output!$C:$C,Cert_App_Output!$D:$D),"")</f>
        <v>46080</v>
      </c>
      <c r="D25">
        <f>SUMIFS(Cert_App_Output!$J:$J,Cert_App_Output!$C:$C,$A25)</f>
        <v>26228421.665873382</v>
      </c>
      <c r="E25" s="213">
        <v>0.1</v>
      </c>
      <c r="F25">
        <f t="shared" si="1"/>
        <v>2622842.1665873383</v>
      </c>
      <c r="G25">
        <f t="shared" si="2"/>
        <v>23605579.499286044</v>
      </c>
      <c r="H25" t="str">
        <f>IF(COUNTIF(Cert_Calculo!$A:$A,$A25)&gt;0,"OK","FALTA en Calculo")</f>
        <v>OK</v>
      </c>
    </row>
    <row r="26" spans="1:8" x14ac:dyDescent="0.35">
      <c r="A26" t="s">
        <v>4966</v>
      </c>
      <c r="B26" t="str">
        <f t="shared" si="0"/>
        <v>GDR-OC02</v>
      </c>
      <c r="C26">
        <f>IFERROR(_xlfn.XLOOKUP($A26,Cert_App_Output!$C:$C,Cert_App_Output!$D:$D),"")</f>
        <v>46108</v>
      </c>
      <c r="D26">
        <f>SUMIFS(Cert_App_Output!$J:$J,Cert_App_Output!$C:$C,$A26)</f>
        <v>62190160.806645878</v>
      </c>
      <c r="E26" s="213">
        <v>0.1</v>
      </c>
      <c r="F26">
        <f t="shared" si="1"/>
        <v>6219016.0806645881</v>
      </c>
      <c r="G26">
        <f t="shared" si="2"/>
        <v>55971144.725981288</v>
      </c>
      <c r="H26" t="str">
        <f>IF(COUNTIF(Cert_Calculo!$A:$A,$A26)&gt;0,"OK","FALTA en Calculo")</f>
        <v>OK</v>
      </c>
    </row>
    <row r="27" spans="1:8" x14ac:dyDescent="0.35">
      <c r="A27" t="s">
        <v>4967</v>
      </c>
      <c r="B27" t="str">
        <f t="shared" si="0"/>
        <v>GDR-OC02</v>
      </c>
      <c r="C27">
        <f>IFERROR(_xlfn.XLOOKUP($A27,Cert_App_Output!$C:$C,Cert_App_Output!$D:$D),"")</f>
        <v>46140</v>
      </c>
      <c r="D27">
        <f>SUMIFS(Cert_App_Output!$J:$J,Cert_App_Output!$C:$C,$A27)</f>
        <v>55823812.163074292</v>
      </c>
      <c r="E27" s="213">
        <v>0.1</v>
      </c>
      <c r="F27">
        <f t="shared" si="1"/>
        <v>5582381.2163074296</v>
      </c>
      <c r="G27">
        <f t="shared" si="2"/>
        <v>50241430.946766861</v>
      </c>
      <c r="H27" t="str">
        <f>IF(COUNTIF(Cert_Calculo!$A:$A,$A27)&gt;0,"OK","FALTA en Calculo")</f>
        <v>OK</v>
      </c>
    </row>
    <row r="28" spans="1:8" x14ac:dyDescent="0.35">
      <c r="A28" t="s">
        <v>4968</v>
      </c>
      <c r="B28" t="str">
        <f t="shared" si="0"/>
        <v>GDR-OC02</v>
      </c>
      <c r="C28">
        <f>IFERROR(_xlfn.XLOOKUP($A28,Cert_App_Output!$C:$C,Cert_App_Output!$D:$D),"")</f>
        <v>46172</v>
      </c>
      <c r="D28">
        <f>SUMIFS(Cert_App_Output!$J:$J,Cert_App_Output!$C:$C,$A28)</f>
        <v>79315595.860896185</v>
      </c>
      <c r="E28" s="213">
        <v>0.1</v>
      </c>
      <c r="F28">
        <f t="shared" si="1"/>
        <v>7931559.5860896185</v>
      </c>
      <c r="G28">
        <f t="shared" si="2"/>
        <v>71384036.274806559</v>
      </c>
      <c r="H28" t="str">
        <f>IF(COUNTIF(Cert_Calculo!$A:$A,$A28)&gt;0,"OK","FALTA en Calculo")</f>
        <v>OK</v>
      </c>
    </row>
    <row r="29" spans="1:8" x14ac:dyDescent="0.35">
      <c r="A29" t="s">
        <v>4969</v>
      </c>
      <c r="B29" t="str">
        <f t="shared" si="0"/>
        <v>GDR-OC03</v>
      </c>
      <c r="C29">
        <f>IFERROR(_xlfn.XLOOKUP($A29,Cert_App_Output!$C:$C,Cert_App_Output!$D:$D),"")</f>
        <v>45900</v>
      </c>
      <c r="D29">
        <f>SUMIFS(Cert_App_Output!$J:$J,Cert_App_Output!$C:$C,$A29)</f>
        <v>2212945.17</v>
      </c>
      <c r="E29" s="213">
        <v>0</v>
      </c>
      <c r="F29">
        <f t="shared" si="1"/>
        <v>0</v>
      </c>
      <c r="G29">
        <f t="shared" si="2"/>
        <v>2212945.17</v>
      </c>
      <c r="H29" t="str">
        <f>IF(COUNTIF(Cert_Calculo!$A:$A,$A29)&gt;0,"OK","FALTA en Calculo")</f>
        <v>OK</v>
      </c>
    </row>
    <row r="30" spans="1:8" x14ac:dyDescent="0.35">
      <c r="A30" t="s">
        <v>4970</v>
      </c>
      <c r="B30" t="str">
        <f t="shared" si="0"/>
        <v>GDR-OC03</v>
      </c>
      <c r="C30">
        <f>IFERROR(_xlfn.XLOOKUP($A30,Cert_App_Output!$C:$C,Cert_App_Output!$D:$D),"")</f>
        <v>45930</v>
      </c>
      <c r="D30">
        <f>SUMIFS(Cert_App_Output!$J:$J,Cert_App_Output!$C:$C,$A30)</f>
        <v>23811290.029199999</v>
      </c>
      <c r="E30" s="213">
        <v>0</v>
      </c>
      <c r="F30">
        <f t="shared" si="1"/>
        <v>0</v>
      </c>
      <c r="G30">
        <f t="shared" si="2"/>
        <v>23811290.029199999</v>
      </c>
      <c r="H30" t="str">
        <f>IF(COUNTIF(Cert_Calculo!$A:$A,$A30)&gt;0,"OK","FALTA en Calculo")</f>
        <v>OK</v>
      </c>
    </row>
    <row r="31" spans="1:8" x14ac:dyDescent="0.35">
      <c r="A31" t="s">
        <v>4971</v>
      </c>
      <c r="B31" t="str">
        <f t="shared" si="0"/>
        <v>GDR-OC03</v>
      </c>
      <c r="C31">
        <f>IFERROR(_xlfn.XLOOKUP($A31,Cert_App_Output!$C:$C,Cert_App_Output!$D:$D),"")</f>
        <v>45958</v>
      </c>
      <c r="D31">
        <f>SUMIFS(Cert_App_Output!$J:$J,Cert_App_Output!$C:$C,$A31)</f>
        <v>35176920.949199997</v>
      </c>
      <c r="E31" s="213">
        <v>0</v>
      </c>
      <c r="F31">
        <f t="shared" si="1"/>
        <v>0</v>
      </c>
      <c r="G31">
        <f t="shared" si="2"/>
        <v>35176920.949199997</v>
      </c>
      <c r="H31" t="str">
        <f>IF(COUNTIF(Cert_Calculo!$A:$A,$A31)&gt;0,"OK","FALTA en Calculo")</f>
        <v>OK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57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25" x14ac:dyDescent="0.35">
      <c r="A1" s="204" t="s">
        <v>4937</v>
      </c>
      <c r="B1" s="204" t="s">
        <v>4980</v>
      </c>
      <c r="C1" s="204" t="s">
        <v>888</v>
      </c>
      <c r="D1" s="204" t="s">
        <v>4824</v>
      </c>
      <c r="E1" s="204" t="s">
        <v>4919</v>
      </c>
      <c r="F1" s="204" t="s">
        <v>4814</v>
      </c>
      <c r="G1" s="204" t="s">
        <v>4981</v>
      </c>
      <c r="H1" s="204" t="s">
        <v>4982</v>
      </c>
      <c r="I1" s="204" t="s">
        <v>4983</v>
      </c>
      <c r="J1" s="204" t="s">
        <v>4984</v>
      </c>
      <c r="K1" s="204" t="s">
        <v>4974</v>
      </c>
      <c r="L1" s="204" t="s">
        <v>4985</v>
      </c>
      <c r="M1" s="204" t="s">
        <v>4923</v>
      </c>
      <c r="N1" s="204" t="s">
        <v>4986</v>
      </c>
      <c r="O1" s="204" t="s">
        <v>4987</v>
      </c>
      <c r="P1" s="204" t="s">
        <v>4988</v>
      </c>
      <c r="Q1" s="204" t="s">
        <v>4989</v>
      </c>
      <c r="R1" s="204" t="s">
        <v>4990</v>
      </c>
      <c r="S1" s="204" t="s">
        <v>4991</v>
      </c>
      <c r="T1" s="204" t="s">
        <v>4992</v>
      </c>
      <c r="U1" s="204" t="s">
        <v>4993</v>
      </c>
      <c r="V1" s="204" t="s">
        <v>4994</v>
      </c>
      <c r="W1" s="204"/>
      <c r="X1" s="204" t="s">
        <v>4995</v>
      </c>
      <c r="Y1" s="204" t="s">
        <v>4996</v>
      </c>
    </row>
    <row r="2" spans="1:25" x14ac:dyDescent="0.35">
      <c r="A2" t="s">
        <v>4977</v>
      </c>
      <c r="B2" t="s">
        <v>4997</v>
      </c>
      <c r="C2" t="s">
        <v>4998</v>
      </c>
      <c r="D2" t="s">
        <v>4929</v>
      </c>
      <c r="E2" t="s">
        <v>4930</v>
      </c>
      <c r="G2" s="206">
        <v>200363088</v>
      </c>
      <c r="H2" s="213">
        <v>0.7</v>
      </c>
      <c r="I2">
        <f t="shared" ref="I2:I33" si="0">$G2*H2</f>
        <v>140254161.59999999</v>
      </c>
      <c r="J2">
        <f>_xlfn.XLOOKUP($A2,Cert_Cabecera!$A:$A,Cert_Cabecera!$E:$E)</f>
        <v>0</v>
      </c>
      <c r="K2">
        <f t="shared" ref="K2:K33" si="1">-I2*J2</f>
        <v>0</v>
      </c>
      <c r="L2">
        <f t="shared" ref="L2:L33" si="2">I2+K2</f>
        <v>140254161.59999999</v>
      </c>
      <c r="M2">
        <f>_xlfn.XLOOKUP($E2,Cert_OC_Cliente!$B:$B,Cert_OC_Cliente!$G:$G)</f>
        <v>15356.4</v>
      </c>
      <c r="N2">
        <f>IF($Y2="",'0_Indice_CAC'!$B$4,$Y2)</f>
        <v>15356.4</v>
      </c>
      <c r="O2">
        <f t="shared" ref="O2:O33" si="3">N2/M2</f>
        <v>1</v>
      </c>
      <c r="P2">
        <f t="shared" ref="P2:P33" si="4">L2*(O2-1)</f>
        <v>0</v>
      </c>
      <c r="Q2">
        <f t="shared" ref="Q2:Q33" si="5">L2+P2</f>
        <v>140254161.59999999</v>
      </c>
      <c r="R2" s="213">
        <v>0.21</v>
      </c>
      <c r="S2">
        <f t="shared" ref="S2:S33" si="6">Q2*R2</f>
        <v>29453373.935999997</v>
      </c>
      <c r="T2">
        <f t="shared" ref="T2:T33" si="7">Q2+S2</f>
        <v>169707535.53599998</v>
      </c>
      <c r="U2">
        <v>1170</v>
      </c>
      <c r="V2" t="str">
        <f t="shared" ref="V2:V33" si="8">IF(C2="Negro",T2/U2,"")</f>
        <v/>
      </c>
      <c r="X2" t="str">
        <f t="shared" ref="X2:X33" si="9">IF(ABS(SUMIFS($H:$H,$A:$A,$A2)-1)&lt;0.0001,"✓","⚠ ≠100%")</f>
        <v>✓</v>
      </c>
    </row>
    <row r="3" spans="1:25" x14ac:dyDescent="0.35">
      <c r="A3" t="s">
        <v>4977</v>
      </c>
      <c r="B3" t="s">
        <v>4999</v>
      </c>
      <c r="C3" t="s">
        <v>5000</v>
      </c>
      <c r="D3" t="s">
        <v>4929</v>
      </c>
      <c r="E3" t="s">
        <v>4930</v>
      </c>
      <c r="G3" s="206">
        <v>200363088</v>
      </c>
      <c r="H3" s="213">
        <v>0.3</v>
      </c>
      <c r="I3">
        <f t="shared" si="0"/>
        <v>60108926.399999999</v>
      </c>
      <c r="J3">
        <f>_xlfn.XLOOKUP($A3,Cert_Cabecera!$A:$A,Cert_Cabecera!$E:$E)</f>
        <v>0</v>
      </c>
      <c r="K3">
        <f t="shared" si="1"/>
        <v>0</v>
      </c>
      <c r="L3">
        <f t="shared" si="2"/>
        <v>60108926.399999999</v>
      </c>
      <c r="M3">
        <f>_xlfn.XLOOKUP($E3,Cert_OC_Cliente!$B:$B,Cert_OC_Cliente!$G:$G)</f>
        <v>15356.4</v>
      </c>
      <c r="N3">
        <f>IF($Y3="",'0_Indice_CAC'!$B$4,$Y3)</f>
        <v>15356.4</v>
      </c>
      <c r="O3">
        <f t="shared" si="3"/>
        <v>1</v>
      </c>
      <c r="P3">
        <f t="shared" si="4"/>
        <v>0</v>
      </c>
      <c r="Q3">
        <f t="shared" si="5"/>
        <v>60108926.399999999</v>
      </c>
      <c r="R3" s="213">
        <v>0</v>
      </c>
      <c r="S3">
        <f t="shared" si="6"/>
        <v>0</v>
      </c>
      <c r="T3">
        <f t="shared" si="7"/>
        <v>60108926.399999999</v>
      </c>
      <c r="U3">
        <v>1170</v>
      </c>
      <c r="V3">
        <f t="shared" si="8"/>
        <v>51375.150769230771</v>
      </c>
      <c r="X3" t="str">
        <f t="shared" si="9"/>
        <v>✓</v>
      </c>
    </row>
    <row r="4" spans="1:25" x14ac:dyDescent="0.35">
      <c r="A4" t="s">
        <v>4978</v>
      </c>
      <c r="B4" t="s">
        <v>5001</v>
      </c>
      <c r="C4" t="s">
        <v>4998</v>
      </c>
      <c r="D4" t="s">
        <v>4929</v>
      </c>
      <c r="E4" t="s">
        <v>4932</v>
      </c>
      <c r="G4" s="206">
        <v>84484524.800000012</v>
      </c>
      <c r="H4" s="213">
        <v>0.7</v>
      </c>
      <c r="I4">
        <f t="shared" si="0"/>
        <v>59139167.360000007</v>
      </c>
      <c r="J4">
        <f>_xlfn.XLOOKUP($A4,Cert_Cabecera!$A:$A,Cert_Cabecera!$E:$E)</f>
        <v>0</v>
      </c>
      <c r="K4">
        <f t="shared" si="1"/>
        <v>0</v>
      </c>
      <c r="L4">
        <f t="shared" si="2"/>
        <v>59139167.360000007</v>
      </c>
      <c r="M4">
        <f>_xlfn.XLOOKUP($E4,Cert_OC_Cliente!$B:$B,Cert_OC_Cliente!$G:$G)</f>
        <v>15356.4</v>
      </c>
      <c r="N4">
        <f>IF($Y4="",'0_Indice_CAC'!$B$4,$Y4)</f>
        <v>15356.4</v>
      </c>
      <c r="O4">
        <f t="shared" si="3"/>
        <v>1</v>
      </c>
      <c r="P4">
        <f t="shared" si="4"/>
        <v>0</v>
      </c>
      <c r="Q4">
        <f t="shared" si="5"/>
        <v>59139167.360000007</v>
      </c>
      <c r="R4" s="213">
        <v>0.21</v>
      </c>
      <c r="S4">
        <f t="shared" si="6"/>
        <v>12419225.1456</v>
      </c>
      <c r="T4">
        <f t="shared" si="7"/>
        <v>71558392.505600005</v>
      </c>
      <c r="U4">
        <v>1170</v>
      </c>
      <c r="V4" t="str">
        <f t="shared" si="8"/>
        <v/>
      </c>
      <c r="X4" t="str">
        <f t="shared" si="9"/>
        <v>✓</v>
      </c>
    </row>
    <row r="5" spans="1:25" x14ac:dyDescent="0.35">
      <c r="A5" t="s">
        <v>4978</v>
      </c>
      <c r="B5" t="s">
        <v>5002</v>
      </c>
      <c r="C5" t="s">
        <v>5000</v>
      </c>
      <c r="D5" t="s">
        <v>4929</v>
      </c>
      <c r="E5" t="s">
        <v>4932</v>
      </c>
      <c r="G5" s="206">
        <v>84484524.800000012</v>
      </c>
      <c r="H5" s="213">
        <v>0.3</v>
      </c>
      <c r="I5">
        <f t="shared" si="0"/>
        <v>25345357.440000001</v>
      </c>
      <c r="J5">
        <f>_xlfn.XLOOKUP($A5,Cert_Cabecera!$A:$A,Cert_Cabecera!$E:$E)</f>
        <v>0</v>
      </c>
      <c r="K5">
        <f t="shared" si="1"/>
        <v>0</v>
      </c>
      <c r="L5">
        <f t="shared" si="2"/>
        <v>25345357.440000001</v>
      </c>
      <c r="M5">
        <f>_xlfn.XLOOKUP($E5,Cert_OC_Cliente!$B:$B,Cert_OC_Cliente!$G:$G)</f>
        <v>15356.4</v>
      </c>
      <c r="N5">
        <f>IF($Y5="",'0_Indice_CAC'!$B$4,$Y5)</f>
        <v>15356.4</v>
      </c>
      <c r="O5">
        <f t="shared" si="3"/>
        <v>1</v>
      </c>
      <c r="P5">
        <f t="shared" si="4"/>
        <v>0</v>
      </c>
      <c r="Q5">
        <f t="shared" si="5"/>
        <v>25345357.440000001</v>
      </c>
      <c r="R5" s="213">
        <v>0</v>
      </c>
      <c r="S5">
        <f t="shared" si="6"/>
        <v>0</v>
      </c>
      <c r="T5">
        <f t="shared" si="7"/>
        <v>25345357.440000001</v>
      </c>
      <c r="U5">
        <v>1170</v>
      </c>
      <c r="V5">
        <f t="shared" si="8"/>
        <v>21662.698666666667</v>
      </c>
      <c r="X5" t="str">
        <f t="shared" si="9"/>
        <v>✓</v>
      </c>
    </row>
    <row r="6" spans="1:25" x14ac:dyDescent="0.35">
      <c r="A6" t="s">
        <v>4979</v>
      </c>
      <c r="B6" t="s">
        <v>5003</v>
      </c>
      <c r="C6" t="s">
        <v>5000</v>
      </c>
      <c r="D6" t="s">
        <v>4929</v>
      </c>
      <c r="E6" t="s">
        <v>4934</v>
      </c>
      <c r="G6" s="206">
        <v>0</v>
      </c>
      <c r="H6" s="213">
        <v>1</v>
      </c>
      <c r="I6">
        <f t="shared" si="0"/>
        <v>0</v>
      </c>
      <c r="J6">
        <f>_xlfn.XLOOKUP($A6,Cert_Cabecera!$A:$A,Cert_Cabecera!$E:$E)</f>
        <v>0</v>
      </c>
      <c r="K6">
        <f t="shared" si="1"/>
        <v>0</v>
      </c>
      <c r="L6">
        <f t="shared" si="2"/>
        <v>0</v>
      </c>
      <c r="M6">
        <f>_xlfn.XLOOKUP($E6,Cert_OC_Cliente!$B:$B,Cert_OC_Cliente!$G:$G)</f>
        <v>15356.4</v>
      </c>
      <c r="N6">
        <f>IF($Y6="",'0_Indice_CAC'!$B$4,$Y6)</f>
        <v>15356.4</v>
      </c>
      <c r="O6">
        <f t="shared" si="3"/>
        <v>1</v>
      </c>
      <c r="P6">
        <f t="shared" si="4"/>
        <v>0</v>
      </c>
      <c r="Q6">
        <f t="shared" si="5"/>
        <v>0</v>
      </c>
      <c r="R6" s="213">
        <v>0</v>
      </c>
      <c r="S6">
        <f t="shared" si="6"/>
        <v>0</v>
      </c>
      <c r="T6">
        <f t="shared" si="7"/>
        <v>0</v>
      </c>
      <c r="U6">
        <v>1170</v>
      </c>
      <c r="V6">
        <f t="shared" si="8"/>
        <v>0</v>
      </c>
      <c r="X6" t="str">
        <f t="shared" si="9"/>
        <v>✓</v>
      </c>
    </row>
    <row r="7" spans="1:25" x14ac:dyDescent="0.35">
      <c r="A7" t="s">
        <v>4945</v>
      </c>
      <c r="B7" t="s">
        <v>5004</v>
      </c>
      <c r="C7" t="s">
        <v>4998</v>
      </c>
      <c r="D7" t="str">
        <f>_xlfn.XLOOKUP(A7,Cert_App_Output!$C:$C,Cert_App_Output!$A:$A)</f>
        <v>GDR 3760</v>
      </c>
      <c r="E7" t="s">
        <v>4930</v>
      </c>
      <c r="F7">
        <f>_xlfn.XLOOKUP(A7,Cert_App_Output!$C:$C,Cert_App_Output!$D:$D)</f>
        <v>45747</v>
      </c>
      <c r="G7">
        <f>SUMIFS(Cert_App_Output!$J:$J,Cert_App_Output!$C:$C,$A7)</f>
        <v>32672750.400697354</v>
      </c>
      <c r="H7" s="213">
        <v>0.7</v>
      </c>
      <c r="I7">
        <f t="shared" si="0"/>
        <v>22870925.280488148</v>
      </c>
      <c r="J7">
        <f>_xlfn.XLOOKUP($A7,Cert_Cabecera!$A:$A,Cert_Cabecera!$E:$E)</f>
        <v>0.4</v>
      </c>
      <c r="K7">
        <f t="shared" si="1"/>
        <v>-9148370.112195259</v>
      </c>
      <c r="L7">
        <f t="shared" si="2"/>
        <v>13722555.168292889</v>
      </c>
      <c r="M7">
        <f>_xlfn.XLOOKUP($E7,Cert_OC_Cliente!$B:$B,Cert_OC_Cliente!$G:$G)</f>
        <v>15356.4</v>
      </c>
      <c r="N7">
        <f>IF($Y7="",_xlfn.XLOOKUP(DATE(YEAR(F7),MONTH(F7),1),'0_Indice_CAC'!$A:$A,'0_Indice_CAC'!$B:$B),$Y7)</f>
        <v>15995.4</v>
      </c>
      <c r="O7">
        <f t="shared" si="3"/>
        <v>1.0416113151519888</v>
      </c>
      <c r="P7">
        <f t="shared" si="4"/>
        <v>571013.56779838807</v>
      </c>
      <c r="Q7">
        <f t="shared" si="5"/>
        <v>14293568.736091277</v>
      </c>
      <c r="R7" s="213">
        <v>0.21</v>
      </c>
      <c r="S7">
        <f t="shared" si="6"/>
        <v>3001649.434579168</v>
      </c>
      <c r="T7">
        <f t="shared" si="7"/>
        <v>17295218.170670446</v>
      </c>
      <c r="U7">
        <v>1170</v>
      </c>
      <c r="V7" t="str">
        <f t="shared" si="8"/>
        <v/>
      </c>
      <c r="X7" t="str">
        <f t="shared" si="9"/>
        <v>✓</v>
      </c>
    </row>
    <row r="8" spans="1:25" x14ac:dyDescent="0.35">
      <c r="A8" t="s">
        <v>4945</v>
      </c>
      <c r="B8" t="s">
        <v>5005</v>
      </c>
      <c r="C8" t="s">
        <v>5000</v>
      </c>
      <c r="D8" t="str">
        <f>_xlfn.XLOOKUP(A8,Cert_App_Output!$C:$C,Cert_App_Output!$A:$A)</f>
        <v>GDR 3760</v>
      </c>
      <c r="E8" t="s">
        <v>4930</v>
      </c>
      <c r="F8">
        <f>_xlfn.XLOOKUP(A8,Cert_App_Output!$C:$C,Cert_App_Output!$D:$D)</f>
        <v>45747</v>
      </c>
      <c r="G8">
        <f>SUMIFS(Cert_App_Output!$J:$J,Cert_App_Output!$C:$C,$A8)</f>
        <v>32672750.400697354</v>
      </c>
      <c r="H8" s="213">
        <v>0.3</v>
      </c>
      <c r="I8">
        <f t="shared" si="0"/>
        <v>9801825.1202092059</v>
      </c>
      <c r="J8">
        <f>_xlfn.XLOOKUP($A8,Cert_Cabecera!$A:$A,Cert_Cabecera!$E:$E)</f>
        <v>0.4</v>
      </c>
      <c r="K8">
        <f t="shared" si="1"/>
        <v>-3920730.0480836825</v>
      </c>
      <c r="L8">
        <f t="shared" si="2"/>
        <v>5881095.0721255234</v>
      </c>
      <c r="M8">
        <f>_xlfn.XLOOKUP($E8,Cert_OC_Cliente!$B:$B,Cert_OC_Cliente!$G:$G)</f>
        <v>15356.4</v>
      </c>
      <c r="N8">
        <f>IF($Y8="",_xlfn.XLOOKUP(DATE(YEAR(F8),MONTH(F8),1),'0_Indice_CAC'!$A:$A,'0_Indice_CAC'!$B:$B),$Y8)</f>
        <v>15995.4</v>
      </c>
      <c r="O8">
        <f t="shared" si="3"/>
        <v>1.0416113151519888</v>
      </c>
      <c r="P8">
        <f t="shared" si="4"/>
        <v>244720.1004850234</v>
      </c>
      <c r="Q8">
        <f t="shared" si="5"/>
        <v>6125815.1726105465</v>
      </c>
      <c r="R8" s="213">
        <v>0</v>
      </c>
      <c r="S8">
        <f t="shared" si="6"/>
        <v>0</v>
      </c>
      <c r="T8">
        <f t="shared" si="7"/>
        <v>6125815.1726105465</v>
      </c>
      <c r="U8">
        <v>1170</v>
      </c>
      <c r="V8">
        <f t="shared" si="8"/>
        <v>5235.739463769698</v>
      </c>
      <c r="X8" t="str">
        <f t="shared" si="9"/>
        <v>✓</v>
      </c>
    </row>
    <row r="9" spans="1:25" x14ac:dyDescent="0.35">
      <c r="A9" t="s">
        <v>4946</v>
      </c>
      <c r="B9" t="s">
        <v>5006</v>
      </c>
      <c r="C9" t="s">
        <v>4998</v>
      </c>
      <c r="D9" t="str">
        <f>_xlfn.XLOOKUP(A9,Cert_App_Output!$C:$C,Cert_App_Output!$A:$A)</f>
        <v>GDR 3760</v>
      </c>
      <c r="E9" t="s">
        <v>4930</v>
      </c>
      <c r="F9">
        <f>_xlfn.XLOOKUP(A9,Cert_App_Output!$C:$C,Cert_App_Output!$D:$D)</f>
        <v>45777</v>
      </c>
      <c r="G9">
        <f>SUMIFS(Cert_App_Output!$J:$J,Cert_App_Output!$C:$C,$A9)</f>
        <v>27443237.62866424</v>
      </c>
      <c r="H9" s="213">
        <v>0.7</v>
      </c>
      <c r="I9">
        <f t="shared" si="0"/>
        <v>19210266.340064965</v>
      </c>
      <c r="J9">
        <f>_xlfn.XLOOKUP($A9,Cert_Cabecera!$A:$A,Cert_Cabecera!$E:$E)</f>
        <v>0.4</v>
      </c>
      <c r="K9">
        <f t="shared" si="1"/>
        <v>-7684106.5360259861</v>
      </c>
      <c r="L9">
        <f t="shared" si="2"/>
        <v>11526159.804038979</v>
      </c>
      <c r="M9">
        <f>_xlfn.XLOOKUP($E9,Cert_OC_Cliente!$B:$B,Cert_OC_Cliente!$G:$G)</f>
        <v>15356.4</v>
      </c>
      <c r="N9">
        <f>IF($Y9="",_xlfn.XLOOKUP(DATE(YEAR(F9),MONTH(F9),1),'0_Indice_CAC'!$A:$A,'0_Indice_CAC'!$B:$B),$Y9)</f>
        <v>16253.5</v>
      </c>
      <c r="O9">
        <f t="shared" si="3"/>
        <v>1.0584186397853663</v>
      </c>
      <c r="P9">
        <f t="shared" si="4"/>
        <v>673342.57770072157</v>
      </c>
      <c r="Q9">
        <f t="shared" si="5"/>
        <v>12199502.3817397</v>
      </c>
      <c r="R9" s="213">
        <v>0.21</v>
      </c>
      <c r="S9">
        <f t="shared" si="6"/>
        <v>2561895.5001653368</v>
      </c>
      <c r="T9">
        <f t="shared" si="7"/>
        <v>14761397.881905038</v>
      </c>
      <c r="U9">
        <v>1170</v>
      </c>
      <c r="V9" t="str">
        <f t="shared" si="8"/>
        <v/>
      </c>
      <c r="X9" t="str">
        <f t="shared" si="9"/>
        <v>✓</v>
      </c>
    </row>
    <row r="10" spans="1:25" x14ac:dyDescent="0.35">
      <c r="A10" t="s">
        <v>4946</v>
      </c>
      <c r="B10" t="s">
        <v>5007</v>
      </c>
      <c r="C10" t="s">
        <v>5000</v>
      </c>
      <c r="D10" t="str">
        <f>_xlfn.XLOOKUP(A10,Cert_App_Output!$C:$C,Cert_App_Output!$A:$A)</f>
        <v>GDR 3760</v>
      </c>
      <c r="E10" t="s">
        <v>4930</v>
      </c>
      <c r="F10">
        <f>_xlfn.XLOOKUP(A10,Cert_App_Output!$C:$C,Cert_App_Output!$D:$D)</f>
        <v>45777</v>
      </c>
      <c r="G10">
        <f>SUMIFS(Cert_App_Output!$J:$J,Cert_App_Output!$C:$C,$A10)</f>
        <v>27443237.62866424</v>
      </c>
      <c r="H10" s="213">
        <v>0.3</v>
      </c>
      <c r="I10">
        <f t="shared" si="0"/>
        <v>8232971.2885992713</v>
      </c>
      <c r="J10">
        <f>_xlfn.XLOOKUP($A10,Cert_Cabecera!$A:$A,Cert_Cabecera!$E:$E)</f>
        <v>0.4</v>
      </c>
      <c r="K10">
        <f t="shared" si="1"/>
        <v>-3293188.5154397087</v>
      </c>
      <c r="L10">
        <f t="shared" si="2"/>
        <v>4939782.7731595626</v>
      </c>
      <c r="M10">
        <f>_xlfn.XLOOKUP($E10,Cert_OC_Cliente!$B:$B,Cert_OC_Cliente!$G:$G)</f>
        <v>15356.4</v>
      </c>
      <c r="N10">
        <f>IF($Y10="",_xlfn.XLOOKUP(DATE(YEAR(F10),MONTH(F10),1),'0_Indice_CAC'!$A:$A,'0_Indice_CAC'!$B:$B),$Y10)</f>
        <v>16253.5</v>
      </c>
      <c r="O10">
        <f t="shared" si="3"/>
        <v>1.0584186397853663</v>
      </c>
      <c r="P10">
        <f t="shared" si="4"/>
        <v>288575.39044316643</v>
      </c>
      <c r="Q10">
        <f t="shared" si="5"/>
        <v>5228358.1636027293</v>
      </c>
      <c r="R10" s="213">
        <v>0</v>
      </c>
      <c r="S10">
        <f t="shared" si="6"/>
        <v>0</v>
      </c>
      <c r="T10">
        <f t="shared" si="7"/>
        <v>5228358.1636027293</v>
      </c>
      <c r="U10">
        <v>1170</v>
      </c>
      <c r="V10">
        <f t="shared" si="8"/>
        <v>4468.6821911134439</v>
      </c>
      <c r="X10" t="str">
        <f t="shared" si="9"/>
        <v>✓</v>
      </c>
    </row>
    <row r="11" spans="1:25" x14ac:dyDescent="0.35">
      <c r="A11" t="s">
        <v>4947</v>
      </c>
      <c r="B11" t="s">
        <v>5008</v>
      </c>
      <c r="C11" t="s">
        <v>4998</v>
      </c>
      <c r="D11" t="str">
        <f>_xlfn.XLOOKUP(A11,Cert_App_Output!$C:$C,Cert_App_Output!$A:$A)</f>
        <v>GDR 3760</v>
      </c>
      <c r="E11" t="s">
        <v>4930</v>
      </c>
      <c r="F11">
        <f>_xlfn.XLOOKUP(A11,Cert_App_Output!$C:$C,Cert_App_Output!$D:$D)</f>
        <v>45808</v>
      </c>
      <c r="G11">
        <f>SUMIFS(Cert_App_Output!$J:$J,Cert_App_Output!$C:$C,$A11)</f>
        <v>64830796.042660199</v>
      </c>
      <c r="H11" s="213">
        <v>0.7</v>
      </c>
      <c r="I11">
        <f t="shared" si="0"/>
        <v>45381557.229862139</v>
      </c>
      <c r="J11">
        <f>_xlfn.XLOOKUP($A11,Cert_Cabecera!$A:$A,Cert_Cabecera!$E:$E)</f>
        <v>0.4</v>
      </c>
      <c r="K11">
        <f t="shared" si="1"/>
        <v>-18152622.891944855</v>
      </c>
      <c r="L11">
        <f t="shared" si="2"/>
        <v>27228934.337917283</v>
      </c>
      <c r="M11">
        <f>_xlfn.XLOOKUP($E11,Cert_OC_Cliente!$B:$B,Cert_OC_Cliente!$G:$G)</f>
        <v>15356.4</v>
      </c>
      <c r="N11">
        <f>IF($Y11="",_xlfn.XLOOKUP(DATE(YEAR(F11),MONTH(F11),1),'0_Indice_CAC'!$A:$A,'0_Indice_CAC'!$B:$B),$Y11)</f>
        <v>16521.3</v>
      </c>
      <c r="O11">
        <f t="shared" si="3"/>
        <v>1.0758576228803625</v>
      </c>
      <c r="P11">
        <f t="shared" si="4"/>
        <v>2065522.2324398812</v>
      </c>
      <c r="Q11">
        <f t="shared" si="5"/>
        <v>29294456.570357166</v>
      </c>
      <c r="R11" s="213">
        <v>0.21</v>
      </c>
      <c r="S11">
        <f t="shared" si="6"/>
        <v>6151835.8797750045</v>
      </c>
      <c r="T11">
        <f t="shared" si="7"/>
        <v>35446292.450132169</v>
      </c>
      <c r="U11">
        <v>1170</v>
      </c>
      <c r="V11" t="str">
        <f t="shared" si="8"/>
        <v/>
      </c>
      <c r="X11" t="str">
        <f t="shared" si="9"/>
        <v>✓</v>
      </c>
    </row>
    <row r="12" spans="1:25" x14ac:dyDescent="0.35">
      <c r="A12" t="s">
        <v>4947</v>
      </c>
      <c r="B12" t="s">
        <v>5009</v>
      </c>
      <c r="C12" t="s">
        <v>5000</v>
      </c>
      <c r="D12" t="str">
        <f>_xlfn.XLOOKUP(A12,Cert_App_Output!$C:$C,Cert_App_Output!$A:$A)</f>
        <v>GDR 3760</v>
      </c>
      <c r="E12" t="s">
        <v>4930</v>
      </c>
      <c r="F12">
        <f>_xlfn.XLOOKUP(A12,Cert_App_Output!$C:$C,Cert_App_Output!$D:$D)</f>
        <v>45808</v>
      </c>
      <c r="G12">
        <f>SUMIFS(Cert_App_Output!$J:$J,Cert_App_Output!$C:$C,$A12)</f>
        <v>64830796.042660199</v>
      </c>
      <c r="H12" s="213">
        <v>0.3</v>
      </c>
      <c r="I12">
        <f t="shared" si="0"/>
        <v>19449238.81279806</v>
      </c>
      <c r="J12">
        <f>_xlfn.XLOOKUP($A12,Cert_Cabecera!$A:$A,Cert_Cabecera!$E:$E)</f>
        <v>0.4</v>
      </c>
      <c r="K12">
        <f t="shared" si="1"/>
        <v>-7779695.5251192246</v>
      </c>
      <c r="L12">
        <f t="shared" si="2"/>
        <v>11669543.287678836</v>
      </c>
      <c r="M12">
        <f>_xlfn.XLOOKUP($E12,Cert_OC_Cliente!$B:$B,Cert_OC_Cliente!$G:$G)</f>
        <v>15356.4</v>
      </c>
      <c r="N12">
        <f>IF($Y12="",_xlfn.XLOOKUP(DATE(YEAR(F12),MONTH(F12),1),'0_Indice_CAC'!$A:$A,'0_Indice_CAC'!$B:$B),$Y12)</f>
        <v>16521.3</v>
      </c>
      <c r="O12">
        <f t="shared" si="3"/>
        <v>1.0758576228803625</v>
      </c>
      <c r="P12">
        <f t="shared" si="4"/>
        <v>885223.81390280626</v>
      </c>
      <c r="Q12">
        <f t="shared" si="5"/>
        <v>12554767.101581642</v>
      </c>
      <c r="R12" s="213">
        <v>0</v>
      </c>
      <c r="S12">
        <f t="shared" si="6"/>
        <v>0</v>
      </c>
      <c r="T12">
        <f t="shared" si="7"/>
        <v>12554767.101581642</v>
      </c>
      <c r="U12">
        <v>1170</v>
      </c>
      <c r="V12">
        <f t="shared" si="8"/>
        <v>10730.570172292002</v>
      </c>
      <c r="X12" t="str">
        <f t="shared" si="9"/>
        <v>✓</v>
      </c>
    </row>
    <row r="13" spans="1:25" x14ac:dyDescent="0.35">
      <c r="A13" t="s">
        <v>4948</v>
      </c>
      <c r="B13" t="s">
        <v>5010</v>
      </c>
      <c r="C13" t="s">
        <v>4998</v>
      </c>
      <c r="D13" t="str">
        <f>_xlfn.XLOOKUP(A13,Cert_App_Output!$C:$C,Cert_App_Output!$A:$A)</f>
        <v>GDR 3760</v>
      </c>
      <c r="E13" t="s">
        <v>4930</v>
      </c>
      <c r="F13">
        <f>_xlfn.XLOOKUP(A13,Cert_App_Output!$C:$C,Cert_App_Output!$D:$D)</f>
        <v>45838</v>
      </c>
      <c r="G13">
        <f>SUMIFS(Cert_App_Output!$J:$J,Cert_App_Output!$C:$C,$A13)</f>
        <v>36057301.538168833</v>
      </c>
      <c r="H13" s="213">
        <v>0.7</v>
      </c>
      <c r="I13">
        <f t="shared" si="0"/>
        <v>25240111.076718181</v>
      </c>
      <c r="J13">
        <f>_xlfn.XLOOKUP($A13,Cert_Cabecera!$A:$A,Cert_Cabecera!$E:$E)</f>
        <v>0.4</v>
      </c>
      <c r="K13">
        <f t="shared" si="1"/>
        <v>-10096044.430687273</v>
      </c>
      <c r="L13">
        <f t="shared" si="2"/>
        <v>15144066.646030908</v>
      </c>
      <c r="M13">
        <f>_xlfn.XLOOKUP($E13,Cert_OC_Cliente!$B:$B,Cert_OC_Cliente!$G:$G)</f>
        <v>15356.4</v>
      </c>
      <c r="N13">
        <f>IF($Y13="",_xlfn.XLOOKUP(DATE(YEAR(F13),MONTH(F13),1),'0_Indice_CAC'!$A:$A,'0_Indice_CAC'!$B:$B),$Y13)</f>
        <v>16643.400000000001</v>
      </c>
      <c r="O13">
        <f t="shared" si="3"/>
        <v>1.0838087051652732</v>
      </c>
      <c r="P13">
        <f t="shared" si="4"/>
        <v>1269204.6165404518</v>
      </c>
      <c r="Q13">
        <f t="shared" si="5"/>
        <v>16413271.262571361</v>
      </c>
      <c r="R13" s="213">
        <v>0.21</v>
      </c>
      <c r="S13">
        <f t="shared" si="6"/>
        <v>3446786.9651399856</v>
      </c>
      <c r="T13">
        <f t="shared" si="7"/>
        <v>19860058.227711346</v>
      </c>
      <c r="U13">
        <v>1170</v>
      </c>
      <c r="V13" t="str">
        <f t="shared" si="8"/>
        <v/>
      </c>
      <c r="X13" t="str">
        <f t="shared" si="9"/>
        <v>✓</v>
      </c>
    </row>
    <row r="14" spans="1:25" x14ac:dyDescent="0.35">
      <c r="A14" t="s">
        <v>4948</v>
      </c>
      <c r="B14" t="s">
        <v>5011</v>
      </c>
      <c r="C14" t="s">
        <v>5000</v>
      </c>
      <c r="D14" t="str">
        <f>_xlfn.XLOOKUP(A14,Cert_App_Output!$C:$C,Cert_App_Output!$A:$A)</f>
        <v>GDR 3760</v>
      </c>
      <c r="E14" t="s">
        <v>4930</v>
      </c>
      <c r="F14">
        <f>_xlfn.XLOOKUP(A14,Cert_App_Output!$C:$C,Cert_App_Output!$D:$D)</f>
        <v>45838</v>
      </c>
      <c r="G14">
        <f>SUMIFS(Cert_App_Output!$J:$J,Cert_App_Output!$C:$C,$A14)</f>
        <v>36057301.538168833</v>
      </c>
      <c r="H14" s="213">
        <v>0.3</v>
      </c>
      <c r="I14">
        <f t="shared" si="0"/>
        <v>10817190.461450649</v>
      </c>
      <c r="J14">
        <f>_xlfn.XLOOKUP($A14,Cert_Cabecera!$A:$A,Cert_Cabecera!$E:$E)</f>
        <v>0.4</v>
      </c>
      <c r="K14">
        <f t="shared" si="1"/>
        <v>-4326876.18458026</v>
      </c>
      <c r="L14">
        <f t="shared" si="2"/>
        <v>6490314.2768703895</v>
      </c>
      <c r="M14">
        <f>_xlfn.XLOOKUP($E14,Cert_OC_Cliente!$B:$B,Cert_OC_Cliente!$G:$G)</f>
        <v>15356.4</v>
      </c>
      <c r="N14">
        <f>IF($Y14="",_xlfn.XLOOKUP(DATE(YEAR(F14),MONTH(F14),1),'0_Indice_CAC'!$A:$A,'0_Indice_CAC'!$B:$B),$Y14)</f>
        <v>16643.400000000001</v>
      </c>
      <c r="O14">
        <f t="shared" si="3"/>
        <v>1.0838087051652732</v>
      </c>
      <c r="P14">
        <f t="shared" si="4"/>
        <v>543944.83566019358</v>
      </c>
      <c r="Q14">
        <f t="shared" si="5"/>
        <v>7034259.1125305835</v>
      </c>
      <c r="R14" s="213">
        <v>0</v>
      </c>
      <c r="S14">
        <f t="shared" si="6"/>
        <v>0</v>
      </c>
      <c r="T14">
        <f t="shared" si="7"/>
        <v>7034259.1125305835</v>
      </c>
      <c r="U14">
        <v>1170</v>
      </c>
      <c r="V14">
        <f t="shared" si="8"/>
        <v>6012.1872756671655</v>
      </c>
      <c r="X14" t="str">
        <f t="shared" si="9"/>
        <v>✓</v>
      </c>
    </row>
    <row r="15" spans="1:25" x14ac:dyDescent="0.35">
      <c r="A15" t="s">
        <v>4949</v>
      </c>
      <c r="B15" t="s">
        <v>5012</v>
      </c>
      <c r="C15" t="s">
        <v>4998</v>
      </c>
      <c r="D15" t="str">
        <f>_xlfn.XLOOKUP(A15,Cert_App_Output!$C:$C,Cert_App_Output!$A:$A)</f>
        <v>GDR 3760</v>
      </c>
      <c r="E15" t="s">
        <v>4930</v>
      </c>
      <c r="F15">
        <f>_xlfn.XLOOKUP(A15,Cert_App_Output!$C:$C,Cert_App_Output!$D:$D)</f>
        <v>45869</v>
      </c>
      <c r="G15">
        <f>SUMIFS(Cert_App_Output!$J:$J,Cert_App_Output!$C:$C,$A15)</f>
        <v>93958182.237262025</v>
      </c>
      <c r="H15" s="213">
        <v>0.7</v>
      </c>
      <c r="I15">
        <f t="shared" si="0"/>
        <v>65770727.566083416</v>
      </c>
      <c r="J15">
        <f>_xlfn.XLOOKUP($A15,Cert_Cabecera!$A:$A,Cert_Cabecera!$E:$E)</f>
        <v>0.4</v>
      </c>
      <c r="K15">
        <f t="shared" si="1"/>
        <v>-26308291.026433367</v>
      </c>
      <c r="L15">
        <f t="shared" si="2"/>
        <v>39462436.539650053</v>
      </c>
      <c r="M15">
        <f>_xlfn.XLOOKUP($E15,Cert_OC_Cliente!$B:$B,Cert_OC_Cliente!$G:$G)</f>
        <v>15356.4</v>
      </c>
      <c r="N15">
        <f>IF($Y15="",_xlfn.XLOOKUP(DATE(YEAR(F15),MONTH(F15),1),'0_Indice_CAC'!$A:$A,'0_Indice_CAC'!$B:$B),$Y15)</f>
        <v>16939.5</v>
      </c>
      <c r="O15">
        <f t="shared" si="3"/>
        <v>1.103090568101899</v>
      </c>
      <c r="P15">
        <f t="shared" si="4"/>
        <v>4068205.0015576608</v>
      </c>
      <c r="Q15">
        <f t="shared" si="5"/>
        <v>43530641.541207716</v>
      </c>
      <c r="R15" s="213">
        <v>0.21</v>
      </c>
      <c r="S15">
        <f t="shared" si="6"/>
        <v>9141434.7236536201</v>
      </c>
      <c r="T15">
        <f t="shared" si="7"/>
        <v>52672076.264861338</v>
      </c>
      <c r="U15">
        <v>1170</v>
      </c>
      <c r="V15" t="str">
        <f t="shared" si="8"/>
        <v/>
      </c>
      <c r="X15" t="str">
        <f t="shared" si="9"/>
        <v>✓</v>
      </c>
    </row>
    <row r="16" spans="1:25" x14ac:dyDescent="0.35">
      <c r="A16" t="s">
        <v>4949</v>
      </c>
      <c r="B16" t="s">
        <v>5013</v>
      </c>
      <c r="C16" t="s">
        <v>5000</v>
      </c>
      <c r="D16" t="str">
        <f>_xlfn.XLOOKUP(A16,Cert_App_Output!$C:$C,Cert_App_Output!$A:$A)</f>
        <v>GDR 3760</v>
      </c>
      <c r="E16" t="s">
        <v>4930</v>
      </c>
      <c r="F16">
        <f>_xlfn.XLOOKUP(A16,Cert_App_Output!$C:$C,Cert_App_Output!$D:$D)</f>
        <v>45869</v>
      </c>
      <c r="G16">
        <f>SUMIFS(Cert_App_Output!$J:$J,Cert_App_Output!$C:$C,$A16)</f>
        <v>93958182.237262025</v>
      </c>
      <c r="H16" s="213">
        <v>0.3</v>
      </c>
      <c r="I16">
        <f t="shared" si="0"/>
        <v>28187454.671178605</v>
      </c>
      <c r="J16">
        <f>_xlfn.XLOOKUP($A16,Cert_Cabecera!$A:$A,Cert_Cabecera!$E:$E)</f>
        <v>0.4</v>
      </c>
      <c r="K16">
        <f t="shared" si="1"/>
        <v>-11274981.868471444</v>
      </c>
      <c r="L16">
        <f t="shared" si="2"/>
        <v>16912472.802707162</v>
      </c>
      <c r="M16">
        <f>_xlfn.XLOOKUP($E16,Cert_OC_Cliente!$B:$B,Cert_OC_Cliente!$G:$G)</f>
        <v>15356.4</v>
      </c>
      <c r="N16">
        <f>IF($Y16="",_xlfn.XLOOKUP(DATE(YEAR(F16),MONTH(F16),1),'0_Indice_CAC'!$A:$A,'0_Indice_CAC'!$B:$B),$Y16)</f>
        <v>16939.5</v>
      </c>
      <c r="O16">
        <f t="shared" si="3"/>
        <v>1.103090568101899</v>
      </c>
      <c r="P16">
        <f t="shared" si="4"/>
        <v>1743516.4292389969</v>
      </c>
      <c r="Q16">
        <f t="shared" si="5"/>
        <v>18655989.231946159</v>
      </c>
      <c r="R16" s="213">
        <v>0</v>
      </c>
      <c r="S16">
        <f t="shared" si="6"/>
        <v>0</v>
      </c>
      <c r="T16">
        <f t="shared" si="7"/>
        <v>18655989.231946159</v>
      </c>
      <c r="U16">
        <v>1170</v>
      </c>
      <c r="V16">
        <f t="shared" si="8"/>
        <v>15945.289941834324</v>
      </c>
      <c r="X16" t="str">
        <f t="shared" si="9"/>
        <v>✓</v>
      </c>
    </row>
    <row r="17" spans="1:24" x14ac:dyDescent="0.35">
      <c r="A17" t="s">
        <v>4950</v>
      </c>
      <c r="B17" t="s">
        <v>5014</v>
      </c>
      <c r="C17" t="s">
        <v>4998</v>
      </c>
      <c r="D17" t="str">
        <f>_xlfn.XLOOKUP(A17,Cert_App_Output!$C:$C,Cert_App_Output!$A:$A)</f>
        <v>GDR 3760</v>
      </c>
      <c r="E17" t="s">
        <v>4930</v>
      </c>
      <c r="F17">
        <f>_xlfn.XLOOKUP(A17,Cert_App_Output!$C:$C,Cert_App_Output!$D:$D)</f>
        <v>45900</v>
      </c>
      <c r="G17">
        <f>SUMIFS(Cert_App_Output!$J:$J,Cert_App_Output!$C:$C,$A17)</f>
        <v>55865245.932653844</v>
      </c>
      <c r="H17" s="213">
        <v>0.7</v>
      </c>
      <c r="I17">
        <f t="shared" si="0"/>
        <v>39105672.152857691</v>
      </c>
      <c r="J17">
        <f>_xlfn.XLOOKUP($A17,Cert_Cabecera!$A:$A,Cert_Cabecera!$E:$E)</f>
        <v>0.4</v>
      </c>
      <c r="K17">
        <f t="shared" si="1"/>
        <v>-15642268.861143077</v>
      </c>
      <c r="L17">
        <f t="shared" si="2"/>
        <v>23463403.291714616</v>
      </c>
      <c r="M17">
        <f>_xlfn.XLOOKUP($E17,Cert_OC_Cliente!$B:$B,Cert_OC_Cliente!$G:$G)</f>
        <v>15356.4</v>
      </c>
      <c r="N17">
        <f>IF($Y17="",_xlfn.XLOOKUP(DATE(YEAR(F17),MONTH(F17),1),'0_Indice_CAC'!$A:$A,'0_Indice_CAC'!$B:$B),$Y17)</f>
        <v>17187.599999999999</v>
      </c>
      <c r="O17">
        <f t="shared" si="3"/>
        <v>1.1192466984449481</v>
      </c>
      <c r="P17">
        <f t="shared" si="4"/>
        <v>2797933.3768192944</v>
      </c>
      <c r="Q17">
        <f t="shared" si="5"/>
        <v>26261336.66853391</v>
      </c>
      <c r="R17" s="213">
        <v>0.21</v>
      </c>
      <c r="S17">
        <f t="shared" si="6"/>
        <v>5514880.7003921205</v>
      </c>
      <c r="T17">
        <f t="shared" si="7"/>
        <v>31776217.36892603</v>
      </c>
      <c r="U17">
        <v>1170</v>
      </c>
      <c r="V17" t="str">
        <f t="shared" si="8"/>
        <v/>
      </c>
      <c r="X17" t="str">
        <f t="shared" si="9"/>
        <v>✓</v>
      </c>
    </row>
    <row r="18" spans="1:24" x14ac:dyDescent="0.35">
      <c r="A18" t="s">
        <v>4950</v>
      </c>
      <c r="B18" t="s">
        <v>5015</v>
      </c>
      <c r="C18" t="s">
        <v>5000</v>
      </c>
      <c r="D18" t="str">
        <f>_xlfn.XLOOKUP(A18,Cert_App_Output!$C:$C,Cert_App_Output!$A:$A)</f>
        <v>GDR 3760</v>
      </c>
      <c r="E18" t="s">
        <v>4930</v>
      </c>
      <c r="F18">
        <f>_xlfn.XLOOKUP(A18,Cert_App_Output!$C:$C,Cert_App_Output!$D:$D)</f>
        <v>45900</v>
      </c>
      <c r="G18">
        <f>SUMIFS(Cert_App_Output!$J:$J,Cert_App_Output!$C:$C,$A18)</f>
        <v>55865245.932653844</v>
      </c>
      <c r="H18" s="213">
        <v>0.3</v>
      </c>
      <c r="I18">
        <f t="shared" si="0"/>
        <v>16759573.779796153</v>
      </c>
      <c r="J18">
        <f>_xlfn.XLOOKUP($A18,Cert_Cabecera!$A:$A,Cert_Cabecera!$E:$E)</f>
        <v>0.4</v>
      </c>
      <c r="K18">
        <f t="shared" si="1"/>
        <v>-6703829.5119184619</v>
      </c>
      <c r="L18">
        <f t="shared" si="2"/>
        <v>10055744.26787769</v>
      </c>
      <c r="M18">
        <f>_xlfn.XLOOKUP($E18,Cert_OC_Cliente!$B:$B,Cert_OC_Cliente!$G:$G)</f>
        <v>15356.4</v>
      </c>
      <c r="N18">
        <f>IF($Y18="",_xlfn.XLOOKUP(DATE(YEAR(F18),MONTH(F18),1),'0_Indice_CAC'!$A:$A,'0_Indice_CAC'!$B:$B),$Y18)</f>
        <v>17187.599999999999</v>
      </c>
      <c r="O18">
        <f t="shared" si="3"/>
        <v>1.1192466984449481</v>
      </c>
      <c r="P18">
        <f t="shared" si="4"/>
        <v>1199114.3043511261</v>
      </c>
      <c r="Q18">
        <f t="shared" si="5"/>
        <v>11254858.572228817</v>
      </c>
      <c r="R18" s="213">
        <v>0</v>
      </c>
      <c r="S18">
        <f t="shared" si="6"/>
        <v>0</v>
      </c>
      <c r="T18">
        <f t="shared" si="7"/>
        <v>11254858.572228817</v>
      </c>
      <c r="U18">
        <v>1170</v>
      </c>
      <c r="V18">
        <f t="shared" si="8"/>
        <v>9619.5372412212109</v>
      </c>
      <c r="X18" t="str">
        <f t="shared" si="9"/>
        <v>✓</v>
      </c>
    </row>
    <row r="19" spans="1:24" x14ac:dyDescent="0.35">
      <c r="A19" t="s">
        <v>4951</v>
      </c>
      <c r="B19" t="s">
        <v>5016</v>
      </c>
      <c r="C19" t="s">
        <v>4998</v>
      </c>
      <c r="D19" t="str">
        <f>_xlfn.XLOOKUP(A19,Cert_App_Output!$C:$C,Cert_App_Output!$A:$A)</f>
        <v>GDR 3760</v>
      </c>
      <c r="E19" t="s">
        <v>4930</v>
      </c>
      <c r="F19">
        <f>_xlfn.XLOOKUP(A19,Cert_App_Output!$C:$C,Cert_App_Output!$D:$D)</f>
        <v>45930</v>
      </c>
      <c r="G19">
        <f>SUMIFS(Cert_App_Output!$J:$J,Cert_App_Output!$C:$C,$A19)</f>
        <v>33864200.008295514</v>
      </c>
      <c r="H19" s="213">
        <v>0.7</v>
      </c>
      <c r="I19">
        <f t="shared" si="0"/>
        <v>23704940.00580686</v>
      </c>
      <c r="J19">
        <f>_xlfn.XLOOKUP($A19,Cert_Cabecera!$A:$A,Cert_Cabecera!$E:$E)</f>
        <v>0.4</v>
      </c>
      <c r="K19">
        <f t="shared" si="1"/>
        <v>-9481976.0023227446</v>
      </c>
      <c r="L19">
        <f t="shared" si="2"/>
        <v>14222964.003484115</v>
      </c>
      <c r="M19">
        <f>_xlfn.XLOOKUP($E19,Cert_OC_Cliente!$B:$B,Cert_OC_Cliente!$G:$G)</f>
        <v>15356.4</v>
      </c>
      <c r="N19">
        <f>IF($Y19="",_xlfn.XLOOKUP(DATE(YEAR(F19),MONTH(F19),1),'0_Indice_CAC'!$A:$A,'0_Indice_CAC'!$B:$B),$Y19)</f>
        <v>17762.3</v>
      </c>
      <c r="O19">
        <f t="shared" si="3"/>
        <v>1.1566708343101249</v>
      </c>
      <c r="P19">
        <f t="shared" si="4"/>
        <v>2228323.6367887296</v>
      </c>
      <c r="Q19">
        <f t="shared" si="5"/>
        <v>16451287.640272845</v>
      </c>
      <c r="R19" s="213">
        <v>0.21</v>
      </c>
      <c r="S19">
        <f t="shared" si="6"/>
        <v>3454770.4044572972</v>
      </c>
      <c r="T19">
        <f t="shared" si="7"/>
        <v>19906058.044730142</v>
      </c>
      <c r="U19">
        <v>1170</v>
      </c>
      <c r="V19" t="str">
        <f t="shared" si="8"/>
        <v/>
      </c>
      <c r="X19" t="str">
        <f t="shared" si="9"/>
        <v>✓</v>
      </c>
    </row>
    <row r="20" spans="1:24" x14ac:dyDescent="0.35">
      <c r="A20" t="s">
        <v>4951</v>
      </c>
      <c r="B20" t="s">
        <v>5017</v>
      </c>
      <c r="C20" t="s">
        <v>5000</v>
      </c>
      <c r="D20" t="str">
        <f>_xlfn.XLOOKUP(A20,Cert_App_Output!$C:$C,Cert_App_Output!$A:$A)</f>
        <v>GDR 3760</v>
      </c>
      <c r="E20" t="s">
        <v>4930</v>
      </c>
      <c r="F20">
        <f>_xlfn.XLOOKUP(A20,Cert_App_Output!$C:$C,Cert_App_Output!$D:$D)</f>
        <v>45930</v>
      </c>
      <c r="G20">
        <f>SUMIFS(Cert_App_Output!$J:$J,Cert_App_Output!$C:$C,$A20)</f>
        <v>33864200.008295514</v>
      </c>
      <c r="H20" s="213">
        <v>0.3</v>
      </c>
      <c r="I20">
        <f t="shared" si="0"/>
        <v>10159260.002488654</v>
      </c>
      <c r="J20">
        <f>_xlfn.XLOOKUP($A20,Cert_Cabecera!$A:$A,Cert_Cabecera!$E:$E)</f>
        <v>0.4</v>
      </c>
      <c r="K20">
        <f t="shared" si="1"/>
        <v>-4063704.0009954618</v>
      </c>
      <c r="L20">
        <f t="shared" si="2"/>
        <v>6095556.0014931923</v>
      </c>
      <c r="M20">
        <f>_xlfn.XLOOKUP($E20,Cert_OC_Cliente!$B:$B,Cert_OC_Cliente!$G:$G)</f>
        <v>15356.4</v>
      </c>
      <c r="N20">
        <f>IF($Y20="",_xlfn.XLOOKUP(DATE(YEAR(F20),MONTH(F20),1),'0_Indice_CAC'!$A:$A,'0_Indice_CAC'!$B:$B),$Y20)</f>
        <v>17762.3</v>
      </c>
      <c r="O20">
        <f t="shared" si="3"/>
        <v>1.1566708343101249</v>
      </c>
      <c r="P20">
        <f t="shared" si="4"/>
        <v>954995.84433802706</v>
      </c>
      <c r="Q20">
        <f t="shared" si="5"/>
        <v>7050551.8458312191</v>
      </c>
      <c r="R20" s="213">
        <v>0</v>
      </c>
      <c r="S20">
        <f t="shared" si="6"/>
        <v>0</v>
      </c>
      <c r="T20">
        <f t="shared" si="7"/>
        <v>7050551.8458312191</v>
      </c>
      <c r="U20">
        <v>1170</v>
      </c>
      <c r="V20">
        <f t="shared" si="8"/>
        <v>6026.1126887446317</v>
      </c>
      <c r="X20" t="str">
        <f t="shared" si="9"/>
        <v>✓</v>
      </c>
    </row>
    <row r="21" spans="1:24" x14ac:dyDescent="0.35">
      <c r="A21" t="s">
        <v>4952</v>
      </c>
      <c r="B21" t="s">
        <v>5018</v>
      </c>
      <c r="C21" t="s">
        <v>4998</v>
      </c>
      <c r="D21" t="str">
        <f>_xlfn.XLOOKUP(A21,Cert_App_Output!$C:$C,Cert_App_Output!$A:$A)</f>
        <v>GDR 3760</v>
      </c>
      <c r="E21" t="s">
        <v>4930</v>
      </c>
      <c r="F21">
        <f>_xlfn.XLOOKUP(A21,Cert_App_Output!$C:$C,Cert_App_Output!$D:$D)</f>
        <v>45958</v>
      </c>
      <c r="G21">
        <f>SUMIFS(Cert_App_Output!$J:$J,Cert_App_Output!$C:$C,$A21)</f>
        <v>25319767.009852514</v>
      </c>
      <c r="H21" s="213">
        <v>0.7</v>
      </c>
      <c r="I21">
        <f t="shared" si="0"/>
        <v>17723836.906896759</v>
      </c>
      <c r="J21">
        <f>_xlfn.XLOOKUP($A21,Cert_Cabecera!$A:$A,Cert_Cabecera!$E:$E)</f>
        <v>0.4</v>
      </c>
      <c r="K21">
        <f t="shared" si="1"/>
        <v>-7089534.7627587039</v>
      </c>
      <c r="L21">
        <f t="shared" si="2"/>
        <v>10634302.144138055</v>
      </c>
      <c r="M21">
        <f>_xlfn.XLOOKUP($E21,Cert_OC_Cliente!$B:$B,Cert_OC_Cliente!$G:$G)</f>
        <v>15356.4</v>
      </c>
      <c r="N21">
        <f>IF($Y21="",_xlfn.XLOOKUP(DATE(YEAR(F21),MONTH(F21),1),'0_Indice_CAC'!$A:$A,'0_Indice_CAC'!$B:$B),$Y21)</f>
        <v>18172.8</v>
      </c>
      <c r="O21">
        <f t="shared" si="3"/>
        <v>1.183402359928108</v>
      </c>
      <c r="P21">
        <f t="shared" si="4"/>
        <v>1950356.1094234588</v>
      </c>
      <c r="Q21">
        <f t="shared" si="5"/>
        <v>12584658.253561513</v>
      </c>
      <c r="R21" s="213">
        <v>0.21</v>
      </c>
      <c r="S21">
        <f t="shared" si="6"/>
        <v>2642778.2332479176</v>
      </c>
      <c r="T21">
        <f t="shared" si="7"/>
        <v>15227436.486809431</v>
      </c>
      <c r="U21">
        <v>1170</v>
      </c>
      <c r="V21" t="str">
        <f t="shared" si="8"/>
        <v/>
      </c>
      <c r="X21" t="str">
        <f t="shared" si="9"/>
        <v>✓</v>
      </c>
    </row>
    <row r="22" spans="1:24" x14ac:dyDescent="0.35">
      <c r="A22" t="s">
        <v>4952</v>
      </c>
      <c r="B22" t="s">
        <v>5019</v>
      </c>
      <c r="C22" t="s">
        <v>5000</v>
      </c>
      <c r="D22" t="str">
        <f>_xlfn.XLOOKUP(A22,Cert_App_Output!$C:$C,Cert_App_Output!$A:$A)</f>
        <v>GDR 3760</v>
      </c>
      <c r="E22" t="s">
        <v>4930</v>
      </c>
      <c r="F22">
        <f>_xlfn.XLOOKUP(A22,Cert_App_Output!$C:$C,Cert_App_Output!$D:$D)</f>
        <v>45958</v>
      </c>
      <c r="G22">
        <f>SUMIFS(Cert_App_Output!$J:$J,Cert_App_Output!$C:$C,$A22)</f>
        <v>25319767.009852514</v>
      </c>
      <c r="H22" s="213">
        <v>0.3</v>
      </c>
      <c r="I22">
        <f t="shared" si="0"/>
        <v>7595930.1029557539</v>
      </c>
      <c r="J22">
        <f>_xlfn.XLOOKUP($A22,Cert_Cabecera!$A:$A,Cert_Cabecera!$E:$E)</f>
        <v>0.4</v>
      </c>
      <c r="K22">
        <f t="shared" si="1"/>
        <v>-3038372.0411823019</v>
      </c>
      <c r="L22">
        <f t="shared" si="2"/>
        <v>4557558.061773452</v>
      </c>
      <c r="M22">
        <f>_xlfn.XLOOKUP($E22,Cert_OC_Cliente!$B:$B,Cert_OC_Cliente!$G:$G)</f>
        <v>15356.4</v>
      </c>
      <c r="N22">
        <f>IF($Y22="",_xlfn.XLOOKUP(DATE(YEAR(F22),MONTH(F22),1),'0_Indice_CAC'!$A:$A,'0_Indice_CAC'!$B:$B),$Y22)</f>
        <v>18172.8</v>
      </c>
      <c r="O22">
        <f t="shared" si="3"/>
        <v>1.183402359928108</v>
      </c>
      <c r="P22">
        <f t="shared" si="4"/>
        <v>835866.90403862519</v>
      </c>
      <c r="Q22">
        <f t="shared" si="5"/>
        <v>5393424.9658120768</v>
      </c>
      <c r="R22" s="213">
        <v>0</v>
      </c>
      <c r="S22">
        <f t="shared" si="6"/>
        <v>0</v>
      </c>
      <c r="T22">
        <f t="shared" si="7"/>
        <v>5393424.9658120768</v>
      </c>
      <c r="U22">
        <v>1170</v>
      </c>
      <c r="V22">
        <f t="shared" si="8"/>
        <v>4609.7649280445103</v>
      </c>
      <c r="X22" t="str">
        <f t="shared" si="9"/>
        <v>✓</v>
      </c>
    </row>
    <row r="23" spans="1:24" x14ac:dyDescent="0.35">
      <c r="A23" t="s">
        <v>4953</v>
      </c>
      <c r="B23" t="s">
        <v>5020</v>
      </c>
      <c r="C23" t="s">
        <v>4998</v>
      </c>
      <c r="D23" t="str">
        <f>_xlfn.XLOOKUP(A23,Cert_App_Output!$C:$C,Cert_App_Output!$A:$A)</f>
        <v>GDR 3760</v>
      </c>
      <c r="E23" t="s">
        <v>4930</v>
      </c>
      <c r="F23">
        <f>_xlfn.XLOOKUP(A23,Cert_App_Output!$C:$C,Cert_App_Output!$D:$D)</f>
        <v>45988</v>
      </c>
      <c r="G23">
        <f>SUMIFS(Cert_App_Output!$J:$J,Cert_App_Output!$C:$C,$A23)</f>
        <v>130895823.76475386</v>
      </c>
      <c r="H23" s="213">
        <v>0.7</v>
      </c>
      <c r="I23">
        <f t="shared" si="0"/>
        <v>91627076.635327697</v>
      </c>
      <c r="J23">
        <f>_xlfn.XLOOKUP($A23,Cert_Cabecera!$A:$A,Cert_Cabecera!$E:$E)</f>
        <v>0.4</v>
      </c>
      <c r="K23">
        <f t="shared" si="1"/>
        <v>-36650830.654131077</v>
      </c>
      <c r="L23">
        <f t="shared" si="2"/>
        <v>54976245.98119662</v>
      </c>
      <c r="M23">
        <f>_xlfn.XLOOKUP($E23,Cert_OC_Cliente!$B:$B,Cert_OC_Cliente!$G:$G)</f>
        <v>15356.4</v>
      </c>
      <c r="N23">
        <f>IF($Y23="",_xlfn.XLOOKUP(DATE(YEAR(F23),MONTH(F23),1),'0_Indice_CAC'!$A:$A,'0_Indice_CAC'!$B:$B),$Y23)</f>
        <v>18534.900000000001</v>
      </c>
      <c r="O23">
        <f t="shared" si="3"/>
        <v>1.206982105180902</v>
      </c>
      <c r="P23">
        <f t="shared" si="4"/>
        <v>11379099.128131179</v>
      </c>
      <c r="Q23">
        <f t="shared" si="5"/>
        <v>66355345.109327801</v>
      </c>
      <c r="R23" s="213">
        <v>0.21</v>
      </c>
      <c r="S23">
        <f t="shared" si="6"/>
        <v>13934622.472958837</v>
      </c>
      <c r="T23">
        <f t="shared" si="7"/>
        <v>80289967.582286641</v>
      </c>
      <c r="U23">
        <v>1170</v>
      </c>
      <c r="V23" t="str">
        <f t="shared" si="8"/>
        <v/>
      </c>
      <c r="X23" t="str">
        <f t="shared" si="9"/>
        <v>✓</v>
      </c>
    </row>
    <row r="24" spans="1:24" x14ac:dyDescent="0.35">
      <c r="A24" t="s">
        <v>4953</v>
      </c>
      <c r="B24" t="s">
        <v>5021</v>
      </c>
      <c r="C24" t="s">
        <v>5000</v>
      </c>
      <c r="D24" t="str">
        <f>_xlfn.XLOOKUP(A24,Cert_App_Output!$C:$C,Cert_App_Output!$A:$A)</f>
        <v>GDR 3760</v>
      </c>
      <c r="E24" t="s">
        <v>4930</v>
      </c>
      <c r="F24">
        <f>_xlfn.XLOOKUP(A24,Cert_App_Output!$C:$C,Cert_App_Output!$D:$D)</f>
        <v>45988</v>
      </c>
      <c r="G24">
        <f>SUMIFS(Cert_App_Output!$J:$J,Cert_App_Output!$C:$C,$A24)</f>
        <v>130895823.76475386</v>
      </c>
      <c r="H24" s="213">
        <v>0.3</v>
      </c>
      <c r="I24">
        <f t="shared" si="0"/>
        <v>39268747.129426159</v>
      </c>
      <c r="J24">
        <f>_xlfn.XLOOKUP($A24,Cert_Cabecera!$A:$A,Cert_Cabecera!$E:$E)</f>
        <v>0.4</v>
      </c>
      <c r="K24">
        <f t="shared" si="1"/>
        <v>-15707498.851770464</v>
      </c>
      <c r="L24">
        <f t="shared" si="2"/>
        <v>23561248.277655695</v>
      </c>
      <c r="M24">
        <f>_xlfn.XLOOKUP($E24,Cert_OC_Cliente!$B:$B,Cert_OC_Cliente!$G:$G)</f>
        <v>15356.4</v>
      </c>
      <c r="N24">
        <f>IF($Y24="",_xlfn.XLOOKUP(DATE(YEAR(F24),MONTH(F24),1),'0_Indice_CAC'!$A:$A,'0_Indice_CAC'!$B:$B),$Y24)</f>
        <v>18534.900000000001</v>
      </c>
      <c r="O24">
        <f t="shared" si="3"/>
        <v>1.206982105180902</v>
      </c>
      <c r="P24">
        <f t="shared" si="4"/>
        <v>4876756.769199077</v>
      </c>
      <c r="Q24">
        <f t="shared" si="5"/>
        <v>28438005.046854772</v>
      </c>
      <c r="R24" s="213">
        <v>0</v>
      </c>
      <c r="S24">
        <f t="shared" si="6"/>
        <v>0</v>
      </c>
      <c r="T24">
        <f t="shared" si="7"/>
        <v>28438005.046854772</v>
      </c>
      <c r="U24">
        <v>1170</v>
      </c>
      <c r="V24">
        <f t="shared" si="8"/>
        <v>24305.987219533992</v>
      </c>
      <c r="X24" t="str">
        <f t="shared" si="9"/>
        <v>✓</v>
      </c>
    </row>
    <row r="25" spans="1:24" x14ac:dyDescent="0.35">
      <c r="A25" t="s">
        <v>4954</v>
      </c>
      <c r="B25" t="s">
        <v>5022</v>
      </c>
      <c r="C25" t="s">
        <v>4998</v>
      </c>
      <c r="D25" t="str">
        <f>_xlfn.XLOOKUP(A25,Cert_App_Output!$C:$C,Cert_App_Output!$A:$A)</f>
        <v>GDR 3760</v>
      </c>
      <c r="E25" t="s">
        <v>4932</v>
      </c>
      <c r="F25">
        <f>_xlfn.XLOOKUP(A25,Cert_App_Output!$C:$C,Cert_App_Output!$D:$D)</f>
        <v>45747</v>
      </c>
      <c r="G25">
        <f>SUMIFS(Cert_App_Output!$J:$J,Cert_App_Output!$C:$C,$A25)</f>
        <v>8903107.1325656474</v>
      </c>
      <c r="H25" s="213">
        <v>0.7</v>
      </c>
      <c r="I25">
        <f t="shared" si="0"/>
        <v>6232174.9927959526</v>
      </c>
      <c r="J25">
        <f>_xlfn.XLOOKUP($A25,Cert_Cabecera!$A:$A,Cert_Cabecera!$E:$E)</f>
        <v>0.1</v>
      </c>
      <c r="K25">
        <f t="shared" si="1"/>
        <v>-623217.49927959533</v>
      </c>
      <c r="L25">
        <f t="shared" si="2"/>
        <v>5608957.4935163576</v>
      </c>
      <c r="M25">
        <f>_xlfn.XLOOKUP($E25,Cert_OC_Cliente!$B:$B,Cert_OC_Cliente!$G:$G)</f>
        <v>15356.4</v>
      </c>
      <c r="N25">
        <f>IF($Y25="",_xlfn.XLOOKUP(DATE(YEAR(F25),MONTH(F25),1),'0_Indice_CAC'!$A:$A,'0_Indice_CAC'!$B:$B),$Y25)</f>
        <v>15995.4</v>
      </c>
      <c r="O25">
        <f t="shared" si="3"/>
        <v>1.0416113151519888</v>
      </c>
      <c r="P25">
        <f t="shared" si="4"/>
        <v>233396.09793681829</v>
      </c>
      <c r="Q25">
        <f t="shared" si="5"/>
        <v>5842353.591453176</v>
      </c>
      <c r="R25" s="213">
        <v>0.21</v>
      </c>
      <c r="S25">
        <f t="shared" si="6"/>
        <v>1226894.2542051668</v>
      </c>
      <c r="T25">
        <f t="shared" si="7"/>
        <v>7069247.8456583433</v>
      </c>
      <c r="U25">
        <v>1170</v>
      </c>
      <c r="V25" t="str">
        <f t="shared" si="8"/>
        <v/>
      </c>
      <c r="X25" t="str">
        <f t="shared" si="9"/>
        <v>✓</v>
      </c>
    </row>
    <row r="26" spans="1:24" x14ac:dyDescent="0.35">
      <c r="A26" t="s">
        <v>4954</v>
      </c>
      <c r="B26" t="s">
        <v>5023</v>
      </c>
      <c r="C26" t="s">
        <v>5000</v>
      </c>
      <c r="D26" t="str">
        <f>_xlfn.XLOOKUP(A26,Cert_App_Output!$C:$C,Cert_App_Output!$A:$A)</f>
        <v>GDR 3760</v>
      </c>
      <c r="E26" t="s">
        <v>4932</v>
      </c>
      <c r="F26">
        <f>_xlfn.XLOOKUP(A26,Cert_App_Output!$C:$C,Cert_App_Output!$D:$D)</f>
        <v>45747</v>
      </c>
      <c r="G26">
        <f>SUMIFS(Cert_App_Output!$J:$J,Cert_App_Output!$C:$C,$A26)</f>
        <v>8903107.1325656474</v>
      </c>
      <c r="H26" s="213">
        <v>0.3</v>
      </c>
      <c r="I26">
        <f t="shared" si="0"/>
        <v>2670932.1397696943</v>
      </c>
      <c r="J26">
        <f>_xlfn.XLOOKUP($A26,Cert_Cabecera!$A:$A,Cert_Cabecera!$E:$E)</f>
        <v>0.1</v>
      </c>
      <c r="K26">
        <f t="shared" si="1"/>
        <v>-267093.21397696942</v>
      </c>
      <c r="L26">
        <f t="shared" si="2"/>
        <v>2403838.9257927248</v>
      </c>
      <c r="M26">
        <f>_xlfn.XLOOKUP($E26,Cert_OC_Cliente!$B:$B,Cert_OC_Cliente!$G:$G)</f>
        <v>15356.4</v>
      </c>
      <c r="N26">
        <f>IF($Y26="",_xlfn.XLOOKUP(DATE(YEAR(F26),MONTH(F26),1),'0_Indice_CAC'!$A:$A,'0_Indice_CAC'!$B:$B),$Y26)</f>
        <v>15995.4</v>
      </c>
      <c r="O26">
        <f t="shared" si="3"/>
        <v>1.0416113151519888</v>
      </c>
      <c r="P26">
        <f t="shared" si="4"/>
        <v>100026.89911577928</v>
      </c>
      <c r="Q26">
        <f t="shared" si="5"/>
        <v>2503865.8249085043</v>
      </c>
      <c r="R26" s="213">
        <v>0</v>
      </c>
      <c r="S26">
        <f t="shared" si="6"/>
        <v>0</v>
      </c>
      <c r="T26">
        <f t="shared" si="7"/>
        <v>2503865.8249085043</v>
      </c>
      <c r="U26">
        <v>1170</v>
      </c>
      <c r="V26">
        <f t="shared" si="8"/>
        <v>2140.0562606055591</v>
      </c>
      <c r="X26" t="str">
        <f t="shared" si="9"/>
        <v>✓</v>
      </c>
    </row>
    <row r="27" spans="1:24" x14ac:dyDescent="0.35">
      <c r="A27" t="s">
        <v>4955</v>
      </c>
      <c r="B27" t="s">
        <v>5024</v>
      </c>
      <c r="C27" t="s">
        <v>4998</v>
      </c>
      <c r="D27" t="str">
        <f>_xlfn.XLOOKUP(A27,Cert_App_Output!$C:$C,Cert_App_Output!$A:$A)</f>
        <v>GDR 3760</v>
      </c>
      <c r="E27" t="s">
        <v>4932</v>
      </c>
      <c r="F27">
        <f>_xlfn.XLOOKUP(A27,Cert_App_Output!$C:$C,Cert_App_Output!$D:$D)</f>
        <v>45777</v>
      </c>
      <c r="G27">
        <f>SUMIFS(Cert_App_Output!$J:$J,Cert_App_Output!$C:$C,$A27)</f>
        <v>8725802.5467286035</v>
      </c>
      <c r="H27" s="213">
        <v>0.7</v>
      </c>
      <c r="I27">
        <f t="shared" si="0"/>
        <v>6108061.7827100223</v>
      </c>
      <c r="J27">
        <f>_xlfn.XLOOKUP($A27,Cert_Cabecera!$A:$A,Cert_Cabecera!$E:$E)</f>
        <v>0.1</v>
      </c>
      <c r="K27">
        <f t="shared" si="1"/>
        <v>-610806.17827100225</v>
      </c>
      <c r="L27">
        <f t="shared" si="2"/>
        <v>5497255.6044390202</v>
      </c>
      <c r="M27">
        <f>_xlfn.XLOOKUP($E27,Cert_OC_Cliente!$B:$B,Cert_OC_Cliente!$G:$G)</f>
        <v>15356.4</v>
      </c>
      <c r="N27">
        <f>IF($Y27="",_xlfn.XLOOKUP(DATE(YEAR(F27),MONTH(F27),1),'0_Indice_CAC'!$A:$A,'0_Indice_CAC'!$B:$B),$Y27)</f>
        <v>16253.5</v>
      </c>
      <c r="O27">
        <f t="shared" si="3"/>
        <v>1.0584186397853663</v>
      </c>
      <c r="P27">
        <f t="shared" si="4"/>
        <v>321142.19496380934</v>
      </c>
      <c r="Q27">
        <f t="shared" si="5"/>
        <v>5818397.7994028293</v>
      </c>
      <c r="R27" s="213">
        <v>0.21</v>
      </c>
      <c r="S27">
        <f t="shared" si="6"/>
        <v>1221863.5378745941</v>
      </c>
      <c r="T27">
        <f t="shared" si="7"/>
        <v>7040261.3372774236</v>
      </c>
      <c r="U27">
        <v>1170</v>
      </c>
      <c r="V27" t="str">
        <f t="shared" si="8"/>
        <v/>
      </c>
      <c r="X27" t="str">
        <f t="shared" si="9"/>
        <v>✓</v>
      </c>
    </row>
    <row r="28" spans="1:24" x14ac:dyDescent="0.35">
      <c r="A28" t="s">
        <v>4955</v>
      </c>
      <c r="B28" t="s">
        <v>5025</v>
      </c>
      <c r="C28" t="s">
        <v>5000</v>
      </c>
      <c r="D28" t="str">
        <f>_xlfn.XLOOKUP(A28,Cert_App_Output!$C:$C,Cert_App_Output!$A:$A)</f>
        <v>GDR 3760</v>
      </c>
      <c r="E28" t="s">
        <v>4932</v>
      </c>
      <c r="F28">
        <f>_xlfn.XLOOKUP(A28,Cert_App_Output!$C:$C,Cert_App_Output!$D:$D)</f>
        <v>45777</v>
      </c>
      <c r="G28">
        <f>SUMIFS(Cert_App_Output!$J:$J,Cert_App_Output!$C:$C,$A28)</f>
        <v>8725802.5467286035</v>
      </c>
      <c r="H28" s="213">
        <v>0.3</v>
      </c>
      <c r="I28">
        <f t="shared" si="0"/>
        <v>2617740.7640185808</v>
      </c>
      <c r="J28">
        <f>_xlfn.XLOOKUP($A28,Cert_Cabecera!$A:$A,Cert_Cabecera!$E:$E)</f>
        <v>0.1</v>
      </c>
      <c r="K28">
        <f t="shared" si="1"/>
        <v>-261774.0764018581</v>
      </c>
      <c r="L28">
        <f t="shared" si="2"/>
        <v>2355966.6876167227</v>
      </c>
      <c r="M28">
        <f>_xlfn.XLOOKUP($E28,Cert_OC_Cliente!$B:$B,Cert_OC_Cliente!$G:$G)</f>
        <v>15356.4</v>
      </c>
      <c r="N28">
        <f>IF($Y28="",_xlfn.XLOOKUP(DATE(YEAR(F28),MONTH(F28),1),'0_Indice_CAC'!$A:$A,'0_Indice_CAC'!$B:$B),$Y28)</f>
        <v>16253.5</v>
      </c>
      <c r="O28">
        <f t="shared" si="3"/>
        <v>1.0584186397853663</v>
      </c>
      <c r="P28">
        <f t="shared" si="4"/>
        <v>137632.36927020398</v>
      </c>
      <c r="Q28">
        <f t="shared" si="5"/>
        <v>2493599.0568869268</v>
      </c>
      <c r="R28" s="213">
        <v>0</v>
      </c>
      <c r="S28">
        <f t="shared" si="6"/>
        <v>0</v>
      </c>
      <c r="T28">
        <f t="shared" si="7"/>
        <v>2493599.0568869268</v>
      </c>
      <c r="U28">
        <v>1170</v>
      </c>
      <c r="V28">
        <f t="shared" si="8"/>
        <v>2131.2812452025014</v>
      </c>
      <c r="X28" t="str">
        <f t="shared" si="9"/>
        <v>✓</v>
      </c>
    </row>
    <row r="29" spans="1:24" x14ac:dyDescent="0.35">
      <c r="A29" t="s">
        <v>4956</v>
      </c>
      <c r="B29" t="s">
        <v>5026</v>
      </c>
      <c r="C29" t="s">
        <v>4998</v>
      </c>
      <c r="D29" t="str">
        <f>_xlfn.XLOOKUP(A29,Cert_App_Output!$C:$C,Cert_App_Output!$A:$A)</f>
        <v>GDR 3760</v>
      </c>
      <c r="E29" t="s">
        <v>4932</v>
      </c>
      <c r="F29">
        <f>_xlfn.XLOOKUP(A29,Cert_App_Output!$C:$C,Cert_App_Output!$D:$D)</f>
        <v>45808</v>
      </c>
      <c r="G29">
        <f>SUMIFS(Cert_App_Output!$J:$J,Cert_App_Output!$C:$C,$A29)</f>
        <v>9959214.2030445151</v>
      </c>
      <c r="H29" s="213">
        <v>0.7</v>
      </c>
      <c r="I29">
        <f t="shared" si="0"/>
        <v>6971449.9421311598</v>
      </c>
      <c r="J29">
        <f>_xlfn.XLOOKUP($A29,Cert_Cabecera!$A:$A,Cert_Cabecera!$E:$E)</f>
        <v>0.1</v>
      </c>
      <c r="K29">
        <f t="shared" si="1"/>
        <v>-697144.99421311601</v>
      </c>
      <c r="L29">
        <f t="shared" si="2"/>
        <v>6274304.9479180435</v>
      </c>
      <c r="M29">
        <f>_xlfn.XLOOKUP($E29,Cert_OC_Cliente!$B:$B,Cert_OC_Cliente!$G:$G)</f>
        <v>15356.4</v>
      </c>
      <c r="N29">
        <f>IF($Y29="",_xlfn.XLOOKUP(DATE(YEAR(F29),MONTH(F29),1),'0_Indice_CAC'!$A:$A,'0_Indice_CAC'!$B:$B),$Y29)</f>
        <v>16521.3</v>
      </c>
      <c r="O29">
        <f t="shared" si="3"/>
        <v>1.0758576228803625</v>
      </c>
      <c r="P29">
        <f t="shared" si="4"/>
        <v>475953.85857555916</v>
      </c>
      <c r="Q29">
        <f t="shared" si="5"/>
        <v>6750258.8064936027</v>
      </c>
      <c r="R29" s="213">
        <v>0.21</v>
      </c>
      <c r="S29">
        <f t="shared" si="6"/>
        <v>1417554.3493636565</v>
      </c>
      <c r="T29">
        <f t="shared" si="7"/>
        <v>8167813.1558572594</v>
      </c>
      <c r="U29">
        <v>1170</v>
      </c>
      <c r="V29" t="str">
        <f t="shared" si="8"/>
        <v/>
      </c>
      <c r="X29" t="str">
        <f t="shared" si="9"/>
        <v>✓</v>
      </c>
    </row>
    <row r="30" spans="1:24" x14ac:dyDescent="0.35">
      <c r="A30" t="s">
        <v>4956</v>
      </c>
      <c r="B30" t="s">
        <v>5027</v>
      </c>
      <c r="C30" t="s">
        <v>5000</v>
      </c>
      <c r="D30" t="str">
        <f>_xlfn.XLOOKUP(A30,Cert_App_Output!$C:$C,Cert_App_Output!$A:$A)</f>
        <v>GDR 3760</v>
      </c>
      <c r="E30" t="s">
        <v>4932</v>
      </c>
      <c r="F30">
        <f>_xlfn.XLOOKUP(A30,Cert_App_Output!$C:$C,Cert_App_Output!$D:$D)</f>
        <v>45808</v>
      </c>
      <c r="G30">
        <f>SUMIFS(Cert_App_Output!$J:$J,Cert_App_Output!$C:$C,$A30)</f>
        <v>9959214.2030445151</v>
      </c>
      <c r="H30" s="213">
        <v>0.3</v>
      </c>
      <c r="I30">
        <f t="shared" si="0"/>
        <v>2987764.2609133543</v>
      </c>
      <c r="J30">
        <f>_xlfn.XLOOKUP($A30,Cert_Cabecera!$A:$A,Cert_Cabecera!$E:$E)</f>
        <v>0.1</v>
      </c>
      <c r="K30">
        <f t="shared" si="1"/>
        <v>-298776.42609133542</v>
      </c>
      <c r="L30">
        <f t="shared" si="2"/>
        <v>2688987.8348220191</v>
      </c>
      <c r="M30">
        <f>_xlfn.XLOOKUP($E30,Cert_OC_Cliente!$B:$B,Cert_OC_Cliente!$G:$G)</f>
        <v>15356.4</v>
      </c>
      <c r="N30">
        <f>IF($Y30="",_xlfn.XLOOKUP(DATE(YEAR(F30),MONTH(F30),1),'0_Indice_CAC'!$A:$A,'0_Indice_CAC'!$B:$B),$Y30)</f>
        <v>16521.3</v>
      </c>
      <c r="O30">
        <f t="shared" si="3"/>
        <v>1.0758576228803625</v>
      </c>
      <c r="P30">
        <f t="shared" si="4"/>
        <v>203980.22510381113</v>
      </c>
      <c r="Q30">
        <f t="shared" si="5"/>
        <v>2892968.05992583</v>
      </c>
      <c r="R30" s="213">
        <v>0</v>
      </c>
      <c r="S30">
        <f t="shared" si="6"/>
        <v>0</v>
      </c>
      <c r="T30">
        <f t="shared" si="7"/>
        <v>2892968.05992583</v>
      </c>
      <c r="U30">
        <v>1170</v>
      </c>
      <c r="V30">
        <f t="shared" si="8"/>
        <v>2472.6222734408802</v>
      </c>
      <c r="X30" t="str">
        <f t="shared" si="9"/>
        <v>✓</v>
      </c>
    </row>
    <row r="31" spans="1:24" x14ac:dyDescent="0.35">
      <c r="A31" t="s">
        <v>4957</v>
      </c>
      <c r="B31" t="s">
        <v>5028</v>
      </c>
      <c r="C31" t="s">
        <v>4998</v>
      </c>
      <c r="D31" t="str">
        <f>_xlfn.XLOOKUP(A31,Cert_App_Output!$C:$C,Cert_App_Output!$A:$A)</f>
        <v>GDR 3760</v>
      </c>
      <c r="E31" t="s">
        <v>4932</v>
      </c>
      <c r="F31">
        <f>_xlfn.XLOOKUP(A31,Cert_App_Output!$C:$C,Cert_App_Output!$D:$D)</f>
        <v>45838</v>
      </c>
      <c r="G31">
        <f>SUMIFS(Cert_App_Output!$J:$J,Cert_App_Output!$C:$C,$A31)</f>
        <v>9157088.0567965303</v>
      </c>
      <c r="H31" s="213">
        <v>0.7</v>
      </c>
      <c r="I31">
        <f t="shared" si="0"/>
        <v>6409961.6397575708</v>
      </c>
      <c r="J31">
        <f>_xlfn.XLOOKUP($A31,Cert_Cabecera!$A:$A,Cert_Cabecera!$E:$E)</f>
        <v>0.1</v>
      </c>
      <c r="K31">
        <f t="shared" si="1"/>
        <v>-640996.16397575708</v>
      </c>
      <c r="L31">
        <f t="shared" si="2"/>
        <v>5768965.4757818133</v>
      </c>
      <c r="M31">
        <f>_xlfn.XLOOKUP($E31,Cert_OC_Cliente!$B:$B,Cert_OC_Cliente!$G:$G)</f>
        <v>15356.4</v>
      </c>
      <c r="N31">
        <f>IF($Y31="",_xlfn.XLOOKUP(DATE(YEAR(F31),MONTH(F31),1),'0_Indice_CAC'!$A:$A,'0_Indice_CAC'!$B:$B),$Y31)</f>
        <v>16643.400000000001</v>
      </c>
      <c r="O31">
        <f t="shared" si="3"/>
        <v>1.0838087051652732</v>
      </c>
      <c r="P31">
        <f t="shared" si="4"/>
        <v>483489.52666843781</v>
      </c>
      <c r="Q31">
        <f t="shared" si="5"/>
        <v>6252455.002450251</v>
      </c>
      <c r="R31" s="213">
        <v>0.21</v>
      </c>
      <c r="S31">
        <f t="shared" si="6"/>
        <v>1313015.5505145527</v>
      </c>
      <c r="T31">
        <f t="shared" si="7"/>
        <v>7565470.5529648038</v>
      </c>
      <c r="U31">
        <v>1170</v>
      </c>
      <c r="V31" t="str">
        <f t="shared" si="8"/>
        <v/>
      </c>
      <c r="X31" t="str">
        <f t="shared" si="9"/>
        <v>✓</v>
      </c>
    </row>
    <row r="32" spans="1:24" x14ac:dyDescent="0.35">
      <c r="A32" t="s">
        <v>4957</v>
      </c>
      <c r="B32" t="s">
        <v>5029</v>
      </c>
      <c r="C32" t="s">
        <v>5000</v>
      </c>
      <c r="D32" t="str">
        <f>_xlfn.XLOOKUP(A32,Cert_App_Output!$C:$C,Cert_App_Output!$A:$A)</f>
        <v>GDR 3760</v>
      </c>
      <c r="E32" t="s">
        <v>4932</v>
      </c>
      <c r="F32">
        <f>_xlfn.XLOOKUP(A32,Cert_App_Output!$C:$C,Cert_App_Output!$D:$D)</f>
        <v>45838</v>
      </c>
      <c r="G32">
        <f>SUMIFS(Cert_App_Output!$J:$J,Cert_App_Output!$C:$C,$A32)</f>
        <v>9157088.0567965303</v>
      </c>
      <c r="H32" s="213">
        <v>0.3</v>
      </c>
      <c r="I32">
        <f t="shared" si="0"/>
        <v>2747126.417038959</v>
      </c>
      <c r="J32">
        <f>_xlfn.XLOOKUP($A32,Cert_Cabecera!$A:$A,Cert_Cabecera!$E:$E)</f>
        <v>0.1</v>
      </c>
      <c r="K32">
        <f t="shared" si="1"/>
        <v>-274712.64170389593</v>
      </c>
      <c r="L32">
        <f t="shared" si="2"/>
        <v>2472413.7753350632</v>
      </c>
      <c r="M32">
        <f>_xlfn.XLOOKUP($E32,Cert_OC_Cliente!$B:$B,Cert_OC_Cliente!$G:$G)</f>
        <v>15356.4</v>
      </c>
      <c r="N32">
        <f>IF($Y32="",_xlfn.XLOOKUP(DATE(YEAR(F32),MONTH(F32),1),'0_Indice_CAC'!$A:$A,'0_Indice_CAC'!$B:$B),$Y32)</f>
        <v>16643.400000000001</v>
      </c>
      <c r="O32">
        <f t="shared" si="3"/>
        <v>1.0838087051652732</v>
      </c>
      <c r="P32">
        <f t="shared" si="4"/>
        <v>207209.79714361625</v>
      </c>
      <c r="Q32">
        <f t="shared" si="5"/>
        <v>2679623.5724786795</v>
      </c>
      <c r="R32" s="213">
        <v>0</v>
      </c>
      <c r="S32">
        <f t="shared" si="6"/>
        <v>0</v>
      </c>
      <c r="T32">
        <f t="shared" si="7"/>
        <v>2679623.5724786795</v>
      </c>
      <c r="U32">
        <v>1170</v>
      </c>
      <c r="V32">
        <f t="shared" si="8"/>
        <v>2290.2765576740849</v>
      </c>
      <c r="X32" t="str">
        <f t="shared" si="9"/>
        <v>✓</v>
      </c>
    </row>
    <row r="33" spans="1:24" x14ac:dyDescent="0.35">
      <c r="A33" t="s">
        <v>4958</v>
      </c>
      <c r="B33" t="s">
        <v>5030</v>
      </c>
      <c r="C33" t="s">
        <v>4998</v>
      </c>
      <c r="D33" t="str">
        <f>_xlfn.XLOOKUP(A33,Cert_App_Output!$C:$C,Cert_App_Output!$A:$A)</f>
        <v>GDR 3760</v>
      </c>
      <c r="E33" t="s">
        <v>4932</v>
      </c>
      <c r="F33">
        <f>_xlfn.XLOOKUP(A33,Cert_App_Output!$C:$C,Cert_App_Output!$D:$D)</f>
        <v>45869</v>
      </c>
      <c r="G33">
        <f>SUMIFS(Cert_App_Output!$J:$J,Cert_App_Output!$C:$C,$A33)</f>
        <v>10913679.798548687</v>
      </c>
      <c r="H33" s="213">
        <v>0.7</v>
      </c>
      <c r="I33">
        <f t="shared" si="0"/>
        <v>7639575.8589840801</v>
      </c>
      <c r="J33">
        <f>_xlfn.XLOOKUP($A33,Cert_Cabecera!$A:$A,Cert_Cabecera!$E:$E)</f>
        <v>0.1</v>
      </c>
      <c r="K33">
        <f t="shared" si="1"/>
        <v>-763957.58589840808</v>
      </c>
      <c r="L33">
        <f t="shared" si="2"/>
        <v>6875618.2730856724</v>
      </c>
      <c r="M33">
        <f>_xlfn.XLOOKUP($E33,Cert_OC_Cliente!$B:$B,Cert_OC_Cliente!$G:$G)</f>
        <v>15356.4</v>
      </c>
      <c r="N33">
        <f>IF($Y33="",_xlfn.XLOOKUP(DATE(YEAR(F33),MONTH(F33),1),'0_Indice_CAC'!$A:$A,'0_Indice_CAC'!$B:$B),$Y33)</f>
        <v>16939.5</v>
      </c>
      <c r="O33">
        <f t="shared" si="3"/>
        <v>1.103090568101899</v>
      </c>
      <c r="P33">
        <f t="shared" si="4"/>
        <v>708811.39382419956</v>
      </c>
      <c r="Q33">
        <f t="shared" si="5"/>
        <v>7584429.6669098716</v>
      </c>
      <c r="R33" s="213">
        <v>0.21</v>
      </c>
      <c r="S33">
        <f t="shared" si="6"/>
        <v>1592730.230051073</v>
      </c>
      <c r="T33">
        <f t="shared" si="7"/>
        <v>9177159.8969609439</v>
      </c>
      <c r="U33">
        <v>1170</v>
      </c>
      <c r="V33" t="str">
        <f t="shared" si="8"/>
        <v/>
      </c>
      <c r="X33" t="str">
        <f t="shared" si="9"/>
        <v>✓</v>
      </c>
    </row>
    <row r="34" spans="1:24" x14ac:dyDescent="0.35">
      <c r="A34" t="s">
        <v>4958</v>
      </c>
      <c r="B34" t="s">
        <v>5031</v>
      </c>
      <c r="C34" t="s">
        <v>5000</v>
      </c>
      <c r="D34" t="str">
        <f>_xlfn.XLOOKUP(A34,Cert_App_Output!$C:$C,Cert_App_Output!$A:$A)</f>
        <v>GDR 3760</v>
      </c>
      <c r="E34" t="s">
        <v>4932</v>
      </c>
      <c r="F34">
        <f>_xlfn.XLOOKUP(A34,Cert_App_Output!$C:$C,Cert_App_Output!$D:$D)</f>
        <v>45869</v>
      </c>
      <c r="G34">
        <f>SUMIFS(Cert_App_Output!$J:$J,Cert_App_Output!$C:$C,$A34)</f>
        <v>10913679.798548687</v>
      </c>
      <c r="H34" s="213">
        <v>0.3</v>
      </c>
      <c r="I34">
        <f t="shared" ref="I34:I65" si="10">$G34*H34</f>
        <v>3274103.9395646062</v>
      </c>
      <c r="J34">
        <f>_xlfn.XLOOKUP($A34,Cert_Cabecera!$A:$A,Cert_Cabecera!$E:$E)</f>
        <v>0.1</v>
      </c>
      <c r="K34">
        <f t="shared" ref="K34:K65" si="11">-I34*J34</f>
        <v>-327410.39395646064</v>
      </c>
      <c r="L34">
        <f t="shared" ref="L34:L65" si="12">I34+K34</f>
        <v>2946693.5456081457</v>
      </c>
      <c r="M34">
        <f>_xlfn.XLOOKUP($E34,Cert_OC_Cliente!$B:$B,Cert_OC_Cliente!$G:$G)</f>
        <v>15356.4</v>
      </c>
      <c r="N34">
        <f>IF($Y34="",_xlfn.XLOOKUP(DATE(YEAR(F34),MONTH(F34),1),'0_Indice_CAC'!$A:$A,'0_Indice_CAC'!$B:$B),$Y34)</f>
        <v>16939.5</v>
      </c>
      <c r="O34">
        <f t="shared" ref="O34:O65" si="13">N34/M34</f>
        <v>1.103090568101899</v>
      </c>
      <c r="P34">
        <f t="shared" ref="P34:P65" si="14">L34*(O34-1)</f>
        <v>303776.31163894269</v>
      </c>
      <c r="Q34">
        <f t="shared" ref="Q34:Q65" si="15">L34+P34</f>
        <v>3250469.8572470881</v>
      </c>
      <c r="R34" s="213">
        <v>0</v>
      </c>
      <c r="S34">
        <f t="shared" ref="S34:S65" si="16">Q34*R34</f>
        <v>0</v>
      </c>
      <c r="T34">
        <f t="shared" ref="T34:T65" si="17">Q34+S34</f>
        <v>3250469.8572470881</v>
      </c>
      <c r="U34">
        <v>1170</v>
      </c>
      <c r="V34">
        <f t="shared" ref="V34:V65" si="18">IF(C34="Negro",T34/U34,"")</f>
        <v>2778.1793651684516</v>
      </c>
      <c r="X34" t="str">
        <f t="shared" ref="X34:X57" si="19">IF(ABS(SUMIFS($H:$H,$A:$A,$A34)-1)&lt;0.0001,"✓","⚠ ≠100%")</f>
        <v>✓</v>
      </c>
    </row>
    <row r="35" spans="1:24" x14ac:dyDescent="0.35">
      <c r="A35" t="s">
        <v>4959</v>
      </c>
      <c r="B35" t="s">
        <v>5032</v>
      </c>
      <c r="C35" t="s">
        <v>4998</v>
      </c>
      <c r="D35" t="str">
        <f>_xlfn.XLOOKUP(A35,Cert_App_Output!$C:$C,Cert_App_Output!$A:$A)</f>
        <v>GDR 3760</v>
      </c>
      <c r="E35" t="s">
        <v>4932</v>
      </c>
      <c r="F35">
        <f>_xlfn.XLOOKUP(A35,Cert_App_Output!$C:$C,Cert_App_Output!$D:$D)</f>
        <v>45900</v>
      </c>
      <c r="G35">
        <f>SUMIFS(Cert_App_Output!$J:$J,Cert_App_Output!$C:$C,$A35)</f>
        <v>10311293.852902124</v>
      </c>
      <c r="H35" s="213">
        <v>0.7</v>
      </c>
      <c r="I35">
        <f t="shared" si="10"/>
        <v>7217905.6970314858</v>
      </c>
      <c r="J35">
        <f>_xlfn.XLOOKUP($A35,Cert_Cabecera!$A:$A,Cert_Cabecera!$E:$E)</f>
        <v>0.1</v>
      </c>
      <c r="K35">
        <f t="shared" si="11"/>
        <v>-721790.56970314868</v>
      </c>
      <c r="L35">
        <f t="shared" si="12"/>
        <v>6496115.1273283372</v>
      </c>
      <c r="M35">
        <f>_xlfn.XLOOKUP($E35,Cert_OC_Cliente!$B:$B,Cert_OC_Cliente!$G:$G)</f>
        <v>15356.4</v>
      </c>
      <c r="N35">
        <f>IF($Y35="",_xlfn.XLOOKUP(DATE(YEAR(F35),MONTH(F35),1),'0_Indice_CAC'!$A:$A,'0_Indice_CAC'!$B:$B),$Y35)</f>
        <v>17187.599999999999</v>
      </c>
      <c r="O35">
        <f t="shared" si="13"/>
        <v>1.1192466984449481</v>
      </c>
      <c r="P35">
        <f t="shared" si="14"/>
        <v>774640.28165218758</v>
      </c>
      <c r="Q35">
        <f t="shared" si="15"/>
        <v>7270755.4089805251</v>
      </c>
      <c r="R35" s="213">
        <v>0.21</v>
      </c>
      <c r="S35">
        <f t="shared" si="16"/>
        <v>1526858.6358859101</v>
      </c>
      <c r="T35">
        <f t="shared" si="17"/>
        <v>8797614.0448664352</v>
      </c>
      <c r="U35">
        <v>1170</v>
      </c>
      <c r="V35" t="str">
        <f t="shared" si="18"/>
        <v/>
      </c>
      <c r="X35" t="str">
        <f t="shared" si="19"/>
        <v>✓</v>
      </c>
    </row>
    <row r="36" spans="1:24" x14ac:dyDescent="0.35">
      <c r="A36" t="s">
        <v>4959</v>
      </c>
      <c r="B36" t="s">
        <v>5033</v>
      </c>
      <c r="C36" t="s">
        <v>5000</v>
      </c>
      <c r="D36" t="str">
        <f>_xlfn.XLOOKUP(A36,Cert_App_Output!$C:$C,Cert_App_Output!$A:$A)</f>
        <v>GDR 3760</v>
      </c>
      <c r="E36" t="s">
        <v>4932</v>
      </c>
      <c r="F36">
        <f>_xlfn.XLOOKUP(A36,Cert_App_Output!$C:$C,Cert_App_Output!$D:$D)</f>
        <v>45900</v>
      </c>
      <c r="G36">
        <f>SUMIFS(Cert_App_Output!$J:$J,Cert_App_Output!$C:$C,$A36)</f>
        <v>10311293.852902124</v>
      </c>
      <c r="H36" s="213">
        <v>0.3</v>
      </c>
      <c r="I36">
        <f t="shared" si="10"/>
        <v>3093388.1558706369</v>
      </c>
      <c r="J36">
        <f>_xlfn.XLOOKUP($A36,Cert_Cabecera!$A:$A,Cert_Cabecera!$E:$E)</f>
        <v>0.1</v>
      </c>
      <c r="K36">
        <f t="shared" si="11"/>
        <v>-309338.81558706373</v>
      </c>
      <c r="L36">
        <f t="shared" si="12"/>
        <v>2784049.3402835731</v>
      </c>
      <c r="M36">
        <f>_xlfn.XLOOKUP($E36,Cert_OC_Cliente!$B:$B,Cert_OC_Cliente!$G:$G)</f>
        <v>15356.4</v>
      </c>
      <c r="N36">
        <f>IF($Y36="",_xlfn.XLOOKUP(DATE(YEAR(F36),MONTH(F36),1),'0_Indice_CAC'!$A:$A,'0_Indice_CAC'!$B:$B),$Y36)</f>
        <v>17187.599999999999</v>
      </c>
      <c r="O36">
        <f t="shared" si="13"/>
        <v>1.1192466984449481</v>
      </c>
      <c r="P36">
        <f t="shared" si="14"/>
        <v>331988.69213665184</v>
      </c>
      <c r="Q36">
        <f t="shared" si="15"/>
        <v>3116038.032420225</v>
      </c>
      <c r="R36" s="213">
        <v>0</v>
      </c>
      <c r="S36">
        <f t="shared" si="16"/>
        <v>0</v>
      </c>
      <c r="T36">
        <f t="shared" si="17"/>
        <v>3116038.032420225</v>
      </c>
      <c r="U36">
        <v>1170</v>
      </c>
      <c r="V36">
        <f t="shared" si="18"/>
        <v>2663.2803695899361</v>
      </c>
      <c r="X36" t="str">
        <f t="shared" si="19"/>
        <v>✓</v>
      </c>
    </row>
    <row r="37" spans="1:24" x14ac:dyDescent="0.35">
      <c r="A37" t="s">
        <v>4960</v>
      </c>
      <c r="B37" t="s">
        <v>5034</v>
      </c>
      <c r="C37" t="s">
        <v>4998</v>
      </c>
      <c r="D37" t="str">
        <f>_xlfn.XLOOKUP(A37,Cert_App_Output!$C:$C,Cert_App_Output!$A:$A)</f>
        <v>GDR 3760</v>
      </c>
      <c r="E37" t="s">
        <v>4932</v>
      </c>
      <c r="F37">
        <f>_xlfn.XLOOKUP(A37,Cert_App_Output!$C:$C,Cert_App_Output!$D:$D)</f>
        <v>45930</v>
      </c>
      <c r="G37">
        <f>SUMIFS(Cert_App_Output!$J:$J,Cert_App_Output!$C:$C,$A37)</f>
        <v>13139298.992391923</v>
      </c>
      <c r="H37" s="213">
        <v>0.7</v>
      </c>
      <c r="I37">
        <f t="shared" si="10"/>
        <v>9197509.2946743462</v>
      </c>
      <c r="J37">
        <f>_xlfn.XLOOKUP($A37,Cert_Cabecera!$A:$A,Cert_Cabecera!$E:$E)</f>
        <v>0.1</v>
      </c>
      <c r="K37">
        <f t="shared" si="11"/>
        <v>-919750.92946743465</v>
      </c>
      <c r="L37">
        <f t="shared" si="12"/>
        <v>8277758.3652069112</v>
      </c>
      <c r="M37">
        <f>_xlfn.XLOOKUP($E37,Cert_OC_Cliente!$B:$B,Cert_OC_Cliente!$G:$G)</f>
        <v>15356.4</v>
      </c>
      <c r="N37">
        <f>IF($Y37="",_xlfn.XLOOKUP(DATE(YEAR(F37),MONTH(F37),1),'0_Indice_CAC'!$A:$A,'0_Indice_CAC'!$B:$B),$Y37)</f>
        <v>17762.3</v>
      </c>
      <c r="O37">
        <f t="shared" si="13"/>
        <v>1.1566708343101249</v>
      </c>
      <c r="P37">
        <f t="shared" si="14"/>
        <v>1296883.3092945819</v>
      </c>
      <c r="Q37">
        <f t="shared" si="15"/>
        <v>9574641.6745014936</v>
      </c>
      <c r="R37" s="213">
        <v>0.21</v>
      </c>
      <c r="S37">
        <f t="shared" si="16"/>
        <v>2010674.7516453136</v>
      </c>
      <c r="T37">
        <f t="shared" si="17"/>
        <v>11585316.426146807</v>
      </c>
      <c r="U37">
        <v>1170</v>
      </c>
      <c r="V37" t="str">
        <f t="shared" si="18"/>
        <v/>
      </c>
      <c r="X37" t="str">
        <f t="shared" si="19"/>
        <v>✓</v>
      </c>
    </row>
    <row r="38" spans="1:24" x14ac:dyDescent="0.35">
      <c r="A38" t="s">
        <v>4960</v>
      </c>
      <c r="B38" t="s">
        <v>5035</v>
      </c>
      <c r="C38" t="s">
        <v>5000</v>
      </c>
      <c r="D38" t="str">
        <f>_xlfn.XLOOKUP(A38,Cert_App_Output!$C:$C,Cert_App_Output!$A:$A)</f>
        <v>GDR 3760</v>
      </c>
      <c r="E38" t="s">
        <v>4932</v>
      </c>
      <c r="F38">
        <f>_xlfn.XLOOKUP(A38,Cert_App_Output!$C:$C,Cert_App_Output!$D:$D)</f>
        <v>45930</v>
      </c>
      <c r="G38">
        <f>SUMIFS(Cert_App_Output!$J:$J,Cert_App_Output!$C:$C,$A38)</f>
        <v>13139298.992391923</v>
      </c>
      <c r="H38" s="213">
        <v>0.3</v>
      </c>
      <c r="I38">
        <f t="shared" si="10"/>
        <v>3941789.6977175768</v>
      </c>
      <c r="J38">
        <f>_xlfn.XLOOKUP($A38,Cert_Cabecera!$A:$A,Cert_Cabecera!$E:$E)</f>
        <v>0.1</v>
      </c>
      <c r="K38">
        <f t="shared" si="11"/>
        <v>-394178.96977175772</v>
      </c>
      <c r="L38">
        <f t="shared" si="12"/>
        <v>3547610.727945819</v>
      </c>
      <c r="M38">
        <f>_xlfn.XLOOKUP($E38,Cert_OC_Cliente!$B:$B,Cert_OC_Cliente!$G:$G)</f>
        <v>15356.4</v>
      </c>
      <c r="N38">
        <f>IF($Y38="",_xlfn.XLOOKUP(DATE(YEAR(F38),MONTH(F38),1),'0_Indice_CAC'!$A:$A,'0_Indice_CAC'!$B:$B),$Y38)</f>
        <v>17762.3</v>
      </c>
      <c r="O38">
        <f t="shared" si="13"/>
        <v>1.1566708343101249</v>
      </c>
      <c r="P38">
        <f t="shared" si="14"/>
        <v>555807.13255482086</v>
      </c>
      <c r="Q38">
        <f t="shared" si="15"/>
        <v>4103417.8605006398</v>
      </c>
      <c r="R38" s="213">
        <v>0</v>
      </c>
      <c r="S38">
        <f t="shared" si="16"/>
        <v>0</v>
      </c>
      <c r="T38">
        <f t="shared" si="17"/>
        <v>4103417.8605006398</v>
      </c>
      <c r="U38">
        <v>1170</v>
      </c>
      <c r="V38">
        <f t="shared" si="18"/>
        <v>3507.1947525646492</v>
      </c>
      <c r="X38" t="str">
        <f t="shared" si="19"/>
        <v>✓</v>
      </c>
    </row>
    <row r="39" spans="1:24" x14ac:dyDescent="0.35">
      <c r="A39" t="s">
        <v>4961</v>
      </c>
      <c r="B39" t="s">
        <v>5036</v>
      </c>
      <c r="C39" t="s">
        <v>4998</v>
      </c>
      <c r="D39" t="str">
        <f>_xlfn.XLOOKUP(A39,Cert_App_Output!$C:$C,Cert_App_Output!$A:$A)</f>
        <v>GDR 3760</v>
      </c>
      <c r="E39" t="s">
        <v>4932</v>
      </c>
      <c r="F39">
        <f>_xlfn.XLOOKUP(A39,Cert_App_Output!$C:$C,Cert_App_Output!$D:$D)</f>
        <v>45958</v>
      </c>
      <c r="G39">
        <f>SUMIFS(Cert_App_Output!$J:$J,Cert_App_Output!$C:$C,$A39)</f>
        <v>11253962.232732056</v>
      </c>
      <c r="H39" s="213">
        <v>0.7</v>
      </c>
      <c r="I39">
        <f t="shared" si="10"/>
        <v>7877773.5629124381</v>
      </c>
      <c r="J39">
        <f>_xlfn.XLOOKUP($A39,Cert_Cabecera!$A:$A,Cert_Cabecera!$E:$E)</f>
        <v>0.1</v>
      </c>
      <c r="K39">
        <f t="shared" si="11"/>
        <v>-787777.35629124381</v>
      </c>
      <c r="L39">
        <f t="shared" si="12"/>
        <v>7089996.2066211943</v>
      </c>
      <c r="M39">
        <f>_xlfn.XLOOKUP($E39,Cert_OC_Cliente!$B:$B,Cert_OC_Cliente!$G:$G)</f>
        <v>15356.4</v>
      </c>
      <c r="N39">
        <f>IF($Y39="",_xlfn.XLOOKUP(DATE(YEAR(F39),MONTH(F39),1),'0_Indice_CAC'!$A:$A,'0_Indice_CAC'!$B:$B),$Y39)</f>
        <v>18172.8</v>
      </c>
      <c r="O39">
        <f t="shared" si="13"/>
        <v>1.183402359928108</v>
      </c>
      <c r="P39">
        <f t="shared" si="14"/>
        <v>1300322.036175661</v>
      </c>
      <c r="Q39">
        <f t="shared" si="15"/>
        <v>8390318.242796855</v>
      </c>
      <c r="R39" s="213">
        <v>0.21</v>
      </c>
      <c r="S39">
        <f t="shared" si="16"/>
        <v>1761966.8309873396</v>
      </c>
      <c r="T39">
        <f t="shared" si="17"/>
        <v>10152285.073784195</v>
      </c>
      <c r="U39">
        <v>1170</v>
      </c>
      <c r="V39" t="str">
        <f t="shared" si="18"/>
        <v/>
      </c>
      <c r="X39" t="str">
        <f t="shared" si="19"/>
        <v>✓</v>
      </c>
    </row>
    <row r="40" spans="1:24" x14ac:dyDescent="0.35">
      <c r="A40" t="s">
        <v>4961</v>
      </c>
      <c r="B40" t="s">
        <v>5037</v>
      </c>
      <c r="C40" t="s">
        <v>5000</v>
      </c>
      <c r="D40" t="str">
        <f>_xlfn.XLOOKUP(A40,Cert_App_Output!$C:$C,Cert_App_Output!$A:$A)</f>
        <v>GDR 3760</v>
      </c>
      <c r="E40" t="s">
        <v>4932</v>
      </c>
      <c r="F40">
        <f>_xlfn.XLOOKUP(A40,Cert_App_Output!$C:$C,Cert_App_Output!$D:$D)</f>
        <v>45958</v>
      </c>
      <c r="G40">
        <f>SUMIFS(Cert_App_Output!$J:$J,Cert_App_Output!$C:$C,$A40)</f>
        <v>11253962.232732056</v>
      </c>
      <c r="H40" s="213">
        <v>0.3</v>
      </c>
      <c r="I40">
        <f t="shared" si="10"/>
        <v>3376188.6698196167</v>
      </c>
      <c r="J40">
        <f>_xlfn.XLOOKUP($A40,Cert_Cabecera!$A:$A,Cert_Cabecera!$E:$E)</f>
        <v>0.1</v>
      </c>
      <c r="K40">
        <f t="shared" si="11"/>
        <v>-337618.86698196171</v>
      </c>
      <c r="L40">
        <f t="shared" si="12"/>
        <v>3038569.8028376549</v>
      </c>
      <c r="M40">
        <f>_xlfn.XLOOKUP($E40,Cert_OC_Cliente!$B:$B,Cert_OC_Cliente!$G:$G)</f>
        <v>15356.4</v>
      </c>
      <c r="N40">
        <f>IF($Y40="",_xlfn.XLOOKUP(DATE(YEAR(F40),MONTH(F40),1),'0_Indice_CAC'!$A:$A,'0_Indice_CAC'!$B:$B),$Y40)</f>
        <v>18172.8</v>
      </c>
      <c r="O40">
        <f t="shared" si="13"/>
        <v>1.183402359928108</v>
      </c>
      <c r="P40">
        <f t="shared" si="14"/>
        <v>557280.87264671188</v>
      </c>
      <c r="Q40">
        <f t="shared" si="15"/>
        <v>3595850.6754843667</v>
      </c>
      <c r="R40" s="213">
        <v>0</v>
      </c>
      <c r="S40">
        <f t="shared" si="16"/>
        <v>0</v>
      </c>
      <c r="T40">
        <f t="shared" si="17"/>
        <v>3595850.6754843667</v>
      </c>
      <c r="U40">
        <v>1170</v>
      </c>
      <c r="V40">
        <f t="shared" si="18"/>
        <v>3073.3766457131342</v>
      </c>
      <c r="X40" t="str">
        <f t="shared" si="19"/>
        <v>✓</v>
      </c>
    </row>
    <row r="41" spans="1:24" x14ac:dyDescent="0.35">
      <c r="A41" t="s">
        <v>4962</v>
      </c>
      <c r="B41" t="s">
        <v>5038</v>
      </c>
      <c r="C41" t="s">
        <v>4998</v>
      </c>
      <c r="D41" t="str">
        <f>_xlfn.XLOOKUP(A41,Cert_App_Output!$C:$C,Cert_App_Output!$A:$A)</f>
        <v>GDR 3760</v>
      </c>
      <c r="E41" t="s">
        <v>4932</v>
      </c>
      <c r="F41">
        <f>_xlfn.XLOOKUP(A41,Cert_App_Output!$C:$C,Cert_App_Output!$D:$D)</f>
        <v>45988</v>
      </c>
      <c r="G41">
        <f>SUMIFS(Cert_App_Output!$J:$J,Cert_App_Output!$C:$C,$A41)</f>
        <v>19487738.349458534</v>
      </c>
      <c r="H41" s="213">
        <v>0.7</v>
      </c>
      <c r="I41">
        <f t="shared" si="10"/>
        <v>13641416.844620973</v>
      </c>
      <c r="J41">
        <f>_xlfn.XLOOKUP($A41,Cert_Cabecera!$A:$A,Cert_Cabecera!$E:$E)</f>
        <v>0.1</v>
      </c>
      <c r="K41">
        <f t="shared" si="11"/>
        <v>-1364141.6844620975</v>
      </c>
      <c r="L41">
        <f t="shared" si="12"/>
        <v>12277275.160158876</v>
      </c>
      <c r="M41">
        <f>_xlfn.XLOOKUP($E41,Cert_OC_Cliente!$B:$B,Cert_OC_Cliente!$G:$G)</f>
        <v>15356.4</v>
      </c>
      <c r="N41">
        <f>IF($Y41="",_xlfn.XLOOKUP(DATE(YEAR(F41),MONTH(F41),1),'0_Indice_CAC'!$A:$A,'0_Indice_CAC'!$B:$B),$Y41)</f>
        <v>18534.900000000001</v>
      </c>
      <c r="O41">
        <f t="shared" si="13"/>
        <v>1.206982105180902</v>
      </c>
      <c r="P41">
        <f t="shared" si="14"/>
        <v>2541176.2585348799</v>
      </c>
      <c r="Q41">
        <f t="shared" si="15"/>
        <v>14818451.418693757</v>
      </c>
      <c r="R41" s="213">
        <v>0.21</v>
      </c>
      <c r="S41">
        <f t="shared" si="16"/>
        <v>3111874.7979256888</v>
      </c>
      <c r="T41">
        <f t="shared" si="17"/>
        <v>17930326.216619447</v>
      </c>
      <c r="U41">
        <v>1170</v>
      </c>
      <c r="V41" t="str">
        <f t="shared" si="18"/>
        <v/>
      </c>
      <c r="X41" t="str">
        <f t="shared" si="19"/>
        <v>✓</v>
      </c>
    </row>
    <row r="42" spans="1:24" x14ac:dyDescent="0.35">
      <c r="A42" t="s">
        <v>4962</v>
      </c>
      <c r="B42" t="s">
        <v>5039</v>
      </c>
      <c r="C42" t="s">
        <v>5000</v>
      </c>
      <c r="D42" t="str">
        <f>_xlfn.XLOOKUP(A42,Cert_App_Output!$C:$C,Cert_App_Output!$A:$A)</f>
        <v>GDR 3760</v>
      </c>
      <c r="E42" t="s">
        <v>4932</v>
      </c>
      <c r="F42">
        <f>_xlfn.XLOOKUP(A42,Cert_App_Output!$C:$C,Cert_App_Output!$D:$D)</f>
        <v>45988</v>
      </c>
      <c r="G42">
        <f>SUMIFS(Cert_App_Output!$J:$J,Cert_App_Output!$C:$C,$A42)</f>
        <v>19487738.349458534</v>
      </c>
      <c r="H42" s="213">
        <v>0.3</v>
      </c>
      <c r="I42">
        <f t="shared" si="10"/>
        <v>5846321.5048375605</v>
      </c>
      <c r="J42">
        <f>_xlfn.XLOOKUP($A42,Cert_Cabecera!$A:$A,Cert_Cabecera!$E:$E)</f>
        <v>0.1</v>
      </c>
      <c r="K42">
        <f t="shared" si="11"/>
        <v>-584632.15048375609</v>
      </c>
      <c r="L42">
        <f t="shared" si="12"/>
        <v>5261689.3543538041</v>
      </c>
      <c r="M42">
        <f>_xlfn.XLOOKUP($E42,Cert_OC_Cliente!$B:$B,Cert_OC_Cliente!$G:$G)</f>
        <v>15356.4</v>
      </c>
      <c r="N42">
        <f>IF($Y42="",_xlfn.XLOOKUP(DATE(YEAR(F42),MONTH(F42),1),'0_Indice_CAC'!$A:$A,'0_Indice_CAC'!$B:$B),$Y42)</f>
        <v>18534.900000000001</v>
      </c>
      <c r="O42">
        <f t="shared" si="13"/>
        <v>1.206982105180902</v>
      </c>
      <c r="P42">
        <f t="shared" si="14"/>
        <v>1089075.5393720914</v>
      </c>
      <c r="Q42">
        <f t="shared" si="15"/>
        <v>6350764.8937258953</v>
      </c>
      <c r="R42" s="213">
        <v>0</v>
      </c>
      <c r="S42">
        <f t="shared" si="16"/>
        <v>0</v>
      </c>
      <c r="T42">
        <f t="shared" si="17"/>
        <v>6350764.8937258953</v>
      </c>
      <c r="U42">
        <v>1170</v>
      </c>
      <c r="V42">
        <f t="shared" si="18"/>
        <v>5428.0041826717052</v>
      </c>
      <c r="X42" t="str">
        <f t="shared" si="19"/>
        <v>✓</v>
      </c>
    </row>
    <row r="43" spans="1:24" x14ac:dyDescent="0.35">
      <c r="A43" t="s">
        <v>4963</v>
      </c>
      <c r="B43" t="s">
        <v>5040</v>
      </c>
      <c r="C43" t="s">
        <v>4998</v>
      </c>
      <c r="D43" t="str">
        <f>_xlfn.XLOOKUP(A43,Cert_App_Output!$C:$C,Cert_App_Output!$A:$A)</f>
        <v>GDR 3760</v>
      </c>
      <c r="E43" t="s">
        <v>4932</v>
      </c>
      <c r="F43">
        <f>_xlfn.XLOOKUP(A43,Cert_App_Output!$C:$C,Cert_App_Output!$D:$D)</f>
        <v>46017</v>
      </c>
      <c r="G43">
        <f>SUMIFS(Cert_App_Output!$J:$J,Cert_App_Output!$C:$C,$A43)</f>
        <v>38428620.822638266</v>
      </c>
      <c r="H43" s="213">
        <v>0.7</v>
      </c>
      <c r="I43">
        <f t="shared" si="10"/>
        <v>26900034.575846784</v>
      </c>
      <c r="J43">
        <f>_xlfn.XLOOKUP($A43,Cert_Cabecera!$A:$A,Cert_Cabecera!$E:$E)</f>
        <v>0.1</v>
      </c>
      <c r="K43">
        <f t="shared" si="11"/>
        <v>-2690003.4575846787</v>
      </c>
      <c r="L43">
        <f t="shared" si="12"/>
        <v>24210031.118262105</v>
      </c>
      <c r="M43">
        <f>_xlfn.XLOOKUP($E43,Cert_OC_Cliente!$B:$B,Cert_OC_Cliente!$G:$G)</f>
        <v>15356.4</v>
      </c>
      <c r="N43">
        <f>IF($Y43="",_xlfn.XLOOKUP(DATE(YEAR(F43),MONTH(F43),1),'0_Indice_CAC'!$A:$A,'0_Indice_CAC'!$B:$B),$Y43)</f>
        <v>18993.891329896</v>
      </c>
      <c r="O43">
        <f t="shared" si="13"/>
        <v>1.2368713585147562</v>
      </c>
      <c r="P43">
        <f t="shared" si="14"/>
        <v>5734662.9606672656</v>
      </c>
      <c r="Q43">
        <f t="shared" si="15"/>
        <v>29944694.078929372</v>
      </c>
      <c r="R43" s="213">
        <v>0.21</v>
      </c>
      <c r="S43">
        <f t="shared" si="16"/>
        <v>6288385.7565751681</v>
      </c>
      <c r="T43">
        <f t="shared" si="17"/>
        <v>36233079.835504539</v>
      </c>
      <c r="U43">
        <v>1170</v>
      </c>
      <c r="V43" t="str">
        <f t="shared" si="18"/>
        <v/>
      </c>
      <c r="X43" t="str">
        <f t="shared" si="19"/>
        <v>✓</v>
      </c>
    </row>
    <row r="44" spans="1:24" x14ac:dyDescent="0.35">
      <c r="A44" t="s">
        <v>4963</v>
      </c>
      <c r="B44" t="s">
        <v>5041</v>
      </c>
      <c r="C44" t="s">
        <v>5000</v>
      </c>
      <c r="D44" t="str">
        <f>_xlfn.XLOOKUP(A44,Cert_App_Output!$C:$C,Cert_App_Output!$A:$A)</f>
        <v>GDR 3760</v>
      </c>
      <c r="E44" t="s">
        <v>4932</v>
      </c>
      <c r="F44">
        <f>_xlfn.XLOOKUP(A44,Cert_App_Output!$C:$C,Cert_App_Output!$D:$D)</f>
        <v>46017</v>
      </c>
      <c r="G44">
        <f>SUMIFS(Cert_App_Output!$J:$J,Cert_App_Output!$C:$C,$A44)</f>
        <v>38428620.822638266</v>
      </c>
      <c r="H44" s="213">
        <v>0.3</v>
      </c>
      <c r="I44">
        <f t="shared" si="10"/>
        <v>11528586.24679148</v>
      </c>
      <c r="J44">
        <f>_xlfn.XLOOKUP($A44,Cert_Cabecera!$A:$A,Cert_Cabecera!$E:$E)</f>
        <v>0.1</v>
      </c>
      <c r="K44">
        <f t="shared" si="11"/>
        <v>-1152858.624679148</v>
      </c>
      <c r="L44">
        <f t="shared" si="12"/>
        <v>10375727.622112332</v>
      </c>
      <c r="M44">
        <f>_xlfn.XLOOKUP($E44,Cert_OC_Cliente!$B:$B,Cert_OC_Cliente!$G:$G)</f>
        <v>15356.4</v>
      </c>
      <c r="N44">
        <f>IF($Y44="",_xlfn.XLOOKUP(DATE(YEAR(F44),MONTH(F44),1),'0_Indice_CAC'!$A:$A,'0_Indice_CAC'!$B:$B),$Y44)</f>
        <v>18993.891329896</v>
      </c>
      <c r="O44">
        <f t="shared" si="13"/>
        <v>1.2368713585147562</v>
      </c>
      <c r="P44">
        <f t="shared" si="14"/>
        <v>2457712.6974288286</v>
      </c>
      <c r="Q44">
        <f t="shared" si="15"/>
        <v>12833440.31954116</v>
      </c>
      <c r="R44" s="213">
        <v>0</v>
      </c>
      <c r="S44">
        <f t="shared" si="16"/>
        <v>0</v>
      </c>
      <c r="T44">
        <f t="shared" si="17"/>
        <v>12833440.31954116</v>
      </c>
      <c r="U44">
        <v>1170</v>
      </c>
      <c r="V44">
        <f t="shared" si="18"/>
        <v>10968.752409864239</v>
      </c>
      <c r="X44" t="str">
        <f t="shared" si="19"/>
        <v>✓</v>
      </c>
    </row>
    <row r="45" spans="1:24" x14ac:dyDescent="0.35">
      <c r="A45" t="s">
        <v>4964</v>
      </c>
      <c r="B45" t="s">
        <v>5042</v>
      </c>
      <c r="C45" t="s">
        <v>4998</v>
      </c>
      <c r="D45" t="str">
        <f>_xlfn.XLOOKUP(A45,Cert_App_Output!$C:$C,Cert_App_Output!$A:$A)</f>
        <v>GDR 3760</v>
      </c>
      <c r="E45" t="s">
        <v>4932</v>
      </c>
      <c r="F45">
        <f>_xlfn.XLOOKUP(A45,Cert_App_Output!$C:$C,Cert_App_Output!$D:$D)</f>
        <v>46050</v>
      </c>
      <c r="G45">
        <f>SUMIFS(Cert_App_Output!$J:$J,Cert_App_Output!$C:$C,$A45)</f>
        <v>39858577.182995349</v>
      </c>
      <c r="H45" s="213">
        <v>0.7</v>
      </c>
      <c r="I45">
        <f t="shared" si="10"/>
        <v>27901004.028096743</v>
      </c>
      <c r="J45">
        <f>_xlfn.XLOOKUP($A45,Cert_Cabecera!$A:$A,Cert_Cabecera!$E:$E)</f>
        <v>0.1</v>
      </c>
      <c r="K45">
        <f t="shared" si="11"/>
        <v>-2790100.4028096744</v>
      </c>
      <c r="L45">
        <f t="shared" si="12"/>
        <v>25110903.625287067</v>
      </c>
      <c r="M45">
        <f>_xlfn.XLOOKUP($E45,Cert_OC_Cliente!$B:$B,Cert_OC_Cliente!$G:$G)</f>
        <v>15356.4</v>
      </c>
      <c r="N45">
        <f>IF($Y45="",_xlfn.XLOOKUP(DATE(YEAR(F45),MONTH(F45),1),'0_Indice_CAC'!$A:$A,'0_Indice_CAC'!$B:$B),$Y45)</f>
        <v>19331.4341532445</v>
      </c>
      <c r="O45">
        <f t="shared" si="13"/>
        <v>1.2588519544453454</v>
      </c>
      <c r="P45">
        <f t="shared" si="14"/>
        <v>6500006.4812942659</v>
      </c>
      <c r="Q45">
        <f t="shared" si="15"/>
        <v>31610910.106581334</v>
      </c>
      <c r="R45" s="213">
        <v>0.21</v>
      </c>
      <c r="S45">
        <f t="shared" si="16"/>
        <v>6638291.1223820802</v>
      </c>
      <c r="T45">
        <f t="shared" si="17"/>
        <v>38249201.228963412</v>
      </c>
      <c r="U45">
        <v>1170</v>
      </c>
      <c r="V45" t="str">
        <f t="shared" si="18"/>
        <v/>
      </c>
      <c r="X45" t="str">
        <f t="shared" si="19"/>
        <v>✓</v>
      </c>
    </row>
    <row r="46" spans="1:24" x14ac:dyDescent="0.35">
      <c r="A46" t="s">
        <v>4964</v>
      </c>
      <c r="B46" t="s">
        <v>5043</v>
      </c>
      <c r="C46" t="s">
        <v>5000</v>
      </c>
      <c r="D46" t="str">
        <f>_xlfn.XLOOKUP(A46,Cert_App_Output!$C:$C,Cert_App_Output!$A:$A)</f>
        <v>GDR 3760</v>
      </c>
      <c r="E46" t="s">
        <v>4932</v>
      </c>
      <c r="F46">
        <f>_xlfn.XLOOKUP(A46,Cert_App_Output!$C:$C,Cert_App_Output!$D:$D)</f>
        <v>46050</v>
      </c>
      <c r="G46">
        <f>SUMIFS(Cert_App_Output!$J:$J,Cert_App_Output!$C:$C,$A46)</f>
        <v>39858577.182995349</v>
      </c>
      <c r="H46" s="213">
        <v>0.3</v>
      </c>
      <c r="I46">
        <f t="shared" si="10"/>
        <v>11957573.154898604</v>
      </c>
      <c r="J46">
        <f>_xlfn.XLOOKUP($A46,Cert_Cabecera!$A:$A,Cert_Cabecera!$E:$E)</f>
        <v>0.1</v>
      </c>
      <c r="K46">
        <f t="shared" si="11"/>
        <v>-1195757.3154898605</v>
      </c>
      <c r="L46">
        <f t="shared" si="12"/>
        <v>10761815.839408744</v>
      </c>
      <c r="M46">
        <f>_xlfn.XLOOKUP($E46,Cert_OC_Cliente!$B:$B,Cert_OC_Cliente!$G:$G)</f>
        <v>15356.4</v>
      </c>
      <c r="N46">
        <f>IF($Y46="",_xlfn.XLOOKUP(DATE(YEAR(F46),MONTH(F46),1),'0_Indice_CAC'!$A:$A,'0_Indice_CAC'!$B:$B),$Y46)</f>
        <v>19331.4341532445</v>
      </c>
      <c r="O46">
        <f t="shared" si="13"/>
        <v>1.2588519544453454</v>
      </c>
      <c r="P46">
        <f t="shared" si="14"/>
        <v>2785717.0634118286</v>
      </c>
      <c r="Q46">
        <f t="shared" si="15"/>
        <v>13547532.902820572</v>
      </c>
      <c r="R46" s="213">
        <v>0</v>
      </c>
      <c r="S46">
        <f t="shared" si="16"/>
        <v>0</v>
      </c>
      <c r="T46">
        <f t="shared" si="17"/>
        <v>13547532.902820572</v>
      </c>
      <c r="U46">
        <v>1170</v>
      </c>
      <c r="V46">
        <f t="shared" si="18"/>
        <v>11579.087951128695</v>
      </c>
      <c r="X46" t="str">
        <f t="shared" si="19"/>
        <v>✓</v>
      </c>
    </row>
    <row r="47" spans="1:24" x14ac:dyDescent="0.35">
      <c r="A47" t="s">
        <v>4965</v>
      </c>
      <c r="B47" t="s">
        <v>5044</v>
      </c>
      <c r="C47" t="s">
        <v>4998</v>
      </c>
      <c r="D47" t="str">
        <f>_xlfn.XLOOKUP(A47,Cert_App_Output!$C:$C,Cert_App_Output!$A:$A)</f>
        <v>GDR 3760</v>
      </c>
      <c r="E47" t="s">
        <v>4932</v>
      </c>
      <c r="F47">
        <f>_xlfn.XLOOKUP(A47,Cert_App_Output!$C:$C,Cert_App_Output!$D:$D)</f>
        <v>46080</v>
      </c>
      <c r="G47">
        <f>SUMIFS(Cert_App_Output!$J:$J,Cert_App_Output!$C:$C,$A47)</f>
        <v>26228421.665873382</v>
      </c>
      <c r="H47" s="213">
        <v>0.7</v>
      </c>
      <c r="I47">
        <f t="shared" si="10"/>
        <v>18359895.166111365</v>
      </c>
      <c r="J47">
        <f>_xlfn.XLOOKUP($A47,Cert_Cabecera!$A:$A,Cert_Cabecera!$E:$E)</f>
        <v>0.1</v>
      </c>
      <c r="K47">
        <f t="shared" si="11"/>
        <v>-1835989.5166111365</v>
      </c>
      <c r="L47">
        <f t="shared" si="12"/>
        <v>16523905.649500228</v>
      </c>
      <c r="M47">
        <f>_xlfn.XLOOKUP($E47,Cert_OC_Cliente!$B:$B,Cert_OC_Cliente!$G:$G)</f>
        <v>15356.4</v>
      </c>
      <c r="N47">
        <f>IF($Y47="",_xlfn.XLOOKUP(DATE(YEAR(F47),MONTH(F47),1),'0_Indice_CAC'!$A:$A,'0_Indice_CAC'!$B:$B),$Y47)</f>
        <v>19331.4341532445</v>
      </c>
      <c r="O47">
        <f t="shared" si="13"/>
        <v>1.2588519544453454</v>
      </c>
      <c r="P47">
        <f t="shared" si="14"/>
        <v>4277245.2724436177</v>
      </c>
      <c r="Q47">
        <f t="shared" si="15"/>
        <v>20801150.921943847</v>
      </c>
      <c r="R47" s="213">
        <v>0.21</v>
      </c>
      <c r="S47">
        <f t="shared" si="16"/>
        <v>4368241.6936082076</v>
      </c>
      <c r="T47">
        <f t="shared" si="17"/>
        <v>25169392.615552053</v>
      </c>
      <c r="U47">
        <v>1170</v>
      </c>
      <c r="V47" t="str">
        <f t="shared" si="18"/>
        <v/>
      </c>
      <c r="X47" t="str">
        <f t="shared" si="19"/>
        <v>✓</v>
      </c>
    </row>
    <row r="48" spans="1:24" x14ac:dyDescent="0.35">
      <c r="A48" t="s">
        <v>4965</v>
      </c>
      <c r="B48" t="s">
        <v>5045</v>
      </c>
      <c r="C48" t="s">
        <v>5000</v>
      </c>
      <c r="D48" t="str">
        <f>_xlfn.XLOOKUP(A48,Cert_App_Output!$C:$C,Cert_App_Output!$A:$A)</f>
        <v>GDR 3760</v>
      </c>
      <c r="E48" t="s">
        <v>4932</v>
      </c>
      <c r="F48">
        <f>_xlfn.XLOOKUP(A48,Cert_App_Output!$C:$C,Cert_App_Output!$D:$D)</f>
        <v>46080</v>
      </c>
      <c r="G48">
        <f>SUMIFS(Cert_App_Output!$J:$J,Cert_App_Output!$C:$C,$A48)</f>
        <v>26228421.665873382</v>
      </c>
      <c r="H48" s="213">
        <v>0.3</v>
      </c>
      <c r="I48">
        <f t="shared" si="10"/>
        <v>7868526.4997620145</v>
      </c>
      <c r="J48">
        <f>_xlfn.XLOOKUP($A48,Cert_Cabecera!$A:$A,Cert_Cabecera!$E:$E)</f>
        <v>0.1</v>
      </c>
      <c r="K48">
        <f t="shared" si="11"/>
        <v>-786852.64997620147</v>
      </c>
      <c r="L48">
        <f t="shared" si="12"/>
        <v>7081673.8497858131</v>
      </c>
      <c r="M48">
        <f>_xlfn.XLOOKUP($E48,Cert_OC_Cliente!$B:$B,Cert_OC_Cliente!$G:$G)</f>
        <v>15356.4</v>
      </c>
      <c r="N48">
        <f>IF($Y48="",_xlfn.XLOOKUP(DATE(YEAR(F48),MONTH(F48),1),'0_Indice_CAC'!$A:$A,'0_Indice_CAC'!$B:$B),$Y48)</f>
        <v>19331.4341532445</v>
      </c>
      <c r="O48">
        <f t="shared" si="13"/>
        <v>1.2588519544453454</v>
      </c>
      <c r="P48">
        <f t="shared" si="14"/>
        <v>1833105.1167615508</v>
      </c>
      <c r="Q48">
        <f t="shared" si="15"/>
        <v>8914778.9665473644</v>
      </c>
      <c r="R48" s="213">
        <v>0</v>
      </c>
      <c r="S48">
        <f t="shared" si="16"/>
        <v>0</v>
      </c>
      <c r="T48">
        <f t="shared" si="17"/>
        <v>8914778.9665473644</v>
      </c>
      <c r="U48">
        <v>1170</v>
      </c>
      <c r="V48">
        <f t="shared" si="18"/>
        <v>7619.4692021772344</v>
      </c>
      <c r="X48" t="str">
        <f t="shared" si="19"/>
        <v>✓</v>
      </c>
    </row>
    <row r="49" spans="1:24" x14ac:dyDescent="0.35">
      <c r="A49" t="s">
        <v>4966</v>
      </c>
      <c r="B49" t="s">
        <v>5046</v>
      </c>
      <c r="C49" t="s">
        <v>4998</v>
      </c>
      <c r="D49" t="str">
        <f>_xlfn.XLOOKUP(A49,Cert_App_Output!$C:$C,Cert_App_Output!$A:$A)</f>
        <v>GDR 3760</v>
      </c>
      <c r="E49" t="s">
        <v>4932</v>
      </c>
      <c r="F49">
        <f>_xlfn.XLOOKUP(A49,Cert_App_Output!$C:$C,Cert_App_Output!$D:$D)</f>
        <v>46108</v>
      </c>
      <c r="G49">
        <f>SUMIFS(Cert_App_Output!$J:$J,Cert_App_Output!$C:$C,$A49)</f>
        <v>62190160.806645878</v>
      </c>
      <c r="H49" s="213">
        <v>0.7</v>
      </c>
      <c r="I49">
        <f t="shared" si="10"/>
        <v>43533112.564652115</v>
      </c>
      <c r="J49">
        <f>_xlfn.XLOOKUP($A49,Cert_Cabecera!$A:$A,Cert_Cabecera!$E:$E)</f>
        <v>0.1</v>
      </c>
      <c r="K49">
        <f t="shared" si="11"/>
        <v>-4353311.2564652115</v>
      </c>
      <c r="L49">
        <f t="shared" si="12"/>
        <v>39179801.308186904</v>
      </c>
      <c r="M49">
        <f>_xlfn.XLOOKUP($E49,Cert_OC_Cliente!$B:$B,Cert_OC_Cliente!$G:$G)</f>
        <v>15356.4</v>
      </c>
      <c r="N49">
        <f>IF($Y49="",_xlfn.XLOOKUP(DATE(YEAR(F49),MONTH(F49),1),'0_Indice_CAC'!$A:$A,'0_Indice_CAC'!$B:$B),$Y49)</f>
        <v>19331.4341532445</v>
      </c>
      <c r="O49">
        <f t="shared" si="13"/>
        <v>1.2588519544453454</v>
      </c>
      <c r="P49">
        <f t="shared" si="14"/>
        <v>10141768.14340448</v>
      </c>
      <c r="Q49">
        <f t="shared" si="15"/>
        <v>49321569.451591387</v>
      </c>
      <c r="R49" s="213">
        <v>0.21</v>
      </c>
      <c r="S49">
        <f t="shared" si="16"/>
        <v>10357529.58483419</v>
      </c>
      <c r="T49">
        <f t="shared" si="17"/>
        <v>59679099.036425576</v>
      </c>
      <c r="U49">
        <v>1170</v>
      </c>
      <c r="V49" t="str">
        <f t="shared" si="18"/>
        <v/>
      </c>
      <c r="X49" t="str">
        <f t="shared" si="19"/>
        <v>✓</v>
      </c>
    </row>
    <row r="50" spans="1:24" x14ac:dyDescent="0.35">
      <c r="A50" t="s">
        <v>4966</v>
      </c>
      <c r="B50" t="s">
        <v>5047</v>
      </c>
      <c r="C50" t="s">
        <v>5000</v>
      </c>
      <c r="D50" t="str">
        <f>_xlfn.XLOOKUP(A50,Cert_App_Output!$C:$C,Cert_App_Output!$A:$A)</f>
        <v>GDR 3760</v>
      </c>
      <c r="E50" t="s">
        <v>4932</v>
      </c>
      <c r="F50">
        <f>_xlfn.XLOOKUP(A50,Cert_App_Output!$C:$C,Cert_App_Output!$D:$D)</f>
        <v>46108</v>
      </c>
      <c r="G50">
        <f>SUMIFS(Cert_App_Output!$J:$J,Cert_App_Output!$C:$C,$A50)</f>
        <v>62190160.806645878</v>
      </c>
      <c r="H50" s="213">
        <v>0.3</v>
      </c>
      <c r="I50">
        <f t="shared" si="10"/>
        <v>18657048.241993763</v>
      </c>
      <c r="J50">
        <f>_xlfn.XLOOKUP($A50,Cert_Cabecera!$A:$A,Cert_Cabecera!$E:$E)</f>
        <v>0.1</v>
      </c>
      <c r="K50">
        <f t="shared" si="11"/>
        <v>-1865704.8241993764</v>
      </c>
      <c r="L50">
        <f t="shared" si="12"/>
        <v>16791343.417794388</v>
      </c>
      <c r="M50">
        <f>_xlfn.XLOOKUP($E50,Cert_OC_Cliente!$B:$B,Cert_OC_Cliente!$G:$G)</f>
        <v>15356.4</v>
      </c>
      <c r="N50">
        <f>IF($Y50="",_xlfn.XLOOKUP(DATE(YEAR(F50),MONTH(F50),1),'0_Indice_CAC'!$A:$A,'0_Indice_CAC'!$B:$B),$Y50)</f>
        <v>19331.4341532445</v>
      </c>
      <c r="O50">
        <f t="shared" si="13"/>
        <v>1.2588519544453454</v>
      </c>
      <c r="P50">
        <f t="shared" si="14"/>
        <v>4346472.0614590626</v>
      </c>
      <c r="Q50">
        <f t="shared" si="15"/>
        <v>21137815.479253449</v>
      </c>
      <c r="R50" s="213">
        <v>0</v>
      </c>
      <c r="S50">
        <f t="shared" si="16"/>
        <v>0</v>
      </c>
      <c r="T50">
        <f t="shared" si="17"/>
        <v>21137815.479253449</v>
      </c>
      <c r="U50">
        <v>1170</v>
      </c>
      <c r="V50">
        <f t="shared" si="18"/>
        <v>18066.50895662688</v>
      </c>
      <c r="X50" t="str">
        <f t="shared" si="19"/>
        <v>✓</v>
      </c>
    </row>
    <row r="51" spans="1:24" x14ac:dyDescent="0.35">
      <c r="A51" t="s">
        <v>4967</v>
      </c>
      <c r="B51" t="s">
        <v>5048</v>
      </c>
      <c r="C51" t="s">
        <v>4998</v>
      </c>
      <c r="D51" t="str">
        <f>_xlfn.XLOOKUP(A51,Cert_App_Output!$C:$C,Cert_App_Output!$A:$A)</f>
        <v>GDR 3760</v>
      </c>
      <c r="E51" t="s">
        <v>4932</v>
      </c>
      <c r="F51">
        <f>_xlfn.XLOOKUP(A51,Cert_App_Output!$C:$C,Cert_App_Output!$D:$D)</f>
        <v>46140</v>
      </c>
      <c r="G51">
        <f>SUMIFS(Cert_App_Output!$J:$J,Cert_App_Output!$C:$C,$A51)</f>
        <v>55823812.163074292</v>
      </c>
      <c r="H51" s="213">
        <v>0.7</v>
      </c>
      <c r="I51">
        <f t="shared" si="10"/>
        <v>39076668.514152005</v>
      </c>
      <c r="J51">
        <f>_xlfn.XLOOKUP($A51,Cert_Cabecera!$A:$A,Cert_Cabecera!$E:$E)</f>
        <v>0.1</v>
      </c>
      <c r="K51">
        <f t="shared" si="11"/>
        <v>-3907666.8514152006</v>
      </c>
      <c r="L51">
        <f t="shared" si="12"/>
        <v>35169001.662736803</v>
      </c>
      <c r="M51">
        <f>_xlfn.XLOOKUP($E51,Cert_OC_Cliente!$B:$B,Cert_OC_Cliente!$G:$G)</f>
        <v>15356.4</v>
      </c>
      <c r="N51">
        <f>IF($Y51="",_xlfn.XLOOKUP(DATE(YEAR(F51),MONTH(F51),1),'0_Indice_CAC'!$A:$A,'0_Indice_CAC'!$B:$B),$Y51)</f>
        <v>19331.4341532445</v>
      </c>
      <c r="O51">
        <f t="shared" si="13"/>
        <v>1.2588519544453454</v>
      </c>
      <c r="P51">
        <f t="shared" si="14"/>
        <v>9103564.816291023</v>
      </c>
      <c r="Q51">
        <f t="shared" si="15"/>
        <v>44272566.479027823</v>
      </c>
      <c r="R51" s="213">
        <v>0.21</v>
      </c>
      <c r="S51">
        <f t="shared" si="16"/>
        <v>9297238.9605958425</v>
      </c>
      <c r="T51">
        <f t="shared" si="17"/>
        <v>53569805.439623669</v>
      </c>
      <c r="U51">
        <v>1170</v>
      </c>
      <c r="V51" t="str">
        <f t="shared" si="18"/>
        <v/>
      </c>
      <c r="X51" t="str">
        <f t="shared" si="19"/>
        <v>✓</v>
      </c>
    </row>
    <row r="52" spans="1:24" x14ac:dyDescent="0.35">
      <c r="A52" t="s">
        <v>4967</v>
      </c>
      <c r="B52" t="s">
        <v>5049</v>
      </c>
      <c r="C52" t="s">
        <v>5000</v>
      </c>
      <c r="D52" t="str">
        <f>_xlfn.XLOOKUP(A52,Cert_App_Output!$C:$C,Cert_App_Output!$A:$A)</f>
        <v>GDR 3760</v>
      </c>
      <c r="E52" t="s">
        <v>4932</v>
      </c>
      <c r="F52">
        <f>_xlfn.XLOOKUP(A52,Cert_App_Output!$C:$C,Cert_App_Output!$D:$D)</f>
        <v>46140</v>
      </c>
      <c r="G52">
        <f>SUMIFS(Cert_App_Output!$J:$J,Cert_App_Output!$C:$C,$A52)</f>
        <v>55823812.163074292</v>
      </c>
      <c r="H52" s="213">
        <v>0.3</v>
      </c>
      <c r="I52">
        <f t="shared" si="10"/>
        <v>16747143.648922287</v>
      </c>
      <c r="J52">
        <f>_xlfn.XLOOKUP($A52,Cert_Cabecera!$A:$A,Cert_Cabecera!$E:$E)</f>
        <v>0.1</v>
      </c>
      <c r="K52">
        <f t="shared" si="11"/>
        <v>-1674714.3648922287</v>
      </c>
      <c r="L52">
        <f t="shared" si="12"/>
        <v>15072429.284030057</v>
      </c>
      <c r="M52">
        <f>_xlfn.XLOOKUP($E52,Cert_OC_Cliente!$B:$B,Cert_OC_Cliente!$G:$G)</f>
        <v>15356.4</v>
      </c>
      <c r="N52">
        <f>IF($Y52="",_xlfn.XLOOKUP(DATE(YEAR(F52),MONTH(F52),1),'0_Indice_CAC'!$A:$A,'0_Indice_CAC'!$B:$B),$Y52)</f>
        <v>19331.4341532445</v>
      </c>
      <c r="O52">
        <f t="shared" si="13"/>
        <v>1.2588519544453454</v>
      </c>
      <c r="P52">
        <f t="shared" si="14"/>
        <v>3901527.778410438</v>
      </c>
      <c r="Q52">
        <f t="shared" si="15"/>
        <v>18973957.062440496</v>
      </c>
      <c r="R52" s="213">
        <v>0</v>
      </c>
      <c r="S52">
        <f t="shared" si="16"/>
        <v>0</v>
      </c>
      <c r="T52">
        <f t="shared" si="17"/>
        <v>18973957.062440496</v>
      </c>
      <c r="U52">
        <v>1170</v>
      </c>
      <c r="V52">
        <f t="shared" si="18"/>
        <v>16217.057318325211</v>
      </c>
      <c r="X52" t="str">
        <f t="shared" si="19"/>
        <v>✓</v>
      </c>
    </row>
    <row r="53" spans="1:24" x14ac:dyDescent="0.35">
      <c r="A53" t="s">
        <v>4968</v>
      </c>
      <c r="B53" t="s">
        <v>5050</v>
      </c>
      <c r="C53" t="s">
        <v>4998</v>
      </c>
      <c r="D53" t="str">
        <f>_xlfn.XLOOKUP(A53,Cert_App_Output!$C:$C,Cert_App_Output!$A:$A)</f>
        <v>GDR 3760</v>
      </c>
      <c r="E53" t="s">
        <v>4932</v>
      </c>
      <c r="F53">
        <f>_xlfn.XLOOKUP(A53,Cert_App_Output!$C:$C,Cert_App_Output!$D:$D)</f>
        <v>46172</v>
      </c>
      <c r="G53">
        <f>SUMIFS(Cert_App_Output!$J:$J,Cert_App_Output!$C:$C,$A53)</f>
        <v>79315595.860896185</v>
      </c>
      <c r="H53" s="213">
        <v>0.7</v>
      </c>
      <c r="I53">
        <f t="shared" si="10"/>
        <v>55520917.10262733</v>
      </c>
      <c r="J53">
        <f>_xlfn.XLOOKUP($A53,Cert_Cabecera!$A:$A,Cert_Cabecera!$E:$E)</f>
        <v>0.1</v>
      </c>
      <c r="K53">
        <f t="shared" si="11"/>
        <v>-5552091.7102627335</v>
      </c>
      <c r="L53">
        <f t="shared" si="12"/>
        <v>49968825.392364599</v>
      </c>
      <c r="M53">
        <f>_xlfn.XLOOKUP($E53,Cert_OC_Cliente!$B:$B,Cert_OC_Cliente!$G:$G)</f>
        <v>15356.4</v>
      </c>
      <c r="N53">
        <f>IF($Y53="",_xlfn.XLOOKUP(DATE(YEAR(F53),MONTH(F53),1),'0_Indice_CAC'!$A:$A,'0_Indice_CAC'!$B:$B),$Y53)</f>
        <v>19331.4341532445</v>
      </c>
      <c r="O53">
        <f t="shared" si="13"/>
        <v>1.2588519544453454</v>
      </c>
      <c r="P53">
        <f t="shared" si="14"/>
        <v>12934528.114151778</v>
      </c>
      <c r="Q53">
        <f t="shared" si="15"/>
        <v>62903353.506516375</v>
      </c>
      <c r="R53" s="213">
        <v>0.21</v>
      </c>
      <c r="S53">
        <f t="shared" si="16"/>
        <v>13209704.236368438</v>
      </c>
      <c r="T53">
        <f t="shared" si="17"/>
        <v>76113057.742884815</v>
      </c>
      <c r="U53">
        <v>1170</v>
      </c>
      <c r="V53" t="str">
        <f t="shared" si="18"/>
        <v/>
      </c>
      <c r="X53" t="str">
        <f t="shared" si="19"/>
        <v>✓</v>
      </c>
    </row>
    <row r="54" spans="1:24" x14ac:dyDescent="0.35">
      <c r="A54" t="s">
        <v>4968</v>
      </c>
      <c r="B54" t="s">
        <v>5051</v>
      </c>
      <c r="C54" t="s">
        <v>5000</v>
      </c>
      <c r="D54" t="str">
        <f>_xlfn.XLOOKUP(A54,Cert_App_Output!$C:$C,Cert_App_Output!$A:$A)</f>
        <v>GDR 3760</v>
      </c>
      <c r="E54" t="s">
        <v>4932</v>
      </c>
      <c r="F54">
        <f>_xlfn.XLOOKUP(A54,Cert_App_Output!$C:$C,Cert_App_Output!$D:$D)</f>
        <v>46172</v>
      </c>
      <c r="G54">
        <f>SUMIFS(Cert_App_Output!$J:$J,Cert_App_Output!$C:$C,$A54)</f>
        <v>79315595.860896185</v>
      </c>
      <c r="H54" s="213">
        <v>0.3</v>
      </c>
      <c r="I54">
        <f t="shared" si="10"/>
        <v>23794678.758268856</v>
      </c>
      <c r="J54">
        <f>_xlfn.XLOOKUP($A54,Cert_Cabecera!$A:$A,Cert_Cabecera!$E:$E)</f>
        <v>0.1</v>
      </c>
      <c r="K54">
        <f t="shared" si="11"/>
        <v>-2379467.8758268855</v>
      </c>
      <c r="L54">
        <f t="shared" si="12"/>
        <v>21415210.882441971</v>
      </c>
      <c r="M54">
        <f>_xlfn.XLOOKUP($E54,Cert_OC_Cliente!$B:$B,Cert_OC_Cliente!$G:$G)</f>
        <v>15356.4</v>
      </c>
      <c r="N54">
        <f>IF($Y54="",_xlfn.XLOOKUP(DATE(YEAR(F54),MONTH(F54),1),'0_Indice_CAC'!$A:$A,'0_Indice_CAC'!$B:$B),$Y54)</f>
        <v>19331.4341532445</v>
      </c>
      <c r="O54">
        <f t="shared" si="13"/>
        <v>1.2588519544453454</v>
      </c>
      <c r="P54">
        <f t="shared" si="14"/>
        <v>5543369.1917793332</v>
      </c>
      <c r="Q54">
        <f t="shared" si="15"/>
        <v>26958580.074221306</v>
      </c>
      <c r="R54" s="213">
        <v>0</v>
      </c>
      <c r="S54">
        <f t="shared" si="16"/>
        <v>0</v>
      </c>
      <c r="T54">
        <f t="shared" si="17"/>
        <v>26958580.074221306</v>
      </c>
      <c r="U54">
        <v>1170</v>
      </c>
      <c r="V54">
        <f t="shared" si="18"/>
        <v>23041.521430958383</v>
      </c>
      <c r="X54" t="str">
        <f t="shared" si="19"/>
        <v>✓</v>
      </c>
    </row>
    <row r="55" spans="1:24" x14ac:dyDescent="0.35">
      <c r="A55" t="s">
        <v>4969</v>
      </c>
      <c r="B55" t="s">
        <v>5052</v>
      </c>
      <c r="C55" t="s">
        <v>5000</v>
      </c>
      <c r="D55" t="str">
        <f>_xlfn.XLOOKUP(A55,Cert_App_Output!$C:$C,Cert_App_Output!$A:$A)</f>
        <v>GDR 3760</v>
      </c>
      <c r="E55" t="s">
        <v>4934</v>
      </c>
      <c r="F55">
        <f>_xlfn.XLOOKUP(A55,Cert_App_Output!$C:$C,Cert_App_Output!$D:$D)</f>
        <v>45900</v>
      </c>
      <c r="G55">
        <f>SUMIFS(Cert_App_Output!$J:$J,Cert_App_Output!$C:$C,$A55)</f>
        <v>2212945.17</v>
      </c>
      <c r="H55" s="213">
        <v>1</v>
      </c>
      <c r="I55">
        <f t="shared" si="10"/>
        <v>2212945.17</v>
      </c>
      <c r="J55">
        <f>_xlfn.XLOOKUP($A55,Cert_Cabecera!$A:$A,Cert_Cabecera!$E:$E)</f>
        <v>0</v>
      </c>
      <c r="K55">
        <f t="shared" si="11"/>
        <v>0</v>
      </c>
      <c r="L55">
        <f t="shared" si="12"/>
        <v>2212945.17</v>
      </c>
      <c r="M55">
        <f>_xlfn.XLOOKUP($E55,Cert_OC_Cliente!$B:$B,Cert_OC_Cliente!$G:$G)</f>
        <v>15356.4</v>
      </c>
      <c r="N55">
        <f>IF($Y55="",_xlfn.XLOOKUP(DATE(YEAR(F55),MONTH(F55),1),'0_Indice_CAC'!$A:$A,'0_Indice_CAC'!$B:$B),$Y55)</f>
        <v>17187.599999999999</v>
      </c>
      <c r="O55">
        <f t="shared" si="13"/>
        <v>1.1192466984449481</v>
      </c>
      <c r="P55">
        <f t="shared" si="14"/>
        <v>263886.40536219435</v>
      </c>
      <c r="Q55">
        <f t="shared" si="15"/>
        <v>2476831.5753621943</v>
      </c>
      <c r="R55" s="213">
        <v>0</v>
      </c>
      <c r="S55">
        <f t="shared" si="16"/>
        <v>0</v>
      </c>
      <c r="T55">
        <f t="shared" si="17"/>
        <v>2476831.5753621943</v>
      </c>
      <c r="U55">
        <v>1170</v>
      </c>
      <c r="V55">
        <f t="shared" si="18"/>
        <v>2116.9500644121317</v>
      </c>
      <c r="X55" t="str">
        <f t="shared" si="19"/>
        <v>✓</v>
      </c>
    </row>
    <row r="56" spans="1:24" x14ac:dyDescent="0.35">
      <c r="A56" t="s">
        <v>4970</v>
      </c>
      <c r="B56" t="s">
        <v>5053</v>
      </c>
      <c r="C56" t="s">
        <v>5000</v>
      </c>
      <c r="D56" t="str">
        <f>_xlfn.XLOOKUP(A56,Cert_App_Output!$C:$C,Cert_App_Output!$A:$A)</f>
        <v>GDR 3760</v>
      </c>
      <c r="E56" t="s">
        <v>4934</v>
      </c>
      <c r="F56">
        <f>_xlfn.XLOOKUP(A56,Cert_App_Output!$C:$C,Cert_App_Output!$D:$D)</f>
        <v>45930</v>
      </c>
      <c r="G56">
        <f>SUMIFS(Cert_App_Output!$J:$J,Cert_App_Output!$C:$C,$A56)</f>
        <v>23811290.029199999</v>
      </c>
      <c r="H56" s="213">
        <v>1</v>
      </c>
      <c r="I56">
        <f t="shared" si="10"/>
        <v>23811290.029199999</v>
      </c>
      <c r="J56">
        <f>_xlfn.XLOOKUP($A56,Cert_Cabecera!$A:$A,Cert_Cabecera!$E:$E)</f>
        <v>0</v>
      </c>
      <c r="K56">
        <f t="shared" si="11"/>
        <v>0</v>
      </c>
      <c r="L56">
        <f t="shared" si="12"/>
        <v>23811290.029199999</v>
      </c>
      <c r="M56">
        <f>_xlfn.XLOOKUP($E56,Cert_OC_Cliente!$B:$B,Cert_OC_Cliente!$G:$G)</f>
        <v>15356.4</v>
      </c>
      <c r="N56">
        <f>IF($Y56="",_xlfn.XLOOKUP(DATE(YEAR(F56),MONTH(F56),1),'0_Indice_CAC'!$A:$A,'0_Indice_CAC'!$B:$B),$Y56)</f>
        <v>17762.3</v>
      </c>
      <c r="O56">
        <f t="shared" si="13"/>
        <v>1.1566708343101249</v>
      </c>
      <c r="P56">
        <f t="shared" si="14"/>
        <v>3730534.6748751211</v>
      </c>
      <c r="Q56">
        <f t="shared" si="15"/>
        <v>27541824.70407512</v>
      </c>
      <c r="R56" s="213">
        <v>0</v>
      </c>
      <c r="S56">
        <f t="shared" si="16"/>
        <v>0</v>
      </c>
      <c r="T56">
        <f t="shared" si="17"/>
        <v>27541824.70407512</v>
      </c>
      <c r="U56">
        <v>1170</v>
      </c>
      <c r="V56">
        <f t="shared" si="18"/>
        <v>23540.021114594121</v>
      </c>
      <c r="X56" t="str">
        <f t="shared" si="19"/>
        <v>✓</v>
      </c>
    </row>
    <row r="57" spans="1:24" x14ac:dyDescent="0.35">
      <c r="A57" t="s">
        <v>4971</v>
      </c>
      <c r="B57" t="s">
        <v>5054</v>
      </c>
      <c r="C57" t="s">
        <v>5000</v>
      </c>
      <c r="D57" t="str">
        <f>_xlfn.XLOOKUP(A57,Cert_App_Output!$C:$C,Cert_App_Output!$A:$A)</f>
        <v>GDR 3760</v>
      </c>
      <c r="E57" t="s">
        <v>4934</v>
      </c>
      <c r="F57">
        <f>_xlfn.XLOOKUP(A57,Cert_App_Output!$C:$C,Cert_App_Output!$D:$D)</f>
        <v>45958</v>
      </c>
      <c r="G57">
        <f>SUMIFS(Cert_App_Output!$J:$J,Cert_App_Output!$C:$C,$A57)</f>
        <v>35176920.949199997</v>
      </c>
      <c r="H57" s="213">
        <v>1</v>
      </c>
      <c r="I57">
        <f t="shared" si="10"/>
        <v>35176920.949199997</v>
      </c>
      <c r="J57">
        <f>_xlfn.XLOOKUP($A57,Cert_Cabecera!$A:$A,Cert_Cabecera!$E:$E)</f>
        <v>0</v>
      </c>
      <c r="K57">
        <f t="shared" si="11"/>
        <v>0</v>
      </c>
      <c r="L57">
        <f t="shared" si="12"/>
        <v>35176920.949199997</v>
      </c>
      <c r="M57">
        <f>_xlfn.XLOOKUP($E57,Cert_OC_Cliente!$B:$B,Cert_OC_Cliente!$G:$G)</f>
        <v>15356.4</v>
      </c>
      <c r="N57">
        <f>IF($Y57="",_xlfn.XLOOKUP(DATE(YEAR(F57),MONTH(F57),1),'0_Indice_CAC'!$A:$A,'0_Indice_CAC'!$B:$B),$Y57)</f>
        <v>18172.8</v>
      </c>
      <c r="O57">
        <f t="shared" si="13"/>
        <v>1.183402359928108</v>
      </c>
      <c r="P57">
        <f t="shared" si="14"/>
        <v>6451530.3170877825</v>
      </c>
      <c r="Q57">
        <f t="shared" si="15"/>
        <v>41628451.266287781</v>
      </c>
      <c r="R57" s="213">
        <v>0</v>
      </c>
      <c r="S57">
        <f t="shared" si="16"/>
        <v>0</v>
      </c>
      <c r="T57">
        <f t="shared" si="17"/>
        <v>41628451.266287781</v>
      </c>
      <c r="U57">
        <v>1170</v>
      </c>
      <c r="V57">
        <f t="shared" si="18"/>
        <v>35579.872877169044</v>
      </c>
      <c r="X57" t="str">
        <f t="shared" si="19"/>
        <v>✓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7" x14ac:dyDescent="0.35">
      <c r="A1" s="204" t="s">
        <v>5055</v>
      </c>
      <c r="B1" s="204" t="s">
        <v>5056</v>
      </c>
      <c r="C1" s="204" t="s">
        <v>888</v>
      </c>
      <c r="D1" s="204" t="s">
        <v>5057</v>
      </c>
      <c r="E1" s="204" t="s">
        <v>5058</v>
      </c>
      <c r="F1" s="204" t="s">
        <v>5059</v>
      </c>
      <c r="G1" s="204" t="s">
        <v>5060</v>
      </c>
      <c r="H1" s="204" t="s">
        <v>5061</v>
      </c>
      <c r="I1" s="204" t="s">
        <v>5062</v>
      </c>
      <c r="J1" s="204" t="s">
        <v>5063</v>
      </c>
      <c r="K1" s="204" t="s">
        <v>5064</v>
      </c>
      <c r="L1" s="204" t="s">
        <v>5065</v>
      </c>
      <c r="M1" s="204" t="s">
        <v>5066</v>
      </c>
      <c r="N1" s="204" t="s">
        <v>5067</v>
      </c>
      <c r="O1" s="204" t="s">
        <v>5068</v>
      </c>
      <c r="P1" s="204" t="s">
        <v>5069</v>
      </c>
      <c r="Q1" s="204" t="s">
        <v>5070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D32"/>
  </sheetPr>
  <dimension ref="A1:M5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3" x14ac:dyDescent="0.35">
      <c r="A1" s="204" t="s">
        <v>4919</v>
      </c>
      <c r="B1" s="204" t="s">
        <v>570</v>
      </c>
      <c r="C1" s="204" t="s">
        <v>4920</v>
      </c>
      <c r="D1" s="204" t="s">
        <v>5071</v>
      </c>
      <c r="E1" s="204" t="s">
        <v>5072</v>
      </c>
      <c r="F1" s="204" t="s">
        <v>5073</v>
      </c>
      <c r="G1" s="204" t="s">
        <v>5074</v>
      </c>
      <c r="H1" s="204" t="s">
        <v>5075</v>
      </c>
      <c r="I1" s="204" t="s">
        <v>5076</v>
      </c>
      <c r="J1" s="204" t="s">
        <v>5077</v>
      </c>
      <c r="K1" s="204" t="s">
        <v>5063</v>
      </c>
      <c r="L1" s="204" t="s">
        <v>5078</v>
      </c>
      <c r="M1" s="204" t="s">
        <v>492</v>
      </c>
    </row>
    <row r="2" spans="1:13" x14ac:dyDescent="0.35">
      <c r="A2" t="str">
        <f>Cert_OC_Cliente!B2</f>
        <v>GDR-OC01</v>
      </c>
      <c r="B2" t="str">
        <f>_xlfn.XLOOKUP($A2,Cert_OC_Cliente!$B:$B,Cert_OC_Cliente!$L:$L)</f>
        <v>PTO 01</v>
      </c>
      <c r="C2" t="str">
        <f>_xlfn.XLOOKUP($A2,Cert_OC_Cliente!$B:$B,Cert_OC_Cliente!$C:$C)</f>
        <v>Pto 1 - Preliminar y Hormigón</v>
      </c>
      <c r="D2">
        <f>_xlfn.XLOOKUP($A2,Cert_OC_Cliente!$B:$B,Cert_OC_Cliente!$D:$D)</f>
        <v>500907720</v>
      </c>
      <c r="E2">
        <f>IFERROR(SUMPRODUCT(('1_Presupuesto'!$X$5:$X$227=$B2)*'1_Presupuesto'!$Y$5:$Y$227*'1_Presupuesto'!$V$5:$V$227)/SUMPRODUCT(('1_Presupuesto'!$X$5:$X$227=$B2)*'1_Presupuesto'!$V$5:$V$227),0)</f>
        <v>1</v>
      </c>
      <c r="F2">
        <f>SUMIFS(Cert_Calculo!$T:$T,Cert_Calculo!$E:$E,$A2)</f>
        <v>618787213.62703109</v>
      </c>
      <c r="G2">
        <f>SUMIFS(Cert_Facturacion!$G:$G,Cert_Facturacion!$A:$A,$A2&amp;"-*")</f>
        <v>0</v>
      </c>
      <c r="H2">
        <f>SUMIFS(Cert_Facturacion!$G:$G,Cert_Facturacion!$A:$A,$A2&amp;"-*",Cert_Facturacion!$F:$F,"&gt;0")</f>
        <v>0</v>
      </c>
      <c r="I2">
        <f>SUMIFS(Cert_Calculo!$T:$T,Cert_Calculo!$E:$E,$A2,Cert_Calculo!$B:$B,"*ANT*")</f>
        <v>229816461.93599999</v>
      </c>
      <c r="J2">
        <f>SUMIFS(Cert_App_Output!$J:$J,Cert_App_Output!$B:$B,$A2)-SUMIFS(Cert_Calculo!$I:$I,Cert_Calculo!$E:$E,$A2,Cert_Calculo!$B:$B,"&lt;&gt;*ANT*")</f>
        <v>0</v>
      </c>
      <c r="K2">
        <f t="shared" ref="K2:L4" si="0">F2-G2</f>
        <v>618787213.62703109</v>
      </c>
      <c r="L2">
        <f t="shared" si="0"/>
        <v>0</v>
      </c>
      <c r="M2" t="str">
        <f>IF(J2&gt;1000,"⚠ Certificar",IF(F2=0,"🔴 Sin iniciar",IF(K2&gt;1000,"🟠 Por facturar",IF(L2&gt;1000,"🔵 Por cobrar",IF(E2&gt;=0.999,"🟢 Cerrada","🟡 En ejecucion")))))</f>
        <v>🟠 Por facturar</v>
      </c>
    </row>
    <row r="3" spans="1:13" x14ac:dyDescent="0.35">
      <c r="A3" t="str">
        <f>Cert_OC_Cliente!B3</f>
        <v>GDR-OC02</v>
      </c>
      <c r="B3" t="str">
        <f>_xlfn.XLOOKUP($A3,Cert_OC_Cliente!$B:$B,Cert_OC_Cliente!$L:$L)</f>
        <v>PTO 02</v>
      </c>
      <c r="C3" t="str">
        <f>_xlfn.XLOOKUP($A3,Cert_OC_Cliente!$B:$B,Cert_OC_Cliente!$C:$C)</f>
        <v>Pto 2 - Albañilería e Instalaciones</v>
      </c>
      <c r="D3">
        <f>_xlfn.XLOOKUP($A3,Cert_OC_Cliente!$B:$B,Cert_OC_Cliente!$D:$D)</f>
        <v>844845248</v>
      </c>
      <c r="E3">
        <f>IFERROR(SUMPRODUCT(('1_Presupuesto'!$X$5:$X$227=$B3)*'1_Presupuesto'!$Y$5:$Y$227*'1_Presupuesto'!$V$5:$V$227)/SUMPRODUCT(('1_Presupuesto'!$X$5:$X$227=$B3)*'1_Presupuesto'!$V$5:$V$227),0)</f>
        <v>0.49353691488922563</v>
      </c>
      <c r="F3">
        <f>SUMIFS(Cert_Calculo!$T:$T,Cert_Calculo!$E:$E,$A3)</f>
        <v>606755583.03309226</v>
      </c>
      <c r="G3">
        <f>SUMIFS(Cert_Facturacion!$G:$G,Cert_Facturacion!$A:$A,$A3&amp;"-*")</f>
        <v>0</v>
      </c>
      <c r="H3">
        <f>SUMIFS(Cert_Facturacion!$G:$G,Cert_Facturacion!$A:$A,$A3&amp;"-*",Cert_Facturacion!$F:$F,"&gt;0")</f>
        <v>0</v>
      </c>
      <c r="I3">
        <f>SUMIFS(Cert_Calculo!$T:$T,Cert_Calculo!$E:$E,$A3,Cert_Calculo!$B:$B,"*ANT*")</f>
        <v>96903749.945600003</v>
      </c>
      <c r="J3">
        <f>SUMIFS(Cert_App_Output!$J:$J,Cert_App_Output!$B:$B,$A3)-SUMIFS(Cert_Calculo!$I:$I,Cert_Calculo!$E:$E,$A3,Cert_Calculo!$B:$B,"&lt;&gt;*ANT*")</f>
        <v>0</v>
      </c>
      <c r="K3">
        <f t="shared" si="0"/>
        <v>606755583.03309226</v>
      </c>
      <c r="L3">
        <f t="shared" si="0"/>
        <v>0</v>
      </c>
      <c r="M3" t="str">
        <f>IF(J3&gt;1000,"⚠ Certificar",IF(F3=0,"🔴 Sin iniciar",IF(K3&gt;1000,"🟠 Por facturar",IF(L3&gt;1000,"🔵 Por cobrar",IF(E3&gt;=0.999,"🟢 Cerrada","🟡 En ejecucion")))))</f>
        <v>🟠 Por facturar</v>
      </c>
    </row>
    <row r="4" spans="1:13" x14ac:dyDescent="0.35">
      <c r="A4" t="str">
        <f>Cert_OC_Cliente!B4</f>
        <v>GDR-OC03</v>
      </c>
      <c r="B4" t="str">
        <f>_xlfn.XLOOKUP($A4,Cert_OC_Cliente!$B:$B,Cert_OC_Cliente!$L:$L)</f>
        <v>PTO 03</v>
      </c>
      <c r="C4" t="str">
        <f>_xlfn.XLOOKUP($A4,Cert_OC_Cliente!$B:$B,Cert_OC_Cliente!$C:$C)</f>
        <v>Adicionales 01</v>
      </c>
      <c r="D4">
        <f>_xlfn.XLOOKUP($A4,Cert_OC_Cliente!$B:$B,Cert_OC_Cliente!$D:$D)</f>
        <v>96300019</v>
      </c>
      <c r="E4">
        <f>IFERROR(SUMPRODUCT(('1_Presupuesto'!$X$5:$X$227=$B4)*'1_Presupuesto'!$Y$5:$Y$227*'1_Presupuesto'!$V$5:$V$227)/SUMPRODUCT(('1_Presupuesto'!$X$5:$X$227=$B4)*'1_Presupuesto'!$V$5:$V$227),0)</f>
        <v>0</v>
      </c>
      <c r="F4">
        <f>SUMIFS(Cert_Calculo!$T:$T,Cert_Calculo!$E:$E,$A4)</f>
        <v>71647107.545725092</v>
      </c>
      <c r="G4">
        <f>SUMIFS(Cert_Facturacion!$G:$G,Cert_Facturacion!$A:$A,$A4&amp;"-*")</f>
        <v>0</v>
      </c>
      <c r="H4">
        <f>SUMIFS(Cert_Facturacion!$G:$G,Cert_Facturacion!$A:$A,$A4&amp;"-*",Cert_Facturacion!$F:$F,"&gt;0")</f>
        <v>0</v>
      </c>
      <c r="I4">
        <f>SUMIFS(Cert_Calculo!$T:$T,Cert_Calculo!$E:$E,$A4,Cert_Calculo!$B:$B,"*ANT*")</f>
        <v>0</v>
      </c>
      <c r="J4">
        <f>SUMIFS(Cert_App_Output!$J:$J,Cert_App_Output!$B:$B,$A4)-SUMIFS(Cert_Calculo!$I:$I,Cert_Calculo!$E:$E,$A4,Cert_Calculo!$B:$B,"&lt;&gt;*ANT*")</f>
        <v>0</v>
      </c>
      <c r="K4">
        <f t="shared" si="0"/>
        <v>71647107.545725092</v>
      </c>
      <c r="L4">
        <f t="shared" si="0"/>
        <v>0</v>
      </c>
      <c r="M4" t="str">
        <f>IF(J4&gt;1000,"⚠ Certificar",IF(F4=0,"🔴 Sin iniciar",IF(K4&gt;1000,"🟠 Por facturar",IF(L4&gt;1000,"🔵 Por cobrar",IF(E4&gt;=0.999,"🟢 Cerrada","🟡 En ejecucion")))))</f>
        <v>🟠 Por facturar</v>
      </c>
    </row>
    <row r="5" spans="1:13" x14ac:dyDescent="0.35">
      <c r="A5" s="207" t="s">
        <v>5079</v>
      </c>
      <c r="D5" s="206">
        <f>SUM(D2:D4)</f>
        <v>1442052987</v>
      </c>
      <c r="E5" s="215">
        <f>SUMPRODUCT($D$2:$D$4,$E$2:$E$4)/SUM($D$2:$D$4)</f>
        <v>0.63650229605380149</v>
      </c>
      <c r="F5" s="206">
        <f t="shared" ref="F5:L5" si="1">SUM(F2:F4)</f>
        <v>1297189904.2058485</v>
      </c>
      <c r="G5" s="206">
        <f t="shared" si="1"/>
        <v>0</v>
      </c>
      <c r="H5" s="206">
        <f t="shared" si="1"/>
        <v>0</v>
      </c>
      <c r="I5" s="206">
        <f t="shared" si="1"/>
        <v>326720211.88160002</v>
      </c>
      <c r="J5" s="206">
        <f t="shared" si="1"/>
        <v>0</v>
      </c>
      <c r="K5" s="206">
        <f t="shared" si="1"/>
        <v>1297189904.2058485</v>
      </c>
      <c r="L5" s="206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0_CONFIG</vt:lpstr>
      <vt:lpstr>0_Indice_CAC</vt:lpstr>
      <vt:lpstr>0_Jornales_MO</vt:lpstr>
      <vt:lpstr>1_Presupuesto</vt:lpstr>
      <vt:lpstr>1_GGBB</vt:lpstr>
      <vt:lpstr>2_Movimientos</vt:lpstr>
      <vt:lpstr>1_Composicion</vt:lpstr>
      <vt:lpstr>2_Gastos_DirInd</vt:lpstr>
      <vt:lpstr>2_Quincenas</vt:lpstr>
      <vt:lpstr>2_Subcontratos</vt:lpstr>
      <vt:lpstr>_Listas</vt:lpstr>
      <vt:lpstr>Cert_OC_Cliente</vt:lpstr>
      <vt:lpstr>Cert_App_Output</vt:lpstr>
      <vt:lpstr>Cert_Cabecera</vt:lpstr>
      <vt:lpstr>Cert_Calculo</vt:lpstr>
      <vt:lpstr>Cert_Facturacion</vt:lpstr>
      <vt:lpstr>Cert_Control_OC</vt:lpstr>
      <vt:lpstr>GASTOS_CONCEPTO</vt:lpstr>
      <vt:lpstr>RUBROS_PLAN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</dc:creator>
  <cp:lastModifiedBy>Pedro Pagliaricci</cp:lastModifiedBy>
  <cp:revision>0</cp:revision>
  <cp:lastPrinted>2025-10-02T18:28:42Z</cp:lastPrinted>
  <dcterms:created xsi:type="dcterms:W3CDTF">2022-09-08T13:59:40Z</dcterms:created>
  <dcterms:modified xsi:type="dcterms:W3CDTF">2026-06-24T14:08:11Z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0x010100AE9CEA585CBBC74FBBAE7EC15B2535DB</vt:lpwstr>
  </property>
  <property fmtid="{D5CDD505-2E9C-101B-9397-08002B2CF9AE}" pid="3" name="MediaServiceImageTags">
    <vt:lpwstr/>
  </property>
</Properties>
</file>