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edro Pagliaricci\Documents\arquinering-migracion\archivos\output\"/>
    </mc:Choice>
  </mc:AlternateContent>
  <xr:revisionPtr revIDLastSave="0" documentId="13_ncr:1_{329B646A-6FCD-4C30-B84B-70D18ECE805A}" xr6:coauthVersionLast="47" xr6:coauthVersionMax="47" xr10:uidLastSave="{00000000-0000-0000-0000-000000000000}"/>
  <bookViews>
    <workbookView xWindow="-30" yWindow="-16320" windowWidth="29040" windowHeight="15720" tabRatio="500" firstSheet="11" activeTab="16" xr2:uid="{00000000-000D-0000-FFFF-FFFF00000000}"/>
  </bookViews>
  <sheets>
    <sheet name="0_CONFIG" sheetId="1" r:id="rId1"/>
    <sheet name="0_Indice_CAC" sheetId="2" r:id="rId2"/>
    <sheet name="0_Jornales_MO" sheetId="3" r:id="rId3"/>
    <sheet name="1_Presupuesto" sheetId="4" r:id="rId4"/>
    <sheet name="1_GGBB" sheetId="5" r:id="rId5"/>
    <sheet name="2_Movimientos" sheetId="6" r:id="rId6"/>
    <sheet name="1_Composicion" sheetId="7" r:id="rId7"/>
    <sheet name="2_Gastos_DirInd" sheetId="8" r:id="rId8"/>
    <sheet name="2_Quincenas" sheetId="9" r:id="rId9"/>
    <sheet name="2_Subcontratos" sheetId="10" r:id="rId10"/>
    <sheet name="_Listas" sheetId="11" state="hidden" r:id="rId11"/>
    <sheet name="Cert_OC_Cliente" sheetId="12" r:id="rId12"/>
    <sheet name="Cert_App_Output" sheetId="13" r:id="rId13"/>
    <sheet name="Cert_Cabecera" sheetId="14" r:id="rId14"/>
    <sheet name="Cert_Calculo" sheetId="15" r:id="rId15"/>
    <sheet name="Cert_Facturacion" sheetId="16" r:id="rId16"/>
    <sheet name="Cert_Control_OC" sheetId="17" r:id="rId17"/>
  </sheets>
  <definedNames>
    <definedName name="_xlnm._FilterDatabase" localSheetId="6" hidden="1">'1_Composicion'!$A$1:$S$1879</definedName>
    <definedName name="_xlnm._FilterDatabase" localSheetId="3" hidden="1">'1_Presupuesto'!$A$3:$Y$219</definedName>
    <definedName name="_xlnm._FilterDatabase" localSheetId="5" hidden="1">'2_Movimientos'!$A$1:$R$850</definedName>
    <definedName name="_xlnm._FilterDatabase" localSheetId="8" hidden="1">'2_Quincenas'!$A$3:$O$77</definedName>
    <definedName name="GASTOS_CONCEPTO">_Listas!$I$2:$I$17</definedName>
    <definedName name="RUBROS_PLAN">_Listas!$A$2:$A$34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7" l="1"/>
  <c r="C4" i="17"/>
  <c r="A4" i="17"/>
  <c r="D4" i="17" s="1"/>
  <c r="C3" i="17"/>
  <c r="B3" i="17"/>
  <c r="A3" i="17"/>
  <c r="H3" i="17" s="1"/>
  <c r="G2" i="17"/>
  <c r="D2" i="17"/>
  <c r="C2" i="17"/>
  <c r="B2" i="17"/>
  <c r="A2" i="17"/>
  <c r="X47" i="15"/>
  <c r="J47" i="15"/>
  <c r="F47" i="15"/>
  <c r="N47" i="15" s="1"/>
  <c r="D47" i="15"/>
  <c r="X46" i="15"/>
  <c r="V46" i="15"/>
  <c r="J46" i="15"/>
  <c r="F46" i="15"/>
  <c r="N46" i="15" s="1"/>
  <c r="D46" i="15"/>
  <c r="X45" i="15"/>
  <c r="J45" i="15"/>
  <c r="F45" i="15"/>
  <c r="N45" i="15" s="1"/>
  <c r="D45" i="15"/>
  <c r="X44" i="15"/>
  <c r="V44" i="15"/>
  <c r="J44" i="15"/>
  <c r="F44" i="15"/>
  <c r="N44" i="15" s="1"/>
  <c r="D44" i="15"/>
  <c r="X43" i="15"/>
  <c r="J43" i="15"/>
  <c r="F43" i="15"/>
  <c r="N43" i="15" s="1"/>
  <c r="D43" i="15"/>
  <c r="X42" i="15"/>
  <c r="V42" i="15"/>
  <c r="J42" i="15"/>
  <c r="F42" i="15"/>
  <c r="N42" i="15" s="1"/>
  <c r="D42" i="15"/>
  <c r="X41" i="15"/>
  <c r="J41" i="15"/>
  <c r="F41" i="15"/>
  <c r="N41" i="15" s="1"/>
  <c r="D41" i="15"/>
  <c r="X40" i="15"/>
  <c r="V40" i="15"/>
  <c r="J40" i="15"/>
  <c r="F40" i="15"/>
  <c r="N40" i="15" s="1"/>
  <c r="D40" i="15"/>
  <c r="X39" i="15"/>
  <c r="J39" i="15"/>
  <c r="F39" i="15"/>
  <c r="N39" i="15" s="1"/>
  <c r="D39" i="15"/>
  <c r="X38" i="15"/>
  <c r="V38" i="15"/>
  <c r="J38" i="15"/>
  <c r="F38" i="15"/>
  <c r="N38" i="15" s="1"/>
  <c r="D38" i="15"/>
  <c r="X37" i="15"/>
  <c r="J37" i="15"/>
  <c r="F37" i="15"/>
  <c r="N37" i="15" s="1"/>
  <c r="D37" i="15"/>
  <c r="X36" i="15"/>
  <c r="V36" i="15"/>
  <c r="J36" i="15"/>
  <c r="F36" i="15"/>
  <c r="N36" i="15" s="1"/>
  <c r="D36" i="15"/>
  <c r="X35" i="15"/>
  <c r="J35" i="15"/>
  <c r="F35" i="15"/>
  <c r="N35" i="15" s="1"/>
  <c r="D35" i="15"/>
  <c r="X34" i="15"/>
  <c r="V34" i="15"/>
  <c r="J34" i="15"/>
  <c r="F34" i="15"/>
  <c r="N34" i="15" s="1"/>
  <c r="D34" i="15"/>
  <c r="X33" i="15"/>
  <c r="J33" i="15"/>
  <c r="F33" i="15"/>
  <c r="N33" i="15" s="1"/>
  <c r="D33" i="15"/>
  <c r="X32" i="15"/>
  <c r="V32" i="15"/>
  <c r="J32" i="15"/>
  <c r="F32" i="15"/>
  <c r="N32" i="15" s="1"/>
  <c r="D32" i="15"/>
  <c r="X31" i="15"/>
  <c r="J31" i="15"/>
  <c r="F31" i="15"/>
  <c r="N31" i="15" s="1"/>
  <c r="D31" i="15"/>
  <c r="X30" i="15"/>
  <c r="V30" i="15"/>
  <c r="J30" i="15"/>
  <c r="F30" i="15"/>
  <c r="N30" i="15" s="1"/>
  <c r="D30" i="15"/>
  <c r="X29" i="15"/>
  <c r="J29" i="15"/>
  <c r="F29" i="15"/>
  <c r="N29" i="15" s="1"/>
  <c r="D29" i="15"/>
  <c r="X28" i="15"/>
  <c r="V28" i="15"/>
  <c r="J28" i="15"/>
  <c r="F28" i="15"/>
  <c r="N28" i="15" s="1"/>
  <c r="D28" i="15"/>
  <c r="X27" i="15"/>
  <c r="J27" i="15"/>
  <c r="F27" i="15"/>
  <c r="N27" i="15" s="1"/>
  <c r="D27" i="15"/>
  <c r="X26" i="15"/>
  <c r="V26" i="15"/>
  <c r="J26" i="15"/>
  <c r="F26" i="15"/>
  <c r="N26" i="15" s="1"/>
  <c r="D26" i="15"/>
  <c r="X25" i="15"/>
  <c r="J25" i="15"/>
  <c r="F25" i="15"/>
  <c r="N25" i="15" s="1"/>
  <c r="D25" i="15"/>
  <c r="X24" i="15"/>
  <c r="V24" i="15"/>
  <c r="J24" i="15"/>
  <c r="F24" i="15"/>
  <c r="N24" i="15" s="1"/>
  <c r="D24" i="15"/>
  <c r="X23" i="15"/>
  <c r="J23" i="15"/>
  <c r="F23" i="15"/>
  <c r="N23" i="15" s="1"/>
  <c r="D23" i="15"/>
  <c r="X22" i="15"/>
  <c r="V22" i="15"/>
  <c r="J22" i="15"/>
  <c r="F22" i="15"/>
  <c r="N22" i="15" s="1"/>
  <c r="D22" i="15"/>
  <c r="X21" i="15"/>
  <c r="J21" i="15"/>
  <c r="F21" i="15"/>
  <c r="N21" i="15" s="1"/>
  <c r="D21" i="15"/>
  <c r="X20" i="15"/>
  <c r="V20" i="15"/>
  <c r="J20" i="15"/>
  <c r="F20" i="15"/>
  <c r="N20" i="15" s="1"/>
  <c r="D20" i="15"/>
  <c r="X19" i="15"/>
  <c r="J19" i="15"/>
  <c r="F19" i="15"/>
  <c r="N19" i="15" s="1"/>
  <c r="D19" i="15"/>
  <c r="X18" i="15"/>
  <c r="V18" i="15"/>
  <c r="J18" i="15"/>
  <c r="F18" i="15"/>
  <c r="N18" i="15" s="1"/>
  <c r="D18" i="15"/>
  <c r="X17" i="15"/>
  <c r="J17" i="15"/>
  <c r="F17" i="15"/>
  <c r="N17" i="15" s="1"/>
  <c r="D17" i="15"/>
  <c r="X16" i="15"/>
  <c r="V16" i="15"/>
  <c r="J16" i="15"/>
  <c r="F16" i="15"/>
  <c r="N16" i="15" s="1"/>
  <c r="D16" i="15"/>
  <c r="X15" i="15"/>
  <c r="J15" i="15"/>
  <c r="F15" i="15"/>
  <c r="N15" i="15" s="1"/>
  <c r="D15" i="15"/>
  <c r="X14" i="15"/>
  <c r="V14" i="15"/>
  <c r="J14" i="15"/>
  <c r="F14" i="15"/>
  <c r="N14" i="15" s="1"/>
  <c r="D14" i="15"/>
  <c r="X13" i="15"/>
  <c r="J13" i="15"/>
  <c r="F13" i="15"/>
  <c r="N13" i="15" s="1"/>
  <c r="D13" i="15"/>
  <c r="X12" i="15"/>
  <c r="V12" i="15"/>
  <c r="J12" i="15"/>
  <c r="F12" i="15"/>
  <c r="N12" i="15" s="1"/>
  <c r="D12" i="15"/>
  <c r="X11" i="15"/>
  <c r="J11" i="15"/>
  <c r="F11" i="15"/>
  <c r="N11" i="15" s="1"/>
  <c r="D11" i="15"/>
  <c r="X10" i="15"/>
  <c r="V10" i="15"/>
  <c r="J10" i="15"/>
  <c r="F10" i="15"/>
  <c r="N10" i="15" s="1"/>
  <c r="D10" i="15"/>
  <c r="X9" i="15"/>
  <c r="J9" i="15"/>
  <c r="F9" i="15"/>
  <c r="N9" i="15" s="1"/>
  <c r="D9" i="15"/>
  <c r="X8" i="15"/>
  <c r="V8" i="15"/>
  <c r="J8" i="15"/>
  <c r="F8" i="15"/>
  <c r="N8" i="15" s="1"/>
  <c r="D8" i="15"/>
  <c r="X7" i="15"/>
  <c r="N7" i="15"/>
  <c r="J7" i="15"/>
  <c r="I7" i="15"/>
  <c r="X6" i="15"/>
  <c r="V6" i="15"/>
  <c r="N6" i="15"/>
  <c r="J6" i="15"/>
  <c r="I6" i="15"/>
  <c r="X5" i="15"/>
  <c r="N5" i="15"/>
  <c r="J5" i="15"/>
  <c r="K5" i="15" s="1"/>
  <c r="L5" i="15" s="1"/>
  <c r="I5" i="15"/>
  <c r="X4" i="15"/>
  <c r="V4" i="15"/>
  <c r="N4" i="15"/>
  <c r="O4" i="15" s="1"/>
  <c r="M4" i="15"/>
  <c r="J4" i="15"/>
  <c r="I4" i="15"/>
  <c r="K4" i="15" s="1"/>
  <c r="X3" i="15"/>
  <c r="N3" i="15"/>
  <c r="J3" i="15"/>
  <c r="I3" i="15"/>
  <c r="X2" i="15"/>
  <c r="V2" i="15"/>
  <c r="N2" i="15"/>
  <c r="J2" i="15"/>
  <c r="I2" i="15"/>
  <c r="H24" i="14"/>
  <c r="C24" i="14"/>
  <c r="B24" i="14"/>
  <c r="H23" i="14"/>
  <c r="C23" i="14"/>
  <c r="B23" i="14"/>
  <c r="H22" i="14"/>
  <c r="C22" i="14"/>
  <c r="B22" i="14"/>
  <c r="H21" i="14"/>
  <c r="C21" i="14"/>
  <c r="B21" i="14"/>
  <c r="H20" i="14"/>
  <c r="C20" i="14"/>
  <c r="B20" i="14"/>
  <c r="H19" i="14"/>
  <c r="C19" i="14"/>
  <c r="B19" i="14"/>
  <c r="H18" i="14"/>
  <c r="C18" i="14"/>
  <c r="B18" i="14"/>
  <c r="H17" i="14"/>
  <c r="C17" i="14"/>
  <c r="B17" i="14"/>
  <c r="H16" i="14"/>
  <c r="C16" i="14"/>
  <c r="B16" i="14"/>
  <c r="H15" i="14"/>
  <c r="C15" i="14"/>
  <c r="B15" i="14"/>
  <c r="H14" i="14"/>
  <c r="C14" i="14"/>
  <c r="B14" i="14"/>
  <c r="H13" i="14"/>
  <c r="C13" i="14"/>
  <c r="B13" i="14"/>
  <c r="H12" i="14"/>
  <c r="C12" i="14"/>
  <c r="B12" i="14"/>
  <c r="H11" i="14"/>
  <c r="C11" i="14"/>
  <c r="B11" i="14"/>
  <c r="H10" i="14"/>
  <c r="C10" i="14"/>
  <c r="B10" i="14"/>
  <c r="H9" i="14"/>
  <c r="C9" i="14"/>
  <c r="B9" i="14"/>
  <c r="H8" i="14"/>
  <c r="C8" i="14"/>
  <c r="B8" i="14"/>
  <c r="H7" i="14"/>
  <c r="C7" i="14"/>
  <c r="B7" i="14"/>
  <c r="H6" i="14"/>
  <c r="C6" i="14"/>
  <c r="B6" i="14"/>
  <c r="H5" i="14"/>
  <c r="C5" i="14"/>
  <c r="B5" i="14"/>
  <c r="H4" i="14"/>
  <c r="D4" i="14"/>
  <c r="F4" i="14" s="1"/>
  <c r="C4" i="14"/>
  <c r="B4" i="14"/>
  <c r="H3" i="14"/>
  <c r="D3" i="14"/>
  <c r="C3" i="14"/>
  <c r="B3" i="14"/>
  <c r="H2" i="14"/>
  <c r="D2" i="14"/>
  <c r="C2" i="14"/>
  <c r="B2" i="14"/>
  <c r="K405" i="13"/>
  <c r="J405" i="13"/>
  <c r="H405" i="13"/>
  <c r="L405" i="13" s="1"/>
  <c r="K404" i="13"/>
  <c r="J404" i="13"/>
  <c r="H404" i="13"/>
  <c r="L404" i="13" s="1"/>
  <c r="K403" i="13"/>
  <c r="J403" i="13"/>
  <c r="H403" i="13"/>
  <c r="L403" i="13" s="1"/>
  <c r="K402" i="13"/>
  <c r="J402" i="13"/>
  <c r="H402" i="13"/>
  <c r="L402" i="13" s="1"/>
  <c r="K401" i="13"/>
  <c r="J401" i="13"/>
  <c r="H401" i="13"/>
  <c r="L401" i="13" s="1"/>
  <c r="L400" i="13"/>
  <c r="K400" i="13"/>
  <c r="J400" i="13"/>
  <c r="H400" i="13"/>
  <c r="K399" i="13"/>
  <c r="J399" i="13"/>
  <c r="H399" i="13"/>
  <c r="L399" i="13" s="1"/>
  <c r="K398" i="13"/>
  <c r="J398" i="13"/>
  <c r="H398" i="13"/>
  <c r="L398" i="13" s="1"/>
  <c r="K397" i="13"/>
  <c r="Y71" i="4" s="1"/>
  <c r="J397" i="13"/>
  <c r="H397" i="13"/>
  <c r="L397" i="13" s="1"/>
  <c r="L396" i="13"/>
  <c r="K396" i="13"/>
  <c r="J396" i="13"/>
  <c r="H396" i="13"/>
  <c r="K395" i="13"/>
  <c r="J395" i="13"/>
  <c r="H395" i="13"/>
  <c r="L395" i="13" s="1"/>
  <c r="K394" i="13"/>
  <c r="Y61" i="4" s="1"/>
  <c r="J394" i="13"/>
  <c r="H394" i="13"/>
  <c r="L394" i="13" s="1"/>
  <c r="K393" i="13"/>
  <c r="J393" i="13"/>
  <c r="H393" i="13"/>
  <c r="L393" i="13" s="1"/>
  <c r="L392" i="13"/>
  <c r="K392" i="13"/>
  <c r="J392" i="13"/>
  <c r="H392" i="13"/>
  <c r="K391" i="13"/>
  <c r="J391" i="13"/>
  <c r="H391" i="13"/>
  <c r="L391" i="13" s="1"/>
  <c r="K390" i="13"/>
  <c r="J390" i="13"/>
  <c r="H390" i="13"/>
  <c r="L390" i="13" s="1"/>
  <c r="K389" i="13"/>
  <c r="J389" i="13"/>
  <c r="H389" i="13"/>
  <c r="L389" i="13" s="1"/>
  <c r="K388" i="13"/>
  <c r="J388" i="13"/>
  <c r="H388" i="13"/>
  <c r="L388" i="13" s="1"/>
  <c r="K387" i="13"/>
  <c r="J387" i="13"/>
  <c r="H387" i="13"/>
  <c r="L387" i="13" s="1"/>
  <c r="K386" i="13"/>
  <c r="J386" i="13"/>
  <c r="H386" i="13"/>
  <c r="L386" i="13" s="1"/>
  <c r="K385" i="13"/>
  <c r="J385" i="13"/>
  <c r="H385" i="13"/>
  <c r="L385" i="13" s="1"/>
  <c r="L384" i="13"/>
  <c r="K384" i="13"/>
  <c r="J384" i="13"/>
  <c r="H384" i="13"/>
  <c r="L383" i="13"/>
  <c r="K383" i="13"/>
  <c r="J383" i="13"/>
  <c r="H383" i="13"/>
  <c r="K382" i="13"/>
  <c r="J382" i="13"/>
  <c r="H382" i="13"/>
  <c r="L382" i="13" s="1"/>
  <c r="K381" i="13"/>
  <c r="J381" i="13"/>
  <c r="H381" i="13"/>
  <c r="L381" i="13" s="1"/>
  <c r="K380" i="13"/>
  <c r="J380" i="13"/>
  <c r="H380" i="13"/>
  <c r="L380" i="13" s="1"/>
  <c r="L379" i="13"/>
  <c r="K379" i="13"/>
  <c r="J379" i="13"/>
  <c r="H379" i="13"/>
  <c r="K378" i="13"/>
  <c r="J378" i="13"/>
  <c r="H378" i="13"/>
  <c r="L378" i="13" s="1"/>
  <c r="K377" i="13"/>
  <c r="J377" i="13"/>
  <c r="H377" i="13"/>
  <c r="L377" i="13" s="1"/>
  <c r="L376" i="13"/>
  <c r="K376" i="13"/>
  <c r="J376" i="13"/>
  <c r="H376" i="13"/>
  <c r="L375" i="13"/>
  <c r="K375" i="13"/>
  <c r="J375" i="13"/>
  <c r="H375" i="13"/>
  <c r="K374" i="13"/>
  <c r="J374" i="13"/>
  <c r="H374" i="13"/>
  <c r="L374" i="13" s="1"/>
  <c r="K373" i="13"/>
  <c r="J373" i="13"/>
  <c r="H373" i="13"/>
  <c r="L373" i="13" s="1"/>
  <c r="K372" i="13"/>
  <c r="J372" i="13"/>
  <c r="H372" i="13"/>
  <c r="L372" i="13" s="1"/>
  <c r="K371" i="13"/>
  <c r="J371" i="13"/>
  <c r="H371" i="13"/>
  <c r="L371" i="13" s="1"/>
  <c r="K370" i="13"/>
  <c r="J370" i="13"/>
  <c r="H370" i="13"/>
  <c r="L370" i="13" s="1"/>
  <c r="K369" i="13"/>
  <c r="J369" i="13"/>
  <c r="H369" i="13"/>
  <c r="L369" i="13" s="1"/>
  <c r="K368" i="13"/>
  <c r="J368" i="13"/>
  <c r="H368" i="13"/>
  <c r="L368" i="13" s="1"/>
  <c r="L367" i="13"/>
  <c r="K367" i="13"/>
  <c r="J367" i="13"/>
  <c r="H367" i="13"/>
  <c r="K366" i="13"/>
  <c r="J366" i="13"/>
  <c r="H366" i="13"/>
  <c r="L366" i="13" s="1"/>
  <c r="K365" i="13"/>
  <c r="J365" i="13"/>
  <c r="H365" i="13"/>
  <c r="L365" i="13" s="1"/>
  <c r="K364" i="13"/>
  <c r="J364" i="13"/>
  <c r="H364" i="13"/>
  <c r="L364" i="13" s="1"/>
  <c r="K363" i="13"/>
  <c r="J363" i="13"/>
  <c r="H363" i="13"/>
  <c r="L363" i="13" s="1"/>
  <c r="L362" i="13"/>
  <c r="K362" i="13"/>
  <c r="J362" i="13"/>
  <c r="H362" i="13"/>
  <c r="K361" i="13"/>
  <c r="J361" i="13"/>
  <c r="H361" i="13"/>
  <c r="L361" i="13" s="1"/>
  <c r="K360" i="13"/>
  <c r="J360" i="13"/>
  <c r="H360" i="13"/>
  <c r="L360" i="13" s="1"/>
  <c r="K359" i="13"/>
  <c r="J359" i="13"/>
  <c r="H359" i="13"/>
  <c r="L359" i="13" s="1"/>
  <c r="K358" i="13"/>
  <c r="J358" i="13"/>
  <c r="H358" i="13"/>
  <c r="L358" i="13" s="1"/>
  <c r="K357" i="13"/>
  <c r="J357" i="13"/>
  <c r="H357" i="13"/>
  <c r="L357" i="13" s="1"/>
  <c r="K356" i="13"/>
  <c r="J356" i="13"/>
  <c r="H356" i="13"/>
  <c r="L356" i="13" s="1"/>
  <c r="K355" i="13"/>
  <c r="J355" i="13"/>
  <c r="H355" i="13"/>
  <c r="L355" i="13" s="1"/>
  <c r="L354" i="13"/>
  <c r="K354" i="13"/>
  <c r="Y72" i="4" s="1"/>
  <c r="J354" i="13"/>
  <c r="H354" i="13"/>
  <c r="K353" i="13"/>
  <c r="J353" i="13"/>
  <c r="H353" i="13"/>
  <c r="L353" i="13" s="1"/>
  <c r="K352" i="13"/>
  <c r="J352" i="13"/>
  <c r="H352" i="13"/>
  <c r="L352" i="13" s="1"/>
  <c r="K351" i="13"/>
  <c r="J351" i="13"/>
  <c r="H351" i="13"/>
  <c r="L351" i="13" s="1"/>
  <c r="L350" i="13"/>
  <c r="K350" i="13"/>
  <c r="Y53" i="4" s="1"/>
  <c r="J350" i="13"/>
  <c r="H350" i="13"/>
  <c r="K349" i="13"/>
  <c r="J349" i="13"/>
  <c r="H349" i="13"/>
  <c r="L349" i="13" s="1"/>
  <c r="K348" i="13"/>
  <c r="J348" i="13"/>
  <c r="H348" i="13"/>
  <c r="L348" i="13" s="1"/>
  <c r="K347" i="13"/>
  <c r="J347" i="13"/>
  <c r="H347" i="13"/>
  <c r="L347" i="13" s="1"/>
  <c r="K346" i="13"/>
  <c r="J346" i="13"/>
  <c r="H346" i="13"/>
  <c r="L346" i="13" s="1"/>
  <c r="K345" i="13"/>
  <c r="J345" i="13"/>
  <c r="H345" i="13"/>
  <c r="L345" i="13" s="1"/>
  <c r="K344" i="13"/>
  <c r="J344" i="13"/>
  <c r="H344" i="13"/>
  <c r="L344" i="13" s="1"/>
  <c r="K343" i="13"/>
  <c r="J343" i="13"/>
  <c r="H343" i="13"/>
  <c r="L343" i="13" s="1"/>
  <c r="K342" i="13"/>
  <c r="J342" i="13"/>
  <c r="H342" i="13"/>
  <c r="L342" i="13" s="1"/>
  <c r="K341" i="13"/>
  <c r="J341" i="13"/>
  <c r="H341" i="13"/>
  <c r="L341" i="13" s="1"/>
  <c r="K340" i="13"/>
  <c r="J340" i="13"/>
  <c r="H340" i="13"/>
  <c r="L340" i="13" s="1"/>
  <c r="L339" i="13"/>
  <c r="K339" i="13"/>
  <c r="J339" i="13"/>
  <c r="H339" i="13"/>
  <c r="K338" i="13"/>
  <c r="J338" i="13"/>
  <c r="H338" i="13"/>
  <c r="L338" i="13" s="1"/>
  <c r="K337" i="13"/>
  <c r="J337" i="13"/>
  <c r="H337" i="13"/>
  <c r="L337" i="13" s="1"/>
  <c r="K336" i="13"/>
  <c r="J336" i="13"/>
  <c r="H336" i="13"/>
  <c r="L336" i="13" s="1"/>
  <c r="L335" i="13"/>
  <c r="K335" i="13"/>
  <c r="J335" i="13"/>
  <c r="H335" i="13"/>
  <c r="L334" i="13"/>
  <c r="K334" i="13"/>
  <c r="J334" i="13"/>
  <c r="H334" i="13"/>
  <c r="K333" i="13"/>
  <c r="J333" i="13"/>
  <c r="H333" i="13"/>
  <c r="L333" i="13" s="1"/>
  <c r="K332" i="13"/>
  <c r="J332" i="13"/>
  <c r="H332" i="13"/>
  <c r="L332" i="13" s="1"/>
  <c r="K331" i="13"/>
  <c r="J331" i="13"/>
  <c r="H331" i="13"/>
  <c r="L331" i="13" s="1"/>
  <c r="L330" i="13"/>
  <c r="K330" i="13"/>
  <c r="J330" i="13"/>
  <c r="H330" i="13"/>
  <c r="K329" i="13"/>
  <c r="J329" i="13"/>
  <c r="H329" i="13"/>
  <c r="L329" i="13" s="1"/>
  <c r="L328" i="13"/>
  <c r="K328" i="13"/>
  <c r="J328" i="13"/>
  <c r="H328" i="13"/>
  <c r="K327" i="13"/>
  <c r="J327" i="13"/>
  <c r="H327" i="13"/>
  <c r="L327" i="13" s="1"/>
  <c r="L326" i="13"/>
  <c r="K326" i="13"/>
  <c r="J326" i="13"/>
  <c r="H326" i="13"/>
  <c r="K325" i="13"/>
  <c r="Y137" i="4" s="1"/>
  <c r="J325" i="13"/>
  <c r="H325" i="13"/>
  <c r="L325" i="13" s="1"/>
  <c r="K324" i="13"/>
  <c r="J324" i="13"/>
  <c r="H324" i="13"/>
  <c r="L324" i="13" s="1"/>
  <c r="K323" i="13"/>
  <c r="J323" i="13"/>
  <c r="H323" i="13"/>
  <c r="L323" i="13" s="1"/>
  <c r="K322" i="13"/>
  <c r="J322" i="13"/>
  <c r="H322" i="13"/>
  <c r="L322" i="13" s="1"/>
  <c r="K321" i="13"/>
  <c r="J321" i="13"/>
  <c r="H321" i="13"/>
  <c r="L321" i="13" s="1"/>
  <c r="L320" i="13"/>
  <c r="K320" i="13"/>
  <c r="Y119" i="4" s="1"/>
  <c r="J320" i="13"/>
  <c r="H320" i="13"/>
  <c r="L319" i="13"/>
  <c r="K319" i="13"/>
  <c r="J319" i="13"/>
  <c r="H319" i="13"/>
  <c r="K318" i="13"/>
  <c r="J318" i="13"/>
  <c r="H318" i="13"/>
  <c r="L318" i="13" s="1"/>
  <c r="K317" i="13"/>
  <c r="J317" i="13"/>
  <c r="H317" i="13"/>
  <c r="L317" i="13" s="1"/>
  <c r="L316" i="13"/>
  <c r="K316" i="13"/>
  <c r="J316" i="13"/>
  <c r="H316" i="13"/>
  <c r="L315" i="13"/>
  <c r="K315" i="13"/>
  <c r="J315" i="13"/>
  <c r="H315" i="13"/>
  <c r="K314" i="13"/>
  <c r="J314" i="13"/>
  <c r="H314" i="13"/>
  <c r="L314" i="13" s="1"/>
  <c r="K313" i="13"/>
  <c r="J313" i="13"/>
  <c r="H313" i="13"/>
  <c r="L313" i="13" s="1"/>
  <c r="L312" i="13"/>
  <c r="K312" i="13"/>
  <c r="J312" i="13"/>
  <c r="H312" i="13"/>
  <c r="L311" i="13"/>
  <c r="K311" i="13"/>
  <c r="J311" i="13"/>
  <c r="H311" i="13"/>
  <c r="K310" i="13"/>
  <c r="J310" i="13"/>
  <c r="H310" i="13"/>
  <c r="L310" i="13" s="1"/>
  <c r="K309" i="13"/>
  <c r="J309" i="13"/>
  <c r="H309" i="13"/>
  <c r="L309" i="13" s="1"/>
  <c r="L308" i="13"/>
  <c r="K308" i="13"/>
  <c r="J308" i="13"/>
  <c r="H308" i="13"/>
  <c r="L307" i="13"/>
  <c r="K307" i="13"/>
  <c r="J307" i="13"/>
  <c r="H307" i="13"/>
  <c r="K306" i="13"/>
  <c r="J306" i="13"/>
  <c r="H306" i="13"/>
  <c r="L306" i="13" s="1"/>
  <c r="K305" i="13"/>
  <c r="J305" i="13"/>
  <c r="H305" i="13"/>
  <c r="L305" i="13" s="1"/>
  <c r="K304" i="13"/>
  <c r="J304" i="13"/>
  <c r="H304" i="13"/>
  <c r="L304" i="13" s="1"/>
  <c r="L303" i="13"/>
  <c r="K303" i="13"/>
  <c r="Y194" i="4" s="1"/>
  <c r="J303" i="13"/>
  <c r="H303" i="13"/>
  <c r="L302" i="13"/>
  <c r="K302" i="13"/>
  <c r="J302" i="13"/>
  <c r="H302" i="13"/>
  <c r="K301" i="13"/>
  <c r="J301" i="13"/>
  <c r="H301" i="13"/>
  <c r="L301" i="13" s="1"/>
  <c r="K300" i="13"/>
  <c r="J300" i="13"/>
  <c r="H300" i="13"/>
  <c r="L300" i="13" s="1"/>
  <c r="K299" i="13"/>
  <c r="J299" i="13"/>
  <c r="H299" i="13"/>
  <c r="L299" i="13" s="1"/>
  <c r="K298" i="13"/>
  <c r="J298" i="13"/>
  <c r="H298" i="13"/>
  <c r="L298" i="13" s="1"/>
  <c r="K297" i="13"/>
  <c r="J297" i="13"/>
  <c r="H297" i="13"/>
  <c r="L297" i="13" s="1"/>
  <c r="L296" i="13"/>
  <c r="K296" i="13"/>
  <c r="J296" i="13"/>
  <c r="H296" i="13"/>
  <c r="K295" i="13"/>
  <c r="J295" i="13"/>
  <c r="H295" i="13"/>
  <c r="L295" i="13" s="1"/>
  <c r="L294" i="13"/>
  <c r="K294" i="13"/>
  <c r="J294" i="13"/>
  <c r="H294" i="13"/>
  <c r="K293" i="13"/>
  <c r="Y147" i="4" s="1"/>
  <c r="J293" i="13"/>
  <c r="H293" i="13"/>
  <c r="L293" i="13" s="1"/>
  <c r="L292" i="13"/>
  <c r="K292" i="13"/>
  <c r="Y146" i="4" s="1"/>
  <c r="J292" i="13"/>
  <c r="H292" i="13"/>
  <c r="K291" i="13"/>
  <c r="J291" i="13"/>
  <c r="H291" i="13"/>
  <c r="L291" i="13" s="1"/>
  <c r="K290" i="13"/>
  <c r="J290" i="13"/>
  <c r="H290" i="13"/>
  <c r="L290" i="13" s="1"/>
  <c r="K289" i="13"/>
  <c r="J289" i="13"/>
  <c r="H289" i="13"/>
  <c r="L289" i="13" s="1"/>
  <c r="K288" i="13"/>
  <c r="J288" i="13"/>
  <c r="H288" i="13"/>
  <c r="L288" i="13" s="1"/>
  <c r="K287" i="13"/>
  <c r="J287" i="13"/>
  <c r="H287" i="13"/>
  <c r="L287" i="13" s="1"/>
  <c r="L286" i="13"/>
  <c r="K286" i="13"/>
  <c r="J286" i="13"/>
  <c r="H286" i="13"/>
  <c r="K285" i="13"/>
  <c r="J285" i="13"/>
  <c r="H285" i="13"/>
  <c r="L285" i="13" s="1"/>
  <c r="K284" i="13"/>
  <c r="J284" i="13"/>
  <c r="H284" i="13"/>
  <c r="L284" i="13" s="1"/>
  <c r="L283" i="13"/>
  <c r="K283" i="13"/>
  <c r="J283" i="13"/>
  <c r="H283" i="13"/>
  <c r="L282" i="13"/>
  <c r="K282" i="13"/>
  <c r="J282" i="13"/>
  <c r="H282" i="13"/>
  <c r="K281" i="13"/>
  <c r="J281" i="13"/>
  <c r="H281" i="13"/>
  <c r="L281" i="13" s="1"/>
  <c r="K280" i="13"/>
  <c r="J280" i="13"/>
  <c r="H280" i="13"/>
  <c r="L280" i="13" s="1"/>
  <c r="K279" i="13"/>
  <c r="J279" i="13"/>
  <c r="H279" i="13"/>
  <c r="L279" i="13" s="1"/>
  <c r="K278" i="13"/>
  <c r="J278" i="13"/>
  <c r="H278" i="13"/>
  <c r="L278" i="13" s="1"/>
  <c r="K277" i="13"/>
  <c r="J277" i="13"/>
  <c r="H277" i="13"/>
  <c r="L277" i="13" s="1"/>
  <c r="K276" i="13"/>
  <c r="J276" i="13"/>
  <c r="H276" i="13"/>
  <c r="L276" i="13" s="1"/>
  <c r="K275" i="13"/>
  <c r="J275" i="13"/>
  <c r="H275" i="13"/>
  <c r="L275" i="13" s="1"/>
  <c r="K274" i="13"/>
  <c r="J274" i="13"/>
  <c r="H274" i="13"/>
  <c r="L274" i="13" s="1"/>
  <c r="K273" i="13"/>
  <c r="J273" i="13"/>
  <c r="H273" i="13"/>
  <c r="L273" i="13" s="1"/>
  <c r="L272" i="13"/>
  <c r="K272" i="13"/>
  <c r="J272" i="13"/>
  <c r="H272" i="13"/>
  <c r="K271" i="13"/>
  <c r="J271" i="13"/>
  <c r="H271" i="13"/>
  <c r="L271" i="13" s="1"/>
  <c r="L270" i="13"/>
  <c r="K270" i="13"/>
  <c r="Y202" i="4" s="1"/>
  <c r="J270" i="13"/>
  <c r="H270" i="13"/>
  <c r="K269" i="13"/>
  <c r="J269" i="13"/>
  <c r="H269" i="13"/>
  <c r="L269" i="13" s="1"/>
  <c r="L268" i="13"/>
  <c r="K268" i="13"/>
  <c r="J268" i="13"/>
  <c r="H268" i="13"/>
  <c r="K267" i="13"/>
  <c r="J267" i="13"/>
  <c r="H267" i="13"/>
  <c r="L267" i="13" s="1"/>
  <c r="K266" i="13"/>
  <c r="J266" i="13"/>
  <c r="H266" i="13"/>
  <c r="L266" i="13" s="1"/>
  <c r="K265" i="13"/>
  <c r="Y177" i="4" s="1"/>
  <c r="J265" i="13"/>
  <c r="H265" i="13"/>
  <c r="L265" i="13" s="1"/>
  <c r="L264" i="13"/>
  <c r="K264" i="13"/>
  <c r="Y176" i="4" s="1"/>
  <c r="J264" i="13"/>
  <c r="H264" i="13"/>
  <c r="K263" i="13"/>
  <c r="J263" i="13"/>
  <c r="H263" i="13"/>
  <c r="L263" i="13" s="1"/>
  <c r="K262" i="13"/>
  <c r="J262" i="13"/>
  <c r="H262" i="13"/>
  <c r="L262" i="13" s="1"/>
  <c r="K261" i="13"/>
  <c r="J261" i="13"/>
  <c r="H261" i="13"/>
  <c r="L261" i="13" s="1"/>
  <c r="K260" i="13"/>
  <c r="J260" i="13"/>
  <c r="H260" i="13"/>
  <c r="L260" i="13" s="1"/>
  <c r="K259" i="13"/>
  <c r="J259" i="13"/>
  <c r="H259" i="13"/>
  <c r="L259" i="13" s="1"/>
  <c r="K258" i="13"/>
  <c r="J258" i="13"/>
  <c r="H258" i="13"/>
  <c r="L258" i="13" s="1"/>
  <c r="K257" i="13"/>
  <c r="J257" i="13"/>
  <c r="H257" i="13"/>
  <c r="L257" i="13" s="1"/>
  <c r="K256" i="13"/>
  <c r="J256" i="13"/>
  <c r="H256" i="13"/>
  <c r="L256" i="13" s="1"/>
  <c r="K255" i="13"/>
  <c r="Y144" i="4" s="1"/>
  <c r="J255" i="13"/>
  <c r="H255" i="13"/>
  <c r="L255" i="13" s="1"/>
  <c r="L254" i="13"/>
  <c r="K254" i="13"/>
  <c r="J254" i="13"/>
  <c r="H254" i="13"/>
  <c r="K253" i="13"/>
  <c r="J253" i="13"/>
  <c r="H253" i="13"/>
  <c r="L253" i="13" s="1"/>
  <c r="L252" i="13"/>
  <c r="K252" i="13"/>
  <c r="J252" i="13"/>
  <c r="H252" i="13"/>
  <c r="K251" i="13"/>
  <c r="J251" i="13"/>
  <c r="H251" i="13"/>
  <c r="L251" i="13" s="1"/>
  <c r="K250" i="13"/>
  <c r="J250" i="13"/>
  <c r="H250" i="13"/>
  <c r="L250" i="13" s="1"/>
  <c r="K249" i="13"/>
  <c r="Y74" i="4" s="1"/>
  <c r="J249" i="13"/>
  <c r="H249" i="13"/>
  <c r="L249" i="13" s="1"/>
  <c r="L248" i="13"/>
  <c r="K248" i="13"/>
  <c r="J248" i="13"/>
  <c r="H248" i="13"/>
  <c r="K247" i="13"/>
  <c r="J247" i="13"/>
  <c r="H247" i="13"/>
  <c r="L247" i="13" s="1"/>
  <c r="L246" i="13"/>
  <c r="K246" i="13"/>
  <c r="J246" i="13"/>
  <c r="H246" i="13"/>
  <c r="K245" i="13"/>
  <c r="J245" i="13"/>
  <c r="H245" i="13"/>
  <c r="L245" i="13" s="1"/>
  <c r="K244" i="13"/>
  <c r="J244" i="13"/>
  <c r="H244" i="13"/>
  <c r="L244" i="13" s="1"/>
  <c r="K243" i="13"/>
  <c r="J243" i="13"/>
  <c r="H243" i="13"/>
  <c r="L243" i="13" s="1"/>
  <c r="K242" i="13"/>
  <c r="J242" i="13"/>
  <c r="H242" i="13"/>
  <c r="L242" i="13" s="1"/>
  <c r="K241" i="13"/>
  <c r="J241" i="13"/>
  <c r="H241" i="13"/>
  <c r="L241" i="13" s="1"/>
  <c r="K240" i="13"/>
  <c r="J240" i="13"/>
  <c r="H240" i="13"/>
  <c r="L240" i="13" s="1"/>
  <c r="K239" i="13"/>
  <c r="J239" i="13"/>
  <c r="H239" i="13"/>
  <c r="L239" i="13" s="1"/>
  <c r="L238" i="13"/>
  <c r="K238" i="13"/>
  <c r="J238" i="13"/>
  <c r="H238" i="13"/>
  <c r="K237" i="13"/>
  <c r="J237" i="13"/>
  <c r="H237" i="13"/>
  <c r="L237" i="13" s="1"/>
  <c r="K236" i="13"/>
  <c r="J236" i="13"/>
  <c r="H236" i="13"/>
  <c r="L236" i="13" s="1"/>
  <c r="K235" i="13"/>
  <c r="J235" i="13"/>
  <c r="H235" i="13"/>
  <c r="L235" i="13" s="1"/>
  <c r="K234" i="13"/>
  <c r="J234" i="13"/>
  <c r="H234" i="13"/>
  <c r="L234" i="13" s="1"/>
  <c r="K233" i="13"/>
  <c r="J233" i="13"/>
  <c r="H233" i="13"/>
  <c r="L233" i="13" s="1"/>
  <c r="K232" i="13"/>
  <c r="J232" i="13"/>
  <c r="H232" i="13"/>
  <c r="L232" i="13" s="1"/>
  <c r="K231" i="13"/>
  <c r="J231" i="13"/>
  <c r="H231" i="13"/>
  <c r="L231" i="13" s="1"/>
  <c r="K230" i="13"/>
  <c r="J230" i="13"/>
  <c r="H230" i="13"/>
  <c r="L230" i="13" s="1"/>
  <c r="K229" i="13"/>
  <c r="J229" i="13"/>
  <c r="H229" i="13"/>
  <c r="L229" i="13" s="1"/>
  <c r="K228" i="13"/>
  <c r="J228" i="13"/>
  <c r="H228" i="13"/>
  <c r="L228" i="13" s="1"/>
  <c r="K227" i="13"/>
  <c r="J227" i="13"/>
  <c r="H227" i="13"/>
  <c r="L227" i="13" s="1"/>
  <c r="K226" i="13"/>
  <c r="J226" i="13"/>
  <c r="H226" i="13"/>
  <c r="L226" i="13" s="1"/>
  <c r="L225" i="13"/>
  <c r="K225" i="13"/>
  <c r="J225" i="13"/>
  <c r="H225" i="13"/>
  <c r="K224" i="13"/>
  <c r="J224" i="13"/>
  <c r="H224" i="13"/>
  <c r="L224" i="13" s="1"/>
  <c r="K223" i="13"/>
  <c r="J223" i="13"/>
  <c r="H223" i="13"/>
  <c r="L223" i="13" s="1"/>
  <c r="K222" i="13"/>
  <c r="J222" i="13"/>
  <c r="H222" i="13"/>
  <c r="L222" i="13" s="1"/>
  <c r="L221" i="13"/>
  <c r="K221" i="13"/>
  <c r="J221" i="13"/>
  <c r="H221" i="13"/>
  <c r="L220" i="13"/>
  <c r="K220" i="13"/>
  <c r="J220" i="13"/>
  <c r="H220" i="13"/>
  <c r="K219" i="13"/>
  <c r="J219" i="13"/>
  <c r="H219" i="13"/>
  <c r="L219" i="13" s="1"/>
  <c r="K218" i="13"/>
  <c r="J218" i="13"/>
  <c r="H218" i="13"/>
  <c r="L218" i="13" s="1"/>
  <c r="K217" i="13"/>
  <c r="Y145" i="4" s="1"/>
  <c r="J217" i="13"/>
  <c r="H217" i="13"/>
  <c r="L217" i="13" s="1"/>
  <c r="L216" i="13"/>
  <c r="K216" i="13"/>
  <c r="J216" i="13"/>
  <c r="H216" i="13"/>
  <c r="K215" i="13"/>
  <c r="J215" i="13"/>
  <c r="H215" i="13"/>
  <c r="L215" i="13" s="1"/>
  <c r="K214" i="13"/>
  <c r="J214" i="13"/>
  <c r="H214" i="13"/>
  <c r="L214" i="13" s="1"/>
  <c r="K213" i="13"/>
  <c r="J213" i="13"/>
  <c r="H213" i="13"/>
  <c r="L213" i="13" s="1"/>
  <c r="L212" i="13"/>
  <c r="K212" i="13"/>
  <c r="J212" i="13"/>
  <c r="H212" i="13"/>
  <c r="K211" i="13"/>
  <c r="J211" i="13"/>
  <c r="H211" i="13"/>
  <c r="L211" i="13" s="1"/>
  <c r="K210" i="13"/>
  <c r="J210" i="13"/>
  <c r="H210" i="13"/>
  <c r="L210" i="13" s="1"/>
  <c r="K209" i="13"/>
  <c r="J209" i="13"/>
  <c r="H209" i="13"/>
  <c r="L209" i="13" s="1"/>
  <c r="K208" i="13"/>
  <c r="J208" i="13"/>
  <c r="H208" i="13"/>
  <c r="L208" i="13" s="1"/>
  <c r="K207" i="13"/>
  <c r="J207" i="13"/>
  <c r="H207" i="13"/>
  <c r="L207" i="13" s="1"/>
  <c r="K206" i="13"/>
  <c r="J206" i="13"/>
  <c r="H206" i="13"/>
  <c r="L206" i="13" s="1"/>
  <c r="L205" i="13"/>
  <c r="K205" i="13"/>
  <c r="J205" i="13"/>
  <c r="H205" i="13"/>
  <c r="K204" i="13"/>
  <c r="J204" i="13"/>
  <c r="H204" i="13"/>
  <c r="L204" i="13" s="1"/>
  <c r="K203" i="13"/>
  <c r="J203" i="13"/>
  <c r="H203" i="13"/>
  <c r="L203" i="13" s="1"/>
  <c r="K202" i="13"/>
  <c r="J202" i="13"/>
  <c r="H202" i="13"/>
  <c r="L202" i="13" s="1"/>
  <c r="K201" i="13"/>
  <c r="J201" i="13"/>
  <c r="H201" i="13"/>
  <c r="L201" i="13" s="1"/>
  <c r="K200" i="13"/>
  <c r="J200" i="13"/>
  <c r="H200" i="13"/>
  <c r="L200" i="13" s="1"/>
  <c r="K199" i="13"/>
  <c r="J199" i="13"/>
  <c r="H199" i="13"/>
  <c r="L199" i="13" s="1"/>
  <c r="K198" i="13"/>
  <c r="J198" i="13"/>
  <c r="H198" i="13"/>
  <c r="L198" i="13" s="1"/>
  <c r="K197" i="13"/>
  <c r="J197" i="13"/>
  <c r="H197" i="13"/>
  <c r="L197" i="13" s="1"/>
  <c r="K196" i="13"/>
  <c r="J196" i="13"/>
  <c r="H196" i="13"/>
  <c r="L196" i="13" s="1"/>
  <c r="K195" i="13"/>
  <c r="J195" i="13"/>
  <c r="H195" i="13"/>
  <c r="L195" i="13" s="1"/>
  <c r="K194" i="13"/>
  <c r="J194" i="13"/>
  <c r="H194" i="13"/>
  <c r="L194" i="13" s="1"/>
  <c r="K193" i="13"/>
  <c r="J193" i="13"/>
  <c r="H193" i="13"/>
  <c r="L193" i="13" s="1"/>
  <c r="K192" i="13"/>
  <c r="J192" i="13"/>
  <c r="H192" i="13"/>
  <c r="L192" i="13" s="1"/>
  <c r="K191" i="13"/>
  <c r="J191" i="13"/>
  <c r="H191" i="13"/>
  <c r="L191" i="13" s="1"/>
  <c r="L190" i="13"/>
  <c r="K190" i="13"/>
  <c r="J190" i="13"/>
  <c r="H190" i="13"/>
  <c r="K189" i="13"/>
  <c r="J189" i="13"/>
  <c r="H189" i="13"/>
  <c r="L189" i="13" s="1"/>
  <c r="L188" i="13"/>
  <c r="K188" i="13"/>
  <c r="Y33" i="4" s="1"/>
  <c r="J188" i="13"/>
  <c r="H188" i="13"/>
  <c r="K187" i="13"/>
  <c r="J187" i="13"/>
  <c r="H187" i="13"/>
  <c r="L187" i="13" s="1"/>
  <c r="L186" i="13"/>
  <c r="K186" i="13"/>
  <c r="J186" i="13"/>
  <c r="H186" i="13"/>
  <c r="K185" i="13"/>
  <c r="J185" i="13"/>
  <c r="H185" i="13"/>
  <c r="L185" i="13" s="1"/>
  <c r="K184" i="13"/>
  <c r="J184" i="13"/>
  <c r="H184" i="13"/>
  <c r="L184" i="13" s="1"/>
  <c r="K183" i="13"/>
  <c r="J183" i="13"/>
  <c r="H183" i="13"/>
  <c r="L183" i="13" s="1"/>
  <c r="L182" i="13"/>
  <c r="K182" i="13"/>
  <c r="J182" i="13"/>
  <c r="H182" i="13"/>
  <c r="K181" i="13"/>
  <c r="J181" i="13"/>
  <c r="H181" i="13"/>
  <c r="L181" i="13" s="1"/>
  <c r="K180" i="13"/>
  <c r="J180" i="13"/>
  <c r="H180" i="13"/>
  <c r="L180" i="13" s="1"/>
  <c r="K179" i="13"/>
  <c r="J179" i="13"/>
  <c r="H179" i="13"/>
  <c r="L179" i="13" s="1"/>
  <c r="K178" i="13"/>
  <c r="J178" i="13"/>
  <c r="H178" i="13"/>
  <c r="L178" i="13" s="1"/>
  <c r="K177" i="13"/>
  <c r="J177" i="13"/>
  <c r="H177" i="13"/>
  <c r="L177" i="13" s="1"/>
  <c r="K176" i="13"/>
  <c r="J176" i="13"/>
  <c r="H176" i="13"/>
  <c r="L176" i="13" s="1"/>
  <c r="K175" i="13"/>
  <c r="J175" i="13"/>
  <c r="H175" i="13"/>
  <c r="L175" i="13" s="1"/>
  <c r="L174" i="13"/>
  <c r="K174" i="13"/>
  <c r="J174" i="13"/>
  <c r="H174" i="13"/>
  <c r="L173" i="13"/>
  <c r="K173" i="13"/>
  <c r="J173" i="13"/>
  <c r="H173" i="13"/>
  <c r="K172" i="13"/>
  <c r="J172" i="13"/>
  <c r="H172" i="13"/>
  <c r="L172" i="13" s="1"/>
  <c r="K171" i="13"/>
  <c r="J171" i="13"/>
  <c r="H171" i="13"/>
  <c r="L171" i="13" s="1"/>
  <c r="K170" i="13"/>
  <c r="J170" i="13"/>
  <c r="H170" i="13"/>
  <c r="L170" i="13" s="1"/>
  <c r="L169" i="13"/>
  <c r="K169" i="13"/>
  <c r="J169" i="13"/>
  <c r="H169" i="13"/>
  <c r="K168" i="13"/>
  <c r="J168" i="13"/>
  <c r="H168" i="13"/>
  <c r="L168" i="13" s="1"/>
  <c r="K167" i="13"/>
  <c r="J167" i="13"/>
  <c r="H167" i="13"/>
  <c r="L167" i="13" s="1"/>
  <c r="K166" i="13"/>
  <c r="J166" i="13"/>
  <c r="H166" i="13"/>
  <c r="L166" i="13" s="1"/>
  <c r="K165" i="13"/>
  <c r="J165" i="13"/>
  <c r="H165" i="13"/>
  <c r="L165" i="13" s="1"/>
  <c r="K164" i="13"/>
  <c r="J164" i="13"/>
  <c r="H164" i="13"/>
  <c r="L164" i="13" s="1"/>
  <c r="K163" i="13"/>
  <c r="J163" i="13"/>
  <c r="H163" i="13"/>
  <c r="L163" i="13" s="1"/>
  <c r="K162" i="13"/>
  <c r="J162" i="13"/>
  <c r="H162" i="13"/>
  <c r="L162" i="13" s="1"/>
  <c r="K161" i="13"/>
  <c r="J161" i="13"/>
  <c r="H161" i="13"/>
  <c r="L161" i="13" s="1"/>
  <c r="K160" i="13"/>
  <c r="J160" i="13"/>
  <c r="H160" i="13"/>
  <c r="L160" i="13" s="1"/>
  <c r="K159" i="13"/>
  <c r="Y25" i="4" s="1"/>
  <c r="J159" i="13"/>
  <c r="H159" i="13"/>
  <c r="L159" i="13" s="1"/>
  <c r="L158" i="13"/>
  <c r="K158" i="13"/>
  <c r="J158" i="13"/>
  <c r="H158" i="13"/>
  <c r="L157" i="13"/>
  <c r="K157" i="13"/>
  <c r="J157" i="13"/>
  <c r="H157" i="13"/>
  <c r="K156" i="13"/>
  <c r="J156" i="13"/>
  <c r="H156" i="13"/>
  <c r="L156" i="13" s="1"/>
  <c r="K155" i="13"/>
  <c r="J155" i="13"/>
  <c r="H155" i="13"/>
  <c r="L155" i="13" s="1"/>
  <c r="L154" i="13"/>
  <c r="K154" i="13"/>
  <c r="J154" i="13"/>
  <c r="H154" i="13"/>
  <c r="K153" i="13"/>
  <c r="J153" i="13"/>
  <c r="H153" i="13"/>
  <c r="L153" i="13" s="1"/>
  <c r="K152" i="13"/>
  <c r="J152" i="13"/>
  <c r="H152" i="13"/>
  <c r="L152" i="13" s="1"/>
  <c r="K151" i="13"/>
  <c r="J151" i="13"/>
  <c r="H151" i="13"/>
  <c r="L151" i="13" s="1"/>
  <c r="K150" i="13"/>
  <c r="Y34" i="4" s="1"/>
  <c r="J150" i="13"/>
  <c r="H150" i="13"/>
  <c r="L150" i="13" s="1"/>
  <c r="K149" i="13"/>
  <c r="J149" i="13"/>
  <c r="H149" i="13"/>
  <c r="L149" i="13" s="1"/>
  <c r="L148" i="13"/>
  <c r="K148" i="13"/>
  <c r="J148" i="13"/>
  <c r="H148" i="13"/>
  <c r="K147" i="13"/>
  <c r="J147" i="13"/>
  <c r="H147" i="13"/>
  <c r="L147" i="13" s="1"/>
  <c r="K146" i="13"/>
  <c r="J146" i="13"/>
  <c r="H146" i="13"/>
  <c r="L146" i="13" s="1"/>
  <c r="L145" i="13"/>
  <c r="K145" i="13"/>
  <c r="J145" i="13"/>
  <c r="H145" i="13"/>
  <c r="L144" i="13"/>
  <c r="K144" i="13"/>
  <c r="J144" i="13"/>
  <c r="H144" i="13"/>
  <c r="K143" i="13"/>
  <c r="J143" i="13"/>
  <c r="H143" i="13"/>
  <c r="L143" i="13" s="1"/>
  <c r="K142" i="13"/>
  <c r="J142" i="13"/>
  <c r="H142" i="13"/>
  <c r="L142" i="13" s="1"/>
  <c r="L141" i="13"/>
  <c r="K141" i="13"/>
  <c r="J141" i="13"/>
  <c r="H141" i="13"/>
  <c r="L140" i="13"/>
  <c r="K140" i="13"/>
  <c r="J140" i="13"/>
  <c r="H140" i="13"/>
  <c r="K139" i="13"/>
  <c r="J139" i="13"/>
  <c r="H139" i="13"/>
  <c r="L139" i="13" s="1"/>
  <c r="K138" i="13"/>
  <c r="J138" i="13"/>
  <c r="H138" i="13"/>
  <c r="L138" i="13" s="1"/>
  <c r="K137" i="13"/>
  <c r="J137" i="13"/>
  <c r="H137" i="13"/>
  <c r="L137" i="13" s="1"/>
  <c r="K136" i="13"/>
  <c r="Y41" i="4" s="1"/>
  <c r="J136" i="13"/>
  <c r="H136" i="13"/>
  <c r="L136" i="13" s="1"/>
  <c r="K135" i="13"/>
  <c r="J135" i="13"/>
  <c r="H135" i="13"/>
  <c r="L135" i="13" s="1"/>
  <c r="K134" i="13"/>
  <c r="J134" i="13"/>
  <c r="H134" i="13"/>
  <c r="L134" i="13" s="1"/>
  <c r="K133" i="13"/>
  <c r="J133" i="13"/>
  <c r="H133" i="13"/>
  <c r="L133" i="13" s="1"/>
  <c r="K132" i="13"/>
  <c r="J132" i="13"/>
  <c r="H132" i="13"/>
  <c r="L132" i="13" s="1"/>
  <c r="K131" i="13"/>
  <c r="J131" i="13"/>
  <c r="H131" i="13"/>
  <c r="L131" i="13" s="1"/>
  <c r="K130" i="13"/>
  <c r="J130" i="13"/>
  <c r="H130" i="13"/>
  <c r="L130" i="13" s="1"/>
  <c r="K129" i="13"/>
  <c r="J129" i="13"/>
  <c r="H129" i="13"/>
  <c r="L129" i="13" s="1"/>
  <c r="L128" i="13"/>
  <c r="K128" i="13"/>
  <c r="J128" i="13"/>
  <c r="H128" i="13"/>
  <c r="K127" i="13"/>
  <c r="J127" i="13"/>
  <c r="H127" i="13"/>
  <c r="L127" i="13" s="1"/>
  <c r="L126" i="13"/>
  <c r="K126" i="13"/>
  <c r="Y28" i="4" s="1"/>
  <c r="J126" i="13"/>
  <c r="H126" i="13"/>
  <c r="K125" i="13"/>
  <c r="J125" i="13"/>
  <c r="H125" i="13"/>
  <c r="L125" i="13" s="1"/>
  <c r="L124" i="13"/>
  <c r="K124" i="13"/>
  <c r="J124" i="13"/>
  <c r="H124" i="13"/>
  <c r="K123" i="13"/>
  <c r="J123" i="13"/>
  <c r="H123" i="13"/>
  <c r="L123" i="13" s="1"/>
  <c r="K122" i="13"/>
  <c r="J122" i="13"/>
  <c r="H122" i="13"/>
  <c r="L122" i="13" s="1"/>
  <c r="K121" i="13"/>
  <c r="J121" i="13"/>
  <c r="H121" i="13"/>
  <c r="L121" i="13" s="1"/>
  <c r="L120" i="13"/>
  <c r="K120" i="13"/>
  <c r="J120" i="13"/>
  <c r="H120" i="13"/>
  <c r="K119" i="13"/>
  <c r="J119" i="13"/>
  <c r="H119" i="13"/>
  <c r="L119" i="13" s="1"/>
  <c r="K118" i="13"/>
  <c r="J118" i="13"/>
  <c r="H118" i="13"/>
  <c r="L118" i="13" s="1"/>
  <c r="K117" i="13"/>
  <c r="J117" i="13"/>
  <c r="H117" i="13"/>
  <c r="L117" i="13" s="1"/>
  <c r="K116" i="13"/>
  <c r="J116" i="13"/>
  <c r="H116" i="13"/>
  <c r="L116" i="13" s="1"/>
  <c r="K115" i="13"/>
  <c r="J115" i="13"/>
  <c r="H115" i="13"/>
  <c r="L115" i="13" s="1"/>
  <c r="L114" i="13"/>
  <c r="K114" i="13"/>
  <c r="J114" i="13"/>
  <c r="H114" i="13"/>
  <c r="K113" i="13"/>
  <c r="J113" i="13"/>
  <c r="H113" i="13"/>
  <c r="L113" i="13" s="1"/>
  <c r="K112" i="13"/>
  <c r="J112" i="13"/>
  <c r="H112" i="13"/>
  <c r="L112" i="13" s="1"/>
  <c r="K111" i="13"/>
  <c r="J111" i="13"/>
  <c r="H111" i="13"/>
  <c r="L111" i="13" s="1"/>
  <c r="K110" i="13"/>
  <c r="J110" i="13"/>
  <c r="H110" i="13"/>
  <c r="L110" i="13" s="1"/>
  <c r="K109" i="13"/>
  <c r="J109" i="13"/>
  <c r="H109" i="13"/>
  <c r="L109" i="13" s="1"/>
  <c r="K108" i="13"/>
  <c r="J108" i="13"/>
  <c r="H108" i="13"/>
  <c r="L108" i="13" s="1"/>
  <c r="K107" i="13"/>
  <c r="J107" i="13"/>
  <c r="H107" i="13"/>
  <c r="L107" i="13" s="1"/>
  <c r="K106" i="13"/>
  <c r="J106" i="13"/>
  <c r="H106" i="13"/>
  <c r="L106" i="13" s="1"/>
  <c r="L105" i="13"/>
  <c r="K105" i="13"/>
  <c r="J105" i="13"/>
  <c r="H105" i="13"/>
  <c r="K104" i="13"/>
  <c r="J104" i="13"/>
  <c r="H104" i="13"/>
  <c r="L104" i="13" s="1"/>
  <c r="K103" i="13"/>
  <c r="J103" i="13"/>
  <c r="H103" i="13"/>
  <c r="L103" i="13" s="1"/>
  <c r="K102" i="13"/>
  <c r="J102" i="13"/>
  <c r="H102" i="13"/>
  <c r="L102" i="13" s="1"/>
  <c r="L101" i="13"/>
  <c r="K101" i="13"/>
  <c r="J101" i="13"/>
  <c r="H101" i="13"/>
  <c r="K100" i="13"/>
  <c r="J100" i="13"/>
  <c r="H100" i="13"/>
  <c r="L100" i="13" s="1"/>
  <c r="K99" i="13"/>
  <c r="J99" i="13"/>
  <c r="H99" i="13"/>
  <c r="L99" i="13" s="1"/>
  <c r="K98" i="13"/>
  <c r="J98" i="13"/>
  <c r="H98" i="13"/>
  <c r="L98" i="13" s="1"/>
  <c r="L97" i="13"/>
  <c r="K97" i="13"/>
  <c r="J97" i="13"/>
  <c r="H97" i="13"/>
  <c r="K96" i="13"/>
  <c r="J96" i="13"/>
  <c r="H96" i="13"/>
  <c r="L96" i="13" s="1"/>
  <c r="K95" i="13"/>
  <c r="J95" i="13"/>
  <c r="H95" i="13"/>
  <c r="L95" i="13" s="1"/>
  <c r="L94" i="13"/>
  <c r="K94" i="13"/>
  <c r="J94" i="13"/>
  <c r="H94" i="13"/>
  <c r="L93" i="13"/>
  <c r="K93" i="13"/>
  <c r="J93" i="13"/>
  <c r="H93" i="13"/>
  <c r="L92" i="13"/>
  <c r="K92" i="13"/>
  <c r="J92" i="13"/>
  <c r="H92" i="13"/>
  <c r="K91" i="13"/>
  <c r="J91" i="13"/>
  <c r="H91" i="13"/>
  <c r="L91" i="13" s="1"/>
  <c r="K90" i="13"/>
  <c r="J90" i="13"/>
  <c r="H90" i="13"/>
  <c r="L90" i="13" s="1"/>
  <c r="K89" i="13"/>
  <c r="J89" i="13"/>
  <c r="H89" i="13"/>
  <c r="L89" i="13" s="1"/>
  <c r="L88" i="13"/>
  <c r="K88" i="13"/>
  <c r="J88" i="13"/>
  <c r="H88" i="13"/>
  <c r="K87" i="13"/>
  <c r="J87" i="13"/>
  <c r="H87" i="13"/>
  <c r="L87" i="13" s="1"/>
  <c r="K86" i="13"/>
  <c r="J86" i="13"/>
  <c r="H86" i="13"/>
  <c r="L86" i="13" s="1"/>
  <c r="K85" i="13"/>
  <c r="J85" i="13"/>
  <c r="H85" i="13"/>
  <c r="L85" i="13" s="1"/>
  <c r="K84" i="13"/>
  <c r="J84" i="13"/>
  <c r="H84" i="13"/>
  <c r="L84" i="13" s="1"/>
  <c r="K83" i="13"/>
  <c r="J83" i="13"/>
  <c r="H83" i="13"/>
  <c r="L83" i="13" s="1"/>
  <c r="K82" i="13"/>
  <c r="J82" i="13"/>
  <c r="H82" i="13"/>
  <c r="L82" i="13" s="1"/>
  <c r="L81" i="13"/>
  <c r="K81" i="13"/>
  <c r="J81" i="13"/>
  <c r="H81" i="13"/>
  <c r="K80" i="13"/>
  <c r="J80" i="13"/>
  <c r="H80" i="13"/>
  <c r="L80" i="13" s="1"/>
  <c r="K79" i="13"/>
  <c r="J79" i="13"/>
  <c r="H79" i="13"/>
  <c r="L79" i="13" s="1"/>
  <c r="K78" i="13"/>
  <c r="J78" i="13"/>
  <c r="H78" i="13"/>
  <c r="L78" i="13" s="1"/>
  <c r="K77" i="13"/>
  <c r="J77" i="13"/>
  <c r="H77" i="13"/>
  <c r="L77" i="13" s="1"/>
  <c r="K76" i="13"/>
  <c r="J76" i="13"/>
  <c r="H76" i="13"/>
  <c r="L76" i="13" s="1"/>
  <c r="K75" i="13"/>
  <c r="J75" i="13"/>
  <c r="H75" i="13"/>
  <c r="L75" i="13" s="1"/>
  <c r="K74" i="13"/>
  <c r="J74" i="13"/>
  <c r="H74" i="13"/>
  <c r="L74" i="13" s="1"/>
  <c r="L73" i="13"/>
  <c r="K73" i="13"/>
  <c r="J73" i="13"/>
  <c r="H73" i="13"/>
  <c r="K72" i="13"/>
  <c r="J72" i="13"/>
  <c r="H72" i="13"/>
  <c r="L72" i="13" s="1"/>
  <c r="K71" i="13"/>
  <c r="J71" i="13"/>
  <c r="H71" i="13"/>
  <c r="L71" i="13" s="1"/>
  <c r="K70" i="13"/>
  <c r="J70" i="13"/>
  <c r="H70" i="13"/>
  <c r="L70" i="13" s="1"/>
  <c r="K69" i="13"/>
  <c r="J69" i="13"/>
  <c r="H69" i="13"/>
  <c r="L69" i="13" s="1"/>
  <c r="K68" i="13"/>
  <c r="J68" i="13"/>
  <c r="H68" i="13"/>
  <c r="L68" i="13" s="1"/>
  <c r="K67" i="13"/>
  <c r="J67" i="13"/>
  <c r="H67" i="13"/>
  <c r="L67" i="13" s="1"/>
  <c r="K66" i="13"/>
  <c r="J66" i="13"/>
  <c r="H66" i="13"/>
  <c r="L66" i="13" s="1"/>
  <c r="K65" i="13"/>
  <c r="J65" i="13"/>
  <c r="H65" i="13"/>
  <c r="L65" i="13" s="1"/>
  <c r="L64" i="13"/>
  <c r="K64" i="13"/>
  <c r="J64" i="13"/>
  <c r="H64" i="13"/>
  <c r="K63" i="13"/>
  <c r="J63" i="13"/>
  <c r="H63" i="13"/>
  <c r="L63" i="13" s="1"/>
  <c r="L62" i="13"/>
  <c r="K62" i="13"/>
  <c r="J62" i="13"/>
  <c r="H62" i="13"/>
  <c r="K61" i="13"/>
  <c r="J61" i="13"/>
  <c r="H61" i="13"/>
  <c r="L61" i="13" s="1"/>
  <c r="K60" i="13"/>
  <c r="J60" i="13"/>
  <c r="H60" i="13"/>
  <c r="L60" i="13" s="1"/>
  <c r="K59" i="13"/>
  <c r="J59" i="13"/>
  <c r="H59" i="13"/>
  <c r="L59" i="13" s="1"/>
  <c r="L58" i="13"/>
  <c r="K58" i="13"/>
  <c r="J58" i="13"/>
  <c r="H58" i="13"/>
  <c r="K57" i="13"/>
  <c r="J57" i="13"/>
  <c r="H57" i="13"/>
  <c r="L57" i="13" s="1"/>
  <c r="K56" i="13"/>
  <c r="J56" i="13"/>
  <c r="H56" i="13"/>
  <c r="L56" i="13" s="1"/>
  <c r="K55" i="13"/>
  <c r="J55" i="13"/>
  <c r="H55" i="13"/>
  <c r="L55" i="13" s="1"/>
  <c r="L54" i="13"/>
  <c r="K54" i="13"/>
  <c r="J54" i="13"/>
  <c r="H54" i="13"/>
  <c r="K53" i="13"/>
  <c r="J53" i="13"/>
  <c r="H53" i="13"/>
  <c r="L53" i="13" s="1"/>
  <c r="K52" i="13"/>
  <c r="J52" i="13"/>
  <c r="H52" i="13"/>
  <c r="L52" i="13" s="1"/>
  <c r="K51" i="13"/>
  <c r="J51" i="13"/>
  <c r="H51" i="13"/>
  <c r="L51" i="13" s="1"/>
  <c r="L50" i="13"/>
  <c r="K50" i="13"/>
  <c r="Y50" i="4" s="1"/>
  <c r="J50" i="13"/>
  <c r="H50" i="13"/>
  <c r="K49" i="13"/>
  <c r="J49" i="13"/>
  <c r="H49" i="13"/>
  <c r="L49" i="13" s="1"/>
  <c r="K48" i="13"/>
  <c r="J48" i="13"/>
  <c r="H48" i="13"/>
  <c r="L48" i="13" s="1"/>
  <c r="K47" i="13"/>
  <c r="J47" i="13"/>
  <c r="H47" i="13"/>
  <c r="L47" i="13" s="1"/>
  <c r="K46" i="13"/>
  <c r="J46" i="13"/>
  <c r="H46" i="13"/>
  <c r="L46" i="13" s="1"/>
  <c r="L45" i="13"/>
  <c r="K45" i="13"/>
  <c r="J45" i="13"/>
  <c r="H45" i="13"/>
  <c r="K44" i="13"/>
  <c r="J44" i="13"/>
  <c r="H44" i="13"/>
  <c r="L44" i="13" s="1"/>
  <c r="K43" i="13"/>
  <c r="J43" i="13"/>
  <c r="H43" i="13"/>
  <c r="L43" i="13" s="1"/>
  <c r="K42" i="13"/>
  <c r="J42" i="13"/>
  <c r="H42" i="13"/>
  <c r="L42" i="13" s="1"/>
  <c r="K41" i="13"/>
  <c r="J41" i="13"/>
  <c r="H41" i="13"/>
  <c r="L41" i="13" s="1"/>
  <c r="K40" i="13"/>
  <c r="J40" i="13"/>
  <c r="H40" i="13"/>
  <c r="L40" i="13" s="1"/>
  <c r="K39" i="13"/>
  <c r="Y22" i="4" s="1"/>
  <c r="J39" i="13"/>
  <c r="H39" i="13"/>
  <c r="L39" i="13" s="1"/>
  <c r="K38" i="13"/>
  <c r="J38" i="13"/>
  <c r="H38" i="13"/>
  <c r="L38" i="13" s="1"/>
  <c r="L37" i="13"/>
  <c r="K37" i="13"/>
  <c r="J37" i="13"/>
  <c r="H37" i="13"/>
  <c r="K36" i="13"/>
  <c r="J36" i="13"/>
  <c r="H36" i="13"/>
  <c r="L36" i="13" s="1"/>
  <c r="K35" i="13"/>
  <c r="J35" i="13"/>
  <c r="H35" i="13"/>
  <c r="L35" i="13" s="1"/>
  <c r="K34" i="13"/>
  <c r="J34" i="13"/>
  <c r="H34" i="13"/>
  <c r="L34" i="13" s="1"/>
  <c r="L33" i="13"/>
  <c r="K33" i="13"/>
  <c r="Y208" i="4" s="1"/>
  <c r="J33" i="13"/>
  <c r="H33" i="13"/>
  <c r="K32" i="13"/>
  <c r="J32" i="13"/>
  <c r="H32" i="13"/>
  <c r="L32" i="13" s="1"/>
  <c r="K31" i="13"/>
  <c r="J31" i="13"/>
  <c r="H31" i="13"/>
  <c r="L31" i="13" s="1"/>
  <c r="K30" i="13"/>
  <c r="J30" i="13"/>
  <c r="H30" i="13"/>
  <c r="L30" i="13" s="1"/>
  <c r="K29" i="13"/>
  <c r="J29" i="13"/>
  <c r="H29" i="13"/>
  <c r="L29" i="13" s="1"/>
  <c r="K28" i="13"/>
  <c r="J28" i="13"/>
  <c r="H28" i="13"/>
  <c r="L28" i="13" s="1"/>
  <c r="K27" i="13"/>
  <c r="J27" i="13"/>
  <c r="H27" i="13"/>
  <c r="L27" i="13" s="1"/>
  <c r="L26" i="13"/>
  <c r="K26" i="13"/>
  <c r="J26" i="13"/>
  <c r="H26" i="13"/>
  <c r="K25" i="13"/>
  <c r="J25" i="13"/>
  <c r="H25" i="13"/>
  <c r="L25" i="13" s="1"/>
  <c r="L24" i="13"/>
  <c r="K24" i="13"/>
  <c r="J24" i="13"/>
  <c r="H24" i="13"/>
  <c r="K23" i="13"/>
  <c r="J23" i="13"/>
  <c r="H23" i="13"/>
  <c r="L23" i="13" s="1"/>
  <c r="K22" i="13"/>
  <c r="J22" i="13"/>
  <c r="H22" i="13"/>
  <c r="L22" i="13" s="1"/>
  <c r="K21" i="13"/>
  <c r="J21" i="13"/>
  <c r="H21" i="13"/>
  <c r="L21" i="13" s="1"/>
  <c r="L20" i="13"/>
  <c r="K20" i="13"/>
  <c r="J20" i="13"/>
  <c r="H20" i="13"/>
  <c r="K19" i="13"/>
  <c r="J19" i="13"/>
  <c r="H19" i="13"/>
  <c r="L19" i="13" s="1"/>
  <c r="K18" i="13"/>
  <c r="J18" i="13"/>
  <c r="H18" i="13"/>
  <c r="L18" i="13" s="1"/>
  <c r="L17" i="13"/>
  <c r="K17" i="13"/>
  <c r="J17" i="13"/>
  <c r="H17" i="13"/>
  <c r="L16" i="13"/>
  <c r="K16" i="13"/>
  <c r="J16" i="13"/>
  <c r="H16" i="13"/>
  <c r="K15" i="13"/>
  <c r="J15" i="13"/>
  <c r="H15" i="13"/>
  <c r="L15" i="13" s="1"/>
  <c r="K14" i="13"/>
  <c r="J14" i="13"/>
  <c r="H14" i="13"/>
  <c r="L14" i="13" s="1"/>
  <c r="K13" i="13"/>
  <c r="J13" i="13"/>
  <c r="H13" i="13"/>
  <c r="L13" i="13" s="1"/>
  <c r="L12" i="13"/>
  <c r="K12" i="13"/>
  <c r="J12" i="13"/>
  <c r="H12" i="13"/>
  <c r="K11" i="13"/>
  <c r="Y49" i="4" s="1"/>
  <c r="J11" i="13"/>
  <c r="H11" i="13"/>
  <c r="L11" i="13" s="1"/>
  <c r="K10" i="13"/>
  <c r="J10" i="13"/>
  <c r="H10" i="13"/>
  <c r="L10" i="13" s="1"/>
  <c r="K9" i="13"/>
  <c r="J9" i="13"/>
  <c r="H9" i="13"/>
  <c r="L9" i="13" s="1"/>
  <c r="K8" i="13"/>
  <c r="J8" i="13"/>
  <c r="H8" i="13"/>
  <c r="L8" i="13" s="1"/>
  <c r="K7" i="13"/>
  <c r="J7" i="13"/>
  <c r="H7" i="13"/>
  <c r="L7" i="13" s="1"/>
  <c r="K6" i="13"/>
  <c r="J6" i="13"/>
  <c r="H6" i="13"/>
  <c r="L6" i="13" s="1"/>
  <c r="L5" i="13"/>
  <c r="K5" i="13"/>
  <c r="J5" i="13"/>
  <c r="H5" i="13"/>
  <c r="K4" i="13"/>
  <c r="J4" i="13"/>
  <c r="H4" i="13"/>
  <c r="L4" i="13" s="1"/>
  <c r="K3" i="13"/>
  <c r="J3" i="13"/>
  <c r="H3" i="13"/>
  <c r="L3" i="13" s="1"/>
  <c r="K2" i="13"/>
  <c r="J2" i="13"/>
  <c r="H2" i="13"/>
  <c r="L2" i="13" s="1"/>
  <c r="G4" i="12"/>
  <c r="G3" i="12"/>
  <c r="G2" i="12"/>
  <c r="M2" i="15" s="1"/>
  <c r="O2" i="15" s="1"/>
  <c r="F3" i="11"/>
  <c r="G3" i="11" s="1"/>
  <c r="F2" i="11"/>
  <c r="G2" i="11" s="1"/>
  <c r="J13" i="10"/>
  <c r="I13" i="10"/>
  <c r="H13" i="10"/>
  <c r="J12" i="10"/>
  <c r="I12" i="10"/>
  <c r="H12" i="10"/>
  <c r="M12" i="10" s="1"/>
  <c r="J11" i="10"/>
  <c r="I11" i="10"/>
  <c r="H11" i="10"/>
  <c r="L11" i="10" s="1"/>
  <c r="J10" i="10"/>
  <c r="I10" i="10"/>
  <c r="H10" i="10"/>
  <c r="J9" i="10"/>
  <c r="I9" i="10"/>
  <c r="H9" i="10"/>
  <c r="M9" i="10" s="1"/>
  <c r="J8" i="10"/>
  <c r="I8" i="10"/>
  <c r="H8" i="10"/>
  <c r="M8" i="10" s="1"/>
  <c r="J7" i="10"/>
  <c r="I7" i="10"/>
  <c r="H7" i="10"/>
  <c r="J6" i="10"/>
  <c r="I6" i="10"/>
  <c r="H6" i="10"/>
  <c r="K6" i="10" s="1"/>
  <c r="J5" i="10"/>
  <c r="I5" i="10"/>
  <c r="H5" i="10"/>
  <c r="J4" i="10"/>
  <c r="I4" i="10"/>
  <c r="H4" i="10"/>
  <c r="M4" i="10" s="1"/>
  <c r="F166" i="9"/>
  <c r="F165" i="9"/>
  <c r="F164" i="9"/>
  <c r="F163" i="9"/>
  <c r="F162" i="9"/>
  <c r="F161" i="9"/>
  <c r="F160" i="9"/>
  <c r="F159" i="9"/>
  <c r="F158" i="9"/>
  <c r="F157" i="9"/>
  <c r="F156" i="9"/>
  <c r="F155" i="9"/>
  <c r="F154" i="9"/>
  <c r="F153" i="9"/>
  <c r="F152" i="9"/>
  <c r="F151" i="9"/>
  <c r="F150" i="9"/>
  <c r="F149" i="9"/>
  <c r="F148" i="9"/>
  <c r="F147" i="9"/>
  <c r="F146" i="9"/>
  <c r="F145" i="9"/>
  <c r="F144" i="9"/>
  <c r="F143" i="9"/>
  <c r="F142" i="9"/>
  <c r="F141" i="9"/>
  <c r="F140" i="9"/>
  <c r="F139" i="9"/>
  <c r="F138" i="9"/>
  <c r="F137" i="9"/>
  <c r="F136" i="9"/>
  <c r="F135" i="9"/>
  <c r="F134" i="9"/>
  <c r="F133" i="9"/>
  <c r="F132" i="9"/>
  <c r="F131" i="9"/>
  <c r="F130" i="9"/>
  <c r="F129" i="9"/>
  <c r="F128" i="9"/>
  <c r="F127" i="9"/>
  <c r="F126" i="9"/>
  <c r="F125" i="9"/>
  <c r="F124" i="9"/>
  <c r="F123" i="9"/>
  <c r="F122" i="9"/>
  <c r="F121" i="9"/>
  <c r="F120" i="9"/>
  <c r="F119" i="9"/>
  <c r="F118" i="9"/>
  <c r="F117" i="9"/>
  <c r="F116" i="9"/>
  <c r="F115" i="9"/>
  <c r="F114" i="9"/>
  <c r="F113" i="9"/>
  <c r="F112" i="9"/>
  <c r="F111" i="9"/>
  <c r="F110" i="9"/>
  <c r="F109" i="9"/>
  <c r="F108" i="9"/>
  <c r="F107" i="9"/>
  <c r="F106" i="9"/>
  <c r="F105" i="9"/>
  <c r="F104" i="9"/>
  <c r="F103" i="9"/>
  <c r="F102" i="9"/>
  <c r="F101" i="9"/>
  <c r="F100" i="9"/>
  <c r="F99" i="9"/>
  <c r="F98" i="9"/>
  <c r="F97" i="9"/>
  <c r="F96" i="9"/>
  <c r="F95" i="9"/>
  <c r="F94" i="9"/>
  <c r="F93" i="9"/>
  <c r="F92" i="9"/>
  <c r="F91" i="9"/>
  <c r="F90" i="9"/>
  <c r="F89" i="9"/>
  <c r="F88" i="9"/>
  <c r="F87" i="9"/>
  <c r="F86" i="9"/>
  <c r="F85" i="9"/>
  <c r="F84" i="9"/>
  <c r="F83" i="9"/>
  <c r="F82" i="9"/>
  <c r="F81" i="9"/>
  <c r="F80" i="9"/>
  <c r="F79" i="9"/>
  <c r="F78" i="9"/>
  <c r="F77" i="9"/>
  <c r="F76" i="9"/>
  <c r="F75" i="9"/>
  <c r="F74" i="9"/>
  <c r="F73" i="9"/>
  <c r="F72" i="9"/>
  <c r="F71" i="9"/>
  <c r="F70" i="9"/>
  <c r="F69" i="9"/>
  <c r="F68" i="9"/>
  <c r="F67" i="9"/>
  <c r="F66" i="9"/>
  <c r="F65" i="9"/>
  <c r="F64" i="9"/>
  <c r="F63" i="9"/>
  <c r="F62" i="9"/>
  <c r="F61" i="9"/>
  <c r="F60" i="9"/>
  <c r="F59" i="9"/>
  <c r="F58" i="9"/>
  <c r="F57" i="9"/>
  <c r="F56" i="9"/>
  <c r="F55" i="9"/>
  <c r="F54" i="9"/>
  <c r="F53" i="9"/>
  <c r="F52" i="9"/>
  <c r="F51" i="9"/>
  <c r="F50" i="9"/>
  <c r="F49" i="9"/>
  <c r="F48" i="9"/>
  <c r="F47" i="9"/>
  <c r="F46" i="9"/>
  <c r="F45" i="9"/>
  <c r="F44" i="9"/>
  <c r="F43" i="9"/>
  <c r="F42" i="9"/>
  <c r="F41" i="9"/>
  <c r="F40" i="9"/>
  <c r="F39" i="9"/>
  <c r="F38" i="9"/>
  <c r="F37" i="9"/>
  <c r="F36" i="9"/>
  <c r="F35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  <c r="F6" i="9"/>
  <c r="F5" i="9"/>
  <c r="F4" i="9"/>
  <c r="S982" i="7"/>
  <c r="S981" i="7"/>
  <c r="S980" i="7"/>
  <c r="S979" i="7"/>
  <c r="S978" i="7"/>
  <c r="S977" i="7"/>
  <c r="S976" i="7"/>
  <c r="S975" i="7"/>
  <c r="S974" i="7"/>
  <c r="S973" i="7"/>
  <c r="S972" i="7"/>
  <c r="S971" i="7"/>
  <c r="S970" i="7"/>
  <c r="S969" i="7"/>
  <c r="S968" i="7"/>
  <c r="S967" i="7"/>
  <c r="S966" i="7"/>
  <c r="S965" i="7"/>
  <c r="S964" i="7"/>
  <c r="S963" i="7"/>
  <c r="S962" i="7"/>
  <c r="S961" i="7"/>
  <c r="S960" i="7"/>
  <c r="S959" i="7"/>
  <c r="S958" i="7"/>
  <c r="S957" i="7"/>
  <c r="S956" i="7"/>
  <c r="S955" i="7"/>
  <c r="S954" i="7"/>
  <c r="S953" i="7"/>
  <c r="S952" i="7"/>
  <c r="S951" i="7"/>
  <c r="S950" i="7"/>
  <c r="S949" i="7"/>
  <c r="S948" i="7"/>
  <c r="S947" i="7"/>
  <c r="S946" i="7"/>
  <c r="S945" i="7"/>
  <c r="S944" i="7"/>
  <c r="S943" i="7"/>
  <c r="S942" i="7"/>
  <c r="S941" i="7"/>
  <c r="S940" i="7"/>
  <c r="S939" i="7"/>
  <c r="S938" i="7"/>
  <c r="S937" i="7"/>
  <c r="S936" i="7"/>
  <c r="S935" i="7"/>
  <c r="S934" i="7"/>
  <c r="S933" i="7"/>
  <c r="S932" i="7"/>
  <c r="S931" i="7"/>
  <c r="S930" i="7"/>
  <c r="S929" i="7"/>
  <c r="S928" i="7"/>
  <c r="S927" i="7"/>
  <c r="S926" i="7"/>
  <c r="S925" i="7"/>
  <c r="S924" i="7"/>
  <c r="S923" i="7"/>
  <c r="S922" i="7"/>
  <c r="S921" i="7"/>
  <c r="S920" i="7"/>
  <c r="S919" i="7"/>
  <c r="S918" i="7"/>
  <c r="S917" i="7"/>
  <c r="S916" i="7"/>
  <c r="S915" i="7"/>
  <c r="S914" i="7"/>
  <c r="S913" i="7"/>
  <c r="S912" i="7"/>
  <c r="S911" i="7"/>
  <c r="S910" i="7"/>
  <c r="S909" i="7"/>
  <c r="S908" i="7"/>
  <c r="S907" i="7"/>
  <c r="S906" i="7"/>
  <c r="S905" i="7"/>
  <c r="S904" i="7"/>
  <c r="S903" i="7"/>
  <c r="S902" i="7"/>
  <c r="S901" i="7"/>
  <c r="S900" i="7"/>
  <c r="S899" i="7"/>
  <c r="S898" i="7"/>
  <c r="S897" i="7"/>
  <c r="S896" i="7"/>
  <c r="S895" i="7"/>
  <c r="S894" i="7"/>
  <c r="S893" i="7"/>
  <c r="S892" i="7"/>
  <c r="S891" i="7"/>
  <c r="S890" i="7"/>
  <c r="S889" i="7"/>
  <c r="S888" i="7"/>
  <c r="S887" i="7"/>
  <c r="S886" i="7"/>
  <c r="S885" i="7"/>
  <c r="S884" i="7"/>
  <c r="S883" i="7"/>
  <c r="S882" i="7"/>
  <c r="S881" i="7"/>
  <c r="S880" i="7"/>
  <c r="S879" i="7"/>
  <c r="S878" i="7"/>
  <c r="S877" i="7"/>
  <c r="S876" i="7"/>
  <c r="S875" i="7"/>
  <c r="S874" i="7"/>
  <c r="S873" i="7"/>
  <c r="S872" i="7"/>
  <c r="S871" i="7"/>
  <c r="S870" i="7"/>
  <c r="S869" i="7"/>
  <c r="S868" i="7"/>
  <c r="S867" i="7"/>
  <c r="S866" i="7"/>
  <c r="S865" i="7"/>
  <c r="S864" i="7"/>
  <c r="S863" i="7"/>
  <c r="S862" i="7"/>
  <c r="S861" i="7"/>
  <c r="S860" i="7"/>
  <c r="S859" i="7"/>
  <c r="S858" i="7"/>
  <c r="S857" i="7"/>
  <c r="S856" i="7"/>
  <c r="S855" i="7"/>
  <c r="S854" i="7"/>
  <c r="S853" i="7"/>
  <c r="S852" i="7"/>
  <c r="S851" i="7"/>
  <c r="S850" i="7"/>
  <c r="S849" i="7"/>
  <c r="S848" i="7"/>
  <c r="S847" i="7"/>
  <c r="S846" i="7"/>
  <c r="S845" i="7"/>
  <c r="S844" i="7"/>
  <c r="S843" i="7"/>
  <c r="S842" i="7"/>
  <c r="S841" i="7"/>
  <c r="S840" i="7"/>
  <c r="S839" i="7"/>
  <c r="S838" i="7"/>
  <c r="S837" i="7"/>
  <c r="S836" i="7"/>
  <c r="S835" i="7"/>
  <c r="S834" i="7"/>
  <c r="S833" i="7"/>
  <c r="S832" i="7"/>
  <c r="S831" i="7"/>
  <c r="S830" i="7"/>
  <c r="S829" i="7"/>
  <c r="S828" i="7"/>
  <c r="S827" i="7"/>
  <c r="S826" i="7"/>
  <c r="S825" i="7"/>
  <c r="S824" i="7"/>
  <c r="S823" i="7"/>
  <c r="S822" i="7"/>
  <c r="S821" i="7"/>
  <c r="S820" i="7"/>
  <c r="S819" i="7"/>
  <c r="S818" i="7"/>
  <c r="S817" i="7"/>
  <c r="S816" i="7"/>
  <c r="S815" i="7"/>
  <c r="S814" i="7"/>
  <c r="S813" i="7"/>
  <c r="S812" i="7"/>
  <c r="S811" i="7"/>
  <c r="S810" i="7"/>
  <c r="S809" i="7"/>
  <c r="S808" i="7"/>
  <c r="S807" i="7"/>
  <c r="S806" i="7"/>
  <c r="S805" i="7"/>
  <c r="S804" i="7"/>
  <c r="S803" i="7"/>
  <c r="S802" i="7"/>
  <c r="S801" i="7"/>
  <c r="S800" i="7"/>
  <c r="S799" i="7"/>
  <c r="S798" i="7"/>
  <c r="S797" i="7"/>
  <c r="S796" i="7"/>
  <c r="S795" i="7"/>
  <c r="S794" i="7"/>
  <c r="S793" i="7"/>
  <c r="S792" i="7"/>
  <c r="S791" i="7"/>
  <c r="S790" i="7"/>
  <c r="S789" i="7"/>
  <c r="S788" i="7"/>
  <c r="S787" i="7"/>
  <c r="S786" i="7"/>
  <c r="S785" i="7"/>
  <c r="S784" i="7"/>
  <c r="S783" i="7"/>
  <c r="S782" i="7"/>
  <c r="S781" i="7"/>
  <c r="S780" i="7"/>
  <c r="S779" i="7"/>
  <c r="S778" i="7"/>
  <c r="S777" i="7"/>
  <c r="S776" i="7"/>
  <c r="S775" i="7"/>
  <c r="S774" i="7"/>
  <c r="S773" i="7"/>
  <c r="S772" i="7"/>
  <c r="S771" i="7"/>
  <c r="S770" i="7"/>
  <c r="S769" i="7"/>
  <c r="S768" i="7"/>
  <c r="S767" i="7"/>
  <c r="S766" i="7"/>
  <c r="S765" i="7"/>
  <c r="S764" i="7"/>
  <c r="S763" i="7"/>
  <c r="S762" i="7"/>
  <c r="S761" i="7"/>
  <c r="S760" i="7"/>
  <c r="S759" i="7"/>
  <c r="S758" i="7"/>
  <c r="S757" i="7"/>
  <c r="S756" i="7"/>
  <c r="S755" i="7"/>
  <c r="S754" i="7"/>
  <c r="S753" i="7"/>
  <c r="S752" i="7"/>
  <c r="S751" i="7"/>
  <c r="S750" i="7"/>
  <c r="S749" i="7"/>
  <c r="S748" i="7"/>
  <c r="S747" i="7"/>
  <c r="S746" i="7"/>
  <c r="S745" i="7"/>
  <c r="S744" i="7"/>
  <c r="S743" i="7"/>
  <c r="S742" i="7"/>
  <c r="S741" i="7"/>
  <c r="S740" i="7"/>
  <c r="S739" i="7"/>
  <c r="S738" i="7"/>
  <c r="S737" i="7"/>
  <c r="S736" i="7"/>
  <c r="S735" i="7"/>
  <c r="S734" i="7"/>
  <c r="S733" i="7"/>
  <c r="S732" i="7"/>
  <c r="S731" i="7"/>
  <c r="S730" i="7"/>
  <c r="S729" i="7"/>
  <c r="S728" i="7"/>
  <c r="S727" i="7"/>
  <c r="S726" i="7"/>
  <c r="S725" i="7"/>
  <c r="S724" i="7"/>
  <c r="S723" i="7"/>
  <c r="S722" i="7"/>
  <c r="S721" i="7"/>
  <c r="S720" i="7"/>
  <c r="S719" i="7"/>
  <c r="S718" i="7"/>
  <c r="S717" i="7"/>
  <c r="S716" i="7"/>
  <c r="S715" i="7"/>
  <c r="S714" i="7"/>
  <c r="S713" i="7"/>
  <c r="S712" i="7"/>
  <c r="S711" i="7"/>
  <c r="S710" i="7"/>
  <c r="S709" i="7"/>
  <c r="S708" i="7"/>
  <c r="S707" i="7"/>
  <c r="S706" i="7"/>
  <c r="S705" i="7"/>
  <c r="S704" i="7"/>
  <c r="S703" i="7"/>
  <c r="S702" i="7"/>
  <c r="S701" i="7"/>
  <c r="S700" i="7"/>
  <c r="S699" i="7"/>
  <c r="S698" i="7"/>
  <c r="S697" i="7"/>
  <c r="S696" i="7"/>
  <c r="S695" i="7"/>
  <c r="S694" i="7"/>
  <c r="S693" i="7"/>
  <c r="S692" i="7"/>
  <c r="S691" i="7"/>
  <c r="S690" i="7"/>
  <c r="S689" i="7"/>
  <c r="S688" i="7"/>
  <c r="S687" i="7"/>
  <c r="S686" i="7"/>
  <c r="S685" i="7"/>
  <c r="S684" i="7"/>
  <c r="S683" i="7"/>
  <c r="S682" i="7"/>
  <c r="S681" i="7"/>
  <c r="S680" i="7"/>
  <c r="S679" i="7"/>
  <c r="S678" i="7"/>
  <c r="S677" i="7"/>
  <c r="S676" i="7"/>
  <c r="S675" i="7"/>
  <c r="S674" i="7"/>
  <c r="S673" i="7"/>
  <c r="S672" i="7"/>
  <c r="S671" i="7"/>
  <c r="S670" i="7"/>
  <c r="S669" i="7"/>
  <c r="S668" i="7"/>
  <c r="S667" i="7"/>
  <c r="S666" i="7"/>
  <c r="S665" i="7"/>
  <c r="S664" i="7"/>
  <c r="S663" i="7"/>
  <c r="S662" i="7"/>
  <c r="S661" i="7"/>
  <c r="S660" i="7"/>
  <c r="S659" i="7"/>
  <c r="S658" i="7"/>
  <c r="S657" i="7"/>
  <c r="S656" i="7"/>
  <c r="S655" i="7"/>
  <c r="S654" i="7"/>
  <c r="S653" i="7"/>
  <c r="S652" i="7"/>
  <c r="S651" i="7"/>
  <c r="S650" i="7"/>
  <c r="S649" i="7"/>
  <c r="S648" i="7"/>
  <c r="S647" i="7"/>
  <c r="S646" i="7"/>
  <c r="S645" i="7"/>
  <c r="S644" i="7"/>
  <c r="S643" i="7"/>
  <c r="S642" i="7"/>
  <c r="S641" i="7"/>
  <c r="S640" i="7"/>
  <c r="S639" i="7"/>
  <c r="S638" i="7"/>
  <c r="S637" i="7"/>
  <c r="S636" i="7"/>
  <c r="S635" i="7"/>
  <c r="S634" i="7"/>
  <c r="S633" i="7"/>
  <c r="S632" i="7"/>
  <c r="S631" i="7"/>
  <c r="S630" i="7"/>
  <c r="S629" i="7"/>
  <c r="S628" i="7"/>
  <c r="S627" i="7"/>
  <c r="S626" i="7"/>
  <c r="S625" i="7"/>
  <c r="S624" i="7"/>
  <c r="S623" i="7"/>
  <c r="S622" i="7"/>
  <c r="S621" i="7"/>
  <c r="S620" i="7"/>
  <c r="S619" i="7"/>
  <c r="S618" i="7"/>
  <c r="S617" i="7"/>
  <c r="S616" i="7"/>
  <c r="S615" i="7"/>
  <c r="S614" i="7"/>
  <c r="S613" i="7"/>
  <c r="S612" i="7"/>
  <c r="S611" i="7"/>
  <c r="S610" i="7"/>
  <c r="S609" i="7"/>
  <c r="S608" i="7"/>
  <c r="S607" i="7"/>
  <c r="S606" i="7"/>
  <c r="S605" i="7"/>
  <c r="S604" i="7"/>
  <c r="S603" i="7"/>
  <c r="S602" i="7"/>
  <c r="S601" i="7"/>
  <c r="S600" i="7"/>
  <c r="S599" i="7"/>
  <c r="S598" i="7"/>
  <c r="S597" i="7"/>
  <c r="S596" i="7"/>
  <c r="S595" i="7"/>
  <c r="S594" i="7"/>
  <c r="S593" i="7"/>
  <c r="S592" i="7"/>
  <c r="S591" i="7"/>
  <c r="S590" i="7"/>
  <c r="S589" i="7"/>
  <c r="S588" i="7"/>
  <c r="S587" i="7"/>
  <c r="S586" i="7"/>
  <c r="S585" i="7"/>
  <c r="S584" i="7"/>
  <c r="S583" i="7"/>
  <c r="S582" i="7"/>
  <c r="S581" i="7"/>
  <c r="S580" i="7"/>
  <c r="S579" i="7"/>
  <c r="S578" i="7"/>
  <c r="S577" i="7"/>
  <c r="S576" i="7"/>
  <c r="S575" i="7"/>
  <c r="S574" i="7"/>
  <c r="S573" i="7"/>
  <c r="S572" i="7"/>
  <c r="S571" i="7"/>
  <c r="S570" i="7"/>
  <c r="S569" i="7"/>
  <c r="S568" i="7"/>
  <c r="S567" i="7"/>
  <c r="S566" i="7"/>
  <c r="S565" i="7"/>
  <c r="S564" i="7"/>
  <c r="S563" i="7"/>
  <c r="S562" i="7"/>
  <c r="S561" i="7"/>
  <c r="S560" i="7"/>
  <c r="S559" i="7"/>
  <c r="S558" i="7"/>
  <c r="S557" i="7"/>
  <c r="S556" i="7"/>
  <c r="S555" i="7"/>
  <c r="S554" i="7"/>
  <c r="S553" i="7"/>
  <c r="S552" i="7"/>
  <c r="S551" i="7"/>
  <c r="S550" i="7"/>
  <c r="S549" i="7"/>
  <c r="S548" i="7"/>
  <c r="S547" i="7"/>
  <c r="S546" i="7"/>
  <c r="S545" i="7"/>
  <c r="S544" i="7"/>
  <c r="S543" i="7"/>
  <c r="S542" i="7"/>
  <c r="S541" i="7"/>
  <c r="S540" i="7"/>
  <c r="S539" i="7"/>
  <c r="S538" i="7"/>
  <c r="S537" i="7"/>
  <c r="S536" i="7"/>
  <c r="S535" i="7"/>
  <c r="S534" i="7"/>
  <c r="S533" i="7"/>
  <c r="S532" i="7"/>
  <c r="S531" i="7"/>
  <c r="S530" i="7"/>
  <c r="S529" i="7"/>
  <c r="S528" i="7"/>
  <c r="S527" i="7"/>
  <c r="S526" i="7"/>
  <c r="S525" i="7"/>
  <c r="S524" i="7"/>
  <c r="S523" i="7"/>
  <c r="S522" i="7"/>
  <c r="S521" i="7"/>
  <c r="S520" i="7"/>
  <c r="S519" i="7"/>
  <c r="S518" i="7"/>
  <c r="S517" i="7"/>
  <c r="S516" i="7"/>
  <c r="S515" i="7"/>
  <c r="S514" i="7"/>
  <c r="S513" i="7"/>
  <c r="S512" i="7"/>
  <c r="S511" i="7"/>
  <c r="S510" i="7"/>
  <c r="S509" i="7"/>
  <c r="S508" i="7"/>
  <c r="S507" i="7"/>
  <c r="S506" i="7"/>
  <c r="S505" i="7"/>
  <c r="S504" i="7"/>
  <c r="S503" i="7"/>
  <c r="S502" i="7"/>
  <c r="S501" i="7"/>
  <c r="S500" i="7"/>
  <c r="S499" i="7"/>
  <c r="S498" i="7"/>
  <c r="S497" i="7"/>
  <c r="S496" i="7"/>
  <c r="S495" i="7"/>
  <c r="S494" i="7"/>
  <c r="S493" i="7"/>
  <c r="S492" i="7"/>
  <c r="S491" i="7"/>
  <c r="S490" i="7"/>
  <c r="S489" i="7"/>
  <c r="S488" i="7"/>
  <c r="S487" i="7"/>
  <c r="S486" i="7"/>
  <c r="S485" i="7"/>
  <c r="S484" i="7"/>
  <c r="S483" i="7"/>
  <c r="S482" i="7"/>
  <c r="S481" i="7"/>
  <c r="S480" i="7"/>
  <c r="S479" i="7"/>
  <c r="S478" i="7"/>
  <c r="S477" i="7"/>
  <c r="S476" i="7"/>
  <c r="S475" i="7"/>
  <c r="S474" i="7"/>
  <c r="S473" i="7"/>
  <c r="S472" i="7"/>
  <c r="S471" i="7"/>
  <c r="S470" i="7"/>
  <c r="S469" i="7"/>
  <c r="S468" i="7"/>
  <c r="S467" i="7"/>
  <c r="S466" i="7"/>
  <c r="S465" i="7"/>
  <c r="S464" i="7"/>
  <c r="S463" i="7"/>
  <c r="S462" i="7"/>
  <c r="S461" i="7"/>
  <c r="S460" i="7"/>
  <c r="S459" i="7"/>
  <c r="S458" i="7"/>
  <c r="S457" i="7"/>
  <c r="S456" i="7"/>
  <c r="S455" i="7"/>
  <c r="S454" i="7"/>
  <c r="S453" i="7"/>
  <c r="S452" i="7"/>
  <c r="S451" i="7"/>
  <c r="S450" i="7"/>
  <c r="S449" i="7"/>
  <c r="S448" i="7"/>
  <c r="S447" i="7"/>
  <c r="S446" i="7"/>
  <c r="S445" i="7"/>
  <c r="S444" i="7"/>
  <c r="S443" i="7"/>
  <c r="S442" i="7"/>
  <c r="S441" i="7"/>
  <c r="S440" i="7"/>
  <c r="S439" i="7"/>
  <c r="S438" i="7"/>
  <c r="S437" i="7"/>
  <c r="S436" i="7"/>
  <c r="S435" i="7"/>
  <c r="S434" i="7"/>
  <c r="S433" i="7"/>
  <c r="S432" i="7"/>
  <c r="S431" i="7"/>
  <c r="S430" i="7"/>
  <c r="S429" i="7"/>
  <c r="S428" i="7"/>
  <c r="S427" i="7"/>
  <c r="S426" i="7"/>
  <c r="S425" i="7"/>
  <c r="S424" i="7"/>
  <c r="S423" i="7"/>
  <c r="S422" i="7"/>
  <c r="S421" i="7"/>
  <c r="S420" i="7"/>
  <c r="S419" i="7"/>
  <c r="S418" i="7"/>
  <c r="S417" i="7"/>
  <c r="S416" i="7"/>
  <c r="S415" i="7"/>
  <c r="S414" i="7"/>
  <c r="S413" i="7"/>
  <c r="S412" i="7"/>
  <c r="S411" i="7"/>
  <c r="S410" i="7"/>
  <c r="S409" i="7"/>
  <c r="S408" i="7"/>
  <c r="S407" i="7"/>
  <c r="S406" i="7"/>
  <c r="S405" i="7"/>
  <c r="S404" i="7"/>
  <c r="S403" i="7"/>
  <c r="S402" i="7"/>
  <c r="S401" i="7"/>
  <c r="S400" i="7"/>
  <c r="S399" i="7"/>
  <c r="S398" i="7"/>
  <c r="S397" i="7"/>
  <c r="S396" i="7"/>
  <c r="S395" i="7"/>
  <c r="S394" i="7"/>
  <c r="S393" i="7"/>
  <c r="S392" i="7"/>
  <c r="S391" i="7"/>
  <c r="S390" i="7"/>
  <c r="S389" i="7"/>
  <c r="S388" i="7"/>
  <c r="S387" i="7"/>
  <c r="S386" i="7"/>
  <c r="S385" i="7"/>
  <c r="S384" i="7"/>
  <c r="S383" i="7"/>
  <c r="S382" i="7"/>
  <c r="S381" i="7"/>
  <c r="S380" i="7"/>
  <c r="S379" i="7"/>
  <c r="S378" i="7"/>
  <c r="S377" i="7"/>
  <c r="S376" i="7"/>
  <c r="S375" i="7"/>
  <c r="S374" i="7"/>
  <c r="S373" i="7"/>
  <c r="S372" i="7"/>
  <c r="S371" i="7"/>
  <c r="S370" i="7"/>
  <c r="S369" i="7"/>
  <c r="S368" i="7"/>
  <c r="S367" i="7"/>
  <c r="S366" i="7"/>
  <c r="S365" i="7"/>
  <c r="S364" i="7"/>
  <c r="S363" i="7"/>
  <c r="S362" i="7"/>
  <c r="S361" i="7"/>
  <c r="S360" i="7"/>
  <c r="S359" i="7"/>
  <c r="S358" i="7"/>
  <c r="S357" i="7"/>
  <c r="S356" i="7"/>
  <c r="S355" i="7"/>
  <c r="S354" i="7"/>
  <c r="S353" i="7"/>
  <c r="S352" i="7"/>
  <c r="S351" i="7"/>
  <c r="S350" i="7"/>
  <c r="S349" i="7"/>
  <c r="S348" i="7"/>
  <c r="S347" i="7"/>
  <c r="S346" i="7"/>
  <c r="S345" i="7"/>
  <c r="S344" i="7"/>
  <c r="S343" i="7"/>
  <c r="S342" i="7"/>
  <c r="S341" i="7"/>
  <c r="S340" i="7"/>
  <c r="S339" i="7"/>
  <c r="S338" i="7"/>
  <c r="S337" i="7"/>
  <c r="S336" i="7"/>
  <c r="S335" i="7"/>
  <c r="S334" i="7"/>
  <c r="S333" i="7"/>
  <c r="S332" i="7"/>
  <c r="S331" i="7"/>
  <c r="S330" i="7"/>
  <c r="S329" i="7"/>
  <c r="S328" i="7"/>
  <c r="S327" i="7"/>
  <c r="S326" i="7"/>
  <c r="S325" i="7"/>
  <c r="S324" i="7"/>
  <c r="S323" i="7"/>
  <c r="S322" i="7"/>
  <c r="S321" i="7"/>
  <c r="S320" i="7"/>
  <c r="S319" i="7"/>
  <c r="S318" i="7"/>
  <c r="S317" i="7"/>
  <c r="S316" i="7"/>
  <c r="S315" i="7"/>
  <c r="S314" i="7"/>
  <c r="S313" i="7"/>
  <c r="S312" i="7"/>
  <c r="S311" i="7"/>
  <c r="S310" i="7"/>
  <c r="S309" i="7"/>
  <c r="S308" i="7"/>
  <c r="S307" i="7"/>
  <c r="S306" i="7"/>
  <c r="S305" i="7"/>
  <c r="S304" i="7"/>
  <c r="S303" i="7"/>
  <c r="S302" i="7"/>
  <c r="S301" i="7"/>
  <c r="S300" i="7"/>
  <c r="S299" i="7"/>
  <c r="S298" i="7"/>
  <c r="S297" i="7"/>
  <c r="S296" i="7"/>
  <c r="S295" i="7"/>
  <c r="S294" i="7"/>
  <c r="S293" i="7"/>
  <c r="S292" i="7"/>
  <c r="S291" i="7"/>
  <c r="S290" i="7"/>
  <c r="S289" i="7"/>
  <c r="S288" i="7"/>
  <c r="S287" i="7"/>
  <c r="S286" i="7"/>
  <c r="S285" i="7"/>
  <c r="S284" i="7"/>
  <c r="S283" i="7"/>
  <c r="S282" i="7"/>
  <c r="S281" i="7"/>
  <c r="S280" i="7"/>
  <c r="S279" i="7"/>
  <c r="S278" i="7"/>
  <c r="S277" i="7"/>
  <c r="S276" i="7"/>
  <c r="S275" i="7"/>
  <c r="S274" i="7"/>
  <c r="S273" i="7"/>
  <c r="S272" i="7"/>
  <c r="S271" i="7"/>
  <c r="S270" i="7"/>
  <c r="S269" i="7"/>
  <c r="S268" i="7"/>
  <c r="S267" i="7"/>
  <c r="S266" i="7"/>
  <c r="S265" i="7"/>
  <c r="S264" i="7"/>
  <c r="S263" i="7"/>
  <c r="S262" i="7"/>
  <c r="S261" i="7"/>
  <c r="S260" i="7"/>
  <c r="S259" i="7"/>
  <c r="S258" i="7"/>
  <c r="S257" i="7"/>
  <c r="S256" i="7"/>
  <c r="S255" i="7"/>
  <c r="S254" i="7"/>
  <c r="S253" i="7"/>
  <c r="S252" i="7"/>
  <c r="S251" i="7"/>
  <c r="S250" i="7"/>
  <c r="S249" i="7"/>
  <c r="S248" i="7"/>
  <c r="S247" i="7"/>
  <c r="S246" i="7"/>
  <c r="S245" i="7"/>
  <c r="S244" i="7"/>
  <c r="S243" i="7"/>
  <c r="S242" i="7"/>
  <c r="S241" i="7"/>
  <c r="S240" i="7"/>
  <c r="S239" i="7"/>
  <c r="S238" i="7"/>
  <c r="S237" i="7"/>
  <c r="S236" i="7"/>
  <c r="S235" i="7"/>
  <c r="S234" i="7"/>
  <c r="S233" i="7"/>
  <c r="S232" i="7"/>
  <c r="S231" i="7"/>
  <c r="S230" i="7"/>
  <c r="S229" i="7"/>
  <c r="S228" i="7"/>
  <c r="S227" i="7"/>
  <c r="S226" i="7"/>
  <c r="S225" i="7"/>
  <c r="S224" i="7"/>
  <c r="S223" i="7"/>
  <c r="S222" i="7"/>
  <c r="S221" i="7"/>
  <c r="S220" i="7"/>
  <c r="S219" i="7"/>
  <c r="S218" i="7"/>
  <c r="S217" i="7"/>
  <c r="S216" i="7"/>
  <c r="S215" i="7"/>
  <c r="S214" i="7"/>
  <c r="S213" i="7"/>
  <c r="S212" i="7"/>
  <c r="S211" i="7"/>
  <c r="S210" i="7"/>
  <c r="S209" i="7"/>
  <c r="S208" i="7"/>
  <c r="S207" i="7"/>
  <c r="S206" i="7"/>
  <c r="S205" i="7"/>
  <c r="S204" i="7"/>
  <c r="S203" i="7"/>
  <c r="S202" i="7"/>
  <c r="S201" i="7"/>
  <c r="S200" i="7"/>
  <c r="S199" i="7"/>
  <c r="S198" i="7"/>
  <c r="S197" i="7"/>
  <c r="S196" i="7"/>
  <c r="S195" i="7"/>
  <c r="S194" i="7"/>
  <c r="S193" i="7"/>
  <c r="S192" i="7"/>
  <c r="S191" i="7"/>
  <c r="S190" i="7"/>
  <c r="S189" i="7"/>
  <c r="S188" i="7"/>
  <c r="S187" i="7"/>
  <c r="S186" i="7"/>
  <c r="S185" i="7"/>
  <c r="S184" i="7"/>
  <c r="S183" i="7"/>
  <c r="S182" i="7"/>
  <c r="S181" i="7"/>
  <c r="S180" i="7"/>
  <c r="S179" i="7"/>
  <c r="S178" i="7"/>
  <c r="S177" i="7"/>
  <c r="S176" i="7"/>
  <c r="S175" i="7"/>
  <c r="S174" i="7"/>
  <c r="S173" i="7"/>
  <c r="S172" i="7"/>
  <c r="S171" i="7"/>
  <c r="S170" i="7"/>
  <c r="S169" i="7"/>
  <c r="S168" i="7"/>
  <c r="S167" i="7"/>
  <c r="S166" i="7"/>
  <c r="S165" i="7"/>
  <c r="S164" i="7"/>
  <c r="S163" i="7"/>
  <c r="S162" i="7"/>
  <c r="S161" i="7"/>
  <c r="S160" i="7"/>
  <c r="S159" i="7"/>
  <c r="S158" i="7"/>
  <c r="S157" i="7"/>
  <c r="S156" i="7"/>
  <c r="S155" i="7"/>
  <c r="S154" i="7"/>
  <c r="S153" i="7"/>
  <c r="S152" i="7"/>
  <c r="S151" i="7"/>
  <c r="S150" i="7"/>
  <c r="S149" i="7"/>
  <c r="S148" i="7"/>
  <c r="S147" i="7"/>
  <c r="S146" i="7"/>
  <c r="S145" i="7"/>
  <c r="S144" i="7"/>
  <c r="S143" i="7"/>
  <c r="S142" i="7"/>
  <c r="S141" i="7"/>
  <c r="S140" i="7"/>
  <c r="S139" i="7"/>
  <c r="S138" i="7"/>
  <c r="S137" i="7"/>
  <c r="S136" i="7"/>
  <c r="S135" i="7"/>
  <c r="S134" i="7"/>
  <c r="S133" i="7"/>
  <c r="S132" i="7"/>
  <c r="S131" i="7"/>
  <c r="S130" i="7"/>
  <c r="S129" i="7"/>
  <c r="S128" i="7"/>
  <c r="S127" i="7"/>
  <c r="S126" i="7"/>
  <c r="S125" i="7"/>
  <c r="S124" i="7"/>
  <c r="S123" i="7"/>
  <c r="S122" i="7"/>
  <c r="S121" i="7"/>
  <c r="S120" i="7"/>
  <c r="S119" i="7"/>
  <c r="S118" i="7"/>
  <c r="S117" i="7"/>
  <c r="S116" i="7"/>
  <c r="S115" i="7"/>
  <c r="S114" i="7"/>
  <c r="S113" i="7"/>
  <c r="S112" i="7"/>
  <c r="S111" i="7"/>
  <c r="S110" i="7"/>
  <c r="S109" i="7"/>
  <c r="S108" i="7"/>
  <c r="S107" i="7"/>
  <c r="S106" i="7"/>
  <c r="S105" i="7"/>
  <c r="S104" i="7"/>
  <c r="S103" i="7"/>
  <c r="S102" i="7"/>
  <c r="S101" i="7"/>
  <c r="S100" i="7"/>
  <c r="S99" i="7"/>
  <c r="S98" i="7"/>
  <c r="S97" i="7"/>
  <c r="S96" i="7"/>
  <c r="S95" i="7"/>
  <c r="S94" i="7"/>
  <c r="S93" i="7"/>
  <c r="S92" i="7"/>
  <c r="S91" i="7"/>
  <c r="S90" i="7"/>
  <c r="S89" i="7"/>
  <c r="S88" i="7"/>
  <c r="S87" i="7"/>
  <c r="S86" i="7"/>
  <c r="S85" i="7"/>
  <c r="S84" i="7"/>
  <c r="S83" i="7"/>
  <c r="S82" i="7"/>
  <c r="S81" i="7"/>
  <c r="S80" i="7"/>
  <c r="S79" i="7"/>
  <c r="S78" i="7"/>
  <c r="S77" i="7"/>
  <c r="S76" i="7"/>
  <c r="S75" i="7"/>
  <c r="S74" i="7"/>
  <c r="S73" i="7"/>
  <c r="S72" i="7"/>
  <c r="S71" i="7"/>
  <c r="S70" i="7"/>
  <c r="S69" i="7"/>
  <c r="S68" i="7"/>
  <c r="S67" i="7"/>
  <c r="S66" i="7"/>
  <c r="S65" i="7"/>
  <c r="S64" i="7"/>
  <c r="S63" i="7"/>
  <c r="S62" i="7"/>
  <c r="S61" i="7"/>
  <c r="S60" i="7"/>
  <c r="S59" i="7"/>
  <c r="S58" i="7"/>
  <c r="S57" i="7"/>
  <c r="S56" i="7"/>
  <c r="S55" i="7"/>
  <c r="S54" i="7"/>
  <c r="S53" i="7"/>
  <c r="S52" i="7"/>
  <c r="S51" i="7"/>
  <c r="S50" i="7"/>
  <c r="S49" i="7"/>
  <c r="S48" i="7"/>
  <c r="S47" i="7"/>
  <c r="S46" i="7"/>
  <c r="S45" i="7"/>
  <c r="S44" i="7"/>
  <c r="S43" i="7"/>
  <c r="S42" i="7"/>
  <c r="S41" i="7"/>
  <c r="S40" i="7"/>
  <c r="S39" i="7"/>
  <c r="S38" i="7"/>
  <c r="S37" i="7"/>
  <c r="S36" i="7"/>
  <c r="S35" i="7"/>
  <c r="S34" i="7"/>
  <c r="S33" i="7"/>
  <c r="S32" i="7"/>
  <c r="S31" i="7"/>
  <c r="S30" i="7"/>
  <c r="S29" i="7"/>
  <c r="S28" i="7"/>
  <c r="S27" i="7"/>
  <c r="S26" i="7"/>
  <c r="S25" i="7"/>
  <c r="S24" i="7"/>
  <c r="S23" i="7"/>
  <c r="S22" i="7"/>
  <c r="S21" i="7"/>
  <c r="S20" i="7"/>
  <c r="S19" i="7"/>
  <c r="S18" i="7"/>
  <c r="S17" i="7"/>
  <c r="S16" i="7"/>
  <c r="S15" i="7"/>
  <c r="S14" i="7"/>
  <c r="S13" i="7"/>
  <c r="S12" i="7"/>
  <c r="S11" i="7"/>
  <c r="S10" i="7"/>
  <c r="S9" i="7"/>
  <c r="S8" i="7"/>
  <c r="S7" i="7"/>
  <c r="S6" i="7"/>
  <c r="S5" i="7"/>
  <c r="S4" i="7"/>
  <c r="S3" i="7"/>
  <c r="S2" i="7"/>
  <c r="F70" i="5"/>
  <c r="L64" i="5"/>
  <c r="G63" i="5"/>
  <c r="I63" i="5" s="1"/>
  <c r="I72" i="5" s="1"/>
  <c r="I62" i="5"/>
  <c r="G58" i="5"/>
  <c r="G62" i="5" s="1"/>
  <c r="I56" i="5"/>
  <c r="I55" i="5"/>
  <c r="I54" i="5"/>
  <c r="I53" i="5"/>
  <c r="I52" i="5"/>
  <c r="G46" i="5"/>
  <c r="I46" i="5" s="1"/>
  <c r="F45" i="5"/>
  <c r="E45" i="5"/>
  <c r="D45" i="5"/>
  <c r="G44" i="5"/>
  <c r="I44" i="5" s="1"/>
  <c r="G42" i="5"/>
  <c r="I42" i="5" s="1"/>
  <c r="D42" i="5"/>
  <c r="D43" i="5" s="1"/>
  <c r="G43" i="5" s="1"/>
  <c r="I43" i="5" s="1"/>
  <c r="G36" i="5"/>
  <c r="G35" i="5"/>
  <c r="G34" i="5"/>
  <c r="G33" i="5"/>
  <c r="G32" i="5"/>
  <c r="K29" i="5"/>
  <c r="D29" i="5"/>
  <c r="D28" i="5"/>
  <c r="G28" i="5" s="1"/>
  <c r="J27" i="5"/>
  <c r="K27" i="5" s="1"/>
  <c r="D27" i="5"/>
  <c r="G27" i="5" s="1"/>
  <c r="F26" i="5"/>
  <c r="D26" i="5"/>
  <c r="G26" i="5" s="1"/>
  <c r="I26" i="5" s="1"/>
  <c r="D25" i="5"/>
  <c r="G25" i="5" s="1"/>
  <c r="I25" i="5" s="1"/>
  <c r="D24" i="5"/>
  <c r="G24" i="5" s="1"/>
  <c r="I24" i="5" s="1"/>
  <c r="F23" i="5"/>
  <c r="D23" i="5"/>
  <c r="D22" i="5"/>
  <c r="G22" i="5" s="1"/>
  <c r="D21" i="5"/>
  <c r="K21" i="5" s="1"/>
  <c r="D20" i="5"/>
  <c r="G20" i="5" s="1"/>
  <c r="I20" i="5" s="1"/>
  <c r="N19" i="5"/>
  <c r="O18" i="5"/>
  <c r="D18" i="5"/>
  <c r="G18" i="5" s="1"/>
  <c r="I18" i="5" s="1"/>
  <c r="O17" i="5"/>
  <c r="D17" i="5"/>
  <c r="G17" i="5" s="1"/>
  <c r="O16" i="5"/>
  <c r="D16" i="5"/>
  <c r="G16" i="5" s="1"/>
  <c r="O15" i="5"/>
  <c r="D15" i="5"/>
  <c r="G15" i="5" s="1"/>
  <c r="P14" i="5"/>
  <c r="O14" i="5"/>
  <c r="D14" i="5"/>
  <c r="G14" i="5" s="1"/>
  <c r="I14" i="5" s="1"/>
  <c r="O13" i="5"/>
  <c r="D13" i="5"/>
  <c r="Q12" i="5"/>
  <c r="R12" i="5" s="1"/>
  <c r="O12" i="5"/>
  <c r="K12" i="5"/>
  <c r="G12" i="5"/>
  <c r="O11" i="5"/>
  <c r="O10" i="5"/>
  <c r="F10" i="5"/>
  <c r="D10" i="5"/>
  <c r="G10" i="5" s="1"/>
  <c r="O9" i="5"/>
  <c r="F9" i="5"/>
  <c r="G9" i="5" s="1"/>
  <c r="D9" i="5"/>
  <c r="O8" i="5"/>
  <c r="F8" i="5"/>
  <c r="D8" i="5"/>
  <c r="O7" i="5"/>
  <c r="F7" i="5"/>
  <c r="D7" i="5"/>
  <c r="O6" i="5"/>
  <c r="Q5" i="5"/>
  <c r="O5" i="5"/>
  <c r="O4" i="5"/>
  <c r="J21" i="3"/>
  <c r="I21" i="3"/>
  <c r="H21" i="3"/>
  <c r="G21" i="3"/>
  <c r="J20" i="3"/>
  <c r="I20" i="3"/>
  <c r="H20" i="3"/>
  <c r="G20" i="3"/>
  <c r="J19" i="3"/>
  <c r="I19" i="3"/>
  <c r="H19" i="3"/>
  <c r="G19" i="3"/>
  <c r="J18" i="3"/>
  <c r="I18" i="3"/>
  <c r="H18" i="3"/>
  <c r="G18" i="3"/>
  <c r="J17" i="3"/>
  <c r="I17" i="3"/>
  <c r="H17" i="3"/>
  <c r="G17" i="3"/>
  <c r="J16" i="3"/>
  <c r="I16" i="3"/>
  <c r="H16" i="3"/>
  <c r="G16" i="3"/>
  <c r="J15" i="3"/>
  <c r="I15" i="3"/>
  <c r="H15" i="3"/>
  <c r="G15" i="3"/>
  <c r="J14" i="3"/>
  <c r="I14" i="3"/>
  <c r="H14" i="3"/>
  <c r="G14" i="3"/>
  <c r="J13" i="3"/>
  <c r="I13" i="3"/>
  <c r="H13" i="3"/>
  <c r="G13" i="3"/>
  <c r="J12" i="3"/>
  <c r="I12" i="3"/>
  <c r="H12" i="3"/>
  <c r="G12" i="3"/>
  <c r="J11" i="3"/>
  <c r="I11" i="3"/>
  <c r="H11" i="3"/>
  <c r="G11" i="3"/>
  <c r="J10" i="3"/>
  <c r="I10" i="3"/>
  <c r="H10" i="3"/>
  <c r="G10" i="3"/>
  <c r="J9" i="3"/>
  <c r="I9" i="3"/>
  <c r="H9" i="3"/>
  <c r="G9" i="3"/>
  <c r="J8" i="3"/>
  <c r="I8" i="3"/>
  <c r="H8" i="3"/>
  <c r="G8" i="3"/>
  <c r="J7" i="3"/>
  <c r="I7" i="3"/>
  <c r="H7" i="3"/>
  <c r="G7" i="3"/>
  <c r="J6" i="3"/>
  <c r="I6" i="3"/>
  <c r="H6" i="3"/>
  <c r="G6" i="3"/>
  <c r="J5" i="3"/>
  <c r="I5" i="3"/>
  <c r="H5" i="3"/>
  <c r="G5" i="3"/>
  <c r="J4" i="3"/>
  <c r="I4" i="3"/>
  <c r="H4" i="3"/>
  <c r="G4" i="3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B45" i="1"/>
  <c r="B47" i="1" s="1"/>
  <c r="B18" i="1"/>
  <c r="B19" i="1" s="1"/>
  <c r="B16" i="1"/>
  <c r="B10" i="1"/>
  <c r="V219" i="4"/>
  <c r="N219" i="4"/>
  <c r="V218" i="4"/>
  <c r="N218" i="4"/>
  <c r="P218" i="4" s="1"/>
  <c r="V216" i="4"/>
  <c r="N216" i="4"/>
  <c r="V215" i="4"/>
  <c r="N215" i="4"/>
  <c r="P215" i="4" s="1"/>
  <c r="Y214" i="4"/>
  <c r="V214" i="4"/>
  <c r="N214" i="4"/>
  <c r="O214" i="4" s="1"/>
  <c r="V213" i="4"/>
  <c r="N213" i="4"/>
  <c r="Q213" i="4" s="1"/>
  <c r="Y212" i="4"/>
  <c r="V212" i="4"/>
  <c r="N212" i="4"/>
  <c r="O212" i="4" s="1"/>
  <c r="V211" i="4"/>
  <c r="N211" i="4"/>
  <c r="T211" i="4" s="1"/>
  <c r="Y210" i="4"/>
  <c r="V210" i="4"/>
  <c r="N210" i="4"/>
  <c r="Q210" i="4" s="1"/>
  <c r="V209" i="4"/>
  <c r="N209" i="4"/>
  <c r="Q209" i="4" s="1"/>
  <c r="V208" i="4"/>
  <c r="N208" i="4"/>
  <c r="Y207" i="4"/>
  <c r="V207" i="4"/>
  <c r="N207" i="4"/>
  <c r="T207" i="4" s="1"/>
  <c r="Y206" i="4"/>
  <c r="V206" i="4"/>
  <c r="N206" i="4"/>
  <c r="Y204" i="4"/>
  <c r="V204" i="4"/>
  <c r="N204" i="4"/>
  <c r="Y203" i="4"/>
  <c r="V203" i="4"/>
  <c r="N203" i="4"/>
  <c r="V202" i="4"/>
  <c r="N202" i="4"/>
  <c r="O202" i="4" s="1"/>
  <c r="Y200" i="4"/>
  <c r="V200" i="4"/>
  <c r="N200" i="4"/>
  <c r="P200" i="4" s="1"/>
  <c r="Y199" i="4"/>
  <c r="V199" i="4"/>
  <c r="N199" i="4"/>
  <c r="O199" i="4" s="1"/>
  <c r="Y197" i="4"/>
  <c r="V197" i="4"/>
  <c r="N197" i="4"/>
  <c r="U197" i="4" s="1"/>
  <c r="Y195" i="4"/>
  <c r="V195" i="4"/>
  <c r="N195" i="4"/>
  <c r="P195" i="4" s="1"/>
  <c r="V194" i="4"/>
  <c r="N194" i="4"/>
  <c r="Y192" i="4"/>
  <c r="V192" i="4"/>
  <c r="N192" i="4"/>
  <c r="T192" i="4" s="1"/>
  <c r="Y191" i="4"/>
  <c r="V191" i="4"/>
  <c r="N191" i="4"/>
  <c r="U191" i="4" s="1"/>
  <c r="Y190" i="4"/>
  <c r="V190" i="4"/>
  <c r="N190" i="4"/>
  <c r="Y189" i="4"/>
  <c r="V189" i="4"/>
  <c r="N189" i="4"/>
  <c r="R189" i="4" s="1"/>
  <c r="Y188" i="4"/>
  <c r="V188" i="4"/>
  <c r="N188" i="4"/>
  <c r="O188" i="4" s="1"/>
  <c r="Y187" i="4"/>
  <c r="V187" i="4"/>
  <c r="N187" i="4"/>
  <c r="T187" i="4" s="1"/>
  <c r="Y186" i="4"/>
  <c r="V186" i="4"/>
  <c r="N186" i="4"/>
  <c r="Y185" i="4"/>
  <c r="V185" i="4"/>
  <c r="N185" i="4"/>
  <c r="U185" i="4" s="1"/>
  <c r="Y184" i="4"/>
  <c r="V184" i="4"/>
  <c r="N184" i="4"/>
  <c r="U184" i="4" s="1"/>
  <c r="Y183" i="4"/>
  <c r="V183" i="4"/>
  <c r="N183" i="4"/>
  <c r="O183" i="4" s="1"/>
  <c r="Y182" i="4"/>
  <c r="V182" i="4"/>
  <c r="N182" i="4"/>
  <c r="Y181" i="4"/>
  <c r="V181" i="4"/>
  <c r="N181" i="4"/>
  <c r="U181" i="4" s="1"/>
  <c r="Y180" i="4"/>
  <c r="V180" i="4"/>
  <c r="N180" i="4"/>
  <c r="R180" i="4" s="1"/>
  <c r="Y179" i="4"/>
  <c r="V179" i="4"/>
  <c r="N179" i="4"/>
  <c r="R179" i="4" s="1"/>
  <c r="Y178" i="4"/>
  <c r="V178" i="4"/>
  <c r="N178" i="4"/>
  <c r="O178" i="4" s="1"/>
  <c r="V177" i="4"/>
  <c r="N177" i="4"/>
  <c r="V176" i="4"/>
  <c r="N176" i="4"/>
  <c r="Q176" i="4" s="1"/>
  <c r="Y175" i="4"/>
  <c r="V175" i="4"/>
  <c r="N175" i="4"/>
  <c r="Y174" i="4"/>
  <c r="V174" i="4"/>
  <c r="N174" i="4"/>
  <c r="T174" i="4" s="1"/>
  <c r="Y173" i="4"/>
  <c r="V173" i="4"/>
  <c r="N173" i="4"/>
  <c r="O173" i="4" s="1"/>
  <c r="Y171" i="4"/>
  <c r="V171" i="4"/>
  <c r="N171" i="4"/>
  <c r="T171" i="4" s="1"/>
  <c r="Y170" i="4"/>
  <c r="V170" i="4"/>
  <c r="N170" i="4"/>
  <c r="Y169" i="4"/>
  <c r="V169" i="4"/>
  <c r="N169" i="4"/>
  <c r="U169" i="4" s="1"/>
  <c r="Y168" i="4"/>
  <c r="V168" i="4"/>
  <c r="N168" i="4"/>
  <c r="Y167" i="4"/>
  <c r="V167" i="4"/>
  <c r="N167" i="4"/>
  <c r="O167" i="4" s="1"/>
  <c r="Y166" i="4"/>
  <c r="V166" i="4"/>
  <c r="N166" i="4"/>
  <c r="R166" i="4" s="1"/>
  <c r="Y165" i="4"/>
  <c r="V165" i="4"/>
  <c r="N165" i="4"/>
  <c r="Q165" i="4" s="1"/>
  <c r="Y164" i="4"/>
  <c r="V164" i="4"/>
  <c r="N164" i="4"/>
  <c r="P164" i="4" s="1"/>
  <c r="Y163" i="4"/>
  <c r="V163" i="4"/>
  <c r="N163" i="4"/>
  <c r="Y162" i="4"/>
  <c r="V162" i="4"/>
  <c r="N162" i="4"/>
  <c r="Q162" i="4" s="1"/>
  <c r="Y161" i="4"/>
  <c r="V161" i="4"/>
  <c r="N161" i="4"/>
  <c r="U161" i="4" s="1"/>
  <c r="Y160" i="4"/>
  <c r="V160" i="4"/>
  <c r="N160" i="4"/>
  <c r="Y159" i="4"/>
  <c r="V159" i="4"/>
  <c r="N159" i="4"/>
  <c r="Y158" i="4"/>
  <c r="V158" i="4"/>
  <c r="N158" i="4"/>
  <c r="O158" i="4" s="1"/>
  <c r="Y157" i="4"/>
  <c r="V157" i="4"/>
  <c r="N157" i="4"/>
  <c r="Y156" i="4"/>
  <c r="V156" i="4"/>
  <c r="N156" i="4"/>
  <c r="P156" i="4" s="1"/>
  <c r="Y155" i="4"/>
  <c r="V155" i="4"/>
  <c r="N155" i="4"/>
  <c r="R155" i="4" s="1"/>
  <c r="Y154" i="4"/>
  <c r="V154" i="4"/>
  <c r="N154" i="4"/>
  <c r="O154" i="4" s="1"/>
  <c r="Y153" i="4"/>
  <c r="V153" i="4"/>
  <c r="N153" i="4"/>
  <c r="O153" i="4" s="1"/>
  <c r="Y152" i="4"/>
  <c r="V152" i="4"/>
  <c r="N152" i="4"/>
  <c r="U152" i="4" s="1"/>
  <c r="Y151" i="4"/>
  <c r="V151" i="4"/>
  <c r="N151" i="4"/>
  <c r="Y150" i="4"/>
  <c r="V150" i="4"/>
  <c r="N150" i="4"/>
  <c r="Y149" i="4"/>
  <c r="V149" i="4"/>
  <c r="N149" i="4"/>
  <c r="R149" i="4" s="1"/>
  <c r="V148" i="4"/>
  <c r="N148" i="4"/>
  <c r="P148" i="4" s="1"/>
  <c r="V147" i="4"/>
  <c r="N147" i="4"/>
  <c r="T147" i="4" s="1"/>
  <c r="V146" i="4"/>
  <c r="N146" i="4"/>
  <c r="Q146" i="4" s="1"/>
  <c r="V145" i="4"/>
  <c r="N145" i="4"/>
  <c r="U145" i="4" s="1"/>
  <c r="V144" i="4"/>
  <c r="N144" i="4"/>
  <c r="Y143" i="4"/>
  <c r="V143" i="4"/>
  <c r="N143" i="4"/>
  <c r="Y142" i="4"/>
  <c r="V142" i="4"/>
  <c r="N142" i="4"/>
  <c r="Q142" i="4" s="1"/>
  <c r="Y140" i="4"/>
  <c r="V140" i="4"/>
  <c r="N140" i="4"/>
  <c r="R140" i="4" s="1"/>
  <c r="V139" i="4"/>
  <c r="N139" i="4"/>
  <c r="O139" i="4" s="1"/>
  <c r="Y138" i="4"/>
  <c r="V138" i="4"/>
  <c r="N138" i="4"/>
  <c r="O138" i="4" s="1"/>
  <c r="V137" i="4"/>
  <c r="N137" i="4"/>
  <c r="R137" i="4" s="1"/>
  <c r="Y134" i="4"/>
  <c r="V134" i="4"/>
  <c r="N134" i="4"/>
  <c r="U134" i="4" s="1"/>
  <c r="Y133" i="4"/>
  <c r="V133" i="4"/>
  <c r="N133" i="4"/>
  <c r="Y132" i="4"/>
  <c r="V132" i="4"/>
  <c r="N132" i="4"/>
  <c r="O132" i="4" s="1"/>
  <c r="Y131" i="4"/>
  <c r="V131" i="4"/>
  <c r="N131" i="4"/>
  <c r="R131" i="4" s="1"/>
  <c r="Y130" i="4"/>
  <c r="V130" i="4"/>
  <c r="N130" i="4"/>
  <c r="Y129" i="4"/>
  <c r="V129" i="4"/>
  <c r="N129" i="4"/>
  <c r="R129" i="4" s="1"/>
  <c r="Y128" i="4"/>
  <c r="V128" i="4"/>
  <c r="N128" i="4"/>
  <c r="P128" i="4" s="1"/>
  <c r="Y127" i="4"/>
  <c r="V127" i="4"/>
  <c r="N127" i="4"/>
  <c r="U127" i="4" s="1"/>
  <c r="Y126" i="4"/>
  <c r="V126" i="4"/>
  <c r="N126" i="4"/>
  <c r="R126" i="4" s="1"/>
  <c r="Y124" i="4"/>
  <c r="V124" i="4"/>
  <c r="N124" i="4"/>
  <c r="U124" i="4" s="1"/>
  <c r="Y123" i="4"/>
  <c r="V123" i="4"/>
  <c r="N123" i="4"/>
  <c r="O123" i="4" s="1"/>
  <c r="Y122" i="4"/>
  <c r="V122" i="4"/>
  <c r="N122" i="4"/>
  <c r="Y121" i="4"/>
  <c r="V121" i="4"/>
  <c r="N121" i="4"/>
  <c r="P121" i="4" s="1"/>
  <c r="Y120" i="4"/>
  <c r="V120" i="4"/>
  <c r="N120" i="4"/>
  <c r="T120" i="4" s="1"/>
  <c r="V119" i="4"/>
  <c r="N119" i="4"/>
  <c r="Y118" i="4"/>
  <c r="V118" i="4"/>
  <c r="N118" i="4"/>
  <c r="U118" i="4" s="1"/>
  <c r="Y116" i="4"/>
  <c r="V116" i="4"/>
  <c r="N116" i="4"/>
  <c r="Y115" i="4"/>
  <c r="V115" i="4"/>
  <c r="N115" i="4"/>
  <c r="R115" i="4" s="1"/>
  <c r="Y114" i="4"/>
  <c r="V114" i="4"/>
  <c r="N114" i="4"/>
  <c r="Q114" i="4" s="1"/>
  <c r="Y113" i="4"/>
  <c r="V113" i="4"/>
  <c r="N113" i="4"/>
  <c r="T113" i="4" s="1"/>
  <c r="Y111" i="4"/>
  <c r="V111" i="4"/>
  <c r="N111" i="4"/>
  <c r="U111" i="4" s="1"/>
  <c r="Y110" i="4"/>
  <c r="V110" i="4"/>
  <c r="N110" i="4"/>
  <c r="Y109" i="4"/>
  <c r="V109" i="4"/>
  <c r="N109" i="4"/>
  <c r="O109" i="4" s="1"/>
  <c r="Y108" i="4"/>
  <c r="V108" i="4"/>
  <c r="N108" i="4"/>
  <c r="O108" i="4" s="1"/>
  <c r="Y107" i="4"/>
  <c r="V107" i="4"/>
  <c r="N107" i="4"/>
  <c r="R107" i="4" s="1"/>
  <c r="Y105" i="4"/>
  <c r="V105" i="4"/>
  <c r="N105" i="4"/>
  <c r="T105" i="4" s="1"/>
  <c r="Y104" i="4"/>
  <c r="V104" i="4"/>
  <c r="N104" i="4"/>
  <c r="U104" i="4" s="1"/>
  <c r="Y103" i="4"/>
  <c r="V103" i="4"/>
  <c r="N103" i="4"/>
  <c r="P103" i="4" s="1"/>
  <c r="Y102" i="4"/>
  <c r="V102" i="4"/>
  <c r="N102" i="4"/>
  <c r="Y101" i="4"/>
  <c r="V101" i="4"/>
  <c r="N101" i="4"/>
  <c r="U101" i="4" s="1"/>
  <c r="Y100" i="4"/>
  <c r="V100" i="4"/>
  <c r="N100" i="4"/>
  <c r="Y99" i="4"/>
  <c r="V99" i="4"/>
  <c r="N99" i="4"/>
  <c r="U99" i="4" s="1"/>
  <c r="Y97" i="4"/>
  <c r="V97" i="4"/>
  <c r="N97" i="4"/>
  <c r="P97" i="4" s="1"/>
  <c r="Y96" i="4"/>
  <c r="V96" i="4"/>
  <c r="N96" i="4"/>
  <c r="O96" i="4" s="1"/>
  <c r="Y95" i="4"/>
  <c r="V95" i="4"/>
  <c r="N95" i="4"/>
  <c r="U95" i="4" s="1"/>
  <c r="Y94" i="4"/>
  <c r="V94" i="4"/>
  <c r="N94" i="4"/>
  <c r="R94" i="4" s="1"/>
  <c r="Y92" i="4"/>
  <c r="V92" i="4"/>
  <c r="N92" i="4"/>
  <c r="U92" i="4" s="1"/>
  <c r="Y91" i="4"/>
  <c r="V91" i="4"/>
  <c r="N91" i="4"/>
  <c r="Q91" i="4" s="1"/>
  <c r="Y90" i="4"/>
  <c r="V90" i="4"/>
  <c r="N90" i="4"/>
  <c r="P90" i="4" s="1"/>
  <c r="Y89" i="4"/>
  <c r="V89" i="4"/>
  <c r="N89" i="4"/>
  <c r="O89" i="4" s="1"/>
  <c r="Y87" i="4"/>
  <c r="V87" i="4"/>
  <c r="N87" i="4"/>
  <c r="U87" i="4" s="1"/>
  <c r="Y86" i="4"/>
  <c r="V86" i="4"/>
  <c r="N86" i="4"/>
  <c r="U86" i="4" s="1"/>
  <c r="Y85" i="4"/>
  <c r="V85" i="4"/>
  <c r="N85" i="4"/>
  <c r="Q85" i="4" s="1"/>
  <c r="Y84" i="4"/>
  <c r="V84" i="4"/>
  <c r="N84" i="4"/>
  <c r="U84" i="4" s="1"/>
  <c r="Y83" i="4"/>
  <c r="V83" i="4"/>
  <c r="N83" i="4"/>
  <c r="Y82" i="4"/>
  <c r="V82" i="4"/>
  <c r="N82" i="4"/>
  <c r="P82" i="4" s="1"/>
  <c r="Y81" i="4"/>
  <c r="V81" i="4"/>
  <c r="N81" i="4"/>
  <c r="Y80" i="4"/>
  <c r="V80" i="4"/>
  <c r="N80" i="4"/>
  <c r="O80" i="4" s="1"/>
  <c r="Y78" i="4"/>
  <c r="V78" i="4"/>
  <c r="N78" i="4"/>
  <c r="P78" i="4" s="1"/>
  <c r="Y77" i="4"/>
  <c r="V77" i="4"/>
  <c r="N77" i="4"/>
  <c r="P77" i="4" s="1"/>
  <c r="Y76" i="4"/>
  <c r="V76" i="4"/>
  <c r="N76" i="4"/>
  <c r="Q76" i="4" s="1"/>
  <c r="Y75" i="4"/>
  <c r="V75" i="4"/>
  <c r="N75" i="4"/>
  <c r="R75" i="4" s="1"/>
  <c r="V74" i="4"/>
  <c r="N74" i="4"/>
  <c r="Y73" i="4"/>
  <c r="V73" i="4"/>
  <c r="N73" i="4"/>
  <c r="V72" i="4"/>
  <c r="N72" i="4"/>
  <c r="U72" i="4" s="1"/>
  <c r="V71" i="4"/>
  <c r="N71" i="4"/>
  <c r="T71" i="4" s="1"/>
  <c r="Y69" i="4"/>
  <c r="V69" i="4"/>
  <c r="N69" i="4"/>
  <c r="P69" i="4" s="1"/>
  <c r="Y67" i="4"/>
  <c r="V67" i="4"/>
  <c r="N67" i="4"/>
  <c r="O67" i="4" s="1"/>
  <c r="Y66" i="4"/>
  <c r="V66" i="4"/>
  <c r="N66" i="4"/>
  <c r="U66" i="4" s="1"/>
  <c r="Y65" i="4"/>
  <c r="V65" i="4"/>
  <c r="N65" i="4"/>
  <c r="Q65" i="4" s="1"/>
  <c r="Y64" i="4"/>
  <c r="V64" i="4"/>
  <c r="N64" i="4"/>
  <c r="O64" i="4" s="1"/>
  <c r="Y63" i="4"/>
  <c r="V63" i="4"/>
  <c r="N63" i="4"/>
  <c r="R63" i="4" s="1"/>
  <c r="Y62" i="4"/>
  <c r="V62" i="4"/>
  <c r="N62" i="4"/>
  <c r="V61" i="4"/>
  <c r="N61" i="4"/>
  <c r="U61" i="4" s="1"/>
  <c r="Y59" i="4"/>
  <c r="V59" i="4"/>
  <c r="N59" i="4"/>
  <c r="R59" i="4" s="1"/>
  <c r="Y58" i="4"/>
  <c r="V58" i="4"/>
  <c r="N58" i="4"/>
  <c r="R58" i="4" s="1"/>
  <c r="Y57" i="4"/>
  <c r="V57" i="4"/>
  <c r="N57" i="4"/>
  <c r="Y56" i="4"/>
  <c r="V56" i="4"/>
  <c r="N56" i="4"/>
  <c r="R56" i="4" s="1"/>
  <c r="Y55" i="4"/>
  <c r="V55" i="4"/>
  <c r="N55" i="4"/>
  <c r="O55" i="4" s="1"/>
  <c r="Y54" i="4"/>
  <c r="V54" i="4"/>
  <c r="N54" i="4"/>
  <c r="U54" i="4" s="1"/>
  <c r="V53" i="4"/>
  <c r="N53" i="4"/>
  <c r="R53" i="4" s="1"/>
  <c r="Y52" i="4"/>
  <c r="V52" i="4"/>
  <c r="N52" i="4"/>
  <c r="R52" i="4" s="1"/>
  <c r="V50" i="4"/>
  <c r="N50" i="4"/>
  <c r="R50" i="4" s="1"/>
  <c r="V49" i="4"/>
  <c r="N49" i="4"/>
  <c r="Y47" i="4"/>
  <c r="V47" i="4"/>
  <c r="N47" i="4"/>
  <c r="T47" i="4" s="1"/>
  <c r="Y46" i="4"/>
  <c r="V46" i="4"/>
  <c r="N46" i="4"/>
  <c r="P46" i="4" s="1"/>
  <c r="V45" i="4"/>
  <c r="N45" i="4"/>
  <c r="T45" i="4" s="1"/>
  <c r="Y44" i="4"/>
  <c r="V44" i="4"/>
  <c r="N44" i="4"/>
  <c r="V43" i="4"/>
  <c r="N43" i="4"/>
  <c r="O43" i="4" s="1"/>
  <c r="Y42" i="4"/>
  <c r="V42" i="4"/>
  <c r="N42" i="4"/>
  <c r="V41" i="4"/>
  <c r="N41" i="4"/>
  <c r="T41" i="4" s="1"/>
  <c r="Y40" i="4"/>
  <c r="V40" i="4"/>
  <c r="N40" i="4"/>
  <c r="P40" i="4" s="1"/>
  <c r="V39" i="4"/>
  <c r="N39" i="4"/>
  <c r="O39" i="4" s="1"/>
  <c r="V38" i="4"/>
  <c r="N38" i="4"/>
  <c r="R38" i="4" s="1"/>
  <c r="Y36" i="4"/>
  <c r="V36" i="4"/>
  <c r="N36" i="4"/>
  <c r="O36" i="4" s="1"/>
  <c r="Y35" i="4"/>
  <c r="V35" i="4"/>
  <c r="N35" i="4"/>
  <c r="O35" i="4" s="1"/>
  <c r="V34" i="4"/>
  <c r="N34" i="4"/>
  <c r="U34" i="4" s="1"/>
  <c r="V33" i="4"/>
  <c r="N33" i="4"/>
  <c r="P33" i="4" s="1"/>
  <c r="Y32" i="4"/>
  <c r="V32" i="4"/>
  <c r="N32" i="4"/>
  <c r="T32" i="4" s="1"/>
  <c r="Y31" i="4"/>
  <c r="V31" i="4"/>
  <c r="N31" i="4"/>
  <c r="O31" i="4" s="1"/>
  <c r="Y30" i="4"/>
  <c r="V30" i="4"/>
  <c r="N30" i="4"/>
  <c r="Y29" i="4"/>
  <c r="V29" i="4"/>
  <c r="N29" i="4"/>
  <c r="V28" i="4"/>
  <c r="N28" i="4"/>
  <c r="P28" i="4" s="1"/>
  <c r="V27" i="4"/>
  <c r="N27" i="4"/>
  <c r="Y26" i="4"/>
  <c r="V26" i="4"/>
  <c r="N26" i="4"/>
  <c r="V25" i="4"/>
  <c r="N25" i="4"/>
  <c r="R25" i="4" s="1"/>
  <c r="Y24" i="4"/>
  <c r="V24" i="4"/>
  <c r="N24" i="4"/>
  <c r="T24" i="4" s="1"/>
  <c r="Y23" i="4"/>
  <c r="V23" i="4"/>
  <c r="N23" i="4"/>
  <c r="O23" i="4" s="1"/>
  <c r="V22" i="4"/>
  <c r="N22" i="4"/>
  <c r="P22" i="4" s="1"/>
  <c r="Y21" i="4"/>
  <c r="V21" i="4"/>
  <c r="N21" i="4"/>
  <c r="Y20" i="4"/>
  <c r="V20" i="4"/>
  <c r="N20" i="4"/>
  <c r="O20" i="4" s="1"/>
  <c r="Y18" i="4"/>
  <c r="V18" i="4"/>
  <c r="N18" i="4"/>
  <c r="Y17" i="4"/>
  <c r="V17" i="4"/>
  <c r="N17" i="4"/>
  <c r="T17" i="4" s="1"/>
  <c r="Y16" i="4"/>
  <c r="V16" i="4"/>
  <c r="N16" i="4"/>
  <c r="U16" i="4" s="1"/>
  <c r="Y14" i="4"/>
  <c r="V14" i="4"/>
  <c r="N14" i="4"/>
  <c r="Y13" i="4"/>
  <c r="V13" i="4"/>
  <c r="N13" i="4"/>
  <c r="P13" i="4" s="1"/>
  <c r="Y12" i="4"/>
  <c r="V12" i="4"/>
  <c r="N12" i="4"/>
  <c r="Y11" i="4"/>
  <c r="V11" i="4"/>
  <c r="N11" i="4"/>
  <c r="R11" i="4" s="1"/>
  <c r="V10" i="4"/>
  <c r="N10" i="4"/>
  <c r="O10" i="4" s="1"/>
  <c r="Y9" i="4"/>
  <c r="V9" i="4"/>
  <c r="N9" i="4"/>
  <c r="U9" i="4" s="1"/>
  <c r="Y8" i="4"/>
  <c r="V8" i="4"/>
  <c r="N8" i="4"/>
  <c r="P8" i="4" s="1"/>
  <c r="Y7" i="4"/>
  <c r="V7" i="4"/>
  <c r="N7" i="4"/>
  <c r="T7" i="4" s="1"/>
  <c r="Y6" i="4"/>
  <c r="V6" i="4"/>
  <c r="N6" i="4"/>
  <c r="Y5" i="4"/>
  <c r="V5" i="4"/>
  <c r="N5" i="4"/>
  <c r="R5" i="4" s="1"/>
  <c r="K9" i="10" l="1"/>
  <c r="L4" i="10"/>
  <c r="N4" i="10" s="1"/>
  <c r="L9" i="10"/>
  <c r="K11" i="10"/>
  <c r="M11" i="10"/>
  <c r="N11" i="10" s="1"/>
  <c r="K12" i="10"/>
  <c r="T28" i="4"/>
  <c r="Q28" i="4"/>
  <c r="R28" i="4"/>
  <c r="R82" i="4"/>
  <c r="P124" i="4"/>
  <c r="T124" i="4"/>
  <c r="Q82" i="4"/>
  <c r="R209" i="4"/>
  <c r="U209" i="4"/>
  <c r="U32" i="4"/>
  <c r="P214" i="4"/>
  <c r="U214" i="4"/>
  <c r="P99" i="4"/>
  <c r="P199" i="4"/>
  <c r="R36" i="4"/>
  <c r="R99" i="4"/>
  <c r="T154" i="4"/>
  <c r="O169" i="4"/>
  <c r="P191" i="4"/>
  <c r="U199" i="4"/>
  <c r="P75" i="4"/>
  <c r="P154" i="4"/>
  <c r="T99" i="4"/>
  <c r="U154" i="4"/>
  <c r="T169" i="4"/>
  <c r="R162" i="4"/>
  <c r="Q75" i="4"/>
  <c r="U75" i="4"/>
  <c r="Q154" i="4"/>
  <c r="P174" i="4"/>
  <c r="U36" i="4"/>
  <c r="P64" i="4"/>
  <c r="T85" i="4"/>
  <c r="Q99" i="4"/>
  <c r="R154" i="4"/>
  <c r="T36" i="4"/>
  <c r="Q64" i="4"/>
  <c r="O124" i="4"/>
  <c r="T209" i="4"/>
  <c r="Q80" i="4"/>
  <c r="Q94" i="4"/>
  <c r="O149" i="4"/>
  <c r="R207" i="4"/>
  <c r="O164" i="4"/>
  <c r="R66" i="4"/>
  <c r="O54" i="4"/>
  <c r="P58" i="4"/>
  <c r="O118" i="4"/>
  <c r="R178" i="4"/>
  <c r="T181" i="4"/>
  <c r="T9" i="4"/>
  <c r="Q39" i="4"/>
  <c r="T77" i="4"/>
  <c r="P85" i="4"/>
  <c r="P118" i="4"/>
  <c r="R127" i="4"/>
  <c r="T131" i="4"/>
  <c r="U149" i="4"/>
  <c r="U153" i="4"/>
  <c r="T178" i="4"/>
  <c r="O61" i="4"/>
  <c r="P80" i="4"/>
  <c r="P72" i="4"/>
  <c r="R80" i="4"/>
  <c r="T189" i="4"/>
  <c r="Q207" i="4"/>
  <c r="O38" i="4"/>
  <c r="R41" i="4"/>
  <c r="R167" i="4"/>
  <c r="P181" i="4"/>
  <c r="U207" i="4"/>
  <c r="Q77" i="4"/>
  <c r="P131" i="4"/>
  <c r="P39" i="4"/>
  <c r="R77" i="4"/>
  <c r="Q131" i="4"/>
  <c r="T149" i="4"/>
  <c r="T153" i="4"/>
  <c r="P54" i="4"/>
  <c r="Q58" i="4"/>
  <c r="U20" i="4"/>
  <c r="R39" i="4"/>
  <c r="Q54" i="4"/>
  <c r="U77" i="4"/>
  <c r="R85" i="4"/>
  <c r="T101" i="4"/>
  <c r="Q118" i="4"/>
  <c r="U131" i="4"/>
  <c r="U178" i="4"/>
  <c r="O191" i="4"/>
  <c r="Q17" i="4"/>
  <c r="T109" i="4"/>
  <c r="P167" i="4"/>
  <c r="T180" i="4"/>
  <c r="P207" i="4"/>
  <c r="Q41" i="4"/>
  <c r="R46" i="4"/>
  <c r="Q167" i="4"/>
  <c r="U80" i="4"/>
  <c r="R134" i="4"/>
  <c r="P149" i="4"/>
  <c r="Q149" i="4"/>
  <c r="Q155" i="4"/>
  <c r="P153" i="4"/>
  <c r="R164" i="4"/>
  <c r="Q181" i="4"/>
  <c r="P169" i="4"/>
  <c r="Q174" i="4"/>
  <c r="Q191" i="4"/>
  <c r="O209" i="4"/>
  <c r="P94" i="4"/>
  <c r="O207" i="4"/>
  <c r="P41" i="4"/>
  <c r="P61" i="4"/>
  <c r="U94" i="4"/>
  <c r="P66" i="4"/>
  <c r="T72" i="4"/>
  <c r="T80" i="4"/>
  <c r="O134" i="4"/>
  <c r="Q66" i="4"/>
  <c r="T39" i="4"/>
  <c r="T54" i="4"/>
  <c r="R118" i="4"/>
  <c r="P36" i="4"/>
  <c r="U39" i="4"/>
  <c r="O82" i="4"/>
  <c r="T118" i="4"/>
  <c r="Q36" i="4"/>
  <c r="R64" i="4"/>
  <c r="O75" i="4"/>
  <c r="U146" i="4"/>
  <c r="Q169" i="4"/>
  <c r="R174" i="4"/>
  <c r="T191" i="4"/>
  <c r="P209" i="4"/>
  <c r="R74" i="4"/>
  <c r="O74" i="4"/>
  <c r="U74" i="4"/>
  <c r="Q43" i="4"/>
  <c r="U43" i="4"/>
  <c r="R43" i="4"/>
  <c r="O65" i="4"/>
  <c r="O69" i="4"/>
  <c r="O91" i="4"/>
  <c r="Q157" i="4"/>
  <c r="P157" i="4"/>
  <c r="O157" i="4"/>
  <c r="R157" i="4"/>
  <c r="O197" i="4"/>
  <c r="R147" i="4"/>
  <c r="O62" i="4"/>
  <c r="U62" i="4"/>
  <c r="P65" i="4"/>
  <c r="U69" i="4"/>
  <c r="Q69" i="4"/>
  <c r="Q197" i="4"/>
  <c r="T197" i="4"/>
  <c r="P43" i="4"/>
  <c r="Q62" i="4"/>
  <c r="Q170" i="4"/>
  <c r="P170" i="4"/>
  <c r="U170" i="4"/>
  <c r="Y219" i="4"/>
  <c r="Q105" i="4"/>
  <c r="P105" i="4"/>
  <c r="U105" i="4"/>
  <c r="O105" i="4"/>
  <c r="Q130" i="4"/>
  <c r="P130" i="4"/>
  <c r="Q182" i="4"/>
  <c r="R182" i="4"/>
  <c r="P182" i="4"/>
  <c r="U182" i="4"/>
  <c r="T182" i="4"/>
  <c r="O182" i="4"/>
  <c r="P197" i="4"/>
  <c r="P6" i="4"/>
  <c r="O6" i="4"/>
  <c r="U6" i="4"/>
  <c r="U130" i="4"/>
  <c r="O151" i="4"/>
  <c r="T151" i="4"/>
  <c r="R151" i="4"/>
  <c r="Q151" i="4"/>
  <c r="U151" i="4"/>
  <c r="P151" i="4"/>
  <c r="Q26" i="4"/>
  <c r="O26" i="4"/>
  <c r="U26" i="4"/>
  <c r="T26" i="4"/>
  <c r="R26" i="4"/>
  <c r="P26" i="4"/>
  <c r="R197" i="4"/>
  <c r="T21" i="4"/>
  <c r="U21" i="4"/>
  <c r="R21" i="4"/>
  <c r="Q21" i="4"/>
  <c r="O21" i="4"/>
  <c r="T43" i="4"/>
  <c r="T62" i="4"/>
  <c r="P21" i="4"/>
  <c r="U102" i="4"/>
  <c r="R102" i="4"/>
  <c r="O102" i="4"/>
  <c r="U17" i="4"/>
  <c r="R17" i="4"/>
  <c r="T122" i="4"/>
  <c r="U122" i="4"/>
  <c r="R122" i="4"/>
  <c r="Q122" i="4"/>
  <c r="O170" i="4"/>
  <c r="O17" i="4"/>
  <c r="O122" i="4"/>
  <c r="Q192" i="4"/>
  <c r="R192" i="4"/>
  <c r="P192" i="4"/>
  <c r="O192" i="4"/>
  <c r="R170" i="4"/>
  <c r="P17" i="4"/>
  <c r="P122" i="4"/>
  <c r="U164" i="4"/>
  <c r="T164" i="4"/>
  <c r="Q164" i="4"/>
  <c r="T170" i="4"/>
  <c r="O189" i="4"/>
  <c r="Q189" i="4"/>
  <c r="P189" i="4"/>
  <c r="U189" i="4"/>
  <c r="U91" i="4"/>
  <c r="R91" i="4"/>
  <c r="P91" i="4"/>
  <c r="R105" i="4"/>
  <c r="U109" i="4"/>
  <c r="Q109" i="4"/>
  <c r="O114" i="4"/>
  <c r="Q194" i="4"/>
  <c r="R194" i="4"/>
  <c r="P194" i="4"/>
  <c r="O194" i="4"/>
  <c r="U194" i="4"/>
  <c r="T194" i="4"/>
  <c r="U65" i="4"/>
  <c r="T65" i="4"/>
  <c r="T138" i="4"/>
  <c r="U138" i="4"/>
  <c r="Q138" i="4"/>
  <c r="Q9" i="4"/>
  <c r="R9" i="4"/>
  <c r="P52" i="4"/>
  <c r="O52" i="4"/>
  <c r="U52" i="4"/>
  <c r="T52" i="4"/>
  <c r="T55" i="4"/>
  <c r="Q55" i="4"/>
  <c r="P55" i="4"/>
  <c r="U55" i="4"/>
  <c r="R55" i="4"/>
  <c r="P138" i="4"/>
  <c r="P9" i="4"/>
  <c r="Q52" i="4"/>
  <c r="P109" i="4"/>
  <c r="R138" i="4"/>
  <c r="T210" i="4"/>
  <c r="P210" i="4"/>
  <c r="O210" i="4"/>
  <c r="U210" i="4"/>
  <c r="R210" i="4"/>
  <c r="G24" i="15"/>
  <c r="I24" i="15" s="1"/>
  <c r="Q47" i="4"/>
  <c r="P47" i="4"/>
  <c r="Q16" i="4"/>
  <c r="Q34" i="4"/>
  <c r="Q56" i="4"/>
  <c r="T59" i="4"/>
  <c r="R71" i="4"/>
  <c r="O97" i="4"/>
  <c r="Q107" i="4"/>
  <c r="Q120" i="4"/>
  <c r="P162" i="4"/>
  <c r="O162" i="4"/>
  <c r="U162" i="4"/>
  <c r="T162" i="4"/>
  <c r="U171" i="4"/>
  <c r="P176" i="4"/>
  <c r="Q180" i="4"/>
  <c r="P180" i="4"/>
  <c r="O180" i="4"/>
  <c r="U180" i="4"/>
  <c r="R187" i="4"/>
  <c r="P211" i="4"/>
  <c r="G7" i="5"/>
  <c r="D8" i="14"/>
  <c r="F8" i="14" s="1"/>
  <c r="G8" i="14" s="1"/>
  <c r="T16" i="4"/>
  <c r="R34" i="4"/>
  <c r="T38" i="4"/>
  <c r="Q38" i="4"/>
  <c r="P38" i="4"/>
  <c r="U59" i="4"/>
  <c r="R120" i="4"/>
  <c r="R176" i="4"/>
  <c r="R211" i="4"/>
  <c r="U38" i="4"/>
  <c r="R54" i="4"/>
  <c r="T75" i="4"/>
  <c r="P101" i="4"/>
  <c r="T104" i="4"/>
  <c r="Q108" i="4"/>
  <c r="P108" i="4"/>
  <c r="Q124" i="4"/>
  <c r="P129" i="4"/>
  <c r="P140" i="4"/>
  <c r="O146" i="4"/>
  <c r="R153" i="4"/>
  <c r="Q153" i="4"/>
  <c r="P155" i="4"/>
  <c r="O155" i="4"/>
  <c r="U155" i="4"/>
  <c r="T155" i="4"/>
  <c r="R191" i="4"/>
  <c r="G8" i="5"/>
  <c r="H31" i="5"/>
  <c r="D16" i="14"/>
  <c r="P30" i="4"/>
  <c r="O30" i="4"/>
  <c r="Q100" i="4"/>
  <c r="P100" i="4"/>
  <c r="Q144" i="4"/>
  <c r="P144" i="4"/>
  <c r="P168" i="4"/>
  <c r="U168" i="4"/>
  <c r="P208" i="4"/>
  <c r="O208" i="4"/>
  <c r="U208" i="4"/>
  <c r="T208" i="4"/>
  <c r="Q30" i="4"/>
  <c r="O34" i="4"/>
  <c r="O56" i="4"/>
  <c r="U56" i="4"/>
  <c r="Q71" i="4"/>
  <c r="P71" i="4"/>
  <c r="Q84" i="4"/>
  <c r="O100" i="4"/>
  <c r="O107" i="4"/>
  <c r="T107" i="4"/>
  <c r="T134" i="4"/>
  <c r="O144" i="4"/>
  <c r="O148" i="4"/>
  <c r="O171" i="4"/>
  <c r="Q208" i="4"/>
  <c r="O16" i="4"/>
  <c r="T30" i="4"/>
  <c r="P34" i="4"/>
  <c r="P56" i="4"/>
  <c r="O71" i="4"/>
  <c r="U97" i="4"/>
  <c r="R97" i="4"/>
  <c r="Q97" i="4"/>
  <c r="U100" i="4"/>
  <c r="P107" i="4"/>
  <c r="R144" i="4"/>
  <c r="Q187" i="4"/>
  <c r="P187" i="4"/>
  <c r="O187" i="4"/>
  <c r="R208" i="4"/>
  <c r="O211" i="4"/>
  <c r="T34" i="4"/>
  <c r="Q45" i="4"/>
  <c r="P45" i="4"/>
  <c r="T56" i="4"/>
  <c r="U71" i="4"/>
  <c r="T78" i="4"/>
  <c r="R78" i="4"/>
  <c r="Q78" i="4"/>
  <c r="R90" i="4"/>
  <c r="Q90" i="4"/>
  <c r="T97" i="4"/>
  <c r="Q137" i="4"/>
  <c r="P137" i="4"/>
  <c r="T176" i="4"/>
  <c r="U187" i="4"/>
  <c r="Q20" i="4"/>
  <c r="P20" i="4"/>
  <c r="R45" i="4"/>
  <c r="O78" i="4"/>
  <c r="O90" i="4"/>
  <c r="O101" i="4"/>
  <c r="R104" i="4"/>
  <c r="R111" i="4"/>
  <c r="U132" i="4"/>
  <c r="T132" i="4"/>
  <c r="O137" i="4"/>
  <c r="O140" i="4"/>
  <c r="U166" i="4"/>
  <c r="U176" i="4"/>
  <c r="O195" i="4"/>
  <c r="U195" i="4"/>
  <c r="R195" i="4"/>
  <c r="Q195" i="4"/>
  <c r="U212" i="4"/>
  <c r="T212" i="4"/>
  <c r="R20" i="4"/>
  <c r="U78" i="4"/>
  <c r="T90" i="4"/>
  <c r="Q101" i="4"/>
  <c r="P132" i="4"/>
  <c r="T137" i="4"/>
  <c r="P146" i="4"/>
  <c r="P212" i="4"/>
  <c r="T20" i="4"/>
  <c r="Q32" i="4"/>
  <c r="O32" i="4"/>
  <c r="U90" i="4"/>
  <c r="O99" i="4"/>
  <c r="R101" i="4"/>
  <c r="U137" i="4"/>
  <c r="T167" i="4"/>
  <c r="U167" i="4"/>
  <c r="O181" i="4"/>
  <c r="Q212" i="4"/>
  <c r="G8" i="15"/>
  <c r="I8" i="15" s="1"/>
  <c r="G21" i="15"/>
  <c r="I21" i="15" s="1"/>
  <c r="G43" i="15"/>
  <c r="I43" i="15" s="1"/>
  <c r="U41" i="4"/>
  <c r="T64" i="4"/>
  <c r="T66" i="4"/>
  <c r="U85" i="4"/>
  <c r="U174" i="4"/>
  <c r="P178" i="4"/>
  <c r="G61" i="5"/>
  <c r="I61" i="5" s="1"/>
  <c r="U64" i="4"/>
  <c r="O77" i="4"/>
  <c r="O94" i="4"/>
  <c r="O131" i="4"/>
  <c r="Q178" i="4"/>
  <c r="L4" i="15"/>
  <c r="P4" i="15" s="1"/>
  <c r="Q4" i="15" s="1"/>
  <c r="S4" i="15" s="1"/>
  <c r="T4" i="15" s="1"/>
  <c r="L12" i="10"/>
  <c r="N12" i="10" s="1"/>
  <c r="Y218" i="4"/>
  <c r="Y27" i="4"/>
  <c r="N9" i="10"/>
  <c r="G10" i="15"/>
  <c r="I10" i="15" s="1"/>
  <c r="K10" i="15" s="1"/>
  <c r="L10" i="15" s="1"/>
  <c r="Y39" i="4"/>
  <c r="Y215" i="4"/>
  <c r="G4" i="14"/>
  <c r="D3" i="17"/>
  <c r="Y10" i="4"/>
  <c r="Y38" i="4"/>
  <c r="Y148" i="4"/>
  <c r="G3" i="17"/>
  <c r="L3" i="17" s="1"/>
  <c r="G23" i="15"/>
  <c r="I23" i="15" s="1"/>
  <c r="D5" i="14"/>
  <c r="G5" i="14" s="1"/>
  <c r="G22" i="15"/>
  <c r="I22" i="15" s="1"/>
  <c r="B4" i="17"/>
  <c r="L4" i="17"/>
  <c r="O41" i="4"/>
  <c r="O66" i="4"/>
  <c r="O85" i="4"/>
  <c r="O174" i="4"/>
  <c r="I58" i="5"/>
  <c r="H4" i="17"/>
  <c r="G9" i="15"/>
  <c r="I9" i="15" s="1"/>
  <c r="J4" i="17"/>
  <c r="T190" i="4"/>
  <c r="P190" i="4"/>
  <c r="O190" i="4"/>
  <c r="U190" i="4"/>
  <c r="O19" i="5"/>
  <c r="Y45" i="4"/>
  <c r="Y213" i="4"/>
  <c r="O103" i="4"/>
  <c r="Q103" i="4"/>
  <c r="U103" i="4"/>
  <c r="R103" i="4"/>
  <c r="T103" i="4"/>
  <c r="Q115" i="4"/>
  <c r="O119" i="4"/>
  <c r="P119" i="4"/>
  <c r="U119" i="4"/>
  <c r="T119" i="4"/>
  <c r="R119" i="4"/>
  <c r="Q119" i="4"/>
  <c r="Q128" i="4"/>
  <c r="R158" i="4"/>
  <c r="Q158" i="4"/>
  <c r="P158" i="4"/>
  <c r="U158" i="4"/>
  <c r="T158" i="4"/>
  <c r="Q190" i="4"/>
  <c r="Y209" i="4"/>
  <c r="G28" i="15"/>
  <c r="I28" i="15" s="1"/>
  <c r="T83" i="4"/>
  <c r="Q83" i="4"/>
  <c r="O83" i="4"/>
  <c r="U83" i="4"/>
  <c r="R83" i="4"/>
  <c r="O92" i="4"/>
  <c r="O128" i="4"/>
  <c r="Q179" i="4"/>
  <c r="P95" i="4"/>
  <c r="O115" i="4"/>
  <c r="P133" i="4"/>
  <c r="O133" i="4"/>
  <c r="R133" i="4"/>
  <c r="T133" i="4"/>
  <c r="U133" i="4"/>
  <c r="Q133" i="4"/>
  <c r="O7" i="4"/>
  <c r="R92" i="4"/>
  <c r="R95" i="4"/>
  <c r="P206" i="4"/>
  <c r="T206" i="4"/>
  <c r="R206" i="4"/>
  <c r="O206" i="4"/>
  <c r="Q50" i="4"/>
  <c r="Q53" i="4"/>
  <c r="U73" i="4"/>
  <c r="O73" i="4"/>
  <c r="Q5" i="4"/>
  <c r="R7" i="4"/>
  <c r="Q22" i="4"/>
  <c r="U31" i="4"/>
  <c r="T31" i="4"/>
  <c r="Q31" i="4"/>
  <c r="P31" i="4"/>
  <c r="R31" i="4"/>
  <c r="Q42" i="4"/>
  <c r="O42" i="4"/>
  <c r="U42" i="4"/>
  <c r="R42" i="4"/>
  <c r="P42" i="4"/>
  <c r="T42" i="4"/>
  <c r="T50" i="4"/>
  <c r="P73" i="4"/>
  <c r="Q87" i="4"/>
  <c r="P113" i="4"/>
  <c r="Q116" i="4"/>
  <c r="O116" i="4"/>
  <c r="P116" i="4"/>
  <c r="U116" i="4"/>
  <c r="T116" i="4"/>
  <c r="R116" i="4"/>
  <c r="Q126" i="4"/>
  <c r="O142" i="4"/>
  <c r="U165" i="4"/>
  <c r="P165" i="4"/>
  <c r="O165" i="4"/>
  <c r="T165" i="4"/>
  <c r="R165" i="4"/>
  <c r="U206" i="4"/>
  <c r="B11" i="1"/>
  <c r="U128" i="4"/>
  <c r="T128" i="4"/>
  <c r="O44" i="4"/>
  <c r="T44" i="4"/>
  <c r="R44" i="4"/>
  <c r="U44" i="4"/>
  <c r="O95" i="4"/>
  <c r="P83" i="4"/>
  <c r="P92" i="4"/>
  <c r="T57" i="4"/>
  <c r="Q57" i="4"/>
  <c r="U57" i="4"/>
  <c r="R57" i="4"/>
  <c r="Q92" i="4"/>
  <c r="Q95" i="4"/>
  <c r="O50" i="4"/>
  <c r="O57" i="4"/>
  <c r="R190" i="4"/>
  <c r="O185" i="4"/>
  <c r="U218" i="4"/>
  <c r="T218" i="4"/>
  <c r="U7" i="4"/>
  <c r="Q123" i="4"/>
  <c r="R123" i="4"/>
  <c r="U123" i="4"/>
  <c r="T123" i="4"/>
  <c r="U186" i="4"/>
  <c r="T186" i="4"/>
  <c r="R186" i="4"/>
  <c r="Q186" i="4"/>
  <c r="P186" i="4"/>
  <c r="R218" i="4"/>
  <c r="R202" i="4"/>
  <c r="Q202" i="4"/>
  <c r="P202" i="4"/>
  <c r="H41" i="5"/>
  <c r="Q160" i="4"/>
  <c r="P160" i="4"/>
  <c r="O160" i="4"/>
  <c r="O186" i="4"/>
  <c r="T202" i="4"/>
  <c r="U13" i="4"/>
  <c r="R13" i="4"/>
  <c r="R128" i="4"/>
  <c r="T92" i="4"/>
  <c r="T95" i="4"/>
  <c r="R113" i="4"/>
  <c r="U113" i="4"/>
  <c r="O126" i="4"/>
  <c r="T126" i="4"/>
  <c r="U126" i="4"/>
  <c r="Q177" i="4"/>
  <c r="P177" i="4"/>
  <c r="O177" i="4"/>
  <c r="T177" i="4"/>
  <c r="U177" i="4"/>
  <c r="R177" i="4"/>
  <c r="R188" i="4"/>
  <c r="Q188" i="4"/>
  <c r="U188" i="4"/>
  <c r="T188" i="4"/>
  <c r="P188" i="4"/>
  <c r="Q206" i="4"/>
  <c r="T5" i="4"/>
  <c r="P11" i="4"/>
  <c r="U14" i="4"/>
  <c r="O14" i="4"/>
  <c r="T14" i="4"/>
  <c r="R14" i="4"/>
  <c r="P14" i="4"/>
  <c r="Q14" i="4"/>
  <c r="T22" i="4"/>
  <c r="R73" i="4"/>
  <c r="T87" i="4"/>
  <c r="U5" i="4"/>
  <c r="Q11" i="4"/>
  <c r="U22" i="4"/>
  <c r="T73" i="4"/>
  <c r="U110" i="4"/>
  <c r="R110" i="4"/>
  <c r="T110" i="4"/>
  <c r="P62" i="4"/>
  <c r="O110" i="4"/>
  <c r="P123" i="4"/>
  <c r="R160" i="4"/>
  <c r="R171" i="4"/>
  <c r="Q171" i="4"/>
  <c r="P171" i="4"/>
  <c r="U202" i="4"/>
  <c r="P24" i="4"/>
  <c r="R33" i="4"/>
  <c r="T33" i="4"/>
  <c r="Q33" i="4"/>
  <c r="U33" i="4"/>
  <c r="P44" i="4"/>
  <c r="K24" i="15"/>
  <c r="L24" i="15" s="1"/>
  <c r="U11" i="4"/>
  <c r="O11" i="4"/>
  <c r="R22" i="4"/>
  <c r="U50" i="4"/>
  <c r="Q218" i="4"/>
  <c r="T11" i="4"/>
  <c r="U29" i="4"/>
  <c r="T29" i="4"/>
  <c r="Q29" i="4"/>
  <c r="P29" i="4"/>
  <c r="R29" i="4"/>
  <c r="U46" i="4"/>
  <c r="T46" i="4"/>
  <c r="P110" i="4"/>
  <c r="T121" i="4"/>
  <c r="Q121" i="4"/>
  <c r="U121" i="4"/>
  <c r="R121" i="4"/>
  <c r="T130" i="4"/>
  <c r="R130" i="4"/>
  <c r="T160" i="4"/>
  <c r="Q163" i="4"/>
  <c r="P163" i="4"/>
  <c r="R163" i="4"/>
  <c r="O163" i="4"/>
  <c r="U163" i="4"/>
  <c r="T163" i="4"/>
  <c r="R183" i="4"/>
  <c r="U183" i="4"/>
  <c r="T183" i="4"/>
  <c r="Q183" i="4"/>
  <c r="P18" i="4"/>
  <c r="O18" i="4"/>
  <c r="U18" i="4"/>
  <c r="T18" i="4"/>
  <c r="Q18" i="4"/>
  <c r="R18" i="4"/>
  <c r="U179" i="4"/>
  <c r="P179" i="4"/>
  <c r="O179" i="4"/>
  <c r="T179" i="4"/>
  <c r="O215" i="4"/>
  <c r="U215" i="4"/>
  <c r="R215" i="4"/>
  <c r="Q215" i="4"/>
  <c r="T215" i="4"/>
  <c r="O24" i="4"/>
  <c r="P115" i="4"/>
  <c r="U115" i="4"/>
  <c r="T115" i="4"/>
  <c r="O13" i="4"/>
  <c r="Q24" i="4"/>
  <c r="O27" i="4"/>
  <c r="U27" i="4"/>
  <c r="T27" i="4"/>
  <c r="Q27" i="4"/>
  <c r="P27" i="4"/>
  <c r="R27" i="4"/>
  <c r="O33" i="4"/>
  <c r="Q44" i="4"/>
  <c r="B17" i="1"/>
  <c r="R24" i="4"/>
  <c r="P53" i="4"/>
  <c r="U53" i="4"/>
  <c r="P185" i="4"/>
  <c r="T185" i="4"/>
  <c r="R185" i="4"/>
  <c r="Q185" i="4"/>
  <c r="O218" i="4"/>
  <c r="H6" i="5"/>
  <c r="O29" i="4"/>
  <c r="O46" i="4"/>
  <c r="R62" i="4"/>
  <c r="R67" i="4"/>
  <c r="P67" i="4"/>
  <c r="T67" i="4"/>
  <c r="Q67" i="4"/>
  <c r="U67" i="4"/>
  <c r="T100" i="4"/>
  <c r="R100" i="4"/>
  <c r="T102" i="4"/>
  <c r="Q102" i="4"/>
  <c r="P102" i="4"/>
  <c r="R108" i="4"/>
  <c r="T108" i="4"/>
  <c r="U108" i="4"/>
  <c r="Q110" i="4"/>
  <c r="O121" i="4"/>
  <c r="O130" i="4"/>
  <c r="Q139" i="4"/>
  <c r="U139" i="4"/>
  <c r="R139" i="4"/>
  <c r="T139" i="4"/>
  <c r="P139" i="4"/>
  <c r="U160" i="4"/>
  <c r="Y43" i="4"/>
  <c r="Y211" i="4"/>
  <c r="P7" i="4"/>
  <c r="U24" i="4"/>
  <c r="P50" i="4"/>
  <c r="O53" i="4"/>
  <c r="P57" i="4"/>
  <c r="O87" i="4"/>
  <c r="P87" i="4"/>
  <c r="O113" i="4"/>
  <c r="Q59" i="4"/>
  <c r="O59" i="4"/>
  <c r="Q147" i="4"/>
  <c r="P147" i="4"/>
  <c r="O147" i="4"/>
  <c r="U147" i="4"/>
  <c r="P183" i="4"/>
  <c r="T199" i="4"/>
  <c r="R199" i="4"/>
  <c r="Q199" i="4"/>
  <c r="R203" i="4"/>
  <c r="U203" i="4"/>
  <c r="T203" i="4"/>
  <c r="P203" i="4"/>
  <c r="Q203" i="4"/>
  <c r="O203" i="4"/>
  <c r="G21" i="5"/>
  <c r="O5" i="4"/>
  <c r="Q13" i="4"/>
  <c r="O22" i="4"/>
  <c r="P5" i="4"/>
  <c r="Q7" i="4"/>
  <c r="T13" i="4"/>
  <c r="P126" i="4"/>
  <c r="U142" i="4"/>
  <c r="T142" i="4"/>
  <c r="R142" i="4"/>
  <c r="T53" i="4"/>
  <c r="Q73" i="4"/>
  <c r="R87" i="4"/>
  <c r="Q113" i="4"/>
  <c r="P142" i="4"/>
  <c r="O9" i="4"/>
  <c r="O12" i="4"/>
  <c r="U12" i="4"/>
  <c r="T12" i="4"/>
  <c r="R12" i="4"/>
  <c r="P12" i="4"/>
  <c r="Q12" i="4"/>
  <c r="P35" i="4"/>
  <c r="U35" i="4"/>
  <c r="R35" i="4"/>
  <c r="Q35" i="4"/>
  <c r="T35" i="4"/>
  <c r="Q46" i="4"/>
  <c r="P59" i="4"/>
  <c r="U144" i="4"/>
  <c r="T144" i="4"/>
  <c r="Y139" i="4"/>
  <c r="K23" i="15"/>
  <c r="L23" i="15" s="1"/>
  <c r="G25" i="15"/>
  <c r="I25" i="15" s="1"/>
  <c r="D13" i="14"/>
  <c r="T81" i="4"/>
  <c r="Q81" i="4"/>
  <c r="R175" i="4"/>
  <c r="Q175" i="4"/>
  <c r="U219" i="4"/>
  <c r="Q219" i="4"/>
  <c r="P219" i="4"/>
  <c r="O219" i="4"/>
  <c r="R150" i="4"/>
  <c r="Q150" i="4"/>
  <c r="P150" i="4"/>
  <c r="T152" i="4"/>
  <c r="O156" i="4"/>
  <c r="Q161" i="4"/>
  <c r="O184" i="4"/>
  <c r="U200" i="4"/>
  <c r="T200" i="4"/>
  <c r="O213" i="4"/>
  <c r="R219" i="4"/>
  <c r="G23" i="5"/>
  <c r="T6" i="4"/>
  <c r="Q6" i="4"/>
  <c r="Q10" i="4"/>
  <c r="R61" i="4"/>
  <c r="Q61" i="4"/>
  <c r="Q74" i="4"/>
  <c r="P74" i="4"/>
  <c r="P81" i="4"/>
  <c r="R114" i="4"/>
  <c r="P114" i="4"/>
  <c r="U129" i="4"/>
  <c r="Q129" i="4"/>
  <c r="O129" i="4"/>
  <c r="T145" i="4"/>
  <c r="U148" i="4"/>
  <c r="R148" i="4"/>
  <c r="Q148" i="4"/>
  <c r="O150" i="4"/>
  <c r="P175" i="4"/>
  <c r="P184" i="4"/>
  <c r="O200" i="4"/>
  <c r="P213" i="4"/>
  <c r="T219" i="4"/>
  <c r="G45" i="5"/>
  <c r="I45" i="5" s="1"/>
  <c r="I48" i="5" s="1"/>
  <c r="K7" i="10"/>
  <c r="M7" i="10"/>
  <c r="L7" i="10"/>
  <c r="G14" i="15"/>
  <c r="I14" i="15" s="1"/>
  <c r="G42" i="15"/>
  <c r="I42" i="15" s="1"/>
  <c r="P152" i="4"/>
  <c r="Q152" i="4"/>
  <c r="O152" i="4"/>
  <c r="O161" i="4"/>
  <c r="T161" i="4"/>
  <c r="R161" i="4"/>
  <c r="Q25" i="4"/>
  <c r="O25" i="4"/>
  <c r="T40" i="4"/>
  <c r="Q40" i="4"/>
  <c r="U63" i="4"/>
  <c r="P63" i="4"/>
  <c r="O63" i="4"/>
  <c r="R152" i="4"/>
  <c r="T156" i="4"/>
  <c r="R156" i="4"/>
  <c r="Q156" i="4"/>
  <c r="P161" i="4"/>
  <c r="Q8" i="4"/>
  <c r="O8" i="4"/>
  <c r="P10" i="4"/>
  <c r="T23" i="4"/>
  <c r="Q23" i="4"/>
  <c r="P25" i="4"/>
  <c r="O40" i="4"/>
  <c r="U76" i="4"/>
  <c r="P76" i="4"/>
  <c r="O76" i="4"/>
  <c r="O81" i="4"/>
  <c r="Q89" i="4"/>
  <c r="P89" i="4"/>
  <c r="P96" i="4"/>
  <c r="U96" i="4"/>
  <c r="R96" i="4"/>
  <c r="Q145" i="4"/>
  <c r="T173" i="4"/>
  <c r="R173" i="4"/>
  <c r="O175" i="4"/>
  <c r="R8" i="4"/>
  <c r="R10" i="4"/>
  <c r="P23" i="4"/>
  <c r="T25" i="4"/>
  <c r="R40" i="4"/>
  <c r="R49" i="4"/>
  <c r="P49" i="4"/>
  <c r="T63" i="4"/>
  <c r="R76" i="4"/>
  <c r="R81" i="4"/>
  <c r="R86" i="4"/>
  <c r="Q86" i="4"/>
  <c r="R89" i="4"/>
  <c r="Q96" i="4"/>
  <c r="Q143" i="4"/>
  <c r="T143" i="4"/>
  <c r="P143" i="4"/>
  <c r="T150" i="4"/>
  <c r="U156" i="4"/>
  <c r="Q159" i="4"/>
  <c r="U159" i="4"/>
  <c r="T159" i="4"/>
  <c r="P173" i="4"/>
  <c r="T175" i="4"/>
  <c r="Q184" i="4"/>
  <c r="R213" i="4"/>
  <c r="T10" i="4"/>
  <c r="U47" i="4"/>
  <c r="R47" i="4"/>
  <c r="O49" i="4"/>
  <c r="U58" i="4"/>
  <c r="T58" i="4"/>
  <c r="T111" i="4"/>
  <c r="Q111" i="4"/>
  <c r="O143" i="4"/>
  <c r="U150" i="4"/>
  <c r="O159" i="4"/>
  <c r="O166" i="4"/>
  <c r="O168" i="4"/>
  <c r="Q173" i="4"/>
  <c r="U175" i="4"/>
  <c r="R184" i="4"/>
  <c r="Q200" i="4"/>
  <c r="Q204" i="4"/>
  <c r="P204" i="4"/>
  <c r="O204" i="4"/>
  <c r="T213" i="4"/>
  <c r="R216" i="4"/>
  <c r="Q216" i="4"/>
  <c r="P216" i="4"/>
  <c r="G12" i="15"/>
  <c r="I12" i="15" s="1"/>
  <c r="D7" i="14"/>
  <c r="G13" i="15"/>
  <c r="I13" i="15" s="1"/>
  <c r="T8" i="4"/>
  <c r="R23" i="4"/>
  <c r="U25" i="4"/>
  <c r="U40" i="4"/>
  <c r="R72" i="4"/>
  <c r="Q72" i="4"/>
  <c r="T76" i="4"/>
  <c r="U81" i="4"/>
  <c r="T84" i="4"/>
  <c r="R84" i="4"/>
  <c r="O86" i="4"/>
  <c r="T89" i="4"/>
  <c r="T96" i="4"/>
  <c r="T127" i="4"/>
  <c r="Q127" i="4"/>
  <c r="R6" i="4"/>
  <c r="U8" i="4"/>
  <c r="U10" i="4"/>
  <c r="U23" i="4"/>
  <c r="U45" i="4"/>
  <c r="O45" i="4"/>
  <c r="O47" i="4"/>
  <c r="Q49" i="4"/>
  <c r="O58" i="4"/>
  <c r="T61" i="4"/>
  <c r="T69" i="4"/>
  <c r="R69" i="4"/>
  <c r="O72" i="4"/>
  <c r="T74" i="4"/>
  <c r="O84" i="4"/>
  <c r="P86" i="4"/>
  <c r="U89" i="4"/>
  <c r="O111" i="4"/>
  <c r="T114" i="4"/>
  <c r="O127" i="4"/>
  <c r="T129" i="4"/>
  <c r="Q134" i="4"/>
  <c r="P134" i="4"/>
  <c r="T140" i="4"/>
  <c r="U140" i="4"/>
  <c r="Q140" i="4"/>
  <c r="R143" i="4"/>
  <c r="T148" i="4"/>
  <c r="P159" i="4"/>
  <c r="P166" i="4"/>
  <c r="Q168" i="4"/>
  <c r="U173" i="4"/>
  <c r="T184" i="4"/>
  <c r="R200" i="4"/>
  <c r="R204" i="4"/>
  <c r="Q211" i="4"/>
  <c r="U213" i="4"/>
  <c r="O216" i="4"/>
  <c r="K13" i="5"/>
  <c r="K48" i="5" s="1"/>
  <c r="G13" i="5"/>
  <c r="H11" i="5" s="1"/>
  <c r="Q63" i="4"/>
  <c r="R32" i="4"/>
  <c r="P32" i="4"/>
  <c r="T49" i="4"/>
  <c r="P84" i="4"/>
  <c r="T86" i="4"/>
  <c r="Q104" i="4"/>
  <c r="P104" i="4"/>
  <c r="O104" i="4"/>
  <c r="P111" i="4"/>
  <c r="U114" i="4"/>
  <c r="P127" i="4"/>
  <c r="U143" i="4"/>
  <c r="T146" i="4"/>
  <c r="R146" i="4"/>
  <c r="T157" i="4"/>
  <c r="U157" i="4"/>
  <c r="R159" i="4"/>
  <c r="Q166" i="4"/>
  <c r="R168" i="4"/>
  <c r="T204" i="4"/>
  <c r="T216" i="4"/>
  <c r="O145" i="4"/>
  <c r="R145" i="4"/>
  <c r="P145" i="4"/>
  <c r="R16" i="4"/>
  <c r="P16" i="4"/>
  <c r="U28" i="4"/>
  <c r="O28" i="4"/>
  <c r="U30" i="4"/>
  <c r="R30" i="4"/>
  <c r="U49" i="4"/>
  <c r="U82" i="4"/>
  <c r="T82" i="4"/>
  <c r="U120" i="4"/>
  <c r="P120" i="4"/>
  <c r="O120" i="4"/>
  <c r="R132" i="4"/>
  <c r="Q132" i="4"/>
  <c r="T166" i="4"/>
  <c r="T168" i="4"/>
  <c r="U204" i="4"/>
  <c r="U211" i="4"/>
  <c r="T214" i="4"/>
  <c r="R214" i="4"/>
  <c r="Q214" i="4"/>
  <c r="U216" i="4"/>
  <c r="D23" i="14"/>
  <c r="G44" i="15"/>
  <c r="I44" i="15" s="1"/>
  <c r="G45" i="15"/>
  <c r="I45" i="15" s="1"/>
  <c r="G5" i="17"/>
  <c r="D6" i="14"/>
  <c r="G37" i="15"/>
  <c r="I37" i="15" s="1"/>
  <c r="G36" i="15"/>
  <c r="I36" i="15" s="1"/>
  <c r="D19" i="14"/>
  <c r="K3" i="15"/>
  <c r="L3" i="15" s="1"/>
  <c r="M6" i="15"/>
  <c r="O6" i="15" s="1"/>
  <c r="M7" i="15"/>
  <c r="O7" i="15" s="1"/>
  <c r="G40" i="15"/>
  <c r="I40" i="15" s="1"/>
  <c r="K6" i="15"/>
  <c r="L6" i="15" s="1"/>
  <c r="K9" i="15"/>
  <c r="L9" i="15" s="1"/>
  <c r="R65" i="4"/>
  <c r="T91" i="4"/>
  <c r="T94" i="4"/>
  <c r="U107" i="4"/>
  <c r="R109" i="4"/>
  <c r="R124" i="4"/>
  <c r="R169" i="4"/>
  <c r="R181" i="4"/>
  <c r="U192" i="4"/>
  <c r="T195" i="4"/>
  <c r="R212" i="4"/>
  <c r="M5" i="10"/>
  <c r="L5" i="10"/>
  <c r="N5" i="10" s="1"/>
  <c r="K5" i="10"/>
  <c r="G26" i="15"/>
  <c r="I26" i="15" s="1"/>
  <c r="D14" i="14"/>
  <c r="K8" i="15"/>
  <c r="L8" i="15" s="1"/>
  <c r="G18" i="15"/>
  <c r="I18" i="15" s="1"/>
  <c r="G19" i="15"/>
  <c r="I19" i="15" s="1"/>
  <c r="D10" i="14"/>
  <c r="D18" i="14"/>
  <c r="G35" i="15"/>
  <c r="I35" i="15" s="1"/>
  <c r="G34" i="15"/>
  <c r="I34" i="15" s="1"/>
  <c r="O176" i="4"/>
  <c r="Y216" i="4"/>
  <c r="G15" i="15"/>
  <c r="I15" i="15" s="1"/>
  <c r="L21" i="15"/>
  <c r="K21" i="15"/>
  <c r="G47" i="15"/>
  <c r="I47" i="15" s="1"/>
  <c r="F5" i="14"/>
  <c r="K22" i="15"/>
  <c r="L22" i="15" s="1"/>
  <c r="M10" i="10"/>
  <c r="L10" i="10"/>
  <c r="K10" i="10"/>
  <c r="G38" i="15"/>
  <c r="I38" i="15" s="1"/>
  <c r="F2" i="14"/>
  <c r="G2" i="14" s="1"/>
  <c r="M31" i="15"/>
  <c r="M30" i="15"/>
  <c r="M29" i="15"/>
  <c r="M28" i="15"/>
  <c r="M27" i="15"/>
  <c r="O27" i="15" s="1"/>
  <c r="M26" i="15"/>
  <c r="M25" i="15"/>
  <c r="O25" i="15" s="1"/>
  <c r="M24" i="15"/>
  <c r="M23" i="15"/>
  <c r="O23" i="15" s="1"/>
  <c r="M22" i="15"/>
  <c r="O22" i="15" s="1"/>
  <c r="M21" i="15"/>
  <c r="O21" i="15" s="1"/>
  <c r="M20" i="15"/>
  <c r="O20" i="15" s="1"/>
  <c r="M19" i="15"/>
  <c r="O19" i="15" s="1"/>
  <c r="M18" i="15"/>
  <c r="O18" i="15" s="1"/>
  <c r="M17" i="15"/>
  <c r="O17" i="15" s="1"/>
  <c r="M16" i="15"/>
  <c r="M15" i="15"/>
  <c r="M14" i="15"/>
  <c r="M13" i="15"/>
  <c r="M12" i="15"/>
  <c r="O12" i="15" s="1"/>
  <c r="M11" i="15"/>
  <c r="M10" i="15"/>
  <c r="O10" i="15" s="1"/>
  <c r="M9" i="15"/>
  <c r="O9" i="15" s="1"/>
  <c r="M8" i="15"/>
  <c r="O8" i="15" s="1"/>
  <c r="M3" i="15"/>
  <c r="O3" i="15" s="1"/>
  <c r="D22" i="14"/>
  <c r="O11" i="15"/>
  <c r="O44" i="15"/>
  <c r="M5" i="15"/>
  <c r="O5" i="15" s="1"/>
  <c r="P5" i="15" s="1"/>
  <c r="Q5" i="15" s="1"/>
  <c r="M47" i="15"/>
  <c r="O47" i="15" s="1"/>
  <c r="M46" i="15"/>
  <c r="O46" i="15" s="1"/>
  <c r="M45" i="15"/>
  <c r="M44" i="15"/>
  <c r="M43" i="15"/>
  <c r="O43" i="15" s="1"/>
  <c r="M42" i="15"/>
  <c r="O42" i="15" s="1"/>
  <c r="M41" i="15"/>
  <c r="M40" i="15"/>
  <c r="O40" i="15" s="1"/>
  <c r="M39" i="15"/>
  <c r="O39" i="15" s="1"/>
  <c r="M38" i="15"/>
  <c r="O38" i="15" s="1"/>
  <c r="M37" i="15"/>
  <c r="O37" i="15" s="1"/>
  <c r="M36" i="15"/>
  <c r="O36" i="15" s="1"/>
  <c r="M35" i="15"/>
  <c r="O35" i="15" s="1"/>
  <c r="M34" i="15"/>
  <c r="O34" i="15" s="1"/>
  <c r="M33" i="15"/>
  <c r="O33" i="15" s="1"/>
  <c r="M32" i="15"/>
  <c r="O32" i="15" s="1"/>
  <c r="G11" i="15"/>
  <c r="I11" i="15" s="1"/>
  <c r="G3" i="14"/>
  <c r="G33" i="15"/>
  <c r="I33" i="15" s="1"/>
  <c r="F3" i="14"/>
  <c r="O45" i="15"/>
  <c r="G16" i="15"/>
  <c r="I16" i="15" s="1"/>
  <c r="D9" i="14"/>
  <c r="F16" i="14"/>
  <c r="G16" i="14" s="1"/>
  <c r="K7" i="15"/>
  <c r="L7" i="15" s="1"/>
  <c r="O30" i="15"/>
  <c r="G32" i="15"/>
  <c r="I32" i="15" s="1"/>
  <c r="L13" i="10"/>
  <c r="K13" i="10"/>
  <c r="G27" i="15"/>
  <c r="I27" i="15" s="1"/>
  <c r="G31" i="15"/>
  <c r="I31" i="15" s="1"/>
  <c r="G30" i="15"/>
  <c r="I30" i="15" s="1"/>
  <c r="K8" i="10"/>
  <c r="G46" i="15"/>
  <c r="I46" i="15" s="1"/>
  <c r="D24" i="14"/>
  <c r="O28" i="15"/>
  <c r="M6" i="10"/>
  <c r="L6" i="10"/>
  <c r="L8" i="10"/>
  <c r="N8" i="10" s="1"/>
  <c r="M13" i="10"/>
  <c r="D21" i="14"/>
  <c r="O41" i="15"/>
  <c r="D17" i="14"/>
  <c r="O15" i="15"/>
  <c r="G17" i="15"/>
  <c r="I17" i="15" s="1"/>
  <c r="O26" i="15"/>
  <c r="G41" i="15"/>
  <c r="I41" i="15" s="1"/>
  <c r="K4" i="10"/>
  <c r="G20" i="15"/>
  <c r="I20" i="15" s="1"/>
  <c r="D12" i="14"/>
  <c r="D20" i="14"/>
  <c r="K2" i="15"/>
  <c r="L2" i="15" s="1"/>
  <c r="G39" i="15"/>
  <c r="I39" i="15" s="1"/>
  <c r="D11" i="14"/>
  <c r="O13" i="15"/>
  <c r="O24" i="15"/>
  <c r="D15" i="14"/>
  <c r="O14" i="15"/>
  <c r="O29" i="15"/>
  <c r="O16" i="15"/>
  <c r="G29" i="15"/>
  <c r="I29" i="15" s="1"/>
  <c r="O31" i="15"/>
  <c r="D5" i="17"/>
  <c r="H2" i="17"/>
  <c r="H5" i="17" s="1"/>
  <c r="N6" i="10" l="1"/>
  <c r="E2" i="17"/>
  <c r="E4" i="17"/>
  <c r="L43" i="15"/>
  <c r="P43" i="15" s="1"/>
  <c r="Q43" i="15" s="1"/>
  <c r="E3" i="17"/>
  <c r="N7" i="10"/>
  <c r="K43" i="15"/>
  <c r="N10" i="10"/>
  <c r="G48" i="5"/>
  <c r="P10" i="15"/>
  <c r="Q10" i="15" s="1"/>
  <c r="P8" i="15"/>
  <c r="Q8" i="15" s="1"/>
  <c r="P9" i="15"/>
  <c r="Q9" i="15" s="1"/>
  <c r="P22" i="15"/>
  <c r="Q22" i="15" s="1"/>
  <c r="P2" i="15"/>
  <c r="Q2" i="15" s="1"/>
  <c r="P7" i="15"/>
  <c r="Q7" i="15" s="1"/>
  <c r="P23" i="15"/>
  <c r="Q23" i="15" s="1"/>
  <c r="P6" i="15"/>
  <c r="Q6" i="15" s="1"/>
  <c r="P3" i="15"/>
  <c r="Q3" i="15" s="1"/>
  <c r="S5" i="15"/>
  <c r="T5" i="15" s="1"/>
  <c r="K41" i="15"/>
  <c r="L41" i="15" s="1"/>
  <c r="F22" i="14"/>
  <c r="G22" i="14" s="1"/>
  <c r="F6" i="14"/>
  <c r="G6" i="14" s="1"/>
  <c r="K13" i="15"/>
  <c r="L13" i="15" s="1"/>
  <c r="K25" i="15"/>
  <c r="L25" i="15" s="1"/>
  <c r="K20" i="15"/>
  <c r="L20" i="15" s="1"/>
  <c r="F10" i="14"/>
  <c r="G10" i="14" s="1"/>
  <c r="L2" i="17"/>
  <c r="L5" i="17" s="1"/>
  <c r="L12" i="15"/>
  <c r="K12" i="15"/>
  <c r="K38" i="15"/>
  <c r="L38" i="15" s="1"/>
  <c r="K14" i="15"/>
  <c r="L14" i="15" s="1"/>
  <c r="K28" i="15"/>
  <c r="L28" i="15" s="1"/>
  <c r="K18" i="15"/>
  <c r="L18" i="15" s="1"/>
  <c r="F24" i="14"/>
  <c r="G24" i="14" s="1"/>
  <c r="F15" i="14"/>
  <c r="G15" i="14" s="1"/>
  <c r="K46" i="15"/>
  <c r="L46" i="15"/>
  <c r="K34" i="15"/>
  <c r="L34" i="15" s="1"/>
  <c r="G9" i="14"/>
  <c r="F9" i="14"/>
  <c r="F17" i="14"/>
  <c r="G17" i="14" s="1"/>
  <c r="K47" i="15"/>
  <c r="L47" i="15" s="1"/>
  <c r="F14" i="14"/>
  <c r="G14" i="14" s="1"/>
  <c r="K45" i="15"/>
  <c r="L45" i="15" s="1"/>
  <c r="K11" i="15"/>
  <c r="L11" i="15" s="1"/>
  <c r="K35" i="15"/>
  <c r="L35" i="15" s="1"/>
  <c r="K37" i="15"/>
  <c r="L37" i="15" s="1"/>
  <c r="F7" i="14"/>
  <c r="G7" i="14" s="1"/>
  <c r="K33" i="15"/>
  <c r="L33" i="15" s="1"/>
  <c r="K26" i="15"/>
  <c r="L26" i="15" s="1"/>
  <c r="L44" i="15"/>
  <c r="K44" i="15"/>
  <c r="K32" i="15"/>
  <c r="L32" i="15" s="1"/>
  <c r="J2" i="17"/>
  <c r="F11" i="14"/>
  <c r="G11" i="14" s="1"/>
  <c r="F23" i="14"/>
  <c r="G23" i="14" s="1"/>
  <c r="F18" i="14"/>
  <c r="G18" i="14" s="1"/>
  <c r="K19" i="15"/>
  <c r="L19" i="15" s="1"/>
  <c r="K30" i="15"/>
  <c r="L30" i="15" s="1"/>
  <c r="K39" i="15"/>
  <c r="L39" i="15" s="1"/>
  <c r="K31" i="15"/>
  <c r="L31" i="15"/>
  <c r="K15" i="15"/>
  <c r="L15" i="15" s="1"/>
  <c r="H19" i="5"/>
  <c r="H48" i="5" s="1"/>
  <c r="G50" i="5" s="1"/>
  <c r="F60" i="5" s="1"/>
  <c r="K36" i="15"/>
  <c r="L36" i="15" s="1"/>
  <c r="P24" i="15"/>
  <c r="Q24" i="15" s="1"/>
  <c r="F21" i="14"/>
  <c r="G21" i="14"/>
  <c r="K40" i="15"/>
  <c r="L40" i="15" s="1"/>
  <c r="K42" i="15"/>
  <c r="L42" i="15" s="1"/>
  <c r="K17" i="15"/>
  <c r="L17" i="15" s="1"/>
  <c r="K27" i="15"/>
  <c r="L27" i="15" s="1"/>
  <c r="K29" i="15"/>
  <c r="L29" i="15"/>
  <c r="F19" i="14"/>
  <c r="G19" i="14" s="1"/>
  <c r="F13" i="14"/>
  <c r="G13" i="14" s="1"/>
  <c r="K16" i="15"/>
  <c r="L16" i="15" s="1"/>
  <c r="J3" i="17"/>
  <c r="P21" i="15"/>
  <c r="Q21" i="15" s="1"/>
  <c r="F20" i="14"/>
  <c r="G20" i="14" s="1"/>
  <c r="F12" i="14"/>
  <c r="G12" i="14" s="1"/>
  <c r="N13" i="10"/>
  <c r="E5" i="17" l="1"/>
  <c r="S21" i="15"/>
  <c r="T21" i="15" s="1"/>
  <c r="V21" i="15" s="1"/>
  <c r="P41" i="15"/>
  <c r="Q41" i="15" s="1"/>
  <c r="P38" i="15"/>
  <c r="Q38" i="15" s="1"/>
  <c r="P26" i="15"/>
  <c r="Q26" i="15" s="1"/>
  <c r="P47" i="15"/>
  <c r="Q47" i="15" s="1"/>
  <c r="P16" i="15"/>
  <c r="Q16" i="15" s="1"/>
  <c r="P39" i="15"/>
  <c r="Q39" i="15" s="1"/>
  <c r="P37" i="15"/>
  <c r="Q37" i="15" s="1"/>
  <c r="P30" i="15"/>
  <c r="Q30" i="15" s="1"/>
  <c r="P35" i="15"/>
  <c r="Q35" i="15" s="1"/>
  <c r="P19" i="15"/>
  <c r="Q19" i="15" s="1"/>
  <c r="P11" i="15"/>
  <c r="Q11" i="15" s="1"/>
  <c r="S22" i="15"/>
  <c r="T22" i="15" s="1"/>
  <c r="V5" i="15"/>
  <c r="I3" i="17"/>
  <c r="P36" i="15"/>
  <c r="Q36" i="15" s="1"/>
  <c r="P34" i="15"/>
  <c r="Q34" i="15" s="1"/>
  <c r="P15" i="15"/>
  <c r="Q15" i="15" s="1"/>
  <c r="S23" i="15"/>
  <c r="T23" i="15" s="1"/>
  <c r="V23" i="15" s="1"/>
  <c r="S43" i="15"/>
  <c r="T43" i="15" s="1"/>
  <c r="V43" i="15" s="1"/>
  <c r="S9" i="15"/>
  <c r="T9" i="15" s="1"/>
  <c r="V9" i="15" s="1"/>
  <c r="P28" i="15"/>
  <c r="Q28" i="15" s="1"/>
  <c r="S8" i="15"/>
  <c r="T8" i="15" s="1"/>
  <c r="S10" i="15"/>
  <c r="T10" i="15" s="1"/>
  <c r="P44" i="15"/>
  <c r="Q44" i="15" s="1"/>
  <c r="G60" i="5"/>
  <c r="F64" i="5"/>
  <c r="F66" i="5" s="1"/>
  <c r="P13" i="15"/>
  <c r="Q13" i="15" s="1"/>
  <c r="P33" i="15"/>
  <c r="Q33" i="15" s="1"/>
  <c r="S24" i="15"/>
  <c r="T24" i="15" s="1"/>
  <c r="S6" i="15"/>
  <c r="T6" i="15" s="1"/>
  <c r="P14" i="15"/>
  <c r="Q14" i="15" s="1"/>
  <c r="P42" i="15"/>
  <c r="Q42" i="15" s="1"/>
  <c r="S7" i="15"/>
  <c r="T7" i="15" s="1"/>
  <c r="V7" i="15" s="1"/>
  <c r="P29" i="15"/>
  <c r="Q29" i="15" s="1"/>
  <c r="P46" i="15"/>
  <c r="Q46" i="15" s="1"/>
  <c r="P12" i="15"/>
  <c r="Q12" i="15" s="1"/>
  <c r="P18" i="15"/>
  <c r="Q18" i="15" s="1"/>
  <c r="P40" i="15"/>
  <c r="Q40" i="15" s="1"/>
  <c r="S2" i="15"/>
  <c r="T2" i="15" s="1"/>
  <c r="J5" i="17"/>
  <c r="P25" i="15"/>
  <c r="Q25" i="15" s="1"/>
  <c r="P17" i="15"/>
  <c r="Q17" i="15" s="1"/>
  <c r="P31" i="15"/>
  <c r="Q31" i="15" s="1"/>
  <c r="P45" i="15"/>
  <c r="Q45" i="15" s="1"/>
  <c r="P20" i="15"/>
  <c r="Q20" i="15" s="1"/>
  <c r="S3" i="15"/>
  <c r="T3" i="15" s="1"/>
  <c r="V3" i="15" s="1"/>
  <c r="P27" i="15"/>
  <c r="Q27" i="15" s="1"/>
  <c r="P32" i="15"/>
  <c r="Q32" i="15" s="1"/>
  <c r="F4" i="17" l="1"/>
  <c r="I4" i="17"/>
  <c r="S36" i="15"/>
  <c r="T36" i="15" s="1"/>
  <c r="S17" i="15"/>
  <c r="T17" i="15" s="1"/>
  <c r="V17" i="15" s="1"/>
  <c r="S40" i="15"/>
  <c r="T40" i="15" s="1"/>
  <c r="S41" i="15"/>
  <c r="T41" i="15" s="1"/>
  <c r="V41" i="15" s="1"/>
  <c r="S20" i="15"/>
  <c r="T20" i="15" s="1"/>
  <c r="S45" i="15"/>
  <c r="T45" i="15" s="1"/>
  <c r="V45" i="15" s="1"/>
  <c r="S31" i="15"/>
  <c r="T31" i="15" s="1"/>
  <c r="V31" i="15" s="1"/>
  <c r="S25" i="15"/>
  <c r="T25" i="15" s="1"/>
  <c r="V25" i="15" s="1"/>
  <c r="S11" i="15"/>
  <c r="T11" i="15" s="1"/>
  <c r="I2" i="17"/>
  <c r="I5" i="17" s="1"/>
  <c r="S35" i="15"/>
  <c r="T35" i="15" s="1"/>
  <c r="V35" i="15" s="1"/>
  <c r="S37" i="15"/>
  <c r="T37" i="15" s="1"/>
  <c r="V37" i="15" s="1"/>
  <c r="S29" i="15"/>
  <c r="T29" i="15" s="1"/>
  <c r="V29" i="15" s="1"/>
  <c r="S33" i="15"/>
  <c r="T33" i="15" s="1"/>
  <c r="V33" i="15" s="1"/>
  <c r="S13" i="15"/>
  <c r="T13" i="15" s="1"/>
  <c r="V13" i="15" s="1"/>
  <c r="S19" i="15"/>
  <c r="T19" i="15" s="1"/>
  <c r="V19" i="15" s="1"/>
  <c r="S18" i="15"/>
  <c r="T18" i="15" s="1"/>
  <c r="S30" i="15"/>
  <c r="T30" i="15" s="1"/>
  <c r="S12" i="15"/>
  <c r="T12" i="15" s="1"/>
  <c r="S28" i="15"/>
  <c r="T28" i="15" s="1"/>
  <c r="S46" i="15"/>
  <c r="T46" i="15" s="1"/>
  <c r="S39" i="15"/>
  <c r="T39" i="15" s="1"/>
  <c r="V39" i="15" s="1"/>
  <c r="S16" i="15"/>
  <c r="T16" i="15" s="1"/>
  <c r="S47" i="15"/>
  <c r="T47" i="15" s="1"/>
  <c r="V47" i="15" s="1"/>
  <c r="S32" i="15"/>
  <c r="T32" i="15" s="1"/>
  <c r="F3" i="17" s="1"/>
  <c r="S42" i="15"/>
  <c r="T42" i="15" s="1"/>
  <c r="S26" i="15"/>
  <c r="T26" i="15" s="1"/>
  <c r="S27" i="15"/>
  <c r="T27" i="15" s="1"/>
  <c r="V27" i="15" s="1"/>
  <c r="S14" i="15"/>
  <c r="T14" i="15" s="1"/>
  <c r="S15" i="15"/>
  <c r="T15" i="15" s="1"/>
  <c r="V15" i="15" s="1"/>
  <c r="S38" i="15"/>
  <c r="T38" i="15" s="1"/>
  <c r="S34" i="15"/>
  <c r="T34" i="15" s="1"/>
  <c r="B13" i="1"/>
  <c r="G66" i="5"/>
  <c r="F71" i="5" s="1"/>
  <c r="S44" i="15"/>
  <c r="T44" i="15" s="1"/>
  <c r="G64" i="5"/>
  <c r="I60" i="5"/>
  <c r="K3" i="17" l="1"/>
  <c r="M3" i="17" s="1"/>
  <c r="V11" i="15"/>
  <c r="F2" i="17"/>
  <c r="I64" i="5"/>
  <c r="G68" i="5"/>
  <c r="I68" i="5" s="1"/>
  <c r="L48" i="5"/>
  <c r="M48" i="5" s="1"/>
  <c r="K4" i="17"/>
  <c r="M4" i="17"/>
  <c r="K2" i="17" l="1"/>
  <c r="K5" i="17" s="1"/>
  <c r="F5" i="17"/>
  <c r="M2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 Author</author>
  </authors>
  <commentList>
    <comment ref="A3" authorId="0" shapeId="0" xr:uid="{00000000-0006-0000-0900-000001000000}">
      <text>
        <r>
          <rPr>
            <sz val="11"/>
            <color theme="1"/>
            <rFont val="Aptos Narrow"/>
            <family val="2"/>
            <charset val="1"/>
          </rPr>
          <t>Pedro Pagliaricci:
Usar formato SC-001, SC-002, etc. Este código debe aparecer al inicio de la columna Observaciones en cada pago cargado en Gastos (ej: SC-001_Cespedes_Certif #2) para que Pagos lo identifique automáticamente.</t>
        </r>
      </text>
    </comment>
  </commentList>
</comments>
</file>

<file path=xl/sharedStrings.xml><?xml version="1.0" encoding="utf-8"?>
<sst xmlns="http://schemas.openxmlformats.org/spreadsheetml/2006/main" count="14305" uniqueCount="3293">
  <si>
    <t>PRESUPUESTO OBRA CIVIL y CERTIFICACIONES DE AVANCE</t>
  </si>
  <si>
    <t>Rubro MT</t>
  </si>
  <si>
    <t>Rubro MT/Prov</t>
  </si>
  <si>
    <t>Rubro MO/OTR</t>
  </si>
  <si>
    <t>Rubro MO/ALB</t>
  </si>
  <si>
    <t>Cod. Ítem</t>
  </si>
  <si>
    <t>Estado</t>
  </si>
  <si>
    <t>Descripción</t>
  </si>
  <si>
    <t>U</t>
  </si>
  <si>
    <t>Cant</t>
  </si>
  <si>
    <t>MT</t>
  </si>
  <si>
    <t>MO/OTR</t>
  </si>
  <si>
    <t>MO/ALB</t>
  </si>
  <si>
    <t>EQ</t>
  </si>
  <si>
    <t>Costo Unit.</t>
  </si>
  <si>
    <t>P.Unit</t>
  </si>
  <si>
    <t>Margen</t>
  </si>
  <si>
    <t>Costo total</t>
  </si>
  <si>
    <t>PV subtotal</t>
  </si>
  <si>
    <t>Etapa</t>
  </si>
  <si>
    <t>Presupuesto</t>
  </si>
  <si>
    <t>% Acum Tot</t>
  </si>
  <si>
    <t>TAREAS PRELIMINARES</t>
  </si>
  <si>
    <t>Preliminares</t>
  </si>
  <si>
    <t>-</t>
  </si>
  <si>
    <t>OK</t>
  </si>
  <si>
    <t>Limpieza y preparación del terreno - No cotiza</t>
  </si>
  <si>
    <t>gl</t>
  </si>
  <si>
    <t>PTO 01</t>
  </si>
  <si>
    <t>Topógrafo - Visita de obra replanteo</t>
  </si>
  <si>
    <t>un</t>
  </si>
  <si>
    <t>Cartel de Obra - No cotiza</t>
  </si>
  <si>
    <t>Cerco de obra perimetral - En chapa C25 + Concertina + Porton corredizo</t>
  </si>
  <si>
    <t>ml</t>
  </si>
  <si>
    <t>Obrador colgante, pañol y ducha</t>
  </si>
  <si>
    <t>Gastos Generales</t>
  </si>
  <si>
    <t>Alquiler de baños quimicos y duchas portatiles</t>
  </si>
  <si>
    <t>mes</t>
  </si>
  <si>
    <t>Conexión pilar y luz de obra + Tablero de obra</t>
  </si>
  <si>
    <t>Conexión agua de obra, tanque + bomba</t>
  </si>
  <si>
    <t>Tramite luz de obra, certificado luz de obra (2) y medición PAT</t>
  </si>
  <si>
    <t>Movimiento de Suelos</t>
  </si>
  <si>
    <t>Sistema de depresión de napas</t>
  </si>
  <si>
    <t>MOVIMIENTO DE TIERRA, COMPACTACION Y RELLENO</t>
  </si>
  <si>
    <t>Homigón MO</t>
  </si>
  <si>
    <t>Excavación a maquina para submuración y subsuelo</t>
  </si>
  <si>
    <t>m3</t>
  </si>
  <si>
    <t>Demolición y retiro de fundaciones existentes - No cotiza</t>
  </si>
  <si>
    <t>Excavación manual para pozo de achique y bombeo</t>
  </si>
  <si>
    <t>ESTRUCTURA RESISTENTE - sin provision de hierro y hormigon (incluye corte y doblado en obra)</t>
  </si>
  <si>
    <t>Hormigón MT</t>
  </si>
  <si>
    <t>Hormigón de limpieza - e: 10 cm</t>
  </si>
  <si>
    <t>Tabique submuración - H30 hidrófugo (95 kg/m3 de hierro)</t>
  </si>
  <si>
    <t>Zapata corrida tabique - H30 hidrófugo (120 kg/m3)</t>
  </si>
  <si>
    <t>Platea - H30 hidrófugo (95 kg/m3 de hierro)</t>
  </si>
  <si>
    <t>Rampa - H30 (120 kg/m3 de hierro)</t>
  </si>
  <si>
    <t>Losa maciza - H30 (110 kg/m3 de hierro)</t>
  </si>
  <si>
    <t>Vigas - H30 (140 kg/m3 de hierro)</t>
  </si>
  <si>
    <t>Vigas de H° visto - H30 (140 kg/m3 de hierro)</t>
  </si>
  <si>
    <t>Tabiques - H30 (120 kg/m3 de hierro)</t>
  </si>
  <si>
    <t>Columna - H30 (240 Kg/m3 de hierro)</t>
  </si>
  <si>
    <t>Escaleras - H30 (105 kg/m3 de hierro)</t>
  </si>
  <si>
    <t>Tabiques tanques de H° - H30 (120 kg/m3 de hierro)</t>
  </si>
  <si>
    <t>Junta de impermeabilización de PVC - Sika Waterbars v15 x 15mts o similar</t>
  </si>
  <si>
    <t>Sistema de apuntalamiento y reapuntalamiento</t>
  </si>
  <si>
    <t>Ensayos de Hormigon por etapas de hormigonado</t>
  </si>
  <si>
    <t>u</t>
  </si>
  <si>
    <t>Permiso de estacionamiento de bomba de hormigón a contramano</t>
  </si>
  <si>
    <t>Picado de medianeras para columnas y vigas - Cotizado solo para PB y 1P, No contempla picado en SS</t>
  </si>
  <si>
    <t>m2</t>
  </si>
  <si>
    <t>AYUDA DE GREMIOS</t>
  </si>
  <si>
    <t>Albañilería MO</t>
  </si>
  <si>
    <t>Sereno</t>
  </si>
  <si>
    <t>Seguridad e Higiene</t>
  </si>
  <si>
    <t>Tecnico de seguridad &amp; higiene permanente en Obra</t>
  </si>
  <si>
    <t>Higiene y seguridad Res 51</t>
  </si>
  <si>
    <t>Albañilería MT</t>
  </si>
  <si>
    <t>Protecciones y defensas</t>
  </si>
  <si>
    <t>Ayuda de Gremios</t>
  </si>
  <si>
    <t>Limpieza periodica</t>
  </si>
  <si>
    <t>Limpieza final de Obra</t>
  </si>
  <si>
    <t>Mov. Variables</t>
  </si>
  <si>
    <t>Fletes</t>
  </si>
  <si>
    <t>Alquiler de Equipos</t>
  </si>
  <si>
    <t>Alquiler de equipos - Montacargas, tubos de descarga y balancin</t>
  </si>
  <si>
    <t>Volquetes</t>
  </si>
  <si>
    <t>JEFATURA DE OBRA</t>
  </si>
  <si>
    <t>Supervisión de Obra MO</t>
  </si>
  <si>
    <t>Supervisión profesional de Obra</t>
  </si>
  <si>
    <t>Movilidad y viaticos</t>
  </si>
  <si>
    <t>ALBAÑILERIA</t>
  </si>
  <si>
    <t>Muro tipo 1 (interiores, divisorio de locales) e: 10 cm - Ladrillo hueco 08 x 18 x 33</t>
  </si>
  <si>
    <t>PTO 02</t>
  </si>
  <si>
    <t>Muro tipo 2 y 3 (medianera, caja de escaleras y ascensor) e: 15 cm - Ladrillo hueco portante 12 x 19 x 33</t>
  </si>
  <si>
    <t>Muro tipo 4 (divisorio de unidades y fachas) e: 15 cm -  Ladrillo hueco 12 x 18 x 33</t>
  </si>
  <si>
    <t>Enchape medianeras existentes - Contemplamos picado zonas sueltas y enchape con ladrillo comun para PB</t>
  </si>
  <si>
    <t>Mamposteria cribada de ladrillo visto en balcones</t>
  </si>
  <si>
    <t>Bloque de H° con masillado de hormigon</t>
  </si>
  <si>
    <t>Cordón de hormigón en umbrales carpinterías</t>
  </si>
  <si>
    <t>Pozo de bombeo pluvial y cloacal</t>
  </si>
  <si>
    <t>AISLACIONES</t>
  </si>
  <si>
    <t>Aislación hidrófuga horizontal (baños) - Inc. membrana geotextil y 35% en concepto de babetas</t>
  </si>
  <si>
    <t>Azotado hidrofugo - Sobre medianeras existentes</t>
  </si>
  <si>
    <t>Azotado hidrofugo - Contrapiso de vereda</t>
  </si>
  <si>
    <t>Aislación térmica en terrazas, eps e:2,00 cm</t>
  </si>
  <si>
    <t>Barrera de vapor</t>
  </si>
  <si>
    <t>Membrana asfaltica geotextil 4mm - Balcones y azotea - Inc. 20% en concepto de babetas</t>
  </si>
  <si>
    <t>Impermeabilización de subsuelo</t>
  </si>
  <si>
    <t>CUBIERTAS</t>
  </si>
  <si>
    <t>Babeta de chapa galvanizada en medianeras</t>
  </si>
  <si>
    <t>REVOQUES</t>
  </si>
  <si>
    <t>Revoque Grueso Impermeable Exterior proyectable</t>
  </si>
  <si>
    <t>Revoque Grueso Impermeable Exterior a mas de 3m proyectable - Medianero y fachadas</t>
  </si>
  <si>
    <t>Buña en revoque</t>
  </si>
  <si>
    <t>Revoque Grueso Interior + fino</t>
  </si>
  <si>
    <t>Durlock MT</t>
  </si>
  <si>
    <t>Durlock MO</t>
  </si>
  <si>
    <t>Yeso interior</t>
  </si>
  <si>
    <t>Arista en yeso</t>
  </si>
  <si>
    <t>Provisión y colocación de guardacanto yesero</t>
  </si>
  <si>
    <t>Revoque Grueso Impermeable Interior b/ revestimiento</t>
  </si>
  <si>
    <t>CONTRAPISOS Y CARPETAS</t>
  </si>
  <si>
    <t>Contrapiso de cascotes en SS e: 15 cm</t>
  </si>
  <si>
    <t>Contrapiso de cascote s/terreno natural e: 20 cm - Incluye film de polietileno</t>
  </si>
  <si>
    <t>Contrapiso de cascotes en azoteas c/pendiente e: 15 cm</t>
  </si>
  <si>
    <t>Contrapiso - Carpeta monolitico e: 7 cm</t>
  </si>
  <si>
    <t>Carpeta en PB y balcones, baños y azoteas e: 3,00 cm</t>
  </si>
  <si>
    <t>Carpeta sobre membrana</t>
  </si>
  <si>
    <t>Banquinas para cocinas</t>
  </si>
  <si>
    <t>Banquinas para bombas y tanques en SB</t>
  </si>
  <si>
    <t>ESCALERAS</t>
  </si>
  <si>
    <t>Cemento alisado arrodillado en escaleras</t>
  </si>
  <si>
    <t>Provisión nariz escalera, hierro angulo 5/8 x 1/8"</t>
  </si>
  <si>
    <t>Zócalo de concreto</t>
  </si>
  <si>
    <t>Provisión y colocación de Rodapie/ Zócalo rampante en placa cementicia</t>
  </si>
  <si>
    <t>VENTILACIONES</t>
  </si>
  <si>
    <t>Ventilación Conducto Humos. Incluye toma de aire en PB - No aplica s/proyecto</t>
  </si>
  <si>
    <t>Ventilación Baños - En caño Ø 110</t>
  </si>
  <si>
    <t>Colocación de rejillas de inyección y extracción - No aplica s/proyecto</t>
  </si>
  <si>
    <t>Sombreretes en chapa prepintada C25</t>
  </si>
  <si>
    <t>PISOS - PROVISION A CARGO DEL COMITENTE</t>
  </si>
  <si>
    <t>Revestimiento MT</t>
  </si>
  <si>
    <t>Revestimiento MO</t>
  </si>
  <si>
    <t>Colocación de travertino en hall PB - Provisión a cargo del comitente</t>
  </si>
  <si>
    <t>Colocación de porcelanato en paliers, terraza y espacios comunes - Provisión a cargo del comitente</t>
  </si>
  <si>
    <t>Colocación de porcelanato en UF - Provisión a cargo del comitente</t>
  </si>
  <si>
    <t>Colocación de porcelanato en baños - Provisión a cargo del comitente</t>
  </si>
  <si>
    <t>Provisión y ejecución de alisado de cemento rodillado</t>
  </si>
  <si>
    <t>Colocación de baldoson de vereda - Provisión a cargo del comitente</t>
  </si>
  <si>
    <t>Provisión y ejecución de pavimento e: 18 cm, incluye malla Q188</t>
  </si>
  <si>
    <t>ZOCALOS Y SOLIAS - PROVISION A CARGO DEL COMITENTE</t>
  </si>
  <si>
    <t>Provisión y colocación de zocalos de Madera (MDF) h: 7 cm</t>
  </si>
  <si>
    <t>Colocación de zocalo de porcelanico - Provisión a cargo del comitente</t>
  </si>
  <si>
    <t>Colocación de zocalo de porcelanato en palieres - Provisión a cargo del comitente</t>
  </si>
  <si>
    <t>Colocación de zocalo de porcelanato en terraza y espacios comunes - Provisión a cargo del comitente</t>
  </si>
  <si>
    <t>REVESTIMIENTOS - PROVISION A CARGO DEL COMITENTE</t>
  </si>
  <si>
    <t>Revestimiento en baños - Provisión a cargo del comitente</t>
  </si>
  <si>
    <t>Revestimiento en cocinas - Provisión a cargo del comitente</t>
  </si>
  <si>
    <t>Revestimiento tejuela exterior - Provisión a cargo del comitente</t>
  </si>
  <si>
    <t>Provisión y colocación de perfileria de aluminio tipo ATRIM L anod. Natural</t>
  </si>
  <si>
    <t>CIELORRASOS</t>
  </si>
  <si>
    <t>Cielorraso junta tomada placa STD</t>
  </si>
  <si>
    <t>Cielorraso junta tomada placa RH</t>
  </si>
  <si>
    <t>Cajon en junta tomada placa STD</t>
  </si>
  <si>
    <t>Buña perimetral / Cantoneras</t>
  </si>
  <si>
    <t>Aplicado de yeso interior</t>
  </si>
  <si>
    <t>Buña en yeso</t>
  </si>
  <si>
    <t>H° Visto - Maquillaje para recibir pintura</t>
  </si>
  <si>
    <t>PINTURA</t>
  </si>
  <si>
    <t>Pintura MT</t>
  </si>
  <si>
    <t>Látex interior para paredes Bco. mate (enduido parcial)</t>
  </si>
  <si>
    <t>Látex interior para paredes Bco. mate (s/enduido)</t>
  </si>
  <si>
    <t>Látex para cielorraso Bco. mate (enduido parcial)</t>
  </si>
  <si>
    <t>Látex para cielorraso Bco. mate (enduido completo)</t>
  </si>
  <si>
    <t>Latex interior cielorraso sobre H°</t>
  </si>
  <si>
    <t>Revestimiento plastico tipo Quimtex en exteriores y PB</t>
  </si>
  <si>
    <t>Revestimiento plastico tipo Quimtex en exteriores a mas de 3m de altura, incluye medianeras</t>
  </si>
  <si>
    <t>Esmalte sintético en puertas placa, chapa y de ascensor</t>
  </si>
  <si>
    <t>Convertidor y esmalte sintentico en barandas - Escalera, balcones, porton, medidores y SDM</t>
  </si>
  <si>
    <t>MARMOLES Y GRANITOS - PROVISION Y COLOCACION A CARGO DEL COMITENTE</t>
  </si>
  <si>
    <t>CARPINTERIA - PROVISION A CARGO DEL COMITENTE</t>
  </si>
  <si>
    <t>Amure de puertas placa  Provisión a cargo del comitente</t>
  </si>
  <si>
    <t>Amure de puertas de chapa e ingresos depto - Provisión a cargo del comitente</t>
  </si>
  <si>
    <t>Amure de premarcos - Provisión a cargo del comitente</t>
  </si>
  <si>
    <t>Amure Puertas de Ascensor - Provisión a cargo del comitente</t>
  </si>
  <si>
    <t>INSTALACION ELECTRICA</t>
  </si>
  <si>
    <t>Eléctrico MT</t>
  </si>
  <si>
    <t>Eléctrico MO</t>
  </si>
  <si>
    <t>Tendido y cableado boca Iluminación</t>
  </si>
  <si>
    <t>Tendido y cableado boca Iluminación - Caja mignon para Led</t>
  </si>
  <si>
    <t>Tendido y cableado boca tomacorriente</t>
  </si>
  <si>
    <t>Tendido y cableado boca tomacorriente especial (AA.CC)</t>
  </si>
  <si>
    <t>Tendido y cableado boca MBT Timbre</t>
  </si>
  <si>
    <t>Tendido y cableado boca de temostato - Sin instalación de termostato</t>
  </si>
  <si>
    <t>Boca de TV - Cañería c/cable testigo</t>
  </si>
  <si>
    <t>Boca de PE - Cañería c/cable testigo</t>
  </si>
  <si>
    <t>Boca de CCTV - Cañería c/cable testigo</t>
  </si>
  <si>
    <t>Tablero Servicios generales - TSG</t>
  </si>
  <si>
    <t>Tablero Bombas impulsión - TS BI</t>
  </si>
  <si>
    <t>Tablero Seccional ascensor - TS.ASC.</t>
  </si>
  <si>
    <t>Tablero de Bomba presurizadora - TS BR</t>
  </si>
  <si>
    <t>Tablero TS Local</t>
  </si>
  <si>
    <t>Tablero de UF (monoambiente)</t>
  </si>
  <si>
    <t>Tablero de UF (2 y 3 ambientes)</t>
  </si>
  <si>
    <t>Montante eléctrica</t>
  </si>
  <si>
    <t>Montante TV + Tablero TV - Cañería c/cable testigo</t>
  </si>
  <si>
    <t>Montante PE + Tablero PE- Cañería c/cable testigo</t>
  </si>
  <si>
    <t>Colocación de sensor de movimiento - Provisión a cargo del comitente</t>
  </si>
  <si>
    <t>Colocación de teclas simples y/o combinadas - Provisión a cargo del comitente</t>
  </si>
  <si>
    <t>Colocación de pulsadores, circulación + timbres - Provisión a cargo del comitente</t>
  </si>
  <si>
    <t>Colocación de tomacorriente simple y doble 10 A - Provisión a cargo del comitente</t>
  </si>
  <si>
    <t>Colocación de luz de emergencia - Provisión a cargo del comitente</t>
  </si>
  <si>
    <t>Colocación de zumbador - Provisión a cargo del comitente</t>
  </si>
  <si>
    <t>Colocación artefactos en espacios comunes y balcones - Provisión a cargo del comitente. NO incluye provisión, ni colocación de artefactos en interior de UF</t>
  </si>
  <si>
    <t>Colocación de fotocelula - Provisión a cargo del comitente</t>
  </si>
  <si>
    <t>Acometida y gabiente de medidores</t>
  </si>
  <si>
    <t>Puesta a tierra, jabalinas y cableados</t>
  </si>
  <si>
    <t>Certificado DCI para servicios generales</t>
  </si>
  <si>
    <t>INSTALACION SANITARIA, GRIFERIA Y SANITARIOS</t>
  </si>
  <si>
    <t>Sanitaria MT</t>
  </si>
  <si>
    <t>Sanitaria MO</t>
  </si>
  <si>
    <t>Tendido caño cloacal en planta baja y ss</t>
  </si>
  <si>
    <t>Armado de pozo de bombeo cloacal</t>
  </si>
  <si>
    <t>Por armar CDV en planta tipo</t>
  </si>
  <si>
    <t>Montantes, remate y ventilación a los 4 vientos</t>
  </si>
  <si>
    <t>Tendido caño pluvial en planta baja y ss</t>
  </si>
  <si>
    <t>Tendido caño pluvial por pisos</t>
  </si>
  <si>
    <t>Instalación tanque de recupero y bombeo pluvial</t>
  </si>
  <si>
    <t>Tendido caño de agua en SS hasta TB. Colocación de TB, armado de colector y cuadro de bombas</t>
  </si>
  <si>
    <t>Colocación TR, armado de colector, subida y bajadas de AF</t>
  </si>
  <si>
    <t>Colocación de bomba presurizadora, armado de colector y montantes presurizadas (ultimo piso 4°) AF</t>
  </si>
  <si>
    <t>Distribución agua fria y caliente en planta tipo</t>
  </si>
  <si>
    <t>Colocación de artefactos y griferias - Provisión a cargo del comitente</t>
  </si>
  <si>
    <t>Armado y conexionado de desagües AA.CC</t>
  </si>
  <si>
    <t>Tendido de cañerías de mando y retorno para calefacción</t>
  </si>
  <si>
    <t>Montaje de radiadores - Provisión a cargo del comitente</t>
  </si>
  <si>
    <t>Montaje de caldera y puesta en marcha - Provisión a cargo del comitente</t>
  </si>
  <si>
    <t>Diferencia por piso radiante (colectores y gabinetes a cargo del comitente)</t>
  </si>
  <si>
    <t>Tendido cañeria de incendio - Gabinetes, mangueras, lanzas y valvulas cotizadas en provisiones</t>
  </si>
  <si>
    <t>Provisión y tendido de cañerías de gas a cada UF</t>
  </si>
  <si>
    <t>Tramites gas - Prefactibilidad, inspección parcial, final</t>
  </si>
  <si>
    <t>AIRE ACONDICIONADO - PROVISION A CARGO DEL COMITENTE</t>
  </si>
  <si>
    <t>Termomecánica MT</t>
  </si>
  <si>
    <t>Termomecánica MO</t>
  </si>
  <si>
    <t>Preinstalación para AA.CC</t>
  </si>
  <si>
    <t>Montaje, colocación y puesta en marcha de equipos - Provisión a cargo del comitente</t>
  </si>
  <si>
    <t>ASCENSOR  - PROVISION A CARGO DEL COMITENTE</t>
  </si>
  <si>
    <t>Ascensores - Provisión y colocación a cargo del comitente</t>
  </si>
  <si>
    <t>EQUIPAMIENTO - PROVISION A CARGO DEL COMITENTE</t>
  </si>
  <si>
    <t>Artefactos de cocina, instalacion anafes y hornos - Provisión a cargo del comitente</t>
  </si>
  <si>
    <t>Instalacion de extractores de baños - Provisión a cargo del comitente</t>
  </si>
  <si>
    <t>TRABAJOS COMPLEMENTARIOS</t>
  </si>
  <si>
    <t>Albañilería parrila completa</t>
  </si>
  <si>
    <t>Colocación de ladrillos de vidrio - Provisión a cargo del comitente</t>
  </si>
  <si>
    <t>Provisión y amure de tapas para pleno electricos y gas en palieres</t>
  </si>
  <si>
    <t>▌ CONFIGURACIÓN DE OBRA — SVD 4140</t>
  </si>
  <si>
    <t>Nombre de obra</t>
  </si>
  <si>
    <t>Edificio El Salvador 4140</t>
  </si>
  <si>
    <t>En ejecución</t>
  </si>
  <si>
    <t>Fecha inicio</t>
  </si>
  <si>
    <t>presupuesto base sep-2024</t>
  </si>
  <si>
    <t>Duración estimada (meses)</t>
  </si>
  <si>
    <t>feb-2025 a ago-2026</t>
  </si>
  <si>
    <t>— ÍNDICE CAC —</t>
  </si>
  <si>
    <t>Mes base CAC</t>
  </si>
  <si>
    <t>fecha base del presupuesto (sep-2024)</t>
  </si>
  <si>
    <t>Valor CAC base (INDEC)</t>
  </si>
  <si>
    <t>índice INDEC del mes base</t>
  </si>
  <si>
    <t>Mes corriente</t>
  </si>
  <si>
    <t>último mes cargado</t>
  </si>
  <si>
    <t>Ratio CAC corriente</t>
  </si>
  <si>
    <t>ratio del mes más reciente</t>
  </si>
  <si>
    <t>— COEFICIENTE K —</t>
  </si>
  <si>
    <t>K (Gastos Generales y Beneficio)</t>
  </si>
  <si>
    <t>CRÍTICO: no modificar manualmente</t>
  </si>
  <si>
    <t>— PRESUPUESTO —</t>
  </si>
  <si>
    <t>Apertura fiscal</t>
  </si>
  <si>
    <t>B31 / N69 / GGN</t>
  </si>
  <si>
    <t>Blanco 31% c/IVA · Negro 69% — DERIVADO de Facturación, revisar</t>
  </si>
  <si>
    <t>Costo controlable (sin EQ)</t>
  </si>
  <si>
    <t>MT+MO/OTR+MO/ALB × Cant (EQ excluido)</t>
  </si>
  <si>
    <t>Costo total (con EQ)</t>
  </si>
  <si>
    <t>Costo Unit. × Cant</t>
  </si>
  <si>
    <t>Precio de venta total</t>
  </si>
  <si>
    <t>P Unit. × Cant</t>
  </si>
  <si>
    <t>Sanity check venta (debe ser 0)</t>
  </si>
  <si>
    <t>venta total = subtotales legacy Pto.Vta (markup no uniforme; K solo informativo)</t>
  </si>
  <si>
    <t>— RECONCILIACIÓN MENSUAL —</t>
  </si>
  <si>
    <t>Total egresos (2_Movimientos)</t>
  </si>
  <si>
    <t>← se cablea en bloque 6 (crear 2_Movimientos)</t>
  </si>
  <si>
    <t>Total Tezamat (pegar mensual)</t>
  </si>
  <si>
    <t>input mensual</t>
  </si>
  <si>
    <t>Diferencia (debe ser 0)</t>
  </si>
  <si>
    <t>se activa al cablear B45</t>
  </si>
  <si>
    <t>Tolerancia conciliación ($)</t>
  </si>
  <si>
    <t>— PENDIENTES (celdas amarillas) —</t>
  </si>
  <si>
    <t>0_Indice_CAC col B</t>
  </si>
  <si>
    <t>CAC meses futuros sin publicar</t>
  </si>
  <si>
    <t>0_Jornales_MO</t>
  </si>
  <si>
    <t>Tarifas UOCRA meses futuros</t>
  </si>
  <si>
    <t>0_CONFIG!B46</t>
  </si>
  <si>
    <t>Input mensual total Tezamat</t>
  </si>
  <si>
    <t>1_Presupuesto cols A,B,C,D</t>
  </si>
  <si>
    <t>Asignación de rubros por ítem (4 cols input manual)</t>
  </si>
  <si>
    <t>INDICE CAC</t>
  </si>
  <si>
    <t>Escala de tiempo</t>
  </si>
  <si>
    <t>Valores</t>
  </si>
  <si>
    <t>Previsión</t>
  </si>
  <si>
    <t>Indice</t>
  </si>
  <si>
    <t>SECCIÓN A — TABLA DE TARIFAS POR CATEGORÍA (Costo por Día/Quincena)</t>
  </si>
  <si>
    <t>PERÍODO</t>
  </si>
  <si>
    <t>ESPEC.
($/día)</t>
  </si>
  <si>
    <t>OFICIAL
($/día)</t>
  </si>
  <si>
    <t>1/2 OFICIAL
($/día)</t>
  </si>
  <si>
    <t>AYUDANTE
($/día)</t>
  </si>
  <si>
    <t>ESPEC.
($/hr)</t>
  </si>
  <si>
    <t>MESES</t>
  </si>
  <si>
    <t>DÓLAR BNA</t>
  </si>
  <si>
    <t>DÓLAR MEP</t>
  </si>
  <si>
    <t>Descrip</t>
  </si>
  <si>
    <t>Mes</t>
  </si>
  <si>
    <t>Total Dias</t>
  </si>
  <si>
    <t>GASTOS GENERALES y BENEFICIO</t>
  </si>
  <si>
    <t>Prelim</t>
  </si>
  <si>
    <t>Syh permanente</t>
  </si>
  <si>
    <t>Mov de suelos y excav. + micro</t>
  </si>
  <si>
    <t>Gastos Grales de obra en items</t>
  </si>
  <si>
    <t>Precio Unit</t>
  </si>
  <si>
    <t>Subtotal</t>
  </si>
  <si>
    <t>Fundac</t>
  </si>
  <si>
    <t>Oficina en obra (6x3 c/AA)</t>
  </si>
  <si>
    <t>Losa sobre PB</t>
  </si>
  <si>
    <t>Obrador 6x3 s/AA</t>
  </si>
  <si>
    <t>Losa sobre 1</t>
  </si>
  <si>
    <t>Pañol (6x3)</t>
  </si>
  <si>
    <t>Losa sobre 2</t>
  </si>
  <si>
    <t>Baños</t>
  </si>
  <si>
    <t>Losa sobre 3</t>
  </si>
  <si>
    <t>Inicio mamposteria</t>
  </si>
  <si>
    <t>Losa sobre 4</t>
  </si>
  <si>
    <t xml:space="preserve">Meses H° </t>
  </si>
  <si>
    <t>Estacionamiento en contramano</t>
  </si>
  <si>
    <t>HyS permanente</t>
  </si>
  <si>
    <t>Techo escalera y sobrerecorrido</t>
  </si>
  <si>
    <t>HyS</t>
  </si>
  <si>
    <t>Mampostería</t>
  </si>
  <si>
    <t>Energía de obra</t>
  </si>
  <si>
    <t>Revoques, contrap y carp</t>
  </si>
  <si>
    <t>Agua de obra</t>
  </si>
  <si>
    <t xml:space="preserve">Amures </t>
  </si>
  <si>
    <t>Alquiler cerco de obra chapa</t>
  </si>
  <si>
    <t>Colocación</t>
  </si>
  <si>
    <t>Proyecto Ejecutivo</t>
  </si>
  <si>
    <t>Pintura</t>
  </si>
  <si>
    <t>Proyecto (50%)</t>
  </si>
  <si>
    <t>Terminaciones</t>
  </si>
  <si>
    <t>Gastos Directos</t>
  </si>
  <si>
    <t>Coordinacion de obra</t>
  </si>
  <si>
    <t>Jefe de obra</t>
  </si>
  <si>
    <t>Sobrestante</t>
  </si>
  <si>
    <t>Administrativo en obra</t>
  </si>
  <si>
    <t>Capataz</t>
  </si>
  <si>
    <t>Logistica</t>
  </si>
  <si>
    <t>Vehiculo obra</t>
  </si>
  <si>
    <t>Mov y viaticos</t>
  </si>
  <si>
    <t>UOCRA</t>
  </si>
  <si>
    <t>Pañolero/Sereno</t>
  </si>
  <si>
    <t>Equipos</t>
  </si>
  <si>
    <t>Bobcat</t>
  </si>
  <si>
    <t>Camion limpieza</t>
  </si>
  <si>
    <t>Tijera electrica 12</t>
  </si>
  <si>
    <t>JLG</t>
  </si>
  <si>
    <t>Grua 20ton</t>
  </si>
  <si>
    <t>Gastos Indirectos</t>
  </si>
  <si>
    <t>Admin (50%Compras - 50%RRHH)</t>
  </si>
  <si>
    <t>Seguros</t>
  </si>
  <si>
    <t>IIBB (monto venta obra gris)</t>
  </si>
  <si>
    <t>Imp cheque</t>
  </si>
  <si>
    <t>Contrato</t>
  </si>
  <si>
    <t>Monto puesto en Ayuda de gremio que no se eroga</t>
  </si>
  <si>
    <t>Total de Gastos Generales</t>
  </si>
  <si>
    <t>Otro</t>
  </si>
  <si>
    <t>Corralon</t>
  </si>
  <si>
    <t>Subcontratos</t>
  </si>
  <si>
    <t>Mano de obra</t>
  </si>
  <si>
    <t>A</t>
  </si>
  <si>
    <t>GG</t>
  </si>
  <si>
    <t>Imprevistos + Negciacion</t>
  </si>
  <si>
    <t>Beneficio</t>
  </si>
  <si>
    <t>B</t>
  </si>
  <si>
    <t>K</t>
  </si>
  <si>
    <t>A+B</t>
  </si>
  <si>
    <t>Cuenta</t>
  </si>
  <si>
    <t>Desc Cuenta</t>
  </si>
  <si>
    <t>Fecha Asiento</t>
  </si>
  <si>
    <t>Nº Asiento</t>
  </si>
  <si>
    <t>Observaciones</t>
  </si>
  <si>
    <t>Cliente/Proveedor</t>
  </si>
  <si>
    <t>Cód Comprobante</t>
  </si>
  <si>
    <t>Nº Comprobante</t>
  </si>
  <si>
    <t>Debe</t>
  </si>
  <si>
    <t>Haber</t>
  </si>
  <si>
    <t>Unidad</t>
  </si>
  <si>
    <t>Desc Unidad</t>
  </si>
  <si>
    <t>Centro de Costo</t>
  </si>
  <si>
    <t>Desc Centro Costo</t>
  </si>
  <si>
    <t>Saldo Inicial</t>
  </si>
  <si>
    <t>Observaciones original</t>
  </si>
  <si>
    <t>mov_id</t>
  </si>
  <si>
    <t>mov_tipo</t>
  </si>
  <si>
    <t>Obra civil Reforma</t>
  </si>
  <si>
    <t xml:space="preserve">Obras - SVD HOUSE S.R.L.      </t>
  </si>
  <si>
    <t>SVD HOUSE S.R.L.</t>
  </si>
  <si>
    <t>FAWS</t>
  </si>
  <si>
    <t>DESA</t>
  </si>
  <si>
    <t>Desarrollos</t>
  </si>
  <si>
    <t xml:space="preserve">SALVA4140      </t>
  </si>
  <si>
    <t>El Salvador 4140</t>
  </si>
  <si>
    <t>Otros ingresos</t>
  </si>
  <si>
    <t xml:space="preserve">SVD House SRL-Pto 1 Cert 8    </t>
  </si>
  <si>
    <t xml:space="preserve">  </t>
  </si>
  <si>
    <t>OIXX</t>
  </si>
  <si>
    <t xml:space="preserve">SVD House SRL-Pto. 2 Cert 1   </t>
  </si>
  <si>
    <t xml:space="preserve">SVD House SRL                 </t>
  </si>
  <si>
    <t xml:space="preserve">SVD House SRL - Certif.       </t>
  </si>
  <si>
    <t>SVD HOUSE SRL - Certif. #7 Pto</t>
  </si>
  <si>
    <t>SVD HOUSE SRL - Certif. #2 Pto</t>
  </si>
  <si>
    <t>Sueldos</t>
  </si>
  <si>
    <t>Nelson Aguilera-Premio Hormigo</t>
  </si>
  <si>
    <t>OPXX</t>
  </si>
  <si>
    <t>Gastos en personal</t>
  </si>
  <si>
    <t>Gastos en Personales - Abrafer</t>
  </si>
  <si>
    <t>Abrafer S.R.L.</t>
  </si>
  <si>
    <t>FCA3</t>
  </si>
  <si>
    <t>Internet</t>
  </si>
  <si>
    <t>Internet - Telecom Argentina S</t>
  </si>
  <si>
    <t>Telecom Argentina S.A.</t>
  </si>
  <si>
    <t>Librería</t>
  </si>
  <si>
    <t xml:space="preserve">LIBRERIA - D&amp;D PAPELERA SRL   </t>
  </si>
  <si>
    <t>D&amp;D PAPELERA SRL</t>
  </si>
  <si>
    <t>TIQA</t>
  </si>
  <si>
    <t>Supermercados</t>
  </si>
  <si>
    <t xml:space="preserve">Supermercados                 </t>
  </si>
  <si>
    <t>Aguas</t>
  </si>
  <si>
    <t xml:space="preserve">Aguas - La Estradense SRL     </t>
  </si>
  <si>
    <t>La Estradense SRL</t>
  </si>
  <si>
    <t>H. Seguridad e Higiene</t>
  </si>
  <si>
    <t>Honorarios Seguridad e Higiene</t>
  </si>
  <si>
    <t>Petrini David Osvaldo</t>
  </si>
  <si>
    <t xml:space="preserve">David Petrini                 </t>
  </si>
  <si>
    <t xml:space="preserve">David Petrini - S&amp;H           </t>
  </si>
  <si>
    <t>Petrini Omar Daniel</t>
  </si>
  <si>
    <t xml:space="preserve">FC3 </t>
  </si>
  <si>
    <t xml:space="preserve">Petrini David                 </t>
  </si>
  <si>
    <t>PETRINI MATAFUEGOS</t>
  </si>
  <si>
    <t xml:space="preserve">Diesel 500 B 0 - YPF S.A.     </t>
  </si>
  <si>
    <t>YPF S.A.</t>
  </si>
  <si>
    <t>Infinia Diesel B 10 - YPF S.A.</t>
  </si>
  <si>
    <t xml:space="preserve">Infinia E 12 - YPF S.A.       </t>
  </si>
  <si>
    <t xml:space="preserve">ITC - YPF S.A.                </t>
  </si>
  <si>
    <t xml:space="preserve">ICO2 - YPF S.A.               </t>
  </si>
  <si>
    <t xml:space="preserve">Diesel B11 - YPF S.A.         </t>
  </si>
  <si>
    <t xml:space="preserve">Nafta Infinia E12 - YPF S.A.  </t>
  </si>
  <si>
    <t xml:space="preserve">ICO - YPF S.A.                </t>
  </si>
  <si>
    <t xml:space="preserve">Lavadero                      </t>
  </si>
  <si>
    <t xml:space="preserve">Infinie E12 - YPF S.A.        </t>
  </si>
  <si>
    <t xml:space="preserve">Diesel B10 - YPF S.A.         </t>
  </si>
  <si>
    <t xml:space="preserve">Infinia E12 - YPF S.A.        </t>
  </si>
  <si>
    <t xml:space="preserve">Nafta                         </t>
  </si>
  <si>
    <t>Combustible General - YPF S.A.</t>
  </si>
  <si>
    <t xml:space="preserve">ICL - YPF S.A.                </t>
  </si>
  <si>
    <t xml:space="preserve">IDC - YPF S.A.                </t>
  </si>
  <si>
    <t xml:space="preserve">TASA VIAL - YPF S.A.          </t>
  </si>
  <si>
    <t xml:space="preserve">Estacionamiento               </t>
  </si>
  <si>
    <t xml:space="preserve">OPG </t>
  </si>
  <si>
    <t>Flete - ROBLES EDUARDO NICOLAS</t>
  </si>
  <si>
    <t>ROBLES EDUARDO NICOLAS</t>
  </si>
  <si>
    <t>Fletes - ROBLES EDUARDO NICOLA</t>
  </si>
  <si>
    <t xml:space="preserve">Infinia Diesel - YPF S.A.     </t>
  </si>
  <si>
    <t xml:space="preserve">Nafta Infinia - YPF S.A.      </t>
  </si>
  <si>
    <t>Combustible General - DEHEZA S</t>
  </si>
  <si>
    <t>DEHEZA S.A.I.C.F.e I.</t>
  </si>
  <si>
    <t>Ajuste por Redondeo</t>
  </si>
  <si>
    <t>Ajuste por redondeo - Electrop</t>
  </si>
  <si>
    <t>Electropelba</t>
  </si>
  <si>
    <t>Ajuste por redondeo - Sanitriu</t>
  </si>
  <si>
    <t>Sanitriun S.R.L</t>
  </si>
  <si>
    <t>Ajuste por redondeo - CUTULI H</t>
  </si>
  <si>
    <t>CUTULI HNOS S.A.</t>
  </si>
  <si>
    <t>Ajuste por redondeo - DEHEZA S</t>
  </si>
  <si>
    <t>Ajuste por redondeo - THOMAS J</t>
  </si>
  <si>
    <t>THOMAS JOAQUIN ANDRES</t>
  </si>
  <si>
    <t xml:space="preserve">CERCO DE OBRA TODAS LAS OBRAS </t>
  </si>
  <si>
    <t>Trotta Gabriel Guido</t>
  </si>
  <si>
    <t>HORMIGON MT - GIORGELLI MARCEL</t>
  </si>
  <si>
    <t>GIORGELLI MARCELO ADRIAN</t>
  </si>
  <si>
    <t>NCA3</t>
  </si>
  <si>
    <t>HORMIGON MT - Palermo Material</t>
  </si>
  <si>
    <t>Palermo Materiales SA</t>
  </si>
  <si>
    <t>Desencofrante - CUTULI HNOS S.</t>
  </si>
  <si>
    <t>Alquiler de vent y deshumidi -</t>
  </si>
  <si>
    <t>KORAC S.R.L</t>
  </si>
  <si>
    <t xml:space="preserve">Marcelo Schulze - Endurecedor </t>
  </si>
  <si>
    <t xml:space="preserve">Marcelo Schulze - Anticipo    </t>
  </si>
  <si>
    <t xml:space="preserve">Marcelo Schulze - Certif. #1  </t>
  </si>
  <si>
    <t xml:space="preserve">Marcelo Schulze - Certif. #2  </t>
  </si>
  <si>
    <t xml:space="preserve">Materiales Palermo-Acopio SVD </t>
  </si>
  <si>
    <t>ALBAÑILERIA MT - Ecometal S.R.</t>
  </si>
  <si>
    <t>Ecometal S.R.L</t>
  </si>
  <si>
    <t>Trabajos complementarios - Tro</t>
  </si>
  <si>
    <t>ALBAÑILERIA MT - CUTULI HNOS S</t>
  </si>
  <si>
    <t>ALBAÑILERIA MT - Vitroblock sa</t>
  </si>
  <si>
    <t>Vitroblock sa</t>
  </si>
  <si>
    <t xml:space="preserve">Yeso - CUTULI HNOS S.A.       </t>
  </si>
  <si>
    <t>Membrana - Cisilotto Hnos. SAC</t>
  </si>
  <si>
    <t>Cisilotto Hnos. SACIFI</t>
  </si>
  <si>
    <t xml:space="preserve">Revoque - Alpeba S.A.         </t>
  </si>
  <si>
    <t>Alpeba S.A.</t>
  </si>
  <si>
    <t>ALBAÑILERIA MT - CALERA EL OMB</t>
  </si>
  <si>
    <t>CALERA EL OMBU S.A.</t>
  </si>
  <si>
    <t>ALBAÑILERIA MT - Palermo Mater</t>
  </si>
  <si>
    <t xml:space="preserve">ALBAÑILERIA MT - KORAC S.R.L  </t>
  </si>
  <si>
    <t xml:space="preserve">Oro Gris                      </t>
  </si>
  <si>
    <t xml:space="preserve">Oro Gris S.A.                 </t>
  </si>
  <si>
    <t>Oro Gris S.A.</t>
  </si>
  <si>
    <t xml:space="preserve">OP  </t>
  </si>
  <si>
    <t>ALBAÑILERIA MT - Oscar Dagnino</t>
  </si>
  <si>
    <t>Oscar Dagnino y Oscar Dagnino S.H.</t>
  </si>
  <si>
    <t>Alquiler de bomba - CONSTRUCCI</t>
  </si>
  <si>
    <t>CONSTRUCCIONES Y SERVICIOS GARAY SRL</t>
  </si>
  <si>
    <t xml:space="preserve">2Q 10-2025 - Obra El Salvador </t>
  </si>
  <si>
    <t xml:space="preserve">2Q 10-25-Santacr Recal-SERENO </t>
  </si>
  <si>
    <t>1Q 11-25-Recald Silvino-SERENO</t>
  </si>
  <si>
    <t xml:space="preserve">1Q 11-2025 - El Salvador      </t>
  </si>
  <si>
    <t>Dif. Quincena Paiva Mariano 1Q</t>
  </si>
  <si>
    <t>2Q 11-25-Recalde Silvino-SEREN</t>
  </si>
  <si>
    <t xml:space="preserve">2Q 11-2025 - Obra El Salvador </t>
  </si>
  <si>
    <t>1Q 12-25-Recalde Silvino-SEREN</t>
  </si>
  <si>
    <t xml:space="preserve">1Q 12-2025 - Obra El Salvador </t>
  </si>
  <si>
    <t>Elvio Cespedes-Ant-Monol y rev</t>
  </si>
  <si>
    <t>2Q 12-2025 - Benitez Peralta T</t>
  </si>
  <si>
    <t xml:space="preserve">2Q 12-25-Benitez Peralta Juan </t>
  </si>
  <si>
    <t xml:space="preserve">2Q 12-2025 - Obra SVD         </t>
  </si>
  <si>
    <t>2Q 12-25-Recalde Silvino-SEREN</t>
  </si>
  <si>
    <t xml:space="preserve">Elvio Cespedes - Certif. #1 - </t>
  </si>
  <si>
    <t xml:space="preserve">1Q 01-2026 - Obra El Salvador </t>
  </si>
  <si>
    <t>1Q 01-2026 - SERENO - Santacru</t>
  </si>
  <si>
    <t xml:space="preserve">2Q 01-2026 - Obra El Salvador </t>
  </si>
  <si>
    <t xml:space="preserve">2Q 02-2026 - El Salvador      </t>
  </si>
  <si>
    <t xml:space="preserve">1Q 03-2026 - Obra Salvador    </t>
  </si>
  <si>
    <t xml:space="preserve">Elvio Cespedes - Certif. #5   </t>
  </si>
  <si>
    <t xml:space="preserve">2Q 03-2026 - El Salvador      </t>
  </si>
  <si>
    <t xml:space="preserve">1Q 04-2026                    </t>
  </si>
  <si>
    <t>1Q 4-26-Santacruz Recal SERENO</t>
  </si>
  <si>
    <t xml:space="preserve">2Q 04-2026 - SVD              </t>
  </si>
  <si>
    <t xml:space="preserve">1Q 05-2026 - SVD              </t>
  </si>
  <si>
    <t xml:space="preserve">DURLOCK MT - Alpeba S.A.      </t>
  </si>
  <si>
    <t xml:space="preserve">DURLOCK MT - CUTULI HNOS S.A. </t>
  </si>
  <si>
    <t xml:space="preserve">Yeso - Alpeba S.A.            </t>
  </si>
  <si>
    <t xml:space="preserve">Elvio Cespedes - Certif. #2 - </t>
  </si>
  <si>
    <t xml:space="preserve">Elvio Cespedes - Yesero       </t>
  </si>
  <si>
    <t>Cespedes Elvio - Yesero - Cert</t>
  </si>
  <si>
    <t xml:space="preserve">Elvio Cespedes - Certif. #6   </t>
  </si>
  <si>
    <t>Elvio Cespedes - Yeso - Certif</t>
  </si>
  <si>
    <t xml:space="preserve">Elvio Cespedes - Certif. #8   </t>
  </si>
  <si>
    <t>Elvio Cespedes - Certif. # Dif</t>
  </si>
  <si>
    <t xml:space="preserve">Elvio Cespedes - Certif. #8 - </t>
  </si>
  <si>
    <t>Elvio Cespedes - Certif. #10 -</t>
  </si>
  <si>
    <t>REVESTIMIENTO MT - CALERA EL O</t>
  </si>
  <si>
    <t>REVESTIMIENTO MT - PROKRETE AR</t>
  </si>
  <si>
    <t>PROKRETE ARGENTINA SA</t>
  </si>
  <si>
    <t>REVESTIMIENTO MT - CUTULI HNOS</t>
  </si>
  <si>
    <t xml:space="preserve">Cespedes Elvio - Certif. #4   </t>
  </si>
  <si>
    <t>PINTURA MT - THOMAS JOAQUIN AN</t>
  </si>
  <si>
    <t>SANITARIA MT - Industrias Edig</t>
  </si>
  <si>
    <t>Industrias Edigma SRL</t>
  </si>
  <si>
    <t xml:space="preserve">SANITARIA MT - THOMAS JOAQUIN </t>
  </si>
  <si>
    <t>SANITARIA MT - Acopio - Sanita</t>
  </si>
  <si>
    <t>Sanitarios Panamericana S.A.</t>
  </si>
  <si>
    <t>SANITARIA MT - Sanitarios Pana</t>
  </si>
  <si>
    <t>SANITARIA MT - Sanitriun S.R.L</t>
  </si>
  <si>
    <t>SANITARIA MT - SANITARIOS RODR</t>
  </si>
  <si>
    <t>SANITARIOS RODRIGUEZ SH</t>
  </si>
  <si>
    <t>SANITARIA MT - Mansilla Derqui</t>
  </si>
  <si>
    <t>Mansilla Derqui S.A</t>
  </si>
  <si>
    <t xml:space="preserve">Ezequiel Mendoza - Gestor GAS </t>
  </si>
  <si>
    <t xml:space="preserve">Ezequiel Mendoza - Gestor Gas </t>
  </si>
  <si>
    <t>Ezequiel Mendoza - Saldo Gas 8</t>
  </si>
  <si>
    <t xml:space="preserve">ELECTRICO MT - Electropelba   </t>
  </si>
  <si>
    <t xml:space="preserve">ELECTRICO MT - THOMAS JOAQUIN </t>
  </si>
  <si>
    <t>ELECTRICO MT - Casa Castelao S</t>
  </si>
  <si>
    <t>Casa Castelao S.A.</t>
  </si>
  <si>
    <t xml:space="preserve">ELECTRICO MT - OSCAR GARCIA Y </t>
  </si>
  <si>
    <t>OSCAR GARCIA Y VERONICA MEZA</t>
  </si>
  <si>
    <t xml:space="preserve">Silvio Aguirre - Certif. #4   </t>
  </si>
  <si>
    <t xml:space="preserve">Silvio Aguirre - Certif. #6   </t>
  </si>
  <si>
    <t xml:space="preserve">Silvio Aguirre - Certif. #5   </t>
  </si>
  <si>
    <t xml:space="preserve">Silvio Aguirre - Certif. #8 - </t>
  </si>
  <si>
    <t xml:space="preserve">Silvio Aguirre - Certif. #9   </t>
  </si>
  <si>
    <t xml:space="preserve">Silvio Aguirre - Certif. #10  </t>
  </si>
  <si>
    <t xml:space="preserve">Silvio Aguirre - Certif. #11  </t>
  </si>
  <si>
    <t xml:space="preserve">Volquetes                     </t>
  </si>
  <si>
    <t>CARTEL - DESSINS CARTELERIA S.</t>
  </si>
  <si>
    <t>DESSINS CARTELERIA S.R.L</t>
  </si>
  <si>
    <t>Varios Ferreteria</t>
  </si>
  <si>
    <t>Varios Ferreteria - Abrafer S.</t>
  </si>
  <si>
    <t xml:space="preserve">Varios Ferreteria             </t>
  </si>
  <si>
    <t>Varios Ferreteria - THOMAS JOA</t>
  </si>
  <si>
    <t>Varios Ferreteria - Grupo Ridi</t>
  </si>
  <si>
    <t>Grupo Ridigas SRL</t>
  </si>
  <si>
    <t xml:space="preserve">Varios Ferreteria - FACAM SA  </t>
  </si>
  <si>
    <t>FACAM SA</t>
  </si>
  <si>
    <t>Varios Ferreteria - PEREYRA DI</t>
  </si>
  <si>
    <t>PEREYRA DIEGO HERNAN</t>
  </si>
  <si>
    <t>Varios Ferreteria - Sabatini D</t>
  </si>
  <si>
    <t>Sabatini Daniel Gerardo y Diamantini Luciano</t>
  </si>
  <si>
    <t xml:space="preserve">AACC Silva Marcelo Cert#1 SVD </t>
  </si>
  <si>
    <t xml:space="preserve">Marcelo Silva - Certif. #2    </t>
  </si>
  <si>
    <t xml:space="preserve">Marcelo Silva - Certif. #3    </t>
  </si>
  <si>
    <t xml:space="preserve">Marcelo Silva - Certif. #4    </t>
  </si>
  <si>
    <t>Total</t>
  </si>
  <si>
    <t>Partida</t>
  </si>
  <si>
    <t>Tipo</t>
  </si>
  <si>
    <t>Subtipo</t>
  </si>
  <si>
    <t>Cod_Insumo</t>
  </si>
  <si>
    <t>Unidad de medida</t>
  </si>
  <si>
    <t>%Desp</t>
  </si>
  <si>
    <t>Precio</t>
  </si>
  <si>
    <t>Costo</t>
  </si>
  <si>
    <t>Clave</t>
  </si>
  <si>
    <t>Count</t>
  </si>
  <si>
    <t>Clave2</t>
  </si>
  <si>
    <t>Rend. Part.</t>
  </si>
  <si>
    <t>Cant MO/ALB Unit</t>
  </si>
  <si>
    <t>Cant. Ej. Part.</t>
  </si>
  <si>
    <t>Cant MO/ALB Total</t>
  </si>
  <si>
    <t>Cod_Item_Ppto</t>
  </si>
  <si>
    <t>Rubro</t>
  </si>
  <si>
    <t>PTO-0102</t>
  </si>
  <si>
    <t>MO</t>
  </si>
  <si>
    <t>OTR</t>
  </si>
  <si>
    <t>SUB-0001</t>
  </si>
  <si>
    <t>JEFE DE OBRA</t>
  </si>
  <si>
    <t>j</t>
  </si>
  <si>
    <t>PTO-0102|MO</t>
  </si>
  <si>
    <t>PTO-0102|MO|1</t>
  </si>
  <si>
    <t>ALB</t>
  </si>
  <si>
    <t>MO-AYU</t>
  </si>
  <si>
    <t>AYUDANTE</t>
  </si>
  <si>
    <t>PTO-0102|MO|2</t>
  </si>
  <si>
    <t>EQ-0001</t>
  </si>
  <si>
    <t>Herramientas/consumibles - Topógrafo - Visita de obra replanteo</t>
  </si>
  <si>
    <t>PTO-0102|EQ</t>
  </si>
  <si>
    <t>PTO-0102|EQ|1</t>
  </si>
  <si>
    <t>MAT</t>
  </si>
  <si>
    <t>CONS</t>
  </si>
  <si>
    <t>MAT-CONS</t>
  </si>
  <si>
    <t>Consumibles</t>
  </si>
  <si>
    <t>PTO-0102|MAT</t>
  </si>
  <si>
    <t>PTO-0102|MAT|1</t>
  </si>
  <si>
    <t>PTO-0104</t>
  </si>
  <si>
    <t>MAT-0001</t>
  </si>
  <si>
    <t>C. CIN. T101 ESP 0,50 MM (C25)</t>
  </si>
  <si>
    <t>PTO-0104|MAT</t>
  </si>
  <si>
    <t>PTO-0104|MAT|1</t>
  </si>
  <si>
    <t>MAT-0002</t>
  </si>
  <si>
    <t>Peril UPN 100 x 12 m</t>
  </si>
  <si>
    <t>PTO-0104|MAT|2</t>
  </si>
  <si>
    <t>MAT-0003</t>
  </si>
  <si>
    <t>Tubo estructural 40 x 40 x 2, Largo 6 metros</t>
  </si>
  <si>
    <t>PTO-0104|MAT|3</t>
  </si>
  <si>
    <t>MAT-0004</t>
  </si>
  <si>
    <t>Riel Roma 174 e: 2,1 mm. 53 x 60 x 6000</t>
  </si>
  <si>
    <t>PTO-0104|MAT|4</t>
  </si>
  <si>
    <t>MAT-0005</t>
  </si>
  <si>
    <t>Carro acero 174 4 ruedas puertas portones Ø45mm</t>
  </si>
  <si>
    <t>PTO-0104|MAT|5</t>
  </si>
  <si>
    <t>MAT-0006</t>
  </si>
  <si>
    <t>Autoperforantes punta mecha 14 x 2</t>
  </si>
  <si>
    <t>PTO-0104|MAT|6</t>
  </si>
  <si>
    <t>MAT-0007</t>
  </si>
  <si>
    <t>Rollo Concertina</t>
  </si>
  <si>
    <t>PTO-0104|MAT|7</t>
  </si>
  <si>
    <t>MO-OFI</t>
  </si>
  <si>
    <t>OFICIAL</t>
  </si>
  <si>
    <t>PTO-0104|MO</t>
  </si>
  <si>
    <t>PTO-0104|MO|1</t>
  </si>
  <si>
    <t>MO-MED</t>
  </si>
  <si>
    <t>MEDIO OFICIAL</t>
  </si>
  <si>
    <t>PTO-0104|MO|2</t>
  </si>
  <si>
    <t>PTO-0104|MO|3</t>
  </si>
  <si>
    <t>EQ-0002</t>
  </si>
  <si>
    <t xml:space="preserve">Herramientas/consumibles - Cerco de obra perimetral - En chapa C25 </t>
  </si>
  <si>
    <t>PTO-0104|EQ</t>
  </si>
  <si>
    <t>PTO-0104|EQ|1</t>
  </si>
  <si>
    <t>PTO-0104|MAT|8</t>
  </si>
  <si>
    <t>PTO-0105</t>
  </si>
  <si>
    <t>MAT-0008</t>
  </si>
  <si>
    <t>PTO-0105|MAT</t>
  </si>
  <si>
    <t>PTO-0105|MAT|1</t>
  </si>
  <si>
    <t>MAT-0009</t>
  </si>
  <si>
    <t>Precio fenolico comun e: 18 mm</t>
  </si>
  <si>
    <t>PTO-0105|MAT|2</t>
  </si>
  <si>
    <t>MAT-0010</t>
  </si>
  <si>
    <t>Tabla 4 x 1 x 3,6 Saligna bruto</t>
  </si>
  <si>
    <t>PTO-0105|MAT|3</t>
  </si>
  <si>
    <t>MAT-0011</t>
  </si>
  <si>
    <t>Tirante 3 x 3 x 3,6 Saligna bruto</t>
  </si>
  <si>
    <t>PTO-0105|MAT|4</t>
  </si>
  <si>
    <t>MAT-0012</t>
  </si>
  <si>
    <t>Flechas 3 x 6 x 3,7 - Reutilizado (estimado 3 usos)</t>
  </si>
  <si>
    <t>PTO-0105|MAT|5</t>
  </si>
  <si>
    <t>MAT-0013</t>
  </si>
  <si>
    <t>Escalera</t>
  </si>
  <si>
    <t>PTO-0105|MAT|6</t>
  </si>
  <si>
    <t>SUB-0002</t>
  </si>
  <si>
    <t>Flete madera</t>
  </si>
  <si>
    <t>PTO-0105|MO</t>
  </si>
  <si>
    <t>PTO-0105|MO|1</t>
  </si>
  <si>
    <t>COR</t>
  </si>
  <si>
    <t>MAT-0014</t>
  </si>
  <si>
    <t>Materiales varios</t>
  </si>
  <si>
    <t>PTO-0105|MAT|7</t>
  </si>
  <si>
    <t>MO-ESP</t>
  </si>
  <si>
    <t>ESPECIALIZADO</t>
  </si>
  <si>
    <t>PTO-0105|MO|2</t>
  </si>
  <si>
    <t>PTO-0105|MO|3</t>
  </si>
  <si>
    <t>PTO-0105|MO|4</t>
  </si>
  <si>
    <t>PTO-0105|MO|5</t>
  </si>
  <si>
    <t>MAT-0015</t>
  </si>
  <si>
    <t>Rollo de cable TPR 3 x 2,5</t>
  </si>
  <si>
    <t>PTO-0105|MAT|8</t>
  </si>
  <si>
    <t>MAT-0016</t>
  </si>
  <si>
    <t>Zocalo E27</t>
  </si>
  <si>
    <t>PTO-0105|MAT|9</t>
  </si>
  <si>
    <t>MAT-0017</t>
  </si>
  <si>
    <t>Lampara Led 12 w</t>
  </si>
  <si>
    <t>PTO-0105|MAT|10</t>
  </si>
  <si>
    <t>MAT-0018</t>
  </si>
  <si>
    <t>Mat. Elect. (tomas, enchufes, etc.)</t>
  </si>
  <si>
    <t>PTO-0105|MAT|11</t>
  </si>
  <si>
    <t>MAT-0019</t>
  </si>
  <si>
    <t>Materiales Sanit</t>
  </si>
  <si>
    <t>PTO-0105|MAT|12</t>
  </si>
  <si>
    <t>MAT-0020</t>
  </si>
  <si>
    <t>Inodoro</t>
  </si>
  <si>
    <t>PTO-0105|MAT|13</t>
  </si>
  <si>
    <t>MAT-0021</t>
  </si>
  <si>
    <t>Mochila plastico</t>
  </si>
  <si>
    <t>PTO-0105|MAT|14</t>
  </si>
  <si>
    <t>MAT-0022</t>
  </si>
  <si>
    <t>Bacha</t>
  </si>
  <si>
    <t>PTO-0105|MAT|15</t>
  </si>
  <si>
    <t>MAT-0023</t>
  </si>
  <si>
    <t>Termo electrico 40 lts</t>
  </si>
  <si>
    <t>PTO-0105|MAT|16</t>
  </si>
  <si>
    <t>EQ-0003</t>
  </si>
  <si>
    <t>Herramientas/consumibles - Obrador colgante, pañol y ducha</t>
  </si>
  <si>
    <t>PTO-0105|EQ</t>
  </si>
  <si>
    <t>PTO-0105|EQ|1</t>
  </si>
  <si>
    <t>PTO-0106</t>
  </si>
  <si>
    <t>SUB-0003</t>
  </si>
  <si>
    <t>Baño portatil / Ducha</t>
  </si>
  <si>
    <t>PTO-0106|MO</t>
  </si>
  <si>
    <t>PTO-0106|MO|1</t>
  </si>
  <si>
    <t>SUB-0004</t>
  </si>
  <si>
    <t>Traslado flete entrega/ retiro</t>
  </si>
  <si>
    <t>PTO-0106|MO|2</t>
  </si>
  <si>
    <t>PTO-0107</t>
  </si>
  <si>
    <t>MAT-0024</t>
  </si>
  <si>
    <t>Pilar de obra, albañileria</t>
  </si>
  <si>
    <t>PTO-0107|MAT</t>
  </si>
  <si>
    <t>PTO-0107|MAT|1</t>
  </si>
  <si>
    <t>PTO-0107|MO</t>
  </si>
  <si>
    <t>PTO-0107|MO|1</t>
  </si>
  <si>
    <t>PTO-0107|MO|2</t>
  </si>
  <si>
    <t>MAT-0025</t>
  </si>
  <si>
    <t>Kit medidor pilar Edenor Conextube</t>
  </si>
  <si>
    <t>PTO-0107|MAT|2</t>
  </si>
  <si>
    <t>MAT-0026</t>
  </si>
  <si>
    <t>Kit jabalina + caja + toma cable</t>
  </si>
  <si>
    <t>PTO-0107|MAT|3</t>
  </si>
  <si>
    <t>MAT-0027</t>
  </si>
  <si>
    <t>Cable subterraneo 5 x 10 mm2</t>
  </si>
  <si>
    <t>PTO-0107|MAT|4</t>
  </si>
  <si>
    <t>MAT-0028</t>
  </si>
  <si>
    <t>Tablero de obra</t>
  </si>
  <si>
    <t>PTO-0107|MAT|5</t>
  </si>
  <si>
    <t>PTO-0107|MO|3</t>
  </si>
  <si>
    <t>EQ-0004</t>
  </si>
  <si>
    <t>Herramientas/consumibles - Conexión pilar y luz de obra + Tablero d</t>
  </si>
  <si>
    <t>PTO-0107|EQ</t>
  </si>
  <si>
    <t>PTO-0107|EQ|1</t>
  </si>
  <si>
    <t>PTO-0108</t>
  </si>
  <si>
    <t>MAT-0029</t>
  </si>
  <si>
    <t>Tanque de Bombeo 500 lts (reutilizado)</t>
  </si>
  <si>
    <t>PTO-0108|MAT</t>
  </si>
  <si>
    <t>PTO-0108|MAT|1</t>
  </si>
  <si>
    <t>MAT-0030</t>
  </si>
  <si>
    <t>Bomba pres (reutilizada)</t>
  </si>
  <si>
    <t>PTO-0108|MAT|2</t>
  </si>
  <si>
    <t>MAT-0031</t>
  </si>
  <si>
    <t>Flotante mecanico 1" + boya</t>
  </si>
  <si>
    <t>PTO-0108|MAT|3</t>
  </si>
  <si>
    <t>MAT-0032</t>
  </si>
  <si>
    <t>Flotante automatico</t>
  </si>
  <si>
    <t>PTO-0108|MAT|4</t>
  </si>
  <si>
    <t>MAT-0033</t>
  </si>
  <si>
    <t>Caño 3/4"</t>
  </si>
  <si>
    <t>PTO-0108|MAT|5</t>
  </si>
  <si>
    <t>MAT-0034</t>
  </si>
  <si>
    <t>Val. esf doble media union 1"</t>
  </si>
  <si>
    <t>PTO-0108|MAT|6</t>
  </si>
  <si>
    <t>MAT-0035</t>
  </si>
  <si>
    <t>Canilla de pvc</t>
  </si>
  <si>
    <t>PTO-0108|MAT|7</t>
  </si>
  <si>
    <t>MAT-0036</t>
  </si>
  <si>
    <t>Desperdicio</t>
  </si>
  <si>
    <t>PTO-0108|MAT|8</t>
  </si>
  <si>
    <t>PTO-0108|MO</t>
  </si>
  <si>
    <t>PTO-0108|MO|1</t>
  </si>
  <si>
    <t>PTO-0108|MO|2</t>
  </si>
  <si>
    <t>EQ-0005</t>
  </si>
  <si>
    <t>Herramientas/consumibles - Conexión agua de obra, tanque + bomba</t>
  </si>
  <si>
    <t>PTO-0108|EQ</t>
  </si>
  <si>
    <t>PTO-0108|EQ|1</t>
  </si>
  <si>
    <t>PTO-0109</t>
  </si>
  <si>
    <t>SUB-0005</t>
  </si>
  <si>
    <t>Gestion suministros luz de obra</t>
  </si>
  <si>
    <t>PTO-0109|MO</t>
  </si>
  <si>
    <t>PTO-0109|MO|1</t>
  </si>
  <si>
    <t>SUB-0006</t>
  </si>
  <si>
    <t>Luz de Obra</t>
  </si>
  <si>
    <t>PTO-0109|MO|2</t>
  </si>
  <si>
    <t>SUB-0007</t>
  </si>
  <si>
    <t>Medicion PAT luz de obra</t>
  </si>
  <si>
    <t>PTO-0109|MO|3</t>
  </si>
  <si>
    <t>PTO-0110</t>
  </si>
  <si>
    <t>SUB-0008</t>
  </si>
  <si>
    <t>Total de Obra (3 perforaciones)</t>
  </si>
  <si>
    <t>PTO-0110|MO</t>
  </si>
  <si>
    <t>PTO-0110|MO|1</t>
  </si>
  <si>
    <t>PTO-0201</t>
  </si>
  <si>
    <t>SUB-0009</t>
  </si>
  <si>
    <t>Desmonte, retiro, aporte y compactación e: 40 cm</t>
  </si>
  <si>
    <t>PTO-0201|MO</t>
  </si>
  <si>
    <t>PTO-0201|MO|1</t>
  </si>
  <si>
    <t>PTO-0201|MO|2</t>
  </si>
  <si>
    <t>EQ-0006</t>
  </si>
  <si>
    <t xml:space="preserve">Herramientas/consumibles - Excavación a maquina para submuración y </t>
  </si>
  <si>
    <t>PTO-0201|EQ</t>
  </si>
  <si>
    <t>PTO-0201|EQ|1</t>
  </si>
  <si>
    <t>PTO-0203</t>
  </si>
  <si>
    <t>PTO-0203|MO</t>
  </si>
  <si>
    <t>PTO-0203|MO|1</t>
  </si>
  <si>
    <t>PTO-0301</t>
  </si>
  <si>
    <t>MAT-0037</t>
  </si>
  <si>
    <t>H13 6.20</t>
  </si>
  <si>
    <t>PTO-0301|MAT</t>
  </si>
  <si>
    <t>PTO-0301|MAT|1</t>
  </si>
  <si>
    <t>MAT-0038</t>
  </si>
  <si>
    <t>Bombeo</t>
  </si>
  <si>
    <t>PTO-0301|MAT|2</t>
  </si>
  <si>
    <t>MAT-0039</t>
  </si>
  <si>
    <t>Acarreo</t>
  </si>
  <si>
    <t>PTO-0301|MAT|3</t>
  </si>
  <si>
    <t>PTO-0301|MO</t>
  </si>
  <si>
    <t>PTO-0301|MO|1</t>
  </si>
  <si>
    <t>EQ-0007</t>
  </si>
  <si>
    <t>Herramientas/consumibles - Hormigón de limpieza - e: 10 cm</t>
  </si>
  <si>
    <t>PTO-0301|EQ</t>
  </si>
  <si>
    <t>PTO-0301|EQ|1</t>
  </si>
  <si>
    <t>PTO-0302</t>
  </si>
  <si>
    <t>MAT-0040</t>
  </si>
  <si>
    <t>Encofrado Tabique submuración - H30 (95 kg/m3 de hierro)</t>
  </si>
  <si>
    <t>PTO-0302|MAT</t>
  </si>
  <si>
    <t>PTO-0302|MAT|1</t>
  </si>
  <si>
    <t>PTO-0302|MO</t>
  </si>
  <si>
    <t>PTO-0302|MO|1</t>
  </si>
  <si>
    <t>PTO-0302|MO|2</t>
  </si>
  <si>
    <t>PTO-0302|MO|3</t>
  </si>
  <si>
    <t>EQ-0008</t>
  </si>
  <si>
    <t xml:space="preserve">Herramientas/consumibles - Tabique submuración - H30 hidrófugo (95 </t>
  </si>
  <si>
    <t>PTO-0302|EQ</t>
  </si>
  <si>
    <t>PTO-0302|EQ|1</t>
  </si>
  <si>
    <t>PTO-0303</t>
  </si>
  <si>
    <t>MAT-0041</t>
  </si>
  <si>
    <t>Encofrado Zapata corrida tabique - H30 (120 kg/m3)</t>
  </si>
  <si>
    <t>PTO-0303|MAT</t>
  </si>
  <si>
    <t>PTO-0303|MAT|1</t>
  </si>
  <si>
    <t>SUB-0010</t>
  </si>
  <si>
    <t>H.A. De vigas de fundación (115kg/m3 de hierro)</t>
  </si>
  <si>
    <t>PTO-0303|MO</t>
  </si>
  <si>
    <t>PTO-0303|MO|1</t>
  </si>
  <si>
    <t>EQ-0009</t>
  </si>
  <si>
    <t>Herramientas/consumibles - Zapata corrida tabique - H30 hidrófugo (</t>
  </si>
  <si>
    <t>PTO-0303|EQ</t>
  </si>
  <si>
    <t>PTO-0303|EQ|1</t>
  </si>
  <si>
    <t>PTO-0304</t>
  </si>
  <si>
    <t>MAT-0042</t>
  </si>
  <si>
    <t>Encofrado Platea - H30 (95 kg/m3 de hierro)</t>
  </si>
  <si>
    <t>PTO-0304|MAT</t>
  </si>
  <si>
    <t>PTO-0304|MAT|1</t>
  </si>
  <si>
    <t>SUB-0011</t>
  </si>
  <si>
    <t>HA. De cabezales (90 kg/m3 de hierro)</t>
  </si>
  <si>
    <t>PTO-0304|MO</t>
  </si>
  <si>
    <t>PTO-0304|MO|1</t>
  </si>
  <si>
    <t>EQ-0010</t>
  </si>
  <si>
    <t>Herramientas/consumibles - Platea - H30 hidrófugo (95 kg/m3 de hier</t>
  </si>
  <si>
    <t>PTO-0304|EQ</t>
  </si>
  <si>
    <t>PTO-0304|EQ|1</t>
  </si>
  <si>
    <t>PTO-0305</t>
  </si>
  <si>
    <t>MAT-0043</t>
  </si>
  <si>
    <t>Encofrado Losa maciza visto - H30 (120 kg/m3 de hierro)</t>
  </si>
  <si>
    <t>PTO-0305|MAT</t>
  </si>
  <si>
    <t>PTO-0305|MAT|1</t>
  </si>
  <si>
    <t>PTO-0305|MO</t>
  </si>
  <si>
    <t>PTO-0305|MO|1</t>
  </si>
  <si>
    <t>PTO-0305|MO|2</t>
  </si>
  <si>
    <t>PTO-0305|MO|3</t>
  </si>
  <si>
    <t>EQ-0011</t>
  </si>
  <si>
    <t>Herramientas/consumibles - Rampa - H30 (120 kg/m3 de hierro)</t>
  </si>
  <si>
    <t>PTO-0305|EQ</t>
  </si>
  <si>
    <t>PTO-0305|EQ|1</t>
  </si>
  <si>
    <t>PTO-0306</t>
  </si>
  <si>
    <t>MAT-0044</t>
  </si>
  <si>
    <t>Encofrado Losa maciza - H30 (120 kg/m3 de hierro)</t>
  </si>
  <si>
    <t>PTO-0306|MAT</t>
  </si>
  <si>
    <t>PTO-0306|MAT|1</t>
  </si>
  <si>
    <t>PTO-0306|MO</t>
  </si>
  <si>
    <t>PTO-0306|MO|1</t>
  </si>
  <si>
    <t>PTO-0306|MO|2</t>
  </si>
  <si>
    <t>PTO-0306|MO|3</t>
  </si>
  <si>
    <t>EQ-0012</t>
  </si>
  <si>
    <t>Herramientas/consumibles - Losa maciza - H30 (110 kg/m3 de hierro)</t>
  </si>
  <si>
    <t>PTO-0306|EQ</t>
  </si>
  <si>
    <t>PTO-0306|EQ|1</t>
  </si>
  <si>
    <t>PTO-0307</t>
  </si>
  <si>
    <t>MAT-0045</t>
  </si>
  <si>
    <t>Encofrado Vigas - H30 (130 kg/m3 de hierro)</t>
  </si>
  <si>
    <t>PTO-0307|MAT</t>
  </si>
  <si>
    <t>PTO-0307|MAT|1</t>
  </si>
  <si>
    <t>PTO-0307|MO</t>
  </si>
  <si>
    <t>PTO-0307|MO|1</t>
  </si>
  <si>
    <t>PTO-0307|MO|2</t>
  </si>
  <si>
    <t>PTO-0307|MO|3</t>
  </si>
  <si>
    <t>EQ-0013</t>
  </si>
  <si>
    <t>Herramientas/consumibles - Vigas - H30 (140 kg/m3 de hierro)</t>
  </si>
  <si>
    <t>PTO-0307|EQ</t>
  </si>
  <si>
    <t>PTO-0307|EQ|1</t>
  </si>
  <si>
    <t>PTO-0308</t>
  </si>
  <si>
    <t>MAT-0046</t>
  </si>
  <si>
    <t>Encofrado Vigas H° visto - H30 (130 kg/m3 de hierro)</t>
  </si>
  <si>
    <t>PTO-0308|MAT</t>
  </si>
  <si>
    <t>PTO-0308|MAT|1</t>
  </si>
  <si>
    <t>PTO-0308|MO</t>
  </si>
  <si>
    <t>PTO-0308|MO|1</t>
  </si>
  <si>
    <t>PTO-0308|MO|2</t>
  </si>
  <si>
    <t>PTO-0308|MO|3</t>
  </si>
  <si>
    <t>EQ-0014</t>
  </si>
  <si>
    <t>Herramientas/consumibles - Vigas de H° visto - H30 (140 kg/m3 de hi</t>
  </si>
  <si>
    <t>PTO-0308|EQ</t>
  </si>
  <si>
    <t>PTO-0308|EQ|1</t>
  </si>
  <si>
    <t>PTO-0309</t>
  </si>
  <si>
    <t>MAT-0047</t>
  </si>
  <si>
    <t>Encofrado Tabique - H30 (140 kg/m3 de hierro)</t>
  </si>
  <si>
    <t>PTO-0309|MAT</t>
  </si>
  <si>
    <t>PTO-0309|MAT|1</t>
  </si>
  <si>
    <t>PTO-0309|MO</t>
  </si>
  <si>
    <t>PTO-0309|MO|1</t>
  </si>
  <si>
    <t>PTO-0309|MO|2</t>
  </si>
  <si>
    <t>PTO-0309|MO|3</t>
  </si>
  <si>
    <t>EQ-0015</t>
  </si>
  <si>
    <t>Herramientas/consumibles - Tabiques - H30 (120 kg/m3 de hierro)</t>
  </si>
  <si>
    <t>PTO-0309|EQ</t>
  </si>
  <si>
    <t>PTO-0309|EQ|1</t>
  </si>
  <si>
    <t>PTO-0310</t>
  </si>
  <si>
    <t>MAT-0048</t>
  </si>
  <si>
    <t>Encofrado Columna - H30 (190 kg/m3 de hierro)</t>
  </si>
  <si>
    <t>PTO-0310|MAT</t>
  </si>
  <si>
    <t>PTO-0310|MAT|1</t>
  </si>
  <si>
    <t>PTO-0310|MO</t>
  </si>
  <si>
    <t>PTO-0310|MO|1</t>
  </si>
  <si>
    <t>PTO-0310|MO|2</t>
  </si>
  <si>
    <t>PTO-0310|MO|3</t>
  </si>
  <si>
    <t>EQ-0016</t>
  </si>
  <si>
    <t>Herramientas/consumibles - Columna - H30 (240 Kg/m3 de hierro)</t>
  </si>
  <si>
    <t>PTO-0310|EQ</t>
  </si>
  <si>
    <t>PTO-0310|EQ|1</t>
  </si>
  <si>
    <t>PTO-0311</t>
  </si>
  <si>
    <t>MAT-0049</t>
  </si>
  <si>
    <t>Encofrado Escalera vista - H30 (105 kg/m3 de hierro)</t>
  </si>
  <si>
    <t>PTO-0311|MAT</t>
  </si>
  <si>
    <t>PTO-0311|MAT|1</t>
  </si>
  <si>
    <t>PTO-0311|MO</t>
  </si>
  <si>
    <t>PTO-0311|MO|1</t>
  </si>
  <si>
    <t>PTO-0311|MO|2</t>
  </si>
  <si>
    <t>PTO-0311|MO|3</t>
  </si>
  <si>
    <t>EQ-0017</t>
  </si>
  <si>
    <t>Herramientas/consumibles - Escaleras - H30 (105 kg/m3 de hierro)</t>
  </si>
  <si>
    <t>PTO-0311|EQ</t>
  </si>
  <si>
    <t>PTO-0311|EQ|1</t>
  </si>
  <si>
    <t>PTO-0312</t>
  </si>
  <si>
    <t>PTO-0312|MAT</t>
  </si>
  <si>
    <t>PTO-0312|MAT|1</t>
  </si>
  <si>
    <t>PTO-0312|MO</t>
  </si>
  <si>
    <t>PTO-0312|MO|1</t>
  </si>
  <si>
    <t>PTO-0312|MO|2</t>
  </si>
  <si>
    <t>PTO-0312|MO|3</t>
  </si>
  <si>
    <t>EQ-0018</t>
  </si>
  <si>
    <t xml:space="preserve">Herramientas/consumibles - Tabiques tanques de H° - H30 (120 kg/m3 </t>
  </si>
  <si>
    <t>PTO-0312|EQ</t>
  </si>
  <si>
    <t>PTO-0312|EQ|1</t>
  </si>
  <si>
    <t>PTO-0313</t>
  </si>
  <si>
    <t>MAT-0050</t>
  </si>
  <si>
    <t>Sika Waterbars V15 x 15 mts</t>
  </si>
  <si>
    <t>PTO-0313|MAT</t>
  </si>
  <si>
    <t>PTO-0313|MAT|1</t>
  </si>
  <si>
    <t>PTO-0314</t>
  </si>
  <si>
    <t>EQ-0019</t>
  </si>
  <si>
    <t>Herramientas/consumibles - Sistema de apuntalamiento y reapuntalami</t>
  </si>
  <si>
    <t>PTO-0314|EQ</t>
  </si>
  <si>
    <t>PTO-0314|EQ|1</t>
  </si>
  <si>
    <t>PTO-0315</t>
  </si>
  <si>
    <t>MAT-0051</t>
  </si>
  <si>
    <t>PTO-0315|MAT</t>
  </si>
  <si>
    <t>PTO-0315|MAT|1</t>
  </si>
  <si>
    <t>PTO-0316</t>
  </si>
  <si>
    <t>MAT-0052</t>
  </si>
  <si>
    <t>PTO-0316|MAT</t>
  </si>
  <si>
    <t>PTO-0316|MAT|1</t>
  </si>
  <si>
    <t>PTO-0317</t>
  </si>
  <si>
    <t>MAT-0053</t>
  </si>
  <si>
    <t>PTO-0317|MAT</t>
  </si>
  <si>
    <t>PTO-0317|MAT|1</t>
  </si>
  <si>
    <t>PTO-0317|MO</t>
  </si>
  <si>
    <t>PTO-0317|MO|1</t>
  </si>
  <si>
    <t>PTO-0317|MO|2</t>
  </si>
  <si>
    <t>EQ-0020</t>
  </si>
  <si>
    <t>Herramientas/consumibles - Picado de medianeras para columnas y vig</t>
  </si>
  <si>
    <t>PTO-0317|EQ</t>
  </si>
  <si>
    <t>PTO-0317|EQ|1</t>
  </si>
  <si>
    <t>PTO-0317|MAT|2</t>
  </si>
  <si>
    <t>PTO-0401</t>
  </si>
  <si>
    <t>MAT-0054</t>
  </si>
  <si>
    <t>LADRILLO CERAMICO 8 x 18 x 33 cm</t>
  </si>
  <si>
    <t>PTO-0401|MAT</t>
  </si>
  <si>
    <t>PTO-0401|MAT|1</t>
  </si>
  <si>
    <t>MAT-0055</t>
  </si>
  <si>
    <t>Barra de Acero Aleteado - 6mm x 12m</t>
  </si>
  <si>
    <t>PTO-0401|MAT|2</t>
  </si>
  <si>
    <t>MAT-0056</t>
  </si>
  <si>
    <t>ARENA LAVADA</t>
  </si>
  <si>
    <t>PTO-0401|MAT|3</t>
  </si>
  <si>
    <t>MAT-0057</t>
  </si>
  <si>
    <t>Cal Comun x 25kg</t>
  </si>
  <si>
    <t>PTO-0401|MAT|4</t>
  </si>
  <si>
    <t>MAT-0058</t>
  </si>
  <si>
    <t>Cemento Portland x 50kg</t>
  </si>
  <si>
    <t>PTO-0401|MAT|5</t>
  </si>
  <si>
    <t>PTO-0401|MO</t>
  </si>
  <si>
    <t>PTO-0401|MO|1</t>
  </si>
  <si>
    <t>PTO-0401|MO|2</t>
  </si>
  <si>
    <t>EQ-0021</t>
  </si>
  <si>
    <t>EQUIPO DE ALBAÑILERIA, carpetas, ladrillo</t>
  </si>
  <si>
    <t>PTO-0401|EQ</t>
  </si>
  <si>
    <t>PTO-0401|EQ|1</t>
  </si>
  <si>
    <t>EQ-0022</t>
  </si>
  <si>
    <t>ANDAMIO TUBULAR DE UNO A TRES CUERPOS</t>
  </si>
  <si>
    <t>PTO-0401|EQ|2</t>
  </si>
  <si>
    <t>EQ-0023</t>
  </si>
  <si>
    <t>Hormigonera De 150 Litros 1hp Con Rueda Maciza</t>
  </si>
  <si>
    <t>PTO-0401|EQ|3</t>
  </si>
  <si>
    <t>PTO-0401|MAT|6</t>
  </si>
  <si>
    <t>PTO-0402</t>
  </si>
  <si>
    <t>MAT-0059</t>
  </si>
  <si>
    <t>Ladrillo hueco ceramico 12x19x33 - Portante</t>
  </si>
  <si>
    <t>PTO-0402|MAT</t>
  </si>
  <si>
    <t>PTO-0402|MAT|1</t>
  </si>
  <si>
    <t>PTO-0402|MAT|2</t>
  </si>
  <si>
    <t>PTO-0402|MAT|3</t>
  </si>
  <si>
    <t>PTO-0402|MAT|4</t>
  </si>
  <si>
    <t>PTO-0402|MAT|5</t>
  </si>
  <si>
    <t>PTO-0402|MO</t>
  </si>
  <si>
    <t>PTO-0402|MO|1</t>
  </si>
  <si>
    <t>PTO-0402|MO|2</t>
  </si>
  <si>
    <t>PTO-0402|EQ</t>
  </si>
  <si>
    <t>PTO-0402|EQ|1</t>
  </si>
  <si>
    <t>PTO-0402|EQ|2</t>
  </si>
  <si>
    <t>PTO-0402|EQ|3</t>
  </si>
  <si>
    <t>PTO-0402|MAT|6</t>
  </si>
  <si>
    <t>PTO-0403</t>
  </si>
  <si>
    <t>PTO-0403|MAT</t>
  </si>
  <si>
    <t>PTO-0403|MAT|1</t>
  </si>
  <si>
    <t>MAT-0060</t>
  </si>
  <si>
    <t>LADRILLO CERAMICO 12 x 18 x 33 cm</t>
  </si>
  <si>
    <t>PTO-0403|MAT|2</t>
  </si>
  <si>
    <t>PTO-0403|MAT|3</t>
  </si>
  <si>
    <t>PTO-0403|MAT|4</t>
  </si>
  <si>
    <t>PTO-0403|MAT|5</t>
  </si>
  <si>
    <t>PTO-0403|MO</t>
  </si>
  <si>
    <t>PTO-0403|MO|1</t>
  </si>
  <si>
    <t>PTO-0403|MO|2</t>
  </si>
  <si>
    <t>PTO-0403|EQ</t>
  </si>
  <si>
    <t>PTO-0403|EQ|1</t>
  </si>
  <si>
    <t>PTO-0403|EQ|2</t>
  </si>
  <si>
    <t>PTO-0403|EQ|3</t>
  </si>
  <si>
    <t>PTO-0403|MAT|6</t>
  </si>
  <si>
    <t>PTO-0404</t>
  </si>
  <si>
    <t>PTO-0404|MAT</t>
  </si>
  <si>
    <t>PTO-0404|MAT|1</t>
  </si>
  <si>
    <t>PTO-0404|MAT|2</t>
  </si>
  <si>
    <t>PTO-0404|MAT|3</t>
  </si>
  <si>
    <t>MAT-0061</t>
  </si>
  <si>
    <t>Ladrillo Comun 12.5 x 5.5 x 25</t>
  </si>
  <si>
    <t>PTO-0404|MAT|4</t>
  </si>
  <si>
    <t>PTO-0404|MAT|5</t>
  </si>
  <si>
    <t>PTO-0404|MO</t>
  </si>
  <si>
    <t>PTO-0404|MO|1</t>
  </si>
  <si>
    <t>PTO-0404|MO|2</t>
  </si>
  <si>
    <t>PTO-0404|EQ</t>
  </si>
  <si>
    <t>PTO-0404|EQ|1</t>
  </si>
  <si>
    <t>PTO-0404|EQ|2</t>
  </si>
  <si>
    <t>PTO-0404|EQ|3</t>
  </si>
  <si>
    <t>PTO-0404|MAT|6</t>
  </si>
  <si>
    <t>PTO-0405</t>
  </si>
  <si>
    <t>PTO-0405|MAT</t>
  </si>
  <si>
    <t>PTO-0405|MAT|1</t>
  </si>
  <si>
    <t>PTO-0405|MAT|2</t>
  </si>
  <si>
    <t>PTO-0405|MAT|3</t>
  </si>
  <si>
    <t>PTO-0405|MAT|4</t>
  </si>
  <si>
    <t>PTO-0405|MAT|5</t>
  </si>
  <si>
    <t>SUB-0012</t>
  </si>
  <si>
    <t>OFICIAL ESPECIALIZADO ALBAÑIL</t>
  </si>
  <si>
    <t>PTO-0405|MO</t>
  </si>
  <si>
    <t>PTO-0405|MO|1</t>
  </si>
  <si>
    <t>SUB-0013</t>
  </si>
  <si>
    <t>AYUDANTE ALBAÑIL</t>
  </si>
  <si>
    <t>PTO-0405|MO|2</t>
  </si>
  <si>
    <t>PTO-0405|MO|3</t>
  </si>
  <si>
    <t>PTO-0405|MO|4</t>
  </si>
  <si>
    <t>PTO-0405|EQ</t>
  </si>
  <si>
    <t>PTO-0405|EQ|1</t>
  </si>
  <si>
    <t>PTO-0405|EQ|2</t>
  </si>
  <si>
    <t>PTO-0405|EQ|3</t>
  </si>
  <si>
    <t>PTO-0405|MAT|6</t>
  </si>
  <si>
    <t>PTO-0406</t>
  </si>
  <si>
    <t>MAT-0062</t>
  </si>
  <si>
    <t>Bloque de Hormigon 19 x 19 x 39</t>
  </si>
  <si>
    <t>PTO-0406|MAT</t>
  </si>
  <si>
    <t>PTO-0406|MAT|1</t>
  </si>
  <si>
    <t>PTO-0406|MAT|2</t>
  </si>
  <si>
    <t>PTO-0406|MAT|3</t>
  </si>
  <si>
    <t>PTO-0406|MAT|4</t>
  </si>
  <si>
    <t>PTO-0406|MAT|5</t>
  </si>
  <si>
    <t>PTO-0406|MO</t>
  </si>
  <si>
    <t>PTO-0406|MO|1</t>
  </si>
  <si>
    <t>PTO-0406|MO|2</t>
  </si>
  <si>
    <t>PTO-0406|MO|3</t>
  </si>
  <si>
    <t>PTO-0406|MO|4</t>
  </si>
  <si>
    <t>PTO-0406|EQ</t>
  </si>
  <si>
    <t>PTO-0406|EQ|1</t>
  </si>
  <si>
    <t>PTO-0406|EQ|2</t>
  </si>
  <si>
    <t>PTO-0406|EQ|3</t>
  </si>
  <si>
    <t>PTO-0406|MAT|6</t>
  </si>
  <si>
    <t>PTO-0407</t>
  </si>
  <si>
    <t>MAT-0063</t>
  </si>
  <si>
    <t>Taco quimico Fischer</t>
  </si>
  <si>
    <t>PTO-0407|MAT</t>
  </si>
  <si>
    <t>PTO-0407|MAT|1</t>
  </si>
  <si>
    <t>MAT-0064</t>
  </si>
  <si>
    <t>Hierro del 6</t>
  </si>
  <si>
    <t>PTO-0407|MAT|2</t>
  </si>
  <si>
    <t>PTO-0407|MAT|3</t>
  </si>
  <si>
    <t>PTO-0407|MO</t>
  </si>
  <si>
    <t>PTO-0407|MO|1</t>
  </si>
  <si>
    <t>PTO-0407|MO|2</t>
  </si>
  <si>
    <t>EQ-0024</t>
  </si>
  <si>
    <t>Herramientas/consumibles - Cordón de hormigón en umbrales carpinter</t>
  </si>
  <si>
    <t>PTO-0407|EQ</t>
  </si>
  <si>
    <t>PTO-0407|EQ|1</t>
  </si>
  <si>
    <t>PTO-0407|MAT|4</t>
  </si>
  <si>
    <t>PTO-0408</t>
  </si>
  <si>
    <t>MAT-0065</t>
  </si>
  <si>
    <t>H30 6.20</t>
  </si>
  <si>
    <t>PTO-0408|MAT</t>
  </si>
  <si>
    <t>PTO-0408|MAT|1</t>
  </si>
  <si>
    <t>MAT-0066</t>
  </si>
  <si>
    <t>PTO-0408|MAT|2</t>
  </si>
  <si>
    <t>PTO-0408|MAT|3</t>
  </si>
  <si>
    <t>MAT-0067</t>
  </si>
  <si>
    <t>Impermeabilizazión - Sika monotop 107</t>
  </si>
  <si>
    <t>PTO-0408|MAT|4</t>
  </si>
  <si>
    <t>PTO-0408|MO</t>
  </si>
  <si>
    <t>PTO-0408|MO|1</t>
  </si>
  <si>
    <t>PTO-0408|MO|2</t>
  </si>
  <si>
    <t>EQ-0025</t>
  </si>
  <si>
    <t>Herramientas/consumibles - Pozo de bombeo pluvial y cloacal</t>
  </si>
  <si>
    <t>PTO-0408|EQ</t>
  </si>
  <si>
    <t>PTO-0408|EQ|1</t>
  </si>
  <si>
    <t>PTO-0408|MAT|5</t>
  </si>
  <si>
    <t>PTO-0501</t>
  </si>
  <si>
    <t>MAT-0068</t>
  </si>
  <si>
    <t>Pintura Asfaltica Asfasol x18ts</t>
  </si>
  <si>
    <t>PTO-0501|MAT</t>
  </si>
  <si>
    <t>PTO-0501|MAT|1</t>
  </si>
  <si>
    <t>MAT-0069</t>
  </si>
  <si>
    <t>Membrana Geotextil Ormiflex 4mm - (35kg) x10m</t>
  </si>
  <si>
    <t>PTO-0501|MAT|2</t>
  </si>
  <si>
    <t>MAT-0070</t>
  </si>
  <si>
    <t>Rodillo de lana pelo largo N°22 - El Galgo</t>
  </si>
  <si>
    <t>PTO-0501|MAT|3</t>
  </si>
  <si>
    <t>MAT-0071</t>
  </si>
  <si>
    <t>Pincel N° 20 - El Galgo</t>
  </si>
  <si>
    <t>PTO-0501|MAT|4</t>
  </si>
  <si>
    <t>MAT-0072</t>
  </si>
  <si>
    <t>Aguarras Hydrarras Hydra x 18lts</t>
  </si>
  <si>
    <t>PTO-0501|MAT|5</t>
  </si>
  <si>
    <t>MAT-0073</t>
  </si>
  <si>
    <t>Trapo</t>
  </si>
  <si>
    <t>PTO-0501|MAT|6</t>
  </si>
  <si>
    <t>MAT-0074</t>
  </si>
  <si>
    <t>Guante vaqueta medio paseo</t>
  </si>
  <si>
    <t>PTO-0501|MAT|7</t>
  </si>
  <si>
    <t>MAT-0075</t>
  </si>
  <si>
    <t>Recarga de garrafa</t>
  </si>
  <si>
    <t>PTO-0501|MAT|8</t>
  </si>
  <si>
    <t>PTO-0501|MO</t>
  </si>
  <si>
    <t>PTO-0501|MO|1</t>
  </si>
  <si>
    <t>PTO-0501|MO|2</t>
  </si>
  <si>
    <t>PTO-0501|MO|3</t>
  </si>
  <si>
    <t>PTO-0501|MO|4</t>
  </si>
  <si>
    <t>EQ-0026</t>
  </si>
  <si>
    <t>Soldador Soplete A Gas Techista Membrana 10 Kg Boca 50mm</t>
  </si>
  <si>
    <t>PTO-0501|EQ</t>
  </si>
  <si>
    <t>PTO-0501|EQ|1</t>
  </si>
  <si>
    <t>PTO-0502</t>
  </si>
  <si>
    <t>PTO-0502|MAT</t>
  </si>
  <si>
    <t>PTO-0502|MAT|1</t>
  </si>
  <si>
    <t>MAT-0076</t>
  </si>
  <si>
    <t>Aditivo Hidrofugo en pasta - Ceresita x 1kg</t>
  </si>
  <si>
    <t>PTO-0502|MAT|2</t>
  </si>
  <si>
    <t>PTO-0502|MAT|3</t>
  </si>
  <si>
    <t>PTO-0502|MO</t>
  </si>
  <si>
    <t>PTO-0502|MO|1</t>
  </si>
  <si>
    <t>PTO-0502|MO|2</t>
  </si>
  <si>
    <t>PTO-0502|EQ</t>
  </si>
  <si>
    <t>PTO-0502|EQ|1</t>
  </si>
  <si>
    <t>PTO-0502|EQ|2</t>
  </si>
  <si>
    <t>PTO-0502|EQ|3</t>
  </si>
  <si>
    <t>PTO-0503</t>
  </si>
  <si>
    <t>PTO-0503|MAT</t>
  </si>
  <si>
    <t>PTO-0503|MAT|1</t>
  </si>
  <si>
    <t>PTO-0503|MAT|2</t>
  </si>
  <si>
    <t>PTO-0503|MAT|3</t>
  </si>
  <si>
    <t>PTO-0503|MO</t>
  </si>
  <si>
    <t>PTO-0503|MO|1</t>
  </si>
  <si>
    <t>PTO-0503|MO|2</t>
  </si>
  <si>
    <t>PTO-0503|EQ</t>
  </si>
  <si>
    <t>PTO-0503|EQ|1</t>
  </si>
  <si>
    <t>PTO-0503|EQ|2</t>
  </si>
  <si>
    <t>PTO-0503|EQ|3</t>
  </si>
  <si>
    <t>PTO-0504</t>
  </si>
  <si>
    <t>MAT-0077</t>
  </si>
  <si>
    <t>Telgopor 1 x 1 x 20 mm densidad 20 kg</t>
  </si>
  <si>
    <t>PTO-0504|MAT</t>
  </si>
  <si>
    <t>PTO-0504|MAT|1</t>
  </si>
  <si>
    <t>PTO-0505</t>
  </si>
  <si>
    <t>PTO-0505|MAT</t>
  </si>
  <si>
    <t>PTO-0505|MAT|1</t>
  </si>
  <si>
    <t>PTO-0505|MAT|2</t>
  </si>
  <si>
    <t>PTO-0505|MAT|3</t>
  </si>
  <si>
    <t>PTO-0505|MAT|4</t>
  </si>
  <si>
    <t>PTO-0505|MAT|5</t>
  </si>
  <si>
    <t>PTO-0505|MO</t>
  </si>
  <si>
    <t>PTO-0505|MO|1</t>
  </si>
  <si>
    <t>PTO-0505|MO|2</t>
  </si>
  <si>
    <t>PTO-0505|EQ</t>
  </si>
  <si>
    <t>PTO-0505|EQ|1</t>
  </si>
  <si>
    <t>PTO-0506</t>
  </si>
  <si>
    <t>PTO-0506|MAT</t>
  </si>
  <si>
    <t>PTO-0506|MAT|1</t>
  </si>
  <si>
    <t>PTO-0506|MAT|2</t>
  </si>
  <si>
    <t>PTO-0506|MAT|3</t>
  </si>
  <si>
    <t>PTO-0506|MAT|4</t>
  </si>
  <si>
    <t>PTO-0506|MAT|5</t>
  </si>
  <si>
    <t>PTO-0506|MAT|6</t>
  </si>
  <si>
    <t>PTO-0506|MAT|7</t>
  </si>
  <si>
    <t>PTO-0506|MAT|8</t>
  </si>
  <si>
    <t>PTO-0506|MO</t>
  </si>
  <si>
    <t>PTO-0506|MO|1</t>
  </si>
  <si>
    <t>PTO-0506|MO|2</t>
  </si>
  <si>
    <t>PTO-0506|MO|3</t>
  </si>
  <si>
    <t>PTO-0506|MO|4</t>
  </si>
  <si>
    <t>PTO-0506|EQ</t>
  </si>
  <si>
    <t>PTO-0506|EQ|1</t>
  </si>
  <si>
    <t>PTO-0507</t>
  </si>
  <si>
    <t>SUB-0014</t>
  </si>
  <si>
    <t>PTO-0507|MO</t>
  </si>
  <si>
    <t>PTO-0507|MO|1</t>
  </si>
  <si>
    <t>PTO-0602</t>
  </si>
  <si>
    <t>MAT-0078</t>
  </si>
  <si>
    <t>Babeta</t>
  </si>
  <si>
    <t>PTO-0602|MAT</t>
  </si>
  <si>
    <t>PTO-0602|MAT|1</t>
  </si>
  <si>
    <t>MAT-0079</t>
  </si>
  <si>
    <t>Sellador / Silicona (rinde 5 mts)</t>
  </si>
  <si>
    <t>PTO-0602|MAT|2</t>
  </si>
  <si>
    <t>PTO-0602|MO</t>
  </si>
  <si>
    <t>PTO-0602|MO|1</t>
  </si>
  <si>
    <t>PTO-0602|MO|2</t>
  </si>
  <si>
    <t>EQ-0027</t>
  </si>
  <si>
    <t>Herramientas/consumibles - Babeta de chapa galvanizada en medianera</t>
  </si>
  <si>
    <t>PTO-0602|EQ</t>
  </si>
  <si>
    <t>PTO-0602|EQ|1</t>
  </si>
  <si>
    <t>PTO-0602|MAT|3</t>
  </si>
  <si>
    <t>PTO-0701</t>
  </si>
  <si>
    <t>PTO-0701|MAT</t>
  </si>
  <si>
    <t>PTO-0701|MAT|1</t>
  </si>
  <si>
    <t>PTO-0701|MAT|2</t>
  </si>
  <si>
    <t>PTO-0701|MAT|3</t>
  </si>
  <si>
    <t>PTO-0701|MAT|4</t>
  </si>
  <si>
    <t>PTO-0701|MO</t>
  </si>
  <si>
    <t>PTO-0701|MO|1</t>
  </si>
  <si>
    <t>PTO-0701|MO|2</t>
  </si>
  <si>
    <t>PTO-0701|EQ</t>
  </si>
  <si>
    <t>PTO-0701|EQ|1</t>
  </si>
  <si>
    <t>PTO-0701|EQ|2</t>
  </si>
  <si>
    <t>PTO-0701|EQ|3</t>
  </si>
  <si>
    <t>PTO-0702</t>
  </si>
  <si>
    <t>PTO-0702|MAT</t>
  </si>
  <si>
    <t>PTO-0702|MAT|1</t>
  </si>
  <si>
    <t>PTO-0702|MAT|2</t>
  </si>
  <si>
    <t>PTO-0702|MAT|3</t>
  </si>
  <si>
    <t>PTO-0702|MAT|4</t>
  </si>
  <si>
    <t>PTO-0702|MO</t>
  </si>
  <si>
    <t>PTO-0702|MO|1</t>
  </si>
  <si>
    <t>PTO-0702|MO|2</t>
  </si>
  <si>
    <t>EQ-0028</t>
  </si>
  <si>
    <t>Balancin</t>
  </si>
  <si>
    <t>PTO-0702|EQ</t>
  </si>
  <si>
    <t>PTO-0702|EQ|1</t>
  </si>
  <si>
    <t>PTO-0702|EQ|2</t>
  </si>
  <si>
    <t>PTO-0702|EQ|3</t>
  </si>
  <si>
    <t>PTO-0703</t>
  </si>
  <si>
    <t>SUB-0015</t>
  </si>
  <si>
    <t>PTO-0703|MO</t>
  </si>
  <si>
    <t>PTO-0703|MO|1</t>
  </si>
  <si>
    <t>PTO-0704</t>
  </si>
  <si>
    <t>PTO-0704|MAT</t>
  </si>
  <si>
    <t>PTO-0704|MAT|1</t>
  </si>
  <si>
    <t>PTO-0704|MAT|2</t>
  </si>
  <si>
    <t>PTO-0704|MAT|3</t>
  </si>
  <si>
    <t>MAT-0080</t>
  </si>
  <si>
    <t>cal milagro</t>
  </si>
  <si>
    <t>PTO-0704|MAT|4</t>
  </si>
  <si>
    <t>PTO-0704|MO</t>
  </si>
  <si>
    <t>PTO-0704|MO|1</t>
  </si>
  <si>
    <t>PTO-0704|MO|2</t>
  </si>
  <si>
    <t>PTO-0704|EQ</t>
  </si>
  <si>
    <t>PTO-0704|EQ|1</t>
  </si>
  <si>
    <t>PTO-0704|EQ|2</t>
  </si>
  <si>
    <t>PTO-0704|EQ|3</t>
  </si>
  <si>
    <t>PTO-0705</t>
  </si>
  <si>
    <t>MAT-0081</t>
  </si>
  <si>
    <t>Yeso Knauf MP 40/75 Proyectable x 25 kg</t>
  </si>
  <si>
    <t>PTO-0705|MAT</t>
  </si>
  <si>
    <t>PTO-0705|MAT|1</t>
  </si>
  <si>
    <t>MAT-0082</t>
  </si>
  <si>
    <t>PA-MAX PUENTE DE ADHERENCIA 20LT</t>
  </si>
  <si>
    <t>PTO-0705|MAT|2</t>
  </si>
  <si>
    <t>MAT-0083</t>
  </si>
  <si>
    <t>Malla de fibra 5 x 5 90 gr, rollo 1 x 50 mts</t>
  </si>
  <si>
    <t>PTO-0705|MAT|3</t>
  </si>
  <si>
    <t>SUB-0016</t>
  </si>
  <si>
    <t>Yeso</t>
  </si>
  <si>
    <t>PTO-0705|MO</t>
  </si>
  <si>
    <t>PTO-0705|MO|1</t>
  </si>
  <si>
    <t>PTO-0706</t>
  </si>
  <si>
    <t>SUB-0017</t>
  </si>
  <si>
    <t>Arista / Buña</t>
  </si>
  <si>
    <t>PTO-0706|MO</t>
  </si>
  <si>
    <t>PTO-0706|MO|1</t>
  </si>
  <si>
    <t>PTO-0707</t>
  </si>
  <si>
    <t>MAT-0084</t>
  </si>
  <si>
    <t>Guardacanto yesero 2 mts</t>
  </si>
  <si>
    <t>PTO-0707|MAT</t>
  </si>
  <si>
    <t>PTO-0707|MAT|1</t>
  </si>
  <si>
    <t>SUB-0018</t>
  </si>
  <si>
    <t>Cantonera</t>
  </si>
  <si>
    <t>PTO-0707|MO</t>
  </si>
  <si>
    <t>PTO-0707|MO|1</t>
  </si>
  <si>
    <t>PTO-0708</t>
  </si>
  <si>
    <t>PTO-0708|MAT</t>
  </si>
  <si>
    <t>PTO-0708|MAT|1</t>
  </si>
  <si>
    <t>PTO-0708|MAT|2</t>
  </si>
  <si>
    <t>PTO-0708|MAT|3</t>
  </si>
  <si>
    <t>PTO-0708|MAT|4</t>
  </si>
  <si>
    <t>PTO-0708|MO</t>
  </si>
  <si>
    <t>PTO-0708|MO|1</t>
  </si>
  <si>
    <t>PTO-0708|MO|2</t>
  </si>
  <si>
    <t>PTO-0708|EQ</t>
  </si>
  <si>
    <t>PTO-0708|EQ|1</t>
  </si>
  <si>
    <t>PTO-0708|EQ|2</t>
  </si>
  <si>
    <t>PTO-0708|EQ|3</t>
  </si>
  <si>
    <t>PTO-0801</t>
  </si>
  <si>
    <t>PTO-0801|MAT</t>
  </si>
  <si>
    <t>PTO-0801|MAT|1</t>
  </si>
  <si>
    <t>PTO-0801|MAT|2</t>
  </si>
  <si>
    <t>MAT-0085</t>
  </si>
  <si>
    <t>Cascote</t>
  </si>
  <si>
    <t>PTO-0801|MAT|3</t>
  </si>
  <si>
    <t>PTO-0801|MAT|4</t>
  </si>
  <si>
    <t>PTO-0801|MO</t>
  </si>
  <si>
    <t>PTO-0801|MO|1</t>
  </si>
  <si>
    <t>PTO-0801|MO|2</t>
  </si>
  <si>
    <t>PTO-0801|EQ</t>
  </si>
  <si>
    <t>PTO-0801|EQ|1</t>
  </si>
  <si>
    <t>PTO-0801|EQ|2</t>
  </si>
  <si>
    <t>PTO-0802</t>
  </si>
  <si>
    <t>MAT-0086</t>
  </si>
  <si>
    <t>PTO-0802|MAT</t>
  </si>
  <si>
    <t>PTO-0802|MAT|1</t>
  </si>
  <si>
    <t>PTO-0802|MAT|2</t>
  </si>
  <si>
    <t>PTO-0802|MAT|3</t>
  </si>
  <si>
    <t>PTO-0802|MAT|4</t>
  </si>
  <si>
    <t>PTO-0802|MAT|5</t>
  </si>
  <si>
    <t>SUB-0019</t>
  </si>
  <si>
    <t>PTO-0802|MO</t>
  </si>
  <si>
    <t>PTO-0802|MO|1</t>
  </si>
  <si>
    <t>PTO-0802|MO|2</t>
  </si>
  <si>
    <t>PTO-0802|MO|3</t>
  </si>
  <si>
    <t>PTO-0802|EQ</t>
  </si>
  <si>
    <t>PTO-0802|EQ|1</t>
  </si>
  <si>
    <t>PTO-0802|EQ|2</t>
  </si>
  <si>
    <t>PTO-0803</t>
  </si>
  <si>
    <t>PTO-0803|MAT</t>
  </si>
  <si>
    <t>PTO-0803|MAT|1</t>
  </si>
  <si>
    <t>PTO-0803|MAT|2</t>
  </si>
  <si>
    <t>PTO-0803|MAT|3</t>
  </si>
  <si>
    <t>PTO-0803|MAT|4</t>
  </si>
  <si>
    <t>PTO-0803|MO</t>
  </si>
  <si>
    <t>PTO-0803|MO|1</t>
  </si>
  <si>
    <t>PTO-0803|MO|2</t>
  </si>
  <si>
    <t>PTO-0803|EQ</t>
  </si>
  <si>
    <t>PTO-0803|EQ|1</t>
  </si>
  <si>
    <t>PTO-0803|EQ|2</t>
  </si>
  <si>
    <t>PTO-0804</t>
  </si>
  <si>
    <t>PTO-0804|MAT</t>
  </si>
  <si>
    <t>PTO-0804|MAT|1</t>
  </si>
  <si>
    <t>PTO-0804|MAT|2</t>
  </si>
  <si>
    <t>PTO-0804|MAT|3</t>
  </si>
  <si>
    <t>MAT-0087</t>
  </si>
  <si>
    <t>Sika Poro Plus x 10 kg</t>
  </si>
  <si>
    <t>PTO-0804|MAT|4</t>
  </si>
  <si>
    <t>PTO-0804|MO</t>
  </si>
  <si>
    <t>PTO-0804|MO|1</t>
  </si>
  <si>
    <t>PTO-0804|MO|2</t>
  </si>
  <si>
    <t>PTO-0804|EQ</t>
  </si>
  <si>
    <t>PTO-0804|EQ|1</t>
  </si>
  <si>
    <t>PTO-0804|EQ|2</t>
  </si>
  <si>
    <t>PTO-0805</t>
  </si>
  <si>
    <t>PTO-0805|MAT</t>
  </si>
  <si>
    <t>PTO-0805|MAT|1</t>
  </si>
  <si>
    <t>PTO-0805|MAT|2</t>
  </si>
  <si>
    <t>PTO-0805|MO</t>
  </si>
  <si>
    <t>PTO-0805|MO|1</t>
  </si>
  <si>
    <t>PTO-0805|MO|2</t>
  </si>
  <si>
    <t>PTO-0805|EQ</t>
  </si>
  <si>
    <t>PTO-0805|EQ|1</t>
  </si>
  <si>
    <t>PTO-0805|EQ|2</t>
  </si>
  <si>
    <t>PTO-0806</t>
  </si>
  <si>
    <t>PTO-0806|MAT</t>
  </si>
  <si>
    <t>PTO-0806|MAT|1</t>
  </si>
  <si>
    <t>PTO-0806|MAT|2</t>
  </si>
  <si>
    <t>PTO-0806|MO</t>
  </si>
  <si>
    <t>PTO-0806|MO|1</t>
  </si>
  <si>
    <t>PTO-0806|MO|2</t>
  </si>
  <si>
    <t>PTO-0806|EQ</t>
  </si>
  <si>
    <t>PTO-0806|EQ|1</t>
  </si>
  <si>
    <t>PTO-0806|EQ|2</t>
  </si>
  <si>
    <t>PTO-0807</t>
  </si>
  <si>
    <t>PTO-0807|MAT</t>
  </si>
  <si>
    <t>PTO-0807|MAT|1</t>
  </si>
  <si>
    <t>MAT-0088</t>
  </si>
  <si>
    <t>Carpeta</t>
  </si>
  <si>
    <t>PTO-0807|MAT|2</t>
  </si>
  <si>
    <t>PTO-0807|MAT|3</t>
  </si>
  <si>
    <t>PTO-0807|MO</t>
  </si>
  <si>
    <t>PTO-0807|MO|1</t>
  </si>
  <si>
    <t>PTO-0807|MO|2</t>
  </si>
  <si>
    <t>EQ-0029</t>
  </si>
  <si>
    <t>Herramientas/consumibles - Banquinas para cocinas</t>
  </si>
  <si>
    <t>PTO-0807|EQ</t>
  </si>
  <si>
    <t>PTO-0807|EQ|1</t>
  </si>
  <si>
    <t>PTO-0808</t>
  </si>
  <si>
    <t>PTO-0808|MAT</t>
  </si>
  <si>
    <t>PTO-0808|MAT|1</t>
  </si>
  <si>
    <t>PTO-0808|MAT|2</t>
  </si>
  <si>
    <t>PTO-0808|MAT|3</t>
  </si>
  <si>
    <t>PTO-0808|MO</t>
  </si>
  <si>
    <t>PTO-0808|MO|1</t>
  </si>
  <si>
    <t>PTO-0808|MO|2</t>
  </si>
  <si>
    <t>EQ-0030</t>
  </si>
  <si>
    <t>Herramientas/consumibles - Banquinas para bombas y tanques en SB</t>
  </si>
  <si>
    <t>PTO-0808|EQ</t>
  </si>
  <si>
    <t>PTO-0808|EQ|1</t>
  </si>
  <si>
    <t>PTO-0901</t>
  </si>
  <si>
    <t>MAT-0089</t>
  </si>
  <si>
    <t>Carpeta cilindrada</t>
  </si>
  <si>
    <t>PTO-0901|MAT</t>
  </si>
  <si>
    <t>PTO-0901|MAT|1</t>
  </si>
  <si>
    <t>PTO-0901|MO</t>
  </si>
  <si>
    <t>PTO-0901|MO|1</t>
  </si>
  <si>
    <t>PTO-0901|MO|2</t>
  </si>
  <si>
    <t>EQ-0031</t>
  </si>
  <si>
    <t>Herramientas/consumibles - Cemento alisado arrodillado en escaleras</t>
  </si>
  <si>
    <t>PTO-0901|EQ</t>
  </si>
  <si>
    <t>PTO-0901|EQ|1</t>
  </si>
  <si>
    <t>PTO-0902</t>
  </si>
  <si>
    <t>MAT-0090</t>
  </si>
  <si>
    <t>PERFIL ANGULO ALAS IGUALES ESTRUCTURAL ACERO 6M X 5/8" X 1/8</t>
  </si>
  <si>
    <t>PTO-0902|MAT</t>
  </si>
  <si>
    <t>PTO-0902|MAT|1</t>
  </si>
  <si>
    <t>MAT-0091</t>
  </si>
  <si>
    <t>Esmalte sintetico</t>
  </si>
  <si>
    <t>PTO-0902|MAT|2</t>
  </si>
  <si>
    <t>MAT-0092</t>
  </si>
  <si>
    <t>Electrodos</t>
  </si>
  <si>
    <t>PTO-0902|MAT|3</t>
  </si>
  <si>
    <t>PTO-0902|MO</t>
  </si>
  <si>
    <t>PTO-0902|MO|1</t>
  </si>
  <si>
    <t>PTO-0902|MO|2</t>
  </si>
  <si>
    <t>EQ-0032</t>
  </si>
  <si>
    <t xml:space="preserve">Herramientas/consumibles - Provisión nariz escalera, hierro angulo </t>
  </si>
  <si>
    <t>PTO-0902|EQ</t>
  </si>
  <si>
    <t>PTO-0902|EQ|1</t>
  </si>
  <si>
    <t>PTO-0903</t>
  </si>
  <si>
    <t>PTO-0903|MAT</t>
  </si>
  <si>
    <t>PTO-0903|MAT|1</t>
  </si>
  <si>
    <t>PTO-0903|MAT|2</t>
  </si>
  <si>
    <t>PTO-0903|MAT|3</t>
  </si>
  <si>
    <t>PTO-0903|MO</t>
  </si>
  <si>
    <t>PTO-0903|MO|1</t>
  </si>
  <si>
    <t>PTO-0903|MO|2</t>
  </si>
  <si>
    <t>PTO-0903|EQ</t>
  </si>
  <si>
    <t>PTO-0903|EQ|1</t>
  </si>
  <si>
    <t>PTO-0903|EQ|2</t>
  </si>
  <si>
    <t>PTO-0903|EQ|3</t>
  </si>
  <si>
    <t>PTO-0904</t>
  </si>
  <si>
    <t>MAT-0093</t>
  </si>
  <si>
    <t>PLACA CEMENTICIA CONSTRUCCION SECO SUPERBOARD ESTRUCTURAL BORDE RECTO 10MM X 1200MM X 2400MM</t>
  </si>
  <si>
    <t>PTO-0904|MAT</t>
  </si>
  <si>
    <t>PTO-0904|MAT|1</t>
  </si>
  <si>
    <t>PTO-0904|MO</t>
  </si>
  <si>
    <t>PTO-0904|MO|1</t>
  </si>
  <si>
    <t>PTO-0904|MO|2</t>
  </si>
  <si>
    <t>EQ-0033</t>
  </si>
  <si>
    <t>Herramientas/consumibles - Provisión y colocación de Rodapie/ Zócal</t>
  </si>
  <si>
    <t>PTO-0904|EQ</t>
  </si>
  <si>
    <t>PTO-0904|EQ|1</t>
  </si>
  <si>
    <t>PTO-0904|MAT|2</t>
  </si>
  <si>
    <t>PTO-1002</t>
  </si>
  <si>
    <t>MAT-0094</t>
  </si>
  <si>
    <t>PTO-1002|MAT</t>
  </si>
  <si>
    <t>PTO-1002|MAT|1</t>
  </si>
  <si>
    <t>SUB-0020</t>
  </si>
  <si>
    <t>PTO-1002|MO</t>
  </si>
  <si>
    <t>PTO-1002|MO|1</t>
  </si>
  <si>
    <t>PTO-1004</t>
  </si>
  <si>
    <t>MAT-0095</t>
  </si>
  <si>
    <t>COVE: Sombreretes en chapa prepintad</t>
  </si>
  <si>
    <t>PTO-1004|MAT</t>
  </si>
  <si>
    <t>PTO-1004|MAT|1</t>
  </si>
  <si>
    <t>SUB-0021</t>
  </si>
  <si>
    <t>PTO-1004|MO</t>
  </si>
  <si>
    <t>PTO-1004|MO|1</t>
  </si>
  <si>
    <t>PTO-1101</t>
  </si>
  <si>
    <t>MAT-0096</t>
  </si>
  <si>
    <t>Adhesivo Klaukol Porcellanato Fluido x 30Kg</t>
  </si>
  <si>
    <t>PTO-1101|MAT</t>
  </si>
  <si>
    <t>PTO-1101|MAT|1</t>
  </si>
  <si>
    <t>MAT-0097</t>
  </si>
  <si>
    <t>Pastina Klaukol x 1kg - Alta performance</t>
  </si>
  <si>
    <t>PTO-1101|MAT|2</t>
  </si>
  <si>
    <t>MAT-0098</t>
  </si>
  <si>
    <t>Disco Diamantado Aliafor Turbo Fino TRF</t>
  </si>
  <si>
    <t>PTO-1101|MAT|3</t>
  </si>
  <si>
    <t>MAT-0099</t>
  </si>
  <si>
    <t>Arco y cuña niveladores porcelanatos x 150 un</t>
  </si>
  <si>
    <t>PTO-1101|MAT|4</t>
  </si>
  <si>
    <t>PTO-1101|MAT|5</t>
  </si>
  <si>
    <t>PTO-1101|MO</t>
  </si>
  <si>
    <t>PTO-1101|MO|1</t>
  </si>
  <si>
    <t>PTO-1101|MO|2</t>
  </si>
  <si>
    <t>EQ-0034</t>
  </si>
  <si>
    <t>EQUIPO PARA COLOCACION DE CERAMICA</t>
  </si>
  <si>
    <t>PTO-1101|EQ</t>
  </si>
  <si>
    <t>PTO-1101|EQ|1</t>
  </si>
  <si>
    <t>EQ-0035</t>
  </si>
  <si>
    <t>CORTADORA CERAMICA PROFESIONAL 1200MM (PORCELANATO HASTA 16MM)</t>
  </si>
  <si>
    <t>PTO-1101|EQ|2</t>
  </si>
  <si>
    <t>PTO-1102</t>
  </si>
  <si>
    <t>PTO-1102|MAT</t>
  </si>
  <si>
    <t>PTO-1102|MAT|1</t>
  </si>
  <si>
    <t>PTO-1102|MAT|2</t>
  </si>
  <si>
    <t>PTO-1102|MAT|3</t>
  </si>
  <si>
    <t>PTO-1102|MAT|4</t>
  </si>
  <si>
    <t>PTO-1102|MAT|5</t>
  </si>
  <si>
    <t>PTO-1102|MO</t>
  </si>
  <si>
    <t>PTO-1102|MO|1</t>
  </si>
  <si>
    <t>PTO-1102|MO|2</t>
  </si>
  <si>
    <t>PTO-1102|EQ</t>
  </si>
  <si>
    <t>PTO-1102|EQ|1</t>
  </si>
  <si>
    <t>PTO-1102|EQ|2</t>
  </si>
  <si>
    <t>PTO-1103</t>
  </si>
  <si>
    <t>PTO-1103|MAT</t>
  </si>
  <si>
    <t>PTO-1103|MAT|1</t>
  </si>
  <si>
    <t>PTO-1103|MAT|2</t>
  </si>
  <si>
    <t>PTO-1103|MAT|3</t>
  </si>
  <si>
    <t>PTO-1103|MAT|4</t>
  </si>
  <si>
    <t>PTO-1103|MAT|5</t>
  </si>
  <si>
    <t>PTO-1103|MO</t>
  </si>
  <si>
    <t>PTO-1103|MO|1</t>
  </si>
  <si>
    <t>PTO-1103|MO|2</t>
  </si>
  <si>
    <t>PTO-1103|EQ</t>
  </si>
  <si>
    <t>PTO-1103|EQ|1</t>
  </si>
  <si>
    <t>PTO-1103|EQ|2</t>
  </si>
  <si>
    <t>PTO-1104</t>
  </si>
  <si>
    <t>PTO-1104|MAT</t>
  </si>
  <si>
    <t>PTO-1104|MAT|1</t>
  </si>
  <si>
    <t>PTO-1104|MAT|2</t>
  </si>
  <si>
    <t>PTO-1104|MAT|3</t>
  </si>
  <si>
    <t>PTO-1104|MAT|4</t>
  </si>
  <si>
    <t>PTO-1104|MAT|5</t>
  </si>
  <si>
    <t>PTO-1104|MO</t>
  </si>
  <si>
    <t>PTO-1104|MO|1</t>
  </si>
  <si>
    <t>PTO-1104|MO|2</t>
  </si>
  <si>
    <t>PTO-1104|EQ</t>
  </si>
  <si>
    <t>PTO-1104|EQ|1</t>
  </si>
  <si>
    <t>PTO-1104|EQ|2</t>
  </si>
  <si>
    <t>PTO-1105</t>
  </si>
  <si>
    <t>PTO-1105|MAT</t>
  </si>
  <si>
    <t>PTO-1105|MAT|1</t>
  </si>
  <si>
    <t>PTO-1105|MAT|2</t>
  </si>
  <si>
    <t>PTO-1105|MO</t>
  </si>
  <si>
    <t>PTO-1105|MO|1</t>
  </si>
  <si>
    <t>PTO-1105|MO|2</t>
  </si>
  <si>
    <t>PTO-1105|EQ</t>
  </si>
  <si>
    <t>PTO-1105|EQ|1</t>
  </si>
  <si>
    <t>PTO-1105|EQ|2</t>
  </si>
  <si>
    <t>PTO-1106</t>
  </si>
  <si>
    <t>PTO-1106|MAT</t>
  </si>
  <si>
    <t>PTO-1106|MAT|1</t>
  </si>
  <si>
    <t>PTO-1106|MAT|2</t>
  </si>
  <si>
    <t>PTO-1106|MAT|3</t>
  </si>
  <si>
    <t>PTO-1106|MAT|4</t>
  </si>
  <si>
    <t>PTO-1106|MAT|5</t>
  </si>
  <si>
    <t>PTO-1106|MO</t>
  </si>
  <si>
    <t>PTO-1106|MO|1</t>
  </si>
  <si>
    <t>PTO-1106|MO|2</t>
  </si>
  <si>
    <t>PTO-1106|EQ</t>
  </si>
  <si>
    <t>PTO-1106|EQ|1</t>
  </si>
  <si>
    <t>PTO-1106|EQ|2</t>
  </si>
  <si>
    <t>PTO-1107</t>
  </si>
  <si>
    <t>PTO-1107|MAT</t>
  </si>
  <si>
    <t>PTO-1107|MAT|1</t>
  </si>
  <si>
    <t>MAT-0100</t>
  </si>
  <si>
    <t>PTO-1107|MAT|2</t>
  </si>
  <si>
    <t>PTO-1107|MAT|3</t>
  </si>
  <si>
    <t>MAT-0101</t>
  </si>
  <si>
    <t>Malla Q188 15 x 15 6 mm 6x2,40</t>
  </si>
  <si>
    <t>PTO-1107|MAT|4</t>
  </si>
  <si>
    <t>MAT-0102</t>
  </si>
  <si>
    <t>Sikafloor Quartz top</t>
  </si>
  <si>
    <t>PTO-1107|MAT|5</t>
  </si>
  <si>
    <t>SUB-0022</t>
  </si>
  <si>
    <t>Alquiler de aserradora</t>
  </si>
  <si>
    <t>PTO-1107|MO</t>
  </si>
  <si>
    <t>PTO-1107|MO|1</t>
  </si>
  <si>
    <t>SUB-0023</t>
  </si>
  <si>
    <t>Alquiler de helicoptero</t>
  </si>
  <si>
    <t>PTO-1107|MO|2</t>
  </si>
  <si>
    <t>MAT-0103</t>
  </si>
  <si>
    <t>Selladores / etc.</t>
  </si>
  <si>
    <t>PTO-1107|MAT|6</t>
  </si>
  <si>
    <t>PTO-1107|MO|3</t>
  </si>
  <si>
    <t>PTO-1107|MO|4</t>
  </si>
  <si>
    <t>PTO-1107|MO|5</t>
  </si>
  <si>
    <t>PTO-1107|MO|6</t>
  </si>
  <si>
    <t>EQ-0036</t>
  </si>
  <si>
    <t>Herramientas/consumibles - Provisión y ejecución de pavimento e: 18</t>
  </si>
  <si>
    <t>PTO-1107|EQ</t>
  </si>
  <si>
    <t>PTO-1107|EQ|1</t>
  </si>
  <si>
    <t>PTO-1201</t>
  </si>
  <si>
    <t>MAT-0104</t>
  </si>
  <si>
    <t>Zocalo 5,6cm Madera Mdf Redondeado Prepintado Blanco Pz-56l</t>
  </si>
  <si>
    <t>PTO-1201|MAT</t>
  </si>
  <si>
    <t>PTO-1201|MAT|1</t>
  </si>
  <si>
    <t>MAT-0105</t>
  </si>
  <si>
    <t>PTO-1201|MAT|2</t>
  </si>
  <si>
    <t>PTO-1201|MO</t>
  </si>
  <si>
    <t>PTO-1201|MO|1</t>
  </si>
  <si>
    <t>EQ-0037</t>
  </si>
  <si>
    <t>Herramientas/consumibles - Provisión y colocación de zocalos de Mad</t>
  </si>
  <si>
    <t>PTO-1201|EQ</t>
  </si>
  <si>
    <t>PTO-1201|EQ|1</t>
  </si>
  <si>
    <t>PTO-1202</t>
  </si>
  <si>
    <t>PTO-1202|MAT</t>
  </si>
  <si>
    <t>PTO-1202|MAT|1</t>
  </si>
  <si>
    <t>PTO-1202|MAT|2</t>
  </si>
  <si>
    <t>PTO-1202|MAT|3</t>
  </si>
  <si>
    <t>PTO-1202|MO</t>
  </si>
  <si>
    <t>PTO-1202|MO|1</t>
  </si>
  <si>
    <t>PTO-1202|MO|2</t>
  </si>
  <si>
    <t>PTO-1202|EQ</t>
  </si>
  <si>
    <t>PTO-1202|EQ|1</t>
  </si>
  <si>
    <t>PTO-1202|EQ|2</t>
  </si>
  <si>
    <t>PTO-1202|EQ|3</t>
  </si>
  <si>
    <t>PTO-1203</t>
  </si>
  <si>
    <t>PTO-1203|MAT</t>
  </si>
  <si>
    <t>PTO-1203|MAT|1</t>
  </si>
  <si>
    <t>PTO-1203|MAT|2</t>
  </si>
  <si>
    <t>PTO-1203|MAT|3</t>
  </si>
  <si>
    <t>PTO-1203|MAT|4</t>
  </si>
  <si>
    <t>PTO-1203|MO</t>
  </si>
  <si>
    <t>PTO-1203|MO|1</t>
  </si>
  <si>
    <t>PTO-1203|MO|2</t>
  </si>
  <si>
    <t>PTO-1203|EQ</t>
  </si>
  <si>
    <t>PTO-1203|EQ|1</t>
  </si>
  <si>
    <t>PTO-1203|EQ|2</t>
  </si>
  <si>
    <t>PTO-1204</t>
  </si>
  <si>
    <t>PTO-1204|MAT</t>
  </si>
  <si>
    <t>PTO-1204|MAT|1</t>
  </si>
  <si>
    <t>PTO-1204|MAT|2</t>
  </si>
  <si>
    <t>PTO-1204|MAT|3</t>
  </si>
  <si>
    <t>PTO-1204|MAT|4</t>
  </si>
  <si>
    <t>PTO-1204|MO</t>
  </si>
  <si>
    <t>PTO-1204|MO|1</t>
  </si>
  <si>
    <t>PTO-1204|MO|2</t>
  </si>
  <si>
    <t>PTO-1204|EQ</t>
  </si>
  <si>
    <t>PTO-1204|EQ|1</t>
  </si>
  <si>
    <t>PTO-1204|EQ|2</t>
  </si>
  <si>
    <t>PTO-1205</t>
  </si>
  <si>
    <t>PTO-1205|MAT</t>
  </si>
  <si>
    <t>PTO-1205|MAT|1</t>
  </si>
  <si>
    <t>PTO-1205|MAT|2</t>
  </si>
  <si>
    <t>PTO-1205|MAT|3</t>
  </si>
  <si>
    <t>PTO-1205|MAT|4</t>
  </si>
  <si>
    <t>PTO-1205|MO</t>
  </si>
  <si>
    <t>PTO-1205|MO|1</t>
  </si>
  <si>
    <t>PTO-1205|MO|2</t>
  </si>
  <si>
    <t>PTO-1205|EQ</t>
  </si>
  <si>
    <t>PTO-1205|EQ|1</t>
  </si>
  <si>
    <t>PTO-1205|EQ|2</t>
  </si>
  <si>
    <t>PTO-1301</t>
  </si>
  <si>
    <t>PTO-1301|MAT</t>
  </si>
  <si>
    <t>PTO-1301|MAT|1</t>
  </si>
  <si>
    <t>PTO-1301|MAT|2</t>
  </si>
  <si>
    <t>PTO-1301|MAT|3</t>
  </si>
  <si>
    <t>PTO-1301|MAT|4</t>
  </si>
  <si>
    <t>PTO-1301|MAT|5</t>
  </si>
  <si>
    <t>PTO-1301|MO</t>
  </si>
  <si>
    <t>PTO-1301|MO|1</t>
  </si>
  <si>
    <t>PTO-1301|MO|2</t>
  </si>
  <si>
    <t>PTO-1301|EQ</t>
  </si>
  <si>
    <t>PTO-1301|EQ|1</t>
  </si>
  <si>
    <t>PTO-1301|EQ|2</t>
  </si>
  <si>
    <t>PTO-1302</t>
  </si>
  <si>
    <t>PTO-1302|MAT</t>
  </si>
  <si>
    <t>PTO-1302|MAT|1</t>
  </si>
  <si>
    <t>PTO-1302|MAT|2</t>
  </si>
  <si>
    <t>PTO-1302|MAT|3</t>
  </si>
  <si>
    <t>PTO-1302|MAT|4</t>
  </si>
  <si>
    <t>PTO-1302|MAT|5</t>
  </si>
  <si>
    <t>PTO-1302|MO</t>
  </si>
  <si>
    <t>PTO-1302|MO|1</t>
  </si>
  <si>
    <t>PTO-1302|MO|2</t>
  </si>
  <si>
    <t>PTO-1302|EQ</t>
  </si>
  <si>
    <t>PTO-1302|EQ|1</t>
  </si>
  <si>
    <t>PTO-1302|EQ|2</t>
  </si>
  <si>
    <t>PTO-1303</t>
  </si>
  <si>
    <t>PTO-1303|MAT</t>
  </si>
  <si>
    <t>PTO-1303|MAT|1</t>
  </si>
  <si>
    <t>PTO-1303|MAT|2</t>
  </si>
  <si>
    <t>PTO-1303|MAT|3</t>
  </si>
  <si>
    <t>PTO-1303|MAT|4</t>
  </si>
  <si>
    <t>PTO-1303|MAT|5</t>
  </si>
  <si>
    <t>SUB-0024</t>
  </si>
  <si>
    <t>MEDIO OFICIAL ALBAÑIL</t>
  </si>
  <si>
    <t>PTO-1303|MO</t>
  </si>
  <si>
    <t>PTO-1303|MO|1</t>
  </si>
  <si>
    <t>SUB-0025</t>
  </si>
  <si>
    <t>OFICIAL COLOCADOR</t>
  </si>
  <si>
    <t>PTO-1303|MO|2</t>
  </si>
  <si>
    <t>PTO-1303|MO|3</t>
  </si>
  <si>
    <t>PTO-1303|MO|4</t>
  </si>
  <si>
    <t>PTO-1303|EQ</t>
  </si>
  <si>
    <t>PTO-1303|EQ|1</t>
  </si>
  <si>
    <t>PTO-1303|EQ|2</t>
  </si>
  <si>
    <t>PTO-1304</t>
  </si>
  <si>
    <t>MAT-0106</t>
  </si>
  <si>
    <t>Varilla Guardacanto L Aluminio Cromo Mate 1663 12 Mm Atrim</t>
  </si>
  <si>
    <t>PTO-1304|MAT</t>
  </si>
  <si>
    <t>PTO-1304|MAT|1</t>
  </si>
  <si>
    <t>PTO-1401</t>
  </si>
  <si>
    <t>MAT-0107</t>
  </si>
  <si>
    <t>Solera 35mm x 2.60m</t>
  </si>
  <si>
    <t>PTO-1401|MAT</t>
  </si>
  <si>
    <t>PTO-1401|MAT|1</t>
  </si>
  <si>
    <t>MAT-0108</t>
  </si>
  <si>
    <t>Montante 34mm x 2.60m</t>
  </si>
  <si>
    <t>PTO-1401|MAT|2</t>
  </si>
  <si>
    <t>MAT-0109</t>
  </si>
  <si>
    <t>Tornillo T1 - Aguja</t>
  </si>
  <si>
    <t>PTO-1401|MAT|3</t>
  </si>
  <si>
    <t>MAT-0110</t>
  </si>
  <si>
    <t>Tornillo T2 - Aguja</t>
  </si>
  <si>
    <t>PTO-1401|MAT|4</t>
  </si>
  <si>
    <t>MAT-0111</t>
  </si>
  <si>
    <t>Fijacion completa del 8</t>
  </si>
  <si>
    <t>PTO-1401|MAT|5</t>
  </si>
  <si>
    <t>MAT-0112</t>
  </si>
  <si>
    <t>Cinta Entramada - 90m</t>
  </si>
  <si>
    <t>PTO-1401|MAT|6</t>
  </si>
  <si>
    <t>MAT-0113</t>
  </si>
  <si>
    <t>Masilla x 32kg</t>
  </si>
  <si>
    <t>PTO-1401|MAT|7</t>
  </si>
  <si>
    <t>MAT-0114</t>
  </si>
  <si>
    <t>Placa Roca de Yeso 1220 x 2440 - 12.5mm - STD</t>
  </si>
  <si>
    <t>PTO-1401|MAT|8</t>
  </si>
  <si>
    <t>SUB-0026</t>
  </si>
  <si>
    <t>OFICIAL ESPECIALIZADO PINTOR</t>
  </si>
  <si>
    <t>PTO-1401|MO</t>
  </si>
  <si>
    <t>PTO-1401|MO|1</t>
  </si>
  <si>
    <t>SUB-0027</t>
  </si>
  <si>
    <t>MEDIO OFICIAL PINTOR</t>
  </si>
  <si>
    <t>PTO-1401|MO|2</t>
  </si>
  <si>
    <t>EQ-0038</t>
  </si>
  <si>
    <t>ESCALERA GLOSS ALUMINIO ARTICULADA 4 X 4 ESCALONES HASTA 150KG</t>
  </si>
  <si>
    <t>PTO-1401|EQ</t>
  </si>
  <si>
    <t>PTO-1401|EQ|1</t>
  </si>
  <si>
    <t>EQ-0039</t>
  </si>
  <si>
    <t>EQUIPO DE CONSTRUCCION EN SECO</t>
  </si>
  <si>
    <t>PTO-1401|EQ|2</t>
  </si>
  <si>
    <t>PTO-1402</t>
  </si>
  <si>
    <t>MAT-0115</t>
  </si>
  <si>
    <t>Solera 70mm x 2.60m</t>
  </si>
  <si>
    <t>PTO-1402|MAT</t>
  </si>
  <si>
    <t>PTO-1402|MAT|1</t>
  </si>
  <si>
    <t>MAT-0116</t>
  </si>
  <si>
    <t>Montante 69mm x 2.60m</t>
  </si>
  <si>
    <t>PTO-1402|MAT|2</t>
  </si>
  <si>
    <t>PTO-1402|MAT|3</t>
  </si>
  <si>
    <t>PTO-1402|MAT|4</t>
  </si>
  <si>
    <t>PTO-1402|MAT|5</t>
  </si>
  <si>
    <t>PTO-1402|MAT|6</t>
  </si>
  <si>
    <t>PTO-1402|MAT|7</t>
  </si>
  <si>
    <t>MAT-0117</t>
  </si>
  <si>
    <t>Placa Roca de Yeso 1220 x 2440 - 12.5mm - RH</t>
  </si>
  <si>
    <t>PTO-1402|MAT|8</t>
  </si>
  <si>
    <t>PTO-1402|MO</t>
  </si>
  <si>
    <t>PTO-1402|MO|1</t>
  </si>
  <si>
    <t>PTO-1402|MO|2</t>
  </si>
  <si>
    <t>PTO-1402|EQ</t>
  </si>
  <si>
    <t>PTO-1402|EQ|1</t>
  </si>
  <si>
    <t>PTO-1402|EQ|2</t>
  </si>
  <si>
    <t>PTO-1403</t>
  </si>
  <si>
    <t>PTO-1403|MAT</t>
  </si>
  <si>
    <t>PTO-1403|MAT|1</t>
  </si>
  <si>
    <t>PTO-1403|MAT|2</t>
  </si>
  <si>
    <t>PTO-1403|MAT|3</t>
  </si>
  <si>
    <t>PTO-1403|MAT|4</t>
  </si>
  <si>
    <t>PTO-1403|MAT|5</t>
  </si>
  <si>
    <t>PTO-1403|MAT|6</t>
  </si>
  <si>
    <t>PTO-1403|MAT|7</t>
  </si>
  <si>
    <t>PTO-1403|MAT|8</t>
  </si>
  <si>
    <t>PTO-1403|MO</t>
  </si>
  <si>
    <t>PTO-1403|MO|1</t>
  </si>
  <si>
    <t>PTO-1403|MO|2</t>
  </si>
  <si>
    <t>PTO-1403|EQ</t>
  </si>
  <si>
    <t>PTO-1403|EQ|1</t>
  </si>
  <si>
    <t>PTO-1403|EQ|2</t>
  </si>
  <si>
    <t>PTO-1404</t>
  </si>
  <si>
    <t>MAT-0118</t>
  </si>
  <si>
    <t>Buña Z x 2.60m</t>
  </si>
  <si>
    <t>PTO-1404|MAT</t>
  </si>
  <si>
    <t>PTO-1404|MAT|1</t>
  </si>
  <si>
    <t>PTO-1404|MAT|2</t>
  </si>
  <si>
    <t>PTO-1404|MO</t>
  </si>
  <si>
    <t>PTO-1404|MO|1</t>
  </si>
  <si>
    <t>PTO-1404|EQ</t>
  </si>
  <si>
    <t>PTO-1404|EQ|1</t>
  </si>
  <si>
    <t>PTO-1404|EQ|2</t>
  </si>
  <si>
    <t>PTO-1405</t>
  </si>
  <si>
    <t>PTO-1405|MAT</t>
  </si>
  <si>
    <t>PTO-1405|MAT|1</t>
  </si>
  <si>
    <t>PTO-1405|MAT|2</t>
  </si>
  <si>
    <t>PTO-1405|MO</t>
  </si>
  <si>
    <t>PTO-1405|MO|1</t>
  </si>
  <si>
    <t>PTO-1406</t>
  </si>
  <si>
    <t>PTO-1406|MO</t>
  </si>
  <si>
    <t>PTO-1406|MO|1</t>
  </si>
  <si>
    <t>PTO-1407</t>
  </si>
  <si>
    <t>MAT-0119</t>
  </si>
  <si>
    <t>PTO-1407|MAT</t>
  </si>
  <si>
    <t>PTO-1407|MAT|1</t>
  </si>
  <si>
    <t>PTO-1407|MAT|2</t>
  </si>
  <si>
    <t>PTO-1407|MO</t>
  </si>
  <si>
    <t>PTO-1407|MO|1</t>
  </si>
  <si>
    <t>PTO-1407|MO|2</t>
  </si>
  <si>
    <t>EQ-0040</t>
  </si>
  <si>
    <t>Herramientas/consumibles - H° Visto - Maquillaje para recibir pintu</t>
  </si>
  <si>
    <t>PTO-1407|EQ</t>
  </si>
  <si>
    <t>PTO-1407|EQ|1</t>
  </si>
  <si>
    <t>PTO-1701</t>
  </si>
  <si>
    <t>PTO-1701|MAT</t>
  </si>
  <si>
    <t>PTO-1701|MAT|1</t>
  </si>
  <si>
    <t>PTO-1701|MAT|2</t>
  </si>
  <si>
    <t>PTO-1701|MO</t>
  </si>
  <si>
    <t>PTO-1701|MO|1</t>
  </si>
  <si>
    <t>PTO-1701|MO|2</t>
  </si>
  <si>
    <t>PTO-1701|EQ</t>
  </si>
  <si>
    <t>PTO-1701|EQ|1</t>
  </si>
  <si>
    <t>PTO-1701|EQ|2</t>
  </si>
  <si>
    <t>PTO-1702</t>
  </si>
  <si>
    <t>PTO-1702|MAT</t>
  </si>
  <si>
    <t>PTO-1702|MAT|1</t>
  </si>
  <si>
    <t>PTO-1702|MAT|2</t>
  </si>
  <si>
    <t>PTO-1702|MO</t>
  </si>
  <si>
    <t>PTO-1702|MO|1</t>
  </si>
  <si>
    <t>PTO-1702|MO|2</t>
  </si>
  <si>
    <t>PTO-1702|EQ</t>
  </si>
  <si>
    <t>PTO-1702|EQ|1</t>
  </si>
  <si>
    <t>PTO-1702|EQ|2</t>
  </si>
  <si>
    <t>PTO-1703</t>
  </si>
  <si>
    <t>PTO-1703|MAT</t>
  </si>
  <si>
    <t>PTO-1703|MAT|1</t>
  </si>
  <si>
    <t>PTO-1703|MAT|2</t>
  </si>
  <si>
    <t>PTO-1703|MO</t>
  </si>
  <si>
    <t>PTO-1703|MO|1</t>
  </si>
  <si>
    <t>PTO-1703|MO|2</t>
  </si>
  <si>
    <t>PTO-1703|EQ</t>
  </si>
  <si>
    <t>PTO-1703|EQ|1</t>
  </si>
  <si>
    <t>PTO-1703|EQ|2</t>
  </si>
  <si>
    <t>PTO-1704</t>
  </si>
  <si>
    <t>PTO-1704|MAT</t>
  </si>
  <si>
    <t>PTO-1704|MAT|1</t>
  </si>
  <si>
    <t>PTO-1704|MAT|2</t>
  </si>
  <si>
    <t>PTO-1704|MO</t>
  </si>
  <si>
    <t>PTO-1704|MO|1</t>
  </si>
  <si>
    <t>PTO-1704|MO|2</t>
  </si>
  <si>
    <t>PTO-1704|MO|3</t>
  </si>
  <si>
    <t>PTO-1704|MO|4</t>
  </si>
  <si>
    <t>EQ-0041</t>
  </si>
  <si>
    <t xml:space="preserve">Herramientas/consumibles - Amure Puertas de Ascensor - Provisión a </t>
  </si>
  <si>
    <t>PTO-1704|EQ</t>
  </si>
  <si>
    <t>PTO-1704|EQ|1</t>
  </si>
  <si>
    <t>PTO-1801</t>
  </si>
  <si>
    <t>MAT-0120</t>
  </si>
  <si>
    <t>Caño rigido 7/8"</t>
  </si>
  <si>
    <t>PTO-1801|MAT</t>
  </si>
  <si>
    <t>PTO-1801|MAT|1</t>
  </si>
  <si>
    <t>MAT-0121</t>
  </si>
  <si>
    <t>Conector hierro 7/8"</t>
  </si>
  <si>
    <t>PTO-1801|MAT|2</t>
  </si>
  <si>
    <t>MAT-0122</t>
  </si>
  <si>
    <t>Cupla PVC 7/8"</t>
  </si>
  <si>
    <t>PTO-1801|MAT|3</t>
  </si>
  <si>
    <t>MAT-0123</t>
  </si>
  <si>
    <t>Cable unipolar 1 x 1,50</t>
  </si>
  <si>
    <t>PTO-1801|MAT|4</t>
  </si>
  <si>
    <t>MAT-0124</t>
  </si>
  <si>
    <t>Cable unipolar 1 x 2,50 VA</t>
  </si>
  <si>
    <t>PTO-1801|MAT|5</t>
  </si>
  <si>
    <t>MAT-0125</t>
  </si>
  <si>
    <t>Cable unipolar 1 x 2,50 Rojo/Marron/Negro</t>
  </si>
  <si>
    <t>PTO-1801|MAT|6</t>
  </si>
  <si>
    <t>MAT-0126</t>
  </si>
  <si>
    <t>Caja rectangular chica</t>
  </si>
  <si>
    <t>PTO-1801|MAT|7</t>
  </si>
  <si>
    <t>MAT-0127</t>
  </si>
  <si>
    <t>Caja octogonal chica</t>
  </si>
  <si>
    <t>PTO-1801|MAT|8</t>
  </si>
  <si>
    <t>SUB-0028</t>
  </si>
  <si>
    <t>Boca completa</t>
  </si>
  <si>
    <t>PTO-1801|MO</t>
  </si>
  <si>
    <t>PTO-1801|MO|1</t>
  </si>
  <si>
    <t>EQ-0042</t>
  </si>
  <si>
    <t>EQUIPO PARA INSTALACION ELECTRICA</t>
  </si>
  <si>
    <t>PTO-1801|EQ</t>
  </si>
  <si>
    <t>PTO-1801|EQ|1</t>
  </si>
  <si>
    <t>PTO-1801|EQ|2</t>
  </si>
  <si>
    <t>PTO-1801|EQ|3</t>
  </si>
  <si>
    <t>PTO-1801|MAT|9</t>
  </si>
  <si>
    <t>PTO-1802</t>
  </si>
  <si>
    <t>PTO-1802|MAT</t>
  </si>
  <si>
    <t>PTO-1802|MAT|1</t>
  </si>
  <si>
    <t>PTO-1802|MAT|2</t>
  </si>
  <si>
    <t>PTO-1802|MAT|3</t>
  </si>
  <si>
    <t>PTO-1802|MAT|4</t>
  </si>
  <si>
    <t>PTO-1802|MAT|5</t>
  </si>
  <si>
    <t>PTO-1802|MAT|6</t>
  </si>
  <si>
    <t>PTO-1802|MAT|7</t>
  </si>
  <si>
    <t>PTO-1802|MAT|8</t>
  </si>
  <si>
    <t>PTO-1802|MO</t>
  </si>
  <si>
    <t>PTO-1802|MO|1</t>
  </si>
  <si>
    <t>PTO-1802|EQ</t>
  </si>
  <si>
    <t>PTO-1802|EQ|1</t>
  </si>
  <si>
    <t>PTO-1802|EQ|2</t>
  </si>
  <si>
    <t>PTO-1802|EQ|3</t>
  </si>
  <si>
    <t>PTO-1802|MAT|9</t>
  </si>
  <si>
    <t>PTO-1803</t>
  </si>
  <si>
    <t>MAT-0128</t>
  </si>
  <si>
    <t>Caño rigido 3/4"</t>
  </si>
  <si>
    <t>PTO-1803|MAT</t>
  </si>
  <si>
    <t>PTO-1803|MAT|1</t>
  </si>
  <si>
    <t>MAT-0129</t>
  </si>
  <si>
    <t>Conector hierro 3/4"</t>
  </si>
  <si>
    <t>PTO-1803|MAT|2</t>
  </si>
  <si>
    <t>MAT-0130</t>
  </si>
  <si>
    <t>Cupla PVC 3/4"</t>
  </si>
  <si>
    <t>PTO-1803|MAT|3</t>
  </si>
  <si>
    <t>PTO-1803|MAT|4</t>
  </si>
  <si>
    <t>PTO-1803|MAT|5</t>
  </si>
  <si>
    <t>PTO-1803|MAT|6</t>
  </si>
  <si>
    <t>PTO-1803|MO</t>
  </si>
  <si>
    <t>PTO-1803|MO|1</t>
  </si>
  <si>
    <t>PTO-1803|EQ</t>
  </si>
  <si>
    <t>PTO-1803|EQ|1</t>
  </si>
  <si>
    <t>PTO-1803|EQ|2</t>
  </si>
  <si>
    <t>PTO-1803|EQ|3</t>
  </si>
  <si>
    <t>PTO-1803|MAT|7</t>
  </si>
  <si>
    <t>PTO-1804</t>
  </si>
  <si>
    <t>PTO-1804|MAT</t>
  </si>
  <si>
    <t>PTO-1804|MAT|1</t>
  </si>
  <si>
    <t>PTO-1804|MAT|2</t>
  </si>
  <si>
    <t>PTO-1804|MAT|3</t>
  </si>
  <si>
    <t>PTO-1804|MAT|4</t>
  </si>
  <si>
    <t>PTO-1804|MAT|5</t>
  </si>
  <si>
    <t>PTO-1804|MAT|6</t>
  </si>
  <si>
    <t>PTO-1804|MO</t>
  </si>
  <si>
    <t>PTO-1804|MO|1</t>
  </si>
  <si>
    <t>PTO-1804|EQ</t>
  </si>
  <si>
    <t>PTO-1804|EQ|1</t>
  </si>
  <si>
    <t>PTO-1804|EQ|2</t>
  </si>
  <si>
    <t>PTO-1804|EQ|3</t>
  </si>
  <si>
    <t>PTO-1804|MAT|7</t>
  </si>
  <si>
    <t>PTO-1805</t>
  </si>
  <si>
    <t>PTO-1805|MAT</t>
  </si>
  <si>
    <t>PTO-1805|MAT|1</t>
  </si>
  <si>
    <t>PTO-1805|MAT|2</t>
  </si>
  <si>
    <t>PTO-1805|MAT|3</t>
  </si>
  <si>
    <t>PTO-1805|MAT|4</t>
  </si>
  <si>
    <t>PTO-1805|MAT|5</t>
  </si>
  <si>
    <t>PTO-1805|MAT|6</t>
  </si>
  <si>
    <t>PTO-1805|MO</t>
  </si>
  <si>
    <t>PTO-1805|MO|1</t>
  </si>
  <si>
    <t>PTO-1805|EQ</t>
  </si>
  <si>
    <t>PTO-1805|EQ|1</t>
  </si>
  <si>
    <t>PTO-1805|EQ|2</t>
  </si>
  <si>
    <t>PTO-1805|EQ|3</t>
  </si>
  <si>
    <t>PTO-1805|MAT|7</t>
  </si>
  <si>
    <t>PTO-1806</t>
  </si>
  <si>
    <t>PTO-1806|MAT</t>
  </si>
  <si>
    <t>PTO-1806|MAT|1</t>
  </si>
  <si>
    <t>PTO-1806|MAT|2</t>
  </si>
  <si>
    <t>PTO-1806|MAT|3</t>
  </si>
  <si>
    <t>PTO-1806|MAT|4</t>
  </si>
  <si>
    <t>PTO-1806|MAT|5</t>
  </si>
  <si>
    <t>PTO-1806|MAT|6</t>
  </si>
  <si>
    <t>PTO-1806|MO</t>
  </si>
  <si>
    <t>PTO-1806|MO|1</t>
  </si>
  <si>
    <t>PTO-1806|EQ</t>
  </si>
  <si>
    <t>PTO-1806|EQ|1</t>
  </si>
  <si>
    <t>PTO-1806|EQ|2</t>
  </si>
  <si>
    <t>PTO-1806|EQ|3</t>
  </si>
  <si>
    <t>PTO-1806|MAT|7</t>
  </si>
  <si>
    <t>PTO-1807</t>
  </si>
  <si>
    <t>PTO-1807|MAT</t>
  </si>
  <si>
    <t>PTO-1807|MAT|1</t>
  </si>
  <si>
    <t>PTO-1807|MAT|2</t>
  </si>
  <si>
    <t>PTO-1807|MAT|3</t>
  </si>
  <si>
    <t>PTO-1807|MAT|4</t>
  </si>
  <si>
    <t>PTO-1807|MAT|5</t>
  </si>
  <si>
    <t>PTO-1807|MAT|6</t>
  </si>
  <si>
    <t>PTO-1807|MAT|7</t>
  </si>
  <si>
    <t>PTO-1807|MAT|8</t>
  </si>
  <si>
    <t>SUB-0029</t>
  </si>
  <si>
    <t>Canalización</t>
  </si>
  <si>
    <t>PTO-1807|MO</t>
  </si>
  <si>
    <t>PTO-1807|MO|1</t>
  </si>
  <si>
    <t>PTO-1807|EQ</t>
  </si>
  <si>
    <t>PTO-1807|EQ|1</t>
  </si>
  <si>
    <t>PTO-1807|EQ|2</t>
  </si>
  <si>
    <t>PTO-1807|EQ|3</t>
  </si>
  <si>
    <t>PTO-1807|MAT|9</t>
  </si>
  <si>
    <t>PTO-1808</t>
  </si>
  <si>
    <t>PTO-1808|MAT</t>
  </si>
  <si>
    <t>PTO-1808|MAT|1</t>
  </si>
  <si>
    <t>PTO-1808|MAT|2</t>
  </si>
  <si>
    <t>PTO-1808|MAT|3</t>
  </si>
  <si>
    <t>PTO-1808|MAT|4</t>
  </si>
  <si>
    <t>PTO-1808|MAT|5</t>
  </si>
  <si>
    <t>PTO-1808|MAT|6</t>
  </si>
  <si>
    <t>PTO-1808|MAT|7</t>
  </si>
  <si>
    <t>PTO-1808|MAT|8</t>
  </si>
  <si>
    <t>PTO-1808|MO</t>
  </si>
  <si>
    <t>PTO-1808|MO|1</t>
  </si>
  <si>
    <t>PTO-1808|EQ</t>
  </si>
  <si>
    <t>PTO-1808|EQ|1</t>
  </si>
  <si>
    <t>PTO-1808|EQ|2</t>
  </si>
  <si>
    <t>PTO-1808|EQ|3</t>
  </si>
  <si>
    <t>PTO-1808|MAT|9</t>
  </si>
  <si>
    <t>PTO-1809</t>
  </si>
  <si>
    <t>PTO-1809|MAT</t>
  </si>
  <si>
    <t>PTO-1809|MAT|1</t>
  </si>
  <si>
    <t>PTO-1809|MAT|2</t>
  </si>
  <si>
    <t>PTO-1809|MAT|3</t>
  </si>
  <si>
    <t>PTO-1809|MAT|4</t>
  </si>
  <si>
    <t>PTO-1809|MAT|5</t>
  </si>
  <si>
    <t>PTO-1809|MAT|6</t>
  </si>
  <si>
    <t>PTO-1809|MAT|7</t>
  </si>
  <si>
    <t>PTO-1809|MAT|8</t>
  </si>
  <si>
    <t>PTO-1809|MO</t>
  </si>
  <si>
    <t>PTO-1809|MO|1</t>
  </si>
  <si>
    <t>PTO-1809|EQ</t>
  </si>
  <si>
    <t>PTO-1809|EQ|1</t>
  </si>
  <si>
    <t>PTO-1809|EQ|2</t>
  </si>
  <si>
    <t>PTO-1809|EQ|3</t>
  </si>
  <si>
    <t>PTO-1809|MAT|9</t>
  </si>
  <si>
    <t>PTO-1810</t>
  </si>
  <si>
    <t>MAT-0131</t>
  </si>
  <si>
    <t>STECK DIFERENCIAL 2X25A 30MA</t>
  </si>
  <si>
    <t>PTO-1810|MAT</t>
  </si>
  <si>
    <t>PTO-1810|MAT|1</t>
  </si>
  <si>
    <t>MAT-0132</t>
  </si>
  <si>
    <t>STECK DIFERENCIAL 4X40A 30MA</t>
  </si>
  <si>
    <t>PTO-1810|MAT|2</t>
  </si>
  <si>
    <t>MAT-0133</t>
  </si>
  <si>
    <t>STECK DIFERENCIAL 4X63A 30MA</t>
  </si>
  <si>
    <t>PTO-1810|MAT|3</t>
  </si>
  <si>
    <t>MAT-0134</t>
  </si>
  <si>
    <t>STECK TM BIPOLAR 10A 6KA</t>
  </si>
  <si>
    <t>PTO-1810|MAT|4</t>
  </si>
  <si>
    <t>MAT-0135</t>
  </si>
  <si>
    <t>STECK TM BIPOLAR 16A 6KA</t>
  </si>
  <si>
    <t>PTO-1810|MAT|5</t>
  </si>
  <si>
    <t>MAT-0136</t>
  </si>
  <si>
    <t>STECK TM TETRAPOLAR 32A 6KA</t>
  </si>
  <si>
    <t>PTO-1810|MAT|6</t>
  </si>
  <si>
    <t>MAT-0137</t>
  </si>
  <si>
    <t>STECK TM TETRAPOLAR 50A 6KA</t>
  </si>
  <si>
    <t>PTO-1810|MAT|7</t>
  </si>
  <si>
    <t>MAT-0138</t>
  </si>
  <si>
    <t>GAB. IP65 SERIE 9000 600X900X225</t>
  </si>
  <si>
    <t>PTO-1810|MAT|8</t>
  </si>
  <si>
    <t>MAT-0139</t>
  </si>
  <si>
    <t>CONTRAF ABISAG CALADO 60BIP S9000 600X900</t>
  </si>
  <si>
    <t>PTO-1810|MAT|9</t>
  </si>
  <si>
    <t>MAT-0140</t>
  </si>
  <si>
    <t>RIEL DIN 35MM 1 METRO PERFOR.</t>
  </si>
  <si>
    <t>PTO-1810|MAT|10</t>
  </si>
  <si>
    <t>MAT-0141</t>
  </si>
  <si>
    <t>RIEL PORTA ELEMENTOS X 1 METRO</t>
  </si>
  <si>
    <t>PTO-1810|MAT|11</t>
  </si>
  <si>
    <t>MAT-0142</t>
  </si>
  <si>
    <t>SOP REG P/CONTRAFRENTE PROF 225 X1</t>
  </si>
  <si>
    <t>PTO-1810|MAT|12</t>
  </si>
  <si>
    <t>MAT-0143</t>
  </si>
  <si>
    <t>INTERRUPTOR COMPACTO 4X125A S250</t>
  </si>
  <si>
    <t>PTO-1810|MAT|13</t>
  </si>
  <si>
    <t>MAT-0144</t>
  </si>
  <si>
    <t>DISTRIBUIDOR TETRAP.160A 15 STD</t>
  </si>
  <si>
    <t>PTO-1810|MAT|14</t>
  </si>
  <si>
    <t>MAT-0145</t>
  </si>
  <si>
    <t>TERMINAL COBRE SCC 120-2 (5/8)</t>
  </si>
  <si>
    <t>PTO-1810|MAT|15</t>
  </si>
  <si>
    <t>MAT-0146</t>
  </si>
  <si>
    <t>Voltimetro Display Ojo de Buey 22 mm</t>
  </si>
  <si>
    <t>PTO-1810|MAT|16</t>
  </si>
  <si>
    <t>SUB-0030</t>
  </si>
  <si>
    <t>Tablero seccional de 36 a 54 polos</t>
  </si>
  <si>
    <t>PTO-1810|MO</t>
  </si>
  <si>
    <t>PTO-1810|MO|1</t>
  </si>
  <si>
    <t>EQ-0043</t>
  </si>
  <si>
    <t>Herramientas/consumibles - Tablero Servicios generales - TSG</t>
  </si>
  <si>
    <t>PTO-1810|EQ</t>
  </si>
  <si>
    <t>PTO-1810|EQ|1</t>
  </si>
  <si>
    <t>PTO-1810|MAT|17</t>
  </si>
  <si>
    <t>PTO-1811</t>
  </si>
  <si>
    <t>PTO-1811|MAT</t>
  </si>
  <si>
    <t>PTO-1811|MAT|1</t>
  </si>
  <si>
    <t>PTO-1811|MAT|2</t>
  </si>
  <si>
    <t>PTO-1811|MAT|3</t>
  </si>
  <si>
    <t>MAT-0147</t>
  </si>
  <si>
    <t>LC1D18M7 18A 7,5KW 1+1 220V</t>
  </si>
  <si>
    <t>PTO-1811|MAT|4</t>
  </si>
  <si>
    <t>MAT-0148</t>
  </si>
  <si>
    <t>ALTERNADOR 2 BOMBA DIGITAL 24/110/220VCA</t>
  </si>
  <si>
    <t>PTO-1811|MAT|5</t>
  </si>
  <si>
    <t>PTO-1811|MAT|6</t>
  </si>
  <si>
    <t>MAT-0149</t>
  </si>
  <si>
    <t>GAB. IP65 SERIE 9000 450X450X225</t>
  </si>
  <si>
    <t>PTO-1811|MAT|7</t>
  </si>
  <si>
    <t>MAT-0150</t>
  </si>
  <si>
    <t>CONTRAF ABISAG.CALADO 18BIP S9000 450X450</t>
  </si>
  <si>
    <t>PTO-1811|MAT|8</t>
  </si>
  <si>
    <t>SUB-0031</t>
  </si>
  <si>
    <t>Tablero seccional de 8 a 36 polos</t>
  </si>
  <si>
    <t>PTO-1811|MO</t>
  </si>
  <si>
    <t>PTO-1811|MO|1</t>
  </si>
  <si>
    <t>EQ-0044</t>
  </si>
  <si>
    <t>Herramientas/consumibles - Tablero Bombas impulsión - TS BI</t>
  </si>
  <si>
    <t>PTO-1811|EQ</t>
  </si>
  <si>
    <t>PTO-1811|EQ|1</t>
  </si>
  <si>
    <t>PTO-1811|MAT|9</t>
  </si>
  <si>
    <t>PTO-1812</t>
  </si>
  <si>
    <t>PTO-1812|MAT</t>
  </si>
  <si>
    <t>PTO-1812|MAT|1</t>
  </si>
  <si>
    <t>PTO-1812|MAT|2</t>
  </si>
  <si>
    <t>PTO-1812|MAT|3</t>
  </si>
  <si>
    <t>PTO-1812|MAT|4</t>
  </si>
  <si>
    <t>PTO-1812|MAT|5</t>
  </si>
  <si>
    <t>PTO-1812|MO</t>
  </si>
  <si>
    <t>PTO-1812|MO|1</t>
  </si>
  <si>
    <t>EQ-0045</t>
  </si>
  <si>
    <t>Herramientas/consumibles - Tablero Seccional ascensor - TS.ASC.</t>
  </si>
  <si>
    <t>PTO-1812|EQ</t>
  </si>
  <si>
    <t>PTO-1812|EQ|1</t>
  </si>
  <si>
    <t>PTO-1812|MAT|6</t>
  </si>
  <si>
    <t>PTO-1813</t>
  </si>
  <si>
    <t>PTO-1813|MAT</t>
  </si>
  <si>
    <t>PTO-1813|MAT|1</t>
  </si>
  <si>
    <t>PTO-1813|MAT|2</t>
  </si>
  <si>
    <t>PTO-1813|MAT|3</t>
  </si>
  <si>
    <t>PTO-1813|MAT|4</t>
  </si>
  <si>
    <t>PTO-1813|MAT|5</t>
  </si>
  <si>
    <t>PTO-1813|MAT|6</t>
  </si>
  <si>
    <t>MAT-0151</t>
  </si>
  <si>
    <t>GAB. IP65 SERIE 9000 300X300X150</t>
  </si>
  <si>
    <t>PTO-1813|MAT|7</t>
  </si>
  <si>
    <t>MAT-0152</t>
  </si>
  <si>
    <t>CONTRAF ABISAG.CALADO 10BIP S9000 300X300</t>
  </si>
  <si>
    <t>PTO-1813|MAT|8</t>
  </si>
  <si>
    <t>PTO-1813|MO</t>
  </si>
  <si>
    <t>PTO-1813|MO|1</t>
  </si>
  <si>
    <t>EQ-0046</t>
  </si>
  <si>
    <t>Herramientas/consumibles - Tablero de Bomba presurizadora - TS BR</t>
  </si>
  <si>
    <t>PTO-1813|EQ</t>
  </si>
  <si>
    <t>PTO-1813|EQ|1</t>
  </si>
  <si>
    <t>PTO-1813|MAT|9</t>
  </si>
  <si>
    <t>PTO-1814</t>
  </si>
  <si>
    <t>PTO-1814|MAT</t>
  </si>
  <si>
    <t>PTO-1814|MAT|1</t>
  </si>
  <si>
    <t>PTO-1814|MAT|2</t>
  </si>
  <si>
    <t>PTO-1814|MAT|3</t>
  </si>
  <si>
    <t>MAT-0153</t>
  </si>
  <si>
    <t>CAJA EMB P/ TM 24 POLOS BC T/FUME</t>
  </si>
  <si>
    <t>PTO-1814|MAT|4</t>
  </si>
  <si>
    <t>PTO-1814|MO</t>
  </si>
  <si>
    <t>PTO-1814|MO|1</t>
  </si>
  <si>
    <t>EQ-0047</t>
  </si>
  <si>
    <t>Herramientas/consumibles - Tablero TS Local</t>
  </si>
  <si>
    <t>PTO-1814|EQ</t>
  </si>
  <si>
    <t>PTO-1814|EQ|1</t>
  </si>
  <si>
    <t>PTO-1814|MAT|5</t>
  </si>
  <si>
    <t>PTO-1815</t>
  </si>
  <si>
    <t>PTO-1815|MAT</t>
  </si>
  <si>
    <t>PTO-1815|MAT|1</t>
  </si>
  <si>
    <t>PTO-1815|MAT|2</t>
  </si>
  <si>
    <t>PTO-1815|MAT|3</t>
  </si>
  <si>
    <t>PTO-1815|MAT|4</t>
  </si>
  <si>
    <t>PTO-1815|MO</t>
  </si>
  <si>
    <t>PTO-1815|MO|1</t>
  </si>
  <si>
    <t>EQ-0048</t>
  </si>
  <si>
    <t>Herramientas/consumibles - Tablero de UF (monoambiente)</t>
  </si>
  <si>
    <t>PTO-1815|EQ</t>
  </si>
  <si>
    <t>PTO-1815|EQ|1</t>
  </si>
  <si>
    <t>PTO-1815|MAT|5</t>
  </si>
  <si>
    <t>PTO-1816</t>
  </si>
  <si>
    <t>PTO-1816|MAT</t>
  </si>
  <si>
    <t>PTO-1816|MAT|1</t>
  </si>
  <si>
    <t>MAT-0154</t>
  </si>
  <si>
    <t>STECK DIFERENCIAL 4X25A 30MA</t>
  </si>
  <si>
    <t>PTO-1816|MAT|2</t>
  </si>
  <si>
    <t>PTO-1816|MAT|3</t>
  </si>
  <si>
    <t>MAT-0155</t>
  </si>
  <si>
    <t>STECK TM TETRAPOLAR 16A 6KA</t>
  </si>
  <si>
    <t>PTO-1816|MAT|4</t>
  </si>
  <si>
    <t>PTO-1816|MAT|5</t>
  </si>
  <si>
    <t>PTO-1816|MAT|6</t>
  </si>
  <si>
    <t>MAT-0156</t>
  </si>
  <si>
    <t>CAJA EMB P/ TM 36 POLOS BC T/FUME</t>
  </si>
  <si>
    <t>PTO-1816|MAT|7</t>
  </si>
  <si>
    <t>PTO-1816|MO</t>
  </si>
  <si>
    <t>PTO-1816|MO|1</t>
  </si>
  <si>
    <t>EQ-0049</t>
  </si>
  <si>
    <t>Herramientas/consumibles - Tablero de UF (2 y 3 ambientes)</t>
  </si>
  <si>
    <t>PTO-1816|EQ</t>
  </si>
  <si>
    <t>PTO-1816|EQ|1</t>
  </si>
  <si>
    <t>PTO-1816|MAT|8</t>
  </si>
  <si>
    <t>PTO-1817</t>
  </si>
  <si>
    <t>MAT-0157</t>
  </si>
  <si>
    <t>PTO-1817|MAT</t>
  </si>
  <si>
    <t>PTO-1817|MAT|1</t>
  </si>
  <si>
    <t>SUB-0032</t>
  </si>
  <si>
    <t>PTO-1817|MO</t>
  </si>
  <si>
    <t>PTO-1817|MO|1</t>
  </si>
  <si>
    <t>SUB-0033</t>
  </si>
  <si>
    <t>PTO-1817|MO|2</t>
  </si>
  <si>
    <t>PTO-1817|MO|3</t>
  </si>
  <si>
    <t>PTO-1817|MO|4</t>
  </si>
  <si>
    <t>EQ-0050</t>
  </si>
  <si>
    <t>Herramientas/consumibles - Montante eléctrica</t>
  </si>
  <si>
    <t>PTO-1817|EQ</t>
  </si>
  <si>
    <t>PTO-1817|EQ|1</t>
  </si>
  <si>
    <t>PTO-1818</t>
  </si>
  <si>
    <t>MAT-0158</t>
  </si>
  <si>
    <t>CAÑOX3M RIGIDO 25MM PVC TUBE</t>
  </si>
  <si>
    <t>PTO-1818|MAT</t>
  </si>
  <si>
    <t>PTO-1818|MAT|1</t>
  </si>
  <si>
    <t>MAT-0159</t>
  </si>
  <si>
    <t>RIEL DE FIJAC.1.22 OLMAR</t>
  </si>
  <si>
    <t>PTO-1818|MAT|2</t>
  </si>
  <si>
    <t>MAT-0160</t>
  </si>
  <si>
    <t>BROCA METALICA 1/4 CJA X 100</t>
  </si>
  <si>
    <t>PTO-1818|MAT|3</t>
  </si>
  <si>
    <t>MAT-0161</t>
  </si>
  <si>
    <t>VARILLA ROSCADA 1/4"X1MTC/BUL.</t>
  </si>
  <si>
    <t>PTO-1818|MAT|4</t>
  </si>
  <si>
    <t>MAT-0162</t>
  </si>
  <si>
    <t>GRAMPA P/RIEL 1</t>
  </si>
  <si>
    <t>PTO-1818|MAT|5</t>
  </si>
  <si>
    <t>MAT-0163</t>
  </si>
  <si>
    <t>CAJA DE CONEXION 30X40X10 CH20</t>
  </si>
  <si>
    <t>PTO-1818|MAT|6</t>
  </si>
  <si>
    <t>MAT-0164</t>
  </si>
  <si>
    <t>CONECTOR 25MM PVC RIG IP54 TUBE</t>
  </si>
  <si>
    <t>PTO-1818|MAT|7</t>
  </si>
  <si>
    <t>MAT-0165</t>
  </si>
  <si>
    <t>RLLOX100M 1X 1,5MM NEGRO N.IRAM</t>
  </si>
  <si>
    <t>rol</t>
  </si>
  <si>
    <t>PTO-1818|MAT|8</t>
  </si>
  <si>
    <t>SUB-0034</t>
  </si>
  <si>
    <t>PTO-1818|MO</t>
  </si>
  <si>
    <t>PTO-1818|MO|1</t>
  </si>
  <si>
    <t>SUB-0035</t>
  </si>
  <si>
    <t>PTO-1818|MO|2</t>
  </si>
  <si>
    <t>PTO-1818|MO|3</t>
  </si>
  <si>
    <t>PTO-1818|MO|4</t>
  </si>
  <si>
    <t>EQ-0051</t>
  </si>
  <si>
    <t>Herramientas/consumibles - Montante TV + Tablero TV - Cañería c/cab</t>
  </si>
  <si>
    <t>PTO-1818|EQ</t>
  </si>
  <si>
    <t>PTO-1818|EQ|1</t>
  </si>
  <si>
    <t>PTO-1819</t>
  </si>
  <si>
    <t>PTO-1819|MAT</t>
  </si>
  <si>
    <t>PTO-1819|MAT|1</t>
  </si>
  <si>
    <t>PTO-1819|MAT|2</t>
  </si>
  <si>
    <t>PTO-1819|MAT|3</t>
  </si>
  <si>
    <t>PTO-1819|MAT|4</t>
  </si>
  <si>
    <t>PTO-1819|MAT|5</t>
  </si>
  <si>
    <t>PTO-1819|MAT|6</t>
  </si>
  <si>
    <t>PTO-1819|MAT|7</t>
  </si>
  <si>
    <t>PTO-1819|MAT|8</t>
  </si>
  <si>
    <t>PTO-1819|MO</t>
  </si>
  <si>
    <t>PTO-1819|MO|1</t>
  </si>
  <si>
    <t>PTO-1819|MO|2</t>
  </si>
  <si>
    <t>PTO-1819|MO|3</t>
  </si>
  <si>
    <t>PTO-1819|MO|4</t>
  </si>
  <si>
    <t>EQ-0052</t>
  </si>
  <si>
    <t>Herramientas/consumibles - Montante PE + Tablero PE- Cañería c/cabl</t>
  </si>
  <si>
    <t>PTO-1819|EQ</t>
  </si>
  <si>
    <t>PTO-1819|EQ|1</t>
  </si>
  <si>
    <t>PTO-1820</t>
  </si>
  <si>
    <t>SUB-0036</t>
  </si>
  <si>
    <t>Colocación artefacto</t>
  </si>
  <si>
    <t>PTO-1820|MO</t>
  </si>
  <si>
    <t>PTO-1820|MO|1</t>
  </si>
  <si>
    <t>EQ-0053</t>
  </si>
  <si>
    <t>Herramientas/consumibles - Colocación de sensor de movimiento - Pro</t>
  </si>
  <si>
    <t>PTO-1820|EQ</t>
  </si>
  <si>
    <t>PTO-1820|EQ|1</t>
  </si>
  <si>
    <t>PTO-1821</t>
  </si>
  <si>
    <t>SUB-0037</t>
  </si>
  <si>
    <t>Conexión de punto y toma</t>
  </si>
  <si>
    <t>PTO-1821|MO</t>
  </si>
  <si>
    <t>PTO-1821|MO|1</t>
  </si>
  <si>
    <t>EQ-0054</t>
  </si>
  <si>
    <t>Herramientas/consumibles - Colocación de teclas simples y/o combina</t>
  </si>
  <si>
    <t>PTO-1821|EQ</t>
  </si>
  <si>
    <t>PTO-1821|EQ|1</t>
  </si>
  <si>
    <t>PTO-1822</t>
  </si>
  <si>
    <t>PTO-1822|MO</t>
  </si>
  <si>
    <t>PTO-1822|MO|1</t>
  </si>
  <si>
    <t>EQ-0055</t>
  </si>
  <si>
    <t xml:space="preserve">Herramientas/consumibles - Colocación de pulsadores, circulación + </t>
  </si>
  <si>
    <t>PTO-1822|EQ</t>
  </si>
  <si>
    <t>PTO-1822|EQ|1</t>
  </si>
  <si>
    <t>PTO-1823</t>
  </si>
  <si>
    <t>PTO-1823|MO</t>
  </si>
  <si>
    <t>PTO-1823|MO|1</t>
  </si>
  <si>
    <t>EQ-0056</t>
  </si>
  <si>
    <t>Herramientas/consumibles - Colocación de tomacorriente simple y dob</t>
  </si>
  <si>
    <t>PTO-1823|EQ</t>
  </si>
  <si>
    <t>PTO-1823|EQ|1</t>
  </si>
  <si>
    <t>PTO-1824</t>
  </si>
  <si>
    <t>SUB-0038</t>
  </si>
  <si>
    <t>Luz de emergencia</t>
  </si>
  <si>
    <t>PTO-1824|MO</t>
  </si>
  <si>
    <t>PTO-1824|MO|1</t>
  </si>
  <si>
    <t>EQ-0057</t>
  </si>
  <si>
    <t>Herramientas/consumibles - Colocación de luz de emergencia - Provis</t>
  </si>
  <si>
    <t>PTO-1824|EQ</t>
  </si>
  <si>
    <t>PTO-1824|EQ|1</t>
  </si>
  <si>
    <t>PTO-1825</t>
  </si>
  <si>
    <t>PTO-1825|MO</t>
  </si>
  <si>
    <t>PTO-1825|MO|1</t>
  </si>
  <si>
    <t>EQ-0058</t>
  </si>
  <si>
    <t>Herramientas/consumibles - Colocación de zumbador - Provisión a car</t>
  </si>
  <si>
    <t>PTO-1825|EQ</t>
  </si>
  <si>
    <t>PTO-1825|EQ|1</t>
  </si>
  <si>
    <t>PTO-1826</t>
  </si>
  <si>
    <t>PTO-1826|MO</t>
  </si>
  <si>
    <t>PTO-1826|MO|1</t>
  </si>
  <si>
    <t>EQ-0059</t>
  </si>
  <si>
    <t>Herramientas/consumibles - Colocación artefactos en espacios comune</t>
  </si>
  <si>
    <t>PTO-1826|EQ</t>
  </si>
  <si>
    <t>PTO-1826|EQ|1</t>
  </si>
  <si>
    <t>PTO-1827</t>
  </si>
  <si>
    <t>PTO-1827|MO</t>
  </si>
  <si>
    <t>PTO-1827|MO|1</t>
  </si>
  <si>
    <t>EQ-0060</t>
  </si>
  <si>
    <t>Herramientas/consumibles - Colocación de fotocelula - Provisión a c</t>
  </si>
  <si>
    <t>PTO-1827|EQ</t>
  </si>
  <si>
    <t>PTO-1827|EQ|1</t>
  </si>
  <si>
    <t>PTO-1828</t>
  </si>
  <si>
    <t>MAT-0166</t>
  </si>
  <si>
    <t>M SUBTERRANEO N IRAM 1X 120MM2</t>
  </si>
  <si>
    <t>PTO-1828|MAT</t>
  </si>
  <si>
    <t>PTO-1828|MAT|1</t>
  </si>
  <si>
    <t>MAT-0167</t>
  </si>
  <si>
    <t>Gabinete columna 2 modulos trifasico Edesur</t>
  </si>
  <si>
    <t>PTO-1828|MAT|2</t>
  </si>
  <si>
    <t>MAT-0168</t>
  </si>
  <si>
    <t>Gabinete columna 3 modulos monofasico Edesur</t>
  </si>
  <si>
    <t>PTO-1828|MAT|3</t>
  </si>
  <si>
    <t>MAT-0169</t>
  </si>
  <si>
    <t>Caja de toma y secc. 400A c/6 bases NH T3</t>
  </si>
  <si>
    <t>PTO-1828|MAT|4</t>
  </si>
  <si>
    <t>MAT-0170</t>
  </si>
  <si>
    <t>Fusible NH 00 63 A</t>
  </si>
  <si>
    <t>PTO-1828|MAT|5</t>
  </si>
  <si>
    <t>MAT-0171</t>
  </si>
  <si>
    <t>Fusible NH 02 a 125 A</t>
  </si>
  <si>
    <t>PTO-1828|MAT|6</t>
  </si>
  <si>
    <t>SUB-0039</t>
  </si>
  <si>
    <t>Gabinete 4 medidores</t>
  </si>
  <si>
    <t>PTO-1828|MO</t>
  </si>
  <si>
    <t>PTO-1828|MO|1</t>
  </si>
  <si>
    <t>SUB-0040</t>
  </si>
  <si>
    <t>Gabinete 1 medidor trif</t>
  </si>
  <si>
    <t>PTO-1828|MO|2</t>
  </si>
  <si>
    <t>SUB-0041</t>
  </si>
  <si>
    <t>Caño de acometida</t>
  </si>
  <si>
    <t>PTO-1828|MO|3</t>
  </si>
  <si>
    <t>SUB-0042</t>
  </si>
  <si>
    <t>Caja de toma</t>
  </si>
  <si>
    <t>PTO-1828|MO|4</t>
  </si>
  <si>
    <t>EQ-0061</t>
  </si>
  <si>
    <t>Herramientas/consumibles - Acometida y gabiente de medidores</t>
  </si>
  <si>
    <t>PTO-1828|EQ</t>
  </si>
  <si>
    <t>PTO-1828|EQ|1</t>
  </si>
  <si>
    <t>PTO-1828|MAT|7</t>
  </si>
  <si>
    <t>PTO-1829</t>
  </si>
  <si>
    <t>MAT-0172</t>
  </si>
  <si>
    <t>M COBRE DESNUDO 7H 25MM</t>
  </si>
  <si>
    <t>PTO-1829|MAT</t>
  </si>
  <si>
    <t>PTO-1829|MAT|1</t>
  </si>
  <si>
    <t>MAT-0173</t>
  </si>
  <si>
    <t>CONDUWELD JAB ST 3/4 1.5M</t>
  </si>
  <si>
    <t>PTO-1829|MAT|2</t>
  </si>
  <si>
    <t>MAT-0174</t>
  </si>
  <si>
    <t>CONDUWELD TOMACABLE 3</t>
  </si>
  <si>
    <t>PTO-1829|MAT|3</t>
  </si>
  <si>
    <t>MAT-0175</t>
  </si>
  <si>
    <t>CAJA INSPECCION 15 x 15 PVC</t>
  </si>
  <si>
    <t>PTO-1829|MAT|4</t>
  </si>
  <si>
    <t>SUB-0043</t>
  </si>
  <si>
    <t>PAT de Servicio</t>
  </si>
  <si>
    <t>PTO-1829|MO</t>
  </si>
  <si>
    <t>PTO-1829|MO|1</t>
  </si>
  <si>
    <t>EQ-0062</t>
  </si>
  <si>
    <t>Herramientas/consumibles - Puesta a tierra, jabalinas y cableados</t>
  </si>
  <si>
    <t>PTO-1829|EQ</t>
  </si>
  <si>
    <t>PTO-1829|EQ|1</t>
  </si>
  <si>
    <t>PTO-1829|MAT|5</t>
  </si>
  <si>
    <t>PTO-1830</t>
  </si>
  <si>
    <t>SUB-0044</t>
  </si>
  <si>
    <t>Servicios grales T1</t>
  </si>
  <si>
    <t>PTO-1830|MO</t>
  </si>
  <si>
    <t>PTO-1830|MO|1</t>
  </si>
  <si>
    <t>PTO-1901</t>
  </si>
  <si>
    <t>MAT-0176</t>
  </si>
  <si>
    <t>PTO-1901|MAT</t>
  </si>
  <si>
    <t>PTO-1901|MAT|1</t>
  </si>
  <si>
    <t>SUB-0045</t>
  </si>
  <si>
    <t>PTO-1901|MO</t>
  </si>
  <si>
    <t>PTO-1901|MO|1</t>
  </si>
  <si>
    <t>EQ-0063</t>
  </si>
  <si>
    <t>Herramientas/consumibles - Tendido caño cloacal en planta baja y ss</t>
  </si>
  <si>
    <t>PTO-1901|EQ</t>
  </si>
  <si>
    <t>PTO-1901|EQ|1</t>
  </si>
  <si>
    <t>PTO-1902</t>
  </si>
  <si>
    <t>MAT-0177</t>
  </si>
  <si>
    <t>PTO-1902|MAT</t>
  </si>
  <si>
    <t>PTO-1902|MAT|1</t>
  </si>
  <si>
    <t>SUB-0046</t>
  </si>
  <si>
    <t>PTO-1902|MO</t>
  </si>
  <si>
    <t>PTO-1902|MO|1</t>
  </si>
  <si>
    <t>EQ-0064</t>
  </si>
  <si>
    <t>Herramientas/consumibles - Armado de pozo de bombeo cloacal</t>
  </si>
  <si>
    <t>PTO-1902|EQ</t>
  </si>
  <si>
    <t>PTO-1902|EQ|1</t>
  </si>
  <si>
    <t>PTO-1903</t>
  </si>
  <si>
    <t>MAT-0178</t>
  </si>
  <si>
    <t>PTO-1903|MAT</t>
  </si>
  <si>
    <t>PTO-1903|MAT|1</t>
  </si>
  <si>
    <t>SUB-0047</t>
  </si>
  <si>
    <t>PTO-1903|MO</t>
  </si>
  <si>
    <t>PTO-1903|MO|1</t>
  </si>
  <si>
    <t>EQ-0065</t>
  </si>
  <si>
    <t>Herramientas/consumibles - Por armar CDV en planta tipo</t>
  </si>
  <si>
    <t>PTO-1903|EQ</t>
  </si>
  <si>
    <t>PTO-1903|EQ|1</t>
  </si>
  <si>
    <t>PTO-1904</t>
  </si>
  <si>
    <t>MAT-0179</t>
  </si>
  <si>
    <t>PTO-1904|MAT</t>
  </si>
  <si>
    <t>PTO-1904|MAT|1</t>
  </si>
  <si>
    <t>SUB-0048</t>
  </si>
  <si>
    <t>PTO-1904|MO</t>
  </si>
  <si>
    <t>PTO-1904|MO|1</t>
  </si>
  <si>
    <t>EQ-0066</t>
  </si>
  <si>
    <t xml:space="preserve">Herramientas/consumibles - Montantes, remate y ventilación a los 4 </t>
  </si>
  <si>
    <t>PTO-1904|EQ</t>
  </si>
  <si>
    <t>PTO-1904|EQ|1</t>
  </si>
  <si>
    <t>PTO-1905</t>
  </si>
  <si>
    <t>MAT-0180</t>
  </si>
  <si>
    <t>PTO-1905|MAT</t>
  </si>
  <si>
    <t>PTO-1905|MAT|1</t>
  </si>
  <si>
    <t>SUB-0049</t>
  </si>
  <si>
    <t>PTO-1905|MO</t>
  </si>
  <si>
    <t>PTO-1905|MO|1</t>
  </si>
  <si>
    <t>EQ-0067</t>
  </si>
  <si>
    <t>Herramientas/consumibles - Tendido caño pluvial en planta baja y ss</t>
  </si>
  <si>
    <t>PTO-1905|EQ</t>
  </si>
  <si>
    <t>PTO-1905|EQ|1</t>
  </si>
  <si>
    <t>PTO-1906</t>
  </si>
  <si>
    <t>MAT-0181</t>
  </si>
  <si>
    <t>PTO-1906|MAT</t>
  </si>
  <si>
    <t>PTO-1906|MAT|1</t>
  </si>
  <si>
    <t>SUB-0050</t>
  </si>
  <si>
    <t>PTO-1906|MO</t>
  </si>
  <si>
    <t>PTO-1906|MO|1</t>
  </si>
  <si>
    <t>EQ-0068</t>
  </si>
  <si>
    <t>Herramientas/consumibles - Tendido caño pluvial por pisos</t>
  </si>
  <si>
    <t>PTO-1906|EQ</t>
  </si>
  <si>
    <t>PTO-1906|EQ|1</t>
  </si>
  <si>
    <t>PTO-1907</t>
  </si>
  <si>
    <t>MAT-0182</t>
  </si>
  <si>
    <t>PTO-1907|MAT</t>
  </si>
  <si>
    <t>PTO-1907|MAT|1</t>
  </si>
  <si>
    <t>SUB-0051</t>
  </si>
  <si>
    <t>PTO-1907|MO</t>
  </si>
  <si>
    <t>PTO-1907|MO|1</t>
  </si>
  <si>
    <t>EQ-0069</t>
  </si>
  <si>
    <t xml:space="preserve">Herramientas/consumibles - Instalación tanque de recupero y bombeo </t>
  </si>
  <si>
    <t>PTO-1907|EQ</t>
  </si>
  <si>
    <t>PTO-1907|EQ|1</t>
  </si>
  <si>
    <t>PTO-1908</t>
  </si>
  <si>
    <t>MAT-0183</t>
  </si>
  <si>
    <t>PTO-1908|MAT</t>
  </si>
  <si>
    <t>PTO-1908|MAT|1</t>
  </si>
  <si>
    <t>SUB-0052</t>
  </si>
  <si>
    <t>PTO-1908|MO</t>
  </si>
  <si>
    <t>PTO-1908|MO|1</t>
  </si>
  <si>
    <t>EQ-0070</t>
  </si>
  <si>
    <t>Herramientas/consumibles - Tendido caño de agua en SS hasta TB. Col</t>
  </si>
  <si>
    <t>PTO-1908|EQ</t>
  </si>
  <si>
    <t>PTO-1908|EQ|1</t>
  </si>
  <si>
    <t>PTO-1909</t>
  </si>
  <si>
    <t>MAT-0184</t>
  </si>
  <si>
    <t>PTO-1909|MAT</t>
  </si>
  <si>
    <t>PTO-1909|MAT|1</t>
  </si>
  <si>
    <t>SUB-0053</t>
  </si>
  <si>
    <t>PTO-1909|MO</t>
  </si>
  <si>
    <t>PTO-1909|MO|1</t>
  </si>
  <si>
    <t>EQ-0071</t>
  </si>
  <si>
    <t>Herramientas/consumibles - Colocación TR, armado de colector, subid</t>
  </si>
  <si>
    <t>PTO-1909|EQ</t>
  </si>
  <si>
    <t>PTO-1909|EQ|1</t>
  </si>
  <si>
    <t>PTO-1910</t>
  </si>
  <si>
    <t>MAT-0185</t>
  </si>
  <si>
    <t>PTO-1910|MAT</t>
  </si>
  <si>
    <t>PTO-1910|MAT|1</t>
  </si>
  <si>
    <t>SUB-0054</t>
  </si>
  <si>
    <t>PTO-1910|MO</t>
  </si>
  <si>
    <t>PTO-1910|MO|1</t>
  </si>
  <si>
    <t>EQ-0072</t>
  </si>
  <si>
    <t>Herramientas/consumibles - Colocación de bomba presurizadora, armad</t>
  </si>
  <si>
    <t>PTO-1910|EQ</t>
  </si>
  <si>
    <t>PTO-1910|EQ|1</t>
  </si>
  <si>
    <t>PTO-1911</t>
  </si>
  <si>
    <t>MAT-0186</t>
  </si>
  <si>
    <t>PTO-1911|MAT</t>
  </si>
  <si>
    <t>PTO-1911|MAT|1</t>
  </si>
  <si>
    <t>SUB-0055</t>
  </si>
  <si>
    <t>PTO-1911|MO</t>
  </si>
  <si>
    <t>PTO-1911|MO|1</t>
  </si>
  <si>
    <t>EQ-0073</t>
  </si>
  <si>
    <t>Herramientas/consumibles - Distribución agua fria y caliente en pla</t>
  </si>
  <si>
    <t>PTO-1911|EQ</t>
  </si>
  <si>
    <t>PTO-1911|EQ|1</t>
  </si>
  <si>
    <t>PTO-1912</t>
  </si>
  <si>
    <t>MAT-0187</t>
  </si>
  <si>
    <t>PTO-1912|MAT</t>
  </si>
  <si>
    <t>PTO-1912|MAT|1</t>
  </si>
  <si>
    <t>SUB-0056</t>
  </si>
  <si>
    <t>PTO-1912|MO</t>
  </si>
  <si>
    <t>PTO-1912|MO|1</t>
  </si>
  <si>
    <t>EQ-0074</t>
  </si>
  <si>
    <t>Herramientas/consumibles - Colocación de artefactos y griferias - P</t>
  </si>
  <si>
    <t>PTO-1912|EQ</t>
  </si>
  <si>
    <t>PTO-1912|EQ|1</t>
  </si>
  <si>
    <t>PTO-1913</t>
  </si>
  <si>
    <t>MAT-0188</t>
  </si>
  <si>
    <t>PTO-1913|MAT</t>
  </si>
  <si>
    <t>PTO-1913|MAT|1</t>
  </si>
  <si>
    <t>SUB-0057</t>
  </si>
  <si>
    <t>PTO-1913|MO</t>
  </si>
  <si>
    <t>PTO-1913|MO|1</t>
  </si>
  <si>
    <t>EQ-0075</t>
  </si>
  <si>
    <t>Herramientas/consumibles - Armado y conexionado de desagües AA.CC</t>
  </si>
  <si>
    <t>PTO-1913|EQ</t>
  </si>
  <si>
    <t>PTO-1913|EQ|1</t>
  </si>
  <si>
    <t>PTO-1914</t>
  </si>
  <si>
    <t>MAT-0189</t>
  </si>
  <si>
    <t>PTO-1914|MAT</t>
  </si>
  <si>
    <t>PTO-1914|MAT|1</t>
  </si>
  <si>
    <t>SUB-0058</t>
  </si>
  <si>
    <t>Tendido de cañerías</t>
  </si>
  <si>
    <t>PTO-1914|MO</t>
  </si>
  <si>
    <t>PTO-1914|MO|1</t>
  </si>
  <si>
    <t>EQ-0076</t>
  </si>
  <si>
    <t>Herramientas/consumibles - Tendido de cañerías de mando y retorno p</t>
  </si>
  <si>
    <t>PTO-1914|EQ</t>
  </si>
  <si>
    <t>PTO-1914|EQ|1</t>
  </si>
  <si>
    <t>PTO-1915</t>
  </si>
  <si>
    <t>SUB-0059</t>
  </si>
  <si>
    <t>Montaje de radiadores</t>
  </si>
  <si>
    <t>PTO-1915|MO</t>
  </si>
  <si>
    <t>PTO-1915|MO|1</t>
  </si>
  <si>
    <t>EQ-0077</t>
  </si>
  <si>
    <t>Herramientas/consumibles - Montaje de radiadores - Provisión a carg</t>
  </si>
  <si>
    <t>PTO-1915|EQ</t>
  </si>
  <si>
    <t>PTO-1915|EQ|1</t>
  </si>
  <si>
    <t>PTO-1916</t>
  </si>
  <si>
    <t>MAT-0190</t>
  </si>
  <si>
    <t>PTO-1916|MAT</t>
  </si>
  <si>
    <t>PTO-1916|MAT|1</t>
  </si>
  <si>
    <t>SUB-0060</t>
  </si>
  <si>
    <t>Puesta en marcha de caldera</t>
  </si>
  <si>
    <t>PTO-1916|MO</t>
  </si>
  <si>
    <t>PTO-1916|MO|1</t>
  </si>
  <si>
    <t>EQ-0078</t>
  </si>
  <si>
    <t xml:space="preserve">Herramientas/consumibles - Montaje de caldera y puesta en marcha - </t>
  </si>
  <si>
    <t>PTO-1916|EQ</t>
  </si>
  <si>
    <t>PTO-1916|EQ|1</t>
  </si>
  <si>
    <t>PTO-1917</t>
  </si>
  <si>
    <t>MAT-0191</t>
  </si>
  <si>
    <t xml:space="preserve">INCEND: Tendido cañeria de incendio - </t>
  </si>
  <si>
    <t>PTO-1917|MAT</t>
  </si>
  <si>
    <t>PTO-1917|MAT|1</t>
  </si>
  <si>
    <t>SUB-0061</t>
  </si>
  <si>
    <t>PTO-1917|MO</t>
  </si>
  <si>
    <t>PTO-1917|MO|1</t>
  </si>
  <si>
    <t>EQ-0079</t>
  </si>
  <si>
    <t>Herramientas/consumibles - Tendido cañeria de incendio - Gabinetes,</t>
  </si>
  <si>
    <t>PTO-1917|EQ</t>
  </si>
  <si>
    <t>PTO-1917|EQ|1</t>
  </si>
  <si>
    <t>PTO-1918</t>
  </si>
  <si>
    <t>MAT-0192</t>
  </si>
  <si>
    <t>PTO-1918|MAT</t>
  </si>
  <si>
    <t>PTO-1918|MAT|1</t>
  </si>
  <si>
    <t>SUB-0062</t>
  </si>
  <si>
    <t>PTO-1918|MO</t>
  </si>
  <si>
    <t>PTO-1918|MO|1</t>
  </si>
  <si>
    <t>EQ-0080</t>
  </si>
  <si>
    <t>Herramientas/consumibles - Provisión y tendido de cañerías de gas a</t>
  </si>
  <si>
    <t>PTO-1918|EQ</t>
  </si>
  <si>
    <t>PTO-1918|EQ|1</t>
  </si>
  <si>
    <t>PTO-1919</t>
  </si>
  <si>
    <t>SUB-0063</t>
  </si>
  <si>
    <t>PTO-1919|MO</t>
  </si>
  <si>
    <t>PTO-1919|MO|1</t>
  </si>
  <si>
    <t>PTO-2001</t>
  </si>
  <si>
    <t>MAT-0193</t>
  </si>
  <si>
    <t>Preinstalacion MAT</t>
  </si>
  <si>
    <t>PTO-2001|MAT</t>
  </si>
  <si>
    <t>PTO-2001|MAT|1</t>
  </si>
  <si>
    <t>SUB-0064</t>
  </si>
  <si>
    <t>Preinstalacion M.O</t>
  </si>
  <si>
    <t>PTO-2001|MO</t>
  </si>
  <si>
    <t>PTO-2001|MO|1</t>
  </si>
  <si>
    <t>PTO-2002</t>
  </si>
  <si>
    <t>SUB-0065</t>
  </si>
  <si>
    <t>Instalacion y puesta en marcha</t>
  </si>
  <si>
    <t>PTO-2002|MO</t>
  </si>
  <si>
    <t>PTO-2002|MO|1</t>
  </si>
  <si>
    <t>PTO-2201</t>
  </si>
  <si>
    <t>SUB-0066</t>
  </si>
  <si>
    <t>Colocación extractor de aire en baño</t>
  </si>
  <si>
    <t>PTO-2201|MO</t>
  </si>
  <si>
    <t>PTO-2201|MO|1</t>
  </si>
  <si>
    <t>PTO-2202</t>
  </si>
  <si>
    <t>PTO-2202|MO</t>
  </si>
  <si>
    <t>PTO-2202|MO|1</t>
  </si>
  <si>
    <t>PTO-2301</t>
  </si>
  <si>
    <t>PTO-2301|MAT</t>
  </si>
  <si>
    <t>PTO-2301|MAT|1</t>
  </si>
  <si>
    <t>PTO-2301|MAT|2</t>
  </si>
  <si>
    <t>MAT-0194</t>
  </si>
  <si>
    <t>Mmaposteria</t>
  </si>
  <si>
    <t>PTO-2301|MAT|3</t>
  </si>
  <si>
    <t>MAT-0195</t>
  </si>
  <si>
    <t>Revoque</t>
  </si>
  <si>
    <t>PTO-2301|MAT|4</t>
  </si>
  <si>
    <t>MAT-0196</t>
  </si>
  <si>
    <t>Ladrillo refractario</t>
  </si>
  <si>
    <t>PTO-2301|MAT|5</t>
  </si>
  <si>
    <t>MAT-0197</t>
  </si>
  <si>
    <t>WEBER REFRACTARIO X 10KG (rend. 0,5 m2)</t>
  </si>
  <si>
    <t>PTO-2301|MAT|6</t>
  </si>
  <si>
    <t>MAT-0198</t>
  </si>
  <si>
    <t>Dintel</t>
  </si>
  <si>
    <t>PTO-2301|MAT|7</t>
  </si>
  <si>
    <t>PTO-2301|MO</t>
  </si>
  <si>
    <t>PTO-2301|MO|1</t>
  </si>
  <si>
    <t>PTO-2301|MO|2</t>
  </si>
  <si>
    <t>EQ-0081</t>
  </si>
  <si>
    <t>Herramientas/consumibles - Albañilería parrila completa</t>
  </si>
  <si>
    <t>PTO-2301|EQ</t>
  </si>
  <si>
    <t>PTO-2301|EQ|1</t>
  </si>
  <si>
    <t>PTO-2301|MAT|8</t>
  </si>
  <si>
    <t>PTO-2302</t>
  </si>
  <si>
    <t>PTO-2302|MO</t>
  </si>
  <si>
    <t>PTO-2302|MO|1</t>
  </si>
  <si>
    <t>EQ-0082</t>
  </si>
  <si>
    <t>Herramientas/consumibles - Colocación de ladrillos de vidrio - Prov</t>
  </si>
  <si>
    <t>PTO-2302|EQ</t>
  </si>
  <si>
    <t>PTO-2302|EQ|1</t>
  </si>
  <si>
    <t>PTO-2302|MAT</t>
  </si>
  <si>
    <t>PTO-2302|MAT|1</t>
  </si>
  <si>
    <t>PTO-2303</t>
  </si>
  <si>
    <t>MAT-0199</t>
  </si>
  <si>
    <t>COVE: Provisión y amure de tapas par</t>
  </si>
  <si>
    <t>PTO-2303|MAT</t>
  </si>
  <si>
    <t>PTO-2303|MAT|1</t>
  </si>
  <si>
    <t>SUB-0067</t>
  </si>
  <si>
    <t>PTO-2303|MO</t>
  </si>
  <si>
    <t>PTO-2303|MO|1</t>
  </si>
  <si>
    <t>PTO-2401</t>
  </si>
  <si>
    <t>SUB-0068</t>
  </si>
  <si>
    <t>GGBB: Sereno</t>
  </si>
  <si>
    <t>PTO-2401|MO</t>
  </si>
  <si>
    <t>PTO-2401|MO|1</t>
  </si>
  <si>
    <t>PTO-2402</t>
  </si>
  <si>
    <t>SUB-0069</t>
  </si>
  <si>
    <t>GGBB: Tecnico de seguridad &amp; higiene</t>
  </si>
  <si>
    <t>PTO-2402|MO</t>
  </si>
  <si>
    <t>PTO-2402|MO|1</t>
  </si>
  <si>
    <t>PTO-2403</t>
  </si>
  <si>
    <t>SUB-0070</t>
  </si>
  <si>
    <t>GGBB: Higiene y seguridad Res 51</t>
  </si>
  <si>
    <t>PTO-2403|MO</t>
  </si>
  <si>
    <t>PTO-2403|MO|1</t>
  </si>
  <si>
    <t>PTO-2404</t>
  </si>
  <si>
    <t>MAT-0200</t>
  </si>
  <si>
    <t>Defensas</t>
  </si>
  <si>
    <t>PTO-2404|MAT</t>
  </si>
  <si>
    <t>PTO-2404|MAT|1</t>
  </si>
  <si>
    <t>MAT-0201</t>
  </si>
  <si>
    <t>PTO-2404|MAT|2</t>
  </si>
  <si>
    <t>MAT-0202</t>
  </si>
  <si>
    <t>PTO-2404|MAT|3</t>
  </si>
  <si>
    <t>PTO-2404|MO</t>
  </si>
  <si>
    <t>PTO-2404|MO|1</t>
  </si>
  <si>
    <t>PTO-2404|MO|2</t>
  </si>
  <si>
    <t>PTO-2404|MO|3</t>
  </si>
  <si>
    <t>EQ-0083</t>
  </si>
  <si>
    <t>Herramientas/consumibles - Protecciones y defensas</t>
  </si>
  <si>
    <t>PTO-2404|EQ</t>
  </si>
  <si>
    <t>PTO-2404|EQ|1</t>
  </si>
  <si>
    <t>PTO-2405</t>
  </si>
  <si>
    <t>MAT-0203</t>
  </si>
  <si>
    <t>Mat.</t>
  </si>
  <si>
    <t>PTO-2405|MAT</t>
  </si>
  <si>
    <t>PTO-2405|MAT|1</t>
  </si>
  <si>
    <t>PTO-2405|MO</t>
  </si>
  <si>
    <t>PTO-2405|MO|1</t>
  </si>
  <si>
    <t>PTO-2405|MO|2</t>
  </si>
  <si>
    <t>EQ-0084</t>
  </si>
  <si>
    <t>Herramientas/consumibles - Ayuda de gremios</t>
  </si>
  <si>
    <t>PTO-2405|EQ</t>
  </si>
  <si>
    <t>PTO-2405|EQ|1</t>
  </si>
  <si>
    <t>PTO-2406</t>
  </si>
  <si>
    <t>MAT-0204</t>
  </si>
  <si>
    <t>PTO-2406|MAT</t>
  </si>
  <si>
    <t>PTO-2406|MAT|1</t>
  </si>
  <si>
    <t>PTO-2406|MO</t>
  </si>
  <si>
    <t>PTO-2406|MO|1</t>
  </si>
  <si>
    <t>EQ-0085</t>
  </si>
  <si>
    <t>Herramientas/consumibles - Limpieza periodica</t>
  </si>
  <si>
    <t>PTO-2406|EQ</t>
  </si>
  <si>
    <t>PTO-2406|EQ|1</t>
  </si>
  <si>
    <t>PTO-2408</t>
  </si>
  <si>
    <t>SUB-0071</t>
  </si>
  <si>
    <t>PTO-2408|MO</t>
  </si>
  <si>
    <t>PTO-2408|MO|1</t>
  </si>
  <si>
    <t>PTO-2410</t>
  </si>
  <si>
    <t>MAT-0205</t>
  </si>
  <si>
    <t>PTO-2410|MAT</t>
  </si>
  <si>
    <t>PTO-2410|MAT|1</t>
  </si>
  <si>
    <t>PTO-2410|MO</t>
  </si>
  <si>
    <t>PTO-2410|MO|1</t>
  </si>
  <si>
    <t>PTO-2501</t>
  </si>
  <si>
    <t>SUB-0072</t>
  </si>
  <si>
    <t>GGBB: Supervisión profesional de Obr</t>
  </si>
  <si>
    <t>PTO-2501|MO</t>
  </si>
  <si>
    <t>PTO-2501|MO|1</t>
  </si>
  <si>
    <t>PTO-2502</t>
  </si>
  <si>
    <t>SUB-0073</t>
  </si>
  <si>
    <t>GGBB: Movilidad y viaticos</t>
  </si>
  <si>
    <t>PTO-2502|MO</t>
  </si>
  <si>
    <t>PTO-2502|MO|1</t>
  </si>
  <si>
    <t>PTO-2601</t>
  </si>
  <si>
    <t>MAT-0206</t>
  </si>
  <si>
    <t>Hierro c/ corte y doblado</t>
  </si>
  <si>
    <t>PTO-2601|MAT</t>
  </si>
  <si>
    <t>PTO-2601|MAT|1</t>
  </si>
  <si>
    <t>PTO-2602</t>
  </si>
  <si>
    <t>MAT-0207</t>
  </si>
  <si>
    <t>H° - inc hidrofugo, bombeo, piedra 6/12</t>
  </si>
  <si>
    <t>PTO-2602|MAT</t>
  </si>
  <si>
    <t>PTO-2602|MAT|1</t>
  </si>
  <si>
    <t>PTO-2701</t>
  </si>
  <si>
    <t>MAT-0208</t>
  </si>
  <si>
    <t>Colocación de artefactos a gas - Anafe/Horno</t>
  </si>
  <si>
    <t>PTO-2701|MAT</t>
  </si>
  <si>
    <t>PTO-2701|MAT|1</t>
  </si>
  <si>
    <t>PTO-2701|MO</t>
  </si>
  <si>
    <t>PTO-2701|MO|1</t>
  </si>
  <si>
    <t>PTO-2702</t>
  </si>
  <si>
    <t>MAT-0209</t>
  </si>
  <si>
    <t>Sup</t>
  </si>
  <si>
    <t>7</t>
  </si>
  <si>
    <t>PTO-2702|MAT</t>
  </si>
  <si>
    <t>PTO-2702|MAT|1</t>
  </si>
  <si>
    <t>MAT-0210</t>
  </si>
  <si>
    <t>Conducto ventilacion 30 x 30 - FRENTE</t>
  </si>
  <si>
    <t>PTO-2702|MAT|2</t>
  </si>
  <si>
    <t>MAT-0211</t>
  </si>
  <si>
    <t>Conducto ventilacion 30 x 30 prep - FRENTE</t>
  </si>
  <si>
    <t>PTO-2702|MAT|3</t>
  </si>
  <si>
    <t>MAT-0212</t>
  </si>
  <si>
    <t>Sombrero - Spriros</t>
  </si>
  <si>
    <t>PTO-2702|MAT|4</t>
  </si>
  <si>
    <t>SUB-0074</t>
  </si>
  <si>
    <t>COVE: Provisión y colicación de camp</t>
  </si>
  <si>
    <t>PTO-2702|MO</t>
  </si>
  <si>
    <t>PTO-2702|MO|1</t>
  </si>
  <si>
    <t>PTO-2703</t>
  </si>
  <si>
    <t>MAT-0213</t>
  </si>
  <si>
    <t>SXXI MODULO toma doble 10A</t>
  </si>
  <si>
    <t>PTO-2703|MAT</t>
  </si>
  <si>
    <t>PTO-2703|MAT|1</t>
  </si>
  <si>
    <t>MAT-0214</t>
  </si>
  <si>
    <t>S XXI/XXII BASTIDOR LUJO</t>
  </si>
  <si>
    <t>PTO-2703|MAT|2</t>
  </si>
  <si>
    <t>MAT-0215</t>
  </si>
  <si>
    <t>SXXII TAPA 2 MOD. BLANCA</t>
  </si>
  <si>
    <t>PTO-2703|MAT|3</t>
  </si>
  <si>
    <t>MAT-0216</t>
  </si>
  <si>
    <t>SXXI MODULO toma simple</t>
  </si>
  <si>
    <t>PTO-2703|MAT|4</t>
  </si>
  <si>
    <t>MAT-0217</t>
  </si>
  <si>
    <t>SXXII MODULO PUNTO</t>
  </si>
  <si>
    <t>PTO-2703|MAT|5</t>
  </si>
  <si>
    <t>MAT-0218</t>
  </si>
  <si>
    <t>SXXII MODULO PULSADOR</t>
  </si>
  <si>
    <t>PTO-2703|MAT|6</t>
  </si>
  <si>
    <t>MAT-0219</t>
  </si>
  <si>
    <t>S XXI SOPORTE MIGNON</t>
  </si>
  <si>
    <t>PTO-2703|MAT|7</t>
  </si>
  <si>
    <t>MAT-0220</t>
  </si>
  <si>
    <t>SXXII TAPA MIGNON 1 MD.BLANCA</t>
  </si>
  <si>
    <t>PTO-2703|MAT|8</t>
  </si>
  <si>
    <t>PTO-2801</t>
  </si>
  <si>
    <t>MAT-0221</t>
  </si>
  <si>
    <t>CALEFA: Tendido de cañería por piso, m</t>
  </si>
  <si>
    <t>PTO-2801|MAT</t>
  </si>
  <si>
    <t>PTO-2801|MAT|1</t>
  </si>
  <si>
    <t>SUB-0075</t>
  </si>
  <si>
    <t>Piso radiante + caldera</t>
  </si>
  <si>
    <t>PTO-2801|MO</t>
  </si>
  <si>
    <t>PTO-2801|MO|1</t>
  </si>
  <si>
    <t>EQ-0086</t>
  </si>
  <si>
    <t>Herramientas/consumibles - Tendido de cañería por piso, manta y mal</t>
  </si>
  <si>
    <t>PTO-2801|EQ</t>
  </si>
  <si>
    <t>PTO-2801|EQ|1</t>
  </si>
  <si>
    <t>PTO-2802</t>
  </si>
  <si>
    <t>MAT-0222</t>
  </si>
  <si>
    <t>CALEFA: Colectores y gabinetes</t>
  </si>
  <si>
    <t>PTO-2802|MAT</t>
  </si>
  <si>
    <t>PTO-2802|MAT|1</t>
  </si>
  <si>
    <t>EQ-0087</t>
  </si>
  <si>
    <t>Herramientas/consumibles - Colectores y gabinetes</t>
  </si>
  <si>
    <t>PTO-2802|EQ</t>
  </si>
  <si>
    <t>PTO-2802|EQ|1</t>
  </si>
  <si>
    <t>PTO-2803</t>
  </si>
  <si>
    <t>MAT-0223</t>
  </si>
  <si>
    <t>Flexibles caldera</t>
  </si>
  <si>
    <t>PTO-2803|MAT</t>
  </si>
  <si>
    <t>PTO-2803|MAT|1</t>
  </si>
  <si>
    <t>EQ-0088</t>
  </si>
  <si>
    <t>Herramientas/consumibles - Flexibles caldera</t>
  </si>
  <si>
    <t>PTO-2803|EQ</t>
  </si>
  <si>
    <t>PTO-2803|EQ|1</t>
  </si>
  <si>
    <t>Fecha</t>
  </si>
  <si>
    <t>Concepto</t>
  </si>
  <si>
    <t>Monto</t>
  </si>
  <si>
    <t>Resumen Consolidado por Obra (Horas)</t>
  </si>
  <si>
    <t>Período</t>
  </si>
  <si>
    <t>Obra</t>
  </si>
  <si>
    <t>Categoría</t>
  </si>
  <si>
    <t>Horas totales</t>
  </si>
  <si>
    <t>Horas normales</t>
  </si>
  <si>
    <t>Horas extra 50%</t>
  </si>
  <si>
    <t>Horas extra 100%</t>
  </si>
  <si>
    <t>Costo Hs. Normales</t>
  </si>
  <si>
    <t>Costo Hs. Extra 50%</t>
  </si>
  <si>
    <t>Costo Hs. Extra 100%</t>
  </si>
  <si>
    <t>Total Descontado</t>
  </si>
  <si>
    <t>2Q</t>
  </si>
  <si>
    <t>EL SALVADOR</t>
  </si>
  <si>
    <t>1Q</t>
  </si>
  <si>
    <t>CAPATAZ</t>
  </si>
  <si>
    <t>SUBCONTRATOS — MAESTRO DE CONTRATOS</t>
  </si>
  <si>
    <t>Contrato#</t>
  </si>
  <si>
    <t>Proveedor</t>
  </si>
  <si>
    <t>Monto Presup.</t>
  </si>
  <si>
    <t>Ajusta CAC</t>
  </si>
  <si>
    <t>% Anticipo</t>
  </si>
  <si>
    <t>Pagado BASE+ANT</t>
  </si>
  <si>
    <t>CAC pagado</t>
  </si>
  <si>
    <t>CS pagado</t>
  </si>
  <si>
    <t>Total pagado</t>
  </si>
  <si>
    <t>Saldo disponible</t>
  </si>
  <si>
    <t>% consumido</t>
  </si>
  <si>
    <t>SVD-SC-001</t>
  </si>
  <si>
    <t>CELSI VIAL S.A.</t>
  </si>
  <si>
    <t>SI</t>
  </si>
  <si>
    <t>SVD-SC-002</t>
  </si>
  <si>
    <t>SERENO DE OBRA</t>
  </si>
  <si>
    <t>ALBAMO</t>
  </si>
  <si>
    <t>NO</t>
  </si>
  <si>
    <t>SVD-SC-003</t>
  </si>
  <si>
    <t>SILVIO AGUIRRE</t>
  </si>
  <si>
    <t>ELECMO</t>
  </si>
  <si>
    <t>SVD-SC-004</t>
  </si>
  <si>
    <t>EMANUEL PASQUARIELLO</t>
  </si>
  <si>
    <t>H. Gestoria</t>
  </si>
  <si>
    <t>GESTORIA</t>
  </si>
  <si>
    <t>SVD-SC-005</t>
  </si>
  <si>
    <t>FERNANDO AMARILLA</t>
  </si>
  <si>
    <t>SVD-SC-006</t>
  </si>
  <si>
    <t>ELVIO CESPEDES</t>
  </si>
  <si>
    <t>Proyectado/Revoque/Yeso/Carp.Monolitico</t>
  </si>
  <si>
    <t>SVD-SC-007</t>
  </si>
  <si>
    <t>MARCELO FABIAN SILVA</t>
  </si>
  <si>
    <t>INSTALACION AIRE ACONDICIONADO</t>
  </si>
  <si>
    <t>SVD-SC-008</t>
  </si>
  <si>
    <t>EZEQUIEL MENDOZA</t>
  </si>
  <si>
    <t>SVD-SC-009</t>
  </si>
  <si>
    <t>MARCELO SCHULZE</t>
  </si>
  <si>
    <t>HORMIGON ALISADO - Revestimiento</t>
  </si>
  <si>
    <t>SVD-SC-010</t>
  </si>
  <si>
    <t>MANSILLA DERQUI</t>
  </si>
  <si>
    <t>CALEFACCION PISO RADIANTE</t>
  </si>
  <si>
    <t>RUBROS CANÓNICOS (Plan de Cuentas Tezamat — rama 53 OBRA + especiales)</t>
  </si>
  <si>
    <t>Código</t>
  </si>
  <si>
    <t>TIPOS</t>
  </si>
  <si>
    <t>VALIDACIÓN — rubros de tarea ∈ plan de cuentas</t>
  </si>
  <si>
    <t>CONCEPTOS GASTOS DIR/IND</t>
  </si>
  <si>
    <t>53001</t>
  </si>
  <si>
    <t>Rubros fuera de plan — 1_Presupuesto (A/B/C/D)</t>
  </si>
  <si>
    <t>Directo</t>
  </si>
  <si>
    <t>Demolición</t>
  </si>
  <si>
    <t>53002</t>
  </si>
  <si>
    <t>Rubros fuera de plan — 2_Quincenas (E)</t>
  </si>
  <si>
    <t>53003</t>
  </si>
  <si>
    <t>53004</t>
  </si>
  <si>
    <t>53005</t>
  </si>
  <si>
    <t>Metálica MT</t>
  </si>
  <si>
    <t>53006</t>
  </si>
  <si>
    <t>Metálica MO</t>
  </si>
  <si>
    <t>53007</t>
  </si>
  <si>
    <t>53008</t>
  </si>
  <si>
    <t>53009</t>
  </si>
  <si>
    <t>53010</t>
  </si>
  <si>
    <t>53011</t>
  </si>
  <si>
    <t>Aberturas</t>
  </si>
  <si>
    <t>53012</t>
  </si>
  <si>
    <t>53013</t>
  </si>
  <si>
    <t>53014</t>
  </si>
  <si>
    <t>Payroll - Socios</t>
  </si>
  <si>
    <t>Indirecto</t>
  </si>
  <si>
    <t>53015</t>
  </si>
  <si>
    <t>Intereses Financiamiento</t>
  </si>
  <si>
    <t>Pintura MO</t>
  </si>
  <si>
    <t>53016</t>
  </si>
  <si>
    <t>Payroll - Administración</t>
  </si>
  <si>
    <t>53017</t>
  </si>
  <si>
    <t>53018</t>
  </si>
  <si>
    <t>53019</t>
  </si>
  <si>
    <t>53020</t>
  </si>
  <si>
    <t>Provisiones</t>
  </si>
  <si>
    <t>53021</t>
  </si>
  <si>
    <t>53022</t>
  </si>
  <si>
    <t>53023</t>
  </si>
  <si>
    <t>53024</t>
  </si>
  <si>
    <t>53025</t>
  </si>
  <si>
    <t>53026</t>
  </si>
  <si>
    <t>Herrería MT</t>
  </si>
  <si>
    <t>53027</t>
  </si>
  <si>
    <t>Herrería MO</t>
  </si>
  <si>
    <t>53028</t>
  </si>
  <si>
    <t>53980</t>
  </si>
  <si>
    <t>Gastos a Reintegrar</t>
  </si>
  <si>
    <t>53990</t>
  </si>
  <si>
    <t>Gastos GCBA Construccion</t>
  </si>
  <si>
    <t>53999</t>
  </si>
  <si>
    <t>52302</t>
  </si>
  <si>
    <t>52209</t>
  </si>
  <si>
    <t>ID OC</t>
  </si>
  <si>
    <t>Descripcion</t>
  </si>
  <si>
    <t>Presupuesto aprobado</t>
  </si>
  <si>
    <t>% anticipo</t>
  </si>
  <si>
    <t>Indice base CAC</t>
  </si>
  <si>
    <t>% Blanco sugerido</t>
  </si>
  <si>
    <t>% Negro sugerido</t>
  </si>
  <si>
    <t>% desacopio sugerido</t>
  </si>
  <si>
    <t>% IVA sugerido</t>
  </si>
  <si>
    <t>Fecha anticipo</t>
  </si>
  <si>
    <t>SVD 4140</t>
  </si>
  <si>
    <t>SVD-OC01</t>
  </si>
  <si>
    <t>Pto 1 - Preliminares + Mov.Suelo + Hormigón</t>
  </si>
  <si>
    <t>SVD-OC02</t>
  </si>
  <si>
    <t>Pto 2 - Albañilería + Instalaciones + Terminaciones</t>
  </si>
  <si>
    <t>SVD-OC03</t>
  </si>
  <si>
    <t>Adicionales / Trabajos Complementarios</t>
  </si>
  <si>
    <t>PTO 03</t>
  </si>
  <si>
    <t>ID Certif</t>
  </si>
  <si>
    <t>Cod. tarea</t>
  </si>
  <si>
    <t>% anterior</t>
  </si>
  <si>
    <t>% actual</t>
  </si>
  <si>
    <t>% total</t>
  </si>
  <si>
    <t>PV total tarea</t>
  </si>
  <si>
    <t>$ base tarea (cert act.)</t>
  </si>
  <si>
    <t>Control vs Ppto</t>
  </si>
  <si>
    <t>SVD-OC01-C01</t>
  </si>
  <si>
    <t>1.02</t>
  </si>
  <si>
    <t>1.05</t>
  </si>
  <si>
    <t>1.06</t>
  </si>
  <si>
    <t>1.07</t>
  </si>
  <si>
    <t>1.09</t>
  </si>
  <si>
    <t>1.1</t>
  </si>
  <si>
    <t>2.01</t>
  </si>
  <si>
    <t>24.01</t>
  </si>
  <si>
    <t>24.03</t>
  </si>
  <si>
    <t>25.01</t>
  </si>
  <si>
    <t>25.02</t>
  </si>
  <si>
    <t>SVD-OC01-C02</t>
  </si>
  <si>
    <t>24.02</t>
  </si>
  <si>
    <t>24.06</t>
  </si>
  <si>
    <t>24.08</t>
  </si>
  <si>
    <t>3.01</t>
  </si>
  <si>
    <t>3.02</t>
  </si>
  <si>
    <t>3.03</t>
  </si>
  <si>
    <t>3.04</t>
  </si>
  <si>
    <t>3.13</t>
  </si>
  <si>
    <t>3.15</t>
  </si>
  <si>
    <t>3.16</t>
  </si>
  <si>
    <t>SVD-OC01-C03</t>
  </si>
  <si>
    <t>SVD-OC01-C04</t>
  </si>
  <si>
    <t>3.09</t>
  </si>
  <si>
    <t>SVD-OC01-C05</t>
  </si>
  <si>
    <t>3.06</t>
  </si>
  <si>
    <t>3.07</t>
  </si>
  <si>
    <t>3.1</t>
  </si>
  <si>
    <t>3.14</t>
  </si>
  <si>
    <t>SVD-OC01-C06</t>
  </si>
  <si>
    <t>2.03</t>
  </si>
  <si>
    <t>3.05</t>
  </si>
  <si>
    <t>3.17</t>
  </si>
  <si>
    <t>SVD-OC01-C07</t>
  </si>
  <si>
    <t>24.05</t>
  </si>
  <si>
    <t>24.1</t>
  </si>
  <si>
    <t>3.08</t>
  </si>
  <si>
    <t>3.11</t>
  </si>
  <si>
    <t>SVD-OC01-C08</t>
  </si>
  <si>
    <t>SVD-OC01-C09</t>
  </si>
  <si>
    <t>1.04</t>
  </si>
  <si>
    <t>24.04</t>
  </si>
  <si>
    <t>SVD-OC01-C10</t>
  </si>
  <si>
    <t>SVD-OC01-C11</t>
  </si>
  <si>
    <t>3.12</t>
  </si>
  <si>
    <t>SVD-OC01-C12</t>
  </si>
  <si>
    <t>1.08</t>
  </si>
  <si>
    <t>SVD-OC02-C01</t>
  </si>
  <si>
    <t>18.01</t>
  </si>
  <si>
    <t>18.02</t>
  </si>
  <si>
    <t>18.03</t>
  </si>
  <si>
    <t>18.04</t>
  </si>
  <si>
    <t>18.06</t>
  </si>
  <si>
    <t>18.07</t>
  </si>
  <si>
    <t>18.08</t>
  </si>
  <si>
    <t>18.09</t>
  </si>
  <si>
    <t>19.01</t>
  </si>
  <si>
    <t>19.05</t>
  </si>
  <si>
    <t>5.07</t>
  </si>
  <si>
    <t>8.01</t>
  </si>
  <si>
    <t>SVD-OC02-C02</t>
  </si>
  <si>
    <t>4.01</t>
  </si>
  <si>
    <t>4.02</t>
  </si>
  <si>
    <t>4.03</t>
  </si>
  <si>
    <t>4.08</t>
  </si>
  <si>
    <t>SVD-OC02-C03</t>
  </si>
  <si>
    <t>17.02</t>
  </si>
  <si>
    <t>4.04</t>
  </si>
  <si>
    <t>SVD-OC02-C04</t>
  </si>
  <si>
    <t>17.01</t>
  </si>
  <si>
    <t>17.03</t>
  </si>
  <si>
    <t>18.15</t>
  </si>
  <si>
    <t>18.16</t>
  </si>
  <si>
    <t>19.03</t>
  </si>
  <si>
    <t>19.04</t>
  </si>
  <si>
    <t>19.06</t>
  </si>
  <si>
    <t>19.11</t>
  </si>
  <si>
    <t>19.19</t>
  </si>
  <si>
    <t>7.04</t>
  </si>
  <si>
    <t>SVD-OC02-C05</t>
  </si>
  <si>
    <t>18.05</t>
  </si>
  <si>
    <t>19.13</t>
  </si>
  <si>
    <t>19.18</t>
  </si>
  <si>
    <t>23.01</t>
  </si>
  <si>
    <t>7.05</t>
  </si>
  <si>
    <t>7.06</t>
  </si>
  <si>
    <t>SVD-OC02-C06</t>
  </si>
  <si>
    <t>10.02</t>
  </si>
  <si>
    <t>14.01</t>
  </si>
  <si>
    <t>14.02</t>
  </si>
  <si>
    <t>14.03</t>
  </si>
  <si>
    <t>20.01</t>
  </si>
  <si>
    <t>4.06</t>
  </si>
  <si>
    <t>4.07</t>
  </si>
  <si>
    <t>5.02</t>
  </si>
  <si>
    <t>SVD-OC02-C07</t>
  </si>
  <si>
    <t>11.07</t>
  </si>
  <si>
    <t>14.04</t>
  </si>
  <si>
    <t>14.05</t>
  </si>
  <si>
    <t>14.06</t>
  </si>
  <si>
    <t>23.02</t>
  </si>
  <si>
    <t>7.01</t>
  </si>
  <si>
    <t>7.02</t>
  </si>
  <si>
    <t>7.03</t>
  </si>
  <si>
    <t>7.07</t>
  </si>
  <si>
    <t>7.08</t>
  </si>
  <si>
    <t>SVD-OC02-C08</t>
  </si>
  <si>
    <t>19.14</t>
  </si>
  <si>
    <t>19.15</t>
  </si>
  <si>
    <t>5.01</t>
  </si>
  <si>
    <t>5.05</t>
  </si>
  <si>
    <t>8.04</t>
  </si>
  <si>
    <t>8.07</t>
  </si>
  <si>
    <t>$ base bruta certif.</t>
  </si>
  <si>
    <t>% desacopio (madre)</t>
  </si>
  <si>
    <t>$ desacopio</t>
  </si>
  <si>
    <t>Subtotal neto</t>
  </si>
  <si>
    <t>Chequeo</t>
  </si>
  <si>
    <t>SVD-OC01-ANT</t>
  </si>
  <si>
    <t>SVD-OC02-ANT</t>
  </si>
  <si>
    <t>SVD-OC03-ANT</t>
  </si>
  <si>
    <t>ID Cert+Fact</t>
  </si>
  <si>
    <t>$ base certif (total)</t>
  </si>
  <si>
    <t>% facturacion</t>
  </si>
  <si>
    <t>$ base de esta parte</t>
  </si>
  <si>
    <t>% desacopio</t>
  </si>
  <si>
    <t>$ base neta</t>
  </si>
  <si>
    <t>Indice CAC a la fecha</t>
  </si>
  <si>
    <t>Ratio CAC</t>
  </si>
  <si>
    <t>$ CAC</t>
  </si>
  <si>
    <t>$ base + CAC</t>
  </si>
  <si>
    <t>% IVA</t>
  </si>
  <si>
    <t>$ IVA</t>
  </si>
  <si>
    <t>$ Total certificacion</t>
  </si>
  <si>
    <t>USD MEP a la fecha</t>
  </si>
  <si>
    <t>U$ Total</t>
  </si>
  <si>
    <t>Control B/N suma 100%</t>
  </si>
  <si>
    <t>Indice CAC override</t>
  </si>
  <si>
    <t>SVD-OC01-ANT-B</t>
  </si>
  <si>
    <t>Blanco</t>
  </si>
  <si>
    <t>SVD-OC01-ANT-N</t>
  </si>
  <si>
    <t>Negro</t>
  </si>
  <si>
    <t>SVD-OC02-ANT-B</t>
  </si>
  <si>
    <t>SVD-OC02-ANT-N</t>
  </si>
  <si>
    <t>SVD-OC03-ANT-B</t>
  </si>
  <si>
    <t>SVD-OC03-ANT-N</t>
  </si>
  <si>
    <t>SVD-OC01-C01-B</t>
  </si>
  <si>
    <t>SVD-OC01-C01-N</t>
  </si>
  <si>
    <t>SVD-OC01-C02-B</t>
  </si>
  <si>
    <t>SVD-OC01-C02-N</t>
  </si>
  <si>
    <t>SVD-OC01-C03-B</t>
  </si>
  <si>
    <t>SVD-OC01-C03-N</t>
  </si>
  <si>
    <t>SVD-OC01-C04-B</t>
  </si>
  <si>
    <t>SVD-OC01-C04-N</t>
  </si>
  <si>
    <t>SVD-OC01-C05-B</t>
  </si>
  <si>
    <t>SVD-OC01-C05-N</t>
  </si>
  <si>
    <t>SVD-OC01-C06-B</t>
  </si>
  <si>
    <t>SVD-OC01-C06-N</t>
  </si>
  <si>
    <t>SVD-OC01-C07-B</t>
  </si>
  <si>
    <t>SVD-OC01-C07-N</t>
  </si>
  <si>
    <t>SVD-OC01-C08-B</t>
  </si>
  <si>
    <t>SVD-OC01-C08-N</t>
  </si>
  <si>
    <t>SVD-OC01-C09-B</t>
  </si>
  <si>
    <t>SVD-OC01-C09-N</t>
  </si>
  <si>
    <t>SVD-OC01-C10-B</t>
  </si>
  <si>
    <t>SVD-OC01-C10-N</t>
  </si>
  <si>
    <t>SVD-OC01-C11-B</t>
  </si>
  <si>
    <t>SVD-OC01-C11-N</t>
  </si>
  <si>
    <t>SVD-OC01-C12-B</t>
  </si>
  <si>
    <t>SVD-OC01-C12-N</t>
  </si>
  <si>
    <t>SVD-OC02-C01-B</t>
  </si>
  <si>
    <t>SVD-OC02-C01-N</t>
  </si>
  <si>
    <t>SVD-OC02-C02-B</t>
  </si>
  <si>
    <t>SVD-OC02-C02-N</t>
  </si>
  <si>
    <t>SVD-OC02-C03-B</t>
  </si>
  <si>
    <t>SVD-OC02-C03-N</t>
  </si>
  <si>
    <t>SVD-OC02-C04-B</t>
  </si>
  <si>
    <t>SVD-OC02-C04-N</t>
  </si>
  <si>
    <t>SVD-OC02-C05-B</t>
  </si>
  <si>
    <t>SVD-OC02-C05-N</t>
  </si>
  <si>
    <t>SVD-OC02-C06-B</t>
  </si>
  <si>
    <t>SVD-OC02-C06-N</t>
  </si>
  <si>
    <t>SVD-OC02-C07-B</t>
  </si>
  <si>
    <t>SVD-OC02-C07-N</t>
  </si>
  <si>
    <t>SVD-OC02-C08-B</t>
  </si>
  <si>
    <t>SVD-OC02-C08-N</t>
  </si>
  <si>
    <t>id_cert_fact</t>
  </si>
  <si>
    <t>Comprobante</t>
  </si>
  <si>
    <t>monto</t>
  </si>
  <si>
    <t>moneda</t>
  </si>
  <si>
    <t>Fecha cobro</t>
  </si>
  <si>
    <t>monto_ars_equiv</t>
  </si>
  <si>
    <t>Estado conciliado</t>
  </si>
  <si>
    <t>$ certificado (control)</t>
  </si>
  <si>
    <t>Saldo a facturar</t>
  </si>
  <si>
    <t>id_factura</t>
  </si>
  <si>
    <t>TC cobro</t>
  </si>
  <si>
    <t>id_cert_madre</t>
  </si>
  <si>
    <t>id_OC</t>
  </si>
  <si>
    <t>Clase</t>
  </si>
  <si>
    <t>Retención</t>
  </si>
  <si>
    <t>Haber conciliado</t>
  </si>
  <si>
    <t>$ Contrato</t>
  </si>
  <si>
    <t>% Avance fisico</t>
  </si>
  <si>
    <t>$ Certificado</t>
  </si>
  <si>
    <t>$ Facturado</t>
  </si>
  <si>
    <t>$ Cobrado</t>
  </si>
  <si>
    <t>$ Anticipo certif.</t>
  </si>
  <si>
    <t>$ Avance s/certificar</t>
  </si>
  <si>
    <t>Saldo a cobrar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</si>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</sst>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6" formatCode="&quot;$&quot;#,##0_);[Red]\(&quot;$&quot;#,##0\)"/>
    <numFmt numFmtId="164" formatCode="dd/mm/yyyy"/>
    <numFmt numFmtId="165" formatCode="_(* #,##0.00_);_(* \(#,##0.00\);_(* \-??_);_(@_)"/>
    <numFmt numFmtId="166" formatCode="_(* #,##0_);_(* \(#,##0\);_(* \-??_);_(@_)"/>
    <numFmt numFmtId="167" formatCode="#,##0;\-#,##0;&quot;OK&quot;"/>
    <numFmt numFmtId="168" formatCode="_-* #,##0.00\ _$_-;\-* #,##0.00\ _$_-;_-* \-??\ _$_-;_-@_-"/>
    <numFmt numFmtId="169" formatCode="_ * #,##0.00_ ;_ * \-#,##0.00_ ;_ * \-??_ ;_ @_ "/>
    <numFmt numFmtId="170" formatCode="_ * #,##0.0_ ;_ * \-#,##0.0_ ;_ * \-??_ ;_ @_ "/>
    <numFmt numFmtId="171" formatCode="_-* #,##0.00\ _€_-;\-* #,##0.00\ _€_-;_-* \-??\ _€_-;_-@_-"/>
    <numFmt numFmtId="172" formatCode="_-* #,##0.00_-;\-* #,##0.00_-;_-* \-??_-;_-@_-"/>
    <numFmt numFmtId="173" formatCode="_-* #,##0_-;\-* #,##0_-;_-* \-??_-;_-@_-"/>
    <numFmt numFmtId="174" formatCode="_(* #,##0.0000_);_(* \(#,##0.0000\);_(* \-??_);_(@_)"/>
    <numFmt numFmtId="175" formatCode="\$#,##0;&quot;($&quot;#,##0\);\-"/>
    <numFmt numFmtId="176" formatCode="&quot;$&quot;#,##0"/>
    <numFmt numFmtId="177" formatCode="\$#,##0"/>
    <numFmt numFmtId="178" formatCode="0.0%"/>
    <numFmt numFmtId="179" formatCode="m/d/yyyy;@"/>
    <numFmt numFmtId="180" formatCode="0.0000"/>
    <numFmt numFmtId="181" formatCode="0.######"/>
    <numFmt numFmtId="182" formatCode="_-* #,##0.00\ _p_t_a_-;\-* #,##0.00\ _p_t_a_-;_-* \-??\ _p_t_a_-;_-@_-"/>
    <numFmt numFmtId="183" formatCode="_-&quot;$ &quot;* #,##0.00_-;&quot;-$ &quot;* #,##0.00_-;_-&quot;$ &quot;* \-??_-;_-@_-"/>
    <numFmt numFmtId="184" formatCode="_ &quot;$ &quot;* #,##0.00_ ;_ &quot;$ &quot;* \-#,##0.00_ ;_ &quot;$ &quot;* \-??_ ;_ @_ "/>
  </numFmts>
  <fonts count="52" x14ac:knownFonts="1">
    <font>
      <sz val="11"/>
      <color theme="1"/>
      <name val="Aptos Narrow"/>
      <family val="2"/>
      <charset val="1"/>
    </font>
    <font>
      <sz val="11"/>
      <color rgb="FF006100"/>
      <name val="Aptos Narrow"/>
      <family val="2"/>
      <charset val="1"/>
    </font>
    <font>
      <sz val="11"/>
      <color rgb="FF9C0006"/>
      <name val="Aptos Narrow"/>
      <family val="2"/>
      <charset val="1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name val="MS Sans Serif"/>
      <charset val="1"/>
    </font>
    <font>
      <sz val="11"/>
      <color theme="1"/>
      <name val="Calibri"/>
      <family val="2"/>
      <charset val="1"/>
    </font>
    <font>
      <sz val="10"/>
      <color rgb="FF000000"/>
      <name val="MS Sans Serif"/>
      <charset val="1"/>
    </font>
    <font>
      <sz val="11"/>
      <color theme="1"/>
      <name val="Arial"/>
      <family val="2"/>
      <charset val="1"/>
    </font>
    <font>
      <b/>
      <sz val="11"/>
      <color theme="1"/>
      <name val="Aptos Narrow"/>
      <family val="2"/>
      <charset val="1"/>
    </font>
    <font>
      <sz val="10"/>
      <color theme="1"/>
      <name val="Aptos Narrow"/>
      <family val="2"/>
      <charset val="1"/>
    </font>
    <font>
      <b/>
      <sz val="10"/>
      <name val="Aptos Narrow"/>
      <family val="2"/>
      <charset val="1"/>
    </font>
    <font>
      <sz val="10"/>
      <name val="Aptos Narrow"/>
      <family val="2"/>
      <charset val="1"/>
    </font>
    <font>
      <i/>
      <sz val="10"/>
      <color rgb="FF606060"/>
      <name val="Aptos Narrow"/>
      <family val="2"/>
      <charset val="1"/>
    </font>
    <font>
      <b/>
      <i/>
      <sz val="10"/>
      <color rgb="FF808080"/>
      <name val="Aptos Narrow"/>
      <family val="2"/>
      <charset val="1"/>
    </font>
    <font>
      <b/>
      <sz val="10"/>
      <color rgb="FF1F3864"/>
      <name val="Aptos Narrow"/>
      <family val="2"/>
      <charset val="1"/>
    </font>
    <font>
      <b/>
      <sz val="10"/>
      <color rgb="FFFFFFFF"/>
      <name val="Aptos Narrow"/>
      <family val="2"/>
      <charset val="1"/>
    </font>
    <font>
      <sz val="10"/>
      <color rgb="FF0000FF"/>
      <name val="Aptos Narrow"/>
      <family val="2"/>
      <charset val="1"/>
    </font>
    <font>
      <i/>
      <sz val="10"/>
      <color rgb="FF0000FF"/>
      <name val="Aptos Narrow"/>
      <family val="2"/>
      <charset val="1"/>
    </font>
    <font>
      <b/>
      <sz val="10"/>
      <color theme="1"/>
      <name val="Aptos Narrow"/>
      <family val="2"/>
      <charset val="1"/>
    </font>
    <font>
      <sz val="8"/>
      <color theme="1"/>
      <name val="Aptos Narrow"/>
      <family val="2"/>
      <charset val="1"/>
    </font>
    <font>
      <sz val="8"/>
      <name val="Aptos Narrow"/>
      <family val="2"/>
      <charset val="1"/>
    </font>
    <font>
      <b/>
      <sz val="8"/>
      <name val="Aptos Narrow"/>
      <family val="2"/>
      <charset val="1"/>
    </font>
    <font>
      <b/>
      <sz val="8"/>
      <color theme="1"/>
      <name val="Aptos Narrow"/>
      <family val="2"/>
      <charset val="1"/>
    </font>
    <font>
      <sz val="8"/>
      <color rgb="FFFF0000"/>
      <name val="Aptos Narrow"/>
      <family val="2"/>
      <charset val="1"/>
    </font>
    <font>
      <sz val="8"/>
      <color rgb="FF006100"/>
      <name val="Aptos Narrow"/>
      <family val="2"/>
      <charset val="1"/>
    </font>
    <font>
      <b/>
      <sz val="8"/>
      <color rgb="FFFF0000"/>
      <name val="Aptos Narrow"/>
      <family val="2"/>
      <charset val="1"/>
    </font>
    <font>
      <sz val="8"/>
      <color theme="9"/>
      <name val="Aptos Narrow"/>
      <family val="2"/>
      <charset val="1"/>
    </font>
    <font>
      <b/>
      <sz val="10"/>
      <color theme="0"/>
      <name val="Aptos Narrow"/>
      <family val="2"/>
      <charset val="1"/>
    </font>
    <font>
      <b/>
      <sz val="10"/>
      <color rgb="FF000000"/>
      <name val="Aptos Narrow"/>
      <family val="2"/>
      <charset val="1"/>
    </font>
    <font>
      <b/>
      <sz val="11"/>
      <color rgb="FFFFFFFF"/>
      <name val="Arial"/>
      <family val="2"/>
      <charset val="1"/>
    </font>
    <font>
      <sz val="11"/>
      <color theme="1"/>
      <name val="Aptos Narrow"/>
      <family val="2"/>
      <charset val="1"/>
    </font>
    <font>
      <b/>
      <sz val="9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rgb="FF0000FF"/>
      <name val="Aptos Narrow"/>
      <family val="2"/>
      <charset val="1"/>
    </font>
    <font>
      <sz val="10"/>
      <color rgb="FF00B050"/>
      <name val="Aptos Narrow"/>
      <family val="2"/>
      <charset val="1"/>
    </font>
    <font>
      <b/>
      <sz val="10"/>
      <color rgb="FFFF0000"/>
      <name val="Aptos Narrow"/>
      <family val="2"/>
      <charset val="1"/>
    </font>
    <font>
      <sz val="10"/>
      <color rgb="FFFF0000"/>
      <name val="Aptos Narrow"/>
      <family val="2"/>
      <charset val="1"/>
    </font>
    <font>
      <b/>
      <sz val="11"/>
      <name val="Aptos Narrow"/>
    </font>
    <font>
      <b/>
      <sz val="11"/>
      <color rgb="FFFFFFFF"/>
      <name val="Aptos Narrow"/>
    </font>
    <font>
      <b/>
      <sz val="11"/>
      <color rgb="FFFFFFFF"/>
      <name val="Aptos Narrow"/>
    </font>
    <font>
      <b/>
      <sz val="11"/>
      <color rgb="FF1F3864"/>
      <name val="Aptos Narrow"/>
    </font>
    <font>
      <b/>
      <sz val="11"/>
      <color rgb="FFFFFFFF"/>
      <name val="Aptos Narrow"/>
    </font>
    <font>
      <sz val="11"/>
      <color rgb="FF000000"/>
      <name val="Aptos Narrow"/>
    </font>
    <font>
      <sz val="11"/>
      <color rgb="FF0000FF"/>
      <name val="Aptos Narrow"/>
    </font>
    <font>
      <sz val="11"/>
      <color rgb="FF008000"/>
      <name val="Aptos Narrow"/>
    </font>
    <font>
      <sz val="11"/>
      <color rgb="FF000000"/>
      <name val="Aptos Narrow"/>
    </font>
    <font>
      <sz val="11"/>
      <color rgb="FF0000FF"/>
      <name val="Aptos Narrow"/>
    </font>
    <font>
      <sz val="11"/>
      <color rgb="FF008000"/>
      <name val="Aptos Narrow"/>
    </font>
    <font>
      <b/>
      <sz val="11"/>
      <name val="Aptos Narrow"/>
      <family val="2"/>
    </font>
    <font>
      <b/>
      <sz val="11"/>
      <color theme="1"/>
      <name val="Aptos Narrow"/>
      <family val="2"/>
    </font>
  </fonts>
  <fills count="21">
    <fill>
      <patternFill patternType="none"/>
    </fill>
    <fill>
      <patternFill patternType="gray125"/>
    </fill>
    <fill>
      <patternFill patternType="solid">
        <fgColor rgb="FFC6EFCE"/>
        <bgColor rgb="FFC2F1C8"/>
      </patternFill>
    </fill>
    <fill>
      <patternFill patternType="solid">
        <fgColor rgb="FFFFC7CE"/>
        <bgColor rgb="FFF4CCCC"/>
      </patternFill>
    </fill>
    <fill>
      <patternFill patternType="solid">
        <fgColor rgb="FFFFF2CC"/>
        <bgColor rgb="FFFFF7CD"/>
      </patternFill>
    </fill>
    <fill>
      <patternFill patternType="solid">
        <fgColor rgb="FFD6E4F0"/>
        <bgColor rgb="FFD9E1F2"/>
      </patternFill>
    </fill>
    <fill>
      <patternFill patternType="solid">
        <fgColor rgb="FF1B2A4A"/>
        <bgColor rgb="FF262626"/>
      </patternFill>
    </fill>
    <fill>
      <patternFill patternType="solid">
        <fgColor theme="4"/>
        <bgColor rgb="FF1F4E78"/>
      </patternFill>
    </fill>
    <fill>
      <patternFill patternType="solid">
        <fgColor theme="6" tint="0.59959715567491678"/>
        <bgColor rgb="FFA6CAEC"/>
      </patternFill>
    </fill>
    <fill>
      <patternFill patternType="solid">
        <fgColor rgb="FFFFFFCC"/>
        <bgColor rgb="FFFFF7CD"/>
      </patternFill>
    </fill>
    <fill>
      <patternFill patternType="solid">
        <fgColor rgb="FFCCFFCC"/>
        <bgColor rgb="FFC2F1C8"/>
      </patternFill>
    </fill>
    <fill>
      <patternFill patternType="solid">
        <fgColor rgb="FFFFFF00"/>
        <bgColor rgb="FFFFC000"/>
      </patternFill>
    </fill>
    <fill>
      <patternFill patternType="solid">
        <fgColor theme="0" tint="-0.14999847407452621"/>
        <bgColor rgb="FFD9E1F2"/>
      </patternFill>
    </fill>
    <fill>
      <patternFill patternType="solid">
        <fgColor rgb="FF1F4E78"/>
        <bgColor rgb="FF156082"/>
      </patternFill>
    </fill>
    <fill>
      <patternFill patternType="solid">
        <fgColor theme="0" tint="-0.249977111117893"/>
        <bgColor rgb="FFCCCCCC"/>
      </patternFill>
    </fill>
    <fill>
      <patternFill patternType="solid">
        <fgColor theme="0" tint="-4.9989318521683403E-2"/>
        <bgColor rgb="FFD9E1F2"/>
      </patternFill>
    </fill>
    <fill>
      <patternFill patternType="solid">
        <fgColor theme="0" tint="-4.9989318521683403E-2"/>
        <bgColor rgb="FFBFBFBF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1F4E78"/>
      </patternFill>
    </fill>
    <fill>
      <patternFill patternType="solid">
        <fgColor rgb="FFD6E4F0"/>
      </patternFill>
    </fill>
    <fill>
      <patternFill patternType="solid">
        <fgColor rgb="FF1F4E78"/>
      </patternFill>
    </fill>
  </fills>
  <borders count="16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 tint="-0.249977111117893"/>
      </bottom>
      <diagonal/>
    </border>
    <border>
      <left/>
      <right/>
      <top/>
      <bottom style="hair">
        <color theme="0" tint="-0.249977111117893"/>
      </bottom>
      <diagonal/>
    </border>
  </borders>
  <cellStyleXfs count="124">
    <xf numFmtId="0" fontId="0" fillId="0" borderId="0"/>
    <xf numFmtId="0" fontId="1" fillId="2" borderId="0"/>
    <xf numFmtId="165" fontId="32" fillId="0" borderId="0"/>
    <xf numFmtId="0" fontId="2" fillId="3" borderId="0"/>
    <xf numFmtId="172" fontId="32" fillId="0" borderId="0"/>
    <xf numFmtId="172" fontId="32" fillId="0" borderId="0"/>
    <xf numFmtId="165" fontId="32" fillId="0" borderId="0"/>
    <xf numFmtId="165" fontId="32" fillId="0" borderId="0"/>
    <xf numFmtId="171" fontId="32" fillId="0" borderId="0"/>
    <xf numFmtId="171" fontId="32" fillId="0" borderId="0"/>
    <xf numFmtId="172" fontId="32" fillId="0" borderId="0"/>
    <xf numFmtId="172" fontId="3" fillId="0" borderId="0"/>
    <xf numFmtId="165" fontId="3" fillId="0" borderId="0"/>
    <xf numFmtId="172" fontId="3" fillId="0" borderId="0"/>
    <xf numFmtId="172" fontId="32" fillId="0" borderId="0"/>
    <xf numFmtId="169" fontId="32" fillId="0" borderId="0"/>
    <xf numFmtId="169" fontId="32" fillId="0" borderId="0"/>
    <xf numFmtId="169" fontId="32" fillId="0" borderId="0"/>
    <xf numFmtId="172" fontId="32" fillId="0" borderId="0"/>
    <xf numFmtId="165" fontId="3" fillId="0" borderId="0"/>
    <xf numFmtId="172" fontId="32" fillId="0" borderId="0"/>
    <xf numFmtId="172" fontId="3" fillId="0" borderId="0"/>
    <xf numFmtId="172" fontId="3" fillId="0" borderId="0"/>
    <xf numFmtId="171" fontId="32" fillId="0" borderId="0"/>
    <xf numFmtId="169" fontId="3" fillId="0" borderId="0"/>
    <xf numFmtId="169" fontId="3" fillId="0" borderId="0"/>
    <xf numFmtId="169" fontId="32" fillId="0" borderId="0"/>
    <xf numFmtId="172" fontId="3" fillId="0" borderId="0"/>
    <xf numFmtId="169" fontId="3" fillId="0" borderId="0"/>
    <xf numFmtId="172" fontId="3" fillId="0" borderId="0"/>
    <xf numFmtId="165" fontId="3" fillId="0" borderId="0"/>
    <xf numFmtId="171" fontId="4" fillId="0" borderId="0"/>
    <xf numFmtId="172" fontId="32" fillId="0" borderId="0"/>
    <xf numFmtId="169" fontId="32" fillId="0" borderId="0"/>
    <xf numFmtId="169" fontId="32" fillId="0" borderId="0"/>
    <xf numFmtId="172" fontId="5" fillId="0" borderId="0"/>
    <xf numFmtId="168" fontId="32" fillId="0" borderId="0"/>
    <xf numFmtId="168" fontId="32" fillId="0" borderId="0"/>
    <xf numFmtId="168" fontId="32" fillId="0" borderId="0"/>
    <xf numFmtId="171" fontId="32" fillId="0" borderId="0"/>
    <xf numFmtId="171" fontId="32" fillId="0" borderId="0"/>
    <xf numFmtId="171" fontId="32" fillId="0" borderId="0"/>
    <xf numFmtId="171" fontId="32" fillId="0" borderId="0"/>
    <xf numFmtId="171" fontId="32" fillId="0" borderId="0"/>
    <xf numFmtId="171" fontId="32" fillId="0" borderId="0"/>
    <xf numFmtId="172" fontId="32" fillId="0" borderId="0"/>
    <xf numFmtId="168" fontId="32" fillId="0" borderId="0"/>
    <xf numFmtId="182" fontId="3" fillId="0" borderId="0"/>
    <xf numFmtId="168" fontId="32" fillId="0" borderId="0"/>
    <xf numFmtId="172" fontId="32" fillId="0" borderId="0"/>
    <xf numFmtId="168" fontId="32" fillId="0" borderId="0"/>
    <xf numFmtId="172" fontId="32" fillId="0" borderId="0"/>
    <xf numFmtId="172" fontId="32" fillId="0" borderId="0"/>
    <xf numFmtId="172" fontId="32" fillId="0" borderId="0"/>
    <xf numFmtId="165" fontId="32" fillId="0" borderId="0"/>
    <xf numFmtId="172" fontId="32" fillId="0" borderId="0"/>
    <xf numFmtId="168" fontId="32" fillId="0" borderId="0"/>
    <xf numFmtId="172" fontId="6" fillId="0" borderId="0"/>
    <xf numFmtId="172" fontId="6" fillId="0" borderId="0"/>
    <xf numFmtId="172" fontId="32" fillId="0" borderId="0"/>
    <xf numFmtId="172" fontId="32" fillId="0" borderId="0"/>
    <xf numFmtId="172" fontId="3" fillId="0" borderId="0"/>
    <xf numFmtId="165" fontId="3" fillId="0" borderId="0"/>
    <xf numFmtId="172" fontId="32" fillId="0" borderId="0"/>
    <xf numFmtId="172" fontId="32" fillId="0" borderId="0"/>
    <xf numFmtId="172" fontId="32" fillId="0" borderId="0"/>
    <xf numFmtId="183" fontId="32" fillId="0" borderId="0"/>
    <xf numFmtId="184" fontId="3" fillId="0" borderId="0"/>
    <xf numFmtId="184" fontId="32" fillId="0" borderId="0"/>
    <xf numFmtId="183" fontId="32" fillId="0" borderId="0"/>
    <xf numFmtId="183" fontId="32" fillId="0" borderId="0"/>
    <xf numFmtId="183" fontId="32" fillId="0" borderId="0"/>
    <xf numFmtId="183" fontId="32" fillId="0" borderId="0"/>
    <xf numFmtId="184" fontId="3" fillId="0" borderId="0"/>
    <xf numFmtId="184" fontId="3" fillId="0" borderId="0"/>
    <xf numFmtId="183" fontId="32" fillId="0" borderId="0"/>
    <xf numFmtId="0" fontId="3" fillId="0" borderId="1"/>
    <xf numFmtId="0" fontId="3" fillId="0" borderId="1"/>
    <xf numFmtId="0" fontId="3" fillId="0" borderId="0"/>
    <xf numFmtId="0" fontId="7" fillId="0" borderId="0"/>
    <xf numFmtId="0" fontId="3" fillId="0" borderId="0"/>
    <xf numFmtId="0" fontId="32" fillId="0" borderId="0"/>
    <xf numFmtId="0" fontId="3" fillId="0" borderId="0"/>
    <xf numFmtId="0" fontId="8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" fillId="0" borderId="0"/>
    <xf numFmtId="0" fontId="3" fillId="0" borderId="1"/>
    <xf numFmtId="0" fontId="3" fillId="0" borderId="1"/>
    <xf numFmtId="0" fontId="32" fillId="0" borderId="0"/>
    <xf numFmtId="0" fontId="6" fillId="0" borderId="0"/>
    <xf numFmtId="0" fontId="32" fillId="0" borderId="0"/>
    <xf numFmtId="0" fontId="32" fillId="0" borderId="0"/>
    <xf numFmtId="0" fontId="3" fillId="0" borderId="1"/>
    <xf numFmtId="0" fontId="3" fillId="0" borderId="0"/>
    <xf numFmtId="0" fontId="32" fillId="0" borderId="0"/>
    <xf numFmtId="0" fontId="3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9" fillId="0" borderId="0"/>
    <xf numFmtId="0" fontId="3" fillId="0" borderId="1"/>
    <xf numFmtId="0" fontId="32" fillId="0" borderId="0">
      <alignment horizontal="left"/>
    </xf>
    <xf numFmtId="0" fontId="32" fillId="0" borderId="0"/>
    <xf numFmtId="0" fontId="32" fillId="0" borderId="0"/>
    <xf numFmtId="0" fontId="10" fillId="0" borderId="0"/>
    <xf numFmtId="0" fontId="10" fillId="0" borderId="0">
      <alignment horizontal="left"/>
    </xf>
    <xf numFmtId="0" fontId="32" fillId="0" borderId="0"/>
    <xf numFmtId="9" fontId="3" fillId="0" borderId="0"/>
    <xf numFmtId="9" fontId="3" fillId="0" borderId="0"/>
    <xf numFmtId="9" fontId="5" fillId="0" borderId="0"/>
    <xf numFmtId="9" fontId="3" fillId="0" borderId="0"/>
    <xf numFmtId="9" fontId="32" fillId="0" borderId="0"/>
    <xf numFmtId="9" fontId="32" fillId="0" borderId="0"/>
    <xf numFmtId="9" fontId="32" fillId="0" borderId="0"/>
    <xf numFmtId="9" fontId="3" fillId="0" borderId="0"/>
  </cellStyleXfs>
  <cellXfs count="231">
    <xf numFmtId="0" fontId="0" fillId="0" borderId="0" xfId="0"/>
    <xf numFmtId="0" fontId="11" fillId="0" borderId="0" xfId="0" applyFont="1"/>
    <xf numFmtId="0" fontId="12" fillId="0" borderId="0" xfId="0" applyFont="1"/>
    <xf numFmtId="0" fontId="13" fillId="0" borderId="0" xfId="0" applyFont="1"/>
    <xf numFmtId="164" fontId="13" fillId="4" borderId="0" xfId="0" applyNumberFormat="1" applyFont="1" applyFill="1"/>
    <xf numFmtId="0" fontId="14" fillId="0" borderId="0" xfId="0" applyFont="1"/>
    <xf numFmtId="1" fontId="13" fillId="4" borderId="0" xfId="0" applyNumberFormat="1" applyFont="1" applyFill="1"/>
    <xf numFmtId="0" fontId="15" fillId="0" borderId="0" xfId="0" applyFont="1"/>
    <xf numFmtId="14" fontId="13" fillId="0" borderId="0" xfId="0" applyNumberFormat="1" applyFont="1"/>
    <xf numFmtId="4" fontId="13" fillId="0" borderId="0" xfId="0" applyNumberFormat="1" applyFont="1"/>
    <xf numFmtId="165" fontId="13" fillId="0" borderId="0" xfId="0" applyNumberFormat="1" applyFont="1"/>
    <xf numFmtId="166" fontId="13" fillId="0" borderId="0" xfId="0" applyNumberFormat="1" applyFont="1"/>
    <xf numFmtId="3" fontId="13" fillId="0" borderId="0" xfId="0" applyNumberFormat="1" applyFont="1"/>
    <xf numFmtId="3" fontId="13" fillId="4" borderId="0" xfId="0" applyNumberFormat="1" applyFont="1" applyFill="1"/>
    <xf numFmtId="167" fontId="12" fillId="0" borderId="0" xfId="0" applyNumberFormat="1" applyFont="1"/>
    <xf numFmtId="0" fontId="16" fillId="5" borderId="0" xfId="0" applyFont="1" applyFill="1" applyAlignment="1">
      <alignment vertical="center"/>
    </xf>
    <xf numFmtId="0" fontId="11" fillId="0" borderId="0" xfId="0" applyFont="1" applyAlignment="1">
      <alignment horizontal="center"/>
    </xf>
    <xf numFmtId="9" fontId="11" fillId="0" borderId="0" xfId="0" applyNumberFormat="1" applyFont="1" applyAlignment="1">
      <alignment horizontal="center" vertical="center" wrapText="1"/>
    </xf>
    <xf numFmtId="0" fontId="21" fillId="0" borderId="0" xfId="0" applyFont="1"/>
    <xf numFmtId="3" fontId="22" fillId="0" borderId="0" xfId="0" applyNumberFormat="1" applyFont="1" applyAlignment="1">
      <alignment horizontal="center" vertical="center" wrapText="1"/>
    </xf>
    <xf numFmtId="0" fontId="22" fillId="0" borderId="0" xfId="0" applyFont="1" applyAlignment="1">
      <alignment horizontal="left" vertical="center" wrapText="1"/>
    </xf>
    <xf numFmtId="0" fontId="22" fillId="0" borderId="0" xfId="0" applyFont="1" applyAlignment="1">
      <alignment horizontal="center" vertical="center" wrapText="1"/>
    </xf>
    <xf numFmtId="168" fontId="22" fillId="0" borderId="0" xfId="0" applyNumberFormat="1" applyFont="1" applyAlignment="1">
      <alignment horizontal="right" vertical="center" wrapText="1"/>
    </xf>
    <xf numFmtId="166" fontId="22" fillId="0" borderId="0" xfId="0" applyNumberFormat="1" applyFont="1" applyAlignment="1">
      <alignment horizontal="center" vertical="center" wrapText="1"/>
    </xf>
    <xf numFmtId="169" fontId="22" fillId="0" borderId="0" xfId="0" applyNumberFormat="1" applyFont="1" applyAlignment="1">
      <alignment horizontal="center" vertical="center" wrapText="1"/>
    </xf>
    <xf numFmtId="14" fontId="23" fillId="0" borderId="0" xfId="0" applyNumberFormat="1" applyFont="1" applyAlignment="1">
      <alignment horizontal="center" wrapText="1"/>
    </xf>
    <xf numFmtId="170" fontId="22" fillId="0" borderId="0" xfId="0" applyNumberFormat="1" applyFont="1" applyAlignment="1">
      <alignment horizontal="center" vertical="center" wrapText="1"/>
    </xf>
    <xf numFmtId="170" fontId="23" fillId="0" borderId="0" xfId="0" applyNumberFormat="1" applyFont="1" applyAlignment="1">
      <alignment wrapText="1"/>
    </xf>
    <xf numFmtId="169" fontId="23" fillId="0" borderId="0" xfId="0" applyNumberFormat="1" applyFont="1" applyAlignment="1">
      <alignment horizontal="center" vertical="center" wrapText="1"/>
    </xf>
    <xf numFmtId="169" fontId="22" fillId="0" borderId="0" xfId="0" applyNumberFormat="1" applyFont="1" applyAlignment="1">
      <alignment vertical="center" wrapText="1"/>
    </xf>
    <xf numFmtId="14" fontId="23" fillId="0" borderId="0" xfId="0" applyNumberFormat="1" applyFont="1" applyAlignment="1">
      <alignment vertical="center" wrapText="1"/>
    </xf>
    <xf numFmtId="14" fontId="22" fillId="0" borderId="0" xfId="0" applyNumberFormat="1" applyFont="1" applyAlignment="1">
      <alignment vertical="center" wrapText="1"/>
    </xf>
    <xf numFmtId="171" fontId="22" fillId="0" borderId="3" xfId="0" applyNumberFormat="1" applyFont="1" applyBorder="1" applyAlignment="1">
      <alignment vertical="center" wrapText="1"/>
    </xf>
    <xf numFmtId="0" fontId="23" fillId="0" borderId="0" xfId="0" applyFont="1" applyAlignment="1">
      <alignment horizontal="left" vertical="center"/>
    </xf>
    <xf numFmtId="166" fontId="23" fillId="0" borderId="4" xfId="0" applyNumberFormat="1" applyFont="1" applyBorder="1" applyAlignment="1">
      <alignment horizontal="center" vertical="center" wrapText="1"/>
    </xf>
    <xf numFmtId="170" fontId="23" fillId="0" borderId="4" xfId="0" applyNumberFormat="1" applyFont="1" applyBorder="1" applyAlignment="1">
      <alignment horizontal="center" vertical="center" wrapText="1"/>
    </xf>
    <xf numFmtId="170" fontId="23" fillId="0" borderId="4" xfId="0" applyNumberFormat="1" applyFont="1" applyBorder="1" applyAlignment="1">
      <alignment horizontal="center" wrapText="1"/>
    </xf>
    <xf numFmtId="169" fontId="23" fillId="0" borderId="0" xfId="0" applyNumberFormat="1" applyFont="1" applyAlignment="1">
      <alignment vertical="center" wrapText="1"/>
    </xf>
    <xf numFmtId="170" fontId="23" fillId="0" borderId="0" xfId="0" applyNumberFormat="1" applyFont="1" applyAlignment="1">
      <alignment horizontal="center" wrapText="1"/>
    </xf>
    <xf numFmtId="170" fontId="23" fillId="0" borderId="0" xfId="0" applyNumberFormat="1" applyFont="1" applyAlignment="1">
      <alignment vertical="center" wrapText="1"/>
    </xf>
    <xf numFmtId="170" fontId="22" fillId="0" borderId="0" xfId="0" applyNumberFormat="1" applyFont="1" applyAlignment="1">
      <alignment vertical="center" wrapText="1"/>
    </xf>
    <xf numFmtId="0" fontId="23" fillId="8" borderId="4" xfId="0" applyFont="1" applyFill="1" applyBorder="1" applyAlignment="1">
      <alignment horizontal="center" vertical="center" wrapText="1"/>
    </xf>
    <xf numFmtId="166" fontId="23" fillId="9" borderId="4" xfId="0" applyNumberFormat="1" applyFont="1" applyFill="1" applyBorder="1" applyAlignment="1">
      <alignment horizontal="center" wrapText="1"/>
    </xf>
    <xf numFmtId="165" fontId="23" fillId="10" borderId="4" xfId="0" applyNumberFormat="1" applyFont="1" applyFill="1" applyBorder="1" applyAlignment="1">
      <alignment horizontal="center" wrapText="1"/>
    </xf>
    <xf numFmtId="169" fontId="23" fillId="0" borderId="0" xfId="0" applyNumberFormat="1" applyFont="1" applyAlignment="1">
      <alignment horizontal="center" wrapText="1"/>
    </xf>
    <xf numFmtId="165" fontId="21" fillId="0" borderId="5" xfId="0" applyNumberFormat="1" applyFont="1" applyBorder="1" applyAlignment="1">
      <alignment horizontal="left" vertical="center"/>
    </xf>
    <xf numFmtId="165" fontId="21" fillId="0" borderId="5" xfId="0" applyNumberFormat="1" applyFont="1" applyBorder="1"/>
    <xf numFmtId="170" fontId="23" fillId="0" borderId="0" xfId="0" applyNumberFormat="1" applyFont="1" applyAlignment="1">
      <alignment horizontal="center" vertical="center" wrapText="1"/>
    </xf>
    <xf numFmtId="169" fontId="23" fillId="0" borderId="0" xfId="0" applyNumberFormat="1" applyFont="1" applyAlignment="1">
      <alignment wrapText="1"/>
    </xf>
    <xf numFmtId="171" fontId="22" fillId="0" borderId="0" xfId="0" applyNumberFormat="1" applyFont="1" applyAlignment="1">
      <alignment horizontal="left" vertical="center"/>
    </xf>
    <xf numFmtId="165" fontId="21" fillId="0" borderId="0" xfId="0" applyNumberFormat="1" applyFont="1"/>
    <xf numFmtId="0" fontId="22" fillId="0" borderId="0" xfId="0" applyFont="1" applyAlignment="1">
      <alignment vertical="center" wrapText="1"/>
    </xf>
    <xf numFmtId="0" fontId="22" fillId="0" borderId="6" xfId="0" applyFont="1" applyBorder="1" applyAlignment="1">
      <alignment horizontal="center" vertical="center" wrapText="1"/>
    </xf>
    <xf numFmtId="0" fontId="22" fillId="0" borderId="7" xfId="0" applyFont="1" applyBorder="1" applyAlignment="1">
      <alignment horizontal="center" vertical="center" wrapText="1"/>
    </xf>
    <xf numFmtId="165" fontId="21" fillId="0" borderId="3" xfId="0" applyNumberFormat="1" applyFont="1" applyBorder="1" applyAlignment="1">
      <alignment horizontal="left" vertical="center"/>
    </xf>
    <xf numFmtId="165" fontId="21" fillId="0" borderId="3" xfId="0" applyNumberFormat="1" applyFont="1" applyBorder="1"/>
    <xf numFmtId="171" fontId="22" fillId="0" borderId="0" xfId="0" applyNumberFormat="1" applyFont="1"/>
    <xf numFmtId="165" fontId="21" fillId="0" borderId="0" xfId="0" applyNumberFormat="1" applyFont="1" applyAlignment="1">
      <alignment horizontal="center" vertical="center"/>
    </xf>
    <xf numFmtId="0" fontId="24" fillId="0" borderId="4" xfId="0" applyFont="1" applyBorder="1" applyAlignment="1">
      <alignment horizontal="left"/>
    </xf>
    <xf numFmtId="0" fontId="24" fillId="0" borderId="4" xfId="0" applyFont="1" applyBorder="1" applyAlignment="1">
      <alignment horizontal="center"/>
    </xf>
    <xf numFmtId="171" fontId="23" fillId="0" borderId="4" xfId="0" applyNumberFormat="1" applyFont="1" applyBorder="1" applyAlignment="1">
      <alignment horizontal="center"/>
    </xf>
    <xf numFmtId="166" fontId="23" fillId="0" borderId="4" xfId="0" applyNumberFormat="1" applyFont="1" applyBorder="1" applyAlignment="1">
      <alignment horizontal="center"/>
    </xf>
    <xf numFmtId="165" fontId="24" fillId="0" borderId="0" xfId="0" applyNumberFormat="1" applyFont="1"/>
    <xf numFmtId="165" fontId="22" fillId="0" borderId="0" xfId="0" applyNumberFormat="1" applyFont="1"/>
    <xf numFmtId="165" fontId="22" fillId="0" borderId="3" xfId="0" applyNumberFormat="1" applyFont="1" applyBorder="1" applyAlignment="1">
      <alignment horizontal="left" vertical="center"/>
    </xf>
    <xf numFmtId="171" fontId="22" fillId="0" borderId="0" xfId="0" applyNumberFormat="1" applyFont="1" applyAlignment="1">
      <alignment horizontal="center" vertical="center"/>
    </xf>
    <xf numFmtId="0" fontId="21" fillId="0" borderId="8" xfId="0" applyFont="1" applyBorder="1" applyAlignment="1">
      <alignment horizontal="left"/>
    </xf>
    <xf numFmtId="0" fontId="21" fillId="0" borderId="8" xfId="0" applyFont="1" applyBorder="1"/>
    <xf numFmtId="39" fontId="22" fillId="0" borderId="8" xfId="0" applyNumberFormat="1" applyFont="1" applyBorder="1"/>
    <xf numFmtId="166" fontId="22" fillId="0" borderId="3" xfId="0" applyNumberFormat="1" applyFont="1" applyBorder="1"/>
    <xf numFmtId="166" fontId="22" fillId="0" borderId="8" xfId="0" applyNumberFormat="1" applyFont="1" applyBorder="1"/>
    <xf numFmtId="165" fontId="25" fillId="0" borderId="0" xfId="0" applyNumberFormat="1" applyFont="1"/>
    <xf numFmtId="0" fontId="21" fillId="0" borderId="3" xfId="0" applyFont="1" applyBorder="1" applyAlignment="1">
      <alignment horizontal="left"/>
    </xf>
    <xf numFmtId="0" fontId="21" fillId="0" borderId="3" xfId="0" applyFont="1" applyBorder="1"/>
    <xf numFmtId="39" fontId="22" fillId="0" borderId="3" xfId="0" applyNumberFormat="1" applyFont="1" applyBorder="1"/>
    <xf numFmtId="0" fontId="24" fillId="0" borderId="9" xfId="0" applyFont="1" applyBorder="1" applyAlignment="1">
      <alignment horizontal="left"/>
    </xf>
    <xf numFmtId="0" fontId="21" fillId="0" borderId="10" xfId="0" applyFont="1" applyBorder="1"/>
    <xf numFmtId="171" fontId="21" fillId="0" borderId="10" xfId="0" applyNumberFormat="1" applyFont="1" applyBorder="1"/>
    <xf numFmtId="166" fontId="21" fillId="0" borderId="10" xfId="0" applyNumberFormat="1" applyFont="1" applyBorder="1"/>
    <xf numFmtId="166" fontId="21" fillId="0" borderId="11" xfId="0" applyNumberFormat="1" applyFont="1" applyBorder="1"/>
    <xf numFmtId="165" fontId="23" fillId="0" borderId="0" xfId="0" applyNumberFormat="1" applyFont="1"/>
    <xf numFmtId="0" fontId="21" fillId="0" borderId="5" xfId="0" applyFont="1" applyBorder="1" applyAlignment="1">
      <alignment horizontal="left"/>
    </xf>
    <xf numFmtId="0" fontId="21" fillId="0" borderId="5" xfId="0" applyFont="1" applyBorder="1"/>
    <xf numFmtId="39" fontId="22" fillId="0" borderId="5" xfId="0" applyNumberFormat="1" applyFont="1" applyBorder="1"/>
    <xf numFmtId="166" fontId="22" fillId="0" borderId="5" xfId="0" applyNumberFormat="1" applyFont="1" applyBorder="1"/>
    <xf numFmtId="39" fontId="23" fillId="11" borderId="3" xfId="0" applyNumberFormat="1" applyFont="1" applyFill="1" applyBorder="1"/>
    <xf numFmtId="166" fontId="23" fillId="11" borderId="3" xfId="0" applyNumberFormat="1" applyFont="1" applyFill="1" applyBorder="1"/>
    <xf numFmtId="165" fontId="22" fillId="0" borderId="3" xfId="0" applyNumberFormat="1" applyFont="1" applyBorder="1"/>
    <xf numFmtId="165" fontId="21" fillId="0" borderId="12" xfId="0" applyNumberFormat="1" applyFont="1" applyBorder="1" applyAlignment="1">
      <alignment horizontal="left" vertical="center"/>
    </xf>
    <xf numFmtId="165" fontId="22" fillId="0" borderId="12" xfId="0" applyNumberFormat="1" applyFont="1" applyBorder="1"/>
    <xf numFmtId="165" fontId="24" fillId="0" borderId="4" xfId="0" applyNumberFormat="1" applyFont="1" applyBorder="1"/>
    <xf numFmtId="39" fontId="22" fillId="0" borderId="10" xfId="0" applyNumberFormat="1" applyFont="1" applyBorder="1"/>
    <xf numFmtId="166" fontId="22" fillId="0" borderId="10" xfId="0" applyNumberFormat="1" applyFont="1" applyBorder="1"/>
    <xf numFmtId="166" fontId="22" fillId="0" borderId="11" xfId="0" applyNumberFormat="1" applyFont="1" applyBorder="1"/>
    <xf numFmtId="171" fontId="22" fillId="0" borderId="3" xfId="0" applyNumberFormat="1" applyFont="1" applyBorder="1"/>
    <xf numFmtId="39" fontId="22" fillId="11" borderId="3" xfId="0" applyNumberFormat="1" applyFont="1" applyFill="1" applyBorder="1"/>
    <xf numFmtId="171" fontId="23" fillId="0" borderId="0" xfId="0" applyNumberFormat="1" applyFont="1"/>
    <xf numFmtId="0" fontId="21" fillId="0" borderId="12" xfId="0" applyFont="1" applyBorder="1" applyAlignment="1">
      <alignment horizontal="left"/>
    </xf>
    <xf numFmtId="0" fontId="21" fillId="0" borderId="12" xfId="0" applyFont="1" applyBorder="1"/>
    <xf numFmtId="39" fontId="22" fillId="0" borderId="12" xfId="0" applyNumberFormat="1" applyFont="1" applyBorder="1"/>
    <xf numFmtId="166" fontId="22" fillId="0" borderId="12" xfId="0" applyNumberFormat="1" applyFont="1" applyBorder="1"/>
    <xf numFmtId="0" fontId="21" fillId="0" borderId="8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11" borderId="3" xfId="0" applyFont="1" applyFill="1" applyBorder="1" applyAlignment="1">
      <alignment horizontal="left"/>
    </xf>
    <xf numFmtId="166" fontId="25" fillId="11" borderId="3" xfId="0" applyNumberFormat="1" applyFont="1" applyFill="1" applyBorder="1"/>
    <xf numFmtId="0" fontId="21" fillId="0" borderId="0" xfId="0" applyFont="1" applyAlignment="1">
      <alignment horizontal="left"/>
    </xf>
    <xf numFmtId="39" fontId="22" fillId="0" borderId="0" xfId="0" applyNumberFormat="1" applyFont="1"/>
    <xf numFmtId="166" fontId="22" fillId="0" borderId="0" xfId="0" applyNumberFormat="1" applyFont="1"/>
    <xf numFmtId="172" fontId="24" fillId="0" borderId="0" xfId="0" applyNumberFormat="1" applyFont="1"/>
    <xf numFmtId="0" fontId="21" fillId="0" borderId="0" xfId="0" applyFont="1" applyAlignment="1">
      <alignment horizontal="center" vertical="center"/>
    </xf>
    <xf numFmtId="171" fontId="21" fillId="0" borderId="0" xfId="0" applyNumberFormat="1" applyFont="1"/>
    <xf numFmtId="39" fontId="21" fillId="0" borderId="0" xfId="0" applyNumberFormat="1" applyFont="1"/>
    <xf numFmtId="166" fontId="21" fillId="0" borderId="0" xfId="0" applyNumberFormat="1" applyFont="1"/>
    <xf numFmtId="165" fontId="26" fillId="0" borderId="0" xfId="0" applyNumberFormat="1" applyFont="1"/>
    <xf numFmtId="10" fontId="24" fillId="0" borderId="0" xfId="0" applyNumberFormat="1" applyFont="1"/>
    <xf numFmtId="10" fontId="21" fillId="0" borderId="0" xfId="0" applyNumberFormat="1" applyFont="1"/>
    <xf numFmtId="0" fontId="27" fillId="0" borderId="9" xfId="0" applyFont="1" applyBorder="1" applyAlignment="1">
      <alignment horizontal="right"/>
    </xf>
    <xf numFmtId="0" fontId="21" fillId="0" borderId="10" xfId="0" applyFont="1" applyBorder="1" applyAlignment="1">
      <alignment horizontal="left"/>
    </xf>
    <xf numFmtId="165" fontId="24" fillId="0" borderId="10" xfId="0" applyNumberFormat="1" applyFont="1" applyBorder="1"/>
    <xf numFmtId="165" fontId="26" fillId="0" borderId="11" xfId="0" applyNumberFormat="1" applyFont="1" applyBorder="1"/>
    <xf numFmtId="0" fontId="27" fillId="0" borderId="0" xfId="0" applyFont="1" applyAlignment="1">
      <alignment horizontal="right"/>
    </xf>
    <xf numFmtId="9" fontId="24" fillId="0" borderId="0" xfId="0" applyNumberFormat="1" applyFont="1"/>
    <xf numFmtId="9" fontId="21" fillId="0" borderId="0" xfId="0" applyNumberFormat="1" applyFont="1"/>
    <xf numFmtId="165" fontId="21" fillId="11" borderId="0" xfId="0" applyNumberFormat="1" applyFont="1" applyFill="1"/>
    <xf numFmtId="0" fontId="21" fillId="0" borderId="0" xfId="0" applyFont="1" applyAlignment="1">
      <alignment horizontal="right"/>
    </xf>
    <xf numFmtId="165" fontId="21" fillId="0" borderId="10" xfId="0" applyNumberFormat="1" applyFont="1" applyBorder="1"/>
    <xf numFmtId="165" fontId="21" fillId="0" borderId="11" xfId="0" applyNumberFormat="1" applyFont="1" applyBorder="1"/>
    <xf numFmtId="165" fontId="28" fillId="0" borderId="0" xfId="0" applyNumberFormat="1" applyFont="1"/>
    <xf numFmtId="173" fontId="21" fillId="0" borderId="0" xfId="0" applyNumberFormat="1" applyFont="1" applyAlignment="1">
      <alignment horizontal="right"/>
    </xf>
    <xf numFmtId="174" fontId="22" fillId="0" borderId="0" xfId="0" applyNumberFormat="1" applyFont="1"/>
    <xf numFmtId="0" fontId="24" fillId="0" borderId="0" xfId="0" applyFont="1"/>
    <xf numFmtId="171" fontId="22" fillId="0" borderId="0" xfId="0" applyNumberFormat="1" applyFont="1" applyAlignment="1">
      <alignment horizontal="right"/>
    </xf>
    <xf numFmtId="173" fontId="22" fillId="0" borderId="0" xfId="0" applyNumberFormat="1" applyFont="1" applyAlignment="1">
      <alignment horizontal="right"/>
    </xf>
    <xf numFmtId="165" fontId="22" fillId="0" borderId="0" xfId="0" applyNumberFormat="1" applyFont="1" applyAlignment="1">
      <alignment horizontal="right"/>
    </xf>
    <xf numFmtId="171" fontId="22" fillId="0" borderId="0" xfId="0" applyNumberFormat="1" applyFont="1" applyAlignment="1">
      <alignment horizontal="left"/>
    </xf>
    <xf numFmtId="49" fontId="11" fillId="0" borderId="0" xfId="0" applyNumberFormat="1" applyFont="1"/>
    <xf numFmtId="0" fontId="17" fillId="0" borderId="0" xfId="0" applyFont="1"/>
    <xf numFmtId="0" fontId="29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8" fillId="12" borderId="13" xfId="0" applyFont="1" applyFill="1" applyBorder="1" applyAlignment="1">
      <alignment horizontal="center"/>
    </xf>
    <xf numFmtId="0" fontId="18" fillId="12" borderId="13" xfId="0" applyFont="1" applyFill="1" applyBorder="1"/>
    <xf numFmtId="49" fontId="18" fillId="12" borderId="13" xfId="0" applyNumberFormat="1" applyFont="1" applyFill="1" applyBorder="1"/>
    <xf numFmtId="2" fontId="20" fillId="12" borderId="13" xfId="0" applyNumberFormat="1" applyFont="1" applyFill="1" applyBorder="1"/>
    <xf numFmtId="2" fontId="18" fillId="12" borderId="13" xfId="0" applyNumberFormat="1" applyFont="1" applyFill="1" applyBorder="1"/>
    <xf numFmtId="2" fontId="11" fillId="0" borderId="0" xfId="0" applyNumberFormat="1" applyFont="1"/>
    <xf numFmtId="175" fontId="11" fillId="0" borderId="0" xfId="0" applyNumberFormat="1" applyFont="1" applyAlignment="1">
      <alignment horizontal="center"/>
    </xf>
    <xf numFmtId="175" fontId="11" fillId="0" borderId="0" xfId="0" applyNumberFormat="1" applyFont="1"/>
    <xf numFmtId="175" fontId="20" fillId="0" borderId="0" xfId="0" applyNumberFormat="1" applyFont="1"/>
    <xf numFmtId="0" fontId="18" fillId="0" borderId="0" xfId="0" applyFont="1" applyAlignment="1">
      <alignment horizontal="center"/>
    </xf>
    <xf numFmtId="0" fontId="18" fillId="0" borderId="0" xfId="0" applyFont="1"/>
    <xf numFmtId="49" fontId="18" fillId="0" borderId="0" xfId="0" applyNumberFormat="1" applyFont="1"/>
    <xf numFmtId="2" fontId="20" fillId="0" borderId="0" xfId="0" applyNumberFormat="1" applyFont="1"/>
    <xf numFmtId="2" fontId="18" fillId="0" borderId="0" xfId="0" applyNumberFormat="1" applyFont="1"/>
    <xf numFmtId="0" fontId="18" fillId="12" borderId="0" xfId="0" applyFont="1" applyFill="1" applyAlignment="1">
      <alignment horizontal="center"/>
    </xf>
    <xf numFmtId="0" fontId="18" fillId="12" borderId="0" xfId="0" applyFont="1" applyFill="1"/>
    <xf numFmtId="49" fontId="18" fillId="12" borderId="0" xfId="0" applyNumberFormat="1" applyFont="1" applyFill="1"/>
    <xf numFmtId="2" fontId="20" fillId="12" borderId="0" xfId="0" applyNumberFormat="1" applyFont="1" applyFill="1"/>
    <xf numFmtId="2" fontId="18" fillId="12" borderId="0" xfId="0" applyNumberFormat="1" applyFont="1" applyFill="1"/>
    <xf numFmtId="2" fontId="11" fillId="12" borderId="0" xfId="0" applyNumberFormat="1" applyFont="1" applyFill="1"/>
    <xf numFmtId="0" fontId="20" fillId="14" borderId="14" xfId="0" applyFont="1" applyFill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/>
    </xf>
    <xf numFmtId="0" fontId="31" fillId="13" borderId="0" xfId="0" applyFont="1" applyFill="1"/>
    <xf numFmtId="49" fontId="31" fillId="13" borderId="0" xfId="0" applyNumberFormat="1" applyFont="1" applyFill="1"/>
    <xf numFmtId="49" fontId="21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0" xfId="0" applyFont="1"/>
    <xf numFmtId="49" fontId="20" fillId="15" borderId="0" xfId="0" applyNumberFormat="1" applyFont="1" applyFill="1" applyAlignment="1">
      <alignment horizontal="center" vertical="center" wrapText="1"/>
    </xf>
    <xf numFmtId="0" fontId="20" fillId="15" borderId="0" xfId="0" applyFont="1" applyFill="1" applyAlignment="1">
      <alignment horizontal="center" vertical="center" wrapText="1"/>
    </xf>
    <xf numFmtId="0" fontId="16" fillId="0" borderId="0" xfId="0" applyFont="1" applyAlignment="1">
      <alignment vertical="center"/>
    </xf>
    <xf numFmtId="14" fontId="18" fillId="0" borderId="2" xfId="0" applyNumberFormat="1" applyFont="1" applyBorder="1" applyAlignment="1">
      <alignment horizontal="center" vertical="center"/>
    </xf>
    <xf numFmtId="4" fontId="18" fillId="0" borderId="2" xfId="0" applyNumberFormat="1" applyFont="1" applyBorder="1" applyAlignment="1">
      <alignment horizontal="center" vertical="center"/>
    </xf>
    <xf numFmtId="4" fontId="11" fillId="0" borderId="2" xfId="0" applyNumberFormat="1" applyFont="1" applyBorder="1" applyAlignment="1">
      <alignment horizontal="center" vertical="center"/>
    </xf>
    <xf numFmtId="4" fontId="19" fillId="0" borderId="2" xfId="0" applyNumberFormat="1" applyFont="1" applyBorder="1" applyAlignment="1">
      <alignment horizontal="center" vertical="center"/>
    </xf>
    <xf numFmtId="14" fontId="11" fillId="0" borderId="0" xfId="0" applyNumberFormat="1" applyFont="1"/>
    <xf numFmtId="0" fontId="20" fillId="16" borderId="0" xfId="0" applyFont="1" applyFill="1" applyAlignment="1">
      <alignment horizontal="center" vertical="center" wrapText="1"/>
    </xf>
    <xf numFmtId="0" fontId="33" fillId="6" borderId="2" xfId="0" applyFont="1" applyFill="1" applyBorder="1" applyAlignment="1">
      <alignment horizontal="center" vertical="center" wrapText="1"/>
    </xf>
    <xf numFmtId="2" fontId="33" fillId="6" borderId="2" xfId="0" applyNumberFormat="1" applyFont="1" applyFill="1" applyBorder="1" applyAlignment="1">
      <alignment horizontal="center" vertical="center" wrapText="1"/>
    </xf>
    <xf numFmtId="2" fontId="33" fillId="7" borderId="2" xfId="0" applyNumberFormat="1" applyFont="1" applyFill="1" applyBorder="1" applyAlignment="1">
      <alignment horizontal="center" vertical="center" wrapText="1"/>
    </xf>
    <xf numFmtId="0" fontId="34" fillId="0" borderId="0" xfId="0" applyFont="1"/>
    <xf numFmtId="2" fontId="34" fillId="0" borderId="0" xfId="0" applyNumberFormat="1" applyFont="1"/>
    <xf numFmtId="2" fontId="34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75" fontId="18" fillId="0" borderId="0" xfId="0" applyNumberFormat="1" applyFont="1"/>
    <xf numFmtId="9" fontId="18" fillId="0" borderId="0" xfId="0" applyNumberFormat="1" applyFont="1" applyAlignment="1">
      <alignment horizontal="center"/>
    </xf>
    <xf numFmtId="6" fontId="36" fillId="0" borderId="0" xfId="0" applyNumberFormat="1" applyFont="1"/>
    <xf numFmtId="0" fontId="20" fillId="5" borderId="0" xfId="0" applyFont="1" applyFill="1" applyAlignment="1">
      <alignment horizontal="center"/>
    </xf>
    <xf numFmtId="0" fontId="11" fillId="5" borderId="0" xfId="0" applyFont="1" applyFill="1"/>
    <xf numFmtId="175" fontId="20" fillId="5" borderId="0" xfId="0" applyNumberFormat="1" applyFont="1" applyFill="1"/>
    <xf numFmtId="176" fontId="11" fillId="0" borderId="0" xfId="0" applyNumberFormat="1" applyFont="1" applyAlignment="1">
      <alignment horizontal="center"/>
    </xf>
    <xf numFmtId="166" fontId="22" fillId="17" borderId="3" xfId="0" applyNumberFormat="1" applyFont="1" applyFill="1" applyBorder="1"/>
    <xf numFmtId="3" fontId="38" fillId="0" borderId="0" xfId="0" applyNumberFormat="1" applyFont="1"/>
    <xf numFmtId="0" fontId="37" fillId="0" borderId="0" xfId="0" applyFont="1"/>
    <xf numFmtId="0" fontId="40" fillId="18" borderId="0" xfId="0" applyFont="1" applyFill="1" applyAlignment="1">
      <alignment horizontal="center"/>
    </xf>
    <xf numFmtId="164" fontId="0" fillId="0" borderId="0" xfId="0" applyNumberFormat="1"/>
    <xf numFmtId="177" fontId="0" fillId="0" borderId="0" xfId="0" applyNumberFormat="1"/>
    <xf numFmtId="0" fontId="39" fillId="0" borderId="0" xfId="0" applyFont="1"/>
    <xf numFmtId="0" fontId="40" fillId="18" borderId="14" xfId="0" applyFont="1" applyFill="1" applyBorder="1" applyAlignment="1">
      <alignment horizontal="center"/>
    </xf>
    <xf numFmtId="177" fontId="18" fillId="0" borderId="0" xfId="0" applyNumberFormat="1" applyFont="1"/>
    <xf numFmtId="177" fontId="36" fillId="0" borderId="0" xfId="0" applyNumberFormat="1" applyFont="1"/>
    <xf numFmtId="177" fontId="20" fillId="0" borderId="0" xfId="0" applyNumberFormat="1" applyFont="1"/>
    <xf numFmtId="9" fontId="30" fillId="0" borderId="15" xfId="0" applyNumberFormat="1" applyFont="1" applyBorder="1" applyAlignment="1">
      <alignment horizontal="center" vertical="center"/>
    </xf>
    <xf numFmtId="9" fontId="0" fillId="0" borderId="0" xfId="0" applyNumberFormat="1"/>
    <xf numFmtId="17" fontId="0" fillId="0" borderId="0" xfId="0" applyNumberFormat="1"/>
    <xf numFmtId="178" fontId="0" fillId="0" borderId="0" xfId="0" applyNumberFormat="1"/>
    <xf numFmtId="179" fontId="40" fillId="18" borderId="0" xfId="0" applyNumberFormat="1" applyFont="1" applyFill="1" applyAlignment="1">
      <alignment horizontal="center"/>
    </xf>
    <xf numFmtId="179" fontId="0" fillId="0" borderId="0" xfId="0" applyNumberFormat="1"/>
    <xf numFmtId="0" fontId="41" fillId="18" borderId="0" xfId="0" applyFont="1" applyFill="1" applyAlignment="1">
      <alignment horizontal="center"/>
    </xf>
    <xf numFmtId="17" fontId="18" fillId="12" borderId="13" xfId="0" applyNumberFormat="1" applyFont="1" applyFill="1" applyBorder="1" applyAlignment="1">
      <alignment horizontal="center"/>
    </xf>
    <xf numFmtId="17" fontId="18" fillId="0" borderId="0" xfId="0" applyNumberFormat="1" applyFont="1" applyAlignment="1">
      <alignment horizontal="center"/>
    </xf>
    <xf numFmtId="17" fontId="18" fillId="12" borderId="0" xfId="0" applyNumberFormat="1" applyFont="1" applyFill="1" applyAlignment="1">
      <alignment horizontal="center"/>
    </xf>
    <xf numFmtId="0" fontId="42" fillId="19" borderId="0" xfId="0" applyFont="1" applyFill="1"/>
    <xf numFmtId="0" fontId="0" fillId="19" borderId="0" xfId="0" applyFill="1"/>
    <xf numFmtId="0" fontId="43" fillId="20" borderId="0" xfId="0" applyFont="1" applyFill="1" applyAlignment="1">
      <alignment horizontal="center" vertical="center" wrapText="1"/>
    </xf>
    <xf numFmtId="0" fontId="44" fillId="0" borderId="0" xfId="0" applyFont="1"/>
    <xf numFmtId="4" fontId="0" fillId="0" borderId="0" xfId="0" applyNumberFormat="1"/>
    <xf numFmtId="3" fontId="0" fillId="0" borderId="0" xfId="0" applyNumberFormat="1"/>
    <xf numFmtId="180" fontId="0" fillId="0" borderId="0" xfId="0" applyNumberFormat="1"/>
    <xf numFmtId="4" fontId="45" fillId="0" borderId="0" xfId="0" applyNumberFormat="1" applyFont="1"/>
    <xf numFmtId="3" fontId="45" fillId="0" borderId="0" xfId="0" applyNumberFormat="1" applyFont="1"/>
    <xf numFmtId="3" fontId="46" fillId="0" borderId="0" xfId="0" applyNumberFormat="1" applyFont="1"/>
    <xf numFmtId="180" fontId="46" fillId="0" borderId="0" xfId="0" applyNumberFormat="1" applyFont="1"/>
    <xf numFmtId="178" fontId="46" fillId="0" borderId="0" xfId="0" applyNumberFormat="1" applyFont="1"/>
    <xf numFmtId="0" fontId="47" fillId="0" borderId="0" xfId="0" applyFont="1"/>
    <xf numFmtId="0" fontId="48" fillId="0" borderId="0" xfId="0" applyFont="1"/>
    <xf numFmtId="4" fontId="47" fillId="0" borderId="0" xfId="0" applyNumberFormat="1" applyFont="1"/>
    <xf numFmtId="181" fontId="47" fillId="0" borderId="0" xfId="0" applyNumberFormat="1" applyFont="1"/>
    <xf numFmtId="0" fontId="49" fillId="0" borderId="0" xfId="0" applyFont="1"/>
    <xf numFmtId="0" fontId="50" fillId="0" borderId="0" xfId="0" applyFont="1"/>
    <xf numFmtId="0" fontId="51" fillId="0" borderId="0" xfId="0" applyFont="1"/>
    <xf numFmtId="177" fontId="51" fillId="0" borderId="0" xfId="0" applyNumberFormat="1" applyFont="1"/>
    <xf numFmtId="178" fontId="51" fillId="0" borderId="0" xfId="0" applyNumberFormat="1" applyFont="1"/>
  </cellXfs>
  <cellStyles count="124">
    <cellStyle name="Bueno 2" xfId="1" xr:uid="{00000000-0005-0000-0000-000001000000}"/>
    <cellStyle name="Comma 2" xfId="2" xr:uid="{00000000-0005-0000-0000-000002000000}"/>
    <cellStyle name="Incorrecto 2" xfId="3" xr:uid="{00000000-0005-0000-0000-000003000000}"/>
    <cellStyle name="Millares 10" xfId="4" xr:uid="{00000000-0005-0000-0000-000004000000}"/>
    <cellStyle name="Millares 10 2" xfId="5" xr:uid="{00000000-0005-0000-0000-000005000000}"/>
    <cellStyle name="Millares 10 2 2" xfId="6" xr:uid="{00000000-0005-0000-0000-000006000000}"/>
    <cellStyle name="Millares 10 3" xfId="7" xr:uid="{00000000-0005-0000-0000-000007000000}"/>
    <cellStyle name="Millares 11" xfId="8" xr:uid="{00000000-0005-0000-0000-000008000000}"/>
    <cellStyle name="Millares 11 2" xfId="9" xr:uid="{00000000-0005-0000-0000-000009000000}"/>
    <cellStyle name="Millares 12" xfId="10" xr:uid="{00000000-0005-0000-0000-00000A000000}"/>
    <cellStyle name="Millares 12 2" xfId="11" xr:uid="{00000000-0005-0000-0000-00000B000000}"/>
    <cellStyle name="Millares 12 2 2" xfId="12" xr:uid="{00000000-0005-0000-0000-00000C000000}"/>
    <cellStyle name="Millares 12 2 2 2" xfId="13" xr:uid="{00000000-0005-0000-0000-00000D000000}"/>
    <cellStyle name="Millares 13" xfId="14" xr:uid="{00000000-0005-0000-0000-00000E000000}"/>
    <cellStyle name="Millares 14" xfId="15" xr:uid="{00000000-0005-0000-0000-00000F000000}"/>
    <cellStyle name="Millares 14 2" xfId="16" xr:uid="{00000000-0005-0000-0000-000010000000}"/>
    <cellStyle name="Millares 14 2 2" xfId="17" xr:uid="{00000000-0005-0000-0000-000011000000}"/>
    <cellStyle name="Millares 15" xfId="18" xr:uid="{00000000-0005-0000-0000-000012000000}"/>
    <cellStyle name="Millares 16" xfId="19" xr:uid="{00000000-0005-0000-0000-000013000000}"/>
    <cellStyle name="Millares 17" xfId="20" xr:uid="{00000000-0005-0000-0000-000014000000}"/>
    <cellStyle name="Millares 18" xfId="21" xr:uid="{00000000-0005-0000-0000-000015000000}"/>
    <cellStyle name="Millares 18 2" xfId="22" xr:uid="{00000000-0005-0000-0000-000016000000}"/>
    <cellStyle name="Millares 2" xfId="23" xr:uid="{00000000-0005-0000-0000-000017000000}"/>
    <cellStyle name="Millares 2 2" xfId="24" xr:uid="{00000000-0005-0000-0000-000018000000}"/>
    <cellStyle name="Millares 2 2 2" xfId="25" xr:uid="{00000000-0005-0000-0000-000019000000}"/>
    <cellStyle name="Millares 2 3" xfId="26" xr:uid="{00000000-0005-0000-0000-00001A000000}"/>
    <cellStyle name="Millares 2 3 2" xfId="27" xr:uid="{00000000-0005-0000-0000-00001B000000}"/>
    <cellStyle name="Millares 2 4" xfId="28" xr:uid="{00000000-0005-0000-0000-00001C000000}"/>
    <cellStyle name="Millares 2 5" xfId="29" xr:uid="{00000000-0005-0000-0000-00001D000000}"/>
    <cellStyle name="Millares 2 6" xfId="30" xr:uid="{00000000-0005-0000-0000-00001E000000}"/>
    <cellStyle name="Millares 20" xfId="31" xr:uid="{00000000-0005-0000-0000-00001F000000}"/>
    <cellStyle name="Millares 23" xfId="32" xr:uid="{00000000-0005-0000-0000-000020000000}"/>
    <cellStyle name="Millares 3" xfId="33" xr:uid="{00000000-0005-0000-0000-000021000000}"/>
    <cellStyle name="Millares 3 2" xfId="34" xr:uid="{00000000-0005-0000-0000-000022000000}"/>
    <cellStyle name="Millares 3 2 2" xfId="35" xr:uid="{00000000-0005-0000-0000-000023000000}"/>
    <cellStyle name="Millares 3 2 2 2" xfId="36" xr:uid="{00000000-0005-0000-0000-000024000000}"/>
    <cellStyle name="Millares 3 2 3" xfId="37" xr:uid="{00000000-0005-0000-0000-000025000000}"/>
    <cellStyle name="Millares 3 3" xfId="38" xr:uid="{00000000-0005-0000-0000-000026000000}"/>
    <cellStyle name="Millares 3 5" xfId="39" xr:uid="{00000000-0005-0000-0000-000027000000}"/>
    <cellStyle name="Millares 3 5 2" xfId="40" xr:uid="{00000000-0005-0000-0000-000028000000}"/>
    <cellStyle name="Millares 3 5 2 2" xfId="41" xr:uid="{00000000-0005-0000-0000-000029000000}"/>
    <cellStyle name="Millares 3 5 3" xfId="42" xr:uid="{00000000-0005-0000-0000-00002A000000}"/>
    <cellStyle name="Millares 3 5 4" xfId="43" xr:uid="{00000000-0005-0000-0000-00002B000000}"/>
    <cellStyle name="Millares 3 5 4 2" xfId="44" xr:uid="{00000000-0005-0000-0000-00002C000000}"/>
    <cellStyle name="Millares 4" xfId="45" xr:uid="{00000000-0005-0000-0000-00002D000000}"/>
    <cellStyle name="Millares 4 2" xfId="46" xr:uid="{00000000-0005-0000-0000-00002E000000}"/>
    <cellStyle name="Millares 4 2 2" xfId="47" xr:uid="{00000000-0005-0000-0000-00002F000000}"/>
    <cellStyle name="Millares 4 3" xfId="48" xr:uid="{00000000-0005-0000-0000-000030000000}"/>
    <cellStyle name="Millares 5" xfId="49" xr:uid="{00000000-0005-0000-0000-000031000000}"/>
    <cellStyle name="Millares 5 2" xfId="50" xr:uid="{00000000-0005-0000-0000-000032000000}"/>
    <cellStyle name="Millares 5 3" xfId="51" xr:uid="{00000000-0005-0000-0000-000033000000}"/>
    <cellStyle name="Millares 5 3 2" xfId="52" xr:uid="{00000000-0005-0000-0000-000034000000}"/>
    <cellStyle name="Millares 5 3 3" xfId="53" xr:uid="{00000000-0005-0000-0000-000035000000}"/>
    <cellStyle name="Millares 5 3 4" xfId="54" xr:uid="{00000000-0005-0000-0000-000036000000}"/>
    <cellStyle name="Millares 6" xfId="55" xr:uid="{00000000-0005-0000-0000-000037000000}"/>
    <cellStyle name="Millares 6 2" xfId="56" xr:uid="{00000000-0005-0000-0000-000038000000}"/>
    <cellStyle name="Millares 6 3" xfId="57" xr:uid="{00000000-0005-0000-0000-000039000000}"/>
    <cellStyle name="Millares 6 4" xfId="58" xr:uid="{00000000-0005-0000-0000-00003A000000}"/>
    <cellStyle name="Millares 7" xfId="59" xr:uid="{00000000-0005-0000-0000-00003B000000}"/>
    <cellStyle name="Millares 7 2" xfId="60" xr:uid="{00000000-0005-0000-0000-00003C000000}"/>
    <cellStyle name="Millares 7 3" xfId="61" xr:uid="{00000000-0005-0000-0000-00003D000000}"/>
    <cellStyle name="Millares 7 4" xfId="62" xr:uid="{00000000-0005-0000-0000-00003E000000}"/>
    <cellStyle name="Millares 8" xfId="63" xr:uid="{00000000-0005-0000-0000-00003F000000}"/>
    <cellStyle name="Millares 8 2" xfId="64" xr:uid="{00000000-0005-0000-0000-000040000000}"/>
    <cellStyle name="Millares 9" xfId="65" xr:uid="{00000000-0005-0000-0000-000041000000}"/>
    <cellStyle name="Moneda 2" xfId="66" xr:uid="{00000000-0005-0000-0000-000042000000}"/>
    <cellStyle name="Moneda 2 2" xfId="67" xr:uid="{00000000-0005-0000-0000-000043000000}"/>
    <cellStyle name="Moneda 2 3" xfId="68" xr:uid="{00000000-0005-0000-0000-000044000000}"/>
    <cellStyle name="Moneda 2 3 2" xfId="69" xr:uid="{00000000-0005-0000-0000-000045000000}"/>
    <cellStyle name="Moneda 3" xfId="70" xr:uid="{00000000-0005-0000-0000-000046000000}"/>
    <cellStyle name="Moneda 4" xfId="71" xr:uid="{00000000-0005-0000-0000-000047000000}"/>
    <cellStyle name="Moneda 5" xfId="72" xr:uid="{00000000-0005-0000-0000-000048000000}"/>
    <cellStyle name="Moneda 6" xfId="73" xr:uid="{00000000-0005-0000-0000-000049000000}"/>
    <cellStyle name="Moneda 6 2" xfId="74" xr:uid="{00000000-0005-0000-0000-00004A000000}"/>
    <cellStyle name="Moneda 7" xfId="75" xr:uid="{00000000-0005-0000-0000-00004B000000}"/>
    <cellStyle name="Normal" xfId="0" builtinId="0"/>
    <cellStyle name="Normal 10" xfId="76" xr:uid="{00000000-0005-0000-0000-00004C000000}"/>
    <cellStyle name="Normal 11" xfId="77" xr:uid="{00000000-0005-0000-0000-00004D000000}"/>
    <cellStyle name="Normal 12" xfId="78" xr:uid="{00000000-0005-0000-0000-00004E000000}"/>
    <cellStyle name="Normal 13" xfId="79" xr:uid="{00000000-0005-0000-0000-00004F000000}"/>
    <cellStyle name="Normal 18" xfId="80" xr:uid="{00000000-0005-0000-0000-000050000000}"/>
    <cellStyle name="Normal 2" xfId="81" xr:uid="{00000000-0005-0000-0000-000051000000}"/>
    <cellStyle name="Normal 2 2" xfId="82" xr:uid="{00000000-0005-0000-0000-000052000000}"/>
    <cellStyle name="Normal 2 3" xfId="83" xr:uid="{00000000-0005-0000-0000-000053000000}"/>
    <cellStyle name="Normal 2 3 2" xfId="84" xr:uid="{00000000-0005-0000-0000-000054000000}"/>
    <cellStyle name="Normal 2 4 2" xfId="85" xr:uid="{00000000-0005-0000-0000-000055000000}"/>
    <cellStyle name="Normal 2 5" xfId="86" xr:uid="{00000000-0005-0000-0000-000056000000}"/>
    <cellStyle name="Normal 2 5 2" xfId="87" xr:uid="{00000000-0005-0000-0000-000057000000}"/>
    <cellStyle name="Normal 2 5 3" xfId="88" xr:uid="{00000000-0005-0000-0000-000058000000}"/>
    <cellStyle name="Normal 23" xfId="89" xr:uid="{00000000-0005-0000-0000-000059000000}"/>
    <cellStyle name="Normal 25" xfId="90" xr:uid="{00000000-0005-0000-0000-00005A000000}"/>
    <cellStyle name="Normal 3" xfId="91" xr:uid="{00000000-0005-0000-0000-00005B000000}"/>
    <cellStyle name="Normal 3 2" xfId="92" xr:uid="{00000000-0005-0000-0000-00005C000000}"/>
    <cellStyle name="Normal 3 3" xfId="93" xr:uid="{00000000-0005-0000-0000-00005D000000}"/>
    <cellStyle name="Normal 3 4" xfId="94" xr:uid="{00000000-0005-0000-0000-00005E000000}"/>
    <cellStyle name="Normal 3 5" xfId="95" xr:uid="{00000000-0005-0000-0000-00005F000000}"/>
    <cellStyle name="Normal 32" xfId="96" xr:uid="{00000000-0005-0000-0000-000060000000}"/>
    <cellStyle name="Normal 4" xfId="97" xr:uid="{00000000-0005-0000-0000-000061000000}"/>
    <cellStyle name="Normal 4 2" xfId="98" xr:uid="{00000000-0005-0000-0000-000062000000}"/>
    <cellStyle name="Normal 4 2 2" xfId="99" xr:uid="{00000000-0005-0000-0000-000063000000}"/>
    <cellStyle name="Normal 4 3" xfId="100" xr:uid="{00000000-0005-0000-0000-000064000000}"/>
    <cellStyle name="Normal 5" xfId="101" xr:uid="{00000000-0005-0000-0000-000065000000}"/>
    <cellStyle name="Normal 5 2" xfId="102" xr:uid="{00000000-0005-0000-0000-000066000000}"/>
    <cellStyle name="Normal 5 2 2" xfId="103" xr:uid="{00000000-0005-0000-0000-000067000000}"/>
    <cellStyle name="Normal 5 3" xfId="104" xr:uid="{00000000-0005-0000-0000-000068000000}"/>
    <cellStyle name="Normal 6" xfId="105" xr:uid="{00000000-0005-0000-0000-000069000000}"/>
    <cellStyle name="Normal 7" xfId="106" xr:uid="{00000000-0005-0000-0000-00006A000000}"/>
    <cellStyle name="Normal 7 2" xfId="107" xr:uid="{00000000-0005-0000-0000-00006B000000}"/>
    <cellStyle name="Normal 8" xfId="108" xr:uid="{00000000-0005-0000-0000-00006C000000}"/>
    <cellStyle name="Normal 9" xfId="109" xr:uid="{00000000-0005-0000-0000-00006D000000}"/>
    <cellStyle name="Pivot Table Category" xfId="110" xr:uid="{00000000-0005-0000-0000-00006E000000}"/>
    <cellStyle name="Pivot Table Corner" xfId="111" xr:uid="{00000000-0005-0000-0000-00006F000000}"/>
    <cellStyle name="Pivot Table Field" xfId="112" xr:uid="{00000000-0005-0000-0000-000070000000}"/>
    <cellStyle name="Pivot Table Result" xfId="113" xr:uid="{00000000-0005-0000-0000-000071000000}"/>
    <cellStyle name="Pivot Table Title" xfId="114" xr:uid="{00000000-0005-0000-0000-000072000000}"/>
    <cellStyle name="Pivot Table Value" xfId="115" xr:uid="{00000000-0005-0000-0000-000073000000}"/>
    <cellStyle name="Porcentaje 2" xfId="116" xr:uid="{00000000-0005-0000-0000-000074000000}"/>
    <cellStyle name="Porcentaje 2 2" xfId="117" xr:uid="{00000000-0005-0000-0000-000075000000}"/>
    <cellStyle name="Porcentaje 2 2 2" xfId="118" xr:uid="{00000000-0005-0000-0000-000076000000}"/>
    <cellStyle name="Porcentaje 2 2 2 2" xfId="119" xr:uid="{00000000-0005-0000-0000-000077000000}"/>
    <cellStyle name="Porcentaje 3" xfId="120" xr:uid="{00000000-0005-0000-0000-000078000000}"/>
    <cellStyle name="Porcentaje 5" xfId="121" xr:uid="{00000000-0005-0000-0000-000079000000}"/>
    <cellStyle name="Porcentaje 5 2" xfId="122" xr:uid="{00000000-0005-0000-0000-00007A000000}"/>
    <cellStyle name="Porcentual 2" xfId="123" xr:uid="{00000000-0005-0000-0000-00007B000000}"/>
  </cellStyles>
  <dxfs count="5">
    <dxf>
      <font>
        <color rgb="FFFF0000"/>
      </font>
    </dxf>
    <dxf>
      <font>
        <color rgb="FF00B050"/>
      </font>
    </dxf>
    <dxf>
      <font>
        <color rgb="FFFFC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F2F2F2"/>
      <rgbColor rgb="FF0000FF"/>
      <rgbColor rgb="FFFFFF00"/>
      <rgbColor rgb="FFFF00FF"/>
      <rgbColor rgb="FFC6EFCE"/>
      <rgbColor rgb="FF8B0000"/>
      <rgbColor rgb="FF008000"/>
      <rgbColor rgb="FF000080"/>
      <rgbColor rgb="FF7F7F7F"/>
      <rgbColor rgb="FFC00000"/>
      <rgbColor rgb="FF00843B"/>
      <rgbColor rgb="FFBFBFBF"/>
      <rgbColor rgb="FF808080"/>
      <rgbColor rgb="FFD9E1F2"/>
      <rgbColor rgb="FF7030A0"/>
      <rgbColor rgb="FFFFFFCC"/>
      <rgbColor rgb="FFCAEEFB"/>
      <rgbColor rgb="FF660066"/>
      <rgbColor rgb="FFD6E4F0"/>
      <rgbColor rgb="FF0066CC"/>
      <rgbColor rgb="FFCCCCCC"/>
      <rgbColor rgb="FF000080"/>
      <rgbColor rgb="FFFF00FF"/>
      <rgbColor rgb="FFFFF7CD"/>
      <rgbColor rgb="FFE2EFDA"/>
      <rgbColor rgb="FF800080"/>
      <rgbColor rgb="FF9C0006"/>
      <rgbColor rgb="FF156082"/>
      <rgbColor rgb="FF0000FF"/>
      <rgbColor rgb="FF00B050"/>
      <rgbColor rgb="FFEBF5FB"/>
      <rgbColor rgb="FFCCFFCC"/>
      <rgbColor rgb="FFFFFF99"/>
      <rgbColor rgb="FFA6CAEC"/>
      <rgbColor rgb="FFFFC7CE"/>
      <rgbColor rgb="FFD9D9D9"/>
      <rgbColor rgb="FFF4CCCC"/>
      <rgbColor rgb="FF2E75B6"/>
      <rgbColor rgb="FF84E291"/>
      <rgbColor rgb="FFC2F1C8"/>
      <rgbColor rgb="FFFFC000"/>
      <rgbColor rgb="FFD9EAD3"/>
      <rgbColor rgb="FFFFF2CC"/>
      <rgbColor rgb="FF606060"/>
      <rgbColor rgb="FFA6A6A6"/>
      <rgbColor rgb="FF1F3864"/>
      <rgbColor rgb="FF4EA72E"/>
      <rgbColor rgb="FF006100"/>
      <rgbColor rgb="FF1B2A4A"/>
      <rgbColor rgb="FF9E2A2B"/>
      <rgbColor rgb="FF595959"/>
      <rgbColor rgb="FF1F4E78"/>
      <rgbColor rgb="FF26262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0"/>
  <sheetViews>
    <sheetView zoomScaleNormal="100" workbookViewId="0">
      <selection activeCell="C19" sqref="C19"/>
    </sheetView>
  </sheetViews>
  <sheetFormatPr defaultColWidth="8.54296875" defaultRowHeight="13" x14ac:dyDescent="0.3"/>
  <cols>
    <col min="1" max="1" width="25" style="1" customWidth="1"/>
    <col min="2" max="2" width="15.453125" style="1" customWidth="1"/>
    <col min="3" max="3" width="50" style="1" customWidth="1"/>
    <col min="4" max="16" width="8.54296875" style="1" customWidth="1"/>
    <col min="17" max="16384" width="8.54296875" style="1"/>
  </cols>
  <sheetData>
    <row r="1" spans="1:3" ht="15" customHeight="1" x14ac:dyDescent="0.3">
      <c r="A1" s="15" t="s">
        <v>255</v>
      </c>
      <c r="B1" s="15"/>
      <c r="C1" s="15"/>
    </row>
    <row r="3" spans="1:3" ht="15" customHeight="1" x14ac:dyDescent="0.3">
      <c r="A3" s="2" t="s">
        <v>256</v>
      </c>
      <c r="B3" s="3" t="s">
        <v>257</v>
      </c>
    </row>
    <row r="4" spans="1:3" ht="15" customHeight="1" x14ac:dyDescent="0.3">
      <c r="A4" s="2" t="s">
        <v>6</v>
      </c>
      <c r="B4" s="3" t="s">
        <v>258</v>
      </c>
    </row>
    <row r="5" spans="1:3" ht="15" customHeight="1" x14ac:dyDescent="0.3">
      <c r="A5" s="2" t="s">
        <v>259</v>
      </c>
      <c r="B5" s="4">
        <v>45658</v>
      </c>
      <c r="C5" s="5" t="s">
        <v>260</v>
      </c>
    </row>
    <row r="6" spans="1:3" ht="14.25" customHeight="1" x14ac:dyDescent="0.3">
      <c r="A6" s="2" t="s">
        <v>261</v>
      </c>
      <c r="B6" s="6">
        <v>18</v>
      </c>
      <c r="C6" s="5" t="s">
        <v>262</v>
      </c>
    </row>
    <row r="7" spans="1:3" ht="15" customHeight="1" x14ac:dyDescent="0.3">
      <c r="A7" s="7" t="s">
        <v>263</v>
      </c>
    </row>
    <row r="8" spans="1:3" ht="15" customHeight="1" x14ac:dyDescent="0.3">
      <c r="A8" s="2" t="s">
        <v>264</v>
      </c>
      <c r="B8" s="8">
        <v>45536</v>
      </c>
      <c r="C8" s="3" t="s">
        <v>265</v>
      </c>
    </row>
    <row r="9" spans="1:3" ht="15" customHeight="1" x14ac:dyDescent="0.3">
      <c r="A9" s="2" t="s">
        <v>266</v>
      </c>
      <c r="B9" s="9">
        <v>14366.9</v>
      </c>
      <c r="C9" s="3" t="s">
        <v>267</v>
      </c>
    </row>
    <row r="10" spans="1:3" ht="15" customHeight="1" x14ac:dyDescent="0.3">
      <c r="A10" s="2" t="s">
        <v>268</v>
      </c>
      <c r="B10" s="8">
        <f>INDEX('0_Indice_CAC'!$A$4:$A$33,MATCH(1E+300,'0_Indice_CAC'!$B$4:$B$33))</f>
        <v>46174</v>
      </c>
      <c r="C10" s="3" t="s">
        <v>269</v>
      </c>
    </row>
    <row r="11" spans="1:3" ht="15" customHeight="1" x14ac:dyDescent="0.3">
      <c r="A11" s="2" t="s">
        <v>270</v>
      </c>
      <c r="B11" s="3">
        <f>MIN('0_Indice_CAC'!$D$4:$D$33)</f>
        <v>0.70180533547960611</v>
      </c>
      <c r="C11" s="3" t="s">
        <v>271</v>
      </c>
    </row>
    <row r="12" spans="1:3" ht="14.5" customHeight="1" x14ac:dyDescent="0.35">
      <c r="A12" t="s">
        <v>272</v>
      </c>
    </row>
    <row r="13" spans="1:3" ht="15" customHeight="1" x14ac:dyDescent="0.35">
      <c r="A13" s="7" t="s">
        <v>273</v>
      </c>
      <c r="B13">
        <f>'1_GGBB'!F66</f>
        <v>1.2568825695365058</v>
      </c>
      <c r="C13" t="s">
        <v>274</v>
      </c>
    </row>
    <row r="14" spans="1:3" ht="15" customHeight="1" x14ac:dyDescent="0.3">
      <c r="A14" s="2" t="s">
        <v>275</v>
      </c>
      <c r="B14" s="10"/>
      <c r="C14" s="3"/>
    </row>
    <row r="15" spans="1:3" ht="15" customHeight="1" x14ac:dyDescent="0.3">
      <c r="A15" s="2" t="s">
        <v>276</v>
      </c>
      <c r="B15" s="10" t="s">
        <v>277</v>
      </c>
      <c r="C15" s="3" t="s">
        <v>278</v>
      </c>
    </row>
    <row r="16" spans="1:3" ht="14.5" customHeight="1" x14ac:dyDescent="0.35">
      <c r="A16" t="s">
        <v>279</v>
      </c>
      <c r="B16">
        <f>SUMPRODUCT(('1_Presupuesto'!$J$5:$J$219+'1_Presupuesto'!$K$5:$K$219+'1_Presupuesto'!$L$5:$L$219)*'1_Presupuesto'!$I$5:$I$219)</f>
        <v>876508150.23440444</v>
      </c>
      <c r="C16" t="s">
        <v>280</v>
      </c>
    </row>
    <row r="17" spans="1:3" ht="15" customHeight="1" x14ac:dyDescent="0.35">
      <c r="A17" s="7" t="s">
        <v>281</v>
      </c>
      <c r="B17">
        <f>SUMPRODUCT('1_Presupuesto'!$N$5:$N$219*'1_Presupuesto'!$I$5:$I$219)</f>
        <v>897042888.19471884</v>
      </c>
      <c r="C17" t="s">
        <v>282</v>
      </c>
    </row>
    <row r="18" spans="1:3" ht="15" customHeight="1" x14ac:dyDescent="0.3">
      <c r="A18" s="2" t="s">
        <v>283</v>
      </c>
      <c r="B18" s="11">
        <f>SUMPRODUCT('1_Presupuesto'!$S$5:$S$219*'1_Presupuesto'!$I$5:$I$219)</f>
        <v>1158163185.0194998</v>
      </c>
      <c r="C18" s="3" t="s">
        <v>284</v>
      </c>
    </row>
    <row r="19" spans="1:3" ht="15" customHeight="1" x14ac:dyDescent="0.3">
      <c r="A19" s="2" t="s">
        <v>285</v>
      </c>
      <c r="B19" s="11">
        <f>+B18-1158163185</f>
        <v>1.9499778747558594E-2</v>
      </c>
      <c r="C19" s="3" t="s">
        <v>286</v>
      </c>
    </row>
    <row r="20" spans="1:3" ht="14.25" customHeight="1" x14ac:dyDescent="0.3">
      <c r="A20" s="191"/>
      <c r="B20" s="190"/>
      <c r="C20" s="5"/>
    </row>
    <row r="21" spans="1:3" ht="15" customHeight="1" x14ac:dyDescent="0.3">
      <c r="A21" s="7"/>
    </row>
    <row r="22" spans="1:3" ht="15" customHeight="1" x14ac:dyDescent="0.3">
      <c r="A22" s="2"/>
      <c r="B22" s="3"/>
    </row>
    <row r="23" spans="1:3" ht="15" customHeight="1" x14ac:dyDescent="0.3">
      <c r="A23" s="2"/>
      <c r="B23" s="3"/>
    </row>
    <row r="24" spans="1:3" ht="15" customHeight="1" x14ac:dyDescent="0.3">
      <c r="A24" s="2"/>
      <c r="B24" s="3"/>
    </row>
    <row r="25" spans="1:3" ht="15" customHeight="1" x14ac:dyDescent="0.3">
      <c r="A25" s="2"/>
      <c r="B25" s="3"/>
    </row>
    <row r="27" spans="1:3" ht="15" customHeight="1" x14ac:dyDescent="0.3">
      <c r="A27" s="7"/>
    </row>
    <row r="28" spans="1:3" ht="15" customHeight="1" x14ac:dyDescent="0.3">
      <c r="A28" s="2"/>
      <c r="B28" s="3"/>
    </row>
    <row r="29" spans="1:3" ht="15" customHeight="1" x14ac:dyDescent="0.3">
      <c r="A29" s="2"/>
      <c r="B29" s="3"/>
    </row>
    <row r="30" spans="1:3" ht="15" customHeight="1" x14ac:dyDescent="0.3">
      <c r="A30" s="2"/>
      <c r="B30" s="3"/>
    </row>
    <row r="31" spans="1:3" ht="15" customHeight="1" x14ac:dyDescent="0.3">
      <c r="A31" s="2"/>
      <c r="B31" s="3"/>
    </row>
    <row r="32" spans="1:3" ht="15" customHeight="1" x14ac:dyDescent="0.3">
      <c r="A32" s="2"/>
      <c r="B32" s="3"/>
    </row>
    <row r="34" spans="1:3" ht="14.25" customHeight="1" x14ac:dyDescent="0.3">
      <c r="A34" s="7"/>
    </row>
    <row r="35" spans="1:3" ht="14.25" customHeight="1" x14ac:dyDescent="0.3">
      <c r="A35" s="2"/>
      <c r="B35" s="3"/>
    </row>
    <row r="36" spans="1:3" ht="14.25" customHeight="1" x14ac:dyDescent="0.3">
      <c r="A36" s="2"/>
      <c r="B36" s="3"/>
    </row>
    <row r="37" spans="1:3" ht="14.25" customHeight="1" x14ac:dyDescent="0.3">
      <c r="A37" s="2"/>
      <c r="B37" s="3"/>
    </row>
    <row r="38" spans="1:3" ht="14.25" customHeight="1" x14ac:dyDescent="0.3">
      <c r="A38" s="2"/>
      <c r="B38" s="3"/>
    </row>
    <row r="39" spans="1:3" ht="14.25" customHeight="1" x14ac:dyDescent="0.3">
      <c r="A39" s="2"/>
      <c r="B39" s="3"/>
    </row>
    <row r="40" spans="1:3" ht="14.25" customHeight="1" x14ac:dyDescent="0.3">
      <c r="A40" s="7"/>
    </row>
    <row r="41" spans="1:3" ht="14.25" customHeight="1" x14ac:dyDescent="0.3">
      <c r="A41" s="2"/>
      <c r="B41" s="3"/>
    </row>
    <row r="42" spans="1:3" ht="14.25" customHeight="1" x14ac:dyDescent="0.3">
      <c r="A42" s="2"/>
      <c r="B42" s="3"/>
    </row>
    <row r="43" spans="1:3" ht="14.25" customHeight="1" x14ac:dyDescent="0.3">
      <c r="A43" s="2"/>
      <c r="B43" s="3"/>
    </row>
    <row r="44" spans="1:3" ht="14.25" customHeight="1" x14ac:dyDescent="0.3">
      <c r="A44" s="2" t="s">
        <v>287</v>
      </c>
      <c r="B44" s="3"/>
    </row>
    <row r="45" spans="1:3" ht="14.25" customHeight="1" x14ac:dyDescent="0.35">
      <c r="A45" s="2" t="s">
        <v>288</v>
      </c>
      <c r="B45" s="3">
        <f>SUMPRODUCT('2_Movimientos'!$I$2:$I$999,N(LEFT(TEXT('2_Movimientos'!$A$2:$A$999,"0"),1)&lt;&gt;"4"))-SUMPRODUCT('2_Movimientos'!$J$2:$J$999,N(LEFT(TEXT('2_Movimientos'!$A$2:$A$999,"0"),1)&lt;&gt;"4"))</f>
        <v>280993696.40999997</v>
      </c>
      <c r="C45" t="s">
        <v>289</v>
      </c>
    </row>
    <row r="46" spans="1:3" ht="14.25" customHeight="1" x14ac:dyDescent="0.35">
      <c r="A46" s="2" t="s">
        <v>290</v>
      </c>
      <c r="B46" s="3"/>
      <c r="C46" t="s">
        <v>291</v>
      </c>
    </row>
    <row r="47" spans="1:3" ht="14.5" customHeight="1" x14ac:dyDescent="0.35">
      <c r="A47" t="s">
        <v>292</v>
      </c>
      <c r="B47">
        <f>B45-B46</f>
        <v>280993696.40999997</v>
      </c>
      <c r="C47" t="s">
        <v>293</v>
      </c>
    </row>
    <row r="49" spans="1:3" ht="14.25" customHeight="1" x14ac:dyDescent="0.35">
      <c r="A49" s="7" t="s">
        <v>294</v>
      </c>
      <c r="B49">
        <v>100</v>
      </c>
    </row>
    <row r="50" spans="1:3" ht="14.25" customHeight="1" x14ac:dyDescent="0.3">
      <c r="A50" s="2"/>
      <c r="B50" s="12"/>
      <c r="C50" s="5"/>
    </row>
    <row r="51" spans="1:3" ht="14.25" customHeight="1" x14ac:dyDescent="0.3">
      <c r="A51" s="2"/>
      <c r="B51" s="13"/>
      <c r="C51" s="5"/>
    </row>
    <row r="52" spans="1:3" ht="14.25" customHeight="1" x14ac:dyDescent="0.3">
      <c r="A52" s="2" t="s">
        <v>295</v>
      </c>
      <c r="B52" s="14"/>
      <c r="C52" s="5"/>
    </row>
    <row r="53" spans="1:3" ht="14.5" customHeight="1" x14ac:dyDescent="0.35">
      <c r="A53" t="s">
        <v>296</v>
      </c>
      <c r="B53" t="s">
        <v>297</v>
      </c>
    </row>
    <row r="54" spans="1:3" ht="14.25" customHeight="1" x14ac:dyDescent="0.35">
      <c r="A54" s="7" t="s">
        <v>298</v>
      </c>
      <c r="B54" t="s">
        <v>299</v>
      </c>
    </row>
    <row r="55" spans="1:3" ht="14.25" customHeight="1" x14ac:dyDescent="0.3">
      <c r="A55" s="2" t="s">
        <v>300</v>
      </c>
      <c r="B55" s="3" t="s">
        <v>301</v>
      </c>
    </row>
    <row r="56" spans="1:3" ht="14.25" customHeight="1" x14ac:dyDescent="0.3">
      <c r="A56" s="2" t="s">
        <v>302</v>
      </c>
      <c r="B56" s="3" t="s">
        <v>303</v>
      </c>
    </row>
    <row r="57" spans="1:3" ht="14.25" customHeight="1" x14ac:dyDescent="0.3">
      <c r="A57" s="2"/>
      <c r="B57" s="3"/>
    </row>
    <row r="58" spans="1:3" ht="14.25" customHeight="1" x14ac:dyDescent="0.3">
      <c r="A58" s="2"/>
      <c r="B58" s="3"/>
    </row>
    <row r="59" spans="1:3" ht="14.25" customHeight="1" x14ac:dyDescent="0.3">
      <c r="A59" s="2"/>
      <c r="B59" s="3"/>
    </row>
    <row r="60" spans="1:3" ht="14.25" customHeight="1" x14ac:dyDescent="0.3">
      <c r="A60" s="2"/>
      <c r="B60" s="3"/>
    </row>
    <row r="61" spans="1:3" ht="14.25" customHeight="1" x14ac:dyDescent="0.3">
      <c r="A61" s="2"/>
      <c r="B61" s="3"/>
    </row>
    <row r="62" spans="1:3" ht="14.25" customHeight="1" x14ac:dyDescent="0.3">
      <c r="A62" s="2"/>
    </row>
    <row r="63" spans="1:3" ht="14.25" customHeight="1" x14ac:dyDescent="0.3"/>
    <row r="64" spans="1:3" ht="14.25" customHeight="1" x14ac:dyDescent="0.3"/>
    <row r="67" spans="1:1" ht="14.25" customHeight="1" x14ac:dyDescent="0.3">
      <c r="A67" s="2"/>
    </row>
    <row r="68" spans="1:1" ht="14.25" customHeight="1" x14ac:dyDescent="0.3"/>
    <row r="69" spans="1:1" ht="14.25" customHeight="1" x14ac:dyDescent="0.3"/>
    <row r="70" spans="1:1" ht="14.25" customHeight="1" x14ac:dyDescent="0.3"/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D33"/>
  <sheetViews>
    <sheetView showGridLines="0" topLeftCell="A42" zoomScaleNormal="100" workbookViewId="0"/>
  </sheetViews>
  <sheetFormatPr defaultColWidth="8.7265625" defaultRowHeight="13" x14ac:dyDescent="0.3"/>
  <cols>
    <col min="1" max="1" width="12.90625" style="1" customWidth="1"/>
    <col min="2" max="2" width="10.54296875" style="1" customWidth="1"/>
    <col min="3" max="3" width="11.453125" style="1" customWidth="1"/>
    <col min="4" max="4" width="7.81640625" style="1" customWidth="1"/>
    <col min="5" max="17" width="8.7265625" style="1" customWidth="1"/>
    <col min="18" max="16384" width="8.7265625" style="1"/>
  </cols>
  <sheetData>
    <row r="1" spans="1:4" ht="12.75" customHeight="1" x14ac:dyDescent="0.3">
      <c r="A1" s="15" t="s">
        <v>304</v>
      </c>
      <c r="B1" s="15"/>
      <c r="C1" s="15"/>
      <c r="D1" s="15"/>
    </row>
    <row r="2" spans="1:4" ht="12.75" customHeight="1" x14ac:dyDescent="0.3">
      <c r="A2" s="168"/>
      <c r="B2" s="168"/>
      <c r="C2" s="168"/>
      <c r="D2" s="168"/>
    </row>
    <row r="3" spans="1:4" ht="25.5" customHeight="1" x14ac:dyDescent="0.3">
      <c r="A3" s="159" t="s">
        <v>305</v>
      </c>
      <c r="B3" s="159" t="s">
        <v>306</v>
      </c>
      <c r="C3" s="159" t="s">
        <v>307</v>
      </c>
      <c r="D3" s="159" t="s">
        <v>308</v>
      </c>
    </row>
    <row r="4" spans="1:4" ht="12.75" customHeight="1" x14ac:dyDescent="0.3">
      <c r="A4" s="169">
        <v>45536</v>
      </c>
      <c r="B4" s="170">
        <v>14366.9</v>
      </c>
      <c r="C4" s="170"/>
      <c r="D4" s="171">
        <f t="shared" ref="D4:D25" si="0">$B$4/B4</f>
        <v>1</v>
      </c>
    </row>
    <row r="5" spans="1:4" ht="12.75" customHeight="1" x14ac:dyDescent="0.3">
      <c r="A5" s="169">
        <v>45566</v>
      </c>
      <c r="B5" s="170">
        <v>14614.9</v>
      </c>
      <c r="C5" s="170"/>
      <c r="D5" s="171">
        <f t="shared" si="0"/>
        <v>0.98303101629159284</v>
      </c>
    </row>
    <row r="6" spans="1:4" ht="12.75" customHeight="1" x14ac:dyDescent="0.3">
      <c r="A6" s="169">
        <v>45597</v>
      </c>
      <c r="B6" s="170">
        <v>15043</v>
      </c>
      <c r="C6" s="170"/>
      <c r="D6" s="171">
        <f t="shared" si="0"/>
        <v>0.95505550754503754</v>
      </c>
    </row>
    <row r="7" spans="1:4" ht="12.75" customHeight="1" x14ac:dyDescent="0.3">
      <c r="A7" s="169">
        <v>45627</v>
      </c>
      <c r="B7" s="170">
        <v>15356.4</v>
      </c>
      <c r="C7" s="170"/>
      <c r="D7" s="171">
        <f t="shared" si="0"/>
        <v>0.9355643249719986</v>
      </c>
    </row>
    <row r="8" spans="1:4" ht="12.75" customHeight="1" x14ac:dyDescent="0.3">
      <c r="A8" s="169">
        <v>45658</v>
      </c>
      <c r="B8" s="170">
        <v>15592.5</v>
      </c>
      <c r="C8" s="170"/>
      <c r="D8" s="171">
        <f t="shared" si="0"/>
        <v>0.92139810806477473</v>
      </c>
    </row>
    <row r="9" spans="1:4" ht="12.75" customHeight="1" x14ac:dyDescent="0.3">
      <c r="A9" s="169">
        <v>45689</v>
      </c>
      <c r="B9" s="170">
        <v>15852.4</v>
      </c>
      <c r="C9" s="170"/>
      <c r="D9" s="171">
        <f t="shared" si="0"/>
        <v>0.90629179177916275</v>
      </c>
    </row>
    <row r="10" spans="1:4" ht="12.75" customHeight="1" x14ac:dyDescent="0.3">
      <c r="A10" s="169">
        <v>45717</v>
      </c>
      <c r="B10" s="170">
        <v>15995.4</v>
      </c>
      <c r="C10" s="170"/>
      <c r="D10" s="171">
        <f t="shared" si="0"/>
        <v>0.89818947947534911</v>
      </c>
    </row>
    <row r="11" spans="1:4" ht="12.75" customHeight="1" x14ac:dyDescent="0.3">
      <c r="A11" s="169">
        <v>45748</v>
      </c>
      <c r="B11" s="170">
        <v>16253.5</v>
      </c>
      <c r="C11" s="170"/>
      <c r="D11" s="171">
        <f t="shared" si="0"/>
        <v>0.88392653889931394</v>
      </c>
    </row>
    <row r="12" spans="1:4" ht="12.75" customHeight="1" x14ac:dyDescent="0.3">
      <c r="A12" s="169">
        <v>45778</v>
      </c>
      <c r="B12" s="170">
        <v>16521.3</v>
      </c>
      <c r="C12" s="170"/>
      <c r="D12" s="171">
        <f t="shared" si="0"/>
        <v>0.86959863933225601</v>
      </c>
    </row>
    <row r="13" spans="1:4" ht="12.75" customHeight="1" x14ac:dyDescent="0.3">
      <c r="A13" s="169">
        <v>45809</v>
      </c>
      <c r="B13" s="170">
        <v>16643.400000000001</v>
      </c>
      <c r="C13" s="170"/>
      <c r="D13" s="171">
        <f t="shared" si="0"/>
        <v>0.86321905379910346</v>
      </c>
    </row>
    <row r="14" spans="1:4" ht="12.75" customHeight="1" x14ac:dyDescent="0.3">
      <c r="A14" s="169">
        <v>45839</v>
      </c>
      <c r="B14" s="170">
        <v>16939.5</v>
      </c>
      <c r="C14" s="170"/>
      <c r="D14" s="171">
        <f t="shared" si="0"/>
        <v>0.84813011009770067</v>
      </c>
    </row>
    <row r="15" spans="1:4" ht="12.75" customHeight="1" x14ac:dyDescent="0.3">
      <c r="A15" s="169">
        <v>45870</v>
      </c>
      <c r="B15" s="170">
        <v>17187.599999999999</v>
      </c>
      <c r="C15" s="170"/>
      <c r="D15" s="171">
        <f t="shared" si="0"/>
        <v>0.83588750029090741</v>
      </c>
    </row>
    <row r="16" spans="1:4" ht="12.75" customHeight="1" x14ac:dyDescent="0.3">
      <c r="A16" s="169">
        <v>45901</v>
      </c>
      <c r="B16" s="170">
        <v>17762.3</v>
      </c>
      <c r="C16" s="172"/>
      <c r="D16" s="171">
        <f t="shared" si="0"/>
        <v>0.80884232334776462</v>
      </c>
    </row>
    <row r="17" spans="1:4" ht="12.75" customHeight="1" x14ac:dyDescent="0.3">
      <c r="A17" s="169">
        <v>45931</v>
      </c>
      <c r="B17" s="170">
        <v>18172.8</v>
      </c>
      <c r="C17" s="172"/>
      <c r="D17" s="171">
        <f t="shared" si="0"/>
        <v>0.79057162352526855</v>
      </c>
    </row>
    <row r="18" spans="1:4" ht="12.75" customHeight="1" x14ac:dyDescent="0.3">
      <c r="A18" s="169">
        <v>45962</v>
      </c>
      <c r="B18" s="170">
        <v>18534.900000000001</v>
      </c>
      <c r="C18" s="170"/>
      <c r="D18" s="171">
        <f t="shared" si="0"/>
        <v>0.77512692272415817</v>
      </c>
    </row>
    <row r="19" spans="1:4" ht="12.75" customHeight="1" x14ac:dyDescent="0.3">
      <c r="A19" s="169">
        <v>45992</v>
      </c>
      <c r="B19" s="170">
        <v>18776.5</v>
      </c>
      <c r="C19" s="170"/>
      <c r="D19" s="171">
        <f t="shared" si="0"/>
        <v>0.76515325007322976</v>
      </c>
    </row>
    <row r="20" spans="1:4" ht="12.75" customHeight="1" x14ac:dyDescent="0.3">
      <c r="A20" s="169">
        <v>46023</v>
      </c>
      <c r="B20" s="170">
        <v>19209.400000000001</v>
      </c>
      <c r="C20" s="170"/>
      <c r="D20" s="171">
        <f t="shared" si="0"/>
        <v>0.74790987745582882</v>
      </c>
    </row>
    <row r="21" spans="1:4" ht="12.75" customHeight="1" x14ac:dyDescent="0.3">
      <c r="A21" s="169">
        <v>46054</v>
      </c>
      <c r="B21" s="170">
        <v>19453</v>
      </c>
      <c r="C21" s="170"/>
      <c r="D21" s="171">
        <f t="shared" si="0"/>
        <v>0.73854418341643957</v>
      </c>
    </row>
    <row r="22" spans="1:4" ht="12.75" customHeight="1" x14ac:dyDescent="0.3">
      <c r="A22" s="169">
        <v>46082</v>
      </c>
      <c r="B22" s="170">
        <v>19806.24059391124</v>
      </c>
      <c r="C22" s="170">
        <v>19806.24059391124</v>
      </c>
      <c r="D22" s="171">
        <f t="shared" si="0"/>
        <v>0.7253723861365502</v>
      </c>
    </row>
    <row r="23" spans="1:4" ht="12.75" customHeight="1" x14ac:dyDescent="0.3">
      <c r="A23" s="169">
        <v>46113</v>
      </c>
      <c r="B23" s="170">
        <v>20138.793405782741</v>
      </c>
      <c r="C23" s="170">
        <v>20138.793405782741</v>
      </c>
      <c r="D23" s="171">
        <f t="shared" si="0"/>
        <v>0.71339427891815133</v>
      </c>
    </row>
    <row r="24" spans="1:4" ht="12.75" customHeight="1" x14ac:dyDescent="0.3">
      <c r="A24" s="169">
        <v>46143</v>
      </c>
      <c r="B24" s="170">
        <v>20471.346217654242</v>
      </c>
      <c r="C24" s="170">
        <v>20471.346217654242</v>
      </c>
      <c r="D24" s="171">
        <f t="shared" si="0"/>
        <v>0.70180533547960611</v>
      </c>
    </row>
    <row r="25" spans="1:4" ht="12.75" customHeight="1" x14ac:dyDescent="0.3">
      <c r="A25" s="169">
        <v>46174</v>
      </c>
      <c r="B25" s="170">
        <v>20471.346217654242</v>
      </c>
      <c r="C25" s="170">
        <v>20471.346217654242</v>
      </c>
      <c r="D25" s="171">
        <f t="shared" si="0"/>
        <v>0.70180533547960611</v>
      </c>
    </row>
    <row r="26" spans="1:4" ht="12.75" customHeight="1" x14ac:dyDescent="0.3">
      <c r="A26" s="169"/>
      <c r="B26" s="170"/>
      <c r="C26" s="170"/>
      <c r="D26" s="171"/>
    </row>
    <row r="27" spans="1:4" ht="12.75" customHeight="1" x14ac:dyDescent="0.3">
      <c r="A27" s="169"/>
      <c r="B27" s="170"/>
      <c r="C27" s="170"/>
      <c r="D27" s="171"/>
    </row>
    <row r="28" spans="1:4" ht="12.75" customHeight="1" x14ac:dyDescent="0.3">
      <c r="A28" s="169"/>
      <c r="B28" s="170"/>
      <c r="C28" s="170"/>
      <c r="D28" s="171"/>
    </row>
    <row r="29" spans="1:4" ht="12.75" customHeight="1" x14ac:dyDescent="0.3">
      <c r="A29" s="169"/>
      <c r="B29" s="170"/>
      <c r="C29" s="170"/>
      <c r="D29" s="171"/>
    </row>
    <row r="30" spans="1:4" ht="12.75" customHeight="1" x14ac:dyDescent="0.3">
      <c r="A30" s="169"/>
      <c r="B30" s="170"/>
      <c r="C30" s="170"/>
      <c r="D30" s="171"/>
    </row>
    <row r="31" spans="1:4" ht="12.75" customHeight="1" x14ac:dyDescent="0.3">
      <c r="A31" s="169"/>
      <c r="B31" s="170"/>
      <c r="C31" s="170"/>
      <c r="D31" s="171"/>
    </row>
    <row r="32" spans="1:4" ht="12.75" customHeight="1" x14ac:dyDescent="0.3">
      <c r="A32" s="169"/>
      <c r="B32" s="170"/>
      <c r="C32" s="170"/>
      <c r="D32" s="171"/>
    </row>
    <row r="33" spans="1:4" ht="12.75" customHeight="1" x14ac:dyDescent="0.3">
      <c r="A33" s="169"/>
      <c r="B33" s="170"/>
      <c r="C33" s="170"/>
      <c r="D33" s="171"/>
    </row>
  </sheetData>
  <conditionalFormatting sqref="A4:A33">
    <cfRule type="timePeriod" dxfId="4" priority="2" timePeriod="lastMonth">
      <formula>AND(MONTH(A4)=MONTH(EDATE(TODAY(),0-1)),YEAR(A4)=YEAR(EDATE(TODAY(),0-1)))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M22"/>
  <sheetViews>
    <sheetView showGridLines="0" zoomScaleNormal="100" workbookViewId="0"/>
  </sheetViews>
  <sheetFormatPr defaultColWidth="8.6328125" defaultRowHeight="13" x14ac:dyDescent="0.3"/>
  <cols>
    <col min="1" max="1" width="14" style="1" customWidth="1"/>
    <col min="2" max="5" width="12.26953125" style="1" customWidth="1"/>
    <col min="6" max="6" width="4.90625" style="1" customWidth="1"/>
    <col min="7" max="10" width="11.7265625" style="1" customWidth="1"/>
    <col min="11" max="23" width="8.6328125" style="1" customWidth="1"/>
    <col min="24" max="16384" width="8.6328125" style="1"/>
  </cols>
  <sheetData>
    <row r="1" spans="1:13" ht="15" customHeight="1" x14ac:dyDescent="0.3">
      <c r="A1" s="15" t="s">
        <v>309</v>
      </c>
      <c r="B1" s="15"/>
      <c r="C1" s="15"/>
      <c r="D1" s="15"/>
      <c r="E1" s="15"/>
      <c r="F1" s="15"/>
      <c r="G1" s="15"/>
      <c r="H1" s="15"/>
      <c r="I1" s="15"/>
      <c r="J1" s="15"/>
      <c r="L1" s="16"/>
      <c r="M1" s="16"/>
    </row>
    <row r="2" spans="1:13" x14ac:dyDescent="0.3">
      <c r="A2" s="168"/>
      <c r="B2" s="168"/>
      <c r="C2" s="168"/>
      <c r="D2" s="168"/>
      <c r="E2" s="168"/>
      <c r="F2" s="168"/>
      <c r="G2" s="168"/>
      <c r="H2" s="168"/>
      <c r="I2" s="168"/>
      <c r="J2" s="168"/>
      <c r="L2" s="16"/>
      <c r="M2" s="16"/>
    </row>
    <row r="3" spans="1:13" ht="26" customHeight="1" x14ac:dyDescent="0.3">
      <c r="A3" s="159" t="s">
        <v>310</v>
      </c>
      <c r="B3" s="159" t="s">
        <v>311</v>
      </c>
      <c r="C3" s="159" t="s">
        <v>312</v>
      </c>
      <c r="D3" s="159" t="s">
        <v>313</v>
      </c>
      <c r="E3" s="159" t="s">
        <v>314</v>
      </c>
      <c r="G3" s="174" t="s">
        <v>315</v>
      </c>
      <c r="H3" s="174" t="s">
        <v>312</v>
      </c>
      <c r="I3" s="174" t="s">
        <v>313</v>
      </c>
      <c r="J3" s="174" t="s">
        <v>314</v>
      </c>
      <c r="L3" s="17"/>
      <c r="M3" s="17"/>
    </row>
    <row r="4" spans="1:13" ht="15" customHeight="1" x14ac:dyDescent="0.3">
      <c r="A4" s="169">
        <v>45627</v>
      </c>
      <c r="B4" s="170">
        <v>85927.1</v>
      </c>
      <c r="C4" s="170">
        <v>76955.08</v>
      </c>
      <c r="D4" s="170">
        <v>65493.07</v>
      </c>
      <c r="E4" s="170">
        <v>60860.58</v>
      </c>
      <c r="G4" s="188">
        <f t="shared" ref="G4:G21" si="0">+B4/8</f>
        <v>10740.887500000001</v>
      </c>
      <c r="H4" s="188">
        <f t="shared" ref="H4:H21" si="1">+C4/8</f>
        <v>9619.3850000000002</v>
      </c>
      <c r="I4" s="188">
        <f t="shared" ref="I4:I21" si="2">+D4/8</f>
        <v>8186.63375</v>
      </c>
      <c r="J4" s="188">
        <f t="shared" ref="J4:J21" si="3">+E4/8</f>
        <v>7607.5725000000002</v>
      </c>
    </row>
    <row r="5" spans="1:13" ht="15" customHeight="1" x14ac:dyDescent="0.3">
      <c r="A5" s="169">
        <v>45658</v>
      </c>
      <c r="B5" s="170">
        <v>87384</v>
      </c>
      <c r="C5" s="170">
        <v>78375</v>
      </c>
      <c r="D5" s="170">
        <v>66853</v>
      </c>
      <c r="E5" s="170">
        <v>61892</v>
      </c>
      <c r="G5" s="188">
        <f t="shared" si="0"/>
        <v>10923</v>
      </c>
      <c r="H5" s="188">
        <f t="shared" si="1"/>
        <v>9796.875</v>
      </c>
      <c r="I5" s="188">
        <f t="shared" si="2"/>
        <v>8356.625</v>
      </c>
      <c r="J5" s="188">
        <f t="shared" si="3"/>
        <v>7736.5</v>
      </c>
    </row>
    <row r="6" spans="1:13" ht="15" customHeight="1" x14ac:dyDescent="0.3">
      <c r="A6" s="169">
        <v>45689</v>
      </c>
      <c r="B6" s="170">
        <v>89383</v>
      </c>
      <c r="C6" s="170">
        <v>80395</v>
      </c>
      <c r="D6" s="170">
        <v>68472</v>
      </c>
      <c r="E6" s="170">
        <v>63382</v>
      </c>
      <c r="G6" s="188">
        <f t="shared" si="0"/>
        <v>11172.875</v>
      </c>
      <c r="H6" s="188">
        <f t="shared" si="1"/>
        <v>10049.375</v>
      </c>
      <c r="I6" s="188">
        <f t="shared" si="2"/>
        <v>8559</v>
      </c>
      <c r="J6" s="188">
        <f t="shared" si="3"/>
        <v>7922.75</v>
      </c>
    </row>
    <row r="7" spans="1:13" ht="15" customHeight="1" x14ac:dyDescent="0.3">
      <c r="A7" s="169">
        <v>45717</v>
      </c>
      <c r="B7" s="170">
        <v>91464</v>
      </c>
      <c r="C7" s="170">
        <v>82269</v>
      </c>
      <c r="D7" s="170">
        <v>70296</v>
      </c>
      <c r="E7" s="170">
        <v>65595</v>
      </c>
      <c r="G7" s="188">
        <f t="shared" si="0"/>
        <v>11433</v>
      </c>
      <c r="H7" s="188">
        <f t="shared" si="1"/>
        <v>10283.625</v>
      </c>
      <c r="I7" s="188">
        <f t="shared" si="2"/>
        <v>8787</v>
      </c>
      <c r="J7" s="188">
        <f t="shared" si="3"/>
        <v>8199.375</v>
      </c>
    </row>
    <row r="8" spans="1:13" ht="15" customHeight="1" x14ac:dyDescent="0.3">
      <c r="A8" s="169">
        <v>45778</v>
      </c>
      <c r="B8" s="170">
        <v>93235.366504703503</v>
      </c>
      <c r="C8" s="170">
        <v>83766.387582470707</v>
      </c>
      <c r="D8" s="170">
        <v>71410.8169819342</v>
      </c>
      <c r="E8" s="170">
        <v>66568.093871664896</v>
      </c>
      <c r="G8" s="188">
        <f t="shared" si="0"/>
        <v>11654.420813087938</v>
      </c>
      <c r="H8" s="188">
        <f t="shared" si="1"/>
        <v>10470.798447808838</v>
      </c>
      <c r="I8" s="188">
        <f t="shared" si="2"/>
        <v>8926.352122741775</v>
      </c>
      <c r="J8" s="188">
        <f t="shared" si="3"/>
        <v>8321.011733958112</v>
      </c>
    </row>
    <row r="9" spans="1:13" ht="15" customHeight="1" x14ac:dyDescent="0.3">
      <c r="A9" s="169">
        <v>45809</v>
      </c>
      <c r="B9" s="170">
        <v>94177.137883538904</v>
      </c>
      <c r="C9" s="170">
        <v>84612.512709566407</v>
      </c>
      <c r="D9" s="170">
        <v>72132.138365590101</v>
      </c>
      <c r="E9" s="170">
        <v>67240.498860267602</v>
      </c>
      <c r="G9" s="188">
        <f t="shared" si="0"/>
        <v>11772.142235442363</v>
      </c>
      <c r="H9" s="188">
        <f t="shared" si="1"/>
        <v>10576.564088695801</v>
      </c>
      <c r="I9" s="188">
        <f t="shared" si="2"/>
        <v>9016.5172956987626</v>
      </c>
      <c r="J9" s="188">
        <f t="shared" si="3"/>
        <v>8405.0623575334503</v>
      </c>
    </row>
    <row r="10" spans="1:13" ht="15" customHeight="1" x14ac:dyDescent="0.3">
      <c r="A10" s="169">
        <v>45839</v>
      </c>
      <c r="B10" s="170">
        <v>95080</v>
      </c>
      <c r="C10" s="170">
        <v>85425</v>
      </c>
      <c r="D10" s="170">
        <v>72871</v>
      </c>
      <c r="E10" s="170">
        <v>67908</v>
      </c>
      <c r="G10" s="188">
        <f t="shared" si="0"/>
        <v>11885</v>
      </c>
      <c r="H10" s="188">
        <f t="shared" si="1"/>
        <v>10678.125</v>
      </c>
      <c r="I10" s="188">
        <f t="shared" si="2"/>
        <v>9108.875</v>
      </c>
      <c r="J10" s="188">
        <f t="shared" si="3"/>
        <v>8488.5</v>
      </c>
    </row>
    <row r="11" spans="1:13" ht="15" customHeight="1" x14ac:dyDescent="0.3">
      <c r="A11" s="169">
        <v>45870</v>
      </c>
      <c r="B11" s="170">
        <v>95889.2</v>
      </c>
      <c r="C11" s="170">
        <v>86356.18</v>
      </c>
      <c r="D11" s="170">
        <v>73781.11</v>
      </c>
      <c r="E11" s="170">
        <v>68935.350000000006</v>
      </c>
      <c r="G11" s="188">
        <f t="shared" si="0"/>
        <v>11986.15</v>
      </c>
      <c r="H11" s="188">
        <f t="shared" si="1"/>
        <v>10794.522499999999</v>
      </c>
      <c r="I11" s="188">
        <f t="shared" si="2"/>
        <v>9222.6387500000001</v>
      </c>
      <c r="J11" s="188">
        <f t="shared" si="3"/>
        <v>8616.9187500000007</v>
      </c>
    </row>
    <row r="12" spans="1:13" ht="15" customHeight="1" x14ac:dyDescent="0.3">
      <c r="A12" s="169">
        <v>45901</v>
      </c>
      <c r="B12" s="170">
        <v>106516.017311572</v>
      </c>
      <c r="C12" s="170">
        <v>88649.807904072004</v>
      </c>
      <c r="D12" s="170">
        <v>75758.191951571993</v>
      </c>
      <c r="E12" s="170">
        <v>71041.118761571997</v>
      </c>
      <c r="G12" s="188">
        <f t="shared" si="0"/>
        <v>13314.502163946499</v>
      </c>
      <c r="H12" s="188">
        <f t="shared" si="1"/>
        <v>11081.225988009001</v>
      </c>
      <c r="I12" s="188">
        <f t="shared" si="2"/>
        <v>9469.7739939464991</v>
      </c>
      <c r="J12" s="188">
        <f t="shared" si="3"/>
        <v>8880.1398451964997</v>
      </c>
    </row>
    <row r="13" spans="1:13" ht="15" customHeight="1" x14ac:dyDescent="0.3">
      <c r="A13" s="169">
        <v>45931</v>
      </c>
      <c r="B13" s="170">
        <v>106864.20592157199</v>
      </c>
      <c r="C13" s="170">
        <v>88971.072744071993</v>
      </c>
      <c r="D13" s="170">
        <v>76032.176431572007</v>
      </c>
      <c r="E13" s="170">
        <v>71292.271201572003</v>
      </c>
      <c r="G13" s="188">
        <f t="shared" si="0"/>
        <v>13358.025740196499</v>
      </c>
      <c r="H13" s="188">
        <f t="shared" si="1"/>
        <v>11121.384093008999</v>
      </c>
      <c r="I13" s="188">
        <f t="shared" si="2"/>
        <v>9504.0220539465008</v>
      </c>
      <c r="J13" s="188">
        <f t="shared" si="3"/>
        <v>8911.5339001965003</v>
      </c>
    </row>
    <row r="14" spans="1:13" ht="15" customHeight="1" x14ac:dyDescent="0.3">
      <c r="A14" s="169">
        <v>45962</v>
      </c>
      <c r="B14" s="170">
        <v>109621.10545407201</v>
      </c>
      <c r="C14" s="170">
        <v>91252.850653390196</v>
      </c>
      <c r="D14" s="170">
        <v>77612.118064071998</v>
      </c>
      <c r="E14" s="170">
        <v>72486.682606571994</v>
      </c>
      <c r="G14" s="188">
        <f t="shared" si="0"/>
        <v>13702.638181759001</v>
      </c>
      <c r="H14" s="188">
        <f t="shared" si="1"/>
        <v>11406.606331673775</v>
      </c>
      <c r="I14" s="188">
        <f t="shared" si="2"/>
        <v>9701.5147580089997</v>
      </c>
      <c r="J14" s="188">
        <f t="shared" si="3"/>
        <v>9060.8353258214993</v>
      </c>
    </row>
    <row r="15" spans="1:13" ht="15" customHeight="1" x14ac:dyDescent="0.3">
      <c r="A15" s="169">
        <v>45992</v>
      </c>
      <c r="B15" s="170">
        <v>113865.181859145</v>
      </c>
      <c r="C15" s="170">
        <v>95196.927058463596</v>
      </c>
      <c r="D15" s="170">
        <v>81356.194469145397</v>
      </c>
      <c r="E15" s="170">
        <v>76230.759011645394</v>
      </c>
      <c r="G15" s="188">
        <f t="shared" si="0"/>
        <v>14233.147732393125</v>
      </c>
      <c r="H15" s="188">
        <f t="shared" si="1"/>
        <v>11899.61588230795</v>
      </c>
      <c r="I15" s="188">
        <f t="shared" si="2"/>
        <v>10169.524308643175</v>
      </c>
      <c r="J15" s="188">
        <f t="shared" si="3"/>
        <v>9528.8448764556742</v>
      </c>
    </row>
    <row r="16" spans="1:13" ht="15" customHeight="1" x14ac:dyDescent="0.3">
      <c r="A16" s="169">
        <v>46023</v>
      </c>
      <c r="B16" s="170">
        <v>117452.657276645</v>
      </c>
      <c r="C16" s="170">
        <v>97866.769866645394</v>
      </c>
      <c r="D16" s="170">
        <v>83614.940401645406</v>
      </c>
      <c r="E16" s="170">
        <v>78291.041771645396</v>
      </c>
      <c r="G16" s="188">
        <f t="shared" si="0"/>
        <v>14681.582159580625</v>
      </c>
      <c r="H16" s="188">
        <f t="shared" si="1"/>
        <v>12233.346233330674</v>
      </c>
      <c r="I16" s="188">
        <f t="shared" si="2"/>
        <v>10451.867550205676</v>
      </c>
      <c r="J16" s="188">
        <f t="shared" si="3"/>
        <v>9786.3802214556745</v>
      </c>
    </row>
    <row r="17" spans="1:10" ht="15" customHeight="1" x14ac:dyDescent="0.3">
      <c r="A17" s="169">
        <v>46054</v>
      </c>
      <c r="B17" s="170">
        <v>119406.334246645</v>
      </c>
      <c r="C17" s="170">
        <v>99479.557976645403</v>
      </c>
      <c r="D17" s="170">
        <v>84948.749161645406</v>
      </c>
      <c r="E17" s="170">
        <v>79490.602471645398</v>
      </c>
      <c r="G17" s="188">
        <f t="shared" si="0"/>
        <v>14925.791780830625</v>
      </c>
      <c r="H17" s="188">
        <f t="shared" si="1"/>
        <v>12434.944747080675</v>
      </c>
      <c r="I17" s="188">
        <f t="shared" si="2"/>
        <v>10618.593645205676</v>
      </c>
      <c r="J17" s="188">
        <f t="shared" si="3"/>
        <v>9936.3253089556747</v>
      </c>
    </row>
    <row r="18" spans="1:10" ht="15" customHeight="1" x14ac:dyDescent="0.3">
      <c r="A18" s="169">
        <v>46082</v>
      </c>
      <c r="B18" s="170">
        <v>122445.790586645</v>
      </c>
      <c r="C18" s="170">
        <v>102029.066882782</v>
      </c>
      <c r="D18" s="170">
        <v>87100.469906645405</v>
      </c>
      <c r="E18" s="170">
        <v>81453.719334145397</v>
      </c>
      <c r="G18" s="188">
        <f t="shared" si="0"/>
        <v>15305.723823330625</v>
      </c>
      <c r="H18" s="188">
        <f t="shared" si="1"/>
        <v>12753.633360347751</v>
      </c>
      <c r="I18" s="188">
        <f t="shared" si="2"/>
        <v>10887.558738330676</v>
      </c>
      <c r="J18" s="188">
        <f t="shared" si="3"/>
        <v>10181.714916768175</v>
      </c>
    </row>
    <row r="19" spans="1:10" ht="15" customHeight="1" x14ac:dyDescent="0.3">
      <c r="A19" s="169">
        <v>46113</v>
      </c>
      <c r="B19" s="170">
        <v>122445.790586645</v>
      </c>
      <c r="C19" s="170">
        <v>102029.066882782</v>
      </c>
      <c r="D19" s="170">
        <v>87100.469906645405</v>
      </c>
      <c r="E19" s="170">
        <v>81453.719334145397</v>
      </c>
      <c r="G19" s="188">
        <f t="shared" si="0"/>
        <v>15305.723823330625</v>
      </c>
      <c r="H19" s="188">
        <f t="shared" si="1"/>
        <v>12753.633360347751</v>
      </c>
      <c r="I19" s="188">
        <f t="shared" si="2"/>
        <v>10887.558738330676</v>
      </c>
      <c r="J19" s="188">
        <f t="shared" si="3"/>
        <v>10181.714916768175</v>
      </c>
    </row>
    <row r="20" spans="1:10" ht="15" customHeight="1" x14ac:dyDescent="0.3">
      <c r="A20" s="169">
        <v>46143</v>
      </c>
      <c r="B20" s="170">
        <v>122445.790586645</v>
      </c>
      <c r="C20" s="170">
        <v>102029.066882782</v>
      </c>
      <c r="D20" s="170">
        <v>87100.469906645405</v>
      </c>
      <c r="E20" s="170">
        <v>81453.719334145397</v>
      </c>
      <c r="G20" s="188">
        <f t="shared" si="0"/>
        <v>15305.723823330625</v>
      </c>
      <c r="H20" s="188">
        <f t="shared" si="1"/>
        <v>12753.633360347751</v>
      </c>
      <c r="I20" s="188">
        <f t="shared" si="2"/>
        <v>10887.558738330676</v>
      </c>
      <c r="J20" s="188">
        <f t="shared" si="3"/>
        <v>10181.714916768175</v>
      </c>
    </row>
    <row r="21" spans="1:10" ht="15" customHeight="1" x14ac:dyDescent="0.3">
      <c r="A21" s="169">
        <v>46174</v>
      </c>
      <c r="B21" s="170">
        <v>122445.790586645</v>
      </c>
      <c r="C21" s="170">
        <v>102029.066882782</v>
      </c>
      <c r="D21" s="170">
        <v>87100.469906645405</v>
      </c>
      <c r="E21" s="170">
        <v>81453.719334145397</v>
      </c>
      <c r="G21" s="188">
        <f t="shared" si="0"/>
        <v>15305.723823330625</v>
      </c>
      <c r="H21" s="188">
        <f t="shared" si="1"/>
        <v>12753.633360347751</v>
      </c>
      <c r="I21" s="188">
        <f t="shared" si="2"/>
        <v>10887.558738330676</v>
      </c>
      <c r="J21" s="188">
        <f t="shared" si="3"/>
        <v>10181.714916768175</v>
      </c>
    </row>
    <row r="22" spans="1:10" ht="15" customHeight="1" x14ac:dyDescent="0.3">
      <c r="A22" s="173"/>
    </row>
  </sheetData>
  <conditionalFormatting sqref="A4:A21">
    <cfRule type="timePeriod" dxfId="3" priority="2" timePeriod="lastMonth">
      <formula>AND(MONTH(A4)=MONTH(EDATE(TODAY(),0-1)),YEAR(A4)=YEAR(EDATE(TODAY(),0-1)))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1"/>
  </sheetPr>
  <dimension ref="A1:Y224"/>
  <sheetViews>
    <sheetView showGridLines="0" workbookViewId="0">
      <pane xSplit="9" ySplit="3" topLeftCell="O182" activePane="bottomRight" state="frozen"/>
      <selection pane="topRight"/>
      <selection pane="bottomLeft"/>
      <selection pane="bottomRight" activeCell="G194" sqref="G194"/>
    </sheetView>
  </sheetViews>
  <sheetFormatPr defaultRowHeight="14.5" x14ac:dyDescent="0.35"/>
  <cols>
    <col min="1" max="4" width="16" customWidth="1"/>
    <col min="5" max="5" width="9" customWidth="1"/>
    <col min="6" max="6" width="8" customWidth="1"/>
    <col min="7" max="7" width="40" customWidth="1"/>
    <col min="8" max="8" width="6" customWidth="1"/>
    <col min="9" max="9" width="8" customWidth="1"/>
    <col min="10" max="19" width="13" customWidth="1"/>
    <col min="20" max="20" width="9" customWidth="1"/>
    <col min="21" max="22" width="13" customWidth="1"/>
    <col min="23" max="23" width="20" customWidth="1"/>
    <col min="24" max="24" width="12" customWidth="1"/>
    <col min="25" max="25" width="11" customWidth="1"/>
  </cols>
  <sheetData>
    <row r="1" spans="1:25" x14ac:dyDescent="0.35">
      <c r="A1" s="210" t="s">
        <v>0</v>
      </c>
      <c r="B1" s="211"/>
      <c r="C1" s="211"/>
      <c r="D1" s="211"/>
      <c r="E1" s="211"/>
      <c r="F1" s="211"/>
      <c r="G1" s="211"/>
      <c r="H1" s="211"/>
      <c r="I1" s="211"/>
      <c r="J1" s="211"/>
      <c r="K1" s="211"/>
      <c r="L1" s="211"/>
      <c r="M1" s="211"/>
      <c r="N1" s="211"/>
      <c r="O1" s="211"/>
      <c r="P1" s="211"/>
      <c r="Q1" s="211"/>
      <c r="R1" s="211"/>
      <c r="S1" s="211"/>
      <c r="T1" s="211"/>
      <c r="U1" s="211"/>
      <c r="V1" s="211"/>
      <c r="W1" s="211"/>
      <c r="X1" s="211"/>
      <c r="Y1" s="211"/>
    </row>
    <row r="3" spans="1:25" x14ac:dyDescent="0.35">
      <c r="A3" s="212" t="s">
        <v>1</v>
      </c>
      <c r="B3" s="212" t="s">
        <v>2</v>
      </c>
      <c r="C3" s="212" t="s">
        <v>3</v>
      </c>
      <c r="D3" s="212" t="s">
        <v>4</v>
      </c>
      <c r="E3" s="212" t="s">
        <v>5</v>
      </c>
      <c r="F3" s="212" t="s">
        <v>6</v>
      </c>
      <c r="G3" s="212" t="s">
        <v>7</v>
      </c>
      <c r="H3" s="212" t="s">
        <v>8</v>
      </c>
      <c r="I3" s="212" t="s">
        <v>9</v>
      </c>
      <c r="J3" s="212" t="s">
        <v>10</v>
      </c>
      <c r="K3" s="212" t="s">
        <v>11</v>
      </c>
      <c r="L3" s="212" t="s">
        <v>12</v>
      </c>
      <c r="M3" s="212" t="s">
        <v>13</v>
      </c>
      <c r="N3" s="212" t="s">
        <v>14</v>
      </c>
      <c r="O3" s="212" t="s">
        <v>10</v>
      </c>
      <c r="P3" s="212" t="s">
        <v>11</v>
      </c>
      <c r="Q3" s="212" t="s">
        <v>12</v>
      </c>
      <c r="R3" s="212" t="s">
        <v>13</v>
      </c>
      <c r="S3" s="212" t="s">
        <v>15</v>
      </c>
      <c r="T3" s="212" t="s">
        <v>16</v>
      </c>
      <c r="U3" s="212" t="s">
        <v>17</v>
      </c>
      <c r="V3" s="212" t="s">
        <v>18</v>
      </c>
      <c r="W3" s="212" t="s">
        <v>19</v>
      </c>
      <c r="X3" s="212" t="s">
        <v>20</v>
      </c>
      <c r="Y3" s="212" t="s">
        <v>21</v>
      </c>
    </row>
    <row r="4" spans="1:25" x14ac:dyDescent="0.35">
      <c r="E4" s="213">
        <v>1</v>
      </c>
      <c r="G4" s="213" t="s">
        <v>22</v>
      </c>
      <c r="I4" s="214"/>
      <c r="J4" s="215"/>
      <c r="K4" s="215"/>
      <c r="L4" s="215"/>
      <c r="M4" s="215"/>
      <c r="N4" s="215"/>
      <c r="O4" s="215"/>
      <c r="P4" s="215"/>
      <c r="Q4" s="215"/>
      <c r="R4" s="215"/>
      <c r="S4" s="215"/>
      <c r="T4" s="216"/>
      <c r="U4" s="215"/>
      <c r="V4" s="215"/>
      <c r="Y4" s="203"/>
    </row>
    <row r="5" spans="1:25" x14ac:dyDescent="0.35">
      <c r="A5" s="213" t="s">
        <v>23</v>
      </c>
      <c r="B5" s="213" t="s">
        <v>24</v>
      </c>
      <c r="C5" s="213" t="s">
        <v>24</v>
      </c>
      <c r="D5" s="213" t="s">
        <v>24</v>
      </c>
      <c r="E5" s="213">
        <v>1.01</v>
      </c>
      <c r="F5" s="213" t="s">
        <v>25</v>
      </c>
      <c r="G5" s="213" t="s">
        <v>26</v>
      </c>
      <c r="H5" s="213" t="s">
        <v>27</v>
      </c>
      <c r="I5" s="217">
        <v>0</v>
      </c>
      <c r="J5" s="218">
        <v>0</v>
      </c>
      <c r="K5" s="218">
        <v>0</v>
      </c>
      <c r="L5" s="218">
        <v>0</v>
      </c>
      <c r="M5" s="218">
        <v>0</v>
      </c>
      <c r="N5" s="219">
        <f t="shared" ref="N5:N14" si="0">SUM(J5:M5)</f>
        <v>0</v>
      </c>
      <c r="O5" s="219">
        <f t="shared" ref="O5:O14" si="1">IF($N5=0,$S5,J5/$N5*$S5)</f>
        <v>0</v>
      </c>
      <c r="P5" s="219">
        <f t="shared" ref="P5:P14" si="2">IF($N5=0,0,K5/$N5*$S5)</f>
        <v>0</v>
      </c>
      <c r="Q5" s="219">
        <f t="shared" ref="Q5:Q14" si="3">IF($N5=0,0,L5/$N5*$S5)</f>
        <v>0</v>
      </c>
      <c r="R5" s="219">
        <f t="shared" ref="R5:R14" si="4">IF($N5=0,0,M5/$N5*$S5)</f>
        <v>0</v>
      </c>
      <c r="S5" s="218">
        <v>0</v>
      </c>
      <c r="T5" s="220" t="str">
        <f t="shared" ref="T5:T14" si="5">IFERROR(S5/N5,"")</f>
        <v/>
      </c>
      <c r="U5" s="219">
        <f t="shared" ref="U5:U14" si="6">N5*I5</f>
        <v>0</v>
      </c>
      <c r="V5" s="219">
        <f t="shared" ref="V5:V14" si="7">S5*I5</f>
        <v>0</v>
      </c>
      <c r="W5" s="213" t="s">
        <v>22</v>
      </c>
      <c r="X5" s="213" t="s">
        <v>28</v>
      </c>
      <c r="Y5" s="221">
        <f>SUMIFS(Cert_App_Output!$G:$G,Cert_App_Output!$E:$E,$E5,Cert_App_Output!$K:$K,$X5)</f>
        <v>0</v>
      </c>
    </row>
    <row r="6" spans="1:25" x14ac:dyDescent="0.35">
      <c r="A6" s="213" t="s">
        <v>23</v>
      </c>
      <c r="B6" s="213" t="s">
        <v>24</v>
      </c>
      <c r="C6" s="213" t="s">
        <v>23</v>
      </c>
      <c r="D6" s="213" t="s">
        <v>23</v>
      </c>
      <c r="E6" s="213">
        <v>1.02</v>
      </c>
      <c r="F6" s="213" t="s">
        <v>25</v>
      </c>
      <c r="G6" s="213" t="s">
        <v>29</v>
      </c>
      <c r="H6" s="213" t="s">
        <v>30</v>
      </c>
      <c r="I6" s="217">
        <v>3</v>
      </c>
      <c r="J6" s="218">
        <v>41666.666666666657</v>
      </c>
      <c r="K6" s="218">
        <v>172653.2083</v>
      </c>
      <c r="L6" s="218">
        <v>83223.728684000002</v>
      </c>
      <c r="M6" s="218">
        <v>4463.1540547552077</v>
      </c>
      <c r="N6" s="219">
        <f t="shared" si="0"/>
        <v>302006.75770542189</v>
      </c>
      <c r="O6" s="219">
        <f t="shared" si="1"/>
        <v>52370.240940415613</v>
      </c>
      <c r="P6" s="219">
        <f t="shared" si="2"/>
        <v>217005.36282736241</v>
      </c>
      <c r="Q6" s="219">
        <f t="shared" si="3"/>
        <v>104602.72135538061</v>
      </c>
      <c r="R6" s="219">
        <f t="shared" si="4"/>
        <v>5609.6748768413563</v>
      </c>
      <c r="S6" s="218">
        <v>379588</v>
      </c>
      <c r="T6" s="220">
        <f t="shared" si="5"/>
        <v>1.2568857825699749</v>
      </c>
      <c r="U6" s="219">
        <f t="shared" si="6"/>
        <v>906020.27311626566</v>
      </c>
      <c r="V6" s="219">
        <f t="shared" si="7"/>
        <v>1138764</v>
      </c>
      <c r="W6" s="213" t="s">
        <v>22</v>
      </c>
      <c r="X6" s="213" t="s">
        <v>28</v>
      </c>
      <c r="Y6" s="221">
        <f>SUMIFS(Cert_App_Output!$G:$G,Cert_App_Output!$E:$E,$E6,Cert_App_Output!$K:$K,$X6)</f>
        <v>1</v>
      </c>
    </row>
    <row r="7" spans="1:25" x14ac:dyDescent="0.35">
      <c r="A7" s="213" t="s">
        <v>23</v>
      </c>
      <c r="B7" s="213" t="s">
        <v>24</v>
      </c>
      <c r="C7" s="213" t="s">
        <v>24</v>
      </c>
      <c r="D7" s="213" t="s">
        <v>24</v>
      </c>
      <c r="E7" s="213">
        <v>1.03</v>
      </c>
      <c r="F7" s="213" t="s">
        <v>25</v>
      </c>
      <c r="G7" s="213" t="s">
        <v>31</v>
      </c>
      <c r="H7" s="213" t="s">
        <v>27</v>
      </c>
      <c r="I7" s="217">
        <v>0</v>
      </c>
      <c r="J7" s="218">
        <v>0</v>
      </c>
      <c r="K7" s="218">
        <v>0</v>
      </c>
      <c r="L7" s="218">
        <v>0</v>
      </c>
      <c r="M7" s="218">
        <v>0</v>
      </c>
      <c r="N7" s="219">
        <f t="shared" si="0"/>
        <v>0</v>
      </c>
      <c r="O7" s="219">
        <f t="shared" si="1"/>
        <v>0</v>
      </c>
      <c r="P7" s="219">
        <f t="shared" si="2"/>
        <v>0</v>
      </c>
      <c r="Q7" s="219">
        <f t="shared" si="3"/>
        <v>0</v>
      </c>
      <c r="R7" s="219">
        <f t="shared" si="4"/>
        <v>0</v>
      </c>
      <c r="S7" s="218">
        <v>0</v>
      </c>
      <c r="T7" s="220" t="str">
        <f t="shared" si="5"/>
        <v/>
      </c>
      <c r="U7" s="219">
        <f t="shared" si="6"/>
        <v>0</v>
      </c>
      <c r="V7" s="219">
        <f t="shared" si="7"/>
        <v>0</v>
      </c>
      <c r="W7" s="213" t="s">
        <v>22</v>
      </c>
      <c r="X7" s="213" t="s">
        <v>28</v>
      </c>
      <c r="Y7" s="221">
        <f>SUMIFS(Cert_App_Output!$G:$G,Cert_App_Output!$E:$E,$E7,Cert_App_Output!$K:$K,$X7)</f>
        <v>0</v>
      </c>
    </row>
    <row r="8" spans="1:25" x14ac:dyDescent="0.35">
      <c r="A8" s="213" t="s">
        <v>23</v>
      </c>
      <c r="B8" s="213" t="s">
        <v>24</v>
      </c>
      <c r="C8" s="213" t="s">
        <v>24</v>
      </c>
      <c r="D8" s="213" t="s">
        <v>23</v>
      </c>
      <c r="E8" s="213">
        <v>1.04</v>
      </c>
      <c r="F8" s="213" t="s">
        <v>25</v>
      </c>
      <c r="G8" s="213" t="s">
        <v>32</v>
      </c>
      <c r="H8" s="213" t="s">
        <v>33</v>
      </c>
      <c r="I8" s="217">
        <v>11</v>
      </c>
      <c r="J8" s="218">
        <v>79773.18271975957</v>
      </c>
      <c r="K8" s="218">
        <v>0</v>
      </c>
      <c r="L8" s="218">
        <v>30923.374054</v>
      </c>
      <c r="M8" s="218">
        <v>1660.4483516138</v>
      </c>
      <c r="N8" s="219">
        <f t="shared" si="0"/>
        <v>112357.00512537337</v>
      </c>
      <c r="O8" s="219">
        <f t="shared" si="1"/>
        <v>100265.83434752272</v>
      </c>
      <c r="P8" s="219">
        <f t="shared" si="2"/>
        <v>0</v>
      </c>
      <c r="Q8" s="219">
        <f t="shared" si="3"/>
        <v>38867.170578576486</v>
      </c>
      <c r="R8" s="219">
        <f t="shared" si="4"/>
        <v>2086.9950739007973</v>
      </c>
      <c r="S8" s="218">
        <v>141220</v>
      </c>
      <c r="T8" s="220">
        <f t="shared" si="5"/>
        <v>1.2568864739890486</v>
      </c>
      <c r="U8" s="219">
        <f t="shared" si="6"/>
        <v>1235927.0563791071</v>
      </c>
      <c r="V8" s="219">
        <f t="shared" si="7"/>
        <v>1553420</v>
      </c>
      <c r="W8" s="213" t="s">
        <v>22</v>
      </c>
      <c r="X8" s="213" t="s">
        <v>28</v>
      </c>
      <c r="Y8" s="221">
        <f>SUMIFS(Cert_App_Output!$G:$G,Cert_App_Output!$E:$E,$E8,Cert_App_Output!$K:$K,$X8)</f>
        <v>1</v>
      </c>
    </row>
    <row r="9" spans="1:25" x14ac:dyDescent="0.35">
      <c r="A9" s="213" t="s">
        <v>23</v>
      </c>
      <c r="B9" s="213" t="s">
        <v>24</v>
      </c>
      <c r="C9" s="213" t="s">
        <v>23</v>
      </c>
      <c r="D9" s="213" t="s">
        <v>23</v>
      </c>
      <c r="E9" s="213">
        <v>1.05</v>
      </c>
      <c r="F9" s="213" t="s">
        <v>25</v>
      </c>
      <c r="G9" s="213" t="s">
        <v>34</v>
      </c>
      <c r="H9" s="213" t="s">
        <v>27</v>
      </c>
      <c r="I9" s="217">
        <v>1</v>
      </c>
      <c r="J9" s="218">
        <v>2400856.6973553719</v>
      </c>
      <c r="K9" s="218">
        <v>500000</v>
      </c>
      <c r="L9" s="218">
        <v>3016332.5020949999</v>
      </c>
      <c r="M9" s="218">
        <v>88757.837991762397</v>
      </c>
      <c r="N9" s="219">
        <f t="shared" si="0"/>
        <v>6005947.0374421338</v>
      </c>
      <c r="O9" s="219">
        <f t="shared" si="1"/>
        <v>3017595.2766760681</v>
      </c>
      <c r="P9" s="219">
        <f t="shared" si="2"/>
        <v>628441.35595432576</v>
      </c>
      <c r="Q9" s="219">
        <f t="shared" si="3"/>
        <v>3791176.1752513717</v>
      </c>
      <c r="R9" s="219">
        <f t="shared" si="4"/>
        <v>111558.19211823505</v>
      </c>
      <c r="S9" s="218">
        <v>7548771</v>
      </c>
      <c r="T9" s="220">
        <f t="shared" si="5"/>
        <v>1.2568827119086514</v>
      </c>
      <c r="U9" s="219">
        <f t="shared" si="6"/>
        <v>6005947.0374421338</v>
      </c>
      <c r="V9" s="219">
        <f t="shared" si="7"/>
        <v>7548771</v>
      </c>
      <c r="W9" s="213" t="s">
        <v>22</v>
      </c>
      <c r="X9" s="213" t="s">
        <v>28</v>
      </c>
      <c r="Y9" s="221">
        <f>SUMIFS(Cert_App_Output!$G:$G,Cert_App_Output!$E:$E,$E9,Cert_App_Output!$K:$K,$X9)</f>
        <v>1</v>
      </c>
    </row>
    <row r="10" spans="1:25" x14ac:dyDescent="0.35">
      <c r="A10" s="213" t="s">
        <v>24</v>
      </c>
      <c r="B10" s="213" t="s">
        <v>24</v>
      </c>
      <c r="C10" s="213" t="s">
        <v>35</v>
      </c>
      <c r="D10" s="213" t="s">
        <v>24</v>
      </c>
      <c r="E10" s="213">
        <v>1.06</v>
      </c>
      <c r="F10" s="213" t="s">
        <v>25</v>
      </c>
      <c r="G10" s="213" t="s">
        <v>36</v>
      </c>
      <c r="H10" s="213" t="s">
        <v>37</v>
      </c>
      <c r="I10" s="217">
        <v>3</v>
      </c>
      <c r="J10" s="218">
        <v>0</v>
      </c>
      <c r="K10" s="218">
        <v>311904.59051046928</v>
      </c>
      <c r="L10" s="218">
        <v>0</v>
      </c>
      <c r="M10" s="218">
        <v>0</v>
      </c>
      <c r="N10" s="219">
        <f t="shared" si="0"/>
        <v>311904.59051046928</v>
      </c>
      <c r="O10" s="219">
        <f t="shared" si="1"/>
        <v>0</v>
      </c>
      <c r="P10" s="219">
        <f t="shared" si="2"/>
        <v>392028</v>
      </c>
      <c r="Q10" s="219">
        <f t="shared" si="3"/>
        <v>0</v>
      </c>
      <c r="R10" s="219">
        <f t="shared" si="4"/>
        <v>0</v>
      </c>
      <c r="S10" s="218">
        <v>392028</v>
      </c>
      <c r="T10" s="220">
        <f t="shared" si="5"/>
        <v>1.2568843547906723</v>
      </c>
      <c r="U10" s="219">
        <f t="shared" si="6"/>
        <v>935713.77153140784</v>
      </c>
      <c r="V10" s="219">
        <f t="shared" si="7"/>
        <v>1176084</v>
      </c>
      <c r="W10" s="213" t="s">
        <v>22</v>
      </c>
      <c r="X10" s="213" t="s">
        <v>28</v>
      </c>
      <c r="Y10" s="221">
        <f>SUMIFS(Cert_App_Output!$G:$G,Cert_App_Output!$E:$E,$E10,Cert_App_Output!$K:$K,$X10)</f>
        <v>1</v>
      </c>
    </row>
    <row r="11" spans="1:25" x14ac:dyDescent="0.35">
      <c r="A11" s="213" t="s">
        <v>23</v>
      </c>
      <c r="B11" s="213" t="s">
        <v>24</v>
      </c>
      <c r="C11" s="213" t="s">
        <v>24</v>
      </c>
      <c r="D11" s="213" t="s">
        <v>23</v>
      </c>
      <c r="E11" s="213">
        <v>1.07</v>
      </c>
      <c r="F11" s="213" t="s">
        <v>25</v>
      </c>
      <c r="G11" s="213" t="s">
        <v>38</v>
      </c>
      <c r="H11" s="213" t="s">
        <v>27</v>
      </c>
      <c r="I11" s="217">
        <v>1</v>
      </c>
      <c r="J11" s="218">
        <v>845578.51239669416</v>
      </c>
      <c r="K11" s="218">
        <v>0</v>
      </c>
      <c r="L11" s="218">
        <v>511535.56413299998</v>
      </c>
      <c r="M11" s="218">
        <v>20356.711147939051</v>
      </c>
      <c r="N11" s="219">
        <f t="shared" si="0"/>
        <v>1377470.7876776333</v>
      </c>
      <c r="O11" s="219">
        <f t="shared" si="1"/>
        <v>1062793.4931025584</v>
      </c>
      <c r="P11" s="219">
        <f t="shared" si="2"/>
        <v>0</v>
      </c>
      <c r="Q11" s="219">
        <f t="shared" si="3"/>
        <v>642940.49704523257</v>
      </c>
      <c r="R11" s="219">
        <f t="shared" si="4"/>
        <v>25586.00985220887</v>
      </c>
      <c r="S11" s="218">
        <v>1731320</v>
      </c>
      <c r="T11" s="220">
        <f t="shared" si="5"/>
        <v>1.2568832787510098</v>
      </c>
      <c r="U11" s="219">
        <f t="shared" si="6"/>
        <v>1377470.7876776333</v>
      </c>
      <c r="V11" s="219">
        <f t="shared" si="7"/>
        <v>1731320</v>
      </c>
      <c r="W11" s="213" t="s">
        <v>22</v>
      </c>
      <c r="X11" s="213" t="s">
        <v>28</v>
      </c>
      <c r="Y11" s="221">
        <f>SUMIFS(Cert_App_Output!$G:$G,Cert_App_Output!$E:$E,$E11,Cert_App_Output!$K:$K,$X11)</f>
        <v>1</v>
      </c>
    </row>
    <row r="12" spans="1:25" x14ac:dyDescent="0.35">
      <c r="A12" s="213" t="s">
        <v>23</v>
      </c>
      <c r="B12" s="213" t="s">
        <v>24</v>
      </c>
      <c r="C12" s="213" t="s">
        <v>24</v>
      </c>
      <c r="D12" s="213" t="s">
        <v>23</v>
      </c>
      <c r="E12" s="213">
        <v>1.08</v>
      </c>
      <c r="F12" s="213" t="s">
        <v>25</v>
      </c>
      <c r="G12" s="213" t="s">
        <v>39</v>
      </c>
      <c r="H12" s="213" t="s">
        <v>27</v>
      </c>
      <c r="I12" s="217">
        <v>1</v>
      </c>
      <c r="J12" s="218">
        <v>680400</v>
      </c>
      <c r="K12" s="218">
        <v>0</v>
      </c>
      <c r="L12" s="218">
        <v>421419.88959899999</v>
      </c>
      <c r="M12" s="218">
        <v>16527.298343991479</v>
      </c>
      <c r="N12" s="219">
        <f t="shared" si="0"/>
        <v>1118347.1879429915</v>
      </c>
      <c r="O12" s="219">
        <f t="shared" si="1"/>
        <v>855183.45564861619</v>
      </c>
      <c r="P12" s="219">
        <f t="shared" si="2"/>
        <v>0</v>
      </c>
      <c r="Q12" s="219">
        <f t="shared" si="3"/>
        <v>529675.6576518683</v>
      </c>
      <c r="R12" s="219">
        <f t="shared" si="4"/>
        <v>20772.886699515409</v>
      </c>
      <c r="S12" s="218">
        <v>1405632</v>
      </c>
      <c r="T12" s="220">
        <f t="shared" si="5"/>
        <v>1.2568833857269492</v>
      </c>
      <c r="U12" s="219">
        <f t="shared" si="6"/>
        <v>1118347.1879429915</v>
      </c>
      <c r="V12" s="219">
        <f t="shared" si="7"/>
        <v>1405632</v>
      </c>
      <c r="W12" s="213" t="s">
        <v>22</v>
      </c>
      <c r="X12" s="213" t="s">
        <v>28</v>
      </c>
      <c r="Y12" s="221">
        <f>SUMIFS(Cert_App_Output!$G:$G,Cert_App_Output!$E:$E,$E12,Cert_App_Output!$K:$K,$X12)</f>
        <v>1</v>
      </c>
    </row>
    <row r="13" spans="1:25" x14ac:dyDescent="0.35">
      <c r="A13" s="213" t="s">
        <v>24</v>
      </c>
      <c r="B13" s="213" t="s">
        <v>24</v>
      </c>
      <c r="C13" s="213" t="s">
        <v>35</v>
      </c>
      <c r="D13" s="213" t="s">
        <v>24</v>
      </c>
      <c r="E13" s="213">
        <v>1.0900000000000001</v>
      </c>
      <c r="F13" s="213" t="s">
        <v>25</v>
      </c>
      <c r="G13" s="213" t="s">
        <v>40</v>
      </c>
      <c r="H13" s="213" t="s">
        <v>27</v>
      </c>
      <c r="I13" s="217">
        <v>1</v>
      </c>
      <c r="J13" s="218">
        <v>0</v>
      </c>
      <c r="K13" s="218">
        <v>339320.84018972021</v>
      </c>
      <c r="L13" s="218">
        <v>0</v>
      </c>
      <c r="M13" s="218">
        <v>0</v>
      </c>
      <c r="N13" s="219">
        <f t="shared" si="0"/>
        <v>339320.84018972021</v>
      </c>
      <c r="O13" s="219">
        <f t="shared" si="1"/>
        <v>0</v>
      </c>
      <c r="P13" s="219">
        <f t="shared" si="2"/>
        <v>426487</v>
      </c>
      <c r="Q13" s="219">
        <f t="shared" si="3"/>
        <v>0</v>
      </c>
      <c r="R13" s="219">
        <f t="shared" si="4"/>
        <v>0</v>
      </c>
      <c r="S13" s="218">
        <v>426487</v>
      </c>
      <c r="T13" s="220">
        <f t="shared" si="5"/>
        <v>1.2568841918508267</v>
      </c>
      <c r="U13" s="219">
        <f t="shared" si="6"/>
        <v>339320.84018972021</v>
      </c>
      <c r="V13" s="219">
        <f t="shared" si="7"/>
        <v>426487</v>
      </c>
      <c r="W13" s="213" t="s">
        <v>22</v>
      </c>
      <c r="X13" s="213" t="s">
        <v>28</v>
      </c>
      <c r="Y13" s="221">
        <f>SUMIFS(Cert_App_Output!$G:$G,Cert_App_Output!$E:$E,$E13,Cert_App_Output!$K:$K,$X13)</f>
        <v>1</v>
      </c>
    </row>
    <row r="14" spans="1:25" x14ac:dyDescent="0.35">
      <c r="A14" s="213" t="s">
        <v>24</v>
      </c>
      <c r="B14" s="213" t="s">
        <v>24</v>
      </c>
      <c r="C14" s="213" t="s">
        <v>41</v>
      </c>
      <c r="D14" s="213" t="s">
        <v>24</v>
      </c>
      <c r="E14" s="213">
        <v>1.1000000000000001</v>
      </c>
      <c r="F14" s="213" t="s">
        <v>25</v>
      </c>
      <c r="G14" s="213" t="s">
        <v>42</v>
      </c>
      <c r="H14" s="213" t="s">
        <v>27</v>
      </c>
      <c r="I14" s="217">
        <v>1</v>
      </c>
      <c r="J14" s="218">
        <v>0</v>
      </c>
      <c r="K14" s="218">
        <v>7800000</v>
      </c>
      <c r="L14" s="218">
        <v>0</v>
      </c>
      <c r="M14" s="218">
        <v>0</v>
      </c>
      <c r="N14" s="219">
        <f t="shared" si="0"/>
        <v>7800000</v>
      </c>
      <c r="O14" s="219">
        <f t="shared" si="1"/>
        <v>0</v>
      </c>
      <c r="P14" s="219">
        <f t="shared" si="2"/>
        <v>9803685</v>
      </c>
      <c r="Q14" s="219">
        <f t="shared" si="3"/>
        <v>0</v>
      </c>
      <c r="R14" s="219">
        <f t="shared" si="4"/>
        <v>0</v>
      </c>
      <c r="S14" s="218">
        <v>9803685</v>
      </c>
      <c r="T14" s="220">
        <f t="shared" si="5"/>
        <v>1.2568826923076923</v>
      </c>
      <c r="U14" s="219">
        <f t="shared" si="6"/>
        <v>7800000</v>
      </c>
      <c r="V14" s="219">
        <f t="shared" si="7"/>
        <v>9803685</v>
      </c>
      <c r="W14" s="213" t="s">
        <v>22</v>
      </c>
      <c r="X14" s="213" t="s">
        <v>28</v>
      </c>
      <c r="Y14" s="221">
        <f>SUMIFS(Cert_App_Output!$G:$G,Cert_App_Output!$E:$E,$E14,Cert_App_Output!$K:$K,$X14)</f>
        <v>1</v>
      </c>
    </row>
    <row r="15" spans="1:25" x14ac:dyDescent="0.35">
      <c r="E15" s="213">
        <v>2</v>
      </c>
      <c r="G15" s="213" t="s">
        <v>43</v>
      </c>
      <c r="I15" s="214"/>
      <c r="J15" s="215"/>
      <c r="K15" s="215"/>
      <c r="L15" s="215"/>
      <c r="M15" s="215"/>
      <c r="N15" s="215"/>
      <c r="O15" s="215"/>
      <c r="P15" s="215"/>
      <c r="Q15" s="215"/>
      <c r="R15" s="215"/>
      <c r="S15" s="215"/>
      <c r="T15" s="216"/>
      <c r="U15" s="215"/>
      <c r="V15" s="215"/>
      <c r="Y15" s="203"/>
    </row>
    <row r="16" spans="1:25" x14ac:dyDescent="0.35">
      <c r="A16" s="213" t="s">
        <v>24</v>
      </c>
      <c r="B16" s="213" t="s">
        <v>24</v>
      </c>
      <c r="C16" s="213" t="s">
        <v>41</v>
      </c>
      <c r="D16" s="213" t="s">
        <v>44</v>
      </c>
      <c r="E16" s="213">
        <v>2.0099999999999998</v>
      </c>
      <c r="F16" s="213" t="s">
        <v>25</v>
      </c>
      <c r="G16" s="213" t="s">
        <v>45</v>
      </c>
      <c r="H16" s="213" t="s">
        <v>46</v>
      </c>
      <c r="I16" s="217">
        <v>1266</v>
      </c>
      <c r="J16" s="218">
        <v>0</v>
      </c>
      <c r="K16" s="218">
        <v>18400</v>
      </c>
      <c r="L16" s="218">
        <v>7809.6200401747619</v>
      </c>
      <c r="M16" s="218">
        <v>117.1443006026214</v>
      </c>
      <c r="N16" s="219">
        <f>SUM(J16:M16)</f>
        <v>26326.764340777383</v>
      </c>
      <c r="O16" s="219">
        <f>IF($N16=0,$S16,J16/$N16*$S16)</f>
        <v>0</v>
      </c>
      <c r="P16" s="219">
        <f t="shared" ref="P16:R18" si="8">IF($N16=0,0,K16/$N16*$S16)</f>
        <v>23126.883050225289</v>
      </c>
      <c r="Q16" s="219">
        <f t="shared" si="8"/>
        <v>9815.8787682509483</v>
      </c>
      <c r="R16" s="219">
        <f t="shared" si="8"/>
        <v>147.23818152376418</v>
      </c>
      <c r="S16" s="218">
        <v>33090</v>
      </c>
      <c r="T16" s="220">
        <f>IFERROR(S16/N16,"")</f>
        <v>1.2568958179470267</v>
      </c>
      <c r="U16" s="219">
        <f>N16*I16</f>
        <v>33329683.655424166</v>
      </c>
      <c r="V16" s="219">
        <f>S16*I16</f>
        <v>41891940</v>
      </c>
      <c r="W16" s="213" t="s">
        <v>43</v>
      </c>
      <c r="X16" s="213" t="s">
        <v>28</v>
      </c>
      <c r="Y16" s="221">
        <f>SUMIFS(Cert_App_Output!$G:$G,Cert_App_Output!$E:$E,$E16,Cert_App_Output!$K:$K,$X16)</f>
        <v>0.99999999999999989</v>
      </c>
    </row>
    <row r="17" spans="1:25" x14ac:dyDescent="0.35">
      <c r="A17" s="213" t="s">
        <v>41</v>
      </c>
      <c r="B17" s="213" t="s">
        <v>24</v>
      </c>
      <c r="C17" s="213" t="s">
        <v>24</v>
      </c>
      <c r="D17" s="213" t="s">
        <v>24</v>
      </c>
      <c r="E17" s="213">
        <v>2.02</v>
      </c>
      <c r="F17" s="213" t="s">
        <v>25</v>
      </c>
      <c r="G17" s="213" t="s">
        <v>47</v>
      </c>
      <c r="H17" s="213" t="s">
        <v>27</v>
      </c>
      <c r="I17" s="217">
        <v>0</v>
      </c>
      <c r="J17" s="218">
        <v>0</v>
      </c>
      <c r="K17" s="218">
        <v>0</v>
      </c>
      <c r="L17" s="218">
        <v>0</v>
      </c>
      <c r="M17" s="218">
        <v>0</v>
      </c>
      <c r="N17" s="219">
        <f>SUM(J17:M17)</f>
        <v>0</v>
      </c>
      <c r="O17" s="219">
        <f>IF($N17=0,$S17,J17/$N17*$S17)</f>
        <v>0</v>
      </c>
      <c r="P17" s="219">
        <f t="shared" si="8"/>
        <v>0</v>
      </c>
      <c r="Q17" s="219">
        <f t="shared" si="8"/>
        <v>0</v>
      </c>
      <c r="R17" s="219">
        <f t="shared" si="8"/>
        <v>0</v>
      </c>
      <c r="S17" s="218">
        <v>0</v>
      </c>
      <c r="T17" s="220" t="str">
        <f>IFERROR(S17/N17,"")</f>
        <v/>
      </c>
      <c r="U17" s="219">
        <f>N17*I17</f>
        <v>0</v>
      </c>
      <c r="V17" s="219">
        <f>S17*I17</f>
        <v>0</v>
      </c>
      <c r="W17" s="213" t="s">
        <v>43</v>
      </c>
      <c r="X17" s="213" t="s">
        <v>28</v>
      </c>
      <c r="Y17" s="221">
        <f>SUMIFS(Cert_App_Output!$G:$G,Cert_App_Output!$E:$E,$E17,Cert_App_Output!$K:$K,$X17)</f>
        <v>0</v>
      </c>
    </row>
    <row r="18" spans="1:25" x14ac:dyDescent="0.35">
      <c r="A18" s="213" t="s">
        <v>24</v>
      </c>
      <c r="B18" s="213" t="s">
        <v>24</v>
      </c>
      <c r="C18" s="213" t="s">
        <v>24</v>
      </c>
      <c r="D18" s="213" t="s">
        <v>44</v>
      </c>
      <c r="E18" s="213">
        <v>2.0299999999999998</v>
      </c>
      <c r="F18" s="213" t="s">
        <v>25</v>
      </c>
      <c r="G18" s="213" t="s">
        <v>48</v>
      </c>
      <c r="H18" s="213" t="s">
        <v>46</v>
      </c>
      <c r="I18" s="217">
        <v>2</v>
      </c>
      <c r="J18" s="218">
        <v>0</v>
      </c>
      <c r="K18" s="218">
        <v>0</v>
      </c>
      <c r="L18" s="218">
        <v>49934.237226571968</v>
      </c>
      <c r="M18" s="218">
        <v>0</v>
      </c>
      <c r="N18" s="219">
        <f>SUM(J18:M18)</f>
        <v>49934.237226571968</v>
      </c>
      <c r="O18" s="219">
        <f>IF($N18=0,$S18,J18/$N18*$S18)</f>
        <v>0</v>
      </c>
      <c r="P18" s="219">
        <f t="shared" si="8"/>
        <v>0</v>
      </c>
      <c r="Q18" s="219">
        <f t="shared" si="8"/>
        <v>62762</v>
      </c>
      <c r="R18" s="219">
        <f t="shared" si="8"/>
        <v>0</v>
      </c>
      <c r="S18" s="218">
        <v>62762</v>
      </c>
      <c r="T18" s="220">
        <f>IFERROR(S18/N18,"")</f>
        <v>1.2568931355699546</v>
      </c>
      <c r="U18" s="219">
        <f>N18*I18</f>
        <v>99868.474453143936</v>
      </c>
      <c r="V18" s="219">
        <f>S18*I18</f>
        <v>125524</v>
      </c>
      <c r="W18" s="213" t="s">
        <v>43</v>
      </c>
      <c r="X18" s="213" t="s">
        <v>28</v>
      </c>
      <c r="Y18" s="221">
        <f>SUMIFS(Cert_App_Output!$G:$G,Cert_App_Output!$E:$E,$E18,Cert_App_Output!$K:$K,$X18)</f>
        <v>1</v>
      </c>
    </row>
    <row r="19" spans="1:25" x14ac:dyDescent="0.35">
      <c r="E19" s="213">
        <v>3</v>
      </c>
      <c r="G19" s="213" t="s">
        <v>49</v>
      </c>
      <c r="I19" s="214"/>
      <c r="J19" s="215"/>
      <c r="K19" s="215"/>
      <c r="L19" s="215"/>
      <c r="M19" s="215"/>
      <c r="N19" s="215"/>
      <c r="O19" s="215"/>
      <c r="P19" s="215"/>
      <c r="Q19" s="215"/>
      <c r="R19" s="215"/>
      <c r="S19" s="215"/>
      <c r="T19" s="216"/>
      <c r="U19" s="215"/>
      <c r="V19" s="215"/>
      <c r="Y19" s="203"/>
    </row>
    <row r="20" spans="1:25" x14ac:dyDescent="0.35">
      <c r="A20" s="213" t="s">
        <v>50</v>
      </c>
      <c r="B20" s="213" t="s">
        <v>24</v>
      </c>
      <c r="C20" s="213" t="s">
        <v>24</v>
      </c>
      <c r="D20" s="213" t="s">
        <v>44</v>
      </c>
      <c r="E20" s="213">
        <v>3.01</v>
      </c>
      <c r="F20" s="213" t="s">
        <v>25</v>
      </c>
      <c r="G20" s="213" t="s">
        <v>51</v>
      </c>
      <c r="H20" s="213" t="s">
        <v>46</v>
      </c>
      <c r="I20" s="217">
        <v>35</v>
      </c>
      <c r="J20" s="218">
        <v>196572.85714285719</v>
      </c>
      <c r="K20" s="218">
        <v>0</v>
      </c>
      <c r="L20" s="218">
        <v>49934.237226571968</v>
      </c>
      <c r="M20" s="218">
        <v>3697.6064155414369</v>
      </c>
      <c r="N20" s="219">
        <f t="shared" ref="N20:N36" si="9">SUM(J20:M20)</f>
        <v>250204.7007849706</v>
      </c>
      <c r="O20" s="219">
        <f t="shared" ref="O20:O36" si="10">IF($N20=0,$S20,J20/$N20*$S20)</f>
        <v>247069.05495631977</v>
      </c>
      <c r="P20" s="219">
        <f t="shared" ref="P20:P36" si="11">IF($N20=0,0,K20/$N20*$S20)</f>
        <v>0</v>
      </c>
      <c r="Q20" s="219">
        <f t="shared" ref="Q20:Q36" si="12">IF($N20=0,0,L20/$N20*$S20)</f>
        <v>62761.486915601417</v>
      </c>
      <c r="R20" s="219">
        <f t="shared" ref="R20:R36" si="13">IF($N20=0,0,M20/$N20*$S20)</f>
        <v>4647.458128078817</v>
      </c>
      <c r="S20" s="218">
        <v>314478</v>
      </c>
      <c r="T20" s="220">
        <f t="shared" ref="T20:T36" si="14">IFERROR(S20/N20,"")</f>
        <v>1.2568828603674667</v>
      </c>
      <c r="U20" s="219">
        <f t="shared" ref="U20:U36" si="15">N20*I20</f>
        <v>8757164.5274739712</v>
      </c>
      <c r="V20" s="219">
        <f t="shared" ref="V20:V36" si="16">S20*I20</f>
        <v>11006730</v>
      </c>
      <c r="W20" s="213" t="s">
        <v>49</v>
      </c>
      <c r="X20" s="213" t="s">
        <v>28</v>
      </c>
      <c r="Y20" s="221">
        <f>SUMIFS(Cert_App_Output!$G:$G,Cert_App_Output!$E:$E,$E20,Cert_App_Output!$K:$K,$X20)</f>
        <v>1</v>
      </c>
    </row>
    <row r="21" spans="1:25" x14ac:dyDescent="0.35">
      <c r="A21" s="213" t="s">
        <v>50</v>
      </c>
      <c r="B21" s="213" t="s">
        <v>24</v>
      </c>
      <c r="C21" s="213" t="s">
        <v>24</v>
      </c>
      <c r="D21" s="213" t="s">
        <v>44</v>
      </c>
      <c r="E21" s="213">
        <v>3.02</v>
      </c>
      <c r="F21" s="213" t="s">
        <v>25</v>
      </c>
      <c r="G21" s="213" t="s">
        <v>52</v>
      </c>
      <c r="H21" s="213" t="s">
        <v>46</v>
      </c>
      <c r="I21" s="217">
        <v>40</v>
      </c>
      <c r="J21" s="218">
        <v>70843.445714285714</v>
      </c>
      <c r="K21" s="218">
        <v>0</v>
      </c>
      <c r="L21" s="218">
        <v>307690.19241546141</v>
      </c>
      <c r="M21" s="218">
        <v>5678.0045719462059</v>
      </c>
      <c r="N21" s="219">
        <f t="shared" si="9"/>
        <v>384211.64270169334</v>
      </c>
      <c r="O21" s="219">
        <f t="shared" si="10"/>
        <v>98842.530956193252</v>
      </c>
      <c r="P21" s="219">
        <f t="shared" si="11"/>
        <v>0</v>
      </c>
      <c r="Q21" s="219">
        <f t="shared" si="12"/>
        <v>429296.9809994644</v>
      </c>
      <c r="R21" s="219">
        <f t="shared" si="13"/>
        <v>7922.0926793348635</v>
      </c>
      <c r="S21" s="218">
        <v>536061.60463499255</v>
      </c>
      <c r="T21" s="220">
        <f t="shared" si="14"/>
        <v>1.3952247799299444</v>
      </c>
      <c r="U21" s="219">
        <f t="shared" si="15"/>
        <v>15368465.708067734</v>
      </c>
      <c r="V21" s="219">
        <f t="shared" si="16"/>
        <v>21442464.185399704</v>
      </c>
      <c r="W21" s="213" t="s">
        <v>49</v>
      </c>
      <c r="X21" s="213" t="s">
        <v>28</v>
      </c>
      <c r="Y21" s="221">
        <f>SUMIFS(Cert_App_Output!$G:$G,Cert_App_Output!$E:$E,$E21,Cert_App_Output!$K:$K,$X21)</f>
        <v>1</v>
      </c>
    </row>
    <row r="22" spans="1:25" x14ac:dyDescent="0.35">
      <c r="A22" s="213" t="s">
        <v>50</v>
      </c>
      <c r="B22" s="213" t="s">
        <v>24</v>
      </c>
      <c r="C22" s="213" t="s">
        <v>44</v>
      </c>
      <c r="D22" s="213" t="s">
        <v>24</v>
      </c>
      <c r="E22" s="213">
        <v>3.03</v>
      </c>
      <c r="F22" s="213" t="s">
        <v>25</v>
      </c>
      <c r="G22" s="213" t="s">
        <v>53</v>
      </c>
      <c r="H22" s="213" t="s">
        <v>46</v>
      </c>
      <c r="I22" s="217">
        <v>28</v>
      </c>
      <c r="J22" s="218">
        <v>55068.821745306559</v>
      </c>
      <c r="K22" s="218">
        <v>253994.1428</v>
      </c>
      <c r="L22" s="218">
        <v>3.0000000000000001E-5</v>
      </c>
      <c r="M22" s="218">
        <v>4635.9444686334937</v>
      </c>
      <c r="N22" s="219">
        <f t="shared" si="9"/>
        <v>313698.90904394008</v>
      </c>
      <c r="O22" s="219">
        <f t="shared" si="10"/>
        <v>76833.431692794882</v>
      </c>
      <c r="P22" s="219">
        <f t="shared" si="11"/>
        <v>354379.13873392518</v>
      </c>
      <c r="Q22" s="219">
        <f t="shared" si="12"/>
        <v>4.1856768997972959E-5</v>
      </c>
      <c r="R22" s="219">
        <f t="shared" si="13"/>
        <v>6468.1885570340874</v>
      </c>
      <c r="S22" s="218">
        <v>437680.75902561098</v>
      </c>
      <c r="T22" s="220">
        <f t="shared" si="14"/>
        <v>1.3952256332657653</v>
      </c>
      <c r="U22" s="219">
        <f t="shared" si="15"/>
        <v>8783569.4532303214</v>
      </c>
      <c r="V22" s="219">
        <f t="shared" si="16"/>
        <v>12255061.252717108</v>
      </c>
      <c r="W22" s="213" t="s">
        <v>49</v>
      </c>
      <c r="X22" s="213" t="s">
        <v>28</v>
      </c>
      <c r="Y22" s="221">
        <f>SUMIFS(Cert_App_Output!$G:$G,Cert_App_Output!$E:$E,$E22,Cert_App_Output!$K:$K,$X22)</f>
        <v>1</v>
      </c>
    </row>
    <row r="23" spans="1:25" x14ac:dyDescent="0.35">
      <c r="A23" s="213" t="s">
        <v>50</v>
      </c>
      <c r="B23" s="213" t="s">
        <v>24</v>
      </c>
      <c r="C23" s="213" t="s">
        <v>44</v>
      </c>
      <c r="D23" s="213" t="s">
        <v>24</v>
      </c>
      <c r="E23" s="213">
        <v>3.04</v>
      </c>
      <c r="F23" s="213" t="s">
        <v>25</v>
      </c>
      <c r="G23" s="213" t="s">
        <v>54</v>
      </c>
      <c r="H23" s="213" t="s">
        <v>46</v>
      </c>
      <c r="I23" s="217">
        <v>179</v>
      </c>
      <c r="J23" s="218">
        <v>2471.4097794822628</v>
      </c>
      <c r="K23" s="218">
        <v>148967.56479999999</v>
      </c>
      <c r="L23" s="218">
        <v>-3.0000000000000001E-5</v>
      </c>
      <c r="M23" s="218">
        <v>2271.584618241443</v>
      </c>
      <c r="N23" s="219">
        <f t="shared" si="9"/>
        <v>153710.5591677237</v>
      </c>
      <c r="O23" s="219">
        <f t="shared" si="10"/>
        <v>3448.1872314490083</v>
      </c>
      <c r="P23" s="219">
        <f t="shared" si="11"/>
        <v>207844.14592347422</v>
      </c>
      <c r="Q23" s="219">
        <f t="shared" si="12"/>
        <v>-4.1856926278385578E-5</v>
      </c>
      <c r="R23" s="219">
        <f t="shared" si="13"/>
        <v>3169.384996694891</v>
      </c>
      <c r="S23" s="218">
        <v>214461.71810976119</v>
      </c>
      <c r="T23" s="220">
        <f t="shared" si="14"/>
        <v>1.395230875946186</v>
      </c>
      <c r="U23" s="219">
        <f t="shared" si="15"/>
        <v>27514190.09102254</v>
      </c>
      <c r="V23" s="219">
        <f t="shared" si="16"/>
        <v>38388647.541647255</v>
      </c>
      <c r="W23" s="213" t="s">
        <v>49</v>
      </c>
      <c r="X23" s="213" t="s">
        <v>28</v>
      </c>
      <c r="Y23" s="221">
        <f>SUMIFS(Cert_App_Output!$G:$G,Cert_App_Output!$E:$E,$E23,Cert_App_Output!$K:$K,$X23)</f>
        <v>1</v>
      </c>
    </row>
    <row r="24" spans="1:25" x14ac:dyDescent="0.35">
      <c r="A24" s="213" t="s">
        <v>50</v>
      </c>
      <c r="B24" s="213" t="s">
        <v>24</v>
      </c>
      <c r="C24" s="213" t="s">
        <v>24</v>
      </c>
      <c r="D24" s="213" t="s">
        <v>44</v>
      </c>
      <c r="E24" s="213">
        <v>3.05</v>
      </c>
      <c r="F24" s="213" t="s">
        <v>25</v>
      </c>
      <c r="G24" s="213" t="s">
        <v>55</v>
      </c>
      <c r="H24" s="213" t="s">
        <v>46</v>
      </c>
      <c r="I24" s="217">
        <v>10</v>
      </c>
      <c r="J24" s="218">
        <v>40150.005369127517</v>
      </c>
      <c r="K24" s="218">
        <v>0</v>
      </c>
      <c r="L24" s="218">
        <v>286602.42666227242</v>
      </c>
      <c r="M24" s="218">
        <v>4901.2864804709989</v>
      </c>
      <c r="N24" s="219">
        <f t="shared" si="9"/>
        <v>331653.71851187095</v>
      </c>
      <c r="O24" s="219">
        <f t="shared" si="10"/>
        <v>56018.302589490893</v>
      </c>
      <c r="P24" s="219">
        <f t="shared" si="11"/>
        <v>0</v>
      </c>
      <c r="Q24" s="219">
        <f t="shared" si="12"/>
        <v>399874.95174769475</v>
      </c>
      <c r="R24" s="219">
        <f t="shared" si="13"/>
        <v>6838.3988150577843</v>
      </c>
      <c r="S24" s="218">
        <v>462731.65315224341</v>
      </c>
      <c r="T24" s="220">
        <f t="shared" si="14"/>
        <v>1.3952252826487781</v>
      </c>
      <c r="U24" s="219">
        <f t="shared" si="15"/>
        <v>3316537.1851187097</v>
      </c>
      <c r="V24" s="219">
        <f t="shared" si="16"/>
        <v>4627316.5315224342</v>
      </c>
      <c r="W24" s="213" t="s">
        <v>49</v>
      </c>
      <c r="X24" s="213" t="s">
        <v>28</v>
      </c>
      <c r="Y24" s="221">
        <f>SUMIFS(Cert_App_Output!$G:$G,Cert_App_Output!$E:$E,$E24,Cert_App_Output!$K:$K,$X24)</f>
        <v>1</v>
      </c>
    </row>
    <row r="25" spans="1:25" x14ac:dyDescent="0.35">
      <c r="A25" s="213" t="s">
        <v>50</v>
      </c>
      <c r="B25" s="213" t="s">
        <v>24</v>
      </c>
      <c r="C25" s="213" t="s">
        <v>24</v>
      </c>
      <c r="D25" s="213" t="s">
        <v>44</v>
      </c>
      <c r="E25" s="213">
        <v>3.06</v>
      </c>
      <c r="F25" s="213" t="s">
        <v>25</v>
      </c>
      <c r="G25" s="213" t="s">
        <v>56</v>
      </c>
      <c r="H25" s="213" t="s">
        <v>46</v>
      </c>
      <c r="I25" s="217">
        <v>177</v>
      </c>
      <c r="J25" s="218">
        <v>32975.501438159154</v>
      </c>
      <c r="K25" s="218">
        <v>0</v>
      </c>
      <c r="L25" s="218">
        <v>191068.2844415149</v>
      </c>
      <c r="M25" s="218">
        <v>3360.6567881951109</v>
      </c>
      <c r="N25" s="219">
        <f t="shared" si="9"/>
        <v>227404.44266786915</v>
      </c>
      <c r="O25" s="219">
        <f t="shared" si="10"/>
        <v>46008.280277155871</v>
      </c>
      <c r="P25" s="219">
        <f t="shared" si="11"/>
        <v>0</v>
      </c>
      <c r="Q25" s="219">
        <f t="shared" si="12"/>
        <v>266583.45739325008</v>
      </c>
      <c r="R25" s="219">
        <f t="shared" si="13"/>
        <v>4688.8760650560889</v>
      </c>
      <c r="S25" s="218">
        <v>317280.61373546202</v>
      </c>
      <c r="T25" s="220">
        <f t="shared" si="14"/>
        <v>1.3952261003047317</v>
      </c>
      <c r="U25" s="219">
        <f t="shared" si="15"/>
        <v>40250586.352212839</v>
      </c>
      <c r="V25" s="219">
        <f t="shared" si="16"/>
        <v>56158668.631176777</v>
      </c>
      <c r="W25" s="213" t="s">
        <v>49</v>
      </c>
      <c r="X25" s="213" t="s">
        <v>28</v>
      </c>
      <c r="Y25" s="221">
        <f>SUMIFS(Cert_App_Output!$G:$G,Cert_App_Output!$E:$E,$E25,Cert_App_Output!$K:$K,$X25)</f>
        <v>1</v>
      </c>
    </row>
    <row r="26" spans="1:25" x14ac:dyDescent="0.35">
      <c r="A26" s="213" t="s">
        <v>50</v>
      </c>
      <c r="B26" s="213" t="s">
        <v>24</v>
      </c>
      <c r="C26" s="213" t="s">
        <v>24</v>
      </c>
      <c r="D26" s="213" t="s">
        <v>44</v>
      </c>
      <c r="E26" s="213">
        <v>3.07</v>
      </c>
      <c r="F26" s="213" t="s">
        <v>25</v>
      </c>
      <c r="G26" s="213" t="s">
        <v>57</v>
      </c>
      <c r="H26" s="213" t="s">
        <v>46</v>
      </c>
      <c r="I26" s="217">
        <v>65</v>
      </c>
      <c r="J26" s="218">
        <v>94228.958133589011</v>
      </c>
      <c r="K26" s="218">
        <v>0</v>
      </c>
      <c r="L26" s="218">
        <v>462949.29028534138</v>
      </c>
      <c r="M26" s="218">
        <v>8357.6737262839561</v>
      </c>
      <c r="N26" s="219">
        <f t="shared" si="9"/>
        <v>565535.9221452144</v>
      </c>
      <c r="O26" s="219">
        <f t="shared" si="10"/>
        <v>131470.69471852799</v>
      </c>
      <c r="P26" s="219">
        <f t="shared" si="11"/>
        <v>0</v>
      </c>
      <c r="Q26" s="219">
        <f t="shared" si="12"/>
        <v>645918.89816902834</v>
      </c>
      <c r="R26" s="219">
        <f t="shared" si="13"/>
        <v>11660.843893313346</v>
      </c>
      <c r="S26" s="218">
        <v>789050.43678086973</v>
      </c>
      <c r="T26" s="220">
        <f t="shared" si="14"/>
        <v>1.3952260252325099</v>
      </c>
      <c r="U26" s="219">
        <f t="shared" si="15"/>
        <v>36759834.939438939</v>
      </c>
      <c r="V26" s="219">
        <f t="shared" si="16"/>
        <v>51288278.390756533</v>
      </c>
      <c r="W26" s="213" t="s">
        <v>49</v>
      </c>
      <c r="X26" s="213" t="s">
        <v>28</v>
      </c>
      <c r="Y26" s="221">
        <f>SUMIFS(Cert_App_Output!$G:$G,Cert_App_Output!$E:$E,$E26,Cert_App_Output!$K:$K,$X26)</f>
        <v>1</v>
      </c>
    </row>
    <row r="27" spans="1:25" x14ac:dyDescent="0.35">
      <c r="A27" s="213" t="s">
        <v>50</v>
      </c>
      <c r="B27" s="213" t="s">
        <v>24</v>
      </c>
      <c r="C27" s="213" t="s">
        <v>24</v>
      </c>
      <c r="D27" s="213" t="s">
        <v>44</v>
      </c>
      <c r="E27" s="213">
        <v>3.08</v>
      </c>
      <c r="F27" s="213" t="s">
        <v>25</v>
      </c>
      <c r="G27" s="213" t="s">
        <v>58</v>
      </c>
      <c r="H27" s="213" t="s">
        <v>46</v>
      </c>
      <c r="I27" s="217">
        <v>12</v>
      </c>
      <c r="J27" s="218">
        <v>92072.316554809833</v>
      </c>
      <c r="K27" s="218">
        <v>0</v>
      </c>
      <c r="L27" s="218">
        <v>555539.14834240964</v>
      </c>
      <c r="M27" s="218">
        <v>9714.1719734582912</v>
      </c>
      <c r="N27" s="219">
        <f t="shared" si="9"/>
        <v>657325.6368706777</v>
      </c>
      <c r="O27" s="219">
        <f t="shared" si="10"/>
        <v>128461.6898711651</v>
      </c>
      <c r="P27" s="219">
        <f t="shared" si="11"/>
        <v>0</v>
      </c>
      <c r="Q27" s="219">
        <f t="shared" si="12"/>
        <v>775102.66338493349</v>
      </c>
      <c r="R27" s="219">
        <f t="shared" si="13"/>
        <v>13553.465298841478</v>
      </c>
      <c r="S27" s="218">
        <v>917117.81855494005</v>
      </c>
      <c r="T27" s="220">
        <f t="shared" si="14"/>
        <v>1.3952259992795228</v>
      </c>
      <c r="U27" s="219">
        <f t="shared" si="15"/>
        <v>7887907.6424481329</v>
      </c>
      <c r="V27" s="219">
        <f t="shared" si="16"/>
        <v>11005413.82265928</v>
      </c>
      <c r="W27" s="213" t="s">
        <v>49</v>
      </c>
      <c r="X27" s="213" t="s">
        <v>28</v>
      </c>
      <c r="Y27" s="221">
        <f>SUMIFS(Cert_App_Output!$G:$G,Cert_App_Output!$E:$E,$E27,Cert_App_Output!$K:$K,$X27)</f>
        <v>1</v>
      </c>
    </row>
    <row r="28" spans="1:25" x14ac:dyDescent="0.35">
      <c r="A28" s="213" t="s">
        <v>50</v>
      </c>
      <c r="B28" s="213" t="s">
        <v>24</v>
      </c>
      <c r="C28" s="213" t="s">
        <v>24</v>
      </c>
      <c r="D28" s="213" t="s">
        <v>44</v>
      </c>
      <c r="E28" s="213">
        <v>3.09</v>
      </c>
      <c r="F28" s="213" t="s">
        <v>25</v>
      </c>
      <c r="G28" s="213" t="s">
        <v>59</v>
      </c>
      <c r="H28" s="213" t="s">
        <v>46</v>
      </c>
      <c r="I28" s="217">
        <v>28</v>
      </c>
      <c r="J28" s="218">
        <v>70843.445714285714</v>
      </c>
      <c r="K28" s="218">
        <v>0</v>
      </c>
      <c r="L28" s="218">
        <v>307690.19241546141</v>
      </c>
      <c r="M28" s="218">
        <v>5678.0045719462059</v>
      </c>
      <c r="N28" s="219">
        <f t="shared" si="9"/>
        <v>384211.64270169334</v>
      </c>
      <c r="O28" s="219">
        <f t="shared" si="10"/>
        <v>98842.530956193266</v>
      </c>
      <c r="P28" s="219">
        <f t="shared" si="11"/>
        <v>0</v>
      </c>
      <c r="Q28" s="219">
        <f t="shared" si="12"/>
        <v>429296.98099946446</v>
      </c>
      <c r="R28" s="219">
        <f t="shared" si="13"/>
        <v>7922.0926793348654</v>
      </c>
      <c r="S28" s="218">
        <v>536061.60463499266</v>
      </c>
      <c r="T28" s="220">
        <f t="shared" si="14"/>
        <v>1.3952247799299446</v>
      </c>
      <c r="U28" s="219">
        <f t="shared" si="15"/>
        <v>10757925.995647414</v>
      </c>
      <c r="V28" s="219">
        <f t="shared" si="16"/>
        <v>15009724.929779794</v>
      </c>
      <c r="W28" s="213" t="s">
        <v>49</v>
      </c>
      <c r="X28" s="213" t="s">
        <v>28</v>
      </c>
      <c r="Y28" s="221">
        <f>SUMIFS(Cert_App_Output!$G:$G,Cert_App_Output!$E:$E,$E28,Cert_App_Output!$K:$K,$X28)</f>
        <v>1</v>
      </c>
    </row>
    <row r="29" spans="1:25" x14ac:dyDescent="0.35">
      <c r="A29" s="213" t="s">
        <v>50</v>
      </c>
      <c r="B29" s="213" t="s">
        <v>24</v>
      </c>
      <c r="C29" s="213" t="s">
        <v>24</v>
      </c>
      <c r="D29" s="213" t="s">
        <v>44</v>
      </c>
      <c r="E29" s="213">
        <v>3.1</v>
      </c>
      <c r="F29" s="213" t="s">
        <v>25</v>
      </c>
      <c r="G29" s="213" t="s">
        <v>60</v>
      </c>
      <c r="H29" s="213" t="s">
        <v>46</v>
      </c>
      <c r="I29" s="217">
        <v>54</v>
      </c>
      <c r="J29" s="218">
        <v>60951.378715244493</v>
      </c>
      <c r="K29" s="218">
        <v>0</v>
      </c>
      <c r="L29" s="218">
        <v>273658.44999334478</v>
      </c>
      <c r="M29" s="218">
        <v>5019.1474306288392</v>
      </c>
      <c r="N29" s="219">
        <f t="shared" si="9"/>
        <v>339628.97613921808</v>
      </c>
      <c r="O29" s="219">
        <f t="shared" si="10"/>
        <v>85040.911042552078</v>
      </c>
      <c r="P29" s="219">
        <f t="shared" si="11"/>
        <v>0</v>
      </c>
      <c r="Q29" s="219">
        <f t="shared" si="12"/>
        <v>381815.21718566376</v>
      </c>
      <c r="R29" s="219">
        <f t="shared" si="13"/>
        <v>7002.8419234232369</v>
      </c>
      <c r="S29" s="218">
        <v>473858.97015163902</v>
      </c>
      <c r="T29" s="220">
        <f t="shared" si="14"/>
        <v>1.3952253884173842</v>
      </c>
      <c r="U29" s="219">
        <f t="shared" si="15"/>
        <v>18339964.711517777</v>
      </c>
      <c r="V29" s="219">
        <f t="shared" si="16"/>
        <v>25588384.388188507</v>
      </c>
      <c r="W29" s="213" t="s">
        <v>49</v>
      </c>
      <c r="X29" s="213" t="s">
        <v>28</v>
      </c>
      <c r="Y29" s="221">
        <f>SUMIFS(Cert_App_Output!$G:$G,Cert_App_Output!$E:$E,$E29,Cert_App_Output!$K:$K,$X29)</f>
        <v>1</v>
      </c>
    </row>
    <row r="30" spans="1:25" x14ac:dyDescent="0.35">
      <c r="A30" s="213" t="s">
        <v>50</v>
      </c>
      <c r="B30" s="213" t="s">
        <v>24</v>
      </c>
      <c r="C30" s="213" t="s">
        <v>24</v>
      </c>
      <c r="D30" s="213" t="s">
        <v>44</v>
      </c>
      <c r="E30" s="213">
        <v>3.11</v>
      </c>
      <c r="F30" s="213" t="s">
        <v>25</v>
      </c>
      <c r="G30" s="213" t="s">
        <v>61</v>
      </c>
      <c r="H30" s="213" t="s">
        <v>46</v>
      </c>
      <c r="I30" s="217">
        <v>11</v>
      </c>
      <c r="J30" s="218">
        <v>68185.041030872468</v>
      </c>
      <c r="K30" s="218">
        <v>0</v>
      </c>
      <c r="L30" s="218">
        <v>283180.31554461533</v>
      </c>
      <c r="M30" s="218">
        <v>5270.4803486323162</v>
      </c>
      <c r="N30" s="219">
        <f t="shared" si="9"/>
        <v>356635.83692412009</v>
      </c>
      <c r="O30" s="219">
        <f t="shared" si="10"/>
        <v>95133.576783554992</v>
      </c>
      <c r="P30" s="219">
        <f t="shared" si="11"/>
        <v>0</v>
      </c>
      <c r="Q30" s="219">
        <f t="shared" si="12"/>
        <v>395100.68315801502</v>
      </c>
      <c r="R30" s="219">
        <f t="shared" si="13"/>
        <v>7353.513899123549</v>
      </c>
      <c r="S30" s="218">
        <v>497587.77384069352</v>
      </c>
      <c r="T30" s="220">
        <f t="shared" si="14"/>
        <v>1.3952265092937455</v>
      </c>
      <c r="U30" s="219">
        <f t="shared" si="15"/>
        <v>3922994.2061653212</v>
      </c>
      <c r="V30" s="219">
        <f t="shared" si="16"/>
        <v>5473465.5122476285</v>
      </c>
      <c r="W30" s="213" t="s">
        <v>49</v>
      </c>
      <c r="X30" s="213" t="s">
        <v>28</v>
      </c>
      <c r="Y30" s="221">
        <f>SUMIFS(Cert_App_Output!$G:$G,Cert_App_Output!$E:$E,$E30,Cert_App_Output!$K:$K,$X30)</f>
        <v>1</v>
      </c>
    </row>
    <row r="31" spans="1:25" x14ac:dyDescent="0.35">
      <c r="A31" s="213" t="s">
        <v>50</v>
      </c>
      <c r="B31" s="213" t="s">
        <v>24</v>
      </c>
      <c r="C31" s="213" t="s">
        <v>24</v>
      </c>
      <c r="D31" s="213" t="s">
        <v>44</v>
      </c>
      <c r="E31" s="213">
        <v>3.12</v>
      </c>
      <c r="F31" s="213" t="s">
        <v>25</v>
      </c>
      <c r="G31" s="213" t="s">
        <v>62</v>
      </c>
      <c r="H31" s="213" t="s">
        <v>46</v>
      </c>
      <c r="I31" s="217">
        <v>3</v>
      </c>
      <c r="J31" s="218">
        <v>70843.445714285714</v>
      </c>
      <c r="K31" s="218">
        <v>0</v>
      </c>
      <c r="L31" s="218">
        <v>307690.19241546141</v>
      </c>
      <c r="M31" s="218">
        <v>5678.0045719462059</v>
      </c>
      <c r="N31" s="219">
        <f t="shared" si="9"/>
        <v>384211.64270169334</v>
      </c>
      <c r="O31" s="219">
        <f t="shared" si="10"/>
        <v>98842.530956193266</v>
      </c>
      <c r="P31" s="219">
        <f t="shared" si="11"/>
        <v>0</v>
      </c>
      <c r="Q31" s="219">
        <f t="shared" si="12"/>
        <v>429296.98099946446</v>
      </c>
      <c r="R31" s="219">
        <f t="shared" si="13"/>
        <v>7922.0926793348654</v>
      </c>
      <c r="S31" s="218">
        <v>536061.60463499266</v>
      </c>
      <c r="T31" s="220">
        <f t="shared" si="14"/>
        <v>1.3952247799299446</v>
      </c>
      <c r="U31" s="219">
        <f t="shared" si="15"/>
        <v>1152634.92810508</v>
      </c>
      <c r="V31" s="219">
        <f t="shared" si="16"/>
        <v>1608184.8139049779</v>
      </c>
      <c r="W31" s="213" t="s">
        <v>49</v>
      </c>
      <c r="X31" s="213" t="s">
        <v>28</v>
      </c>
      <c r="Y31" s="221">
        <f>SUMIFS(Cert_App_Output!$G:$G,Cert_App_Output!$E:$E,$E31,Cert_App_Output!$K:$K,$X31)</f>
        <v>1</v>
      </c>
    </row>
    <row r="32" spans="1:25" x14ac:dyDescent="0.35">
      <c r="A32" s="213" t="s">
        <v>50</v>
      </c>
      <c r="B32" s="213" t="s">
        <v>24</v>
      </c>
      <c r="C32" s="213" t="s">
        <v>24</v>
      </c>
      <c r="D32" s="213" t="s">
        <v>24</v>
      </c>
      <c r="E32" s="213">
        <v>3.13</v>
      </c>
      <c r="F32" s="213" t="s">
        <v>25</v>
      </c>
      <c r="G32" s="213" t="s">
        <v>63</v>
      </c>
      <c r="H32" s="213" t="s">
        <v>33</v>
      </c>
      <c r="I32" s="217">
        <v>240</v>
      </c>
      <c r="J32" s="218">
        <v>24772.727272727279</v>
      </c>
      <c r="K32" s="218">
        <v>0</v>
      </c>
      <c r="L32" s="218">
        <v>0</v>
      </c>
      <c r="M32" s="218">
        <v>0</v>
      </c>
      <c r="N32" s="219">
        <f t="shared" si="9"/>
        <v>24772.727272727279</v>
      </c>
      <c r="O32" s="219">
        <f t="shared" si="10"/>
        <v>31137</v>
      </c>
      <c r="P32" s="219">
        <f t="shared" si="11"/>
        <v>0</v>
      </c>
      <c r="Q32" s="219">
        <f t="shared" si="12"/>
        <v>0</v>
      </c>
      <c r="R32" s="219">
        <f t="shared" si="13"/>
        <v>0</v>
      </c>
      <c r="S32" s="218">
        <v>31137</v>
      </c>
      <c r="T32" s="220">
        <f t="shared" si="14"/>
        <v>1.2569064220183483</v>
      </c>
      <c r="U32" s="219">
        <f t="shared" si="15"/>
        <v>5945454.5454545468</v>
      </c>
      <c r="V32" s="219">
        <f t="shared" si="16"/>
        <v>7472880</v>
      </c>
      <c r="W32" s="213" t="s">
        <v>49</v>
      </c>
      <c r="X32" s="213" t="s">
        <v>28</v>
      </c>
      <c r="Y32" s="221">
        <f>SUMIFS(Cert_App_Output!$G:$G,Cert_App_Output!$E:$E,$E32,Cert_App_Output!$K:$K,$X32)</f>
        <v>1</v>
      </c>
    </row>
    <row r="33" spans="1:25" x14ac:dyDescent="0.35">
      <c r="A33" s="213" t="s">
        <v>50</v>
      </c>
      <c r="B33" s="213" t="s">
        <v>24</v>
      </c>
      <c r="C33" s="213" t="s">
        <v>24</v>
      </c>
      <c r="D33" s="213" t="s">
        <v>24</v>
      </c>
      <c r="E33" s="213">
        <v>3.14</v>
      </c>
      <c r="F33" s="213" t="s">
        <v>25</v>
      </c>
      <c r="G33" s="213" t="s">
        <v>64</v>
      </c>
      <c r="H33" s="213" t="s">
        <v>27</v>
      </c>
      <c r="I33" s="217">
        <v>1</v>
      </c>
      <c r="J33" s="218">
        <v>0</v>
      </c>
      <c r="K33" s="218">
        <v>0</v>
      </c>
      <c r="L33" s="218">
        <v>0</v>
      </c>
      <c r="M33" s="218">
        <v>8822750</v>
      </c>
      <c r="N33" s="219">
        <f t="shared" si="9"/>
        <v>8822750</v>
      </c>
      <c r="O33" s="219">
        <f t="shared" si="10"/>
        <v>0</v>
      </c>
      <c r="P33" s="219">
        <f t="shared" si="11"/>
        <v>0</v>
      </c>
      <c r="Q33" s="219">
        <f t="shared" si="12"/>
        <v>0</v>
      </c>
      <c r="R33" s="219">
        <f t="shared" si="13"/>
        <v>11089161</v>
      </c>
      <c r="S33" s="218">
        <v>11089161</v>
      </c>
      <c r="T33" s="220">
        <f t="shared" si="14"/>
        <v>1.2568826046300756</v>
      </c>
      <c r="U33" s="219">
        <f t="shared" si="15"/>
        <v>8822750</v>
      </c>
      <c r="V33" s="219">
        <f t="shared" si="16"/>
        <v>11089161</v>
      </c>
      <c r="W33" s="213" t="s">
        <v>49</v>
      </c>
      <c r="X33" s="213" t="s">
        <v>28</v>
      </c>
      <c r="Y33" s="221">
        <f>SUMIFS(Cert_App_Output!$G:$G,Cert_App_Output!$E:$E,$E33,Cert_App_Output!$K:$K,$X33)</f>
        <v>1</v>
      </c>
    </row>
    <row r="34" spans="1:25" x14ac:dyDescent="0.35">
      <c r="A34" s="213" t="s">
        <v>50</v>
      </c>
      <c r="B34" s="213" t="s">
        <v>24</v>
      </c>
      <c r="C34" s="213" t="s">
        <v>24</v>
      </c>
      <c r="D34" s="213" t="s">
        <v>24</v>
      </c>
      <c r="E34" s="213">
        <v>3.15</v>
      </c>
      <c r="F34" s="213" t="s">
        <v>25</v>
      </c>
      <c r="G34" s="213" t="s">
        <v>65</v>
      </c>
      <c r="H34" s="213" t="s">
        <v>66</v>
      </c>
      <c r="I34" s="217">
        <v>14</v>
      </c>
      <c r="J34" s="218">
        <v>123492.8571428571</v>
      </c>
      <c r="K34" s="218">
        <v>0</v>
      </c>
      <c r="L34" s="218">
        <v>0</v>
      </c>
      <c r="M34" s="218">
        <v>0</v>
      </c>
      <c r="N34" s="219">
        <f t="shared" si="9"/>
        <v>123492.8571428571</v>
      </c>
      <c r="O34" s="219">
        <f t="shared" si="10"/>
        <v>155217</v>
      </c>
      <c r="P34" s="219">
        <f t="shared" si="11"/>
        <v>0</v>
      </c>
      <c r="Q34" s="219">
        <f t="shared" si="12"/>
        <v>0</v>
      </c>
      <c r="R34" s="219">
        <f t="shared" si="13"/>
        <v>0</v>
      </c>
      <c r="S34" s="218">
        <v>155217</v>
      </c>
      <c r="T34" s="220">
        <f t="shared" si="14"/>
        <v>1.256890508415756</v>
      </c>
      <c r="U34" s="219">
        <f t="shared" si="15"/>
        <v>1728899.9999999995</v>
      </c>
      <c r="V34" s="219">
        <f t="shared" si="16"/>
        <v>2173038</v>
      </c>
      <c r="W34" s="213" t="s">
        <v>49</v>
      </c>
      <c r="X34" s="213" t="s">
        <v>28</v>
      </c>
      <c r="Y34" s="221">
        <f>SUMIFS(Cert_App_Output!$G:$G,Cert_App_Output!$E:$E,$E34,Cert_App_Output!$K:$K,$X34)</f>
        <v>1</v>
      </c>
    </row>
    <row r="35" spans="1:25" x14ac:dyDescent="0.35">
      <c r="A35" s="213" t="s">
        <v>50</v>
      </c>
      <c r="B35" s="213" t="s">
        <v>24</v>
      </c>
      <c r="C35" s="213" t="s">
        <v>24</v>
      </c>
      <c r="D35" s="213" t="s">
        <v>24</v>
      </c>
      <c r="E35" s="213">
        <v>3.16</v>
      </c>
      <c r="F35" s="213" t="s">
        <v>25</v>
      </c>
      <c r="G35" s="213" t="s">
        <v>67</v>
      </c>
      <c r="H35" s="213" t="s">
        <v>27</v>
      </c>
      <c r="I35" s="217">
        <v>4</v>
      </c>
      <c r="J35" s="218">
        <v>55000</v>
      </c>
      <c r="K35" s="218">
        <v>0</v>
      </c>
      <c r="L35" s="218">
        <v>0</v>
      </c>
      <c r="M35" s="218">
        <v>0</v>
      </c>
      <c r="N35" s="219">
        <f t="shared" si="9"/>
        <v>55000</v>
      </c>
      <c r="O35" s="219">
        <f t="shared" si="10"/>
        <v>69129</v>
      </c>
      <c r="P35" s="219">
        <f t="shared" si="11"/>
        <v>0</v>
      </c>
      <c r="Q35" s="219">
        <f t="shared" si="12"/>
        <v>0</v>
      </c>
      <c r="R35" s="219">
        <f t="shared" si="13"/>
        <v>0</v>
      </c>
      <c r="S35" s="218">
        <v>69129</v>
      </c>
      <c r="T35" s="220">
        <f t="shared" si="14"/>
        <v>1.2568909090909091</v>
      </c>
      <c r="U35" s="219">
        <f t="shared" si="15"/>
        <v>220000</v>
      </c>
      <c r="V35" s="219">
        <f t="shared" si="16"/>
        <v>276516</v>
      </c>
      <c r="W35" s="213" t="s">
        <v>49</v>
      </c>
      <c r="X35" s="213" t="s">
        <v>28</v>
      </c>
      <c r="Y35" s="221">
        <f>SUMIFS(Cert_App_Output!$G:$G,Cert_App_Output!$E:$E,$E35,Cert_App_Output!$K:$K,$X35)</f>
        <v>1</v>
      </c>
    </row>
    <row r="36" spans="1:25" x14ac:dyDescent="0.35">
      <c r="A36" s="213" t="s">
        <v>50</v>
      </c>
      <c r="B36" s="213" t="s">
        <v>24</v>
      </c>
      <c r="C36" s="213" t="s">
        <v>24</v>
      </c>
      <c r="D36" s="213" t="s">
        <v>44</v>
      </c>
      <c r="E36" s="213">
        <v>3.17</v>
      </c>
      <c r="F36" s="213" t="s">
        <v>25</v>
      </c>
      <c r="G36" s="213" t="s">
        <v>68</v>
      </c>
      <c r="H36" s="213" t="s">
        <v>69</v>
      </c>
      <c r="I36" s="217">
        <v>93</v>
      </c>
      <c r="J36" s="218">
        <v>5053.7634408602153</v>
      </c>
      <c r="K36" s="218">
        <v>0</v>
      </c>
      <c r="L36" s="218">
        <v>14213.22346320137</v>
      </c>
      <c r="M36" s="218">
        <v>289.00480356092379</v>
      </c>
      <c r="N36" s="219">
        <f t="shared" si="9"/>
        <v>19555.99170762251</v>
      </c>
      <c r="O36" s="219">
        <f t="shared" si="10"/>
        <v>6352.0943981544642</v>
      </c>
      <c r="P36" s="219">
        <f t="shared" si="11"/>
        <v>0</v>
      </c>
      <c r="Q36" s="219">
        <f t="shared" si="12"/>
        <v>17864.65437031844</v>
      </c>
      <c r="R36" s="219">
        <f t="shared" si="13"/>
        <v>363.25123152709358</v>
      </c>
      <c r="S36" s="218">
        <v>24580</v>
      </c>
      <c r="T36" s="220">
        <f t="shared" si="14"/>
        <v>1.2569037851667342</v>
      </c>
      <c r="U36" s="219">
        <f t="shared" si="15"/>
        <v>1818707.2288088934</v>
      </c>
      <c r="V36" s="219">
        <f t="shared" si="16"/>
        <v>2285940</v>
      </c>
      <c r="W36" s="213" t="s">
        <v>49</v>
      </c>
      <c r="X36" s="213" t="s">
        <v>28</v>
      </c>
      <c r="Y36" s="221">
        <f>SUMIFS(Cert_App_Output!$G:$G,Cert_App_Output!$E:$E,$E36,Cert_App_Output!$K:$K,$X36)</f>
        <v>1</v>
      </c>
    </row>
    <row r="37" spans="1:25" x14ac:dyDescent="0.35">
      <c r="E37" s="213">
        <v>24</v>
      </c>
      <c r="G37" s="213" t="s">
        <v>70</v>
      </c>
      <c r="I37" s="214"/>
      <c r="J37" s="215"/>
      <c r="K37" s="215"/>
      <c r="L37" s="215"/>
      <c r="M37" s="215"/>
      <c r="N37" s="215"/>
      <c r="O37" s="215"/>
      <c r="P37" s="215"/>
      <c r="Q37" s="215"/>
      <c r="R37" s="215"/>
      <c r="S37" s="215"/>
      <c r="T37" s="216"/>
      <c r="U37" s="215"/>
      <c r="V37" s="215"/>
      <c r="Y37" s="203"/>
    </row>
    <row r="38" spans="1:25" x14ac:dyDescent="0.35">
      <c r="A38" s="213" t="s">
        <v>24</v>
      </c>
      <c r="B38" s="213" t="s">
        <v>24</v>
      </c>
      <c r="C38" s="213" t="s">
        <v>71</v>
      </c>
      <c r="D38" s="213" t="s">
        <v>24</v>
      </c>
      <c r="E38" s="213">
        <v>24.01</v>
      </c>
      <c r="F38" s="213" t="s">
        <v>25</v>
      </c>
      <c r="G38" s="213" t="s">
        <v>72</v>
      </c>
      <c r="H38" s="213" t="s">
        <v>37</v>
      </c>
      <c r="I38" s="217">
        <v>8</v>
      </c>
      <c r="J38" s="218">
        <v>0</v>
      </c>
      <c r="K38" s="218">
        <v>599210.84669999999</v>
      </c>
      <c r="L38" s="218">
        <v>1.9000000000000001E-5</v>
      </c>
      <c r="M38" s="218">
        <v>0</v>
      </c>
      <c r="N38" s="219">
        <f t="shared" ref="N38:N47" si="17">SUM(J38:M38)</f>
        <v>599210.84671900002</v>
      </c>
      <c r="O38" s="219">
        <f t="shared" ref="O38:O47" si="18">IF($N38=0,$S38,J38/$N38*$S38)</f>
        <v>0</v>
      </c>
      <c r="P38" s="219">
        <f t="shared" ref="P38:P47" si="19">IF($N38=0,0,K38/$N38*$S38)</f>
        <v>753137.99997611914</v>
      </c>
      <c r="Q38" s="219">
        <f t="shared" ref="Q38:Q47" si="20">IF($N38=0,0,L38/$N38*$S38)</f>
        <v>2.3880779325596056E-5</v>
      </c>
      <c r="R38" s="219">
        <f t="shared" ref="R38:R47" si="21">IF($N38=0,0,M38/$N38*$S38)</f>
        <v>0</v>
      </c>
      <c r="S38" s="218">
        <v>753138</v>
      </c>
      <c r="T38" s="220">
        <f t="shared" ref="T38:T47" si="22">IFERROR(S38/N38,"")</f>
        <v>1.2568831223997921</v>
      </c>
      <c r="U38" s="219">
        <f t="shared" ref="U38:U47" si="23">N38*I38</f>
        <v>4793686.7737520002</v>
      </c>
      <c r="V38" s="219">
        <f t="shared" ref="V38:V47" si="24">S38*I38</f>
        <v>6025104</v>
      </c>
      <c r="W38" s="213" t="s">
        <v>70</v>
      </c>
      <c r="X38" s="213" t="s">
        <v>28</v>
      </c>
      <c r="Y38" s="221">
        <f>SUMIFS(Cert_App_Output!$G:$G,Cert_App_Output!$E:$E,$E38,Cert_App_Output!$K:$K,$X38)</f>
        <v>1</v>
      </c>
    </row>
    <row r="39" spans="1:25" x14ac:dyDescent="0.35">
      <c r="A39" s="213" t="s">
        <v>24</v>
      </c>
      <c r="B39" s="213" t="s">
        <v>24</v>
      </c>
      <c r="C39" s="213" t="s">
        <v>73</v>
      </c>
      <c r="D39" s="213" t="s">
        <v>24</v>
      </c>
      <c r="E39" s="213">
        <v>24.02</v>
      </c>
      <c r="F39" s="213" t="s">
        <v>25</v>
      </c>
      <c r="G39" s="213" t="s">
        <v>74</v>
      </c>
      <c r="H39" s="213" t="s">
        <v>37</v>
      </c>
      <c r="I39" s="217">
        <v>4</v>
      </c>
      <c r="J39" s="218">
        <v>0</v>
      </c>
      <c r="K39" s="218">
        <v>1547376.3492000001</v>
      </c>
      <c r="L39" s="218">
        <v>0</v>
      </c>
      <c r="M39" s="218">
        <v>0</v>
      </c>
      <c r="N39" s="219">
        <f t="shared" si="17"/>
        <v>1547376.3492000001</v>
      </c>
      <c r="O39" s="219">
        <f t="shared" si="18"/>
        <v>0</v>
      </c>
      <c r="P39" s="219">
        <f t="shared" si="19"/>
        <v>1944871</v>
      </c>
      <c r="Q39" s="219">
        <f t="shared" si="20"/>
        <v>0</v>
      </c>
      <c r="R39" s="219">
        <f t="shared" si="21"/>
        <v>0</v>
      </c>
      <c r="S39" s="218">
        <v>1944871</v>
      </c>
      <c r="T39" s="220">
        <f t="shared" si="22"/>
        <v>1.25688298196202</v>
      </c>
      <c r="U39" s="219">
        <f t="shared" si="23"/>
        <v>6189505.3968000002</v>
      </c>
      <c r="V39" s="219">
        <f t="shared" si="24"/>
        <v>7779484</v>
      </c>
      <c r="W39" s="213" t="s">
        <v>70</v>
      </c>
      <c r="X39" s="213" t="s">
        <v>28</v>
      </c>
      <c r="Y39" s="221">
        <f>SUMIFS(Cert_App_Output!$G:$G,Cert_App_Output!$E:$E,$E39,Cert_App_Output!$K:$K,$X39)</f>
        <v>1</v>
      </c>
    </row>
    <row r="40" spans="1:25" x14ac:dyDescent="0.35">
      <c r="A40" s="213" t="s">
        <v>24</v>
      </c>
      <c r="B40" s="213" t="s">
        <v>24</v>
      </c>
      <c r="C40" s="213" t="s">
        <v>73</v>
      </c>
      <c r="D40" s="213" t="s">
        <v>24</v>
      </c>
      <c r="E40" s="213">
        <v>24.03</v>
      </c>
      <c r="F40" s="213" t="s">
        <v>25</v>
      </c>
      <c r="G40" s="213" t="s">
        <v>75</v>
      </c>
      <c r="H40" s="213" t="s">
        <v>37</v>
      </c>
      <c r="I40" s="217">
        <v>8</v>
      </c>
      <c r="J40" s="218">
        <v>0</v>
      </c>
      <c r="K40" s="218">
        <v>150000</v>
      </c>
      <c r="L40" s="218">
        <v>0</v>
      </c>
      <c r="M40" s="218">
        <v>0</v>
      </c>
      <c r="N40" s="219">
        <f t="shared" si="17"/>
        <v>150000</v>
      </c>
      <c r="O40" s="219">
        <f t="shared" si="18"/>
        <v>0</v>
      </c>
      <c r="P40" s="219">
        <f t="shared" si="19"/>
        <v>188533</v>
      </c>
      <c r="Q40" s="219">
        <f t="shared" si="20"/>
        <v>0</v>
      </c>
      <c r="R40" s="219">
        <f t="shared" si="21"/>
        <v>0</v>
      </c>
      <c r="S40" s="218">
        <v>188533</v>
      </c>
      <c r="T40" s="220">
        <f t="shared" si="22"/>
        <v>1.2568866666666667</v>
      </c>
      <c r="U40" s="219">
        <f t="shared" si="23"/>
        <v>1200000</v>
      </c>
      <c r="V40" s="219">
        <f t="shared" si="24"/>
        <v>1508264</v>
      </c>
      <c r="W40" s="213" t="s">
        <v>70</v>
      </c>
      <c r="X40" s="213" t="s">
        <v>28</v>
      </c>
      <c r="Y40" s="221">
        <f>SUMIFS(Cert_App_Output!$G:$G,Cert_App_Output!$E:$E,$E40,Cert_App_Output!$K:$K,$X40)</f>
        <v>1</v>
      </c>
    </row>
    <row r="41" spans="1:25" x14ac:dyDescent="0.35">
      <c r="A41" s="213" t="s">
        <v>76</v>
      </c>
      <c r="B41" s="213" t="s">
        <v>24</v>
      </c>
      <c r="C41" s="213" t="s">
        <v>24</v>
      </c>
      <c r="D41" s="213" t="s">
        <v>71</v>
      </c>
      <c r="E41" s="213">
        <v>24.04</v>
      </c>
      <c r="F41" s="213" t="s">
        <v>25</v>
      </c>
      <c r="G41" s="213" t="s">
        <v>77</v>
      </c>
      <c r="H41" s="213" t="s">
        <v>27</v>
      </c>
      <c r="I41" s="217">
        <v>1</v>
      </c>
      <c r="J41" s="218">
        <v>2388097.2693333328</v>
      </c>
      <c r="K41" s="218">
        <v>0</v>
      </c>
      <c r="L41" s="218">
        <v>1222808.07717144</v>
      </c>
      <c r="M41" s="218">
        <v>54163.580197571588</v>
      </c>
      <c r="N41" s="219">
        <f t="shared" si="17"/>
        <v>3665068.9267023448</v>
      </c>
      <c r="O41" s="219">
        <f t="shared" si="18"/>
        <v>3001558.320790654</v>
      </c>
      <c r="P41" s="219">
        <f t="shared" si="19"/>
        <v>0</v>
      </c>
      <c r="Q41" s="219">
        <f t="shared" si="20"/>
        <v>1536926.4082733844</v>
      </c>
      <c r="R41" s="219">
        <f t="shared" si="21"/>
        <v>68077.27093596058</v>
      </c>
      <c r="S41" s="218">
        <v>4606562</v>
      </c>
      <c r="T41" s="220">
        <f t="shared" si="22"/>
        <v>1.2568827741378295</v>
      </c>
      <c r="U41" s="219">
        <f t="shared" si="23"/>
        <v>3665068.9267023448</v>
      </c>
      <c r="V41" s="219">
        <f t="shared" si="24"/>
        <v>4606562</v>
      </c>
      <c r="W41" s="213" t="s">
        <v>70</v>
      </c>
      <c r="X41" s="213" t="s">
        <v>28</v>
      </c>
      <c r="Y41" s="221">
        <f>SUMIFS(Cert_App_Output!$G:$G,Cert_App_Output!$E:$E,$E41,Cert_App_Output!$K:$K,$X41)</f>
        <v>1</v>
      </c>
    </row>
    <row r="42" spans="1:25" x14ac:dyDescent="0.35">
      <c r="A42" s="213" t="s">
        <v>76</v>
      </c>
      <c r="B42" s="213" t="s">
        <v>24</v>
      </c>
      <c r="C42" s="213" t="s">
        <v>24</v>
      </c>
      <c r="D42" s="213" t="s">
        <v>71</v>
      </c>
      <c r="E42" s="213">
        <v>24.05</v>
      </c>
      <c r="F42" s="213" t="s">
        <v>25</v>
      </c>
      <c r="G42" s="213" t="s">
        <v>78</v>
      </c>
      <c r="H42" s="213" t="s">
        <v>37</v>
      </c>
      <c r="I42" s="217">
        <v>8</v>
      </c>
      <c r="J42" s="218">
        <v>50000</v>
      </c>
      <c r="K42" s="218">
        <v>0</v>
      </c>
      <c r="L42" s="218">
        <v>495686.16827914771</v>
      </c>
      <c r="M42" s="218">
        <v>8185.2925241872153</v>
      </c>
      <c r="N42" s="219">
        <f t="shared" si="17"/>
        <v>553871.46080333495</v>
      </c>
      <c r="O42" s="219">
        <f t="shared" si="18"/>
        <v>62844.184008894539</v>
      </c>
      <c r="P42" s="219">
        <f t="shared" si="19"/>
        <v>0</v>
      </c>
      <c r="Q42" s="219">
        <f t="shared" si="20"/>
        <v>623019.85539997241</v>
      </c>
      <c r="R42" s="219">
        <f t="shared" si="21"/>
        <v>10287.960591133004</v>
      </c>
      <c r="S42" s="218">
        <v>696152</v>
      </c>
      <c r="T42" s="220">
        <f t="shared" si="22"/>
        <v>1.2568836801778906</v>
      </c>
      <c r="U42" s="219">
        <f t="shared" si="23"/>
        <v>4430971.6864266796</v>
      </c>
      <c r="V42" s="219">
        <f t="shared" si="24"/>
        <v>5569216</v>
      </c>
      <c r="W42" s="213" t="s">
        <v>70</v>
      </c>
      <c r="X42" s="213" t="s">
        <v>28</v>
      </c>
      <c r="Y42" s="221">
        <f>SUMIFS(Cert_App_Output!$G:$G,Cert_App_Output!$E:$E,$E42,Cert_App_Output!$K:$K,$X42)</f>
        <v>1</v>
      </c>
    </row>
    <row r="43" spans="1:25" x14ac:dyDescent="0.35">
      <c r="A43" s="213" t="s">
        <v>76</v>
      </c>
      <c r="B43" s="213" t="s">
        <v>24</v>
      </c>
      <c r="C43" s="213" t="s">
        <v>24</v>
      </c>
      <c r="D43" s="213" t="s">
        <v>71</v>
      </c>
      <c r="E43" s="213">
        <v>24.06</v>
      </c>
      <c r="F43" s="213" t="s">
        <v>25</v>
      </c>
      <c r="G43" s="213" t="s">
        <v>79</v>
      </c>
      <c r="H43" s="213" t="s">
        <v>37</v>
      </c>
      <c r="I43" s="217">
        <v>8</v>
      </c>
      <c r="J43" s="218">
        <v>25000</v>
      </c>
      <c r="K43" s="218">
        <v>0</v>
      </c>
      <c r="L43" s="218">
        <v>329565.96569537499</v>
      </c>
      <c r="M43" s="218">
        <v>5318.4894854306249</v>
      </c>
      <c r="N43" s="219">
        <f t="shared" si="17"/>
        <v>359884.45518080564</v>
      </c>
      <c r="O43" s="219">
        <f t="shared" si="18"/>
        <v>31422.099057650899</v>
      </c>
      <c r="P43" s="219">
        <f t="shared" si="19"/>
        <v>0</v>
      </c>
      <c r="Q43" s="219">
        <f t="shared" si="20"/>
        <v>414226.17680441804</v>
      </c>
      <c r="R43" s="219">
        <f t="shared" si="21"/>
        <v>6684.7241379310344</v>
      </c>
      <c r="S43" s="218">
        <v>452333</v>
      </c>
      <c r="T43" s="220">
        <f t="shared" si="22"/>
        <v>1.2568839623060359</v>
      </c>
      <c r="U43" s="219">
        <f t="shared" si="23"/>
        <v>2879075.6414464451</v>
      </c>
      <c r="V43" s="219">
        <f t="shared" si="24"/>
        <v>3618664</v>
      </c>
      <c r="W43" s="213" t="s">
        <v>70</v>
      </c>
      <c r="X43" s="213" t="s">
        <v>28</v>
      </c>
      <c r="Y43" s="221">
        <f>SUMIFS(Cert_App_Output!$G:$G,Cert_App_Output!$E:$E,$E43,Cert_App_Output!$K:$K,$X43)</f>
        <v>1</v>
      </c>
    </row>
    <row r="44" spans="1:25" x14ac:dyDescent="0.35">
      <c r="A44" s="213" t="s">
        <v>76</v>
      </c>
      <c r="B44" s="213" t="s">
        <v>24</v>
      </c>
      <c r="C44" s="213" t="s">
        <v>24</v>
      </c>
      <c r="D44" s="213" t="s">
        <v>24</v>
      </c>
      <c r="E44" s="213">
        <v>24.07</v>
      </c>
      <c r="F44" s="213" t="s">
        <v>25</v>
      </c>
      <c r="G44" s="213" t="s">
        <v>80</v>
      </c>
      <c r="H44" s="213" t="s">
        <v>27</v>
      </c>
      <c r="I44" s="217">
        <v>0</v>
      </c>
      <c r="J44" s="218">
        <v>0</v>
      </c>
      <c r="K44" s="218">
        <v>0</v>
      </c>
      <c r="L44" s="218">
        <v>0</v>
      </c>
      <c r="M44" s="218">
        <v>0</v>
      </c>
      <c r="N44" s="219">
        <f t="shared" si="17"/>
        <v>0</v>
      </c>
      <c r="O44" s="219">
        <f t="shared" si="18"/>
        <v>0</v>
      </c>
      <c r="P44" s="219">
        <f t="shared" si="19"/>
        <v>0</v>
      </c>
      <c r="Q44" s="219">
        <f t="shared" si="20"/>
        <v>0</v>
      </c>
      <c r="R44" s="219">
        <f t="shared" si="21"/>
        <v>0</v>
      </c>
      <c r="S44" s="218">
        <v>0</v>
      </c>
      <c r="T44" s="220" t="str">
        <f t="shared" si="22"/>
        <v/>
      </c>
      <c r="U44" s="219">
        <f t="shared" si="23"/>
        <v>0</v>
      </c>
      <c r="V44" s="219">
        <f t="shared" si="24"/>
        <v>0</v>
      </c>
      <c r="W44" s="213" t="s">
        <v>70</v>
      </c>
      <c r="X44" s="213" t="s">
        <v>28</v>
      </c>
      <c r="Y44" s="221">
        <f>SUMIFS(Cert_App_Output!$G:$G,Cert_App_Output!$E:$E,$E44,Cert_App_Output!$K:$K,$X44)</f>
        <v>0</v>
      </c>
    </row>
    <row r="45" spans="1:25" x14ac:dyDescent="0.35">
      <c r="A45" s="213" t="s">
        <v>24</v>
      </c>
      <c r="B45" s="213" t="s">
        <v>24</v>
      </c>
      <c r="C45" s="213" t="s">
        <v>81</v>
      </c>
      <c r="D45" s="213" t="s">
        <v>24</v>
      </c>
      <c r="E45" s="213">
        <v>24.08</v>
      </c>
      <c r="F45" s="213" t="s">
        <v>25</v>
      </c>
      <c r="G45" s="213" t="s">
        <v>82</v>
      </c>
      <c r="H45" s="213" t="s">
        <v>37</v>
      </c>
      <c r="I45" s="217">
        <v>8</v>
      </c>
      <c r="J45" s="218">
        <v>0</v>
      </c>
      <c r="K45" s="218">
        <v>250000</v>
      </c>
      <c r="L45" s="218">
        <v>0</v>
      </c>
      <c r="M45" s="218">
        <v>0</v>
      </c>
      <c r="N45" s="219">
        <f t="shared" si="17"/>
        <v>250000</v>
      </c>
      <c r="O45" s="219">
        <f t="shared" si="18"/>
        <v>0</v>
      </c>
      <c r="P45" s="219">
        <f t="shared" si="19"/>
        <v>314221</v>
      </c>
      <c r="Q45" s="219">
        <f t="shared" si="20"/>
        <v>0</v>
      </c>
      <c r="R45" s="219">
        <f t="shared" si="21"/>
        <v>0</v>
      </c>
      <c r="S45" s="218">
        <v>314221</v>
      </c>
      <c r="T45" s="220">
        <f t="shared" si="22"/>
        <v>1.2568839999999999</v>
      </c>
      <c r="U45" s="219">
        <f t="shared" si="23"/>
        <v>2000000</v>
      </c>
      <c r="V45" s="219">
        <f t="shared" si="24"/>
        <v>2513768</v>
      </c>
      <c r="W45" s="213" t="s">
        <v>70</v>
      </c>
      <c r="X45" s="213" t="s">
        <v>28</v>
      </c>
      <c r="Y45" s="221">
        <f>SUMIFS(Cert_App_Output!$G:$G,Cert_App_Output!$E:$E,$E45,Cert_App_Output!$K:$K,$X45)</f>
        <v>1</v>
      </c>
    </row>
    <row r="46" spans="1:25" x14ac:dyDescent="0.35">
      <c r="A46" s="213" t="s">
        <v>83</v>
      </c>
      <c r="B46" s="213" t="s">
        <v>24</v>
      </c>
      <c r="C46" s="213" t="s">
        <v>24</v>
      </c>
      <c r="D46" s="213" t="s">
        <v>24</v>
      </c>
      <c r="E46" s="213">
        <v>24.09</v>
      </c>
      <c r="F46" s="213" t="s">
        <v>25</v>
      </c>
      <c r="G46" s="213" t="s">
        <v>84</v>
      </c>
      <c r="H46" s="213" t="s">
        <v>37</v>
      </c>
      <c r="I46" s="217">
        <v>4</v>
      </c>
      <c r="J46" s="218">
        <v>0</v>
      </c>
      <c r="K46" s="218">
        <v>0</v>
      </c>
      <c r="L46" s="218">
        <v>0</v>
      </c>
      <c r="M46" s="218">
        <v>0</v>
      </c>
      <c r="N46" s="219">
        <f t="shared" si="17"/>
        <v>0</v>
      </c>
      <c r="O46" s="219">
        <f t="shared" si="18"/>
        <v>0</v>
      </c>
      <c r="P46" s="219">
        <f t="shared" si="19"/>
        <v>0</v>
      </c>
      <c r="Q46" s="219">
        <f t="shared" si="20"/>
        <v>0</v>
      </c>
      <c r="R46" s="219">
        <f t="shared" si="21"/>
        <v>0</v>
      </c>
      <c r="S46" s="218">
        <v>0</v>
      </c>
      <c r="T46" s="220" t="str">
        <f t="shared" si="22"/>
        <v/>
      </c>
      <c r="U46" s="219">
        <f t="shared" si="23"/>
        <v>0</v>
      </c>
      <c r="V46" s="219">
        <f t="shared" si="24"/>
        <v>0</v>
      </c>
      <c r="W46" s="213" t="s">
        <v>70</v>
      </c>
      <c r="X46" s="213" t="s">
        <v>28</v>
      </c>
      <c r="Y46" s="221">
        <f>SUMIFS(Cert_App_Output!$G:$G,Cert_App_Output!$E:$E,$E46,Cert_App_Output!$K:$K,$X46)</f>
        <v>0</v>
      </c>
    </row>
    <row r="47" spans="1:25" x14ac:dyDescent="0.35">
      <c r="A47" s="213" t="s">
        <v>35</v>
      </c>
      <c r="B47" s="213" t="s">
        <v>24</v>
      </c>
      <c r="C47" s="213" t="s">
        <v>24</v>
      </c>
      <c r="D47" s="213" t="s">
        <v>71</v>
      </c>
      <c r="E47" s="213">
        <v>24.1</v>
      </c>
      <c r="F47" s="213" t="s">
        <v>25</v>
      </c>
      <c r="G47" s="213" t="s">
        <v>85</v>
      </c>
      <c r="H47" s="213" t="s">
        <v>37</v>
      </c>
      <c r="I47" s="217">
        <v>8</v>
      </c>
      <c r="J47" s="218">
        <v>200000</v>
      </c>
      <c r="K47" s="218">
        <v>0</v>
      </c>
      <c r="L47" s="218">
        <v>49934.237226571968</v>
      </c>
      <c r="M47" s="218">
        <v>0</v>
      </c>
      <c r="N47" s="219">
        <f t="shared" si="17"/>
        <v>249934.23722657198</v>
      </c>
      <c r="O47" s="219">
        <f t="shared" si="18"/>
        <v>251376.52486980057</v>
      </c>
      <c r="P47" s="219">
        <f t="shared" si="19"/>
        <v>0</v>
      </c>
      <c r="Q47" s="219">
        <f t="shared" si="20"/>
        <v>62761.475130199447</v>
      </c>
      <c r="R47" s="219">
        <f t="shared" si="21"/>
        <v>0</v>
      </c>
      <c r="S47" s="218">
        <v>314138</v>
      </c>
      <c r="T47" s="220">
        <f t="shared" si="22"/>
        <v>1.2568826243490028</v>
      </c>
      <c r="U47" s="219">
        <f t="shared" si="23"/>
        <v>1999473.8978125758</v>
      </c>
      <c r="V47" s="219">
        <f t="shared" si="24"/>
        <v>2513104</v>
      </c>
      <c r="W47" s="213" t="s">
        <v>70</v>
      </c>
      <c r="X47" s="213" t="s">
        <v>28</v>
      </c>
      <c r="Y47" s="221">
        <f>SUMIFS(Cert_App_Output!$G:$G,Cert_App_Output!$E:$E,$E47,Cert_App_Output!$K:$K,$X47)</f>
        <v>1</v>
      </c>
    </row>
    <row r="48" spans="1:25" x14ac:dyDescent="0.35">
      <c r="E48" s="213">
        <v>25</v>
      </c>
      <c r="G48" s="213" t="s">
        <v>86</v>
      </c>
      <c r="I48" s="214"/>
      <c r="J48" s="215"/>
      <c r="K48" s="215"/>
      <c r="L48" s="215"/>
      <c r="M48" s="215"/>
      <c r="N48" s="215"/>
      <c r="O48" s="215"/>
      <c r="P48" s="215"/>
      <c r="Q48" s="215"/>
      <c r="R48" s="215"/>
      <c r="S48" s="215"/>
      <c r="T48" s="216"/>
      <c r="U48" s="215"/>
      <c r="V48" s="215"/>
      <c r="Y48" s="203"/>
    </row>
    <row r="49" spans="1:25" x14ac:dyDescent="0.35">
      <c r="A49" s="213" t="s">
        <v>24</v>
      </c>
      <c r="B49" s="213" t="s">
        <v>24</v>
      </c>
      <c r="C49" s="213" t="s">
        <v>87</v>
      </c>
      <c r="D49" s="213" t="s">
        <v>24</v>
      </c>
      <c r="E49" s="213">
        <v>25.01</v>
      </c>
      <c r="F49" s="213" t="s">
        <v>25</v>
      </c>
      <c r="G49" s="213" t="s">
        <v>88</v>
      </c>
      <c r="H49" s="213" t="s">
        <v>37</v>
      </c>
      <c r="I49" s="217">
        <v>8</v>
      </c>
      <c r="J49" s="218">
        <v>0</v>
      </c>
      <c r="K49" s="218">
        <v>3798370.5819999999</v>
      </c>
      <c r="L49" s="218">
        <v>0</v>
      </c>
      <c r="M49" s="218">
        <v>0</v>
      </c>
      <c r="N49" s="219">
        <f>SUM(J49:M49)</f>
        <v>3798370.5819999999</v>
      </c>
      <c r="O49" s="219">
        <f>IF($N49=0,$S49,J49/$N49*$S49)</f>
        <v>0</v>
      </c>
      <c r="P49" s="219">
        <f t="shared" ref="P49:R50" si="25">IF($N49=0,0,K49/$N49*$S49)</f>
        <v>4774106</v>
      </c>
      <c r="Q49" s="219">
        <f t="shared" si="25"/>
        <v>0</v>
      </c>
      <c r="R49" s="219">
        <f t="shared" si="25"/>
        <v>0</v>
      </c>
      <c r="S49" s="218">
        <v>4774106</v>
      </c>
      <c r="T49" s="220">
        <f>IFERROR(S49/N49,"")</f>
        <v>1.2568826282048116</v>
      </c>
      <c r="U49" s="219">
        <f>N49*I49</f>
        <v>30386964.655999999</v>
      </c>
      <c r="V49" s="219">
        <f>S49*I49</f>
        <v>38192848</v>
      </c>
      <c r="W49" s="213" t="s">
        <v>86</v>
      </c>
      <c r="X49" s="213" t="s">
        <v>28</v>
      </c>
      <c r="Y49" s="221">
        <f>SUMIFS(Cert_App_Output!$G:$G,Cert_App_Output!$E:$E,$E49,Cert_App_Output!$K:$K,$X49)</f>
        <v>1</v>
      </c>
    </row>
    <row r="50" spans="1:25" x14ac:dyDescent="0.35">
      <c r="A50" s="213" t="s">
        <v>24</v>
      </c>
      <c r="B50" s="213" t="s">
        <v>24</v>
      </c>
      <c r="C50" s="213" t="s">
        <v>81</v>
      </c>
      <c r="D50" s="213" t="s">
        <v>24</v>
      </c>
      <c r="E50" s="213">
        <v>25.02</v>
      </c>
      <c r="F50" s="213" t="s">
        <v>25</v>
      </c>
      <c r="G50" s="213" t="s">
        <v>89</v>
      </c>
      <c r="H50" s="213" t="s">
        <v>37</v>
      </c>
      <c r="I50" s="217">
        <v>8</v>
      </c>
      <c r="J50" s="218">
        <v>0</v>
      </c>
      <c r="K50" s="218">
        <v>500000</v>
      </c>
      <c r="L50" s="218">
        <v>0</v>
      </c>
      <c r="M50" s="218">
        <v>0</v>
      </c>
      <c r="N50" s="219">
        <f>SUM(J50:M50)</f>
        <v>500000</v>
      </c>
      <c r="O50" s="219">
        <f>IF($N50=0,$S50,J50/$N50*$S50)</f>
        <v>0</v>
      </c>
      <c r="P50" s="219">
        <f t="shared" si="25"/>
        <v>628442</v>
      </c>
      <c r="Q50" s="219">
        <f t="shared" si="25"/>
        <v>0</v>
      </c>
      <c r="R50" s="219">
        <f t="shared" si="25"/>
        <v>0</v>
      </c>
      <c r="S50" s="218">
        <v>628442</v>
      </c>
      <c r="T50" s="220">
        <f>IFERROR(S50/N50,"")</f>
        <v>1.2568839999999999</v>
      </c>
      <c r="U50" s="219">
        <f>N50*I50</f>
        <v>4000000</v>
      </c>
      <c r="V50" s="219">
        <f>S50*I50</f>
        <v>5027536</v>
      </c>
      <c r="W50" s="213" t="s">
        <v>86</v>
      </c>
      <c r="X50" s="213" t="s">
        <v>28</v>
      </c>
      <c r="Y50" s="221">
        <f>SUMIFS(Cert_App_Output!$G:$G,Cert_App_Output!$E:$E,$E50,Cert_App_Output!$K:$K,$X50)</f>
        <v>1</v>
      </c>
    </row>
    <row r="51" spans="1:25" x14ac:dyDescent="0.35">
      <c r="E51" s="213">
        <v>4</v>
      </c>
      <c r="G51" s="213" t="s">
        <v>90</v>
      </c>
      <c r="I51" s="214"/>
      <c r="J51" s="215"/>
      <c r="K51" s="215"/>
      <c r="L51" s="215"/>
      <c r="M51" s="215"/>
      <c r="N51" s="215"/>
      <c r="O51" s="215"/>
      <c r="P51" s="215"/>
      <c r="Q51" s="215"/>
      <c r="R51" s="215"/>
      <c r="S51" s="215"/>
      <c r="T51" s="216"/>
      <c r="U51" s="215"/>
      <c r="V51" s="215"/>
      <c r="Y51" s="203"/>
    </row>
    <row r="52" spans="1:25" x14ac:dyDescent="0.35">
      <c r="A52" s="213" t="s">
        <v>76</v>
      </c>
      <c r="B52" s="213" t="s">
        <v>24</v>
      </c>
      <c r="C52" s="213" t="s">
        <v>24</v>
      </c>
      <c r="D52" s="213" t="s">
        <v>71</v>
      </c>
      <c r="E52" s="213">
        <v>4.01</v>
      </c>
      <c r="F52" s="213" t="s">
        <v>25</v>
      </c>
      <c r="G52" s="213" t="s">
        <v>91</v>
      </c>
      <c r="H52" s="213" t="s">
        <v>69</v>
      </c>
      <c r="I52" s="217">
        <v>819</v>
      </c>
      <c r="J52" s="218">
        <v>6545.2009385010006</v>
      </c>
      <c r="K52" s="218">
        <v>0</v>
      </c>
      <c r="L52" s="218">
        <v>8336.4856968762633</v>
      </c>
      <c r="M52" s="218">
        <v>229.16796425864811</v>
      </c>
      <c r="N52" s="219">
        <f t="shared" ref="N52:N59" si="26">SUM(J52:M52)</f>
        <v>15110.854599635912</v>
      </c>
      <c r="O52" s="219">
        <f t="shared" ref="O52:O59" si="27">IF($N52=0,$S52,J52/$N52*$S52)</f>
        <v>8226.735331563892</v>
      </c>
      <c r="P52" s="219">
        <f t="shared" ref="P52:R59" si="28">IF($N52=0,0,K52/$N52*$S52)</f>
        <v>0</v>
      </c>
      <c r="Q52" s="219">
        <f t="shared" si="28"/>
        <v>10478.22092369189</v>
      </c>
      <c r="R52" s="219">
        <f t="shared" si="28"/>
        <v>288.04374474421701</v>
      </c>
      <c r="S52" s="218">
        <v>18993</v>
      </c>
      <c r="T52" s="220">
        <f t="shared" ref="T52:T59" si="29">IFERROR(S52/N52,"")</f>
        <v>1.2569110419775746</v>
      </c>
      <c r="U52" s="219">
        <f t="shared" ref="U52:U59" si="30">N52*I52</f>
        <v>12375789.917101812</v>
      </c>
      <c r="V52" s="219">
        <f t="shared" ref="V52:V59" si="31">S52*I52</f>
        <v>15555267</v>
      </c>
      <c r="W52" s="213" t="s">
        <v>90</v>
      </c>
      <c r="X52" s="213" t="s">
        <v>92</v>
      </c>
      <c r="Y52" s="221">
        <f>SUMIFS(Cert_App_Output!$G:$G,Cert_App_Output!$E:$E,$E52,Cert_App_Output!$K:$K,$X52)</f>
        <v>1.05</v>
      </c>
    </row>
    <row r="53" spans="1:25" x14ac:dyDescent="0.35">
      <c r="A53" s="213" t="s">
        <v>76</v>
      </c>
      <c r="B53" s="213" t="s">
        <v>24</v>
      </c>
      <c r="C53" s="213" t="s">
        <v>24</v>
      </c>
      <c r="D53" s="213" t="s">
        <v>71</v>
      </c>
      <c r="E53" s="213">
        <v>4.0199999999999996</v>
      </c>
      <c r="F53" s="213" t="s">
        <v>25</v>
      </c>
      <c r="G53" s="213" t="s">
        <v>93</v>
      </c>
      <c r="H53" s="213" t="s">
        <v>69</v>
      </c>
      <c r="I53" s="217">
        <v>612</v>
      </c>
      <c r="J53" s="218">
        <v>11461.5654988305</v>
      </c>
      <c r="K53" s="218">
        <v>0</v>
      </c>
      <c r="L53" s="218">
        <v>8336.4856968762633</v>
      </c>
      <c r="M53" s="218">
        <v>229.16796425864811</v>
      </c>
      <c r="N53" s="219">
        <f t="shared" si="26"/>
        <v>20027.219159965414</v>
      </c>
      <c r="O53" s="219">
        <f t="shared" si="27"/>
        <v>14405.920484122747</v>
      </c>
      <c r="P53" s="219">
        <f t="shared" si="28"/>
        <v>0</v>
      </c>
      <c r="Q53" s="219">
        <f t="shared" si="28"/>
        <v>10478.040724757901</v>
      </c>
      <c r="R53" s="219">
        <f t="shared" si="28"/>
        <v>288.03879111934845</v>
      </c>
      <c r="S53" s="218">
        <v>25172</v>
      </c>
      <c r="T53" s="220">
        <f t="shared" si="29"/>
        <v>1.2568894262823591</v>
      </c>
      <c r="U53" s="219">
        <f t="shared" si="30"/>
        <v>12256658.125898834</v>
      </c>
      <c r="V53" s="219">
        <f t="shared" si="31"/>
        <v>15405264</v>
      </c>
      <c r="W53" s="213" t="s">
        <v>90</v>
      </c>
      <c r="X53" s="213" t="s">
        <v>92</v>
      </c>
      <c r="Y53" s="221">
        <f>SUMIFS(Cert_App_Output!$G:$G,Cert_App_Output!$E:$E,$E53,Cert_App_Output!$K:$K,$X53)</f>
        <v>1.25</v>
      </c>
    </row>
    <row r="54" spans="1:25" x14ac:dyDescent="0.35">
      <c r="A54" s="213" t="s">
        <v>76</v>
      </c>
      <c r="B54" s="213" t="s">
        <v>24</v>
      </c>
      <c r="C54" s="213" t="s">
        <v>24</v>
      </c>
      <c r="D54" s="213" t="s">
        <v>71</v>
      </c>
      <c r="E54" s="213">
        <v>4.03</v>
      </c>
      <c r="F54" s="213" t="s">
        <v>25</v>
      </c>
      <c r="G54" s="213" t="s">
        <v>94</v>
      </c>
      <c r="H54" s="213" t="s">
        <v>69</v>
      </c>
      <c r="I54" s="217">
        <v>636</v>
      </c>
      <c r="J54" s="218">
        <v>8229.0499349999991</v>
      </c>
      <c r="K54" s="218">
        <v>0</v>
      </c>
      <c r="L54" s="218">
        <v>8336.4856968762633</v>
      </c>
      <c r="M54" s="218">
        <v>229.16796425864811</v>
      </c>
      <c r="N54" s="219">
        <f t="shared" si="26"/>
        <v>16794.703596134914</v>
      </c>
      <c r="O54" s="219">
        <f t="shared" si="27"/>
        <v>10342.964023365761</v>
      </c>
      <c r="P54" s="219">
        <f t="shared" si="28"/>
        <v>0</v>
      </c>
      <c r="Q54" s="219">
        <f t="shared" si="28"/>
        <v>10477.998350376329</v>
      </c>
      <c r="R54" s="219">
        <f t="shared" si="28"/>
        <v>288.03762625790506</v>
      </c>
      <c r="S54" s="218">
        <v>21109</v>
      </c>
      <c r="T54" s="220">
        <f t="shared" si="29"/>
        <v>1.2568843432793875</v>
      </c>
      <c r="U54" s="219">
        <f t="shared" si="30"/>
        <v>10681431.487141805</v>
      </c>
      <c r="V54" s="219">
        <f t="shared" si="31"/>
        <v>13425324</v>
      </c>
      <c r="W54" s="213" t="s">
        <v>90</v>
      </c>
      <c r="X54" s="213" t="s">
        <v>92</v>
      </c>
      <c r="Y54" s="221">
        <f>SUMIFS(Cert_App_Output!$G:$G,Cert_App_Output!$E:$E,$E54,Cert_App_Output!$K:$K,$X54)</f>
        <v>1.05</v>
      </c>
    </row>
    <row r="55" spans="1:25" x14ac:dyDescent="0.35">
      <c r="A55" s="213" t="s">
        <v>76</v>
      </c>
      <c r="B55" s="213" t="s">
        <v>24</v>
      </c>
      <c r="C55" s="213" t="s">
        <v>24</v>
      </c>
      <c r="D55" s="213" t="s">
        <v>71</v>
      </c>
      <c r="E55" s="213">
        <v>4.04</v>
      </c>
      <c r="F55" s="213" t="s">
        <v>25</v>
      </c>
      <c r="G55" s="213" t="s">
        <v>95</v>
      </c>
      <c r="H55" s="213" t="s">
        <v>69</v>
      </c>
      <c r="I55" s="217">
        <v>195</v>
      </c>
      <c r="J55" s="218">
        <v>5807.1589693347496</v>
      </c>
      <c r="K55" s="218">
        <v>0</v>
      </c>
      <c r="L55" s="218">
        <v>5954.6326406259022</v>
      </c>
      <c r="M55" s="218">
        <v>245.5371045628373</v>
      </c>
      <c r="N55" s="219">
        <f t="shared" si="26"/>
        <v>12007.32871452349</v>
      </c>
      <c r="O55" s="219">
        <f t="shared" si="27"/>
        <v>7299.0125654836875</v>
      </c>
      <c r="P55" s="219">
        <f t="shared" si="28"/>
        <v>0</v>
      </c>
      <c r="Q55" s="219">
        <f t="shared" si="28"/>
        <v>7484.3720821623638</v>
      </c>
      <c r="R55" s="219">
        <f t="shared" si="28"/>
        <v>308.61535235394769</v>
      </c>
      <c r="S55" s="218">
        <v>15092</v>
      </c>
      <c r="T55" s="220">
        <f t="shared" si="29"/>
        <v>1.256899045475905</v>
      </c>
      <c r="U55" s="219">
        <f t="shared" si="30"/>
        <v>2341429.0993320807</v>
      </c>
      <c r="V55" s="219">
        <f t="shared" si="31"/>
        <v>2942940</v>
      </c>
      <c r="W55" s="213" t="s">
        <v>90</v>
      </c>
      <c r="X55" s="213" t="s">
        <v>92</v>
      </c>
      <c r="Y55" s="221">
        <f>SUMIFS(Cert_App_Output!$G:$G,Cert_App_Output!$E:$E,$E55,Cert_App_Output!$K:$K,$X55)</f>
        <v>0.15</v>
      </c>
    </row>
    <row r="56" spans="1:25" x14ac:dyDescent="0.35">
      <c r="A56" s="213" t="s">
        <v>76</v>
      </c>
      <c r="B56" s="213" t="s">
        <v>24</v>
      </c>
      <c r="C56" s="213" t="s">
        <v>71</v>
      </c>
      <c r="D56" s="213" t="s">
        <v>71</v>
      </c>
      <c r="E56" s="213">
        <v>4.05</v>
      </c>
      <c r="F56" s="213" t="s">
        <v>25</v>
      </c>
      <c r="G56" s="213" t="s">
        <v>96</v>
      </c>
      <c r="H56" s="213" t="s">
        <v>69</v>
      </c>
      <c r="I56" s="217">
        <v>30.053999999999998</v>
      </c>
      <c r="J56" s="218">
        <v>17421.47690800425</v>
      </c>
      <c r="K56" s="218">
        <v>17863.897557</v>
      </c>
      <c r="L56" s="218">
        <v>17863.898287</v>
      </c>
      <c r="M56" s="218">
        <v>491.0742091256746</v>
      </c>
      <c r="N56" s="219">
        <f t="shared" si="26"/>
        <v>53640.34696112993</v>
      </c>
      <c r="O56" s="219">
        <f t="shared" si="27"/>
        <v>21896.875014413676</v>
      </c>
      <c r="P56" s="219">
        <f t="shared" si="28"/>
        <v>22452.948974503979</v>
      </c>
      <c r="Q56" s="219">
        <f t="shared" si="28"/>
        <v>22452.949892033466</v>
      </c>
      <c r="R56" s="219">
        <f t="shared" si="28"/>
        <v>617.22611904886833</v>
      </c>
      <c r="S56" s="218">
        <v>67420</v>
      </c>
      <c r="T56" s="220">
        <f t="shared" si="29"/>
        <v>1.2568897074594874</v>
      </c>
      <c r="U56" s="219">
        <f t="shared" si="30"/>
        <v>1612106.9875697987</v>
      </c>
      <c r="V56" s="219">
        <f t="shared" si="31"/>
        <v>2026240.68</v>
      </c>
      <c r="W56" s="213" t="s">
        <v>90</v>
      </c>
      <c r="X56" s="213" t="s">
        <v>92</v>
      </c>
      <c r="Y56" s="221">
        <f>SUMIFS(Cert_App_Output!$G:$G,Cert_App_Output!$E:$E,$E56,Cert_App_Output!$K:$K,$X56)</f>
        <v>0</v>
      </c>
    </row>
    <row r="57" spans="1:25" x14ac:dyDescent="0.35">
      <c r="A57" s="213" t="s">
        <v>76</v>
      </c>
      <c r="B57" s="213" t="s">
        <v>24</v>
      </c>
      <c r="C57" s="213" t="s">
        <v>71</v>
      </c>
      <c r="D57" s="213" t="s">
        <v>71</v>
      </c>
      <c r="E57" s="213">
        <v>4.0599999999999996</v>
      </c>
      <c r="F57" s="213" t="s">
        <v>25</v>
      </c>
      <c r="G57" s="213" t="s">
        <v>97</v>
      </c>
      <c r="H57" s="213" t="s">
        <v>69</v>
      </c>
      <c r="I57" s="217">
        <v>24</v>
      </c>
      <c r="J57" s="218">
        <v>28704.099930898079</v>
      </c>
      <c r="K57" s="218">
        <v>4894.0752000000002</v>
      </c>
      <c r="L57" s="218">
        <v>9788.1499500000009</v>
      </c>
      <c r="M57" s="218">
        <v>298.91473598954099</v>
      </c>
      <c r="N57" s="219">
        <f t="shared" si="26"/>
        <v>43685.239816887624</v>
      </c>
      <c r="O57" s="219">
        <f t="shared" si="27"/>
        <v>36078.197707328975</v>
      </c>
      <c r="P57" s="219">
        <f t="shared" si="28"/>
        <v>6151.3655918564527</v>
      </c>
      <c r="Q57" s="219">
        <f t="shared" si="28"/>
        <v>12302.730618107678</v>
      </c>
      <c r="R57" s="219">
        <f t="shared" si="28"/>
        <v>375.7060827068857</v>
      </c>
      <c r="S57" s="218">
        <v>54908</v>
      </c>
      <c r="T57" s="220">
        <f t="shared" si="29"/>
        <v>1.2569005053000519</v>
      </c>
      <c r="U57" s="219">
        <f t="shared" si="30"/>
        <v>1048445.755605303</v>
      </c>
      <c r="V57" s="219">
        <f t="shared" si="31"/>
        <v>1317792</v>
      </c>
      <c r="W57" s="213" t="s">
        <v>90</v>
      </c>
      <c r="X57" s="213" t="s">
        <v>92</v>
      </c>
      <c r="Y57" s="221">
        <f>SUMIFS(Cert_App_Output!$G:$G,Cert_App_Output!$E:$E,$E57,Cert_App_Output!$K:$K,$X57)</f>
        <v>1</v>
      </c>
    </row>
    <row r="58" spans="1:25" x14ac:dyDescent="0.35">
      <c r="A58" s="213" t="s">
        <v>76</v>
      </c>
      <c r="B58" s="213" t="s">
        <v>24</v>
      </c>
      <c r="C58" s="213" t="s">
        <v>24</v>
      </c>
      <c r="D58" s="213" t="s">
        <v>71</v>
      </c>
      <c r="E58" s="213">
        <v>4.07</v>
      </c>
      <c r="F58" s="213" t="s">
        <v>25</v>
      </c>
      <c r="G58" s="213" t="s">
        <v>98</v>
      </c>
      <c r="H58" s="213" t="s">
        <v>33</v>
      </c>
      <c r="I58" s="217">
        <v>81</v>
      </c>
      <c r="J58" s="218">
        <v>17364.127814814809</v>
      </c>
      <c r="K58" s="218">
        <v>0</v>
      </c>
      <c r="L58" s="218">
        <v>6926.4989701940704</v>
      </c>
      <c r="M58" s="218">
        <v>364.35940177513328</v>
      </c>
      <c r="N58" s="219">
        <f t="shared" si="26"/>
        <v>24654.986186784012</v>
      </c>
      <c r="O58" s="219">
        <f t="shared" si="27"/>
        <v>21825.076387255736</v>
      </c>
      <c r="P58" s="219">
        <f t="shared" si="28"/>
        <v>0</v>
      </c>
      <c r="Q58" s="219">
        <f t="shared" si="28"/>
        <v>8705.9580955028832</v>
      </c>
      <c r="R58" s="219">
        <f t="shared" si="28"/>
        <v>457.96551724137947</v>
      </c>
      <c r="S58" s="218">
        <v>30989</v>
      </c>
      <c r="T58" s="220">
        <f t="shared" si="29"/>
        <v>1.2569059972384513</v>
      </c>
      <c r="U58" s="219">
        <f t="shared" si="30"/>
        <v>1997053.8811295049</v>
      </c>
      <c r="V58" s="219">
        <f t="shared" si="31"/>
        <v>2510109</v>
      </c>
      <c r="W58" s="213" t="s">
        <v>90</v>
      </c>
      <c r="X58" s="213" t="s">
        <v>92</v>
      </c>
      <c r="Y58" s="221">
        <f>SUMIFS(Cert_App_Output!$G:$G,Cert_App_Output!$E:$E,$E58,Cert_App_Output!$K:$K,$X58)</f>
        <v>0.9</v>
      </c>
    </row>
    <row r="59" spans="1:25" x14ac:dyDescent="0.35">
      <c r="A59" s="213" t="s">
        <v>76</v>
      </c>
      <c r="B59" s="213" t="s">
        <v>24</v>
      </c>
      <c r="C59" s="213" t="s">
        <v>24</v>
      </c>
      <c r="D59" s="213" t="s">
        <v>71</v>
      </c>
      <c r="E59" s="213">
        <v>4.08</v>
      </c>
      <c r="F59" s="213" t="s">
        <v>25</v>
      </c>
      <c r="G59" s="213" t="s">
        <v>99</v>
      </c>
      <c r="H59" s="213" t="s">
        <v>27</v>
      </c>
      <c r="I59" s="217">
        <v>1</v>
      </c>
      <c r="J59" s="218">
        <v>451217.9481498308</v>
      </c>
      <c r="K59" s="218">
        <v>0</v>
      </c>
      <c r="L59" s="218">
        <v>426669.71598600381</v>
      </c>
      <c r="M59" s="218">
        <v>13168.314962037521</v>
      </c>
      <c r="N59" s="219">
        <f t="shared" si="26"/>
        <v>891055.97909787216</v>
      </c>
      <c r="O59" s="219">
        <f t="shared" si="27"/>
        <v>567128.11151985032</v>
      </c>
      <c r="P59" s="219">
        <f t="shared" si="28"/>
        <v>0</v>
      </c>
      <c r="Q59" s="219">
        <f t="shared" si="28"/>
        <v>536273.85892349936</v>
      </c>
      <c r="R59" s="219">
        <f t="shared" si="28"/>
        <v>16551.029556650246</v>
      </c>
      <c r="S59" s="218">
        <v>1119953</v>
      </c>
      <c r="T59" s="220">
        <f t="shared" si="29"/>
        <v>1.2568828741083911</v>
      </c>
      <c r="U59" s="219">
        <f t="shared" si="30"/>
        <v>891055.97909787216</v>
      </c>
      <c r="V59" s="219">
        <f t="shared" si="31"/>
        <v>1119953</v>
      </c>
      <c r="W59" s="213" t="s">
        <v>90</v>
      </c>
      <c r="X59" s="213" t="s">
        <v>92</v>
      </c>
      <c r="Y59" s="221">
        <f>SUMIFS(Cert_App_Output!$G:$G,Cert_App_Output!$E:$E,$E59,Cert_App_Output!$K:$K,$X59)</f>
        <v>0.5</v>
      </c>
    </row>
    <row r="60" spans="1:25" x14ac:dyDescent="0.35">
      <c r="E60" s="213">
        <v>5</v>
      </c>
      <c r="G60" s="213" t="s">
        <v>100</v>
      </c>
      <c r="I60" s="214"/>
      <c r="J60" s="215"/>
      <c r="K60" s="215"/>
      <c r="L60" s="215"/>
      <c r="M60" s="215"/>
      <c r="N60" s="215"/>
      <c r="O60" s="215"/>
      <c r="P60" s="215"/>
      <c r="Q60" s="215"/>
      <c r="R60" s="215"/>
      <c r="S60" s="215"/>
      <c r="T60" s="216"/>
      <c r="U60" s="215"/>
      <c r="V60" s="215"/>
      <c r="Y60" s="203"/>
    </row>
    <row r="61" spans="1:25" x14ac:dyDescent="0.35">
      <c r="A61" s="213" t="s">
        <v>76</v>
      </c>
      <c r="B61" s="213" t="s">
        <v>24</v>
      </c>
      <c r="C61" s="213" t="s">
        <v>71</v>
      </c>
      <c r="D61" s="213" t="s">
        <v>71</v>
      </c>
      <c r="E61" s="213">
        <v>5.01</v>
      </c>
      <c r="F61" s="213" t="s">
        <v>25</v>
      </c>
      <c r="G61" s="213" t="s">
        <v>101</v>
      </c>
      <c r="H61" s="213" t="s">
        <v>69</v>
      </c>
      <c r="I61" s="217">
        <v>139.05000000000001</v>
      </c>
      <c r="J61" s="218">
        <v>9809.5604040679573</v>
      </c>
      <c r="K61" s="218">
        <v>2500.9457080000002</v>
      </c>
      <c r="L61" s="218">
        <v>5001.8914189999996</v>
      </c>
      <c r="M61" s="218">
        <v>31.337344543287259</v>
      </c>
      <c r="N61" s="219">
        <f t="shared" ref="N61:N67" si="32">SUM(J61:M61)</f>
        <v>17343.734875611244</v>
      </c>
      <c r="O61" s="219">
        <f t="shared" ref="O61:O67" si="33">IF($N61=0,$S61,J61/$N61*$S61)</f>
        <v>12330.009559209479</v>
      </c>
      <c r="P61" s="219">
        <f t="shared" ref="P61:R67" si="34">IF($N61=0,0,K61/$N61*$S61)</f>
        <v>3143.5337789363284</v>
      </c>
      <c r="Q61" s="219">
        <f t="shared" si="34"/>
        <v>6287.0675616434701</v>
      </c>
      <c r="R61" s="219">
        <f t="shared" si="34"/>
        <v>39.389100210722972</v>
      </c>
      <c r="S61" s="218">
        <v>21800</v>
      </c>
      <c r="T61" s="220">
        <f t="shared" ref="T61:T67" si="35">IFERROR(S61/N61,"")</f>
        <v>1.2569380330331936</v>
      </c>
      <c r="U61" s="219">
        <f t="shared" ref="U61:U67" si="36">N61*I61</f>
        <v>2411646.3344537439</v>
      </c>
      <c r="V61" s="219">
        <f t="shared" ref="V61:V67" si="37">S61*I61</f>
        <v>3031290.0000000005</v>
      </c>
      <c r="W61" s="213" t="s">
        <v>100</v>
      </c>
      <c r="X61" s="213" t="s">
        <v>92</v>
      </c>
      <c r="Y61" s="221">
        <f>SUMIFS(Cert_App_Output!$G:$G,Cert_App_Output!$E:$E,$E61,Cert_App_Output!$K:$K,$X61)</f>
        <v>0.3</v>
      </c>
    </row>
    <row r="62" spans="1:25" x14ac:dyDescent="0.35">
      <c r="A62" s="213" t="s">
        <v>76</v>
      </c>
      <c r="B62" s="213" t="s">
        <v>24</v>
      </c>
      <c r="C62" s="213" t="s">
        <v>24</v>
      </c>
      <c r="D62" s="213" t="s">
        <v>71</v>
      </c>
      <c r="E62" s="213">
        <v>5.0199999999999996</v>
      </c>
      <c r="F62" s="213" t="s">
        <v>25</v>
      </c>
      <c r="G62" s="213" t="s">
        <v>102</v>
      </c>
      <c r="H62" s="213" t="s">
        <v>69</v>
      </c>
      <c r="I62" s="217">
        <v>300</v>
      </c>
      <c r="J62" s="218">
        <v>758.10738300000003</v>
      </c>
      <c r="K62" s="218">
        <v>0</v>
      </c>
      <c r="L62" s="218">
        <v>3395.9551113285988</v>
      </c>
      <c r="M62" s="218">
        <v>122.76855228141859</v>
      </c>
      <c r="N62" s="219">
        <f t="shared" si="32"/>
        <v>4276.8310466100174</v>
      </c>
      <c r="O62" s="219">
        <f t="shared" si="33"/>
        <v>952.94512375897284</v>
      </c>
      <c r="P62" s="219">
        <f t="shared" si="34"/>
        <v>0</v>
      </c>
      <c r="Q62" s="219">
        <f t="shared" si="34"/>
        <v>4268.7341350492397</v>
      </c>
      <c r="R62" s="219">
        <f t="shared" si="34"/>
        <v>154.32074119178753</v>
      </c>
      <c r="S62" s="218">
        <v>5376</v>
      </c>
      <c r="T62" s="220">
        <f t="shared" si="35"/>
        <v>1.2570054653576335</v>
      </c>
      <c r="U62" s="219">
        <f t="shared" si="36"/>
        <v>1283049.3139830052</v>
      </c>
      <c r="V62" s="219">
        <f t="shared" si="37"/>
        <v>1612800</v>
      </c>
      <c r="W62" s="213" t="s">
        <v>100</v>
      </c>
      <c r="X62" s="213" t="s">
        <v>92</v>
      </c>
      <c r="Y62" s="221">
        <f>SUMIFS(Cert_App_Output!$G:$G,Cert_App_Output!$E:$E,$E62,Cert_App_Output!$K:$K,$X62)</f>
        <v>1</v>
      </c>
    </row>
    <row r="63" spans="1:25" x14ac:dyDescent="0.35">
      <c r="A63" s="213" t="s">
        <v>76</v>
      </c>
      <c r="B63" s="213" t="s">
        <v>24</v>
      </c>
      <c r="C63" s="213" t="s">
        <v>24</v>
      </c>
      <c r="D63" s="213" t="s">
        <v>71</v>
      </c>
      <c r="E63" s="213">
        <v>5.03</v>
      </c>
      <c r="F63" s="213" t="s">
        <v>25</v>
      </c>
      <c r="G63" s="213" t="s">
        <v>103</v>
      </c>
      <c r="H63" s="213" t="s">
        <v>69</v>
      </c>
      <c r="I63" s="217">
        <v>48</v>
      </c>
      <c r="J63" s="218">
        <v>758.10738300000003</v>
      </c>
      <c r="K63" s="218">
        <v>0</v>
      </c>
      <c r="L63" s="218">
        <v>3395.9551113285988</v>
      </c>
      <c r="M63" s="218">
        <v>122.76855228141859</v>
      </c>
      <c r="N63" s="219">
        <f t="shared" si="32"/>
        <v>4276.8310466100174</v>
      </c>
      <c r="O63" s="219">
        <f t="shared" si="33"/>
        <v>952.94512375897284</v>
      </c>
      <c r="P63" s="219">
        <f t="shared" si="34"/>
        <v>0</v>
      </c>
      <c r="Q63" s="219">
        <f t="shared" si="34"/>
        <v>4268.7341350492397</v>
      </c>
      <c r="R63" s="219">
        <f t="shared" si="34"/>
        <v>154.32074119178753</v>
      </c>
      <c r="S63" s="218">
        <v>5376</v>
      </c>
      <c r="T63" s="220">
        <f t="shared" si="35"/>
        <v>1.2570054653576335</v>
      </c>
      <c r="U63" s="219">
        <f t="shared" si="36"/>
        <v>205287.89023728084</v>
      </c>
      <c r="V63" s="219">
        <f t="shared" si="37"/>
        <v>258048</v>
      </c>
      <c r="W63" s="213" t="s">
        <v>100</v>
      </c>
      <c r="X63" s="213" t="s">
        <v>92</v>
      </c>
      <c r="Y63" s="221">
        <f>SUMIFS(Cert_App_Output!$G:$G,Cert_App_Output!$E:$E,$E63,Cert_App_Output!$K:$K,$X63)</f>
        <v>0</v>
      </c>
    </row>
    <row r="64" spans="1:25" x14ac:dyDescent="0.35">
      <c r="A64" s="213" t="s">
        <v>76</v>
      </c>
      <c r="B64" s="213" t="s">
        <v>24</v>
      </c>
      <c r="C64" s="213" t="s">
        <v>24</v>
      </c>
      <c r="D64" s="213" t="s">
        <v>24</v>
      </c>
      <c r="E64" s="213">
        <v>5.04</v>
      </c>
      <c r="F64" s="213" t="s">
        <v>25</v>
      </c>
      <c r="G64" s="213" t="s">
        <v>104</v>
      </c>
      <c r="H64" s="213" t="s">
        <v>69</v>
      </c>
      <c r="I64" s="217">
        <v>262</v>
      </c>
      <c r="J64" s="218">
        <v>3502.8</v>
      </c>
      <c r="K64" s="218">
        <v>0</v>
      </c>
      <c r="L64" s="218">
        <v>0</v>
      </c>
      <c r="M64" s="218">
        <v>0</v>
      </c>
      <c r="N64" s="219">
        <f t="shared" si="32"/>
        <v>3502.8</v>
      </c>
      <c r="O64" s="219">
        <f t="shared" si="33"/>
        <v>4403</v>
      </c>
      <c r="P64" s="219">
        <f t="shared" si="34"/>
        <v>0</v>
      </c>
      <c r="Q64" s="219">
        <f t="shared" si="34"/>
        <v>0</v>
      </c>
      <c r="R64" s="219">
        <f t="shared" si="34"/>
        <v>0</v>
      </c>
      <c r="S64" s="218">
        <v>4403</v>
      </c>
      <c r="T64" s="220">
        <f t="shared" si="35"/>
        <v>1.2569944044764187</v>
      </c>
      <c r="U64" s="219">
        <f t="shared" si="36"/>
        <v>917733.60000000009</v>
      </c>
      <c r="V64" s="219">
        <f t="shared" si="37"/>
        <v>1153586</v>
      </c>
      <c r="W64" s="213" t="s">
        <v>100</v>
      </c>
      <c r="X64" s="213" t="s">
        <v>92</v>
      </c>
      <c r="Y64" s="221">
        <f>SUMIFS(Cert_App_Output!$G:$G,Cert_App_Output!$E:$E,$E64,Cert_App_Output!$K:$K,$X64)</f>
        <v>0</v>
      </c>
    </row>
    <row r="65" spans="1:25" x14ac:dyDescent="0.35">
      <c r="A65" s="213" t="s">
        <v>76</v>
      </c>
      <c r="B65" s="213" t="s">
        <v>24</v>
      </c>
      <c r="C65" s="213" t="s">
        <v>24</v>
      </c>
      <c r="D65" s="213" t="s">
        <v>71</v>
      </c>
      <c r="E65" s="213">
        <v>5.05</v>
      </c>
      <c r="F65" s="213" t="s">
        <v>25</v>
      </c>
      <c r="G65" s="213" t="s">
        <v>105</v>
      </c>
      <c r="H65" s="213" t="s">
        <v>69</v>
      </c>
      <c r="I65" s="217">
        <v>510</v>
      </c>
      <c r="J65" s="218">
        <v>1273.340729555556</v>
      </c>
      <c r="K65" s="218">
        <v>0</v>
      </c>
      <c r="L65" s="218">
        <v>1563.091068164299</v>
      </c>
      <c r="M65" s="218">
        <v>9.7929201697772683</v>
      </c>
      <c r="N65" s="219">
        <f t="shared" si="32"/>
        <v>2846.2247178896323</v>
      </c>
      <c r="O65" s="219">
        <f t="shared" si="33"/>
        <v>1600.7215107484171</v>
      </c>
      <c r="P65" s="219">
        <f t="shared" si="34"/>
        <v>0</v>
      </c>
      <c r="Q65" s="219">
        <f t="shared" si="34"/>
        <v>1964.9677717782827</v>
      </c>
      <c r="R65" s="219">
        <f t="shared" si="34"/>
        <v>12.310717473300283</v>
      </c>
      <c r="S65" s="218">
        <v>3578</v>
      </c>
      <c r="T65" s="220">
        <f t="shared" si="35"/>
        <v>1.2571038321432861</v>
      </c>
      <c r="U65" s="219">
        <f t="shared" si="36"/>
        <v>1451574.6061237124</v>
      </c>
      <c r="V65" s="219">
        <f t="shared" si="37"/>
        <v>1824780</v>
      </c>
      <c r="W65" s="213" t="s">
        <v>100</v>
      </c>
      <c r="X65" s="213" t="s">
        <v>92</v>
      </c>
      <c r="Y65" s="221">
        <f>SUMIFS(Cert_App_Output!$G:$G,Cert_App_Output!$E:$E,$E65,Cert_App_Output!$K:$K,$X65)</f>
        <v>0.7</v>
      </c>
    </row>
    <row r="66" spans="1:25" x14ac:dyDescent="0.35">
      <c r="A66" s="213" t="s">
        <v>76</v>
      </c>
      <c r="B66" s="213" t="s">
        <v>24</v>
      </c>
      <c r="C66" s="213" t="s">
        <v>71</v>
      </c>
      <c r="D66" s="213" t="s">
        <v>71</v>
      </c>
      <c r="E66" s="213">
        <v>5.0599999999999996</v>
      </c>
      <c r="F66" s="213" t="s">
        <v>25</v>
      </c>
      <c r="G66" s="213" t="s">
        <v>106</v>
      </c>
      <c r="H66" s="213" t="s">
        <v>69</v>
      </c>
      <c r="I66" s="217">
        <v>510</v>
      </c>
      <c r="J66" s="218">
        <v>9809.5604040679573</v>
      </c>
      <c r="K66" s="218">
        <v>2500.9457080000002</v>
      </c>
      <c r="L66" s="218">
        <v>5001.8914189999996</v>
      </c>
      <c r="M66" s="218">
        <v>31.337344543287259</v>
      </c>
      <c r="N66" s="219">
        <f t="shared" si="32"/>
        <v>17343.734875611244</v>
      </c>
      <c r="O66" s="219">
        <f t="shared" si="33"/>
        <v>12330.009559209479</v>
      </c>
      <c r="P66" s="219">
        <f t="shared" si="34"/>
        <v>3143.5337789363284</v>
      </c>
      <c r="Q66" s="219">
        <f t="shared" si="34"/>
        <v>6287.0675616434701</v>
      </c>
      <c r="R66" s="219">
        <f t="shared" si="34"/>
        <v>39.389100210722972</v>
      </c>
      <c r="S66" s="218">
        <v>21800</v>
      </c>
      <c r="T66" s="220">
        <f t="shared" si="35"/>
        <v>1.2569380330331936</v>
      </c>
      <c r="U66" s="219">
        <f t="shared" si="36"/>
        <v>8845304.786561735</v>
      </c>
      <c r="V66" s="219">
        <f t="shared" si="37"/>
        <v>11118000</v>
      </c>
      <c r="W66" s="213" t="s">
        <v>100</v>
      </c>
      <c r="X66" s="213" t="s">
        <v>92</v>
      </c>
      <c r="Y66" s="221">
        <f>SUMIFS(Cert_App_Output!$G:$G,Cert_App_Output!$E:$E,$E66,Cert_App_Output!$K:$K,$X66)</f>
        <v>0</v>
      </c>
    </row>
    <row r="67" spans="1:25" x14ac:dyDescent="0.35">
      <c r="A67" s="213" t="s">
        <v>24</v>
      </c>
      <c r="B67" s="213" t="s">
        <v>24</v>
      </c>
      <c r="C67" s="213" t="s">
        <v>71</v>
      </c>
      <c r="D67" s="213" t="s">
        <v>24</v>
      </c>
      <c r="E67" s="213">
        <v>5.07</v>
      </c>
      <c r="F67" s="213" t="s">
        <v>25</v>
      </c>
      <c r="G67" s="213" t="s">
        <v>107</v>
      </c>
      <c r="H67" s="213" t="s">
        <v>27</v>
      </c>
      <c r="I67" s="217">
        <v>1</v>
      </c>
      <c r="J67" s="218">
        <v>0</v>
      </c>
      <c r="K67" s="218">
        <v>13500000</v>
      </c>
      <c r="L67" s="218">
        <v>0</v>
      </c>
      <c r="M67" s="218">
        <v>0</v>
      </c>
      <c r="N67" s="219">
        <f t="shared" si="32"/>
        <v>13500000</v>
      </c>
      <c r="O67" s="219">
        <f t="shared" si="33"/>
        <v>0</v>
      </c>
      <c r="P67" s="219">
        <f t="shared" si="34"/>
        <v>16967915</v>
      </c>
      <c r="Q67" s="219">
        <f t="shared" si="34"/>
        <v>0</v>
      </c>
      <c r="R67" s="219">
        <f t="shared" si="34"/>
        <v>0</v>
      </c>
      <c r="S67" s="218">
        <v>16967915</v>
      </c>
      <c r="T67" s="220">
        <f t="shared" si="35"/>
        <v>1.2568825925925926</v>
      </c>
      <c r="U67" s="219">
        <f t="shared" si="36"/>
        <v>13500000</v>
      </c>
      <c r="V67" s="219">
        <f t="shared" si="37"/>
        <v>16967915</v>
      </c>
      <c r="W67" s="213" t="s">
        <v>100</v>
      </c>
      <c r="X67" s="213" t="s">
        <v>92</v>
      </c>
      <c r="Y67" s="221">
        <f>SUMIFS(Cert_App_Output!$G:$G,Cert_App_Output!$E:$E,$E67,Cert_App_Output!$K:$K,$X67)</f>
        <v>1</v>
      </c>
    </row>
    <row r="68" spans="1:25" x14ac:dyDescent="0.35">
      <c r="E68" s="213">
        <v>6</v>
      </c>
      <c r="G68" s="213" t="s">
        <v>108</v>
      </c>
      <c r="I68" s="214"/>
      <c r="J68" s="215"/>
      <c r="K68" s="215"/>
      <c r="L68" s="215"/>
      <c r="M68" s="215"/>
      <c r="N68" s="215"/>
      <c r="O68" s="215"/>
      <c r="P68" s="215"/>
      <c r="Q68" s="215"/>
      <c r="R68" s="215"/>
      <c r="S68" s="215"/>
      <c r="T68" s="216"/>
      <c r="U68" s="215"/>
      <c r="V68" s="215"/>
      <c r="Y68" s="203"/>
    </row>
    <row r="69" spans="1:25" x14ac:dyDescent="0.35">
      <c r="A69" s="213" t="s">
        <v>76</v>
      </c>
      <c r="B69" s="213" t="s">
        <v>24</v>
      </c>
      <c r="C69" s="213" t="s">
        <v>24</v>
      </c>
      <c r="D69" s="213" t="s">
        <v>71</v>
      </c>
      <c r="E69" s="213">
        <v>6.02</v>
      </c>
      <c r="F69" s="213" t="s">
        <v>25</v>
      </c>
      <c r="G69" s="213" t="s">
        <v>109</v>
      </c>
      <c r="H69" s="213" t="s">
        <v>33</v>
      </c>
      <c r="I69" s="217">
        <v>60</v>
      </c>
      <c r="J69" s="218">
        <v>13939.39393939394</v>
      </c>
      <c r="K69" s="218">
        <v>0</v>
      </c>
      <c r="L69" s="218">
        <v>4329.9039997714654</v>
      </c>
      <c r="M69" s="218">
        <v>14004.34249939051</v>
      </c>
      <c r="N69" s="219">
        <f>SUM(J69:M69)</f>
        <v>32273.640438555914</v>
      </c>
      <c r="O69" s="219">
        <f>IF($N69=0,$S69,J69/$N69*$S69)</f>
        <v>17520.537115360399</v>
      </c>
      <c r="P69" s="219">
        <f>IF($N69=0,0,K69/$N69*$S69)</f>
        <v>0</v>
      </c>
      <c r="Q69" s="219">
        <f>IF($N69=0,0,L69/$N69*$S69)</f>
        <v>5442.2913983046346</v>
      </c>
      <c r="R69" s="219">
        <f>IF($N69=0,0,M69/$N69*$S69)</f>
        <v>17602.171486334966</v>
      </c>
      <c r="S69" s="218">
        <v>40565</v>
      </c>
      <c r="T69" s="220">
        <f>IFERROR(S69/N69,"")</f>
        <v>1.2569080974062894</v>
      </c>
      <c r="U69" s="219">
        <f>N69*I69</f>
        <v>1936418.4263133549</v>
      </c>
      <c r="V69" s="219">
        <f>S69*I69</f>
        <v>2433900</v>
      </c>
      <c r="W69" s="213" t="s">
        <v>108</v>
      </c>
      <c r="X69" s="213" t="s">
        <v>92</v>
      </c>
      <c r="Y69" s="221">
        <f>SUMIFS(Cert_App_Output!$G:$G,Cert_App_Output!$E:$E,$E69,Cert_App_Output!$K:$K,$X69)</f>
        <v>0</v>
      </c>
    </row>
    <row r="70" spans="1:25" x14ac:dyDescent="0.35">
      <c r="E70" s="213">
        <v>7</v>
      </c>
      <c r="G70" s="213" t="s">
        <v>110</v>
      </c>
      <c r="I70" s="214"/>
      <c r="J70" s="215"/>
      <c r="K70" s="215"/>
      <c r="L70" s="215"/>
      <c r="M70" s="215"/>
      <c r="N70" s="215"/>
      <c r="O70" s="215"/>
      <c r="P70" s="215"/>
      <c r="Q70" s="215"/>
      <c r="R70" s="215"/>
      <c r="S70" s="215"/>
      <c r="T70" s="216"/>
      <c r="U70" s="215"/>
      <c r="V70" s="215"/>
      <c r="Y70" s="203"/>
    </row>
    <row r="71" spans="1:25" x14ac:dyDescent="0.35">
      <c r="A71" s="213" t="s">
        <v>76</v>
      </c>
      <c r="B71" s="213" t="s">
        <v>24</v>
      </c>
      <c r="C71" s="213" t="s">
        <v>24</v>
      </c>
      <c r="D71" s="213" t="s">
        <v>71</v>
      </c>
      <c r="E71" s="213">
        <v>7.01</v>
      </c>
      <c r="F71" s="213" t="s">
        <v>25</v>
      </c>
      <c r="G71" s="213" t="s">
        <v>111</v>
      </c>
      <c r="H71" s="213" t="s">
        <v>69</v>
      </c>
      <c r="I71" s="217">
        <v>678.25199999999995</v>
      </c>
      <c r="J71" s="218">
        <v>3747.8693229999999</v>
      </c>
      <c r="K71" s="218">
        <v>0</v>
      </c>
      <c r="L71" s="218">
        <v>9136.8339619578401</v>
      </c>
      <c r="M71" s="218">
        <v>298.91473598954099</v>
      </c>
      <c r="N71" s="219">
        <f t="shared" ref="N71:N78" si="38">SUM(J71:M71)</f>
        <v>13183.618020947381</v>
      </c>
      <c r="O71" s="219">
        <f t="shared" ref="O71:O78" si="39">IF($N71=0,$S71,J71/$N71*$S71)</f>
        <v>4710.8420808880537</v>
      </c>
      <c r="P71" s="219">
        <f t="shared" ref="P71:R78" si="40">IF($N71=0,0,K71/$N71*$S71)</f>
        <v>0</v>
      </c>
      <c r="Q71" s="219">
        <f t="shared" si="40"/>
        <v>11484.440412566142</v>
      </c>
      <c r="R71" s="219">
        <f t="shared" si="40"/>
        <v>375.7175065458045</v>
      </c>
      <c r="S71" s="218">
        <v>16571</v>
      </c>
      <c r="T71" s="220">
        <f t="shared" ref="T71:T78" si="41">IFERROR(S71/N71,"")</f>
        <v>1.2569387230174924</v>
      </c>
      <c r="U71" s="219">
        <f t="shared" ref="U71:U78" si="42">N71*I71</f>
        <v>8941815.2899436019</v>
      </c>
      <c r="V71" s="219">
        <f t="shared" ref="V71:V78" si="43">S71*I71</f>
        <v>11239313.891999999</v>
      </c>
      <c r="W71" s="213" t="s">
        <v>110</v>
      </c>
      <c r="X71" s="213" t="s">
        <v>92</v>
      </c>
      <c r="Y71" s="221">
        <f>SUMIFS(Cert_App_Output!$G:$G,Cert_App_Output!$E:$E,$E71,Cert_App_Output!$K:$K,$X71)</f>
        <v>0.15000000000000002</v>
      </c>
    </row>
    <row r="72" spans="1:25" x14ac:dyDescent="0.35">
      <c r="A72" s="213" t="s">
        <v>76</v>
      </c>
      <c r="B72" s="213" t="s">
        <v>24</v>
      </c>
      <c r="C72" s="213" t="s">
        <v>24</v>
      </c>
      <c r="D72" s="213" t="s">
        <v>71</v>
      </c>
      <c r="E72" s="213">
        <v>7.02</v>
      </c>
      <c r="F72" s="213" t="s">
        <v>25</v>
      </c>
      <c r="G72" s="213" t="s">
        <v>112</v>
      </c>
      <c r="H72" s="213" t="s">
        <v>69</v>
      </c>
      <c r="I72" s="217">
        <v>876.08119999999985</v>
      </c>
      <c r="J72" s="218">
        <v>3747.8693229999999</v>
      </c>
      <c r="K72" s="218">
        <v>0</v>
      </c>
      <c r="L72" s="218">
        <v>13134.198820314399</v>
      </c>
      <c r="M72" s="218">
        <v>766.41029483988711</v>
      </c>
      <c r="N72" s="219">
        <f t="shared" si="38"/>
        <v>17648.478438154285</v>
      </c>
      <c r="O72" s="219">
        <f t="shared" si="39"/>
        <v>4710.8301989575848</v>
      </c>
      <c r="P72" s="219">
        <f t="shared" si="40"/>
        <v>0</v>
      </c>
      <c r="Q72" s="219">
        <f t="shared" si="40"/>
        <v>16508.841453501809</v>
      </c>
      <c r="R72" s="219">
        <f t="shared" si="40"/>
        <v>963.32834754060787</v>
      </c>
      <c r="S72" s="218">
        <v>22183</v>
      </c>
      <c r="T72" s="220">
        <f t="shared" si="41"/>
        <v>1.2569355527013888</v>
      </c>
      <c r="U72" s="219">
        <f t="shared" si="42"/>
        <v>15461500.168272329</v>
      </c>
      <c r="V72" s="219">
        <f t="shared" si="43"/>
        <v>19434109.259599999</v>
      </c>
      <c r="W72" s="213" t="s">
        <v>110</v>
      </c>
      <c r="X72" s="213" t="s">
        <v>92</v>
      </c>
      <c r="Y72" s="221">
        <f>SUMIFS(Cert_App_Output!$G:$G,Cert_App_Output!$E:$E,$E72,Cert_App_Output!$K:$K,$X72)</f>
        <v>1</v>
      </c>
    </row>
    <row r="73" spans="1:25" x14ac:dyDescent="0.35">
      <c r="A73" s="213" t="s">
        <v>24</v>
      </c>
      <c r="B73" s="213" t="s">
        <v>24</v>
      </c>
      <c r="C73" s="213" t="s">
        <v>71</v>
      </c>
      <c r="D73" s="213" t="s">
        <v>24</v>
      </c>
      <c r="E73" s="213">
        <v>7.03</v>
      </c>
      <c r="F73" s="213" t="s">
        <v>25</v>
      </c>
      <c r="G73" s="213" t="s">
        <v>113</v>
      </c>
      <c r="H73" s="213" t="s">
        <v>33</v>
      </c>
      <c r="I73" s="217">
        <v>182</v>
      </c>
      <c r="J73" s="218">
        <v>0</v>
      </c>
      <c r="K73" s="218">
        <v>8597.4064999999991</v>
      </c>
      <c r="L73" s="218">
        <v>1.5E-5</v>
      </c>
      <c r="M73" s="218">
        <v>0</v>
      </c>
      <c r="N73" s="219">
        <f t="shared" si="38"/>
        <v>8597.4065149999988</v>
      </c>
      <c r="O73" s="219">
        <f t="shared" si="39"/>
        <v>0</v>
      </c>
      <c r="P73" s="219">
        <f t="shared" si="40"/>
        <v>10805.99998114664</v>
      </c>
      <c r="Q73" s="219">
        <f t="shared" si="40"/>
        <v>1.88533599891083E-5</v>
      </c>
      <c r="R73" s="219">
        <f t="shared" si="40"/>
        <v>0</v>
      </c>
      <c r="S73" s="218">
        <v>10806</v>
      </c>
      <c r="T73" s="220">
        <f t="shared" si="41"/>
        <v>1.2568906659405532</v>
      </c>
      <c r="U73" s="219">
        <f t="shared" si="42"/>
        <v>1564727.9857299998</v>
      </c>
      <c r="V73" s="219">
        <f t="shared" si="43"/>
        <v>1966692</v>
      </c>
      <c r="W73" s="213" t="s">
        <v>110</v>
      </c>
      <c r="X73" s="213" t="s">
        <v>92</v>
      </c>
      <c r="Y73" s="221">
        <f>SUMIFS(Cert_App_Output!$G:$G,Cert_App_Output!$E:$E,$E73,Cert_App_Output!$K:$K,$X73)</f>
        <v>0.65</v>
      </c>
    </row>
    <row r="74" spans="1:25" x14ac:dyDescent="0.35">
      <c r="A74" s="213" t="s">
        <v>76</v>
      </c>
      <c r="B74" s="213" t="s">
        <v>24</v>
      </c>
      <c r="C74" s="213" t="s">
        <v>24</v>
      </c>
      <c r="D74" s="213" t="s">
        <v>71</v>
      </c>
      <c r="E74" s="213">
        <v>7.04</v>
      </c>
      <c r="F74" s="213" t="s">
        <v>25</v>
      </c>
      <c r="G74" s="213" t="s">
        <v>114</v>
      </c>
      <c r="H74" s="213" t="s">
        <v>69</v>
      </c>
      <c r="I74" s="217">
        <v>995.85109999999997</v>
      </c>
      <c r="J74" s="218">
        <v>2606.075593</v>
      </c>
      <c r="K74" s="218">
        <v>0</v>
      </c>
      <c r="L74" s="218">
        <v>17928.383737307289</v>
      </c>
      <c r="M74" s="218">
        <v>572.91991064662034</v>
      </c>
      <c r="N74" s="219">
        <f t="shared" si="38"/>
        <v>21107.379240953909</v>
      </c>
      <c r="O74" s="219">
        <f t="shared" si="39"/>
        <v>3275.5930849122974</v>
      </c>
      <c r="P74" s="219">
        <f t="shared" si="40"/>
        <v>0</v>
      </c>
      <c r="Q74" s="219">
        <f t="shared" si="40"/>
        <v>22534.300214206352</v>
      </c>
      <c r="R74" s="219">
        <f t="shared" si="40"/>
        <v>720.10670088135112</v>
      </c>
      <c r="S74" s="218">
        <v>26530</v>
      </c>
      <c r="T74" s="220">
        <f t="shared" si="41"/>
        <v>1.2569063973856485</v>
      </c>
      <c r="U74" s="219">
        <f t="shared" si="42"/>
        <v>21019806.835221115</v>
      </c>
      <c r="V74" s="219">
        <f t="shared" si="43"/>
        <v>26419929.682999998</v>
      </c>
      <c r="W74" s="213" t="s">
        <v>110</v>
      </c>
      <c r="X74" s="213" t="s">
        <v>92</v>
      </c>
      <c r="Y74" s="221">
        <f>SUMIFS(Cert_App_Output!$G:$G,Cert_App_Output!$E:$E,$E74,Cert_App_Output!$K:$K,$X74)</f>
        <v>0.6</v>
      </c>
    </row>
    <row r="75" spans="1:25" x14ac:dyDescent="0.35">
      <c r="A75" s="213" t="s">
        <v>115</v>
      </c>
      <c r="B75" s="213" t="s">
        <v>24</v>
      </c>
      <c r="C75" s="213" t="s">
        <v>116</v>
      </c>
      <c r="D75" s="213" t="s">
        <v>24</v>
      </c>
      <c r="E75" s="213">
        <v>7.05</v>
      </c>
      <c r="F75" s="213" t="s">
        <v>25</v>
      </c>
      <c r="G75" s="213" t="s">
        <v>117</v>
      </c>
      <c r="H75" s="213" t="s">
        <v>69</v>
      </c>
      <c r="I75" s="217">
        <v>2514.8970000000008</v>
      </c>
      <c r="J75" s="218">
        <v>5135.3398886713831</v>
      </c>
      <c r="K75" s="218">
        <v>12817.95153134847</v>
      </c>
      <c r="L75" s="218">
        <v>0</v>
      </c>
      <c r="M75" s="218">
        <v>0</v>
      </c>
      <c r="N75" s="219">
        <f t="shared" si="38"/>
        <v>17953.291420019854</v>
      </c>
      <c r="O75" s="219">
        <f t="shared" si="39"/>
        <v>6454.7540178919617</v>
      </c>
      <c r="P75" s="219">
        <f t="shared" si="40"/>
        <v>16111.245982108039</v>
      </c>
      <c r="Q75" s="219">
        <f t="shared" si="40"/>
        <v>0</v>
      </c>
      <c r="R75" s="219">
        <f t="shared" si="40"/>
        <v>0</v>
      </c>
      <c r="S75" s="218">
        <v>22566</v>
      </c>
      <c r="T75" s="220">
        <f t="shared" si="41"/>
        <v>1.2569282964368571</v>
      </c>
      <c r="U75" s="219">
        <f t="shared" si="42"/>
        <v>45150678.732333682</v>
      </c>
      <c r="V75" s="219">
        <f t="shared" si="43"/>
        <v>56751165.702000022</v>
      </c>
      <c r="W75" s="213" t="s">
        <v>110</v>
      </c>
      <c r="X75" s="213" t="s">
        <v>92</v>
      </c>
      <c r="Y75" s="221">
        <f>SUMIFS(Cert_App_Output!$G:$G,Cert_App_Output!$E:$E,$E75,Cert_App_Output!$K:$K,$X75)</f>
        <v>0.5</v>
      </c>
    </row>
    <row r="76" spans="1:25" x14ac:dyDescent="0.35">
      <c r="A76" s="213" t="s">
        <v>24</v>
      </c>
      <c r="B76" s="213" t="s">
        <v>24</v>
      </c>
      <c r="C76" s="213" t="s">
        <v>116</v>
      </c>
      <c r="D76" s="213" t="s">
        <v>24</v>
      </c>
      <c r="E76" s="213">
        <v>7.06</v>
      </c>
      <c r="F76" s="213" t="s">
        <v>25</v>
      </c>
      <c r="G76" s="213" t="s">
        <v>118</v>
      </c>
      <c r="H76" s="213" t="s">
        <v>33</v>
      </c>
      <c r="I76" s="217">
        <v>509.9</v>
      </c>
      <c r="J76" s="218">
        <v>0</v>
      </c>
      <c r="K76" s="218">
        <v>10160.57133582501</v>
      </c>
      <c r="L76" s="218">
        <v>0</v>
      </c>
      <c r="M76" s="218">
        <v>0</v>
      </c>
      <c r="N76" s="219">
        <f t="shared" si="38"/>
        <v>10160.57133582501</v>
      </c>
      <c r="O76" s="219">
        <f t="shared" si="39"/>
        <v>0</v>
      </c>
      <c r="P76" s="219">
        <f t="shared" si="40"/>
        <v>12771</v>
      </c>
      <c r="Q76" s="219">
        <f t="shared" si="40"/>
        <v>0</v>
      </c>
      <c r="R76" s="219">
        <f t="shared" si="40"/>
        <v>0</v>
      </c>
      <c r="S76" s="218">
        <v>12771</v>
      </c>
      <c r="T76" s="220">
        <f t="shared" si="41"/>
        <v>1.2569175076770454</v>
      </c>
      <c r="U76" s="219">
        <f t="shared" si="42"/>
        <v>5180875.3241371727</v>
      </c>
      <c r="V76" s="219">
        <f t="shared" si="43"/>
        <v>6511932.8999999994</v>
      </c>
      <c r="W76" s="213" t="s">
        <v>110</v>
      </c>
      <c r="X76" s="213" t="s">
        <v>92</v>
      </c>
      <c r="Y76" s="221">
        <f>SUMIFS(Cert_App_Output!$G:$G,Cert_App_Output!$E:$E,$E76,Cert_App_Output!$K:$K,$X76)</f>
        <v>0.5</v>
      </c>
    </row>
    <row r="77" spans="1:25" x14ac:dyDescent="0.35">
      <c r="A77" s="213" t="s">
        <v>115</v>
      </c>
      <c r="B77" s="213" t="s">
        <v>24</v>
      </c>
      <c r="C77" s="213" t="s">
        <v>116</v>
      </c>
      <c r="D77" s="213" t="s">
        <v>24</v>
      </c>
      <c r="E77" s="213">
        <v>7.07</v>
      </c>
      <c r="F77" s="213" t="s">
        <v>25</v>
      </c>
      <c r="G77" s="213" t="s">
        <v>119</v>
      </c>
      <c r="H77" s="213" t="s">
        <v>66</v>
      </c>
      <c r="I77" s="217">
        <v>198</v>
      </c>
      <c r="J77" s="218">
        <v>1217.745454545455</v>
      </c>
      <c r="K77" s="218">
        <v>10673.73150430102</v>
      </c>
      <c r="L77" s="218">
        <v>0</v>
      </c>
      <c r="M77" s="218">
        <v>0</v>
      </c>
      <c r="N77" s="219">
        <f t="shared" si="38"/>
        <v>11891.476958846475</v>
      </c>
      <c r="O77" s="219">
        <f t="shared" si="39"/>
        <v>1530.6459720758317</v>
      </c>
      <c r="P77" s="219">
        <f t="shared" si="40"/>
        <v>13416.35402792417</v>
      </c>
      <c r="Q77" s="219">
        <f t="shared" si="40"/>
        <v>0</v>
      </c>
      <c r="R77" s="219">
        <f t="shared" si="40"/>
        <v>0</v>
      </c>
      <c r="S77" s="218">
        <v>14947</v>
      </c>
      <c r="T77" s="220">
        <f t="shared" si="41"/>
        <v>1.2569506758267246</v>
      </c>
      <c r="U77" s="219">
        <f t="shared" si="42"/>
        <v>2354512.4378516022</v>
      </c>
      <c r="V77" s="219">
        <f t="shared" si="43"/>
        <v>2959506</v>
      </c>
      <c r="W77" s="213" t="s">
        <v>110</v>
      </c>
      <c r="X77" s="213" t="s">
        <v>92</v>
      </c>
      <c r="Y77" s="221">
        <f>SUMIFS(Cert_App_Output!$G:$G,Cert_App_Output!$E:$E,$E77,Cert_App_Output!$K:$K,$X77)</f>
        <v>0.5</v>
      </c>
    </row>
    <row r="78" spans="1:25" x14ac:dyDescent="0.35">
      <c r="A78" s="213" t="s">
        <v>76</v>
      </c>
      <c r="B78" s="213" t="s">
        <v>24</v>
      </c>
      <c r="C78" s="213" t="s">
        <v>24</v>
      </c>
      <c r="D78" s="213" t="s">
        <v>71</v>
      </c>
      <c r="E78" s="213">
        <v>7.08</v>
      </c>
      <c r="F78" s="213" t="s">
        <v>25</v>
      </c>
      <c r="G78" s="213" t="s">
        <v>120</v>
      </c>
      <c r="H78" s="213" t="s">
        <v>69</v>
      </c>
      <c r="I78" s="217">
        <v>670.322</v>
      </c>
      <c r="J78" s="218">
        <v>3747.8693229999999</v>
      </c>
      <c r="K78" s="218">
        <v>0</v>
      </c>
      <c r="L78" s="218">
        <v>9136.8339619578401</v>
      </c>
      <c r="M78" s="218">
        <v>298.91473598954099</v>
      </c>
      <c r="N78" s="219">
        <f t="shared" si="38"/>
        <v>13183.618020947381</v>
      </c>
      <c r="O78" s="219">
        <f t="shared" si="39"/>
        <v>4710.8420808880537</v>
      </c>
      <c r="P78" s="219">
        <f t="shared" si="40"/>
        <v>0</v>
      </c>
      <c r="Q78" s="219">
        <f t="shared" si="40"/>
        <v>11484.440412566142</v>
      </c>
      <c r="R78" s="219">
        <f t="shared" si="40"/>
        <v>375.7175065458045</v>
      </c>
      <c r="S78" s="218">
        <v>16571</v>
      </c>
      <c r="T78" s="220">
        <f t="shared" si="41"/>
        <v>1.2569387230174924</v>
      </c>
      <c r="U78" s="219">
        <f t="shared" si="42"/>
        <v>8837269.1990374904</v>
      </c>
      <c r="V78" s="219">
        <f t="shared" si="43"/>
        <v>11107905.862</v>
      </c>
      <c r="W78" s="213" t="s">
        <v>110</v>
      </c>
      <c r="X78" s="213" t="s">
        <v>92</v>
      </c>
      <c r="Y78" s="221">
        <f>SUMIFS(Cert_App_Output!$G:$G,Cert_App_Output!$E:$E,$E78,Cert_App_Output!$K:$K,$X78)</f>
        <v>0.55000000000000004</v>
      </c>
    </row>
    <row r="79" spans="1:25" x14ac:dyDescent="0.35">
      <c r="E79" s="213">
        <v>8</v>
      </c>
      <c r="G79" s="213" t="s">
        <v>121</v>
      </c>
      <c r="I79" s="214"/>
      <c r="J79" s="215"/>
      <c r="K79" s="215"/>
      <c r="L79" s="215"/>
      <c r="M79" s="215"/>
      <c r="N79" s="215"/>
      <c r="O79" s="215"/>
      <c r="P79" s="215"/>
      <c r="Q79" s="215"/>
      <c r="R79" s="215"/>
      <c r="S79" s="215"/>
      <c r="T79" s="216"/>
      <c r="U79" s="215"/>
      <c r="V79" s="215"/>
      <c r="Y79" s="203"/>
    </row>
    <row r="80" spans="1:25" x14ac:dyDescent="0.35">
      <c r="A80" s="213" t="s">
        <v>76</v>
      </c>
      <c r="B80" s="213" t="s">
        <v>24</v>
      </c>
      <c r="C80" s="213" t="s">
        <v>24</v>
      </c>
      <c r="D80" s="213" t="s">
        <v>71</v>
      </c>
      <c r="E80" s="213">
        <v>8.01</v>
      </c>
      <c r="F80" s="213" t="s">
        <v>25</v>
      </c>
      <c r="G80" s="213" t="s">
        <v>122</v>
      </c>
      <c r="H80" s="213" t="s">
        <v>69</v>
      </c>
      <c r="I80" s="217">
        <v>104</v>
      </c>
      <c r="J80" s="218">
        <v>9763.5190306500008</v>
      </c>
      <c r="K80" s="218">
        <v>0</v>
      </c>
      <c r="L80" s="218">
        <v>15181.289056642991</v>
      </c>
      <c r="M80" s="218">
        <v>451.34429264543519</v>
      </c>
      <c r="N80" s="219">
        <f t="shared" ref="N80:N87" si="44">SUM(J80:M80)</f>
        <v>25396.152379938427</v>
      </c>
      <c r="O80" s="219">
        <f t="shared" ref="O80:O87" si="45">IF($N80=0,$S80,J80/$N80*$S80)</f>
        <v>12271.604091670821</v>
      </c>
      <c r="P80" s="219">
        <f t="shared" ref="P80:R87" si="46">IF($N80=0,0,K80/$N80*$S80)</f>
        <v>0</v>
      </c>
      <c r="Q80" s="219">
        <f t="shared" si="46"/>
        <v>19081.108800986771</v>
      </c>
      <c r="R80" s="219">
        <f t="shared" si="46"/>
        <v>567.28710734240849</v>
      </c>
      <c r="S80" s="218">
        <v>31920</v>
      </c>
      <c r="T80" s="220">
        <f t="shared" ref="T80:T87" si="47">IFERROR(S80/N80,"")</f>
        <v>1.2568833074578281</v>
      </c>
      <c r="U80" s="219">
        <f t="shared" ref="U80:U87" si="48">N80*I80</f>
        <v>2641199.8475135965</v>
      </c>
      <c r="V80" s="219">
        <f t="shared" ref="V80:V87" si="49">S80*I80</f>
        <v>3319680</v>
      </c>
      <c r="W80" s="213" t="s">
        <v>121</v>
      </c>
      <c r="X80" s="213" t="s">
        <v>92</v>
      </c>
      <c r="Y80" s="221">
        <f>SUMIFS(Cert_App_Output!$G:$G,Cert_App_Output!$E:$E,$E80,Cert_App_Output!$K:$K,$X80)</f>
        <v>1</v>
      </c>
    </row>
    <row r="81" spans="1:25" x14ac:dyDescent="0.35">
      <c r="A81" s="213" t="s">
        <v>76</v>
      </c>
      <c r="B81" s="213" t="s">
        <v>24</v>
      </c>
      <c r="C81" s="213" t="s">
        <v>71</v>
      </c>
      <c r="D81" s="213" t="s">
        <v>71</v>
      </c>
      <c r="E81" s="213">
        <v>8.02</v>
      </c>
      <c r="F81" s="213" t="s">
        <v>25</v>
      </c>
      <c r="G81" s="213" t="s">
        <v>123</v>
      </c>
      <c r="H81" s="213" t="s">
        <v>69</v>
      </c>
      <c r="I81" s="217">
        <v>48</v>
      </c>
      <c r="J81" s="218">
        <v>13518.0253742</v>
      </c>
      <c r="K81" s="218">
        <v>500</v>
      </c>
      <c r="L81" s="218">
        <v>15181.289057</v>
      </c>
      <c r="M81" s="218">
        <v>451.34429264543519</v>
      </c>
      <c r="N81" s="219">
        <f t="shared" si="44"/>
        <v>29650.658723845434</v>
      </c>
      <c r="O81" s="219">
        <f t="shared" si="45"/>
        <v>16990.845779777956</v>
      </c>
      <c r="P81" s="219">
        <f t="shared" si="46"/>
        <v>628.45146792689309</v>
      </c>
      <c r="Q81" s="219">
        <f t="shared" si="46"/>
        <v>19081.406785788258</v>
      </c>
      <c r="R81" s="219">
        <f t="shared" si="46"/>
        <v>567.29596650689791</v>
      </c>
      <c r="S81" s="218">
        <v>37268</v>
      </c>
      <c r="T81" s="220">
        <f t="shared" si="47"/>
        <v>1.256902935853786</v>
      </c>
      <c r="U81" s="219">
        <f t="shared" si="48"/>
        <v>1423231.6187445808</v>
      </c>
      <c r="V81" s="219">
        <f t="shared" si="49"/>
        <v>1788864</v>
      </c>
      <c r="W81" s="213" t="s">
        <v>121</v>
      </c>
      <c r="X81" s="213" t="s">
        <v>92</v>
      </c>
      <c r="Y81" s="221">
        <f>SUMIFS(Cert_App_Output!$G:$G,Cert_App_Output!$E:$E,$E81,Cert_App_Output!$K:$K,$X81)</f>
        <v>0</v>
      </c>
    </row>
    <row r="82" spans="1:25" x14ac:dyDescent="0.35">
      <c r="A82" s="213" t="s">
        <v>76</v>
      </c>
      <c r="B82" s="213" t="s">
        <v>24</v>
      </c>
      <c r="C82" s="213" t="s">
        <v>24</v>
      </c>
      <c r="D82" s="213" t="s">
        <v>71</v>
      </c>
      <c r="E82" s="213">
        <v>8.0299999999999994</v>
      </c>
      <c r="F82" s="213" t="s">
        <v>25</v>
      </c>
      <c r="G82" s="213" t="s">
        <v>124</v>
      </c>
      <c r="H82" s="213" t="s">
        <v>69</v>
      </c>
      <c r="I82" s="217">
        <v>235</v>
      </c>
      <c r="J82" s="218">
        <v>11716.22283678</v>
      </c>
      <c r="K82" s="218">
        <v>0</v>
      </c>
      <c r="L82" s="218">
        <v>13663.160150978691</v>
      </c>
      <c r="M82" s="218">
        <v>406.20986338089159</v>
      </c>
      <c r="N82" s="219">
        <f t="shared" si="44"/>
        <v>25785.592851139583</v>
      </c>
      <c r="O82" s="219">
        <f t="shared" si="45"/>
        <v>14726.160625128234</v>
      </c>
      <c r="P82" s="219">
        <f t="shared" si="46"/>
        <v>0</v>
      </c>
      <c r="Q82" s="219">
        <f t="shared" si="46"/>
        <v>17173.272805850924</v>
      </c>
      <c r="R82" s="219">
        <f t="shared" si="46"/>
        <v>510.56656902084239</v>
      </c>
      <c r="S82" s="218">
        <v>32410</v>
      </c>
      <c r="T82" s="220">
        <f t="shared" si="47"/>
        <v>1.2569034261536343</v>
      </c>
      <c r="U82" s="219">
        <f t="shared" si="48"/>
        <v>6059614.3200178016</v>
      </c>
      <c r="V82" s="219">
        <f t="shared" si="49"/>
        <v>7616350</v>
      </c>
      <c r="W82" s="213" t="s">
        <v>121</v>
      </c>
      <c r="X82" s="213" t="s">
        <v>92</v>
      </c>
      <c r="Y82" s="221">
        <f>SUMIFS(Cert_App_Output!$G:$G,Cert_App_Output!$E:$E,$E82,Cert_App_Output!$K:$K,$X82)</f>
        <v>0</v>
      </c>
    </row>
    <row r="83" spans="1:25" x14ac:dyDescent="0.35">
      <c r="A83" s="213" t="s">
        <v>76</v>
      </c>
      <c r="B83" s="213" t="s">
        <v>24</v>
      </c>
      <c r="C83" s="213" t="s">
        <v>24</v>
      </c>
      <c r="D83" s="213" t="s">
        <v>71</v>
      </c>
      <c r="E83" s="213">
        <v>8.0399999999999991</v>
      </c>
      <c r="F83" s="213" t="s">
        <v>25</v>
      </c>
      <c r="G83" s="213" t="s">
        <v>125</v>
      </c>
      <c r="H83" s="213" t="s">
        <v>69</v>
      </c>
      <c r="I83" s="217">
        <v>878</v>
      </c>
      <c r="J83" s="218">
        <v>6431.816156095043</v>
      </c>
      <c r="K83" s="218">
        <v>0</v>
      </c>
      <c r="L83" s="218">
        <v>8572.2516609388531</v>
      </c>
      <c r="M83" s="218">
        <v>116.9025805965067</v>
      </c>
      <c r="N83" s="219">
        <f t="shared" si="44"/>
        <v>15120.970397630403</v>
      </c>
      <c r="O83" s="219">
        <f t="shared" si="45"/>
        <v>8084.342118803369</v>
      </c>
      <c r="P83" s="219">
        <f t="shared" si="46"/>
        <v>0</v>
      </c>
      <c r="Q83" s="219">
        <f t="shared" si="46"/>
        <v>10774.71953078723</v>
      </c>
      <c r="R83" s="219">
        <f t="shared" si="46"/>
        <v>146.93835040940169</v>
      </c>
      <c r="S83" s="218">
        <v>19006</v>
      </c>
      <c r="T83" s="220">
        <f t="shared" si="47"/>
        <v>1.2569299125787865</v>
      </c>
      <c r="U83" s="219">
        <f t="shared" si="48"/>
        <v>13276212.009119494</v>
      </c>
      <c r="V83" s="219">
        <f t="shared" si="49"/>
        <v>16687268</v>
      </c>
      <c r="W83" s="213" t="s">
        <v>121</v>
      </c>
      <c r="X83" s="213" t="s">
        <v>92</v>
      </c>
      <c r="Y83" s="221">
        <f>SUMIFS(Cert_App_Output!$G:$G,Cert_App_Output!$E:$E,$E83,Cert_App_Output!$K:$K,$X83)</f>
        <v>0.05</v>
      </c>
    </row>
    <row r="84" spans="1:25" x14ac:dyDescent="0.35">
      <c r="A84" s="213" t="s">
        <v>76</v>
      </c>
      <c r="B84" s="213" t="s">
        <v>24</v>
      </c>
      <c r="C84" s="213" t="s">
        <v>24</v>
      </c>
      <c r="D84" s="213" t="s">
        <v>71</v>
      </c>
      <c r="E84" s="213">
        <v>8.0500000000000007</v>
      </c>
      <c r="F84" s="213" t="s">
        <v>25</v>
      </c>
      <c r="G84" s="213" t="s">
        <v>126</v>
      </c>
      <c r="H84" s="213" t="s">
        <v>69</v>
      </c>
      <c r="I84" s="217">
        <v>564</v>
      </c>
      <c r="J84" s="218">
        <v>3180.0905400000011</v>
      </c>
      <c r="K84" s="218">
        <v>0</v>
      </c>
      <c r="L84" s="218">
        <v>6505.5636652352914</v>
      </c>
      <c r="M84" s="218">
        <v>210.62733656786969</v>
      </c>
      <c r="N84" s="219">
        <f t="shared" si="44"/>
        <v>9896.2815418031623</v>
      </c>
      <c r="O84" s="219">
        <f t="shared" si="45"/>
        <v>3997.17268147289</v>
      </c>
      <c r="P84" s="219">
        <f t="shared" si="46"/>
        <v>0</v>
      </c>
      <c r="Q84" s="219">
        <f t="shared" si="46"/>
        <v>8177.0820777515173</v>
      </c>
      <c r="R84" s="219">
        <f t="shared" si="46"/>
        <v>264.74524077559261</v>
      </c>
      <c r="S84" s="218">
        <v>12439</v>
      </c>
      <c r="T84" s="220">
        <f t="shared" si="47"/>
        <v>1.2569367542198622</v>
      </c>
      <c r="U84" s="219">
        <f t="shared" si="48"/>
        <v>5581502.789576984</v>
      </c>
      <c r="V84" s="219">
        <f t="shared" si="49"/>
        <v>7015596</v>
      </c>
      <c r="W84" s="213" t="s">
        <v>121</v>
      </c>
      <c r="X84" s="213" t="s">
        <v>92</v>
      </c>
      <c r="Y84" s="221">
        <f>SUMIFS(Cert_App_Output!$G:$G,Cert_App_Output!$E:$E,$E84,Cert_App_Output!$K:$K,$X84)</f>
        <v>0</v>
      </c>
    </row>
    <row r="85" spans="1:25" x14ac:dyDescent="0.35">
      <c r="A85" s="213" t="s">
        <v>76</v>
      </c>
      <c r="B85" s="213" t="s">
        <v>24</v>
      </c>
      <c r="C85" s="213" t="s">
        <v>24</v>
      </c>
      <c r="D85" s="213" t="s">
        <v>71</v>
      </c>
      <c r="E85" s="213">
        <v>8.06</v>
      </c>
      <c r="F85" s="213" t="s">
        <v>25</v>
      </c>
      <c r="G85" s="213" t="s">
        <v>127</v>
      </c>
      <c r="H85" s="213" t="s">
        <v>69</v>
      </c>
      <c r="I85" s="217">
        <v>438</v>
      </c>
      <c r="J85" s="218">
        <v>3180.0905400000011</v>
      </c>
      <c r="K85" s="218">
        <v>0</v>
      </c>
      <c r="L85" s="218">
        <v>6505.5636652352914</v>
      </c>
      <c r="M85" s="218">
        <v>210.62733656786969</v>
      </c>
      <c r="N85" s="219">
        <f t="shared" si="44"/>
        <v>9896.2815418031623</v>
      </c>
      <c r="O85" s="219">
        <f t="shared" si="45"/>
        <v>3997.17268147289</v>
      </c>
      <c r="P85" s="219">
        <f t="shared" si="46"/>
        <v>0</v>
      </c>
      <c r="Q85" s="219">
        <f t="shared" si="46"/>
        <v>8177.0820777515173</v>
      </c>
      <c r="R85" s="219">
        <f t="shared" si="46"/>
        <v>264.74524077559261</v>
      </c>
      <c r="S85" s="218">
        <v>12439</v>
      </c>
      <c r="T85" s="220">
        <f t="shared" si="47"/>
        <v>1.2569367542198622</v>
      </c>
      <c r="U85" s="219">
        <f t="shared" si="48"/>
        <v>4334571.3153097853</v>
      </c>
      <c r="V85" s="219">
        <f t="shared" si="49"/>
        <v>5448282</v>
      </c>
      <c r="W85" s="213" t="s">
        <v>121</v>
      </c>
      <c r="X85" s="213" t="s">
        <v>92</v>
      </c>
      <c r="Y85" s="221">
        <f>SUMIFS(Cert_App_Output!$G:$G,Cert_App_Output!$E:$E,$E85,Cert_App_Output!$K:$K,$X85)</f>
        <v>0</v>
      </c>
    </row>
    <row r="86" spans="1:25" x14ac:dyDescent="0.35">
      <c r="A86" s="213" t="s">
        <v>76</v>
      </c>
      <c r="B86" s="213" t="s">
        <v>24</v>
      </c>
      <c r="C86" s="213" t="s">
        <v>24</v>
      </c>
      <c r="D86" s="213" t="s">
        <v>71</v>
      </c>
      <c r="E86" s="213">
        <v>8.07</v>
      </c>
      <c r="F86" s="213" t="s">
        <v>25</v>
      </c>
      <c r="G86" s="213" t="s">
        <v>128</v>
      </c>
      <c r="H86" s="213" t="s">
        <v>27</v>
      </c>
      <c r="I86" s="217">
        <v>1</v>
      </c>
      <c r="J86" s="218">
        <v>1076227.6597</v>
      </c>
      <c r="K86" s="218">
        <v>0</v>
      </c>
      <c r="L86" s="218">
        <v>826143.61379857967</v>
      </c>
      <c r="M86" s="218">
        <v>28535.56910247869</v>
      </c>
      <c r="N86" s="219">
        <f t="shared" si="44"/>
        <v>1930906.8426010583</v>
      </c>
      <c r="O86" s="219">
        <f t="shared" si="45"/>
        <v>1352692.2579399694</v>
      </c>
      <c r="P86" s="219">
        <f t="shared" si="46"/>
        <v>0</v>
      </c>
      <c r="Q86" s="219">
        <f t="shared" si="46"/>
        <v>1038365.8701388483</v>
      </c>
      <c r="R86" s="219">
        <f t="shared" si="46"/>
        <v>35865.871921182261</v>
      </c>
      <c r="S86" s="218">
        <v>2426924</v>
      </c>
      <c r="T86" s="220">
        <f t="shared" si="47"/>
        <v>1.256883007743022</v>
      </c>
      <c r="U86" s="219">
        <f t="shared" si="48"/>
        <v>1930906.8426010583</v>
      </c>
      <c r="V86" s="219">
        <f t="shared" si="49"/>
        <v>2426924</v>
      </c>
      <c r="W86" s="213" t="s">
        <v>121</v>
      </c>
      <c r="X86" s="213" t="s">
        <v>92</v>
      </c>
      <c r="Y86" s="221">
        <f>SUMIFS(Cert_App_Output!$G:$G,Cert_App_Output!$E:$E,$E86,Cert_App_Output!$K:$K,$X86)</f>
        <v>0.05</v>
      </c>
    </row>
    <row r="87" spans="1:25" x14ac:dyDescent="0.35">
      <c r="A87" s="213" t="s">
        <v>76</v>
      </c>
      <c r="B87" s="213" t="s">
        <v>24</v>
      </c>
      <c r="C87" s="213" t="s">
        <v>24</v>
      </c>
      <c r="D87" s="213" t="s">
        <v>71</v>
      </c>
      <c r="E87" s="213">
        <v>8.08</v>
      </c>
      <c r="F87" s="213" t="s">
        <v>25</v>
      </c>
      <c r="G87" s="213" t="s">
        <v>129</v>
      </c>
      <c r="H87" s="213" t="s">
        <v>27</v>
      </c>
      <c r="I87" s="217">
        <v>1</v>
      </c>
      <c r="J87" s="218">
        <v>215055.4952336</v>
      </c>
      <c r="K87" s="218">
        <v>0</v>
      </c>
      <c r="L87" s="218">
        <v>165228.72275971589</v>
      </c>
      <c r="M87" s="218">
        <v>5704.2632698997386</v>
      </c>
      <c r="N87" s="219">
        <f t="shared" si="44"/>
        <v>385988.48126321565</v>
      </c>
      <c r="O87" s="219">
        <f t="shared" si="45"/>
        <v>270299.95243036078</v>
      </c>
      <c r="P87" s="219">
        <f t="shared" si="46"/>
        <v>0</v>
      </c>
      <c r="Q87" s="219">
        <f t="shared" si="46"/>
        <v>207673.44658441748</v>
      </c>
      <c r="R87" s="219">
        <f t="shared" si="46"/>
        <v>7169.6009852216748</v>
      </c>
      <c r="S87" s="218">
        <v>485143</v>
      </c>
      <c r="T87" s="220">
        <f t="shared" si="47"/>
        <v>1.2568846573148598</v>
      </c>
      <c r="U87" s="219">
        <f t="shared" si="48"/>
        <v>385988.48126321565</v>
      </c>
      <c r="V87" s="219">
        <f t="shared" si="49"/>
        <v>485143</v>
      </c>
      <c r="W87" s="213" t="s">
        <v>121</v>
      </c>
      <c r="X87" s="213" t="s">
        <v>92</v>
      </c>
      <c r="Y87" s="221">
        <f>SUMIFS(Cert_App_Output!$G:$G,Cert_App_Output!$E:$E,$E87,Cert_App_Output!$K:$K,$X87)</f>
        <v>0</v>
      </c>
    </row>
    <row r="88" spans="1:25" x14ac:dyDescent="0.35">
      <c r="E88" s="213">
        <v>9</v>
      </c>
      <c r="G88" s="213" t="s">
        <v>130</v>
      </c>
      <c r="I88" s="214"/>
      <c r="J88" s="215"/>
      <c r="K88" s="215"/>
      <c r="L88" s="215"/>
      <c r="M88" s="215"/>
      <c r="N88" s="215"/>
      <c r="O88" s="215"/>
      <c r="P88" s="215"/>
      <c r="Q88" s="215"/>
      <c r="R88" s="215"/>
      <c r="S88" s="215"/>
      <c r="T88" s="216"/>
      <c r="U88" s="215"/>
      <c r="V88" s="215"/>
      <c r="Y88" s="203"/>
    </row>
    <row r="89" spans="1:25" x14ac:dyDescent="0.35">
      <c r="A89" s="213" t="s">
        <v>76</v>
      </c>
      <c r="B89" s="213" t="s">
        <v>24</v>
      </c>
      <c r="C89" s="213" t="s">
        <v>24</v>
      </c>
      <c r="D89" s="213" t="s">
        <v>71</v>
      </c>
      <c r="E89" s="213">
        <v>9.01</v>
      </c>
      <c r="F89" s="213" t="s">
        <v>25</v>
      </c>
      <c r="G89" s="213" t="s">
        <v>131</v>
      </c>
      <c r="H89" s="213" t="s">
        <v>27</v>
      </c>
      <c r="I89" s="217">
        <v>1</v>
      </c>
      <c r="J89" s="218">
        <v>203505.4419805441</v>
      </c>
      <c r="K89" s="218">
        <v>0</v>
      </c>
      <c r="L89" s="218">
        <v>1383533.826397727</v>
      </c>
      <c r="M89" s="218">
        <v>23805.589025674071</v>
      </c>
      <c r="N89" s="219">
        <f>SUM(J89:M89)</f>
        <v>1610844.8574039452</v>
      </c>
      <c r="O89" s="219">
        <f>IF($N89=0,$S89,J89/$N89*$S89)</f>
        <v>255782.46512941044</v>
      </c>
      <c r="P89" s="219">
        <f t="shared" ref="P89:R92" si="50">IF($N89=0,0,K89/$N89*$S89)</f>
        <v>0</v>
      </c>
      <c r="Q89" s="219">
        <f t="shared" si="50"/>
        <v>1738939.7023582743</v>
      </c>
      <c r="R89" s="219">
        <f t="shared" si="50"/>
        <v>29920.832512315275</v>
      </c>
      <c r="S89" s="218">
        <v>2024643</v>
      </c>
      <c r="T89" s="220">
        <f>IFERROR(S89/N89,"")</f>
        <v>1.2568826791072458</v>
      </c>
      <c r="U89" s="219">
        <f>N89*I89</f>
        <v>1610844.8574039452</v>
      </c>
      <c r="V89" s="219">
        <f>S89*I89</f>
        <v>2024643</v>
      </c>
      <c r="W89" s="213" t="s">
        <v>130</v>
      </c>
      <c r="X89" s="213" t="s">
        <v>92</v>
      </c>
      <c r="Y89" s="221">
        <f>SUMIFS(Cert_App_Output!$G:$G,Cert_App_Output!$E:$E,$E89,Cert_App_Output!$K:$K,$X89)</f>
        <v>0</v>
      </c>
    </row>
    <row r="90" spans="1:25" x14ac:dyDescent="0.35">
      <c r="A90" s="213" t="s">
        <v>76</v>
      </c>
      <c r="B90" s="213" t="s">
        <v>24</v>
      </c>
      <c r="C90" s="213" t="s">
        <v>24</v>
      </c>
      <c r="D90" s="213" t="s">
        <v>71</v>
      </c>
      <c r="E90" s="213">
        <v>9.02</v>
      </c>
      <c r="F90" s="213" t="s">
        <v>25</v>
      </c>
      <c r="G90" s="213" t="s">
        <v>132</v>
      </c>
      <c r="H90" s="213" t="s">
        <v>33</v>
      </c>
      <c r="I90" s="217">
        <v>122</v>
      </c>
      <c r="J90" s="218">
        <v>2447.0972090502642</v>
      </c>
      <c r="K90" s="218">
        <v>0</v>
      </c>
      <c r="L90" s="218">
        <v>12299.73299539121</v>
      </c>
      <c r="M90" s="218">
        <v>221.20245306662201</v>
      </c>
      <c r="N90" s="219">
        <f>SUM(J90:M90)</f>
        <v>14968.032657508096</v>
      </c>
      <c r="O90" s="219">
        <f>IF($N90=0,$S90,J90/$N90*$S90)</f>
        <v>3075.8676136357681</v>
      </c>
      <c r="P90" s="219">
        <f t="shared" si="50"/>
        <v>0</v>
      </c>
      <c r="Q90" s="219">
        <f t="shared" si="50"/>
        <v>15460.092977497237</v>
      </c>
      <c r="R90" s="219">
        <f t="shared" si="50"/>
        <v>278.03940886699496</v>
      </c>
      <c r="S90" s="218">
        <v>18814</v>
      </c>
      <c r="T90" s="220">
        <f>IFERROR(S90/N90,"")</f>
        <v>1.2569454136354208</v>
      </c>
      <c r="U90" s="219">
        <f>N90*I90</f>
        <v>1826099.9842159878</v>
      </c>
      <c r="V90" s="219">
        <f>S90*I90</f>
        <v>2295308</v>
      </c>
      <c r="W90" s="213" t="s">
        <v>130</v>
      </c>
      <c r="X90" s="213" t="s">
        <v>92</v>
      </c>
      <c r="Y90" s="221">
        <f>SUMIFS(Cert_App_Output!$G:$G,Cert_App_Output!$E:$E,$E90,Cert_App_Output!$K:$K,$X90)</f>
        <v>0</v>
      </c>
    </row>
    <row r="91" spans="1:25" x14ac:dyDescent="0.35">
      <c r="A91" s="213" t="s">
        <v>76</v>
      </c>
      <c r="B91" s="213" t="s">
        <v>24</v>
      </c>
      <c r="C91" s="213" t="s">
        <v>24</v>
      </c>
      <c r="D91" s="213" t="s">
        <v>71</v>
      </c>
      <c r="E91" s="213">
        <v>9.0299999999999994</v>
      </c>
      <c r="F91" s="213" t="s">
        <v>25</v>
      </c>
      <c r="G91" s="213" t="s">
        <v>133</v>
      </c>
      <c r="H91" s="213" t="s">
        <v>33</v>
      </c>
      <c r="I91" s="217">
        <v>155</v>
      </c>
      <c r="J91" s="218">
        <v>758.10738300000003</v>
      </c>
      <c r="K91" s="218">
        <v>0</v>
      </c>
      <c r="L91" s="218">
        <v>3395.9551113285988</v>
      </c>
      <c r="M91" s="218">
        <v>122.76855228141859</v>
      </c>
      <c r="N91" s="219">
        <f>SUM(J91:M91)</f>
        <v>4276.8310466100174</v>
      </c>
      <c r="O91" s="219">
        <f>IF($N91=0,$S91,J91/$N91*$S91)</f>
        <v>952.94512375897284</v>
      </c>
      <c r="P91" s="219">
        <f t="shared" si="50"/>
        <v>0</v>
      </c>
      <c r="Q91" s="219">
        <f t="shared" si="50"/>
        <v>4268.7341350492397</v>
      </c>
      <c r="R91" s="219">
        <f t="shared" si="50"/>
        <v>154.32074119178753</v>
      </c>
      <c r="S91" s="218">
        <v>5376</v>
      </c>
      <c r="T91" s="220">
        <f>IFERROR(S91/N91,"")</f>
        <v>1.2570054653576335</v>
      </c>
      <c r="U91" s="219">
        <f>N91*I91</f>
        <v>662908.81222455273</v>
      </c>
      <c r="V91" s="219">
        <f>S91*I91</f>
        <v>833280</v>
      </c>
      <c r="W91" s="213" t="s">
        <v>130</v>
      </c>
      <c r="X91" s="213" t="s">
        <v>92</v>
      </c>
      <c r="Y91" s="221">
        <f>SUMIFS(Cert_App_Output!$G:$G,Cert_App_Output!$E:$E,$E91,Cert_App_Output!$K:$K,$X91)</f>
        <v>0</v>
      </c>
    </row>
    <row r="92" spans="1:25" x14ac:dyDescent="0.35">
      <c r="A92" s="213" t="s">
        <v>76</v>
      </c>
      <c r="B92" s="213" t="s">
        <v>24</v>
      </c>
      <c r="C92" s="213" t="s">
        <v>24</v>
      </c>
      <c r="D92" s="213" t="s">
        <v>71</v>
      </c>
      <c r="E92" s="213">
        <v>9.0399999999999991</v>
      </c>
      <c r="F92" s="213" t="s">
        <v>25</v>
      </c>
      <c r="G92" s="213" t="s">
        <v>134</v>
      </c>
      <c r="H92" s="213" t="s">
        <v>33</v>
      </c>
      <c r="I92" s="217">
        <v>31.2</v>
      </c>
      <c r="J92" s="218">
        <v>7086.2110616656082</v>
      </c>
      <c r="K92" s="218">
        <v>0</v>
      </c>
      <c r="L92" s="218">
        <v>10591.584792289481</v>
      </c>
      <c r="M92" s="218">
        <v>265.16693780932633</v>
      </c>
      <c r="N92" s="219">
        <f>SUM(J92:M92)</f>
        <v>17942.962791764414</v>
      </c>
      <c r="O92" s="219">
        <f>IF($N92=0,$S92,J92/$N92*$S92)</f>
        <v>7795.1247828119667</v>
      </c>
      <c r="P92" s="219">
        <f t="shared" si="50"/>
        <v>0</v>
      </c>
      <c r="Q92" s="219">
        <f t="shared" si="50"/>
        <v>11651.180635907247</v>
      </c>
      <c r="R92" s="219">
        <f t="shared" si="50"/>
        <v>291.69458128078821</v>
      </c>
      <c r="S92" s="218">
        <v>19738</v>
      </c>
      <c r="T92" s="220">
        <f>IFERROR(S92/N92,"")</f>
        <v>1.1000412935738508</v>
      </c>
      <c r="U92" s="219">
        <f>N92*I92</f>
        <v>559820.43910304969</v>
      </c>
      <c r="V92" s="219">
        <f>S92*I92</f>
        <v>615825.6</v>
      </c>
      <c r="W92" s="213" t="s">
        <v>130</v>
      </c>
      <c r="X92" s="213" t="s">
        <v>92</v>
      </c>
      <c r="Y92" s="221">
        <f>SUMIFS(Cert_App_Output!$G:$G,Cert_App_Output!$E:$E,$E92,Cert_App_Output!$K:$K,$X92)</f>
        <v>0</v>
      </c>
    </row>
    <row r="93" spans="1:25" x14ac:dyDescent="0.35">
      <c r="E93" s="213">
        <v>10</v>
      </c>
      <c r="G93" s="213" t="s">
        <v>135</v>
      </c>
      <c r="I93" s="214"/>
      <c r="J93" s="215"/>
      <c r="K93" s="215"/>
      <c r="L93" s="215"/>
      <c r="M93" s="215"/>
      <c r="N93" s="215"/>
      <c r="O93" s="215"/>
      <c r="P93" s="215"/>
      <c r="Q93" s="215"/>
      <c r="R93" s="215"/>
      <c r="S93" s="215"/>
      <c r="T93" s="216"/>
      <c r="U93" s="215"/>
      <c r="V93" s="215"/>
      <c r="Y93" s="203"/>
    </row>
    <row r="94" spans="1:25" x14ac:dyDescent="0.35">
      <c r="A94" s="213" t="s">
        <v>76</v>
      </c>
      <c r="B94" s="213" t="s">
        <v>24</v>
      </c>
      <c r="C94" s="213" t="s">
        <v>24</v>
      </c>
      <c r="D94" s="213" t="s">
        <v>24</v>
      </c>
      <c r="E94" s="213">
        <v>10.01</v>
      </c>
      <c r="F94" s="213" t="s">
        <v>25</v>
      </c>
      <c r="G94" s="213" t="s">
        <v>136</v>
      </c>
      <c r="H94" s="213" t="s">
        <v>27</v>
      </c>
      <c r="I94" s="217">
        <v>0</v>
      </c>
      <c r="J94" s="218">
        <v>0</v>
      </c>
      <c r="K94" s="218">
        <v>0</v>
      </c>
      <c r="L94" s="218">
        <v>0</v>
      </c>
      <c r="M94" s="218">
        <v>0</v>
      </c>
      <c r="N94" s="219">
        <f>SUM(J94:M94)</f>
        <v>0</v>
      </c>
      <c r="O94" s="219">
        <f>IF($N94=0,$S94,J94/$N94*$S94)</f>
        <v>0</v>
      </c>
      <c r="P94" s="219">
        <f t="shared" ref="P94:R97" si="51">IF($N94=0,0,K94/$N94*$S94)</f>
        <v>0</v>
      </c>
      <c r="Q94" s="219">
        <f t="shared" si="51"/>
        <v>0</v>
      </c>
      <c r="R94" s="219">
        <f t="shared" si="51"/>
        <v>0</v>
      </c>
      <c r="S94" s="218">
        <v>0</v>
      </c>
      <c r="T94" s="220" t="str">
        <f>IFERROR(S94/N94,"")</f>
        <v/>
      </c>
      <c r="U94" s="219">
        <f>N94*I94</f>
        <v>0</v>
      </c>
      <c r="V94" s="219">
        <f>S94*I94</f>
        <v>0</v>
      </c>
      <c r="W94" s="213" t="s">
        <v>135</v>
      </c>
      <c r="X94" s="213" t="s">
        <v>92</v>
      </c>
      <c r="Y94" s="221">
        <f>SUMIFS(Cert_App_Output!$G:$G,Cert_App_Output!$E:$E,$E94,Cert_App_Output!$K:$K,$X94)</f>
        <v>0</v>
      </c>
    </row>
    <row r="95" spans="1:25" x14ac:dyDescent="0.35">
      <c r="A95" s="213" t="s">
        <v>76</v>
      </c>
      <c r="B95" s="213" t="s">
        <v>24</v>
      </c>
      <c r="C95" s="213" t="s">
        <v>71</v>
      </c>
      <c r="D95" s="213" t="s">
        <v>24</v>
      </c>
      <c r="E95" s="213">
        <v>10.02</v>
      </c>
      <c r="F95" s="213" t="s">
        <v>25</v>
      </c>
      <c r="G95" s="213" t="s">
        <v>137</v>
      </c>
      <c r="H95" s="213" t="s">
        <v>27</v>
      </c>
      <c r="I95" s="217">
        <v>1</v>
      </c>
      <c r="J95" s="218">
        <v>700000</v>
      </c>
      <c r="K95" s="218">
        <v>1050000</v>
      </c>
      <c r="L95" s="218">
        <v>0</v>
      </c>
      <c r="M95" s="218">
        <v>0</v>
      </c>
      <c r="N95" s="219">
        <f>SUM(J95:M95)</f>
        <v>1750000</v>
      </c>
      <c r="O95" s="219">
        <f>IF($N95=0,$S95,J95/$N95*$S95)</f>
        <v>879818</v>
      </c>
      <c r="P95" s="219">
        <f t="shared" si="51"/>
        <v>1319727</v>
      </c>
      <c r="Q95" s="219">
        <f t="shared" si="51"/>
        <v>0</v>
      </c>
      <c r="R95" s="219">
        <f t="shared" si="51"/>
        <v>0</v>
      </c>
      <c r="S95" s="218">
        <v>2199545</v>
      </c>
      <c r="T95" s="220">
        <f>IFERROR(S95/N95,"")</f>
        <v>1.2568828571428572</v>
      </c>
      <c r="U95" s="219">
        <f>N95*I95</f>
        <v>1750000</v>
      </c>
      <c r="V95" s="219">
        <f>S95*I95</f>
        <v>2199545</v>
      </c>
      <c r="W95" s="213" t="s">
        <v>135</v>
      </c>
      <c r="X95" s="213" t="s">
        <v>92</v>
      </c>
      <c r="Y95" s="221">
        <f>SUMIFS(Cert_App_Output!$G:$G,Cert_App_Output!$E:$E,$E95,Cert_App_Output!$K:$K,$X95)</f>
        <v>0.85</v>
      </c>
    </row>
    <row r="96" spans="1:25" x14ac:dyDescent="0.35">
      <c r="A96" s="213" t="s">
        <v>76</v>
      </c>
      <c r="B96" s="213" t="s">
        <v>24</v>
      </c>
      <c r="C96" s="213" t="s">
        <v>24</v>
      </c>
      <c r="D96" s="213" t="s">
        <v>24</v>
      </c>
      <c r="E96" s="213">
        <v>10.029999999999999</v>
      </c>
      <c r="F96" s="213" t="s">
        <v>25</v>
      </c>
      <c r="G96" s="213" t="s">
        <v>138</v>
      </c>
      <c r="H96" s="213" t="s">
        <v>30</v>
      </c>
      <c r="I96" s="217">
        <v>0</v>
      </c>
      <c r="J96" s="218">
        <v>0</v>
      </c>
      <c r="K96" s="218">
        <v>0</v>
      </c>
      <c r="L96" s="218">
        <v>0</v>
      </c>
      <c r="M96" s="218">
        <v>0</v>
      </c>
      <c r="N96" s="219">
        <f>SUM(J96:M96)</f>
        <v>0</v>
      </c>
      <c r="O96" s="219">
        <f>IF($N96=0,$S96,J96/$N96*$S96)</f>
        <v>0</v>
      </c>
      <c r="P96" s="219">
        <f t="shared" si="51"/>
        <v>0</v>
      </c>
      <c r="Q96" s="219">
        <f t="shared" si="51"/>
        <v>0</v>
      </c>
      <c r="R96" s="219">
        <f t="shared" si="51"/>
        <v>0</v>
      </c>
      <c r="S96" s="218">
        <v>0</v>
      </c>
      <c r="T96" s="220" t="str">
        <f>IFERROR(S96/N96,"")</f>
        <v/>
      </c>
      <c r="U96" s="219">
        <f>N96*I96</f>
        <v>0</v>
      </c>
      <c r="V96" s="219">
        <f>S96*I96</f>
        <v>0</v>
      </c>
      <c r="W96" s="213" t="s">
        <v>135</v>
      </c>
      <c r="X96" s="213" t="s">
        <v>92</v>
      </c>
      <c r="Y96" s="221">
        <f>SUMIFS(Cert_App_Output!$G:$G,Cert_App_Output!$E:$E,$E96,Cert_App_Output!$K:$K,$X96)</f>
        <v>0</v>
      </c>
    </row>
    <row r="97" spans="1:25" x14ac:dyDescent="0.35">
      <c r="A97" s="213" t="s">
        <v>76</v>
      </c>
      <c r="B97" s="213" t="s">
        <v>24</v>
      </c>
      <c r="C97" s="213" t="s">
        <v>71</v>
      </c>
      <c r="D97" s="213" t="s">
        <v>24</v>
      </c>
      <c r="E97" s="213">
        <v>10.039999999999999</v>
      </c>
      <c r="F97" s="213" t="s">
        <v>25</v>
      </c>
      <c r="G97" s="213" t="s">
        <v>139</v>
      </c>
      <c r="H97" s="213" t="s">
        <v>66</v>
      </c>
      <c r="I97" s="217">
        <v>7</v>
      </c>
      <c r="J97" s="218">
        <v>225038.8760330579</v>
      </c>
      <c r="K97" s="218">
        <v>55670.194300000003</v>
      </c>
      <c r="L97" s="218">
        <v>-1.7E-5</v>
      </c>
      <c r="M97" s="218">
        <v>0</v>
      </c>
      <c r="N97" s="219">
        <f>SUM(J97:M97)</f>
        <v>280709.07031605789</v>
      </c>
      <c r="O97" s="219">
        <f>IF($N97=0,$S97,J97/$N97*$S97)</f>
        <v>282847.97179411096</v>
      </c>
      <c r="P97" s="219">
        <f t="shared" si="51"/>
        <v>69971.028227256087</v>
      </c>
      <c r="Q97" s="219">
        <f t="shared" si="51"/>
        <v>-2.1367043798217054E-5</v>
      </c>
      <c r="R97" s="219">
        <f t="shared" si="51"/>
        <v>0</v>
      </c>
      <c r="S97" s="218">
        <v>352819</v>
      </c>
      <c r="T97" s="220">
        <f>IFERROR(S97/N97,"")</f>
        <v>1.2568849293068856</v>
      </c>
      <c r="U97" s="219">
        <f>N97*I97</f>
        <v>1964963.4922124052</v>
      </c>
      <c r="V97" s="219">
        <f>S97*I97</f>
        <v>2469733</v>
      </c>
      <c r="W97" s="213" t="s">
        <v>135</v>
      </c>
      <c r="X97" s="213" t="s">
        <v>92</v>
      </c>
      <c r="Y97" s="221">
        <f>SUMIFS(Cert_App_Output!$G:$G,Cert_App_Output!$E:$E,$E97,Cert_App_Output!$K:$K,$X97)</f>
        <v>0</v>
      </c>
    </row>
    <row r="98" spans="1:25" x14ac:dyDescent="0.35">
      <c r="E98" s="213">
        <v>11</v>
      </c>
      <c r="G98" s="213" t="s">
        <v>140</v>
      </c>
      <c r="I98" s="214"/>
      <c r="J98" s="215"/>
      <c r="K98" s="215"/>
      <c r="L98" s="215"/>
      <c r="M98" s="215"/>
      <c r="N98" s="215"/>
      <c r="O98" s="215"/>
      <c r="P98" s="215"/>
      <c r="Q98" s="215"/>
      <c r="R98" s="215"/>
      <c r="S98" s="215"/>
      <c r="T98" s="216"/>
      <c r="U98" s="215"/>
      <c r="V98" s="215"/>
      <c r="Y98" s="203"/>
    </row>
    <row r="99" spans="1:25" x14ac:dyDescent="0.35">
      <c r="A99" s="213" t="s">
        <v>141</v>
      </c>
      <c r="B99" s="213" t="s">
        <v>24</v>
      </c>
      <c r="C99" s="213" t="s">
        <v>24</v>
      </c>
      <c r="D99" s="213" t="s">
        <v>142</v>
      </c>
      <c r="E99" s="213">
        <v>11.01</v>
      </c>
      <c r="F99" s="213" t="s">
        <v>25</v>
      </c>
      <c r="G99" s="213" t="s">
        <v>143</v>
      </c>
      <c r="H99" s="213" t="s">
        <v>69</v>
      </c>
      <c r="I99" s="217">
        <v>30</v>
      </c>
      <c r="J99" s="218">
        <v>7250.1086533719017</v>
      </c>
      <c r="K99" s="218">
        <v>0</v>
      </c>
      <c r="L99" s="218">
        <v>9992.0861530000002</v>
      </c>
      <c r="M99" s="218">
        <v>219.89812852357099</v>
      </c>
      <c r="N99" s="219">
        <f t="shared" ref="N99:N105" si="52">SUM(J99:M99)</f>
        <v>17462.092934895474</v>
      </c>
      <c r="O99" s="219">
        <f t="shared" ref="O99:O105" si="53">IF($N99=0,$S99,J99/$N99*$S99)</f>
        <v>9112.6181333176482</v>
      </c>
      <c r="P99" s="219">
        <f t="shared" ref="P99:R105" si="54">IF($N99=0,0,K99/$N99*$S99)</f>
        <v>0</v>
      </c>
      <c r="Q99" s="219">
        <f t="shared" si="54"/>
        <v>12558.99322628114</v>
      </c>
      <c r="R99" s="219">
        <f t="shared" si="54"/>
        <v>276.38864040121007</v>
      </c>
      <c r="S99" s="218">
        <v>21948</v>
      </c>
      <c r="T99" s="220">
        <f t="shared" ref="T99:T105" si="55">IFERROR(S99/N99,"")</f>
        <v>1.2568940093166088</v>
      </c>
      <c r="U99" s="219">
        <f t="shared" ref="U99:U105" si="56">N99*I99</f>
        <v>523862.78804686421</v>
      </c>
      <c r="V99" s="219">
        <f t="shared" ref="V99:V105" si="57">S99*I99</f>
        <v>658440</v>
      </c>
      <c r="W99" s="213" t="s">
        <v>140</v>
      </c>
      <c r="X99" s="213" t="s">
        <v>92</v>
      </c>
      <c r="Y99" s="221">
        <f>SUMIFS(Cert_App_Output!$G:$G,Cert_App_Output!$E:$E,$E99,Cert_App_Output!$K:$K,$X99)</f>
        <v>0</v>
      </c>
    </row>
    <row r="100" spans="1:25" x14ac:dyDescent="0.35">
      <c r="A100" s="213" t="s">
        <v>141</v>
      </c>
      <c r="B100" s="213" t="s">
        <v>24</v>
      </c>
      <c r="C100" s="213" t="s">
        <v>24</v>
      </c>
      <c r="D100" s="213" t="s">
        <v>142</v>
      </c>
      <c r="E100" s="213">
        <v>11.02</v>
      </c>
      <c r="F100" s="213" t="s">
        <v>25</v>
      </c>
      <c r="G100" s="213" t="s">
        <v>144</v>
      </c>
      <c r="H100" s="213" t="s">
        <v>69</v>
      </c>
      <c r="I100" s="217">
        <v>185</v>
      </c>
      <c r="J100" s="218">
        <v>7250.1086533719017</v>
      </c>
      <c r="K100" s="218">
        <v>0</v>
      </c>
      <c r="L100" s="218">
        <v>9992.0861530000002</v>
      </c>
      <c r="M100" s="218">
        <v>219.89812852357099</v>
      </c>
      <c r="N100" s="219">
        <f t="shared" si="52"/>
        <v>17462.092934895474</v>
      </c>
      <c r="O100" s="219">
        <f t="shared" si="53"/>
        <v>9112.6181333176482</v>
      </c>
      <c r="P100" s="219">
        <f t="shared" si="54"/>
        <v>0</v>
      </c>
      <c r="Q100" s="219">
        <f t="shared" si="54"/>
        <v>12558.99322628114</v>
      </c>
      <c r="R100" s="219">
        <f t="shared" si="54"/>
        <v>276.38864040121007</v>
      </c>
      <c r="S100" s="218">
        <v>21948</v>
      </c>
      <c r="T100" s="220">
        <f t="shared" si="55"/>
        <v>1.2568940093166088</v>
      </c>
      <c r="U100" s="219">
        <f t="shared" si="56"/>
        <v>3230487.1929556625</v>
      </c>
      <c r="V100" s="219">
        <f t="shared" si="57"/>
        <v>4060380</v>
      </c>
      <c r="W100" s="213" t="s">
        <v>140</v>
      </c>
      <c r="X100" s="213" t="s">
        <v>92</v>
      </c>
      <c r="Y100" s="221">
        <f>SUMIFS(Cert_App_Output!$G:$G,Cert_App_Output!$E:$E,$E100,Cert_App_Output!$K:$K,$X100)</f>
        <v>0</v>
      </c>
    </row>
    <row r="101" spans="1:25" x14ac:dyDescent="0.35">
      <c r="A101" s="213" t="s">
        <v>141</v>
      </c>
      <c r="B101" s="213" t="s">
        <v>24</v>
      </c>
      <c r="C101" s="213" t="s">
        <v>24</v>
      </c>
      <c r="D101" s="213" t="s">
        <v>142</v>
      </c>
      <c r="E101" s="213">
        <v>11.03</v>
      </c>
      <c r="F101" s="213" t="s">
        <v>25</v>
      </c>
      <c r="G101" s="213" t="s">
        <v>145</v>
      </c>
      <c r="H101" s="213" t="s">
        <v>69</v>
      </c>
      <c r="I101" s="217">
        <v>942</v>
      </c>
      <c r="J101" s="218">
        <v>7250.1086533719017</v>
      </c>
      <c r="K101" s="218">
        <v>0</v>
      </c>
      <c r="L101" s="218">
        <v>9992.0861530000002</v>
      </c>
      <c r="M101" s="218">
        <v>219.89812852357099</v>
      </c>
      <c r="N101" s="219">
        <f t="shared" si="52"/>
        <v>17462.092934895474</v>
      </c>
      <c r="O101" s="219">
        <f t="shared" si="53"/>
        <v>9112.6181333176482</v>
      </c>
      <c r="P101" s="219">
        <f t="shared" si="54"/>
        <v>0</v>
      </c>
      <c r="Q101" s="219">
        <f t="shared" si="54"/>
        <v>12558.99322628114</v>
      </c>
      <c r="R101" s="219">
        <f t="shared" si="54"/>
        <v>276.38864040121007</v>
      </c>
      <c r="S101" s="218">
        <v>21948</v>
      </c>
      <c r="T101" s="220">
        <f t="shared" si="55"/>
        <v>1.2568940093166088</v>
      </c>
      <c r="U101" s="219">
        <f t="shared" si="56"/>
        <v>16449291.544671537</v>
      </c>
      <c r="V101" s="219">
        <f t="shared" si="57"/>
        <v>20675016</v>
      </c>
      <c r="W101" s="213" t="s">
        <v>140</v>
      </c>
      <c r="X101" s="213" t="s">
        <v>92</v>
      </c>
      <c r="Y101" s="221">
        <f>SUMIFS(Cert_App_Output!$G:$G,Cert_App_Output!$E:$E,$E101,Cert_App_Output!$K:$K,$X101)</f>
        <v>0</v>
      </c>
    </row>
    <row r="102" spans="1:25" x14ac:dyDescent="0.35">
      <c r="A102" s="213" t="s">
        <v>141</v>
      </c>
      <c r="B102" s="213" t="s">
        <v>24</v>
      </c>
      <c r="C102" s="213" t="s">
        <v>24</v>
      </c>
      <c r="D102" s="213" t="s">
        <v>142</v>
      </c>
      <c r="E102" s="213">
        <v>11.04</v>
      </c>
      <c r="F102" s="213" t="s">
        <v>25</v>
      </c>
      <c r="G102" s="213" t="s">
        <v>146</v>
      </c>
      <c r="H102" s="213" t="s">
        <v>69</v>
      </c>
      <c r="I102" s="217">
        <v>110</v>
      </c>
      <c r="J102" s="218">
        <v>7250.1086533719017</v>
      </c>
      <c r="K102" s="218">
        <v>0</v>
      </c>
      <c r="L102" s="218">
        <v>12989.711998999999</v>
      </c>
      <c r="M102" s="218">
        <v>285.86756708064229</v>
      </c>
      <c r="N102" s="219">
        <f t="shared" si="52"/>
        <v>20525.688219452542</v>
      </c>
      <c r="O102" s="219">
        <f t="shared" si="53"/>
        <v>9112.754278858989</v>
      </c>
      <c r="P102" s="219">
        <f t="shared" si="54"/>
        <v>0</v>
      </c>
      <c r="Q102" s="219">
        <f t="shared" si="54"/>
        <v>16326.935120479935</v>
      </c>
      <c r="R102" s="219">
        <f t="shared" si="54"/>
        <v>359.31060066107727</v>
      </c>
      <c r="S102" s="218">
        <v>25799</v>
      </c>
      <c r="T102" s="220">
        <f t="shared" si="55"/>
        <v>1.2569127877305402</v>
      </c>
      <c r="U102" s="219">
        <f t="shared" si="56"/>
        <v>2257825.7041397798</v>
      </c>
      <c r="V102" s="219">
        <f t="shared" si="57"/>
        <v>2837890</v>
      </c>
      <c r="W102" s="213" t="s">
        <v>140</v>
      </c>
      <c r="X102" s="213" t="s">
        <v>92</v>
      </c>
      <c r="Y102" s="221">
        <f>SUMIFS(Cert_App_Output!$G:$G,Cert_App_Output!$E:$E,$E102,Cert_App_Output!$K:$K,$X102)</f>
        <v>0</v>
      </c>
    </row>
    <row r="103" spans="1:25" x14ac:dyDescent="0.35">
      <c r="A103" s="213" t="s">
        <v>141</v>
      </c>
      <c r="B103" s="213" t="s">
        <v>24</v>
      </c>
      <c r="C103" s="213" t="s">
        <v>24</v>
      </c>
      <c r="D103" s="213" t="s">
        <v>142</v>
      </c>
      <c r="E103" s="213">
        <v>11.05</v>
      </c>
      <c r="F103" s="213" t="s">
        <v>25</v>
      </c>
      <c r="G103" s="213" t="s">
        <v>147</v>
      </c>
      <c r="H103" s="213" t="s">
        <v>69</v>
      </c>
      <c r="I103" s="217">
        <v>128</v>
      </c>
      <c r="J103" s="218">
        <v>3816.1086480000008</v>
      </c>
      <c r="K103" s="218">
        <v>0</v>
      </c>
      <c r="L103" s="218">
        <v>8702.6232029999992</v>
      </c>
      <c r="M103" s="218">
        <v>274.73130856678659</v>
      </c>
      <c r="N103" s="219">
        <f t="shared" si="52"/>
        <v>12793.463159566787</v>
      </c>
      <c r="O103" s="219">
        <f t="shared" si="53"/>
        <v>4796.435984102829</v>
      </c>
      <c r="P103" s="219">
        <f t="shared" si="54"/>
        <v>0</v>
      </c>
      <c r="Q103" s="219">
        <f t="shared" si="54"/>
        <v>10938.256464169048</v>
      </c>
      <c r="R103" s="219">
        <f t="shared" si="54"/>
        <v>345.30755172812178</v>
      </c>
      <c r="S103" s="218">
        <v>16080</v>
      </c>
      <c r="T103" s="220">
        <f t="shared" si="55"/>
        <v>1.2568918829437972</v>
      </c>
      <c r="U103" s="219">
        <f t="shared" si="56"/>
        <v>1637563.2844245487</v>
      </c>
      <c r="V103" s="219">
        <f t="shared" si="57"/>
        <v>2058240</v>
      </c>
      <c r="W103" s="213" t="s">
        <v>140</v>
      </c>
      <c r="X103" s="213" t="s">
        <v>92</v>
      </c>
      <c r="Y103" s="221">
        <f>SUMIFS(Cert_App_Output!$G:$G,Cert_App_Output!$E:$E,$E103,Cert_App_Output!$K:$K,$X103)</f>
        <v>0</v>
      </c>
    </row>
    <row r="104" spans="1:25" x14ac:dyDescent="0.35">
      <c r="A104" s="213" t="s">
        <v>141</v>
      </c>
      <c r="B104" s="213" t="s">
        <v>24</v>
      </c>
      <c r="C104" s="213" t="s">
        <v>24</v>
      </c>
      <c r="D104" s="213" t="s">
        <v>142</v>
      </c>
      <c r="E104" s="213">
        <v>11.06</v>
      </c>
      <c r="F104" s="213" t="s">
        <v>25</v>
      </c>
      <c r="G104" s="213" t="s">
        <v>148</v>
      </c>
      <c r="H104" s="213" t="s">
        <v>69</v>
      </c>
      <c r="I104" s="217">
        <v>48</v>
      </c>
      <c r="J104" s="218">
        <v>7250.1086533719017</v>
      </c>
      <c r="K104" s="218">
        <v>0</v>
      </c>
      <c r="L104" s="218">
        <v>9992.0861530000002</v>
      </c>
      <c r="M104" s="218">
        <v>219.89812852357099</v>
      </c>
      <c r="N104" s="219">
        <f t="shared" si="52"/>
        <v>17462.092934895474</v>
      </c>
      <c r="O104" s="219">
        <f t="shared" si="53"/>
        <v>9112.6181333176482</v>
      </c>
      <c r="P104" s="219">
        <f t="shared" si="54"/>
        <v>0</v>
      </c>
      <c r="Q104" s="219">
        <f t="shared" si="54"/>
        <v>12558.99322628114</v>
      </c>
      <c r="R104" s="219">
        <f t="shared" si="54"/>
        <v>276.38864040121007</v>
      </c>
      <c r="S104" s="218">
        <v>21948</v>
      </c>
      <c r="T104" s="220">
        <f t="shared" si="55"/>
        <v>1.2568940093166088</v>
      </c>
      <c r="U104" s="219">
        <f t="shared" si="56"/>
        <v>838180.46087498276</v>
      </c>
      <c r="V104" s="219">
        <f t="shared" si="57"/>
        <v>1053504</v>
      </c>
      <c r="W104" s="213" t="s">
        <v>140</v>
      </c>
      <c r="X104" s="213" t="s">
        <v>92</v>
      </c>
      <c r="Y104" s="221">
        <f>SUMIFS(Cert_App_Output!$G:$G,Cert_App_Output!$E:$E,$E104,Cert_App_Output!$K:$K,$X104)</f>
        <v>0</v>
      </c>
    </row>
    <row r="105" spans="1:25" x14ac:dyDescent="0.35">
      <c r="A105" s="213" t="s">
        <v>141</v>
      </c>
      <c r="B105" s="213" t="s">
        <v>24</v>
      </c>
      <c r="C105" s="213" t="s">
        <v>142</v>
      </c>
      <c r="D105" s="213" t="s">
        <v>142</v>
      </c>
      <c r="E105" s="213">
        <v>11.07</v>
      </c>
      <c r="F105" s="213" t="s">
        <v>25</v>
      </c>
      <c r="G105" s="213" t="s">
        <v>149</v>
      </c>
      <c r="H105" s="213" t="s">
        <v>69</v>
      </c>
      <c r="I105" s="217">
        <v>226</v>
      </c>
      <c r="J105" s="218">
        <v>44376.421876106193</v>
      </c>
      <c r="K105" s="218">
        <v>1659.2925</v>
      </c>
      <c r="L105" s="218">
        <v>11877.482598000001</v>
      </c>
      <c r="M105" s="218">
        <v>868.69795460768796</v>
      </c>
      <c r="N105" s="219">
        <f t="shared" si="52"/>
        <v>58781.894928713889</v>
      </c>
      <c r="O105" s="219">
        <f t="shared" si="53"/>
        <v>55775.997099558153</v>
      </c>
      <c r="P105" s="219">
        <f t="shared" si="54"/>
        <v>2085.5375389594001</v>
      </c>
      <c r="Q105" s="219">
        <f t="shared" si="54"/>
        <v>14928.613144738509</v>
      </c>
      <c r="R105" s="219">
        <f t="shared" si="54"/>
        <v>1091.8522167439328</v>
      </c>
      <c r="S105" s="218">
        <v>73882</v>
      </c>
      <c r="T105" s="220">
        <f t="shared" si="55"/>
        <v>1.2568836048854557</v>
      </c>
      <c r="U105" s="219">
        <f t="shared" si="56"/>
        <v>13284708.253889339</v>
      </c>
      <c r="V105" s="219">
        <f t="shared" si="57"/>
        <v>16697332</v>
      </c>
      <c r="W105" s="213" t="s">
        <v>140</v>
      </c>
      <c r="X105" s="213" t="s">
        <v>92</v>
      </c>
      <c r="Y105" s="221">
        <f>SUMIFS(Cert_App_Output!$G:$G,Cert_App_Output!$E:$E,$E105,Cert_App_Output!$K:$K,$X105)</f>
        <v>1</v>
      </c>
    </row>
    <row r="106" spans="1:25" x14ac:dyDescent="0.35">
      <c r="E106" s="213">
        <v>12</v>
      </c>
      <c r="G106" s="213" t="s">
        <v>150</v>
      </c>
      <c r="I106" s="214"/>
      <c r="J106" s="215"/>
      <c r="K106" s="215"/>
      <c r="L106" s="215"/>
      <c r="M106" s="215"/>
      <c r="N106" s="215"/>
      <c r="O106" s="215"/>
      <c r="P106" s="215"/>
      <c r="Q106" s="215"/>
      <c r="R106" s="215"/>
      <c r="S106" s="215"/>
      <c r="T106" s="216"/>
      <c r="U106" s="215"/>
      <c r="V106" s="215"/>
      <c r="Y106" s="203"/>
    </row>
    <row r="107" spans="1:25" x14ac:dyDescent="0.35">
      <c r="A107" s="213" t="s">
        <v>141</v>
      </c>
      <c r="B107" s="213" t="s">
        <v>24</v>
      </c>
      <c r="C107" s="213" t="s">
        <v>24</v>
      </c>
      <c r="D107" s="213" t="s">
        <v>142</v>
      </c>
      <c r="E107" s="213">
        <v>12.01</v>
      </c>
      <c r="F107" s="213" t="s">
        <v>25</v>
      </c>
      <c r="G107" s="213" t="s">
        <v>151</v>
      </c>
      <c r="H107" s="213" t="s">
        <v>33</v>
      </c>
      <c r="I107" s="217">
        <v>779</v>
      </c>
      <c r="J107" s="218">
        <v>3132.231404958678</v>
      </c>
      <c r="K107" s="218">
        <v>0</v>
      </c>
      <c r="L107" s="218">
        <v>2684.8882490000001</v>
      </c>
      <c r="M107" s="218">
        <v>87.256794806285882</v>
      </c>
      <c r="N107" s="219">
        <f>SUM(J107:M107)</f>
        <v>5904.3764487649642</v>
      </c>
      <c r="O107" s="219">
        <f>IF($N107=0,$S107,J107/$N107*$S107)</f>
        <v>3937.3203401463402</v>
      </c>
      <c r="P107" s="219">
        <f t="shared" ref="P107:R111" si="58">IF($N107=0,0,K107/$N107*$S107)</f>
        <v>0</v>
      </c>
      <c r="Q107" s="219">
        <f t="shared" si="58"/>
        <v>3374.9949307934526</v>
      </c>
      <c r="R107" s="219">
        <f t="shared" si="58"/>
        <v>109.68472906020726</v>
      </c>
      <c r="S107" s="218">
        <v>7422</v>
      </c>
      <c r="T107" s="220">
        <f>IFERROR(S107/N107,"")</f>
        <v>1.2570336706008103</v>
      </c>
      <c r="U107" s="219">
        <f>N107*I107</f>
        <v>4599509.2535879072</v>
      </c>
      <c r="V107" s="219">
        <f>S107*I107</f>
        <v>5781738</v>
      </c>
      <c r="W107" s="213" t="s">
        <v>150</v>
      </c>
      <c r="X107" s="213" t="s">
        <v>92</v>
      </c>
      <c r="Y107" s="221">
        <f>SUMIFS(Cert_App_Output!$G:$G,Cert_App_Output!$E:$E,$E107,Cert_App_Output!$K:$K,$X107)</f>
        <v>0</v>
      </c>
    </row>
    <row r="108" spans="1:25" x14ac:dyDescent="0.35">
      <c r="A108" s="213" t="s">
        <v>141</v>
      </c>
      <c r="B108" s="213" t="s">
        <v>24</v>
      </c>
      <c r="C108" s="213" t="s">
        <v>24</v>
      </c>
      <c r="D108" s="213" t="s">
        <v>142</v>
      </c>
      <c r="E108" s="213">
        <v>12.02</v>
      </c>
      <c r="F108" s="213" t="s">
        <v>25</v>
      </c>
      <c r="G108" s="213" t="s">
        <v>133</v>
      </c>
      <c r="H108" s="213" t="s">
        <v>33</v>
      </c>
      <c r="I108" s="217">
        <v>155</v>
      </c>
      <c r="J108" s="218">
        <v>758.10738300000003</v>
      </c>
      <c r="K108" s="218">
        <v>0</v>
      </c>
      <c r="L108" s="218">
        <v>3395.9551110000002</v>
      </c>
      <c r="M108" s="218">
        <v>122.76855228141859</v>
      </c>
      <c r="N108" s="219">
        <f>SUM(J108:M108)</f>
        <v>4276.8310462814188</v>
      </c>
      <c r="O108" s="219">
        <f>IF($N108=0,$S108,J108/$N108*$S108)</f>
        <v>952.94512383218978</v>
      </c>
      <c r="P108" s="219">
        <f t="shared" si="58"/>
        <v>0</v>
      </c>
      <c r="Q108" s="219">
        <f t="shared" si="58"/>
        <v>4268.7341349641656</v>
      </c>
      <c r="R108" s="219">
        <f t="shared" si="58"/>
        <v>154.32074120364436</v>
      </c>
      <c r="S108" s="218">
        <v>5376</v>
      </c>
      <c r="T108" s="220">
        <f>IFERROR(S108/N108,"")</f>
        <v>1.2570054654542122</v>
      </c>
      <c r="U108" s="219">
        <f>N108*I108</f>
        <v>662908.81217361987</v>
      </c>
      <c r="V108" s="219">
        <f>S108*I108</f>
        <v>833280</v>
      </c>
      <c r="W108" s="213" t="s">
        <v>150</v>
      </c>
      <c r="X108" s="213" t="s">
        <v>92</v>
      </c>
      <c r="Y108" s="221">
        <f>SUMIFS(Cert_App_Output!$G:$G,Cert_App_Output!$E:$E,$E108,Cert_App_Output!$K:$K,$X108)</f>
        <v>0</v>
      </c>
    </row>
    <row r="109" spans="1:25" x14ac:dyDescent="0.35">
      <c r="A109" s="213" t="s">
        <v>141</v>
      </c>
      <c r="B109" s="213" t="s">
        <v>24</v>
      </c>
      <c r="C109" s="213" t="s">
        <v>24</v>
      </c>
      <c r="D109" s="213" t="s">
        <v>142</v>
      </c>
      <c r="E109" s="213">
        <v>12.03</v>
      </c>
      <c r="F109" s="213" t="s">
        <v>25</v>
      </c>
      <c r="G109" s="213" t="s">
        <v>152</v>
      </c>
      <c r="H109" s="213" t="s">
        <v>33</v>
      </c>
      <c r="I109" s="217">
        <v>37</v>
      </c>
      <c r="J109" s="218">
        <v>1185.4173163966941</v>
      </c>
      <c r="K109" s="218">
        <v>0</v>
      </c>
      <c r="L109" s="218">
        <v>4329.9040000000005</v>
      </c>
      <c r="M109" s="218">
        <v>95.289189026880749</v>
      </c>
      <c r="N109" s="219">
        <f>SUM(J109:M109)</f>
        <v>5610.6105054235759</v>
      </c>
      <c r="O109" s="219">
        <f>IF($N109=0,$S109,J109/$N109*$S109)</f>
        <v>1489.9560229940391</v>
      </c>
      <c r="P109" s="219">
        <f t="shared" si="58"/>
        <v>0</v>
      </c>
      <c r="Q109" s="219">
        <f t="shared" si="58"/>
        <v>5442.2745935550884</v>
      </c>
      <c r="R109" s="219">
        <f t="shared" si="58"/>
        <v>119.7693834508713</v>
      </c>
      <c r="S109" s="218">
        <v>7052</v>
      </c>
      <c r="T109" s="220">
        <f>IFERROR(S109/N109,"")</f>
        <v>1.2569042162493875</v>
      </c>
      <c r="U109" s="219">
        <f>N109*I109</f>
        <v>207592.58870067232</v>
      </c>
      <c r="V109" s="219">
        <f>S109*I109</f>
        <v>260924</v>
      </c>
      <c r="W109" s="213" t="s">
        <v>150</v>
      </c>
      <c r="X109" s="213" t="s">
        <v>92</v>
      </c>
      <c r="Y109" s="221">
        <f>SUMIFS(Cert_App_Output!$G:$G,Cert_App_Output!$E:$E,$E109,Cert_App_Output!$K:$K,$X109)</f>
        <v>0</v>
      </c>
    </row>
    <row r="110" spans="1:25" x14ac:dyDescent="0.35">
      <c r="A110" s="213" t="s">
        <v>141</v>
      </c>
      <c r="B110" s="213" t="s">
        <v>24</v>
      </c>
      <c r="C110" s="213" t="s">
        <v>24</v>
      </c>
      <c r="D110" s="213" t="s">
        <v>142</v>
      </c>
      <c r="E110" s="213">
        <v>12.04</v>
      </c>
      <c r="F110" s="213" t="s">
        <v>25</v>
      </c>
      <c r="G110" s="213" t="s">
        <v>153</v>
      </c>
      <c r="H110" s="213" t="s">
        <v>33</v>
      </c>
      <c r="I110" s="217">
        <v>433</v>
      </c>
      <c r="J110" s="218">
        <v>1185.4173163966941</v>
      </c>
      <c r="K110" s="218">
        <v>0</v>
      </c>
      <c r="L110" s="218">
        <v>4329.9040000000005</v>
      </c>
      <c r="M110" s="218">
        <v>95.289189026880749</v>
      </c>
      <c r="N110" s="219">
        <f>SUM(J110:M110)</f>
        <v>5610.6105054235759</v>
      </c>
      <c r="O110" s="219">
        <f>IF($N110=0,$S110,J110/$N110*$S110)</f>
        <v>1489.9560229940391</v>
      </c>
      <c r="P110" s="219">
        <f t="shared" si="58"/>
        <v>0</v>
      </c>
      <c r="Q110" s="219">
        <f t="shared" si="58"/>
        <v>5442.2745935550884</v>
      </c>
      <c r="R110" s="219">
        <f t="shared" si="58"/>
        <v>119.7693834508713</v>
      </c>
      <c r="S110" s="218">
        <v>7052</v>
      </c>
      <c r="T110" s="220">
        <f>IFERROR(S110/N110,"")</f>
        <v>1.2569042162493875</v>
      </c>
      <c r="U110" s="219">
        <f>N110*I110</f>
        <v>2429394.3488484086</v>
      </c>
      <c r="V110" s="219">
        <f>S110*I110</f>
        <v>3053516</v>
      </c>
      <c r="W110" s="213" t="s">
        <v>150</v>
      </c>
      <c r="X110" s="213" t="s">
        <v>92</v>
      </c>
      <c r="Y110" s="221">
        <f>SUMIFS(Cert_App_Output!$G:$G,Cert_App_Output!$E:$E,$E110,Cert_App_Output!$K:$K,$X110)</f>
        <v>0</v>
      </c>
    </row>
    <row r="111" spans="1:25" x14ac:dyDescent="0.35">
      <c r="A111" s="213" t="s">
        <v>141</v>
      </c>
      <c r="B111" s="213" t="s">
        <v>24</v>
      </c>
      <c r="C111" s="213" t="s">
        <v>24</v>
      </c>
      <c r="D111" s="213" t="s">
        <v>142</v>
      </c>
      <c r="E111" s="213">
        <v>12.05</v>
      </c>
      <c r="F111" s="213" t="s">
        <v>25</v>
      </c>
      <c r="G111" s="213" t="s">
        <v>154</v>
      </c>
      <c r="H111" s="213" t="s">
        <v>33</v>
      </c>
      <c r="I111" s="217">
        <v>155</v>
      </c>
      <c r="J111" s="218">
        <v>1185.4173163966941</v>
      </c>
      <c r="K111" s="218">
        <v>0</v>
      </c>
      <c r="L111" s="218">
        <v>4329.9040000000005</v>
      </c>
      <c r="M111" s="218">
        <v>95.289189026880749</v>
      </c>
      <c r="N111" s="219">
        <f>SUM(J111:M111)</f>
        <v>5610.6105054235759</v>
      </c>
      <c r="O111" s="219">
        <f>IF($N111=0,$S111,J111/$N111*$S111)</f>
        <v>1489.9560229940391</v>
      </c>
      <c r="P111" s="219">
        <f t="shared" si="58"/>
        <v>0</v>
      </c>
      <c r="Q111" s="219">
        <f t="shared" si="58"/>
        <v>5442.2745935550884</v>
      </c>
      <c r="R111" s="219">
        <f t="shared" si="58"/>
        <v>119.7693834508713</v>
      </c>
      <c r="S111" s="218">
        <v>7052</v>
      </c>
      <c r="T111" s="220">
        <f>IFERROR(S111/N111,"")</f>
        <v>1.2569042162493875</v>
      </c>
      <c r="U111" s="219">
        <f>N111*I111</f>
        <v>869644.62834065431</v>
      </c>
      <c r="V111" s="219">
        <f>S111*I111</f>
        <v>1093060</v>
      </c>
      <c r="W111" s="213" t="s">
        <v>150</v>
      </c>
      <c r="X111" s="213" t="s">
        <v>92</v>
      </c>
      <c r="Y111" s="221">
        <f>SUMIFS(Cert_App_Output!$G:$G,Cert_App_Output!$E:$E,$E111,Cert_App_Output!$K:$K,$X111)</f>
        <v>0</v>
      </c>
    </row>
    <row r="112" spans="1:25" x14ac:dyDescent="0.35">
      <c r="E112" s="213">
        <v>13</v>
      </c>
      <c r="G112" s="213" t="s">
        <v>155</v>
      </c>
      <c r="I112" s="214"/>
      <c r="J112" s="215"/>
      <c r="K112" s="215"/>
      <c r="L112" s="215"/>
      <c r="M112" s="215"/>
      <c r="N112" s="215"/>
      <c r="O112" s="215"/>
      <c r="P112" s="215"/>
      <c r="Q112" s="215"/>
      <c r="R112" s="215"/>
      <c r="S112" s="215"/>
      <c r="T112" s="216"/>
      <c r="U112" s="215"/>
      <c r="V112" s="215"/>
      <c r="Y112" s="203"/>
    </row>
    <row r="113" spans="1:25" x14ac:dyDescent="0.35">
      <c r="A113" s="213" t="s">
        <v>141</v>
      </c>
      <c r="B113" s="213" t="s">
        <v>24</v>
      </c>
      <c r="C113" s="213" t="s">
        <v>24</v>
      </c>
      <c r="D113" s="213" t="s">
        <v>142</v>
      </c>
      <c r="E113" s="213">
        <v>13.01</v>
      </c>
      <c r="F113" s="213" t="s">
        <v>25</v>
      </c>
      <c r="G113" s="213" t="s">
        <v>156</v>
      </c>
      <c r="H113" s="213" t="s">
        <v>69</v>
      </c>
      <c r="I113" s="217">
        <v>511</v>
      </c>
      <c r="J113" s="218">
        <v>7250.1086533719017</v>
      </c>
      <c r="K113" s="218">
        <v>0</v>
      </c>
      <c r="L113" s="218">
        <v>12989.711998999999</v>
      </c>
      <c r="M113" s="218">
        <v>285.86756708064229</v>
      </c>
      <c r="N113" s="219">
        <f>SUM(J113:M113)</f>
        <v>20525.688219452542</v>
      </c>
      <c r="O113" s="219">
        <f>IF($N113=0,$S113,J113/$N113*$S113)</f>
        <v>9112.754278858989</v>
      </c>
      <c r="P113" s="219">
        <f t="shared" ref="P113:R116" si="59">IF($N113=0,0,K113/$N113*$S113)</f>
        <v>0</v>
      </c>
      <c r="Q113" s="219">
        <f t="shared" si="59"/>
        <v>16326.935120479935</v>
      </c>
      <c r="R113" s="219">
        <f t="shared" si="59"/>
        <v>359.31060066107727</v>
      </c>
      <c r="S113" s="218">
        <v>25799</v>
      </c>
      <c r="T113" s="220">
        <f>IFERROR(S113/N113,"")</f>
        <v>1.2569127877305402</v>
      </c>
      <c r="U113" s="219">
        <f>N113*I113</f>
        <v>10488626.680140249</v>
      </c>
      <c r="V113" s="219">
        <f>S113*I113</f>
        <v>13183289</v>
      </c>
      <c r="W113" s="213" t="s">
        <v>155</v>
      </c>
      <c r="X113" s="213" t="s">
        <v>92</v>
      </c>
      <c r="Y113" s="221">
        <f>SUMIFS(Cert_App_Output!$G:$G,Cert_App_Output!$E:$E,$E113,Cert_App_Output!$K:$K,$X113)</f>
        <v>0</v>
      </c>
    </row>
    <row r="114" spans="1:25" x14ac:dyDescent="0.35">
      <c r="A114" s="213" t="s">
        <v>141</v>
      </c>
      <c r="B114" s="213" t="s">
        <v>24</v>
      </c>
      <c r="C114" s="213" t="s">
        <v>24</v>
      </c>
      <c r="D114" s="213" t="s">
        <v>142</v>
      </c>
      <c r="E114" s="213">
        <v>13.02</v>
      </c>
      <c r="F114" s="213" t="s">
        <v>25</v>
      </c>
      <c r="G114" s="213" t="s">
        <v>157</v>
      </c>
      <c r="H114" s="213" t="s">
        <v>69</v>
      </c>
      <c r="I114" s="217">
        <v>40</v>
      </c>
      <c r="J114" s="218">
        <v>7250.1086533719017</v>
      </c>
      <c r="K114" s="218">
        <v>0</v>
      </c>
      <c r="L114" s="218">
        <v>12989.711998999999</v>
      </c>
      <c r="M114" s="218">
        <v>285.86756708064229</v>
      </c>
      <c r="N114" s="219">
        <f>SUM(J114:M114)</f>
        <v>20525.688219452542</v>
      </c>
      <c r="O114" s="219">
        <f>IF($N114=0,$S114,J114/$N114*$S114)</f>
        <v>9112.754278858989</v>
      </c>
      <c r="P114" s="219">
        <f t="shared" si="59"/>
        <v>0</v>
      </c>
      <c r="Q114" s="219">
        <f t="shared" si="59"/>
        <v>16326.935120479935</v>
      </c>
      <c r="R114" s="219">
        <f t="shared" si="59"/>
        <v>359.31060066107727</v>
      </c>
      <c r="S114" s="218">
        <v>25799</v>
      </c>
      <c r="T114" s="220">
        <f>IFERROR(S114/N114,"")</f>
        <v>1.2569127877305402</v>
      </c>
      <c r="U114" s="219">
        <f>N114*I114</f>
        <v>821027.52877810167</v>
      </c>
      <c r="V114" s="219">
        <f>S114*I114</f>
        <v>1031960</v>
      </c>
      <c r="W114" s="213" t="s">
        <v>155</v>
      </c>
      <c r="X114" s="213" t="s">
        <v>92</v>
      </c>
      <c r="Y114" s="221">
        <f>SUMIFS(Cert_App_Output!$G:$G,Cert_App_Output!$E:$E,$E114,Cert_App_Output!$K:$K,$X114)</f>
        <v>0</v>
      </c>
    </row>
    <row r="115" spans="1:25" x14ac:dyDescent="0.35">
      <c r="A115" s="213" t="s">
        <v>141</v>
      </c>
      <c r="B115" s="213" t="s">
        <v>24</v>
      </c>
      <c r="C115" s="213" t="s">
        <v>142</v>
      </c>
      <c r="D115" s="213" t="s">
        <v>142</v>
      </c>
      <c r="E115" s="213">
        <v>13.03</v>
      </c>
      <c r="F115" s="213" t="s">
        <v>25</v>
      </c>
      <c r="G115" s="213" t="s">
        <v>158</v>
      </c>
      <c r="H115" s="213" t="s">
        <v>69</v>
      </c>
      <c r="I115" s="217">
        <v>147.601</v>
      </c>
      <c r="J115" s="218">
        <v>7250.1086533719017</v>
      </c>
      <c r="K115" s="218">
        <v>3247.4279999999999</v>
      </c>
      <c r="L115" s="218">
        <v>12989.711998999999</v>
      </c>
      <c r="M115" s="218">
        <v>285.86756708064229</v>
      </c>
      <c r="N115" s="219">
        <f>SUM(J115:M115)</f>
        <v>23773.116219452542</v>
      </c>
      <c r="O115" s="219">
        <f>IF($N115=0,$S115,J115/$N115*$S115)</f>
        <v>9112.835468079611</v>
      </c>
      <c r="P115" s="219">
        <f t="shared" si="59"/>
        <v>4081.7701462544983</v>
      </c>
      <c r="Q115" s="219">
        <f t="shared" si="59"/>
        <v>16327.080583761068</v>
      </c>
      <c r="R115" s="219">
        <f t="shared" si="59"/>
        <v>359.31380190482162</v>
      </c>
      <c r="S115" s="218">
        <v>29881</v>
      </c>
      <c r="T115" s="220">
        <f>IFERROR(S115/N115,"")</f>
        <v>1.2569239860759034</v>
      </c>
      <c r="U115" s="219">
        <f>N115*I115</f>
        <v>3508935.7271074145</v>
      </c>
      <c r="V115" s="219">
        <f>S115*I115</f>
        <v>4410465.4809999997</v>
      </c>
      <c r="W115" s="213" t="s">
        <v>155</v>
      </c>
      <c r="X115" s="213" t="s">
        <v>92</v>
      </c>
      <c r="Y115" s="221">
        <f>SUMIFS(Cert_App_Output!$G:$G,Cert_App_Output!$E:$E,$E115,Cert_App_Output!$K:$K,$X115)</f>
        <v>0</v>
      </c>
    </row>
    <row r="116" spans="1:25" x14ac:dyDescent="0.35">
      <c r="A116" s="213" t="s">
        <v>141</v>
      </c>
      <c r="B116" s="213" t="s">
        <v>24</v>
      </c>
      <c r="C116" s="213" t="s">
        <v>24</v>
      </c>
      <c r="D116" s="213" t="s">
        <v>24</v>
      </c>
      <c r="E116" s="213">
        <v>13.04</v>
      </c>
      <c r="F116" s="213" t="s">
        <v>25</v>
      </c>
      <c r="G116" s="213" t="s">
        <v>159</v>
      </c>
      <c r="H116" s="213" t="s">
        <v>66</v>
      </c>
      <c r="I116" s="217">
        <v>41</v>
      </c>
      <c r="J116" s="218">
        <v>15666.94214876033</v>
      </c>
      <c r="K116" s="218">
        <v>0</v>
      </c>
      <c r="L116" s="218">
        <v>0</v>
      </c>
      <c r="M116" s="218">
        <v>0</v>
      </c>
      <c r="N116" s="219">
        <f>SUM(J116:M116)</f>
        <v>15666.94214876033</v>
      </c>
      <c r="O116" s="219">
        <f>IF($N116=0,$S116,J116/$N116*$S116)</f>
        <v>19692</v>
      </c>
      <c r="P116" s="219">
        <f t="shared" si="59"/>
        <v>0</v>
      </c>
      <c r="Q116" s="219">
        <f t="shared" si="59"/>
        <v>0</v>
      </c>
      <c r="R116" s="219">
        <f t="shared" si="59"/>
        <v>0</v>
      </c>
      <c r="S116" s="218">
        <v>19692</v>
      </c>
      <c r="T116" s="220">
        <f>IFERROR(S116/N116,"")</f>
        <v>1.2569140686817535</v>
      </c>
      <c r="U116" s="219">
        <f>N116*I116</f>
        <v>642344.62809917354</v>
      </c>
      <c r="V116" s="219">
        <f>S116*I116</f>
        <v>807372</v>
      </c>
      <c r="W116" s="213" t="s">
        <v>155</v>
      </c>
      <c r="X116" s="213" t="s">
        <v>92</v>
      </c>
      <c r="Y116" s="221">
        <f>SUMIFS(Cert_App_Output!$G:$G,Cert_App_Output!$E:$E,$E116,Cert_App_Output!$K:$K,$X116)</f>
        <v>0</v>
      </c>
    </row>
    <row r="117" spans="1:25" x14ac:dyDescent="0.35">
      <c r="E117" s="213">
        <v>14</v>
      </c>
      <c r="G117" s="213" t="s">
        <v>160</v>
      </c>
      <c r="I117" s="214"/>
      <c r="J117" s="215"/>
      <c r="K117" s="215"/>
      <c r="L117" s="215"/>
      <c r="M117" s="215"/>
      <c r="N117" s="215"/>
      <c r="O117" s="215"/>
      <c r="P117" s="215"/>
      <c r="Q117" s="215"/>
      <c r="R117" s="215"/>
      <c r="S117" s="215"/>
      <c r="T117" s="216"/>
      <c r="U117" s="215"/>
      <c r="V117" s="215"/>
      <c r="Y117" s="203"/>
    </row>
    <row r="118" spans="1:25" x14ac:dyDescent="0.35">
      <c r="A118" s="213" t="s">
        <v>115</v>
      </c>
      <c r="B118" s="213" t="s">
        <v>24</v>
      </c>
      <c r="C118" s="213" t="s">
        <v>116</v>
      </c>
      <c r="D118" s="213" t="s">
        <v>24</v>
      </c>
      <c r="E118" s="213">
        <v>14.01</v>
      </c>
      <c r="F118" s="213" t="s">
        <v>25</v>
      </c>
      <c r="G118" s="213" t="s">
        <v>161</v>
      </c>
      <c r="H118" s="213" t="s">
        <v>69</v>
      </c>
      <c r="I118" s="217">
        <v>334.91520000000003</v>
      </c>
      <c r="J118" s="218">
        <v>9357.531771197835</v>
      </c>
      <c r="K118" s="218">
        <v>13673.38105190989</v>
      </c>
      <c r="L118" s="218">
        <v>0</v>
      </c>
      <c r="M118" s="218">
        <v>256.8223600688724</v>
      </c>
      <c r="N118" s="219">
        <f t="shared" ref="N118:N124" si="60">SUM(J118:M118)</f>
        <v>23287.735183176599</v>
      </c>
      <c r="O118" s="219">
        <f t="shared" ref="O118:O124" si="61">IF($N118=0,$S118,J118/$N118*$S118)</f>
        <v>11761.339296782555</v>
      </c>
      <c r="P118" s="219">
        <f t="shared" ref="P118:R124" si="62">IF($N118=0,0,K118/$N118*$S118)</f>
        <v>17185.864586717184</v>
      </c>
      <c r="Q118" s="219">
        <f t="shared" si="62"/>
        <v>0</v>
      </c>
      <c r="R118" s="219">
        <f t="shared" si="62"/>
        <v>322.79611650026078</v>
      </c>
      <c r="S118" s="218">
        <v>29270</v>
      </c>
      <c r="T118" s="220">
        <f t="shared" ref="T118:T124" si="63">IFERROR(S118/N118,"")</f>
        <v>1.2568847837614143</v>
      </c>
      <c r="U118" s="219">
        <f t="shared" ref="U118:U124" si="64">N118*I118</f>
        <v>7799416.4864206277</v>
      </c>
      <c r="V118" s="219">
        <f t="shared" ref="V118:V124" si="65">S118*I118</f>
        <v>9802967.904000001</v>
      </c>
      <c r="W118" s="213" t="s">
        <v>160</v>
      </c>
      <c r="X118" s="213" t="s">
        <v>92</v>
      </c>
      <c r="Y118" s="221">
        <f>SUMIFS(Cert_App_Output!$G:$G,Cert_App_Output!$E:$E,$E118,Cert_App_Output!$K:$K,$X118)</f>
        <v>0.60000000000000009</v>
      </c>
    </row>
    <row r="119" spans="1:25" x14ac:dyDescent="0.35">
      <c r="A119" s="213" t="s">
        <v>115</v>
      </c>
      <c r="B119" s="213" t="s">
        <v>24</v>
      </c>
      <c r="C119" s="213" t="s">
        <v>116</v>
      </c>
      <c r="D119" s="213" t="s">
        <v>24</v>
      </c>
      <c r="E119" s="213">
        <v>14.02</v>
      </c>
      <c r="F119" s="213" t="s">
        <v>25</v>
      </c>
      <c r="G119" s="213" t="s">
        <v>162</v>
      </c>
      <c r="H119" s="213" t="s">
        <v>69</v>
      </c>
      <c r="I119" s="217">
        <v>280.3913</v>
      </c>
      <c r="J119" s="218">
        <v>13094.309718890139</v>
      </c>
      <c r="K119" s="218">
        <v>13673.38105190989</v>
      </c>
      <c r="L119" s="218">
        <v>0</v>
      </c>
      <c r="M119" s="218">
        <v>256.8223600688724</v>
      </c>
      <c r="N119" s="219">
        <f t="shared" si="60"/>
        <v>27024.513130868901</v>
      </c>
      <c r="O119" s="219">
        <f t="shared" si="61"/>
        <v>16458.184318351152</v>
      </c>
      <c r="P119" s="219">
        <f t="shared" si="62"/>
        <v>17186.016707909152</v>
      </c>
      <c r="Q119" s="219">
        <f t="shared" si="62"/>
        <v>0</v>
      </c>
      <c r="R119" s="219">
        <f t="shared" si="62"/>
        <v>322.79897373969482</v>
      </c>
      <c r="S119" s="218">
        <v>33967</v>
      </c>
      <c r="T119" s="220">
        <f t="shared" si="63"/>
        <v>1.2568959091144922</v>
      </c>
      <c r="U119" s="219">
        <f t="shared" si="64"/>
        <v>7577438.3686314011</v>
      </c>
      <c r="V119" s="219">
        <f t="shared" si="65"/>
        <v>9524051.2871000003</v>
      </c>
      <c r="W119" s="213" t="s">
        <v>160</v>
      </c>
      <c r="X119" s="213" t="s">
        <v>92</v>
      </c>
      <c r="Y119" s="221">
        <f>SUMIFS(Cert_App_Output!$G:$G,Cert_App_Output!$E:$E,$E119,Cert_App_Output!$K:$K,$X119)</f>
        <v>0.7</v>
      </c>
    </row>
    <row r="120" spans="1:25" x14ac:dyDescent="0.35">
      <c r="A120" s="213" t="s">
        <v>115</v>
      </c>
      <c r="B120" s="213" t="s">
        <v>24</v>
      </c>
      <c r="C120" s="213" t="s">
        <v>116</v>
      </c>
      <c r="D120" s="213" t="s">
        <v>24</v>
      </c>
      <c r="E120" s="213">
        <v>14.03</v>
      </c>
      <c r="F120" s="213" t="s">
        <v>25</v>
      </c>
      <c r="G120" s="213" t="s">
        <v>163</v>
      </c>
      <c r="H120" s="213" t="s">
        <v>33</v>
      </c>
      <c r="I120" s="217">
        <v>60.8</v>
      </c>
      <c r="J120" s="218">
        <v>9357.531771197835</v>
      </c>
      <c r="K120" s="218">
        <v>13673.38105190989</v>
      </c>
      <c r="L120" s="218">
        <v>0</v>
      </c>
      <c r="M120" s="218">
        <v>256.8223600688724</v>
      </c>
      <c r="N120" s="219">
        <f t="shared" si="60"/>
        <v>23287.735183176599</v>
      </c>
      <c r="O120" s="219">
        <f t="shared" si="61"/>
        <v>11761.339296782555</v>
      </c>
      <c r="P120" s="219">
        <f t="shared" si="62"/>
        <v>17185.864586717184</v>
      </c>
      <c r="Q120" s="219">
        <f t="shared" si="62"/>
        <v>0</v>
      </c>
      <c r="R120" s="219">
        <f t="shared" si="62"/>
        <v>322.79611650026078</v>
      </c>
      <c r="S120" s="218">
        <v>29270</v>
      </c>
      <c r="T120" s="220">
        <f t="shared" si="63"/>
        <v>1.2568847837614143</v>
      </c>
      <c r="U120" s="219">
        <f t="shared" si="64"/>
        <v>1415894.2991371371</v>
      </c>
      <c r="V120" s="219">
        <f t="shared" si="65"/>
        <v>1779616</v>
      </c>
      <c r="W120" s="213" t="s">
        <v>160</v>
      </c>
      <c r="X120" s="213" t="s">
        <v>92</v>
      </c>
      <c r="Y120" s="221">
        <f>SUMIFS(Cert_App_Output!$G:$G,Cert_App_Output!$E:$E,$E120,Cert_App_Output!$K:$K,$X120)</f>
        <v>0.6</v>
      </c>
    </row>
    <row r="121" spans="1:25" x14ac:dyDescent="0.35">
      <c r="A121" s="213" t="s">
        <v>115</v>
      </c>
      <c r="B121" s="213" t="s">
        <v>24</v>
      </c>
      <c r="C121" s="213" t="s">
        <v>116</v>
      </c>
      <c r="D121" s="213" t="s">
        <v>24</v>
      </c>
      <c r="E121" s="213">
        <v>14.04</v>
      </c>
      <c r="F121" s="213" t="s">
        <v>25</v>
      </c>
      <c r="G121" s="213" t="s">
        <v>164</v>
      </c>
      <c r="H121" s="213" t="s">
        <v>33</v>
      </c>
      <c r="I121" s="217">
        <v>1058.3800000000001</v>
      </c>
      <c r="J121" s="218">
        <v>1093.3011417</v>
      </c>
      <c r="K121" s="218">
        <v>5007.5365484381318</v>
      </c>
      <c r="L121" s="218">
        <v>0</v>
      </c>
      <c r="M121" s="218">
        <v>162.65416137695249</v>
      </c>
      <c r="N121" s="219">
        <f t="shared" si="60"/>
        <v>6263.4918515150839</v>
      </c>
      <c r="O121" s="219">
        <f t="shared" si="61"/>
        <v>1374.2430089570573</v>
      </c>
      <c r="P121" s="219">
        <f t="shared" si="62"/>
        <v>6294.3061443142151</v>
      </c>
      <c r="Q121" s="219">
        <f t="shared" si="62"/>
        <v>0</v>
      </c>
      <c r="R121" s="219">
        <f t="shared" si="62"/>
        <v>204.45084672872798</v>
      </c>
      <c r="S121" s="218">
        <v>7873</v>
      </c>
      <c r="T121" s="220">
        <f t="shared" si="63"/>
        <v>1.2569665909432914</v>
      </c>
      <c r="U121" s="219">
        <f t="shared" si="64"/>
        <v>6629154.5058065355</v>
      </c>
      <c r="V121" s="219">
        <f t="shared" si="65"/>
        <v>8332625.7400000012</v>
      </c>
      <c r="W121" s="213" t="s">
        <v>160</v>
      </c>
      <c r="X121" s="213" t="s">
        <v>92</v>
      </c>
      <c r="Y121" s="221">
        <f>SUMIFS(Cert_App_Output!$G:$G,Cert_App_Output!$E:$E,$E121,Cert_App_Output!$K:$K,$X121)</f>
        <v>0.6</v>
      </c>
    </row>
    <row r="122" spans="1:25" x14ac:dyDescent="0.35">
      <c r="A122" s="213" t="s">
        <v>115</v>
      </c>
      <c r="B122" s="213" t="s">
        <v>24</v>
      </c>
      <c r="C122" s="213" t="s">
        <v>116</v>
      </c>
      <c r="D122" s="213" t="s">
        <v>24</v>
      </c>
      <c r="E122" s="213">
        <v>14.05</v>
      </c>
      <c r="F122" s="213" t="s">
        <v>25</v>
      </c>
      <c r="G122" s="213" t="s">
        <v>165</v>
      </c>
      <c r="H122" s="213" t="s">
        <v>69</v>
      </c>
      <c r="I122" s="217">
        <v>504.12220000000002</v>
      </c>
      <c r="J122" s="218">
        <v>5770.2850618361972</v>
      </c>
      <c r="K122" s="218">
        <v>12817.95153134847</v>
      </c>
      <c r="L122" s="218">
        <v>0</v>
      </c>
      <c r="M122" s="218">
        <v>0</v>
      </c>
      <c r="N122" s="219">
        <f t="shared" si="60"/>
        <v>18588.236593184665</v>
      </c>
      <c r="O122" s="219">
        <f t="shared" si="61"/>
        <v>7252.8095663561344</v>
      </c>
      <c r="P122" s="219">
        <f t="shared" si="62"/>
        <v>16111.190433643867</v>
      </c>
      <c r="Q122" s="219">
        <f t="shared" si="62"/>
        <v>0</v>
      </c>
      <c r="R122" s="219">
        <f t="shared" si="62"/>
        <v>0</v>
      </c>
      <c r="S122" s="218">
        <v>23364</v>
      </c>
      <c r="T122" s="220">
        <f t="shared" si="63"/>
        <v>1.2569239627908737</v>
      </c>
      <c r="U122" s="219">
        <f t="shared" si="64"/>
        <v>9370742.7254767586</v>
      </c>
      <c r="V122" s="219">
        <f t="shared" si="65"/>
        <v>11778311.080800001</v>
      </c>
      <c r="W122" s="213" t="s">
        <v>160</v>
      </c>
      <c r="X122" s="213" t="s">
        <v>92</v>
      </c>
      <c r="Y122" s="221">
        <f>SUMIFS(Cert_App_Output!$G:$G,Cert_App_Output!$E:$E,$E122,Cert_App_Output!$K:$K,$X122)</f>
        <v>0.60000000000000009</v>
      </c>
    </row>
    <row r="123" spans="1:25" x14ac:dyDescent="0.35">
      <c r="A123" s="213" t="s">
        <v>24</v>
      </c>
      <c r="B123" s="213" t="s">
        <v>24</v>
      </c>
      <c r="C123" s="213" t="s">
        <v>116</v>
      </c>
      <c r="D123" s="213" t="s">
        <v>24</v>
      </c>
      <c r="E123" s="213">
        <v>14.06</v>
      </c>
      <c r="F123" s="213" t="s">
        <v>25</v>
      </c>
      <c r="G123" s="213" t="s">
        <v>166</v>
      </c>
      <c r="H123" s="213" t="s">
        <v>33</v>
      </c>
      <c r="I123" s="217">
        <v>555.99</v>
      </c>
      <c r="J123" s="218">
        <v>0</v>
      </c>
      <c r="K123" s="218">
        <v>10160.57133582501</v>
      </c>
      <c r="L123" s="218">
        <v>0</v>
      </c>
      <c r="M123" s="218">
        <v>0</v>
      </c>
      <c r="N123" s="219">
        <f t="shared" si="60"/>
        <v>10160.57133582501</v>
      </c>
      <c r="O123" s="219">
        <f t="shared" si="61"/>
        <v>0</v>
      </c>
      <c r="P123" s="219">
        <f t="shared" si="62"/>
        <v>12771</v>
      </c>
      <c r="Q123" s="219">
        <f t="shared" si="62"/>
        <v>0</v>
      </c>
      <c r="R123" s="219">
        <f t="shared" si="62"/>
        <v>0</v>
      </c>
      <c r="S123" s="218">
        <v>12771</v>
      </c>
      <c r="T123" s="220">
        <f t="shared" si="63"/>
        <v>1.2569175076770454</v>
      </c>
      <c r="U123" s="219">
        <f t="shared" si="64"/>
        <v>5649176.0570053477</v>
      </c>
      <c r="V123" s="219">
        <f t="shared" si="65"/>
        <v>7100548.29</v>
      </c>
      <c r="W123" s="213" t="s">
        <v>160</v>
      </c>
      <c r="X123" s="213" t="s">
        <v>92</v>
      </c>
      <c r="Y123" s="221">
        <f>SUMIFS(Cert_App_Output!$G:$G,Cert_App_Output!$E:$E,$E123,Cert_App_Output!$K:$K,$X123)</f>
        <v>0.60000000000000009</v>
      </c>
    </row>
    <row r="124" spans="1:25" x14ac:dyDescent="0.35">
      <c r="A124" s="213" t="s">
        <v>76</v>
      </c>
      <c r="B124" s="213" t="s">
        <v>24</v>
      </c>
      <c r="C124" s="213" t="s">
        <v>24</v>
      </c>
      <c r="D124" s="213" t="s">
        <v>71</v>
      </c>
      <c r="E124" s="213">
        <v>14.07</v>
      </c>
      <c r="F124" s="213" t="s">
        <v>25</v>
      </c>
      <c r="G124" s="213" t="s">
        <v>167</v>
      </c>
      <c r="H124" s="213" t="s">
        <v>69</v>
      </c>
      <c r="I124" s="217">
        <v>429.07780000000002</v>
      </c>
      <c r="J124" s="218">
        <v>699.17390272812986</v>
      </c>
      <c r="K124" s="218">
        <v>0</v>
      </c>
      <c r="L124" s="218">
        <v>2914.326619861105</v>
      </c>
      <c r="M124" s="218">
        <v>54.202507838838528</v>
      </c>
      <c r="N124" s="219">
        <f t="shared" si="60"/>
        <v>3667.7030304280734</v>
      </c>
      <c r="O124" s="219">
        <f t="shared" si="61"/>
        <v>878.80389029219907</v>
      </c>
      <c r="P124" s="219">
        <f t="shared" si="62"/>
        <v>0</v>
      </c>
      <c r="Q124" s="219">
        <f t="shared" si="62"/>
        <v>3663.0680308900669</v>
      </c>
      <c r="R124" s="219">
        <f t="shared" si="62"/>
        <v>68.128078817733993</v>
      </c>
      <c r="S124" s="218">
        <v>4610</v>
      </c>
      <c r="T124" s="220">
        <f t="shared" si="63"/>
        <v>1.2569174662600606</v>
      </c>
      <c r="U124" s="219">
        <f t="shared" si="64"/>
        <v>1573729.947349411</v>
      </c>
      <c r="V124" s="219">
        <f t="shared" si="65"/>
        <v>1978048.6580000001</v>
      </c>
      <c r="W124" s="213" t="s">
        <v>160</v>
      </c>
      <c r="X124" s="213" t="s">
        <v>92</v>
      </c>
      <c r="Y124" s="221">
        <f>SUMIFS(Cert_App_Output!$G:$G,Cert_App_Output!$E:$E,$E124,Cert_App_Output!$K:$K,$X124)</f>
        <v>0</v>
      </c>
    </row>
    <row r="125" spans="1:25" x14ac:dyDescent="0.35">
      <c r="E125" s="213">
        <v>15</v>
      </c>
      <c r="G125" s="213" t="s">
        <v>168</v>
      </c>
      <c r="I125" s="214"/>
      <c r="J125" s="215"/>
      <c r="K125" s="215"/>
      <c r="L125" s="215"/>
      <c r="M125" s="215"/>
      <c r="N125" s="215"/>
      <c r="O125" s="215"/>
      <c r="P125" s="215"/>
      <c r="Q125" s="215"/>
      <c r="R125" s="215"/>
      <c r="S125" s="215"/>
      <c r="T125" s="216"/>
      <c r="U125" s="215"/>
      <c r="V125" s="215"/>
      <c r="Y125" s="203"/>
    </row>
    <row r="126" spans="1:25" x14ac:dyDescent="0.35">
      <c r="A126" s="213" t="s">
        <v>169</v>
      </c>
      <c r="B126" s="213" t="s">
        <v>24</v>
      </c>
      <c r="C126" s="213" t="s">
        <v>24</v>
      </c>
      <c r="D126" s="213" t="s">
        <v>24</v>
      </c>
      <c r="E126" s="213">
        <v>15.01</v>
      </c>
      <c r="F126" s="213" t="s">
        <v>25</v>
      </c>
      <c r="G126" s="213" t="s">
        <v>170</v>
      </c>
      <c r="H126" s="213" t="s">
        <v>69</v>
      </c>
      <c r="I126" s="217">
        <v>2670</v>
      </c>
      <c r="J126" s="218">
        <v>0</v>
      </c>
      <c r="K126" s="218">
        <v>0</v>
      </c>
      <c r="L126" s="218">
        <v>0</v>
      </c>
      <c r="M126" s="218">
        <v>0</v>
      </c>
      <c r="N126" s="219">
        <f t="shared" ref="N126:N134" si="66">SUM(J126:M126)</f>
        <v>0</v>
      </c>
      <c r="O126" s="219">
        <f t="shared" ref="O126:O134" si="67">IF($N126=0,$S126,J126/$N126*$S126)</f>
        <v>0</v>
      </c>
      <c r="P126" s="219">
        <f t="shared" ref="P126:P134" si="68">IF($N126=0,0,K126/$N126*$S126)</f>
        <v>0</v>
      </c>
      <c r="Q126" s="219">
        <f t="shared" ref="Q126:Q134" si="69">IF($N126=0,0,L126/$N126*$S126)</f>
        <v>0</v>
      </c>
      <c r="R126" s="219">
        <f t="shared" ref="R126:R134" si="70">IF($N126=0,0,M126/$N126*$S126)</f>
        <v>0</v>
      </c>
      <c r="S126" s="218">
        <v>0</v>
      </c>
      <c r="T126" s="220" t="str">
        <f t="shared" ref="T126:T134" si="71">IFERROR(S126/N126,"")</f>
        <v/>
      </c>
      <c r="U126" s="219">
        <f t="shared" ref="U126:U134" si="72">N126*I126</f>
        <v>0</v>
      </c>
      <c r="V126" s="219">
        <f t="shared" ref="V126:V134" si="73">S126*I126</f>
        <v>0</v>
      </c>
      <c r="W126" s="213" t="s">
        <v>168</v>
      </c>
      <c r="X126" s="213" t="s">
        <v>92</v>
      </c>
      <c r="Y126" s="221">
        <f>SUMIFS(Cert_App_Output!$G:$G,Cert_App_Output!$E:$E,$E126,Cert_App_Output!$K:$K,$X126)</f>
        <v>0</v>
      </c>
    </row>
    <row r="127" spans="1:25" x14ac:dyDescent="0.35">
      <c r="A127" s="213" t="s">
        <v>169</v>
      </c>
      <c r="B127" s="213" t="s">
        <v>24</v>
      </c>
      <c r="C127" s="213" t="s">
        <v>24</v>
      </c>
      <c r="D127" s="213" t="s">
        <v>24</v>
      </c>
      <c r="E127" s="213">
        <v>15.02</v>
      </c>
      <c r="F127" s="213" t="s">
        <v>25</v>
      </c>
      <c r="G127" s="213" t="s">
        <v>171</v>
      </c>
      <c r="H127" s="213" t="s">
        <v>69</v>
      </c>
      <c r="I127" s="217">
        <v>961</v>
      </c>
      <c r="J127" s="218">
        <v>0</v>
      </c>
      <c r="K127" s="218">
        <v>0</v>
      </c>
      <c r="L127" s="218">
        <v>0</v>
      </c>
      <c r="M127" s="218">
        <v>0</v>
      </c>
      <c r="N127" s="219">
        <f t="shared" si="66"/>
        <v>0</v>
      </c>
      <c r="O127" s="219">
        <f t="shared" si="67"/>
        <v>0</v>
      </c>
      <c r="P127" s="219">
        <f t="shared" si="68"/>
        <v>0</v>
      </c>
      <c r="Q127" s="219">
        <f t="shared" si="69"/>
        <v>0</v>
      </c>
      <c r="R127" s="219">
        <f t="shared" si="70"/>
        <v>0</v>
      </c>
      <c r="S127" s="218">
        <v>0</v>
      </c>
      <c r="T127" s="220" t="str">
        <f t="shared" si="71"/>
        <v/>
      </c>
      <c r="U127" s="219">
        <f t="shared" si="72"/>
        <v>0</v>
      </c>
      <c r="V127" s="219">
        <f t="shared" si="73"/>
        <v>0</v>
      </c>
      <c r="W127" s="213" t="s">
        <v>168</v>
      </c>
      <c r="X127" s="213" t="s">
        <v>92</v>
      </c>
      <c r="Y127" s="221">
        <f>SUMIFS(Cert_App_Output!$G:$G,Cert_App_Output!$E:$E,$E127,Cert_App_Output!$K:$K,$X127)</f>
        <v>0</v>
      </c>
    </row>
    <row r="128" spans="1:25" x14ac:dyDescent="0.35">
      <c r="A128" s="213" t="s">
        <v>169</v>
      </c>
      <c r="B128" s="213" t="s">
        <v>24</v>
      </c>
      <c r="C128" s="213" t="s">
        <v>24</v>
      </c>
      <c r="D128" s="213" t="s">
        <v>24</v>
      </c>
      <c r="E128" s="213">
        <v>15.03</v>
      </c>
      <c r="F128" s="213" t="s">
        <v>25</v>
      </c>
      <c r="G128" s="213" t="s">
        <v>172</v>
      </c>
      <c r="H128" s="213" t="s">
        <v>69</v>
      </c>
      <c r="I128" s="217">
        <v>518</v>
      </c>
      <c r="J128" s="218">
        <v>0</v>
      </c>
      <c r="K128" s="218">
        <v>0</v>
      </c>
      <c r="L128" s="218">
        <v>0</v>
      </c>
      <c r="M128" s="218">
        <v>0</v>
      </c>
      <c r="N128" s="219">
        <f t="shared" si="66"/>
        <v>0</v>
      </c>
      <c r="O128" s="219">
        <f t="shared" si="67"/>
        <v>0</v>
      </c>
      <c r="P128" s="219">
        <f t="shared" si="68"/>
        <v>0</v>
      </c>
      <c r="Q128" s="219">
        <f t="shared" si="69"/>
        <v>0</v>
      </c>
      <c r="R128" s="219">
        <f t="shared" si="70"/>
        <v>0</v>
      </c>
      <c r="S128" s="218">
        <v>0</v>
      </c>
      <c r="T128" s="220" t="str">
        <f t="shared" si="71"/>
        <v/>
      </c>
      <c r="U128" s="219">
        <f t="shared" si="72"/>
        <v>0</v>
      </c>
      <c r="V128" s="219">
        <f t="shared" si="73"/>
        <v>0</v>
      </c>
      <c r="W128" s="213" t="s">
        <v>168</v>
      </c>
      <c r="X128" s="213" t="s">
        <v>92</v>
      </c>
      <c r="Y128" s="221">
        <f>SUMIFS(Cert_App_Output!$G:$G,Cert_App_Output!$E:$E,$E128,Cert_App_Output!$K:$K,$X128)</f>
        <v>0</v>
      </c>
    </row>
    <row r="129" spans="1:25" x14ac:dyDescent="0.35">
      <c r="A129" s="213" t="s">
        <v>169</v>
      </c>
      <c r="B129" s="213" t="s">
        <v>24</v>
      </c>
      <c r="C129" s="213" t="s">
        <v>24</v>
      </c>
      <c r="D129" s="213" t="s">
        <v>24</v>
      </c>
      <c r="E129" s="213">
        <v>15.04</v>
      </c>
      <c r="F129" s="213" t="s">
        <v>25</v>
      </c>
      <c r="G129" s="213" t="s">
        <v>173</v>
      </c>
      <c r="H129" s="213" t="s">
        <v>69</v>
      </c>
      <c r="I129" s="217">
        <v>612</v>
      </c>
      <c r="J129" s="218">
        <v>0</v>
      </c>
      <c r="K129" s="218">
        <v>0</v>
      </c>
      <c r="L129" s="218">
        <v>0</v>
      </c>
      <c r="M129" s="218">
        <v>0</v>
      </c>
      <c r="N129" s="219">
        <f t="shared" si="66"/>
        <v>0</v>
      </c>
      <c r="O129" s="219">
        <f t="shared" si="67"/>
        <v>0</v>
      </c>
      <c r="P129" s="219">
        <f t="shared" si="68"/>
        <v>0</v>
      </c>
      <c r="Q129" s="219">
        <f t="shared" si="69"/>
        <v>0</v>
      </c>
      <c r="R129" s="219">
        <f t="shared" si="70"/>
        <v>0</v>
      </c>
      <c r="S129" s="218">
        <v>0</v>
      </c>
      <c r="T129" s="220" t="str">
        <f t="shared" si="71"/>
        <v/>
      </c>
      <c r="U129" s="219">
        <f t="shared" si="72"/>
        <v>0</v>
      </c>
      <c r="V129" s="219">
        <f t="shared" si="73"/>
        <v>0</v>
      </c>
      <c r="W129" s="213" t="s">
        <v>168</v>
      </c>
      <c r="X129" s="213" t="s">
        <v>92</v>
      </c>
      <c r="Y129" s="221">
        <f>SUMIFS(Cert_App_Output!$G:$G,Cert_App_Output!$E:$E,$E129,Cert_App_Output!$K:$K,$X129)</f>
        <v>0</v>
      </c>
    </row>
    <row r="130" spans="1:25" x14ac:dyDescent="0.35">
      <c r="A130" s="213" t="s">
        <v>169</v>
      </c>
      <c r="B130" s="213" t="s">
        <v>24</v>
      </c>
      <c r="C130" s="213" t="s">
        <v>24</v>
      </c>
      <c r="D130" s="213" t="s">
        <v>24</v>
      </c>
      <c r="E130" s="213">
        <v>15.05</v>
      </c>
      <c r="F130" s="213" t="s">
        <v>25</v>
      </c>
      <c r="G130" s="213" t="s">
        <v>174</v>
      </c>
      <c r="H130" s="213" t="s">
        <v>69</v>
      </c>
      <c r="I130" s="217">
        <v>422</v>
      </c>
      <c r="J130" s="218">
        <v>0</v>
      </c>
      <c r="K130" s="218">
        <v>0</v>
      </c>
      <c r="L130" s="218">
        <v>0</v>
      </c>
      <c r="M130" s="218">
        <v>0</v>
      </c>
      <c r="N130" s="219">
        <f t="shared" si="66"/>
        <v>0</v>
      </c>
      <c r="O130" s="219">
        <f t="shared" si="67"/>
        <v>0</v>
      </c>
      <c r="P130" s="219">
        <f t="shared" si="68"/>
        <v>0</v>
      </c>
      <c r="Q130" s="219">
        <f t="shared" si="69"/>
        <v>0</v>
      </c>
      <c r="R130" s="219">
        <f t="shared" si="70"/>
        <v>0</v>
      </c>
      <c r="S130" s="218">
        <v>0</v>
      </c>
      <c r="T130" s="220" t="str">
        <f t="shared" si="71"/>
        <v/>
      </c>
      <c r="U130" s="219">
        <f t="shared" si="72"/>
        <v>0</v>
      </c>
      <c r="V130" s="219">
        <f t="shared" si="73"/>
        <v>0</v>
      </c>
      <c r="W130" s="213" t="s">
        <v>168</v>
      </c>
      <c r="X130" s="213" t="s">
        <v>92</v>
      </c>
      <c r="Y130" s="221">
        <f>SUMIFS(Cert_App_Output!$G:$G,Cert_App_Output!$E:$E,$E130,Cert_App_Output!$K:$K,$X130)</f>
        <v>0</v>
      </c>
    </row>
    <row r="131" spans="1:25" x14ac:dyDescent="0.35">
      <c r="A131" s="213" t="s">
        <v>169</v>
      </c>
      <c r="B131" s="213" t="s">
        <v>24</v>
      </c>
      <c r="C131" s="213" t="s">
        <v>24</v>
      </c>
      <c r="D131" s="213" t="s">
        <v>24</v>
      </c>
      <c r="E131" s="213">
        <v>15.07</v>
      </c>
      <c r="F131" s="213" t="s">
        <v>25</v>
      </c>
      <c r="G131" s="213" t="s">
        <v>175</v>
      </c>
      <c r="H131" s="213" t="s">
        <v>69</v>
      </c>
      <c r="I131" s="217">
        <v>678.25199999999995</v>
      </c>
      <c r="J131" s="218">
        <v>0</v>
      </c>
      <c r="K131" s="218">
        <v>0</v>
      </c>
      <c r="L131" s="218">
        <v>0</v>
      </c>
      <c r="M131" s="218">
        <v>0</v>
      </c>
      <c r="N131" s="219">
        <f t="shared" si="66"/>
        <v>0</v>
      </c>
      <c r="O131" s="219">
        <f t="shared" si="67"/>
        <v>0</v>
      </c>
      <c r="P131" s="219">
        <f t="shared" si="68"/>
        <v>0</v>
      </c>
      <c r="Q131" s="219">
        <f t="shared" si="69"/>
        <v>0</v>
      </c>
      <c r="R131" s="219">
        <f t="shared" si="70"/>
        <v>0</v>
      </c>
      <c r="S131" s="218">
        <v>0</v>
      </c>
      <c r="T131" s="220" t="str">
        <f t="shared" si="71"/>
        <v/>
      </c>
      <c r="U131" s="219">
        <f t="shared" si="72"/>
        <v>0</v>
      </c>
      <c r="V131" s="219">
        <f t="shared" si="73"/>
        <v>0</v>
      </c>
      <c r="W131" s="213" t="s">
        <v>168</v>
      </c>
      <c r="X131" s="213" t="s">
        <v>92</v>
      </c>
      <c r="Y131" s="221">
        <f>SUMIFS(Cert_App_Output!$G:$G,Cert_App_Output!$E:$E,$E131,Cert_App_Output!$K:$K,$X131)</f>
        <v>0</v>
      </c>
    </row>
    <row r="132" spans="1:25" x14ac:dyDescent="0.35">
      <c r="A132" s="213" t="s">
        <v>169</v>
      </c>
      <c r="B132" s="213" t="s">
        <v>24</v>
      </c>
      <c r="C132" s="213" t="s">
        <v>24</v>
      </c>
      <c r="D132" s="213" t="s">
        <v>24</v>
      </c>
      <c r="E132" s="213">
        <v>15.08</v>
      </c>
      <c r="F132" s="213" t="s">
        <v>25</v>
      </c>
      <c r="G132" s="213" t="s">
        <v>176</v>
      </c>
      <c r="H132" s="213" t="s">
        <v>69</v>
      </c>
      <c r="I132" s="217">
        <v>728.48019999999985</v>
      </c>
      <c r="J132" s="218">
        <v>0</v>
      </c>
      <c r="K132" s="218">
        <v>0</v>
      </c>
      <c r="L132" s="218">
        <v>0</v>
      </c>
      <c r="M132" s="218">
        <v>0</v>
      </c>
      <c r="N132" s="219">
        <f t="shared" si="66"/>
        <v>0</v>
      </c>
      <c r="O132" s="219">
        <f t="shared" si="67"/>
        <v>0</v>
      </c>
      <c r="P132" s="219">
        <f t="shared" si="68"/>
        <v>0</v>
      </c>
      <c r="Q132" s="219">
        <f t="shared" si="69"/>
        <v>0</v>
      </c>
      <c r="R132" s="219">
        <f t="shared" si="70"/>
        <v>0</v>
      </c>
      <c r="S132" s="218">
        <v>0</v>
      </c>
      <c r="T132" s="220" t="str">
        <f t="shared" si="71"/>
        <v/>
      </c>
      <c r="U132" s="219">
        <f t="shared" si="72"/>
        <v>0</v>
      </c>
      <c r="V132" s="219">
        <f t="shared" si="73"/>
        <v>0</v>
      </c>
      <c r="W132" s="213" t="s">
        <v>168</v>
      </c>
      <c r="X132" s="213" t="s">
        <v>92</v>
      </c>
      <c r="Y132" s="221">
        <f>SUMIFS(Cert_App_Output!$G:$G,Cert_App_Output!$E:$E,$E132,Cert_App_Output!$K:$K,$X132)</f>
        <v>0</v>
      </c>
    </row>
    <row r="133" spans="1:25" x14ac:dyDescent="0.35">
      <c r="A133" s="213" t="s">
        <v>169</v>
      </c>
      <c r="B133" s="213" t="s">
        <v>24</v>
      </c>
      <c r="C133" s="213" t="s">
        <v>24</v>
      </c>
      <c r="D133" s="213" t="s">
        <v>24</v>
      </c>
      <c r="E133" s="213">
        <v>15.09</v>
      </c>
      <c r="F133" s="213" t="s">
        <v>25</v>
      </c>
      <c r="G133" s="213" t="s">
        <v>177</v>
      </c>
      <c r="H133" s="213" t="s">
        <v>30</v>
      </c>
      <c r="I133" s="217">
        <v>76</v>
      </c>
      <c r="J133" s="218">
        <v>0</v>
      </c>
      <c r="K133" s="218">
        <v>0</v>
      </c>
      <c r="L133" s="218">
        <v>0</v>
      </c>
      <c r="M133" s="218">
        <v>0</v>
      </c>
      <c r="N133" s="219">
        <f t="shared" si="66"/>
        <v>0</v>
      </c>
      <c r="O133" s="219">
        <f t="shared" si="67"/>
        <v>0</v>
      </c>
      <c r="P133" s="219">
        <f t="shared" si="68"/>
        <v>0</v>
      </c>
      <c r="Q133" s="219">
        <f t="shared" si="69"/>
        <v>0</v>
      </c>
      <c r="R133" s="219">
        <f t="shared" si="70"/>
        <v>0</v>
      </c>
      <c r="S133" s="218">
        <v>0</v>
      </c>
      <c r="T133" s="220" t="str">
        <f t="shared" si="71"/>
        <v/>
      </c>
      <c r="U133" s="219">
        <f t="shared" si="72"/>
        <v>0</v>
      </c>
      <c r="V133" s="219">
        <f t="shared" si="73"/>
        <v>0</v>
      </c>
      <c r="W133" s="213" t="s">
        <v>168</v>
      </c>
      <c r="X133" s="213" t="s">
        <v>92</v>
      </c>
      <c r="Y133" s="221">
        <f>SUMIFS(Cert_App_Output!$G:$G,Cert_App_Output!$E:$E,$E133,Cert_App_Output!$K:$K,$X133)</f>
        <v>0</v>
      </c>
    </row>
    <row r="134" spans="1:25" x14ac:dyDescent="0.35">
      <c r="A134" s="213" t="s">
        <v>169</v>
      </c>
      <c r="B134" s="213" t="s">
        <v>24</v>
      </c>
      <c r="C134" s="213" t="s">
        <v>24</v>
      </c>
      <c r="D134" s="213" t="s">
        <v>24</v>
      </c>
      <c r="E134" s="213">
        <v>15.1</v>
      </c>
      <c r="F134" s="213" t="s">
        <v>25</v>
      </c>
      <c r="G134" s="213" t="s">
        <v>178</v>
      </c>
      <c r="H134" s="213" t="s">
        <v>27</v>
      </c>
      <c r="I134" s="217">
        <v>1</v>
      </c>
      <c r="J134" s="218">
        <v>0</v>
      </c>
      <c r="K134" s="218">
        <v>0</v>
      </c>
      <c r="L134" s="218">
        <v>0</v>
      </c>
      <c r="M134" s="218">
        <v>0</v>
      </c>
      <c r="N134" s="219">
        <f t="shared" si="66"/>
        <v>0</v>
      </c>
      <c r="O134" s="219">
        <f t="shared" si="67"/>
        <v>0</v>
      </c>
      <c r="P134" s="219">
        <f t="shared" si="68"/>
        <v>0</v>
      </c>
      <c r="Q134" s="219">
        <f t="shared" si="69"/>
        <v>0</v>
      </c>
      <c r="R134" s="219">
        <f t="shared" si="70"/>
        <v>0</v>
      </c>
      <c r="S134" s="218">
        <v>0</v>
      </c>
      <c r="T134" s="220" t="str">
        <f t="shared" si="71"/>
        <v/>
      </c>
      <c r="U134" s="219">
        <f t="shared" si="72"/>
        <v>0</v>
      </c>
      <c r="V134" s="219">
        <f t="shared" si="73"/>
        <v>0</v>
      </c>
      <c r="W134" s="213" t="s">
        <v>168</v>
      </c>
      <c r="X134" s="213" t="s">
        <v>92</v>
      </c>
      <c r="Y134" s="221">
        <f>SUMIFS(Cert_App_Output!$G:$G,Cert_App_Output!$E:$E,$E134,Cert_App_Output!$K:$K,$X134)</f>
        <v>0</v>
      </c>
    </row>
    <row r="135" spans="1:25" x14ac:dyDescent="0.35">
      <c r="E135" s="213">
        <v>16</v>
      </c>
      <c r="G135" s="213" t="s">
        <v>179</v>
      </c>
      <c r="I135" s="214"/>
      <c r="J135" s="215"/>
      <c r="K135" s="215"/>
      <c r="L135" s="215"/>
      <c r="M135" s="215"/>
      <c r="N135" s="215"/>
      <c r="O135" s="215"/>
      <c r="P135" s="215"/>
      <c r="Q135" s="215"/>
      <c r="R135" s="215"/>
      <c r="S135" s="215"/>
      <c r="T135" s="216"/>
      <c r="U135" s="215"/>
      <c r="V135" s="215"/>
      <c r="Y135" s="203"/>
    </row>
    <row r="136" spans="1:25" x14ac:dyDescent="0.35">
      <c r="E136" s="213">
        <v>17</v>
      </c>
      <c r="G136" s="213" t="s">
        <v>180</v>
      </c>
      <c r="I136" s="214"/>
      <c r="J136" s="215"/>
      <c r="K136" s="215"/>
      <c r="L136" s="215"/>
      <c r="M136" s="215"/>
      <c r="N136" s="215"/>
      <c r="O136" s="215"/>
      <c r="P136" s="215"/>
      <c r="Q136" s="215"/>
      <c r="R136" s="215"/>
      <c r="S136" s="215"/>
      <c r="T136" s="216"/>
      <c r="U136" s="215"/>
      <c r="V136" s="215"/>
      <c r="Y136" s="203"/>
    </row>
    <row r="137" spans="1:25" x14ac:dyDescent="0.35">
      <c r="A137" s="213" t="s">
        <v>76</v>
      </c>
      <c r="B137" s="213" t="s">
        <v>24</v>
      </c>
      <c r="C137" s="213" t="s">
        <v>24</v>
      </c>
      <c r="D137" s="213" t="s">
        <v>71</v>
      </c>
      <c r="E137" s="213">
        <v>17.010000000000002</v>
      </c>
      <c r="F137" s="213" t="s">
        <v>25</v>
      </c>
      <c r="G137" s="213" t="s">
        <v>181</v>
      </c>
      <c r="H137" s="213" t="s">
        <v>66</v>
      </c>
      <c r="I137" s="217">
        <v>47</v>
      </c>
      <c r="J137" s="218">
        <v>3816.1086479999999</v>
      </c>
      <c r="K137" s="218">
        <v>0</v>
      </c>
      <c r="L137" s="218">
        <v>46892.732044928976</v>
      </c>
      <c r="M137" s="218">
        <v>394.92625606475582</v>
      </c>
      <c r="N137" s="219">
        <f>SUM(J137:M137)</f>
        <v>51103.766948993733</v>
      </c>
      <c r="O137" s="219">
        <f>IF($N137=0,$S137,J137/$N137*$S137)</f>
        <v>4796.4427147412562</v>
      </c>
      <c r="P137" s="219">
        <f t="shared" ref="P137:R140" si="74">IF($N137=0,0,K137/$N137*$S137)</f>
        <v>0</v>
      </c>
      <c r="Q137" s="219">
        <f t="shared" si="74"/>
        <v>58939.176983100784</v>
      </c>
      <c r="R137" s="219">
        <f t="shared" si="74"/>
        <v>496.38030215795834</v>
      </c>
      <c r="S137" s="218">
        <v>64232</v>
      </c>
      <c r="T137" s="220">
        <f>IFERROR(S137/N137,"")</f>
        <v>1.2568936466877179</v>
      </c>
      <c r="U137" s="219">
        <f>N137*I137</f>
        <v>2401877.0466027055</v>
      </c>
      <c r="V137" s="219">
        <f>S137*I137</f>
        <v>3018904</v>
      </c>
      <c r="W137" s="213" t="s">
        <v>180</v>
      </c>
      <c r="X137" s="213" t="s">
        <v>92</v>
      </c>
      <c r="Y137" s="221">
        <f>SUMIFS(Cert_App_Output!$G:$G,Cert_App_Output!$E:$E,$E137,Cert_App_Output!$K:$K,$X137)</f>
        <v>0.85</v>
      </c>
    </row>
    <row r="138" spans="1:25" x14ac:dyDescent="0.35">
      <c r="A138" s="213" t="s">
        <v>76</v>
      </c>
      <c r="B138" s="213" t="s">
        <v>24</v>
      </c>
      <c r="C138" s="213" t="s">
        <v>24</v>
      </c>
      <c r="D138" s="213" t="s">
        <v>71</v>
      </c>
      <c r="E138" s="213">
        <v>17.02</v>
      </c>
      <c r="F138" s="213" t="s">
        <v>25</v>
      </c>
      <c r="G138" s="213" t="s">
        <v>182</v>
      </c>
      <c r="H138" s="213" t="s">
        <v>66</v>
      </c>
      <c r="I138" s="217">
        <v>23</v>
      </c>
      <c r="J138" s="218">
        <v>3816.1086479999999</v>
      </c>
      <c r="K138" s="218">
        <v>0</v>
      </c>
      <c r="L138" s="218">
        <v>46892.732044928976</v>
      </c>
      <c r="M138" s="218">
        <v>394.92625606475582</v>
      </c>
      <c r="N138" s="219">
        <f>SUM(J138:M138)</f>
        <v>51103.766948993733</v>
      </c>
      <c r="O138" s="219">
        <f>IF($N138=0,$S138,J138/$N138*$S138)</f>
        <v>4796.4427147412562</v>
      </c>
      <c r="P138" s="219">
        <f t="shared" si="74"/>
        <v>0</v>
      </c>
      <c r="Q138" s="219">
        <f t="shared" si="74"/>
        <v>58939.176983100784</v>
      </c>
      <c r="R138" s="219">
        <f t="shared" si="74"/>
        <v>496.38030215795834</v>
      </c>
      <c r="S138" s="218">
        <v>64232</v>
      </c>
      <c r="T138" s="220">
        <f>IFERROR(S138/N138,"")</f>
        <v>1.2568936466877179</v>
      </c>
      <c r="U138" s="219">
        <f>N138*I138</f>
        <v>1175386.6398268559</v>
      </c>
      <c r="V138" s="219">
        <f>S138*I138</f>
        <v>1477336</v>
      </c>
      <c r="W138" s="213" t="s">
        <v>180</v>
      </c>
      <c r="X138" s="213" t="s">
        <v>92</v>
      </c>
      <c r="Y138" s="221">
        <f>SUMIFS(Cert_App_Output!$G:$G,Cert_App_Output!$E:$E,$E138,Cert_App_Output!$K:$K,$X138)</f>
        <v>0.85</v>
      </c>
    </row>
    <row r="139" spans="1:25" x14ac:dyDescent="0.35">
      <c r="A139" s="213" t="s">
        <v>76</v>
      </c>
      <c r="B139" s="213" t="s">
        <v>24</v>
      </c>
      <c r="C139" s="213" t="s">
        <v>24</v>
      </c>
      <c r="D139" s="213" t="s">
        <v>71</v>
      </c>
      <c r="E139" s="213">
        <v>17.03</v>
      </c>
      <c r="F139" s="213" t="s">
        <v>25</v>
      </c>
      <c r="G139" s="213" t="s">
        <v>183</v>
      </c>
      <c r="H139" s="213" t="s">
        <v>66</v>
      </c>
      <c r="I139" s="217">
        <v>51</v>
      </c>
      <c r="J139" s="218">
        <v>1396.3488462</v>
      </c>
      <c r="K139" s="218">
        <v>0</v>
      </c>
      <c r="L139" s="218">
        <v>31261.821363285981</v>
      </c>
      <c r="M139" s="218">
        <v>197.46312803237791</v>
      </c>
      <c r="N139" s="219">
        <f>SUM(J139:M139)</f>
        <v>32855.63333751836</v>
      </c>
      <c r="O139" s="219">
        <f>IF($N139=0,$S139,J139/$N139*$S139)</f>
        <v>1755.0604293732549</v>
      </c>
      <c r="P139" s="219">
        <f t="shared" si="74"/>
        <v>0</v>
      </c>
      <c r="Q139" s="219">
        <f t="shared" si="74"/>
        <v>39292.749640715592</v>
      </c>
      <c r="R139" s="219">
        <f t="shared" si="74"/>
        <v>248.18992991114857</v>
      </c>
      <c r="S139" s="218">
        <v>41296</v>
      </c>
      <c r="T139" s="220">
        <f>IFERROR(S139/N139,"")</f>
        <v>1.2568925266414954</v>
      </c>
      <c r="U139" s="219">
        <f>N139*I139</f>
        <v>1675637.3002134364</v>
      </c>
      <c r="V139" s="219">
        <f>S139*I139</f>
        <v>2106096</v>
      </c>
      <c r="W139" s="213" t="s">
        <v>180</v>
      </c>
      <c r="X139" s="213" t="s">
        <v>92</v>
      </c>
      <c r="Y139" s="221">
        <f>SUMIFS(Cert_App_Output!$G:$G,Cert_App_Output!$E:$E,$E139,Cert_App_Output!$K:$K,$X139)</f>
        <v>0.85</v>
      </c>
    </row>
    <row r="140" spans="1:25" x14ac:dyDescent="0.35">
      <c r="A140" s="213" t="s">
        <v>76</v>
      </c>
      <c r="B140" s="213" t="s">
        <v>24</v>
      </c>
      <c r="C140" s="213" t="s">
        <v>71</v>
      </c>
      <c r="D140" s="213" t="s">
        <v>71</v>
      </c>
      <c r="E140" s="213">
        <v>17.04</v>
      </c>
      <c r="F140" s="213" t="s">
        <v>25</v>
      </c>
      <c r="G140" s="213" t="s">
        <v>184</v>
      </c>
      <c r="H140" s="213" t="s">
        <v>66</v>
      </c>
      <c r="I140" s="217">
        <v>7</v>
      </c>
      <c r="J140" s="218">
        <v>3816.1086479999999</v>
      </c>
      <c r="K140" s="218">
        <v>23446.366012999999</v>
      </c>
      <c r="L140" s="218">
        <v>46892.732055</v>
      </c>
      <c r="M140" s="218">
        <v>394.92625606475582</v>
      </c>
      <c r="N140" s="219">
        <f>SUM(J140:M140)</f>
        <v>74550.132972064763</v>
      </c>
      <c r="O140" s="219">
        <f>IF($N140=0,$S140,J140/$N140*$S140)</f>
        <v>4796.4125907090865</v>
      </c>
      <c r="P140" s="219">
        <f t="shared" si="74"/>
        <v>29469.403396065678</v>
      </c>
      <c r="Q140" s="219">
        <f t="shared" si="74"/>
        <v>58938.806828581037</v>
      </c>
      <c r="R140" s="219">
        <f t="shared" si="74"/>
        <v>496.37718464419231</v>
      </c>
      <c r="S140" s="218">
        <v>93701</v>
      </c>
      <c r="T140" s="220">
        <f>IFERROR(S140/N140,"")</f>
        <v>1.2568857527740616</v>
      </c>
      <c r="U140" s="219">
        <f>N140*I140</f>
        <v>521850.93080445332</v>
      </c>
      <c r="V140" s="219">
        <f>S140*I140</f>
        <v>655907</v>
      </c>
      <c r="W140" s="213" t="s">
        <v>180</v>
      </c>
      <c r="X140" s="213" t="s">
        <v>92</v>
      </c>
      <c r="Y140" s="221">
        <f>SUMIFS(Cert_App_Output!$G:$G,Cert_App_Output!$E:$E,$E140,Cert_App_Output!$K:$K,$X140)</f>
        <v>0</v>
      </c>
    </row>
    <row r="141" spans="1:25" x14ac:dyDescent="0.35">
      <c r="E141" s="213">
        <v>18</v>
      </c>
      <c r="G141" s="213" t="s">
        <v>185</v>
      </c>
      <c r="I141" s="214"/>
      <c r="J141" s="215"/>
      <c r="K141" s="215"/>
      <c r="L141" s="215"/>
      <c r="M141" s="215"/>
      <c r="N141" s="215"/>
      <c r="O141" s="215"/>
      <c r="P141" s="215"/>
      <c r="Q141" s="215"/>
      <c r="R141" s="215"/>
      <c r="S141" s="215"/>
      <c r="T141" s="216"/>
      <c r="U141" s="215"/>
      <c r="V141" s="215"/>
      <c r="Y141" s="203"/>
    </row>
    <row r="142" spans="1:25" x14ac:dyDescent="0.35">
      <c r="A142" s="213" t="s">
        <v>186</v>
      </c>
      <c r="B142" s="213" t="s">
        <v>24</v>
      </c>
      <c r="C142" s="213" t="s">
        <v>187</v>
      </c>
      <c r="D142" s="213" t="s">
        <v>24</v>
      </c>
      <c r="E142" s="213">
        <v>18.010000000000002</v>
      </c>
      <c r="F142" s="213" t="s">
        <v>25</v>
      </c>
      <c r="G142" s="213" t="s">
        <v>188</v>
      </c>
      <c r="H142" s="213" t="s">
        <v>66</v>
      </c>
      <c r="I142" s="217">
        <v>392</v>
      </c>
      <c r="J142" s="218">
        <v>13184.711802350001</v>
      </c>
      <c r="K142" s="218">
        <v>32886.699999999997</v>
      </c>
      <c r="L142" s="218">
        <v>0</v>
      </c>
      <c r="M142" s="218">
        <v>1623.646677266353</v>
      </c>
      <c r="N142" s="219">
        <f t="shared" ref="N142:N171" si="75">SUM(J142:M142)</f>
        <v>47695.058479616353</v>
      </c>
      <c r="O142" s="219">
        <f t="shared" ref="O142:O171" si="76">IF($N142=0,$S142,J142/$N142*$S142)</f>
        <v>16571.886654989077</v>
      </c>
      <c r="P142" s="219">
        <f t="shared" ref="P142:P171" si="77">IF($N142=0,0,K142/$N142*$S142)</f>
        <v>41335.349079036459</v>
      </c>
      <c r="Q142" s="219">
        <f t="shared" ref="Q142:Q171" si="78">IF($N142=0,0,L142/$N142*$S142)</f>
        <v>0</v>
      </c>
      <c r="R142" s="219">
        <f t="shared" ref="R142:R171" si="79">IF($N142=0,0,M142/$N142*$S142)</f>
        <v>2040.7642659744624</v>
      </c>
      <c r="S142" s="218">
        <v>59948</v>
      </c>
      <c r="T142" s="220">
        <f t="shared" ref="T142:T171" si="80">IFERROR(S142/N142,"")</f>
        <v>1.2569016982256189</v>
      </c>
      <c r="U142" s="219">
        <f t="shared" ref="U142:U171" si="81">N142*I142</f>
        <v>18696462.92400961</v>
      </c>
      <c r="V142" s="219">
        <f t="shared" ref="V142:V171" si="82">S142*I142</f>
        <v>23499616</v>
      </c>
      <c r="W142" s="213" t="s">
        <v>185</v>
      </c>
      <c r="X142" s="213" t="s">
        <v>92</v>
      </c>
      <c r="Y142" s="221">
        <f>SUMIFS(Cert_App_Output!$G:$G,Cert_App_Output!$E:$E,$E142,Cert_App_Output!$K:$K,$X142)</f>
        <v>0.5</v>
      </c>
    </row>
    <row r="143" spans="1:25" x14ac:dyDescent="0.35">
      <c r="A143" s="213" t="s">
        <v>186</v>
      </c>
      <c r="B143" s="213" t="s">
        <v>24</v>
      </c>
      <c r="C143" s="213" t="s">
        <v>187</v>
      </c>
      <c r="D143" s="213" t="s">
        <v>24</v>
      </c>
      <c r="E143" s="213">
        <v>18.02</v>
      </c>
      <c r="F143" s="213" t="s">
        <v>25</v>
      </c>
      <c r="G143" s="213" t="s">
        <v>189</v>
      </c>
      <c r="H143" s="213" t="s">
        <v>66</v>
      </c>
      <c r="I143" s="217">
        <v>19</v>
      </c>
      <c r="J143" s="218">
        <v>13184.711802350001</v>
      </c>
      <c r="K143" s="218">
        <v>32886.699999999997</v>
      </c>
      <c r="L143" s="218">
        <v>0</v>
      </c>
      <c r="M143" s="218">
        <v>1623.646677266353</v>
      </c>
      <c r="N143" s="219">
        <f t="shared" si="75"/>
        <v>47695.058479616353</v>
      </c>
      <c r="O143" s="219">
        <f t="shared" si="76"/>
        <v>16571.886654989077</v>
      </c>
      <c r="P143" s="219">
        <f t="shared" si="77"/>
        <v>41335.349079036459</v>
      </c>
      <c r="Q143" s="219">
        <f t="shared" si="78"/>
        <v>0</v>
      </c>
      <c r="R143" s="219">
        <f t="shared" si="79"/>
        <v>2040.7642659744624</v>
      </c>
      <c r="S143" s="218">
        <v>59948</v>
      </c>
      <c r="T143" s="220">
        <f t="shared" si="80"/>
        <v>1.2569016982256189</v>
      </c>
      <c r="U143" s="219">
        <f t="shared" si="81"/>
        <v>906206.11111271067</v>
      </c>
      <c r="V143" s="219">
        <f t="shared" si="82"/>
        <v>1139012</v>
      </c>
      <c r="W143" s="213" t="s">
        <v>185</v>
      </c>
      <c r="X143" s="213" t="s">
        <v>92</v>
      </c>
      <c r="Y143" s="221">
        <f>SUMIFS(Cert_App_Output!$G:$G,Cert_App_Output!$E:$E,$E143,Cert_App_Output!$K:$K,$X143)</f>
        <v>0.49999999999999994</v>
      </c>
    </row>
    <row r="144" spans="1:25" x14ac:dyDescent="0.35">
      <c r="A144" s="213" t="s">
        <v>186</v>
      </c>
      <c r="B144" s="213" t="s">
        <v>24</v>
      </c>
      <c r="C144" s="213" t="s">
        <v>187</v>
      </c>
      <c r="D144" s="213" t="s">
        <v>24</v>
      </c>
      <c r="E144" s="213">
        <v>18.03</v>
      </c>
      <c r="F144" s="213" t="s">
        <v>25</v>
      </c>
      <c r="G144" s="213" t="s">
        <v>190</v>
      </c>
      <c r="H144" s="213" t="s">
        <v>66</v>
      </c>
      <c r="I144" s="217">
        <v>349</v>
      </c>
      <c r="J144" s="218">
        <v>11193.920501279999</v>
      </c>
      <c r="K144" s="218">
        <v>32886.699999999997</v>
      </c>
      <c r="L144" s="218">
        <v>0</v>
      </c>
      <c r="M144" s="218">
        <v>1623.646677266353</v>
      </c>
      <c r="N144" s="219">
        <f t="shared" si="75"/>
        <v>45704.267178546354</v>
      </c>
      <c r="O144" s="219">
        <f t="shared" si="76"/>
        <v>14069.468845960864</v>
      </c>
      <c r="P144" s="219">
        <f t="shared" si="77"/>
        <v>41334.794279051086</v>
      </c>
      <c r="Q144" s="219">
        <f t="shared" si="78"/>
        <v>0</v>
      </c>
      <c r="R144" s="219">
        <f t="shared" si="79"/>
        <v>2040.7368749880511</v>
      </c>
      <c r="S144" s="218">
        <v>57445</v>
      </c>
      <c r="T144" s="220">
        <f t="shared" si="80"/>
        <v>1.256884828184375</v>
      </c>
      <c r="U144" s="219">
        <f t="shared" si="81"/>
        <v>15950789.245312678</v>
      </c>
      <c r="V144" s="219">
        <f t="shared" si="82"/>
        <v>20048305</v>
      </c>
      <c r="W144" s="213" t="s">
        <v>185</v>
      </c>
      <c r="X144" s="213" t="s">
        <v>92</v>
      </c>
      <c r="Y144" s="221">
        <f>SUMIFS(Cert_App_Output!$G:$G,Cert_App_Output!$E:$E,$E144,Cert_App_Output!$K:$K,$X144)</f>
        <v>1.7</v>
      </c>
    </row>
    <row r="145" spans="1:25" x14ac:dyDescent="0.35">
      <c r="A145" s="213" t="s">
        <v>186</v>
      </c>
      <c r="B145" s="213" t="s">
        <v>24</v>
      </c>
      <c r="C145" s="213" t="s">
        <v>187</v>
      </c>
      <c r="D145" s="213" t="s">
        <v>24</v>
      </c>
      <c r="E145" s="213">
        <v>18.04</v>
      </c>
      <c r="F145" s="213" t="s">
        <v>25</v>
      </c>
      <c r="G145" s="213" t="s">
        <v>191</v>
      </c>
      <c r="H145" s="213" t="s">
        <v>66</v>
      </c>
      <c r="I145" s="217">
        <v>35</v>
      </c>
      <c r="J145" s="218">
        <v>16790.880751920002</v>
      </c>
      <c r="K145" s="218">
        <v>32886.699999999997</v>
      </c>
      <c r="L145" s="218">
        <v>0</v>
      </c>
      <c r="M145" s="218">
        <v>1623.646677266353</v>
      </c>
      <c r="N145" s="219">
        <f t="shared" si="75"/>
        <v>51301.227429186358</v>
      </c>
      <c r="O145" s="219">
        <f t="shared" si="76"/>
        <v>21104.290192242934</v>
      </c>
      <c r="P145" s="219">
        <f t="shared" si="77"/>
        <v>41334.964527448763</v>
      </c>
      <c r="Q145" s="219">
        <f t="shared" si="78"/>
        <v>0</v>
      </c>
      <c r="R145" s="219">
        <f t="shared" si="79"/>
        <v>2040.7452803082936</v>
      </c>
      <c r="S145" s="218">
        <v>64480</v>
      </c>
      <c r="T145" s="220">
        <f t="shared" si="80"/>
        <v>1.2568900050004643</v>
      </c>
      <c r="U145" s="219">
        <f t="shared" si="81"/>
        <v>1795542.9600215226</v>
      </c>
      <c r="V145" s="219">
        <f t="shared" si="82"/>
        <v>2256800</v>
      </c>
      <c r="W145" s="213" t="s">
        <v>185</v>
      </c>
      <c r="X145" s="213" t="s">
        <v>92</v>
      </c>
      <c r="Y145" s="221">
        <f>SUMIFS(Cert_App_Output!$G:$G,Cert_App_Output!$E:$E,$E145,Cert_App_Output!$K:$K,$X145)</f>
        <v>0.5</v>
      </c>
    </row>
    <row r="146" spans="1:25" x14ac:dyDescent="0.35">
      <c r="A146" s="213" t="s">
        <v>186</v>
      </c>
      <c r="B146" s="213" t="s">
        <v>24</v>
      </c>
      <c r="C146" s="213" t="s">
        <v>187</v>
      </c>
      <c r="D146" s="213" t="s">
        <v>24</v>
      </c>
      <c r="E146" s="213">
        <v>18.05</v>
      </c>
      <c r="F146" s="213" t="s">
        <v>25</v>
      </c>
      <c r="G146" s="213" t="s">
        <v>192</v>
      </c>
      <c r="H146" s="213" t="s">
        <v>66</v>
      </c>
      <c r="I146" s="217">
        <v>16</v>
      </c>
      <c r="J146" s="218">
        <v>11193.920501279999</v>
      </c>
      <c r="K146" s="218">
        <v>32886.699999999997</v>
      </c>
      <c r="L146" s="218">
        <v>0</v>
      </c>
      <c r="M146" s="218">
        <v>1623.646677266353</v>
      </c>
      <c r="N146" s="219">
        <f t="shared" si="75"/>
        <v>45704.267178546354</v>
      </c>
      <c r="O146" s="219">
        <f t="shared" si="76"/>
        <v>14069.468845960864</v>
      </c>
      <c r="P146" s="219">
        <f t="shared" si="77"/>
        <v>41334.794279051086</v>
      </c>
      <c r="Q146" s="219">
        <f t="shared" si="78"/>
        <v>0</v>
      </c>
      <c r="R146" s="219">
        <f t="shared" si="79"/>
        <v>2040.7368749880511</v>
      </c>
      <c r="S146" s="218">
        <v>57445</v>
      </c>
      <c r="T146" s="220">
        <f t="shared" si="80"/>
        <v>1.256884828184375</v>
      </c>
      <c r="U146" s="219">
        <f t="shared" si="81"/>
        <v>731268.27485674166</v>
      </c>
      <c r="V146" s="219">
        <f t="shared" si="82"/>
        <v>919120</v>
      </c>
      <c r="W146" s="213" t="s">
        <v>185</v>
      </c>
      <c r="X146" s="213" t="s">
        <v>92</v>
      </c>
      <c r="Y146" s="221">
        <f>SUMIFS(Cert_App_Output!$G:$G,Cert_App_Output!$E:$E,$E146,Cert_App_Output!$K:$K,$X146)</f>
        <v>0.5</v>
      </c>
    </row>
    <row r="147" spans="1:25" x14ac:dyDescent="0.35">
      <c r="A147" s="213" t="s">
        <v>186</v>
      </c>
      <c r="B147" s="213" t="s">
        <v>24</v>
      </c>
      <c r="C147" s="213" t="s">
        <v>187</v>
      </c>
      <c r="D147" s="213" t="s">
        <v>24</v>
      </c>
      <c r="E147" s="213">
        <v>18.059999999999999</v>
      </c>
      <c r="F147" s="213" t="s">
        <v>25</v>
      </c>
      <c r="G147" s="213" t="s">
        <v>193</v>
      </c>
      <c r="H147" s="213" t="s">
        <v>66</v>
      </c>
      <c r="I147" s="217">
        <v>16</v>
      </c>
      <c r="J147" s="218">
        <v>11193.920501279999</v>
      </c>
      <c r="K147" s="218">
        <v>32886.699999999997</v>
      </c>
      <c r="L147" s="218">
        <v>0</v>
      </c>
      <c r="M147" s="218">
        <v>1623.646677266353</v>
      </c>
      <c r="N147" s="219">
        <f t="shared" si="75"/>
        <v>45704.267178546354</v>
      </c>
      <c r="O147" s="219">
        <f t="shared" si="76"/>
        <v>14069.468845960864</v>
      </c>
      <c r="P147" s="219">
        <f t="shared" si="77"/>
        <v>41334.794279051086</v>
      </c>
      <c r="Q147" s="219">
        <f t="shared" si="78"/>
        <v>0</v>
      </c>
      <c r="R147" s="219">
        <f t="shared" si="79"/>
        <v>2040.7368749880511</v>
      </c>
      <c r="S147" s="218">
        <v>57445</v>
      </c>
      <c r="T147" s="220">
        <f t="shared" si="80"/>
        <v>1.256884828184375</v>
      </c>
      <c r="U147" s="219">
        <f t="shared" si="81"/>
        <v>731268.27485674166</v>
      </c>
      <c r="V147" s="219">
        <f t="shared" si="82"/>
        <v>919120</v>
      </c>
      <c r="W147" s="213" t="s">
        <v>185</v>
      </c>
      <c r="X147" s="213" t="s">
        <v>92</v>
      </c>
      <c r="Y147" s="221">
        <f>SUMIFS(Cert_App_Output!$G:$G,Cert_App_Output!$E:$E,$E147,Cert_App_Output!$K:$K,$X147)</f>
        <v>0.5</v>
      </c>
    </row>
    <row r="148" spans="1:25" x14ac:dyDescent="0.35">
      <c r="A148" s="213" t="s">
        <v>186</v>
      </c>
      <c r="B148" s="213" t="s">
        <v>24</v>
      </c>
      <c r="C148" s="213" t="s">
        <v>187</v>
      </c>
      <c r="D148" s="213" t="s">
        <v>24</v>
      </c>
      <c r="E148" s="213">
        <v>18.07</v>
      </c>
      <c r="F148" s="213" t="s">
        <v>25</v>
      </c>
      <c r="G148" s="213" t="s">
        <v>194</v>
      </c>
      <c r="H148" s="213" t="s">
        <v>66</v>
      </c>
      <c r="I148" s="217">
        <v>46</v>
      </c>
      <c r="J148" s="218">
        <v>9888.5338517624987</v>
      </c>
      <c r="K148" s="218">
        <v>22868.3</v>
      </c>
      <c r="L148" s="218">
        <v>0</v>
      </c>
      <c r="M148" s="218">
        <v>1623.646677266353</v>
      </c>
      <c r="N148" s="219">
        <f t="shared" si="75"/>
        <v>34380.48052902885</v>
      </c>
      <c r="O148" s="219">
        <f t="shared" si="76"/>
        <v>12428.948250895295</v>
      </c>
      <c r="P148" s="219">
        <f t="shared" si="77"/>
        <v>28743.282022065268</v>
      </c>
      <c r="Q148" s="219">
        <f t="shared" si="78"/>
        <v>0</v>
      </c>
      <c r="R148" s="219">
        <f t="shared" si="79"/>
        <v>2040.7697270394378</v>
      </c>
      <c r="S148" s="218">
        <v>43213</v>
      </c>
      <c r="T148" s="220">
        <f t="shared" si="80"/>
        <v>1.256905061682122</v>
      </c>
      <c r="U148" s="219">
        <f t="shared" si="81"/>
        <v>1581502.1043353272</v>
      </c>
      <c r="V148" s="219">
        <f t="shared" si="82"/>
        <v>1987798</v>
      </c>
      <c r="W148" s="213" t="s">
        <v>185</v>
      </c>
      <c r="X148" s="213" t="s">
        <v>92</v>
      </c>
      <c r="Y148" s="221">
        <f>SUMIFS(Cert_App_Output!$G:$G,Cert_App_Output!$E:$E,$E148,Cert_App_Output!$K:$K,$X148)</f>
        <v>0.5</v>
      </c>
    </row>
    <row r="149" spans="1:25" x14ac:dyDescent="0.35">
      <c r="A149" s="213" t="s">
        <v>186</v>
      </c>
      <c r="B149" s="213" t="s">
        <v>24</v>
      </c>
      <c r="C149" s="213" t="s">
        <v>187</v>
      </c>
      <c r="D149" s="213" t="s">
        <v>24</v>
      </c>
      <c r="E149" s="213">
        <v>18.079999999999998</v>
      </c>
      <c r="F149" s="213" t="s">
        <v>25</v>
      </c>
      <c r="G149" s="213" t="s">
        <v>195</v>
      </c>
      <c r="H149" s="213" t="s">
        <v>66</v>
      </c>
      <c r="I149" s="217">
        <v>17</v>
      </c>
      <c r="J149" s="218">
        <v>9888.5338517624987</v>
      </c>
      <c r="K149" s="218">
        <v>22868.3</v>
      </c>
      <c r="L149" s="218">
        <v>0</v>
      </c>
      <c r="M149" s="218">
        <v>1623.646677266353</v>
      </c>
      <c r="N149" s="219">
        <f t="shared" si="75"/>
        <v>34380.48052902885</v>
      </c>
      <c r="O149" s="219">
        <f t="shared" si="76"/>
        <v>12428.948250895295</v>
      </c>
      <c r="P149" s="219">
        <f t="shared" si="77"/>
        <v>28743.282022065268</v>
      </c>
      <c r="Q149" s="219">
        <f t="shared" si="78"/>
        <v>0</v>
      </c>
      <c r="R149" s="219">
        <f t="shared" si="79"/>
        <v>2040.7697270394378</v>
      </c>
      <c r="S149" s="218">
        <v>43213</v>
      </c>
      <c r="T149" s="220">
        <f t="shared" si="80"/>
        <v>1.256905061682122</v>
      </c>
      <c r="U149" s="219">
        <f t="shared" si="81"/>
        <v>584468.1689934904</v>
      </c>
      <c r="V149" s="219">
        <f t="shared" si="82"/>
        <v>734621</v>
      </c>
      <c r="W149" s="213" t="s">
        <v>185</v>
      </c>
      <c r="X149" s="213" t="s">
        <v>92</v>
      </c>
      <c r="Y149" s="221">
        <f>SUMIFS(Cert_App_Output!$G:$G,Cert_App_Output!$E:$E,$E149,Cert_App_Output!$K:$K,$X149)</f>
        <v>0.5</v>
      </c>
    </row>
    <row r="150" spans="1:25" x14ac:dyDescent="0.35">
      <c r="A150" s="213" t="s">
        <v>186</v>
      </c>
      <c r="B150" s="213" t="s">
        <v>24</v>
      </c>
      <c r="C150" s="213" t="s">
        <v>187</v>
      </c>
      <c r="D150" s="213" t="s">
        <v>24</v>
      </c>
      <c r="E150" s="213">
        <v>18.09</v>
      </c>
      <c r="F150" s="213" t="s">
        <v>25</v>
      </c>
      <c r="G150" s="213" t="s">
        <v>196</v>
      </c>
      <c r="H150" s="213" t="s">
        <v>66</v>
      </c>
      <c r="I150" s="217">
        <v>11</v>
      </c>
      <c r="J150" s="218">
        <v>9888.5338517624987</v>
      </c>
      <c r="K150" s="218">
        <v>22868.3</v>
      </c>
      <c r="L150" s="218">
        <v>0</v>
      </c>
      <c r="M150" s="218">
        <v>1623.646677266353</v>
      </c>
      <c r="N150" s="219">
        <f t="shared" si="75"/>
        <v>34380.48052902885</v>
      </c>
      <c r="O150" s="219">
        <f t="shared" si="76"/>
        <v>12428.948250895295</v>
      </c>
      <c r="P150" s="219">
        <f t="shared" si="77"/>
        <v>28743.282022065268</v>
      </c>
      <c r="Q150" s="219">
        <f t="shared" si="78"/>
        <v>0</v>
      </c>
      <c r="R150" s="219">
        <f t="shared" si="79"/>
        <v>2040.7697270394378</v>
      </c>
      <c r="S150" s="218">
        <v>43213</v>
      </c>
      <c r="T150" s="220">
        <f t="shared" si="80"/>
        <v>1.256905061682122</v>
      </c>
      <c r="U150" s="219">
        <f t="shared" si="81"/>
        <v>378185.28581931733</v>
      </c>
      <c r="V150" s="219">
        <f t="shared" si="82"/>
        <v>475343</v>
      </c>
      <c r="W150" s="213" t="s">
        <v>185</v>
      </c>
      <c r="X150" s="213" t="s">
        <v>92</v>
      </c>
      <c r="Y150" s="221">
        <f>SUMIFS(Cert_App_Output!$G:$G,Cert_App_Output!$E:$E,$E150,Cert_App_Output!$K:$K,$X150)</f>
        <v>0.65</v>
      </c>
    </row>
    <row r="151" spans="1:25" x14ac:dyDescent="0.35">
      <c r="A151" s="213" t="s">
        <v>186</v>
      </c>
      <c r="B151" s="213" t="s">
        <v>24</v>
      </c>
      <c r="C151" s="213" t="s">
        <v>187</v>
      </c>
      <c r="D151" s="213" t="s">
        <v>24</v>
      </c>
      <c r="E151" s="213">
        <v>18.100000000000001</v>
      </c>
      <c r="F151" s="213" t="s">
        <v>25</v>
      </c>
      <c r="G151" s="213" t="s">
        <v>197</v>
      </c>
      <c r="H151" s="213" t="s">
        <v>66</v>
      </c>
      <c r="I151" s="217">
        <v>1</v>
      </c>
      <c r="J151" s="218">
        <v>1524162.9241119849</v>
      </c>
      <c r="K151" s="218">
        <v>329747.40000000002</v>
      </c>
      <c r="L151" s="218">
        <v>0</v>
      </c>
      <c r="M151" s="218">
        <v>27808.654861679781</v>
      </c>
      <c r="N151" s="219">
        <f t="shared" si="75"/>
        <v>1881718.9789736648</v>
      </c>
      <c r="O151" s="219">
        <f t="shared" si="76"/>
        <v>1915693.9862419835</v>
      </c>
      <c r="P151" s="219">
        <f t="shared" si="77"/>
        <v>414453.79700924765</v>
      </c>
      <c r="Q151" s="219">
        <f t="shared" si="78"/>
        <v>0</v>
      </c>
      <c r="R151" s="219">
        <f t="shared" si="79"/>
        <v>34952.216748768478</v>
      </c>
      <c r="S151" s="218">
        <v>2365100</v>
      </c>
      <c r="T151" s="220">
        <f t="shared" si="80"/>
        <v>1.256882683560955</v>
      </c>
      <c r="U151" s="219">
        <f t="shared" si="81"/>
        <v>1881718.9789736648</v>
      </c>
      <c r="V151" s="219">
        <f t="shared" si="82"/>
        <v>2365100</v>
      </c>
      <c r="W151" s="213" t="s">
        <v>185</v>
      </c>
      <c r="X151" s="213" t="s">
        <v>92</v>
      </c>
      <c r="Y151" s="221">
        <f>SUMIFS(Cert_App_Output!$G:$G,Cert_App_Output!$E:$E,$E151,Cert_App_Output!$K:$K,$X151)</f>
        <v>0</v>
      </c>
    </row>
    <row r="152" spans="1:25" x14ac:dyDescent="0.35">
      <c r="A152" s="213" t="s">
        <v>186</v>
      </c>
      <c r="B152" s="213" t="s">
        <v>24</v>
      </c>
      <c r="C152" s="213" t="s">
        <v>187</v>
      </c>
      <c r="D152" s="213" t="s">
        <v>24</v>
      </c>
      <c r="E152" s="213">
        <v>18.11</v>
      </c>
      <c r="F152" s="213" t="s">
        <v>25</v>
      </c>
      <c r="G152" s="213" t="s">
        <v>198</v>
      </c>
      <c r="H152" s="213" t="s">
        <v>66</v>
      </c>
      <c r="I152" s="217">
        <v>1</v>
      </c>
      <c r="J152" s="218">
        <v>651921.59563010593</v>
      </c>
      <c r="K152" s="218">
        <v>219841.65</v>
      </c>
      <c r="L152" s="218">
        <v>0</v>
      </c>
      <c r="M152" s="218">
        <v>13076.44868445159</v>
      </c>
      <c r="N152" s="219">
        <f t="shared" si="75"/>
        <v>884839.69431455759</v>
      </c>
      <c r="O152" s="219">
        <f t="shared" si="76"/>
        <v>819389.19334502739</v>
      </c>
      <c r="P152" s="219">
        <f t="shared" si="77"/>
        <v>276315.24015250942</v>
      </c>
      <c r="Q152" s="219">
        <f t="shared" si="78"/>
        <v>0</v>
      </c>
      <c r="R152" s="219">
        <f t="shared" si="79"/>
        <v>16435.566502463054</v>
      </c>
      <c r="S152" s="218">
        <v>1112140</v>
      </c>
      <c r="T152" s="220">
        <f t="shared" si="80"/>
        <v>1.2568830344591637</v>
      </c>
      <c r="U152" s="219">
        <f t="shared" si="81"/>
        <v>884839.69431455759</v>
      </c>
      <c r="V152" s="219">
        <f t="shared" si="82"/>
        <v>1112140</v>
      </c>
      <c r="W152" s="213" t="s">
        <v>185</v>
      </c>
      <c r="X152" s="213" t="s">
        <v>92</v>
      </c>
      <c r="Y152" s="221">
        <f>SUMIFS(Cert_App_Output!$G:$G,Cert_App_Output!$E:$E,$E152,Cert_App_Output!$K:$K,$X152)</f>
        <v>0</v>
      </c>
    </row>
    <row r="153" spans="1:25" x14ac:dyDescent="0.35">
      <c r="A153" s="213" t="s">
        <v>186</v>
      </c>
      <c r="B153" s="213" t="s">
        <v>24</v>
      </c>
      <c r="C153" s="213" t="s">
        <v>187</v>
      </c>
      <c r="D153" s="213" t="s">
        <v>24</v>
      </c>
      <c r="E153" s="213">
        <v>18.12</v>
      </c>
      <c r="F153" s="213" t="s">
        <v>25</v>
      </c>
      <c r="G153" s="213" t="s">
        <v>199</v>
      </c>
      <c r="H153" s="213" t="s">
        <v>66</v>
      </c>
      <c r="I153" s="217">
        <v>1</v>
      </c>
      <c r="J153" s="218">
        <v>304564.37296813709</v>
      </c>
      <c r="K153" s="218">
        <v>219841.65</v>
      </c>
      <c r="L153" s="218">
        <v>0</v>
      </c>
      <c r="M153" s="218">
        <v>7866.0903445220574</v>
      </c>
      <c r="N153" s="219">
        <f t="shared" si="75"/>
        <v>532272.11331265909</v>
      </c>
      <c r="O153" s="219">
        <f t="shared" si="76"/>
        <v>382801.91405310214</v>
      </c>
      <c r="P153" s="219">
        <f t="shared" si="77"/>
        <v>276315.32732620824</v>
      </c>
      <c r="Q153" s="219">
        <f t="shared" si="78"/>
        <v>0</v>
      </c>
      <c r="R153" s="219">
        <f t="shared" si="79"/>
        <v>9886.7586206896576</v>
      </c>
      <c r="S153" s="218">
        <v>669004</v>
      </c>
      <c r="T153" s="220">
        <f t="shared" si="80"/>
        <v>1.2568834309886605</v>
      </c>
      <c r="U153" s="219">
        <f t="shared" si="81"/>
        <v>532272.11331265909</v>
      </c>
      <c r="V153" s="219">
        <f t="shared" si="82"/>
        <v>669004</v>
      </c>
      <c r="W153" s="213" t="s">
        <v>185</v>
      </c>
      <c r="X153" s="213" t="s">
        <v>92</v>
      </c>
      <c r="Y153" s="221">
        <f>SUMIFS(Cert_App_Output!$G:$G,Cert_App_Output!$E:$E,$E153,Cert_App_Output!$K:$K,$X153)</f>
        <v>0</v>
      </c>
    </row>
    <row r="154" spans="1:25" x14ac:dyDescent="0.35">
      <c r="A154" s="213" t="s">
        <v>186</v>
      </c>
      <c r="B154" s="213" t="s">
        <v>24</v>
      </c>
      <c r="C154" s="213" t="s">
        <v>187</v>
      </c>
      <c r="D154" s="213" t="s">
        <v>24</v>
      </c>
      <c r="E154" s="213">
        <v>18.13</v>
      </c>
      <c r="F154" s="213" t="s">
        <v>25</v>
      </c>
      <c r="G154" s="213" t="s">
        <v>200</v>
      </c>
      <c r="H154" s="213" t="s">
        <v>66</v>
      </c>
      <c r="I154" s="217">
        <v>1</v>
      </c>
      <c r="J154" s="218">
        <v>540706.66411583603</v>
      </c>
      <c r="K154" s="218">
        <v>219841.65</v>
      </c>
      <c r="L154" s="218">
        <v>0</v>
      </c>
      <c r="M154" s="218">
        <v>11408.224711737539</v>
      </c>
      <c r="N154" s="219">
        <f t="shared" si="75"/>
        <v>771956.53882757365</v>
      </c>
      <c r="O154" s="219">
        <f t="shared" si="76"/>
        <v>679604.97881804814</v>
      </c>
      <c r="P154" s="219">
        <f t="shared" si="77"/>
        <v>276315.21822628676</v>
      </c>
      <c r="Q154" s="219">
        <f t="shared" si="78"/>
        <v>0</v>
      </c>
      <c r="R154" s="219">
        <f t="shared" si="79"/>
        <v>14338.802955665022</v>
      </c>
      <c r="S154" s="218">
        <v>970259</v>
      </c>
      <c r="T154" s="220">
        <f t="shared" si="80"/>
        <v>1.2568829347227277</v>
      </c>
      <c r="U154" s="219">
        <f t="shared" si="81"/>
        <v>771956.53882757365</v>
      </c>
      <c r="V154" s="219">
        <f t="shared" si="82"/>
        <v>970259</v>
      </c>
      <c r="W154" s="213" t="s">
        <v>185</v>
      </c>
      <c r="X154" s="213" t="s">
        <v>92</v>
      </c>
      <c r="Y154" s="221">
        <f>SUMIFS(Cert_App_Output!$G:$G,Cert_App_Output!$E:$E,$E154,Cert_App_Output!$K:$K,$X154)</f>
        <v>0</v>
      </c>
    </row>
    <row r="155" spans="1:25" x14ac:dyDescent="0.35">
      <c r="A155" s="213" t="s">
        <v>186</v>
      </c>
      <c r="B155" s="213" t="s">
        <v>24</v>
      </c>
      <c r="C155" s="213" t="s">
        <v>187</v>
      </c>
      <c r="D155" s="213" t="s">
        <v>24</v>
      </c>
      <c r="E155" s="213">
        <v>18.14</v>
      </c>
      <c r="F155" s="213" t="s">
        <v>25</v>
      </c>
      <c r="G155" s="213" t="s">
        <v>201</v>
      </c>
      <c r="H155" s="213" t="s">
        <v>66</v>
      </c>
      <c r="I155" s="217">
        <v>1</v>
      </c>
      <c r="J155" s="218">
        <v>178279.69798522911</v>
      </c>
      <c r="K155" s="218">
        <v>219841.65</v>
      </c>
      <c r="L155" s="218">
        <v>0</v>
      </c>
      <c r="M155" s="218">
        <v>5971.8202197784367</v>
      </c>
      <c r="N155" s="219">
        <f t="shared" si="75"/>
        <v>404093.16820500756</v>
      </c>
      <c r="O155" s="219">
        <f t="shared" si="76"/>
        <v>224076.7950854454</v>
      </c>
      <c r="P155" s="219">
        <f t="shared" si="77"/>
        <v>276315.32314115553</v>
      </c>
      <c r="Q155" s="219">
        <f t="shared" si="78"/>
        <v>0</v>
      </c>
      <c r="R155" s="219">
        <f t="shared" si="79"/>
        <v>7505.8817733990145</v>
      </c>
      <c r="S155" s="218">
        <v>507898</v>
      </c>
      <c r="T155" s="220">
        <f t="shared" si="80"/>
        <v>1.2568834119519918</v>
      </c>
      <c r="U155" s="219">
        <f t="shared" si="81"/>
        <v>404093.16820500756</v>
      </c>
      <c r="V155" s="219">
        <f t="shared" si="82"/>
        <v>507898</v>
      </c>
      <c r="W155" s="213" t="s">
        <v>185</v>
      </c>
      <c r="X155" s="213" t="s">
        <v>92</v>
      </c>
      <c r="Y155" s="221">
        <f>SUMIFS(Cert_App_Output!$G:$G,Cert_App_Output!$E:$E,$E155,Cert_App_Output!$K:$K,$X155)</f>
        <v>0</v>
      </c>
    </row>
    <row r="156" spans="1:25" x14ac:dyDescent="0.35">
      <c r="A156" s="213" t="s">
        <v>186</v>
      </c>
      <c r="B156" s="213" t="s">
        <v>24</v>
      </c>
      <c r="C156" s="213" t="s">
        <v>187</v>
      </c>
      <c r="D156" s="213" t="s">
        <v>24</v>
      </c>
      <c r="E156" s="213">
        <v>18.149999999999999</v>
      </c>
      <c r="F156" s="213" t="s">
        <v>25</v>
      </c>
      <c r="G156" s="213" t="s">
        <v>202</v>
      </c>
      <c r="H156" s="213" t="s">
        <v>66</v>
      </c>
      <c r="I156" s="217">
        <v>7</v>
      </c>
      <c r="J156" s="218">
        <v>178279.69798522911</v>
      </c>
      <c r="K156" s="218">
        <v>219841.65</v>
      </c>
      <c r="L156" s="218">
        <v>0</v>
      </c>
      <c r="M156" s="218">
        <v>5971.8202197784367</v>
      </c>
      <c r="N156" s="219">
        <f t="shared" si="75"/>
        <v>404093.16820500756</v>
      </c>
      <c r="O156" s="219">
        <f t="shared" si="76"/>
        <v>224076.7950854454</v>
      </c>
      <c r="P156" s="219">
        <f t="shared" si="77"/>
        <v>276315.32314115553</v>
      </c>
      <c r="Q156" s="219">
        <f t="shared" si="78"/>
        <v>0</v>
      </c>
      <c r="R156" s="219">
        <f t="shared" si="79"/>
        <v>7505.8817733990145</v>
      </c>
      <c r="S156" s="218">
        <v>507898</v>
      </c>
      <c r="T156" s="220">
        <f t="shared" si="80"/>
        <v>1.2568834119519918</v>
      </c>
      <c r="U156" s="219">
        <f t="shared" si="81"/>
        <v>2828652.177435053</v>
      </c>
      <c r="V156" s="219">
        <f t="shared" si="82"/>
        <v>3555286</v>
      </c>
      <c r="W156" s="213" t="s">
        <v>185</v>
      </c>
      <c r="X156" s="213" t="s">
        <v>92</v>
      </c>
      <c r="Y156" s="221">
        <f>SUMIFS(Cert_App_Output!$G:$G,Cert_App_Output!$E:$E,$E156,Cert_App_Output!$K:$K,$X156)</f>
        <v>0.05</v>
      </c>
    </row>
    <row r="157" spans="1:25" x14ac:dyDescent="0.35">
      <c r="A157" s="213" t="s">
        <v>186</v>
      </c>
      <c r="B157" s="213" t="s">
        <v>24</v>
      </c>
      <c r="C157" s="213" t="s">
        <v>187</v>
      </c>
      <c r="D157" s="213" t="s">
        <v>24</v>
      </c>
      <c r="E157" s="213">
        <v>18.16</v>
      </c>
      <c r="F157" s="213" t="s">
        <v>25</v>
      </c>
      <c r="G157" s="213" t="s">
        <v>203</v>
      </c>
      <c r="H157" s="213" t="s">
        <v>66</v>
      </c>
      <c r="I157" s="217">
        <v>9</v>
      </c>
      <c r="J157" s="218">
        <v>246945.70801345399</v>
      </c>
      <c r="K157" s="218">
        <v>219841.65</v>
      </c>
      <c r="L157" s="218">
        <v>0</v>
      </c>
      <c r="M157" s="218">
        <v>7001.8103702018097</v>
      </c>
      <c r="N157" s="219">
        <f t="shared" si="75"/>
        <v>473789.16838365584</v>
      </c>
      <c r="O157" s="219">
        <f t="shared" si="76"/>
        <v>310382.0961806284</v>
      </c>
      <c r="P157" s="219">
        <f t="shared" si="77"/>
        <v>276315.44076518429</v>
      </c>
      <c r="Q157" s="219">
        <f t="shared" si="78"/>
        <v>0</v>
      </c>
      <c r="R157" s="219">
        <f t="shared" si="79"/>
        <v>8800.463054187192</v>
      </c>
      <c r="S157" s="218">
        <v>595498</v>
      </c>
      <c r="T157" s="220">
        <f t="shared" si="80"/>
        <v>1.256883946991775</v>
      </c>
      <c r="U157" s="219">
        <f t="shared" si="81"/>
        <v>4264102.5154529028</v>
      </c>
      <c r="V157" s="219">
        <f t="shared" si="82"/>
        <v>5359482</v>
      </c>
      <c r="W157" s="213" t="s">
        <v>185</v>
      </c>
      <c r="X157" s="213" t="s">
        <v>92</v>
      </c>
      <c r="Y157" s="221">
        <f>SUMIFS(Cert_App_Output!$G:$G,Cert_App_Output!$E:$E,$E157,Cert_App_Output!$K:$K,$X157)</f>
        <v>0.05</v>
      </c>
    </row>
    <row r="158" spans="1:25" x14ac:dyDescent="0.35">
      <c r="A158" s="213" t="s">
        <v>186</v>
      </c>
      <c r="B158" s="213" t="s">
        <v>24</v>
      </c>
      <c r="C158" s="213" t="s">
        <v>187</v>
      </c>
      <c r="D158" s="213" t="s">
        <v>187</v>
      </c>
      <c r="E158" s="213">
        <v>18.170000000000002</v>
      </c>
      <c r="F158" s="213" t="s">
        <v>25</v>
      </c>
      <c r="G158" s="213" t="s">
        <v>204</v>
      </c>
      <c r="H158" s="213" t="s">
        <v>27</v>
      </c>
      <c r="I158" s="217">
        <v>1</v>
      </c>
      <c r="J158" s="218">
        <v>5500000</v>
      </c>
      <c r="K158" s="218">
        <v>1298971.2</v>
      </c>
      <c r="L158" s="218">
        <v>649485.59989700001</v>
      </c>
      <c r="M158" s="218">
        <v>111726.85199845739</v>
      </c>
      <c r="N158" s="219">
        <f t="shared" si="75"/>
        <v>7560183.6518954579</v>
      </c>
      <c r="O158" s="219">
        <f t="shared" si="76"/>
        <v>6912854.8202525442</v>
      </c>
      <c r="P158" s="219">
        <f t="shared" si="77"/>
        <v>1632654.4220525876</v>
      </c>
      <c r="Q158" s="219">
        <f t="shared" si="78"/>
        <v>816327.21089683485</v>
      </c>
      <c r="R158" s="219">
        <f t="shared" si="79"/>
        <v>140427.5467980325</v>
      </c>
      <c r="S158" s="218">
        <v>9502264</v>
      </c>
      <c r="T158" s="220">
        <f t="shared" si="80"/>
        <v>1.2568826945913718</v>
      </c>
      <c r="U158" s="219">
        <f t="shared" si="81"/>
        <v>7560183.6518954579</v>
      </c>
      <c r="V158" s="219">
        <f t="shared" si="82"/>
        <v>9502264</v>
      </c>
      <c r="W158" s="213" t="s">
        <v>185</v>
      </c>
      <c r="X158" s="213" t="s">
        <v>92</v>
      </c>
      <c r="Y158" s="221">
        <f>SUMIFS(Cert_App_Output!$G:$G,Cert_App_Output!$E:$E,$E158,Cert_App_Output!$K:$K,$X158)</f>
        <v>0</v>
      </c>
    </row>
    <row r="159" spans="1:25" x14ac:dyDescent="0.35">
      <c r="A159" s="213" t="s">
        <v>186</v>
      </c>
      <c r="B159" s="213" t="s">
        <v>24</v>
      </c>
      <c r="C159" s="213" t="s">
        <v>187</v>
      </c>
      <c r="D159" s="213" t="s">
        <v>187</v>
      </c>
      <c r="E159" s="213">
        <v>18.18</v>
      </c>
      <c r="F159" s="213" t="s">
        <v>25</v>
      </c>
      <c r="G159" s="213" t="s">
        <v>205</v>
      </c>
      <c r="H159" s="213" t="s">
        <v>27</v>
      </c>
      <c r="I159" s="217">
        <v>1</v>
      </c>
      <c r="J159" s="218">
        <v>607800.87756291637</v>
      </c>
      <c r="K159" s="218">
        <v>576472.42749999999</v>
      </c>
      <c r="L159" s="218">
        <v>288236.21399900003</v>
      </c>
      <c r="M159" s="218">
        <v>22087.642785922439</v>
      </c>
      <c r="N159" s="219">
        <f t="shared" si="75"/>
        <v>1494597.1618478389</v>
      </c>
      <c r="O159" s="219">
        <f t="shared" si="76"/>
        <v>763934.68613318342</v>
      </c>
      <c r="P159" s="219">
        <f t="shared" si="77"/>
        <v>724558.48489797581</v>
      </c>
      <c r="Q159" s="219">
        <f t="shared" si="78"/>
        <v>362279.24276195187</v>
      </c>
      <c r="R159" s="219">
        <f t="shared" si="79"/>
        <v>27761.58620688874</v>
      </c>
      <c r="S159" s="218">
        <v>1878534</v>
      </c>
      <c r="T159" s="220">
        <f t="shared" si="80"/>
        <v>1.2568831575174961</v>
      </c>
      <c r="U159" s="219">
        <f t="shared" si="81"/>
        <v>1494597.1618478389</v>
      </c>
      <c r="V159" s="219">
        <f t="shared" si="82"/>
        <v>1878534</v>
      </c>
      <c r="W159" s="213" t="s">
        <v>185</v>
      </c>
      <c r="X159" s="213" t="s">
        <v>92</v>
      </c>
      <c r="Y159" s="221">
        <f>SUMIFS(Cert_App_Output!$G:$G,Cert_App_Output!$E:$E,$E159,Cert_App_Output!$K:$K,$X159)</f>
        <v>0</v>
      </c>
    </row>
    <row r="160" spans="1:25" x14ac:dyDescent="0.35">
      <c r="A160" s="213" t="s">
        <v>186</v>
      </c>
      <c r="B160" s="213" t="s">
        <v>24</v>
      </c>
      <c r="C160" s="213" t="s">
        <v>187</v>
      </c>
      <c r="D160" s="213" t="s">
        <v>187</v>
      </c>
      <c r="E160" s="213">
        <v>18.190000000000001</v>
      </c>
      <c r="F160" s="213" t="s">
        <v>25</v>
      </c>
      <c r="G160" s="213" t="s">
        <v>206</v>
      </c>
      <c r="H160" s="213" t="s">
        <v>27</v>
      </c>
      <c r="I160" s="217">
        <v>1</v>
      </c>
      <c r="J160" s="218">
        <v>607800.87756291637</v>
      </c>
      <c r="K160" s="218">
        <v>576472.42749999999</v>
      </c>
      <c r="L160" s="218">
        <v>288236.21399900003</v>
      </c>
      <c r="M160" s="218">
        <v>22087.642785922439</v>
      </c>
      <c r="N160" s="219">
        <f t="shared" si="75"/>
        <v>1494597.1618478389</v>
      </c>
      <c r="O160" s="219">
        <f t="shared" si="76"/>
        <v>763934.68613318342</v>
      </c>
      <c r="P160" s="219">
        <f t="shared" si="77"/>
        <v>724558.48489797581</v>
      </c>
      <c r="Q160" s="219">
        <f t="shared" si="78"/>
        <v>362279.24276195187</v>
      </c>
      <c r="R160" s="219">
        <f t="shared" si="79"/>
        <v>27761.58620688874</v>
      </c>
      <c r="S160" s="218">
        <v>1878534</v>
      </c>
      <c r="T160" s="220">
        <f t="shared" si="80"/>
        <v>1.2568831575174961</v>
      </c>
      <c r="U160" s="219">
        <f t="shared" si="81"/>
        <v>1494597.1618478389</v>
      </c>
      <c r="V160" s="219">
        <f t="shared" si="82"/>
        <v>1878534</v>
      </c>
      <c r="W160" s="213" t="s">
        <v>185</v>
      </c>
      <c r="X160" s="213" t="s">
        <v>92</v>
      </c>
      <c r="Y160" s="221">
        <f>SUMIFS(Cert_App_Output!$G:$G,Cert_App_Output!$E:$E,$E160,Cert_App_Output!$K:$K,$X160)</f>
        <v>0</v>
      </c>
    </row>
    <row r="161" spans="1:25" x14ac:dyDescent="0.35">
      <c r="A161" s="213" t="s">
        <v>24</v>
      </c>
      <c r="B161" s="213" t="s">
        <v>24</v>
      </c>
      <c r="C161" s="213" t="s">
        <v>187</v>
      </c>
      <c r="D161" s="213" t="s">
        <v>24</v>
      </c>
      <c r="E161" s="213">
        <v>18.2</v>
      </c>
      <c r="F161" s="213" t="s">
        <v>25</v>
      </c>
      <c r="G161" s="213" t="s">
        <v>207</v>
      </c>
      <c r="H161" s="213" t="s">
        <v>66</v>
      </c>
      <c r="I161" s="217">
        <v>33</v>
      </c>
      <c r="J161" s="218">
        <v>0</v>
      </c>
      <c r="K161" s="218">
        <v>11158</v>
      </c>
      <c r="L161" s="218">
        <v>0</v>
      </c>
      <c r="M161" s="218">
        <v>167.37</v>
      </c>
      <c r="N161" s="219">
        <f t="shared" si="75"/>
        <v>11325.37</v>
      </c>
      <c r="O161" s="219">
        <f t="shared" si="76"/>
        <v>0</v>
      </c>
      <c r="P161" s="219">
        <f t="shared" si="77"/>
        <v>14024.63054187192</v>
      </c>
      <c r="Q161" s="219">
        <f t="shared" si="78"/>
        <v>0</v>
      </c>
      <c r="R161" s="219">
        <f t="shared" si="79"/>
        <v>210.3694581280788</v>
      </c>
      <c r="S161" s="218">
        <v>14235</v>
      </c>
      <c r="T161" s="220">
        <f t="shared" si="80"/>
        <v>1.2569125776906185</v>
      </c>
      <c r="U161" s="219">
        <f t="shared" si="81"/>
        <v>373737.21</v>
      </c>
      <c r="V161" s="219">
        <f t="shared" si="82"/>
        <v>469755</v>
      </c>
      <c r="W161" s="213" t="s">
        <v>185</v>
      </c>
      <c r="X161" s="213" t="s">
        <v>92</v>
      </c>
      <c r="Y161" s="221">
        <f>SUMIFS(Cert_App_Output!$G:$G,Cert_App_Output!$E:$E,$E161,Cert_App_Output!$K:$K,$X161)</f>
        <v>0</v>
      </c>
    </row>
    <row r="162" spans="1:25" x14ac:dyDescent="0.35">
      <c r="A162" s="213" t="s">
        <v>24</v>
      </c>
      <c r="B162" s="213" t="s">
        <v>24</v>
      </c>
      <c r="C162" s="213" t="s">
        <v>187</v>
      </c>
      <c r="D162" s="213" t="s">
        <v>24</v>
      </c>
      <c r="E162" s="213">
        <v>18.21</v>
      </c>
      <c r="F162" s="213" t="s">
        <v>25</v>
      </c>
      <c r="G162" s="213" t="s">
        <v>208</v>
      </c>
      <c r="H162" s="213" t="s">
        <v>66</v>
      </c>
      <c r="I162" s="217">
        <v>150</v>
      </c>
      <c r="J162" s="218">
        <v>0</v>
      </c>
      <c r="K162" s="218">
        <v>7270.9</v>
      </c>
      <c r="L162" s="218">
        <v>0</v>
      </c>
      <c r="M162" s="218">
        <v>109.0635</v>
      </c>
      <c r="N162" s="219">
        <f t="shared" si="75"/>
        <v>7379.9634999999998</v>
      </c>
      <c r="O162" s="219">
        <f t="shared" si="76"/>
        <v>0</v>
      </c>
      <c r="P162" s="219">
        <f t="shared" si="77"/>
        <v>9138.9162561576359</v>
      </c>
      <c r="Q162" s="219">
        <f t="shared" si="78"/>
        <v>0</v>
      </c>
      <c r="R162" s="219">
        <f t="shared" si="79"/>
        <v>137.08374384236456</v>
      </c>
      <c r="S162" s="218">
        <v>9276</v>
      </c>
      <c r="T162" s="220">
        <f t="shared" si="80"/>
        <v>1.256916785564048</v>
      </c>
      <c r="U162" s="219">
        <f t="shared" si="81"/>
        <v>1106994.5249999999</v>
      </c>
      <c r="V162" s="219">
        <f t="shared" si="82"/>
        <v>1391400</v>
      </c>
      <c r="W162" s="213" t="s">
        <v>185</v>
      </c>
      <c r="X162" s="213" t="s">
        <v>92</v>
      </c>
      <c r="Y162" s="221">
        <f>SUMIFS(Cert_App_Output!$G:$G,Cert_App_Output!$E:$E,$E162,Cert_App_Output!$K:$K,$X162)</f>
        <v>0</v>
      </c>
    </row>
    <row r="163" spans="1:25" x14ac:dyDescent="0.35">
      <c r="A163" s="213" t="s">
        <v>24</v>
      </c>
      <c r="B163" s="213" t="s">
        <v>24</v>
      </c>
      <c r="C163" s="213" t="s">
        <v>187</v>
      </c>
      <c r="D163" s="213" t="s">
        <v>24</v>
      </c>
      <c r="E163" s="213">
        <v>18.22</v>
      </c>
      <c r="F163" s="213" t="s">
        <v>25</v>
      </c>
      <c r="G163" s="213" t="s">
        <v>209</v>
      </c>
      <c r="H163" s="213" t="s">
        <v>66</v>
      </c>
      <c r="I163" s="217">
        <v>16</v>
      </c>
      <c r="J163" s="218">
        <v>0</v>
      </c>
      <c r="K163" s="218">
        <v>7270.9</v>
      </c>
      <c r="L163" s="218">
        <v>0</v>
      </c>
      <c r="M163" s="218">
        <v>109.0635</v>
      </c>
      <c r="N163" s="219">
        <f t="shared" si="75"/>
        <v>7379.9634999999998</v>
      </c>
      <c r="O163" s="219">
        <f t="shared" si="76"/>
        <v>0</v>
      </c>
      <c r="P163" s="219">
        <f t="shared" si="77"/>
        <v>9138.9162561576359</v>
      </c>
      <c r="Q163" s="219">
        <f t="shared" si="78"/>
        <v>0</v>
      </c>
      <c r="R163" s="219">
        <f t="shared" si="79"/>
        <v>137.08374384236456</v>
      </c>
      <c r="S163" s="218">
        <v>9276</v>
      </c>
      <c r="T163" s="220">
        <f t="shared" si="80"/>
        <v>1.256916785564048</v>
      </c>
      <c r="U163" s="219">
        <f t="shared" si="81"/>
        <v>118079.416</v>
      </c>
      <c r="V163" s="219">
        <f t="shared" si="82"/>
        <v>148416</v>
      </c>
      <c r="W163" s="213" t="s">
        <v>185</v>
      </c>
      <c r="X163" s="213" t="s">
        <v>92</v>
      </c>
      <c r="Y163" s="221">
        <f>SUMIFS(Cert_App_Output!$G:$G,Cert_App_Output!$E:$E,$E163,Cert_App_Output!$K:$K,$X163)</f>
        <v>0</v>
      </c>
    </row>
    <row r="164" spans="1:25" x14ac:dyDescent="0.35">
      <c r="A164" s="213" t="s">
        <v>24</v>
      </c>
      <c r="B164" s="213" t="s">
        <v>24</v>
      </c>
      <c r="C164" s="213" t="s">
        <v>187</v>
      </c>
      <c r="D164" s="213" t="s">
        <v>24</v>
      </c>
      <c r="E164" s="213">
        <v>18.23</v>
      </c>
      <c r="F164" s="213" t="s">
        <v>25</v>
      </c>
      <c r="G164" s="213" t="s">
        <v>210</v>
      </c>
      <c r="H164" s="213" t="s">
        <v>66</v>
      </c>
      <c r="I164" s="217">
        <v>349</v>
      </c>
      <c r="J164" s="218">
        <v>0</v>
      </c>
      <c r="K164" s="218">
        <v>7270.9</v>
      </c>
      <c r="L164" s="218">
        <v>0</v>
      </c>
      <c r="M164" s="218">
        <v>109.0635</v>
      </c>
      <c r="N164" s="219">
        <f t="shared" si="75"/>
        <v>7379.9634999999998</v>
      </c>
      <c r="O164" s="219">
        <f t="shared" si="76"/>
        <v>0</v>
      </c>
      <c r="P164" s="219">
        <f t="shared" si="77"/>
        <v>9138.9162561576359</v>
      </c>
      <c r="Q164" s="219">
        <f t="shared" si="78"/>
        <v>0</v>
      </c>
      <c r="R164" s="219">
        <f t="shared" si="79"/>
        <v>137.08374384236456</v>
      </c>
      <c r="S164" s="218">
        <v>9276</v>
      </c>
      <c r="T164" s="220">
        <f t="shared" si="80"/>
        <v>1.256916785564048</v>
      </c>
      <c r="U164" s="219">
        <f t="shared" si="81"/>
        <v>2575607.2615</v>
      </c>
      <c r="V164" s="219">
        <f t="shared" si="82"/>
        <v>3237324</v>
      </c>
      <c r="W164" s="213" t="s">
        <v>185</v>
      </c>
      <c r="X164" s="213" t="s">
        <v>92</v>
      </c>
      <c r="Y164" s="221">
        <f>SUMIFS(Cert_App_Output!$G:$G,Cert_App_Output!$E:$E,$E164,Cert_App_Output!$K:$K,$X164)</f>
        <v>0</v>
      </c>
    </row>
    <row r="165" spans="1:25" x14ac:dyDescent="0.35">
      <c r="A165" s="213" t="s">
        <v>24</v>
      </c>
      <c r="B165" s="213" t="s">
        <v>24</v>
      </c>
      <c r="C165" s="213" t="s">
        <v>187</v>
      </c>
      <c r="D165" s="213" t="s">
        <v>24</v>
      </c>
      <c r="E165" s="213">
        <v>18.239999999999998</v>
      </c>
      <c r="F165" s="213" t="s">
        <v>25</v>
      </c>
      <c r="G165" s="213" t="s">
        <v>211</v>
      </c>
      <c r="H165" s="213" t="s">
        <v>66</v>
      </c>
      <c r="I165" s="217">
        <v>27</v>
      </c>
      <c r="J165" s="218">
        <v>0</v>
      </c>
      <c r="K165" s="218">
        <v>17500</v>
      </c>
      <c r="L165" s="218">
        <v>0</v>
      </c>
      <c r="M165" s="218">
        <v>262.5</v>
      </c>
      <c r="N165" s="219">
        <f t="shared" si="75"/>
        <v>17762.5</v>
      </c>
      <c r="O165" s="219">
        <f t="shared" si="76"/>
        <v>0</v>
      </c>
      <c r="P165" s="219">
        <f t="shared" si="77"/>
        <v>21996.059113300493</v>
      </c>
      <c r="Q165" s="219">
        <f t="shared" si="78"/>
        <v>0</v>
      </c>
      <c r="R165" s="219">
        <f t="shared" si="79"/>
        <v>329.94088669950736</v>
      </c>
      <c r="S165" s="218">
        <v>22326</v>
      </c>
      <c r="T165" s="220">
        <f t="shared" si="80"/>
        <v>1.2569176636171711</v>
      </c>
      <c r="U165" s="219">
        <f t="shared" si="81"/>
        <v>479587.5</v>
      </c>
      <c r="V165" s="219">
        <f t="shared" si="82"/>
        <v>602802</v>
      </c>
      <c r="W165" s="213" t="s">
        <v>185</v>
      </c>
      <c r="X165" s="213" t="s">
        <v>92</v>
      </c>
      <c r="Y165" s="221">
        <f>SUMIFS(Cert_App_Output!$G:$G,Cert_App_Output!$E:$E,$E165,Cert_App_Output!$K:$K,$X165)</f>
        <v>0</v>
      </c>
    </row>
    <row r="166" spans="1:25" x14ac:dyDescent="0.35">
      <c r="A166" s="213" t="s">
        <v>24</v>
      </c>
      <c r="B166" s="213" t="s">
        <v>24</v>
      </c>
      <c r="C166" s="213" t="s">
        <v>187</v>
      </c>
      <c r="D166" s="213" t="s">
        <v>24</v>
      </c>
      <c r="E166" s="213">
        <v>18.25</v>
      </c>
      <c r="F166" s="213" t="s">
        <v>25</v>
      </c>
      <c r="G166" s="213" t="s">
        <v>212</v>
      </c>
      <c r="H166" s="213" t="s">
        <v>66</v>
      </c>
      <c r="I166" s="217">
        <v>16</v>
      </c>
      <c r="J166" s="218">
        <v>0</v>
      </c>
      <c r="K166" s="218">
        <v>11158</v>
      </c>
      <c r="L166" s="218">
        <v>0</v>
      </c>
      <c r="M166" s="218">
        <v>167.37</v>
      </c>
      <c r="N166" s="219">
        <f t="shared" si="75"/>
        <v>11325.37</v>
      </c>
      <c r="O166" s="219">
        <f t="shared" si="76"/>
        <v>0</v>
      </c>
      <c r="P166" s="219">
        <f t="shared" si="77"/>
        <v>14024.63054187192</v>
      </c>
      <c r="Q166" s="219">
        <f t="shared" si="78"/>
        <v>0</v>
      </c>
      <c r="R166" s="219">
        <f t="shared" si="79"/>
        <v>210.3694581280788</v>
      </c>
      <c r="S166" s="218">
        <v>14235</v>
      </c>
      <c r="T166" s="220">
        <f t="shared" si="80"/>
        <v>1.2569125776906185</v>
      </c>
      <c r="U166" s="219">
        <f t="shared" si="81"/>
        <v>181205.92</v>
      </c>
      <c r="V166" s="219">
        <f t="shared" si="82"/>
        <v>227760</v>
      </c>
      <c r="W166" s="213" t="s">
        <v>185</v>
      </c>
      <c r="X166" s="213" t="s">
        <v>92</v>
      </c>
      <c r="Y166" s="221">
        <f>SUMIFS(Cert_App_Output!$G:$G,Cert_App_Output!$E:$E,$E166,Cert_App_Output!$K:$K,$X166)</f>
        <v>0</v>
      </c>
    </row>
    <row r="167" spans="1:25" x14ac:dyDescent="0.35">
      <c r="A167" s="213" t="s">
        <v>24</v>
      </c>
      <c r="B167" s="213" t="s">
        <v>24</v>
      </c>
      <c r="C167" s="213" t="s">
        <v>187</v>
      </c>
      <c r="D167" s="213" t="s">
        <v>24</v>
      </c>
      <c r="E167" s="213">
        <v>18.260000000000002</v>
      </c>
      <c r="F167" s="213" t="s">
        <v>25</v>
      </c>
      <c r="G167" s="213" t="s">
        <v>213</v>
      </c>
      <c r="H167" s="213" t="s">
        <v>66</v>
      </c>
      <c r="I167" s="217">
        <v>137</v>
      </c>
      <c r="J167" s="218">
        <v>0</v>
      </c>
      <c r="K167" s="218">
        <v>11158</v>
      </c>
      <c r="L167" s="218">
        <v>0</v>
      </c>
      <c r="M167" s="218">
        <v>167.37</v>
      </c>
      <c r="N167" s="219">
        <f t="shared" si="75"/>
        <v>11325.37</v>
      </c>
      <c r="O167" s="219">
        <f t="shared" si="76"/>
        <v>0</v>
      </c>
      <c r="P167" s="219">
        <f t="shared" si="77"/>
        <v>14024.63054187192</v>
      </c>
      <c r="Q167" s="219">
        <f t="shared" si="78"/>
        <v>0</v>
      </c>
      <c r="R167" s="219">
        <f t="shared" si="79"/>
        <v>210.3694581280788</v>
      </c>
      <c r="S167" s="218">
        <v>14235</v>
      </c>
      <c r="T167" s="220">
        <f t="shared" si="80"/>
        <v>1.2569125776906185</v>
      </c>
      <c r="U167" s="219">
        <f t="shared" si="81"/>
        <v>1551575.6900000002</v>
      </c>
      <c r="V167" s="219">
        <f t="shared" si="82"/>
        <v>1950195</v>
      </c>
      <c r="W167" s="213" t="s">
        <v>185</v>
      </c>
      <c r="X167" s="213" t="s">
        <v>92</v>
      </c>
      <c r="Y167" s="221">
        <f>SUMIFS(Cert_App_Output!$G:$G,Cert_App_Output!$E:$E,$E167,Cert_App_Output!$K:$K,$X167)</f>
        <v>0</v>
      </c>
    </row>
    <row r="168" spans="1:25" x14ac:dyDescent="0.35">
      <c r="A168" s="213" t="s">
        <v>24</v>
      </c>
      <c r="B168" s="213" t="s">
        <v>24</v>
      </c>
      <c r="C168" s="213" t="s">
        <v>187</v>
      </c>
      <c r="D168" s="213" t="s">
        <v>24</v>
      </c>
      <c r="E168" s="213">
        <v>18.27</v>
      </c>
      <c r="F168" s="213" t="s">
        <v>25</v>
      </c>
      <c r="G168" s="213" t="s">
        <v>214</v>
      </c>
      <c r="H168" s="213" t="s">
        <v>66</v>
      </c>
      <c r="I168" s="217">
        <v>1</v>
      </c>
      <c r="J168" s="218">
        <v>0</v>
      </c>
      <c r="K168" s="218">
        <v>11158</v>
      </c>
      <c r="L168" s="218">
        <v>0</v>
      </c>
      <c r="M168" s="218">
        <v>167.37</v>
      </c>
      <c r="N168" s="219">
        <f t="shared" si="75"/>
        <v>11325.37</v>
      </c>
      <c r="O168" s="219">
        <f t="shared" si="76"/>
        <v>0</v>
      </c>
      <c r="P168" s="219">
        <f t="shared" si="77"/>
        <v>14024.63054187192</v>
      </c>
      <c r="Q168" s="219">
        <f t="shared" si="78"/>
        <v>0</v>
      </c>
      <c r="R168" s="219">
        <f t="shared" si="79"/>
        <v>210.3694581280788</v>
      </c>
      <c r="S168" s="218">
        <v>14235</v>
      </c>
      <c r="T168" s="220">
        <f t="shared" si="80"/>
        <v>1.2569125776906185</v>
      </c>
      <c r="U168" s="219">
        <f t="shared" si="81"/>
        <v>11325.37</v>
      </c>
      <c r="V168" s="219">
        <f t="shared" si="82"/>
        <v>14235</v>
      </c>
      <c r="W168" s="213" t="s">
        <v>185</v>
      </c>
      <c r="X168" s="213" t="s">
        <v>92</v>
      </c>
      <c r="Y168" s="221">
        <f>SUMIFS(Cert_App_Output!$G:$G,Cert_App_Output!$E:$E,$E168,Cert_App_Output!$K:$K,$X168)</f>
        <v>0</v>
      </c>
    </row>
    <row r="169" spans="1:25" x14ac:dyDescent="0.35">
      <c r="A169" s="213" t="s">
        <v>186</v>
      </c>
      <c r="B169" s="213" t="s">
        <v>24</v>
      </c>
      <c r="C169" s="213" t="s">
        <v>187</v>
      </c>
      <c r="D169" s="213" t="s">
        <v>24</v>
      </c>
      <c r="E169" s="213">
        <v>18.28</v>
      </c>
      <c r="F169" s="213" t="s">
        <v>25</v>
      </c>
      <c r="G169" s="213" t="s">
        <v>215</v>
      </c>
      <c r="H169" s="213" t="s">
        <v>27</v>
      </c>
      <c r="I169" s="217">
        <v>1</v>
      </c>
      <c r="J169" s="218">
        <v>5844722.2283497546</v>
      </c>
      <c r="K169" s="218">
        <v>1471041.6</v>
      </c>
      <c r="L169" s="218">
        <v>0</v>
      </c>
      <c r="M169" s="218">
        <v>109736.45742524631</v>
      </c>
      <c r="N169" s="219">
        <f t="shared" si="75"/>
        <v>7425500.2857750002</v>
      </c>
      <c r="O169" s="219">
        <f t="shared" si="76"/>
        <v>7346129.5876167221</v>
      </c>
      <c r="P169" s="219">
        <f t="shared" si="77"/>
        <v>1848926.5700187476</v>
      </c>
      <c r="Q169" s="219">
        <f t="shared" si="78"/>
        <v>0</v>
      </c>
      <c r="R169" s="219">
        <f t="shared" si="79"/>
        <v>137925.842364532</v>
      </c>
      <c r="S169" s="218">
        <v>9332982</v>
      </c>
      <c r="T169" s="220">
        <f t="shared" si="80"/>
        <v>1.256882585794139</v>
      </c>
      <c r="U169" s="219">
        <f t="shared" si="81"/>
        <v>7425500.2857750002</v>
      </c>
      <c r="V169" s="219">
        <f t="shared" si="82"/>
        <v>9332982</v>
      </c>
      <c r="W169" s="213" t="s">
        <v>185</v>
      </c>
      <c r="X169" s="213" t="s">
        <v>92</v>
      </c>
      <c r="Y169" s="221">
        <f>SUMIFS(Cert_App_Output!$G:$G,Cert_App_Output!$E:$E,$E169,Cert_App_Output!$K:$K,$X169)</f>
        <v>0</v>
      </c>
    </row>
    <row r="170" spans="1:25" x14ac:dyDescent="0.35">
      <c r="A170" s="213" t="s">
        <v>186</v>
      </c>
      <c r="B170" s="213" t="s">
        <v>24</v>
      </c>
      <c r="C170" s="213" t="s">
        <v>187</v>
      </c>
      <c r="D170" s="213" t="s">
        <v>24</v>
      </c>
      <c r="E170" s="213">
        <v>18.29</v>
      </c>
      <c r="F170" s="213" t="s">
        <v>25</v>
      </c>
      <c r="G170" s="213" t="s">
        <v>216</v>
      </c>
      <c r="H170" s="213" t="s">
        <v>27</v>
      </c>
      <c r="I170" s="217">
        <v>1</v>
      </c>
      <c r="J170" s="218">
        <v>1261512.1510117829</v>
      </c>
      <c r="K170" s="218">
        <v>305252.5</v>
      </c>
      <c r="L170" s="218">
        <v>0</v>
      </c>
      <c r="M170" s="218">
        <v>23501.469765176738</v>
      </c>
      <c r="N170" s="219">
        <f t="shared" si="75"/>
        <v>1590266.1207769597</v>
      </c>
      <c r="O170" s="219">
        <f t="shared" si="76"/>
        <v>1585572.8178017798</v>
      </c>
      <c r="P170" s="219">
        <f t="shared" si="77"/>
        <v>383666.59106521524</v>
      </c>
      <c r="Q170" s="219">
        <f t="shared" si="78"/>
        <v>0</v>
      </c>
      <c r="R170" s="219">
        <f t="shared" si="79"/>
        <v>29538.591133004917</v>
      </c>
      <c r="S170" s="218">
        <v>1998778</v>
      </c>
      <c r="T170" s="220">
        <f t="shared" si="80"/>
        <v>1.2568827153429218</v>
      </c>
      <c r="U170" s="219">
        <f t="shared" si="81"/>
        <v>1590266.1207769597</v>
      </c>
      <c r="V170" s="219">
        <f t="shared" si="82"/>
        <v>1998778</v>
      </c>
      <c r="W170" s="213" t="s">
        <v>185</v>
      </c>
      <c r="X170" s="213" t="s">
        <v>92</v>
      </c>
      <c r="Y170" s="221">
        <f>SUMIFS(Cert_App_Output!$G:$G,Cert_App_Output!$E:$E,$E170,Cert_App_Output!$K:$K,$X170)</f>
        <v>0</v>
      </c>
    </row>
    <row r="171" spans="1:25" x14ac:dyDescent="0.35">
      <c r="A171" s="213" t="s">
        <v>24</v>
      </c>
      <c r="B171" s="213" t="s">
        <v>24</v>
      </c>
      <c r="C171" s="213" t="s">
        <v>187</v>
      </c>
      <c r="D171" s="213" t="s">
        <v>24</v>
      </c>
      <c r="E171" s="213">
        <v>18.3</v>
      </c>
      <c r="F171" s="213" t="s">
        <v>25</v>
      </c>
      <c r="G171" s="213" t="s">
        <v>217</v>
      </c>
      <c r="H171" s="213" t="s">
        <v>27</v>
      </c>
      <c r="I171" s="217">
        <v>1</v>
      </c>
      <c r="J171" s="218">
        <v>0</v>
      </c>
      <c r="K171" s="218">
        <v>100127.461</v>
      </c>
      <c r="L171" s="218">
        <v>4.0000000000000003E-5</v>
      </c>
      <c r="M171" s="218">
        <v>0</v>
      </c>
      <c r="N171" s="219">
        <f t="shared" si="75"/>
        <v>100127.46103999999</v>
      </c>
      <c r="O171" s="219">
        <f t="shared" si="76"/>
        <v>0</v>
      </c>
      <c r="P171" s="219">
        <f t="shared" si="77"/>
        <v>125848.99994972449</v>
      </c>
      <c r="Q171" s="219">
        <f t="shared" si="78"/>
        <v>5.0275518301507516E-5</v>
      </c>
      <c r="R171" s="219">
        <f t="shared" si="79"/>
        <v>0</v>
      </c>
      <c r="S171" s="218">
        <v>125849</v>
      </c>
      <c r="T171" s="220">
        <f t="shared" si="80"/>
        <v>1.2568879575376877</v>
      </c>
      <c r="U171" s="219">
        <f t="shared" si="81"/>
        <v>100127.46103999999</v>
      </c>
      <c r="V171" s="219">
        <f t="shared" si="82"/>
        <v>125849</v>
      </c>
      <c r="W171" s="213" t="s">
        <v>185</v>
      </c>
      <c r="X171" s="213" t="s">
        <v>92</v>
      </c>
      <c r="Y171" s="221">
        <f>SUMIFS(Cert_App_Output!$G:$G,Cert_App_Output!$E:$E,$E171,Cert_App_Output!$K:$K,$X171)</f>
        <v>0</v>
      </c>
    </row>
    <row r="172" spans="1:25" x14ac:dyDescent="0.35">
      <c r="E172" s="213">
        <v>19</v>
      </c>
      <c r="G172" s="213" t="s">
        <v>218</v>
      </c>
      <c r="I172" s="214"/>
      <c r="J172" s="215"/>
      <c r="K172" s="215"/>
      <c r="L172" s="215"/>
      <c r="M172" s="215"/>
      <c r="N172" s="215"/>
      <c r="O172" s="215"/>
      <c r="P172" s="215"/>
      <c r="Q172" s="215"/>
      <c r="R172" s="215"/>
      <c r="S172" s="215"/>
      <c r="T172" s="216"/>
      <c r="U172" s="215"/>
      <c r="V172" s="215"/>
      <c r="Y172" s="203"/>
    </row>
    <row r="173" spans="1:25" x14ac:dyDescent="0.35">
      <c r="A173" s="213" t="s">
        <v>219</v>
      </c>
      <c r="B173" s="213" t="s">
        <v>24</v>
      </c>
      <c r="C173" s="213" t="s">
        <v>220</v>
      </c>
      <c r="D173" s="213" t="s">
        <v>24</v>
      </c>
      <c r="E173" s="213">
        <v>19.010000000000002</v>
      </c>
      <c r="F173" s="213" t="s">
        <v>25</v>
      </c>
      <c r="G173" s="213" t="s">
        <v>221</v>
      </c>
      <c r="H173" s="213" t="s">
        <v>27</v>
      </c>
      <c r="I173" s="217">
        <v>1</v>
      </c>
      <c r="J173" s="218">
        <v>2127230.3546274551</v>
      </c>
      <c r="K173" s="218">
        <v>3545383.9243999999</v>
      </c>
      <c r="L173" s="218">
        <v>-2.0999999999999999E-5</v>
      </c>
      <c r="M173" s="218">
        <v>85089.214185098201</v>
      </c>
      <c r="N173" s="219">
        <f t="shared" ref="N173:N192" si="83">SUM(J173:M173)</f>
        <v>5757703.4931915523</v>
      </c>
      <c r="O173" s="219">
        <f t="shared" ref="O173:O192" si="84">IF($N173=0,$S173,J173/$N173*$S173)</f>
        <v>2673679.064039452</v>
      </c>
      <c r="P173" s="219">
        <f t="shared" ref="P173:P192" si="85">IF($N173=0,0,K173/$N173*$S173)</f>
        <v>4456131.7734253658</v>
      </c>
      <c r="Q173" s="219">
        <f t="shared" ref="Q173:Q192" si="86">IF($N173=0,0,L173/$N173*$S173)</f>
        <v>-2.6394537019786765E-5</v>
      </c>
      <c r="R173" s="219">
        <f t="shared" ref="R173:R192" si="87">IF($N173=0,0,M173/$N173*$S173)</f>
        <v>106947.16256157806</v>
      </c>
      <c r="S173" s="218">
        <v>7236758</v>
      </c>
      <c r="T173" s="220">
        <f t="shared" ref="T173:T192" si="88">IFERROR(S173/N173,"")</f>
        <v>1.2568827152279411</v>
      </c>
      <c r="U173" s="219">
        <f t="shared" ref="U173:U192" si="89">N173*I173</f>
        <v>5757703.4931915523</v>
      </c>
      <c r="V173" s="219">
        <f t="shared" ref="V173:V192" si="90">S173*I173</f>
        <v>7236758</v>
      </c>
      <c r="W173" s="213" t="s">
        <v>218</v>
      </c>
      <c r="X173" s="213" t="s">
        <v>92</v>
      </c>
      <c r="Y173" s="221">
        <f>SUMIFS(Cert_App_Output!$G:$G,Cert_App_Output!$E:$E,$E173,Cert_App_Output!$K:$K,$X173)</f>
        <v>0.2</v>
      </c>
    </row>
    <row r="174" spans="1:25" x14ac:dyDescent="0.35">
      <c r="A174" s="213" t="s">
        <v>219</v>
      </c>
      <c r="B174" s="213" t="s">
        <v>24</v>
      </c>
      <c r="C174" s="213" t="s">
        <v>220</v>
      </c>
      <c r="D174" s="213" t="s">
        <v>24</v>
      </c>
      <c r="E174" s="213">
        <v>19.02</v>
      </c>
      <c r="F174" s="213" t="s">
        <v>25</v>
      </c>
      <c r="G174" s="213" t="s">
        <v>222</v>
      </c>
      <c r="H174" s="213" t="s">
        <v>27</v>
      </c>
      <c r="I174" s="217">
        <v>1</v>
      </c>
      <c r="J174" s="218">
        <v>278565.87977264298</v>
      </c>
      <c r="K174" s="218">
        <v>506483.4178</v>
      </c>
      <c r="L174" s="218">
        <v>-3.1999999999999999E-5</v>
      </c>
      <c r="M174" s="218">
        <v>11775.73946311627</v>
      </c>
      <c r="N174" s="219">
        <f t="shared" si="83"/>
        <v>796825.03700375929</v>
      </c>
      <c r="O174" s="219">
        <f t="shared" si="84"/>
        <v>350124.77355811559</v>
      </c>
      <c r="P174" s="219">
        <f t="shared" si="85"/>
        <v>636590.49741805694</v>
      </c>
      <c r="Q174" s="219">
        <f t="shared" si="86"/>
        <v>-4.0220262305649414E-5</v>
      </c>
      <c r="R174" s="219">
        <f t="shared" si="87"/>
        <v>14800.729064047611</v>
      </c>
      <c r="S174" s="218">
        <v>1001516</v>
      </c>
      <c r="T174" s="220">
        <f t="shared" si="88"/>
        <v>1.2568831970515442</v>
      </c>
      <c r="U174" s="219">
        <f t="shared" si="89"/>
        <v>796825.03700375929</v>
      </c>
      <c r="V174" s="219">
        <f t="shared" si="90"/>
        <v>1001516</v>
      </c>
      <c r="W174" s="213" t="s">
        <v>218</v>
      </c>
      <c r="X174" s="213" t="s">
        <v>92</v>
      </c>
      <c r="Y174" s="221">
        <f>SUMIFS(Cert_App_Output!$G:$G,Cert_App_Output!$E:$E,$E174,Cert_App_Output!$K:$K,$X174)</f>
        <v>0</v>
      </c>
    </row>
    <row r="175" spans="1:25" x14ac:dyDescent="0.35">
      <c r="A175" s="213" t="s">
        <v>219</v>
      </c>
      <c r="B175" s="213" t="s">
        <v>24</v>
      </c>
      <c r="C175" s="213" t="s">
        <v>220</v>
      </c>
      <c r="D175" s="213" t="s">
        <v>24</v>
      </c>
      <c r="E175" s="213">
        <v>19.03</v>
      </c>
      <c r="F175" s="213" t="s">
        <v>25</v>
      </c>
      <c r="G175" s="213" t="s">
        <v>223</v>
      </c>
      <c r="H175" s="213" t="s">
        <v>27</v>
      </c>
      <c r="I175" s="217">
        <v>1</v>
      </c>
      <c r="J175" s="218">
        <v>2836307.1395032741</v>
      </c>
      <c r="K175" s="218">
        <v>4051867.3421</v>
      </c>
      <c r="L175" s="218">
        <v>4.8000000000000001E-5</v>
      </c>
      <c r="M175" s="218">
        <v>103322.6172247621</v>
      </c>
      <c r="N175" s="219">
        <f t="shared" si="83"/>
        <v>6991497.0988760367</v>
      </c>
      <c r="O175" s="219">
        <f t="shared" si="84"/>
        <v>3564905.0709936772</v>
      </c>
      <c r="P175" s="219">
        <f t="shared" si="85"/>
        <v>5092721.5299312221</v>
      </c>
      <c r="Q175" s="219">
        <f t="shared" si="86"/>
        <v>6.0330364446237003E-5</v>
      </c>
      <c r="R175" s="219">
        <f t="shared" si="87"/>
        <v>129864.39901476963</v>
      </c>
      <c r="S175" s="218">
        <v>8787491</v>
      </c>
      <c r="T175" s="220">
        <f t="shared" si="88"/>
        <v>1.2568825926299376</v>
      </c>
      <c r="U175" s="219">
        <f t="shared" si="89"/>
        <v>6991497.0988760367</v>
      </c>
      <c r="V175" s="219">
        <f t="shared" si="90"/>
        <v>8787491</v>
      </c>
      <c r="W175" s="213" t="s">
        <v>218</v>
      </c>
      <c r="X175" s="213" t="s">
        <v>92</v>
      </c>
      <c r="Y175" s="221">
        <f>SUMIFS(Cert_App_Output!$G:$G,Cert_App_Output!$E:$E,$E175,Cert_App_Output!$K:$K,$X175)</f>
        <v>0.9</v>
      </c>
    </row>
    <row r="176" spans="1:25" x14ac:dyDescent="0.35">
      <c r="A176" s="213" t="s">
        <v>219</v>
      </c>
      <c r="B176" s="213" t="s">
        <v>24</v>
      </c>
      <c r="C176" s="213" t="s">
        <v>220</v>
      </c>
      <c r="D176" s="213" t="s">
        <v>24</v>
      </c>
      <c r="E176" s="213">
        <v>19.04</v>
      </c>
      <c r="F176" s="213" t="s">
        <v>25</v>
      </c>
      <c r="G176" s="213" t="s">
        <v>224</v>
      </c>
      <c r="H176" s="213" t="s">
        <v>27</v>
      </c>
      <c r="I176" s="217">
        <v>1</v>
      </c>
      <c r="J176" s="218">
        <v>1215560.2026442599</v>
      </c>
      <c r="K176" s="218">
        <v>2025933.6710999999</v>
      </c>
      <c r="L176" s="218">
        <v>-2.5999999999999998E-5</v>
      </c>
      <c r="M176" s="218">
        <v>48622.408105770417</v>
      </c>
      <c r="N176" s="219">
        <f t="shared" si="83"/>
        <v>3290116.28182403</v>
      </c>
      <c r="O176" s="219">
        <f t="shared" si="84"/>
        <v>1527816.5024629459</v>
      </c>
      <c r="P176" s="219">
        <f t="shared" si="85"/>
        <v>2546360.8374712155</v>
      </c>
      <c r="Q176" s="219">
        <f t="shared" si="86"/>
        <v>-3.2678948338078979E-5</v>
      </c>
      <c r="R176" s="219">
        <f t="shared" si="87"/>
        <v>61112.660098517859</v>
      </c>
      <c r="S176" s="218">
        <v>4135290</v>
      </c>
      <c r="T176" s="220">
        <f t="shared" si="88"/>
        <v>1.2568826283876533</v>
      </c>
      <c r="U176" s="219">
        <f t="shared" si="89"/>
        <v>3290116.28182403</v>
      </c>
      <c r="V176" s="219">
        <f t="shared" si="90"/>
        <v>4135290</v>
      </c>
      <c r="W176" s="213" t="s">
        <v>218</v>
      </c>
      <c r="X176" s="213" t="s">
        <v>92</v>
      </c>
      <c r="Y176" s="221">
        <f>SUMIFS(Cert_App_Output!$G:$G,Cert_App_Output!$E:$E,$E176,Cert_App_Output!$K:$K,$X176)</f>
        <v>0.85000000000000009</v>
      </c>
    </row>
    <row r="177" spans="1:25" x14ac:dyDescent="0.35">
      <c r="A177" s="213" t="s">
        <v>219</v>
      </c>
      <c r="B177" s="213" t="s">
        <v>24</v>
      </c>
      <c r="C177" s="213" t="s">
        <v>220</v>
      </c>
      <c r="D177" s="213" t="s">
        <v>24</v>
      </c>
      <c r="E177" s="213">
        <v>19.05</v>
      </c>
      <c r="F177" s="213" t="s">
        <v>25</v>
      </c>
      <c r="G177" s="213" t="s">
        <v>225</v>
      </c>
      <c r="H177" s="213" t="s">
        <v>27</v>
      </c>
      <c r="I177" s="217">
        <v>1</v>
      </c>
      <c r="J177" s="218">
        <v>599178.95069813402</v>
      </c>
      <c r="K177" s="218">
        <v>1497947.3766999999</v>
      </c>
      <c r="L177" s="218">
        <v>4.5000000000000003E-5</v>
      </c>
      <c r="M177" s="218">
        <v>31456.894911652031</v>
      </c>
      <c r="N177" s="219">
        <f t="shared" si="83"/>
        <v>2128583.222354786</v>
      </c>
      <c r="O177" s="219">
        <f t="shared" si="84"/>
        <v>753097.81843783858</v>
      </c>
      <c r="P177" s="219">
        <f t="shared" si="85"/>
        <v>1882744.546037615</v>
      </c>
      <c r="Q177" s="219">
        <f t="shared" si="86"/>
        <v>5.6559733599146733E-5</v>
      </c>
      <c r="R177" s="219">
        <f t="shared" si="87"/>
        <v>39537.635467986511</v>
      </c>
      <c r="S177" s="218">
        <v>2675380</v>
      </c>
      <c r="T177" s="220">
        <f t="shared" si="88"/>
        <v>1.2568829688699272</v>
      </c>
      <c r="U177" s="219">
        <f t="shared" si="89"/>
        <v>2128583.222354786</v>
      </c>
      <c r="V177" s="219">
        <f t="shared" si="90"/>
        <v>2675380</v>
      </c>
      <c r="W177" s="213" t="s">
        <v>218</v>
      </c>
      <c r="X177" s="213" t="s">
        <v>92</v>
      </c>
      <c r="Y177" s="221">
        <f>SUMIFS(Cert_App_Output!$G:$G,Cert_App_Output!$E:$E,$E177,Cert_App_Output!$K:$K,$X177)</f>
        <v>0.5</v>
      </c>
    </row>
    <row r="178" spans="1:25" x14ac:dyDescent="0.35">
      <c r="A178" s="213" t="s">
        <v>219</v>
      </c>
      <c r="B178" s="213" t="s">
        <v>24</v>
      </c>
      <c r="C178" s="213" t="s">
        <v>220</v>
      </c>
      <c r="D178" s="213" t="s">
        <v>24</v>
      </c>
      <c r="E178" s="213">
        <v>19.059999999999999</v>
      </c>
      <c r="F178" s="213" t="s">
        <v>25</v>
      </c>
      <c r="G178" s="213" t="s">
        <v>226</v>
      </c>
      <c r="H178" s="213" t="s">
        <v>27</v>
      </c>
      <c r="I178" s="217">
        <v>1</v>
      </c>
      <c r="J178" s="218">
        <v>898768.42604720104</v>
      </c>
      <c r="K178" s="218">
        <v>1497947.3766999999</v>
      </c>
      <c r="L178" s="218">
        <v>4.5000000000000003E-5</v>
      </c>
      <c r="M178" s="218">
        <v>35950.737041888038</v>
      </c>
      <c r="N178" s="219">
        <f t="shared" si="83"/>
        <v>2432666.5398340891</v>
      </c>
      <c r="O178" s="219">
        <f t="shared" si="84"/>
        <v>1129646.6748770028</v>
      </c>
      <c r="P178" s="219">
        <f t="shared" si="85"/>
        <v>1882744.4580713573</v>
      </c>
      <c r="Q178" s="219">
        <f t="shared" si="86"/>
        <v>5.655973095654281E-5</v>
      </c>
      <c r="R178" s="219">
        <f t="shared" si="87"/>
        <v>45185.866995080112</v>
      </c>
      <c r="S178" s="218">
        <v>3057577</v>
      </c>
      <c r="T178" s="220">
        <f t="shared" si="88"/>
        <v>1.2568829101453958</v>
      </c>
      <c r="U178" s="219">
        <f t="shared" si="89"/>
        <v>2432666.5398340891</v>
      </c>
      <c r="V178" s="219">
        <f t="shared" si="90"/>
        <v>3057577</v>
      </c>
      <c r="W178" s="213" t="s">
        <v>218</v>
      </c>
      <c r="X178" s="213" t="s">
        <v>92</v>
      </c>
      <c r="Y178" s="221">
        <f>SUMIFS(Cert_App_Output!$G:$G,Cert_App_Output!$E:$E,$E178,Cert_App_Output!$K:$K,$X178)</f>
        <v>0.9</v>
      </c>
    </row>
    <row r="179" spans="1:25" x14ac:dyDescent="0.35">
      <c r="A179" s="213" t="s">
        <v>219</v>
      </c>
      <c r="B179" s="213" t="s">
        <v>24</v>
      </c>
      <c r="C179" s="213" t="s">
        <v>220</v>
      </c>
      <c r="D179" s="213" t="s">
        <v>24</v>
      </c>
      <c r="E179" s="213">
        <v>19.07</v>
      </c>
      <c r="F179" s="213" t="s">
        <v>25</v>
      </c>
      <c r="G179" s="213" t="s">
        <v>227</v>
      </c>
      <c r="H179" s="213" t="s">
        <v>27</v>
      </c>
      <c r="I179" s="217">
        <v>1</v>
      </c>
      <c r="J179" s="218">
        <v>213992.48239219069</v>
      </c>
      <c r="K179" s="218">
        <v>427984.96480000002</v>
      </c>
      <c r="L179" s="218">
        <v>-1.5999999999999999E-5</v>
      </c>
      <c r="M179" s="218">
        <v>9629.6617076485818</v>
      </c>
      <c r="N179" s="219">
        <f t="shared" si="83"/>
        <v>651607.10888383922</v>
      </c>
      <c r="O179" s="219">
        <f t="shared" si="84"/>
        <v>268963.54679818696</v>
      </c>
      <c r="P179" s="219">
        <f t="shared" si="85"/>
        <v>537927.0936160048</v>
      </c>
      <c r="Q179" s="219">
        <f t="shared" si="86"/>
        <v>-2.0110130508622195E-5</v>
      </c>
      <c r="R179" s="219">
        <f t="shared" si="87"/>
        <v>12103.359605918416</v>
      </c>
      <c r="S179" s="218">
        <v>818994</v>
      </c>
      <c r="T179" s="220">
        <f t="shared" si="88"/>
        <v>1.2568831567888872</v>
      </c>
      <c r="U179" s="219">
        <f t="shared" si="89"/>
        <v>651607.10888383922</v>
      </c>
      <c r="V179" s="219">
        <f t="shared" si="90"/>
        <v>818994</v>
      </c>
      <c r="W179" s="213" t="s">
        <v>218</v>
      </c>
      <c r="X179" s="213" t="s">
        <v>92</v>
      </c>
      <c r="Y179" s="221">
        <f>SUMIFS(Cert_App_Output!$G:$G,Cert_App_Output!$E:$E,$E179,Cert_App_Output!$K:$K,$X179)</f>
        <v>0</v>
      </c>
    </row>
    <row r="180" spans="1:25" x14ac:dyDescent="0.35">
      <c r="A180" s="213" t="s">
        <v>219</v>
      </c>
      <c r="B180" s="213" t="s">
        <v>24</v>
      </c>
      <c r="C180" s="213" t="s">
        <v>220</v>
      </c>
      <c r="D180" s="213" t="s">
        <v>24</v>
      </c>
      <c r="E180" s="213">
        <v>19.079999999999998</v>
      </c>
      <c r="F180" s="213" t="s">
        <v>25</v>
      </c>
      <c r="G180" s="213" t="s">
        <v>228</v>
      </c>
      <c r="H180" s="213" t="s">
        <v>27</v>
      </c>
      <c r="I180" s="217">
        <v>1</v>
      </c>
      <c r="J180" s="218">
        <v>979935.30829111568</v>
      </c>
      <c r="K180" s="218">
        <v>1959870.6166000001</v>
      </c>
      <c r="L180" s="218">
        <v>-1.8E-5</v>
      </c>
      <c r="M180" s="218">
        <v>44097.088873100212</v>
      </c>
      <c r="N180" s="219">
        <f t="shared" si="83"/>
        <v>2983903.0137462155</v>
      </c>
      <c r="O180" s="219">
        <f t="shared" si="84"/>
        <v>1231663.7110017377</v>
      </c>
      <c r="P180" s="219">
        <f t="shared" si="85"/>
        <v>2463327.4220258086</v>
      </c>
      <c r="Q180" s="219">
        <f t="shared" si="86"/>
        <v>-2.2623888138792433E-5</v>
      </c>
      <c r="R180" s="219">
        <f t="shared" si="87"/>
        <v>55424.866995078206</v>
      </c>
      <c r="S180" s="218">
        <v>3750416</v>
      </c>
      <c r="T180" s="220">
        <f t="shared" si="88"/>
        <v>1.2568826743773573</v>
      </c>
      <c r="U180" s="219">
        <f t="shared" si="89"/>
        <v>2983903.0137462155</v>
      </c>
      <c r="V180" s="219">
        <f t="shared" si="90"/>
        <v>3750416</v>
      </c>
      <c r="W180" s="213" t="s">
        <v>218</v>
      </c>
      <c r="X180" s="213" t="s">
        <v>92</v>
      </c>
      <c r="Y180" s="221">
        <f>SUMIFS(Cert_App_Output!$G:$G,Cert_App_Output!$E:$E,$E180,Cert_App_Output!$K:$K,$X180)</f>
        <v>0</v>
      </c>
    </row>
    <row r="181" spans="1:25" x14ac:dyDescent="0.35">
      <c r="A181" s="213" t="s">
        <v>219</v>
      </c>
      <c r="B181" s="213" t="s">
        <v>24</v>
      </c>
      <c r="C181" s="213" t="s">
        <v>220</v>
      </c>
      <c r="D181" s="213" t="s">
        <v>24</v>
      </c>
      <c r="E181" s="213">
        <v>19.09</v>
      </c>
      <c r="F181" s="213" t="s">
        <v>25</v>
      </c>
      <c r="G181" s="213" t="s">
        <v>229</v>
      </c>
      <c r="H181" s="213" t="s">
        <v>27</v>
      </c>
      <c r="I181" s="217">
        <v>1</v>
      </c>
      <c r="J181" s="218">
        <v>1959870.6165822309</v>
      </c>
      <c r="K181" s="218">
        <v>3919741.2332000001</v>
      </c>
      <c r="L181" s="218">
        <v>-3.6000000000000001E-5</v>
      </c>
      <c r="M181" s="218">
        <v>88194.17774620041</v>
      </c>
      <c r="N181" s="219">
        <f t="shared" si="83"/>
        <v>5967806.027492431</v>
      </c>
      <c r="O181" s="219">
        <f t="shared" si="84"/>
        <v>2463327.4220034746</v>
      </c>
      <c r="P181" s="219">
        <f t="shared" si="85"/>
        <v>4926654.8440516172</v>
      </c>
      <c r="Q181" s="219">
        <f t="shared" si="86"/>
        <v>-4.5247776277584865E-5</v>
      </c>
      <c r="R181" s="219">
        <f t="shared" si="87"/>
        <v>110849.7339901564</v>
      </c>
      <c r="S181" s="218">
        <v>7500832</v>
      </c>
      <c r="T181" s="220">
        <f t="shared" si="88"/>
        <v>1.2568826743773573</v>
      </c>
      <c r="U181" s="219">
        <f t="shared" si="89"/>
        <v>5967806.027492431</v>
      </c>
      <c r="V181" s="219">
        <f t="shared" si="90"/>
        <v>7500832</v>
      </c>
      <c r="W181" s="213" t="s">
        <v>218</v>
      </c>
      <c r="X181" s="213" t="s">
        <v>92</v>
      </c>
      <c r="Y181" s="221">
        <f>SUMIFS(Cert_App_Output!$G:$G,Cert_App_Output!$E:$E,$E181,Cert_App_Output!$K:$K,$X181)</f>
        <v>0</v>
      </c>
    </row>
    <row r="182" spans="1:25" x14ac:dyDescent="0.35">
      <c r="A182" s="213" t="s">
        <v>219</v>
      </c>
      <c r="B182" s="213" t="s">
        <v>24</v>
      </c>
      <c r="C182" s="213" t="s">
        <v>220</v>
      </c>
      <c r="D182" s="213" t="s">
        <v>24</v>
      </c>
      <c r="E182" s="213">
        <v>19.100000000000001</v>
      </c>
      <c r="F182" s="213" t="s">
        <v>25</v>
      </c>
      <c r="G182" s="213" t="s">
        <v>230</v>
      </c>
      <c r="H182" s="213" t="s">
        <v>27</v>
      </c>
      <c r="I182" s="217">
        <v>1</v>
      </c>
      <c r="J182" s="218">
        <v>391974.12331644632</v>
      </c>
      <c r="K182" s="218">
        <v>979935.30830000003</v>
      </c>
      <c r="L182" s="218">
        <v>-9.0000000000000002E-6</v>
      </c>
      <c r="M182" s="218">
        <v>20578.641474113429</v>
      </c>
      <c r="N182" s="219">
        <f t="shared" si="83"/>
        <v>1392488.0730815597</v>
      </c>
      <c r="O182" s="219">
        <f t="shared" si="84"/>
        <v>492665.44686844351</v>
      </c>
      <c r="P182" s="219">
        <f t="shared" si="85"/>
        <v>1231663.617182275</v>
      </c>
      <c r="Q182" s="219">
        <f t="shared" si="86"/>
        <v>-1.1311943207629471E-5</v>
      </c>
      <c r="R182" s="219">
        <f t="shared" si="87"/>
        <v>25864.93596059328</v>
      </c>
      <c r="S182" s="218">
        <v>1750194</v>
      </c>
      <c r="T182" s="220">
        <f t="shared" si="88"/>
        <v>1.2568825786254967</v>
      </c>
      <c r="U182" s="219">
        <f t="shared" si="89"/>
        <v>1392488.0730815597</v>
      </c>
      <c r="V182" s="219">
        <f t="shared" si="90"/>
        <v>1750194</v>
      </c>
      <c r="W182" s="213" t="s">
        <v>218</v>
      </c>
      <c r="X182" s="213" t="s">
        <v>92</v>
      </c>
      <c r="Y182" s="221">
        <f>SUMIFS(Cert_App_Output!$G:$G,Cert_App_Output!$E:$E,$E182,Cert_App_Output!$K:$K,$X182)</f>
        <v>0</v>
      </c>
    </row>
    <row r="183" spans="1:25" x14ac:dyDescent="0.35">
      <c r="A183" s="213" t="s">
        <v>219</v>
      </c>
      <c r="B183" s="213" t="s">
        <v>24</v>
      </c>
      <c r="C183" s="213" t="s">
        <v>220</v>
      </c>
      <c r="D183" s="213" t="s">
        <v>24</v>
      </c>
      <c r="E183" s="213">
        <v>19.11</v>
      </c>
      <c r="F183" s="213" t="s">
        <v>25</v>
      </c>
      <c r="G183" s="213" t="s">
        <v>231</v>
      </c>
      <c r="H183" s="213" t="s">
        <v>27</v>
      </c>
      <c r="I183" s="217">
        <v>1</v>
      </c>
      <c r="J183" s="218">
        <v>3135792.986531571</v>
      </c>
      <c r="K183" s="218">
        <v>7839482.4663000004</v>
      </c>
      <c r="L183" s="218">
        <v>2.9E-5</v>
      </c>
      <c r="M183" s="218">
        <v>164629.13179290749</v>
      </c>
      <c r="N183" s="219">
        <f t="shared" si="83"/>
        <v>11139904.584653478</v>
      </c>
      <c r="O183" s="219">
        <f t="shared" si="84"/>
        <v>3941323.5749471951</v>
      </c>
      <c r="P183" s="219">
        <f t="shared" si="85"/>
        <v>9853308.9373316281</v>
      </c>
      <c r="Q183" s="219">
        <f t="shared" si="86"/>
        <v>3.6449594780136129E-5</v>
      </c>
      <c r="R183" s="219">
        <f t="shared" si="87"/>
        <v>206919.48768472773</v>
      </c>
      <c r="S183" s="218">
        <v>14001552</v>
      </c>
      <c r="T183" s="220">
        <f t="shared" si="88"/>
        <v>1.2568825786253839</v>
      </c>
      <c r="U183" s="219">
        <f t="shared" si="89"/>
        <v>11139904.584653478</v>
      </c>
      <c r="V183" s="219">
        <f t="shared" si="90"/>
        <v>14001552</v>
      </c>
      <c r="W183" s="213" t="s">
        <v>218</v>
      </c>
      <c r="X183" s="213" t="s">
        <v>92</v>
      </c>
      <c r="Y183" s="221">
        <f>SUMIFS(Cert_App_Output!$G:$G,Cert_App_Output!$E:$E,$E183,Cert_App_Output!$K:$K,$X183)</f>
        <v>0.8</v>
      </c>
    </row>
    <row r="184" spans="1:25" x14ac:dyDescent="0.35">
      <c r="A184" s="213" t="s">
        <v>219</v>
      </c>
      <c r="B184" s="213" t="s">
        <v>24</v>
      </c>
      <c r="C184" s="213" t="s">
        <v>220</v>
      </c>
      <c r="D184" s="213" t="s">
        <v>24</v>
      </c>
      <c r="E184" s="213">
        <v>19.12</v>
      </c>
      <c r="F184" s="213" t="s">
        <v>25</v>
      </c>
      <c r="G184" s="213" t="s">
        <v>232</v>
      </c>
      <c r="H184" s="213" t="s">
        <v>27</v>
      </c>
      <c r="I184" s="217">
        <v>1</v>
      </c>
      <c r="J184" s="218">
        <v>2939805.9248733469</v>
      </c>
      <c r="K184" s="218">
        <v>4899676.5415000003</v>
      </c>
      <c r="L184" s="218">
        <v>-4.3999999999999999E-5</v>
      </c>
      <c r="M184" s="218">
        <v>117592.2369949339</v>
      </c>
      <c r="N184" s="219">
        <f t="shared" si="83"/>
        <v>7957074.7033242807</v>
      </c>
      <c r="O184" s="219">
        <f t="shared" si="84"/>
        <v>3694991.0098520205</v>
      </c>
      <c r="P184" s="219">
        <f t="shared" si="85"/>
        <v>6158318.3498092014</v>
      </c>
      <c r="Q184" s="219">
        <f t="shared" si="86"/>
        <v>-5.5302835829373053E-5</v>
      </c>
      <c r="R184" s="219">
        <f t="shared" si="87"/>
        <v>147799.64039408087</v>
      </c>
      <c r="S184" s="218">
        <v>10001109</v>
      </c>
      <c r="T184" s="220">
        <f t="shared" si="88"/>
        <v>1.2568826324857512</v>
      </c>
      <c r="U184" s="219">
        <f t="shared" si="89"/>
        <v>7957074.7033242807</v>
      </c>
      <c r="V184" s="219">
        <f t="shared" si="90"/>
        <v>10001109</v>
      </c>
      <c r="W184" s="213" t="s">
        <v>218</v>
      </c>
      <c r="X184" s="213" t="s">
        <v>92</v>
      </c>
      <c r="Y184" s="221">
        <f>SUMIFS(Cert_App_Output!$G:$G,Cert_App_Output!$E:$E,$E184,Cert_App_Output!$K:$K,$X184)</f>
        <v>0</v>
      </c>
    </row>
    <row r="185" spans="1:25" x14ac:dyDescent="0.35">
      <c r="A185" s="213" t="s">
        <v>219</v>
      </c>
      <c r="B185" s="213" t="s">
        <v>24</v>
      </c>
      <c r="C185" s="213" t="s">
        <v>220</v>
      </c>
      <c r="D185" s="213" t="s">
        <v>24</v>
      </c>
      <c r="E185" s="213">
        <v>19.13</v>
      </c>
      <c r="F185" s="213" t="s">
        <v>25</v>
      </c>
      <c r="G185" s="213" t="s">
        <v>233</v>
      </c>
      <c r="H185" s="213" t="s">
        <v>27</v>
      </c>
      <c r="I185" s="217">
        <v>1</v>
      </c>
      <c r="J185" s="218">
        <v>534981.20598047681</v>
      </c>
      <c r="K185" s="218">
        <v>1069962.412</v>
      </c>
      <c r="L185" s="218">
        <v>-3.8999999999999999E-5</v>
      </c>
      <c r="M185" s="218">
        <v>24074.154269121449</v>
      </c>
      <c r="N185" s="219">
        <f t="shared" si="83"/>
        <v>1629017.7722105982</v>
      </c>
      <c r="O185" s="219">
        <f t="shared" si="84"/>
        <v>672408.86699505476</v>
      </c>
      <c r="P185" s="219">
        <f t="shared" si="85"/>
        <v>1344817.7340391863</v>
      </c>
      <c r="Q185" s="219">
        <f t="shared" si="86"/>
        <v>-4.9018443114736504E-5</v>
      </c>
      <c r="R185" s="219">
        <f t="shared" si="87"/>
        <v>30258.399014777453</v>
      </c>
      <c r="S185" s="218">
        <v>2047485</v>
      </c>
      <c r="T185" s="220">
        <f t="shared" si="88"/>
        <v>1.2568831567881156</v>
      </c>
      <c r="U185" s="219">
        <f t="shared" si="89"/>
        <v>1629017.7722105982</v>
      </c>
      <c r="V185" s="219">
        <f t="shared" si="90"/>
        <v>2047485</v>
      </c>
      <c r="W185" s="213" t="s">
        <v>218</v>
      </c>
      <c r="X185" s="213" t="s">
        <v>92</v>
      </c>
      <c r="Y185" s="221">
        <f>SUMIFS(Cert_App_Output!$G:$G,Cert_App_Output!$E:$E,$E185,Cert_App_Output!$K:$K,$X185)</f>
        <v>0.8</v>
      </c>
    </row>
    <row r="186" spans="1:25" x14ac:dyDescent="0.35">
      <c r="A186" s="213" t="s">
        <v>219</v>
      </c>
      <c r="B186" s="213" t="s">
        <v>24</v>
      </c>
      <c r="C186" s="213" t="s">
        <v>220</v>
      </c>
      <c r="D186" s="213" t="s">
        <v>24</v>
      </c>
      <c r="E186" s="213">
        <v>19.14</v>
      </c>
      <c r="F186" s="213" t="s">
        <v>25</v>
      </c>
      <c r="G186" s="213" t="s">
        <v>234</v>
      </c>
      <c r="H186" s="213" t="s">
        <v>27</v>
      </c>
      <c r="I186" s="217">
        <v>1</v>
      </c>
      <c r="J186" s="218">
        <v>3558424.430063433</v>
      </c>
      <c r="K186" s="218">
        <v>8896061.0752000008</v>
      </c>
      <c r="L186" s="218">
        <v>-4.1E-5</v>
      </c>
      <c r="M186" s="218">
        <v>186817.28257833031</v>
      </c>
      <c r="N186" s="219">
        <f t="shared" si="83"/>
        <v>12641302.787800763</v>
      </c>
      <c r="O186" s="219">
        <f t="shared" si="84"/>
        <v>4472521.8859956302</v>
      </c>
      <c r="P186" s="219">
        <f t="shared" si="85"/>
        <v>11181304.715041133</v>
      </c>
      <c r="Q186" s="219">
        <f t="shared" si="86"/>
        <v>-5.1532188171985989E-5</v>
      </c>
      <c r="R186" s="219">
        <f t="shared" si="87"/>
        <v>234807.39901477069</v>
      </c>
      <c r="S186" s="218">
        <v>15888634</v>
      </c>
      <c r="T186" s="220">
        <f t="shared" si="88"/>
        <v>1.2568826383411218</v>
      </c>
      <c r="U186" s="219">
        <f t="shared" si="89"/>
        <v>12641302.787800763</v>
      </c>
      <c r="V186" s="219">
        <f t="shared" si="90"/>
        <v>15888634</v>
      </c>
      <c r="W186" s="213" t="s">
        <v>218</v>
      </c>
      <c r="X186" s="213" t="s">
        <v>92</v>
      </c>
      <c r="Y186" s="221">
        <f>SUMIFS(Cert_App_Output!$G:$G,Cert_App_Output!$E:$E,$E186,Cert_App_Output!$K:$K,$X186)</f>
        <v>0.4</v>
      </c>
    </row>
    <row r="187" spans="1:25" x14ac:dyDescent="0.35">
      <c r="A187" s="213" t="s">
        <v>24</v>
      </c>
      <c r="B187" s="213" t="s">
        <v>24</v>
      </c>
      <c r="C187" s="213" t="s">
        <v>220</v>
      </c>
      <c r="D187" s="213" t="s">
        <v>24</v>
      </c>
      <c r="E187" s="213">
        <v>19.149999999999999</v>
      </c>
      <c r="F187" s="213" t="s">
        <v>25</v>
      </c>
      <c r="G187" s="213" t="s">
        <v>235</v>
      </c>
      <c r="H187" s="213" t="s">
        <v>27</v>
      </c>
      <c r="I187" s="217">
        <v>1</v>
      </c>
      <c r="J187" s="218">
        <v>0</v>
      </c>
      <c r="K187" s="218">
        <v>4852396.9501</v>
      </c>
      <c r="L187" s="218">
        <v>-1.4E-5</v>
      </c>
      <c r="M187" s="218">
        <v>72785.954251297488</v>
      </c>
      <c r="N187" s="219">
        <f t="shared" si="83"/>
        <v>4925182.9043372981</v>
      </c>
      <c r="O187" s="219">
        <f t="shared" si="84"/>
        <v>0</v>
      </c>
      <c r="P187" s="219">
        <f t="shared" si="85"/>
        <v>6098893.596076699</v>
      </c>
      <c r="Q187" s="219">
        <f t="shared" si="86"/>
        <v>-1.7596357269022305E-5</v>
      </c>
      <c r="R187" s="219">
        <f t="shared" si="87"/>
        <v>91483.403940895965</v>
      </c>
      <c r="S187" s="218">
        <v>6190377</v>
      </c>
      <c r="T187" s="220">
        <f t="shared" si="88"/>
        <v>1.2568826620730218</v>
      </c>
      <c r="U187" s="219">
        <f t="shared" si="89"/>
        <v>4925182.9043372981</v>
      </c>
      <c r="V187" s="219">
        <f t="shared" si="90"/>
        <v>6190377</v>
      </c>
      <c r="W187" s="213" t="s">
        <v>218</v>
      </c>
      <c r="X187" s="213" t="s">
        <v>92</v>
      </c>
      <c r="Y187" s="221">
        <f>SUMIFS(Cert_App_Output!$G:$G,Cert_App_Output!$E:$E,$E187,Cert_App_Output!$K:$K,$X187)</f>
        <v>0.4</v>
      </c>
    </row>
    <row r="188" spans="1:25" x14ac:dyDescent="0.35">
      <c r="A188" s="213" t="s">
        <v>219</v>
      </c>
      <c r="B188" s="213" t="s">
        <v>24</v>
      </c>
      <c r="C188" s="213" t="s">
        <v>220</v>
      </c>
      <c r="D188" s="213" t="s">
        <v>24</v>
      </c>
      <c r="E188" s="213">
        <v>19.16</v>
      </c>
      <c r="F188" s="213" t="s">
        <v>25</v>
      </c>
      <c r="G188" s="213" t="s">
        <v>236</v>
      </c>
      <c r="H188" s="213" t="s">
        <v>27</v>
      </c>
      <c r="I188" s="217">
        <v>1</v>
      </c>
      <c r="J188" s="218">
        <v>1455719.0850259501</v>
      </c>
      <c r="K188" s="218">
        <v>2426198.4750000001</v>
      </c>
      <c r="L188" s="218">
        <v>4.3000000000000002E-5</v>
      </c>
      <c r="M188" s="218">
        <v>58228.763401037992</v>
      </c>
      <c r="N188" s="219">
        <f t="shared" si="83"/>
        <v>3940146.3234699881</v>
      </c>
      <c r="O188" s="219">
        <f t="shared" si="84"/>
        <v>1829668.2266011015</v>
      </c>
      <c r="P188" s="219">
        <f t="shared" si="85"/>
        <v>3049447.0442808089</v>
      </c>
      <c r="Q188" s="219">
        <f t="shared" si="86"/>
        <v>5.4045958834458E-5</v>
      </c>
      <c r="R188" s="219">
        <f t="shared" si="87"/>
        <v>73186.729064044048</v>
      </c>
      <c r="S188" s="218">
        <v>4952302</v>
      </c>
      <c r="T188" s="220">
        <f t="shared" si="88"/>
        <v>1.2568827635920465</v>
      </c>
      <c r="U188" s="219">
        <f t="shared" si="89"/>
        <v>3940146.3234699881</v>
      </c>
      <c r="V188" s="219">
        <f t="shared" si="90"/>
        <v>4952302</v>
      </c>
      <c r="W188" s="213" t="s">
        <v>218</v>
      </c>
      <c r="X188" s="213" t="s">
        <v>92</v>
      </c>
      <c r="Y188" s="221">
        <f>SUMIFS(Cert_App_Output!$G:$G,Cert_App_Output!$E:$E,$E188,Cert_App_Output!$K:$K,$X188)</f>
        <v>0</v>
      </c>
    </row>
    <row r="189" spans="1:25" x14ac:dyDescent="0.35">
      <c r="A189" s="213" t="s">
        <v>219</v>
      </c>
      <c r="B189" s="213" t="s">
        <v>24</v>
      </c>
      <c r="C189" s="213" t="s">
        <v>24</v>
      </c>
      <c r="D189" s="213" t="s">
        <v>24</v>
      </c>
      <c r="E189" s="213">
        <v>19.170000000000002</v>
      </c>
      <c r="F189" s="213" t="s">
        <v>25</v>
      </c>
      <c r="G189" s="213" t="s">
        <v>237</v>
      </c>
      <c r="H189" s="213" t="s">
        <v>27</v>
      </c>
      <c r="I189" s="217">
        <v>1</v>
      </c>
      <c r="J189" s="218">
        <v>0</v>
      </c>
      <c r="K189" s="218">
        <v>0</v>
      </c>
      <c r="L189" s="218">
        <v>0</v>
      </c>
      <c r="M189" s="218">
        <v>0</v>
      </c>
      <c r="N189" s="219">
        <f t="shared" si="83"/>
        <v>0</v>
      </c>
      <c r="O189" s="219">
        <f t="shared" si="84"/>
        <v>5481335</v>
      </c>
      <c r="P189" s="219">
        <f t="shared" si="85"/>
        <v>0</v>
      </c>
      <c r="Q189" s="219">
        <f t="shared" si="86"/>
        <v>0</v>
      </c>
      <c r="R189" s="219">
        <f t="shared" si="87"/>
        <v>0</v>
      </c>
      <c r="S189" s="218">
        <v>5481335</v>
      </c>
      <c r="T189" s="220" t="str">
        <f t="shared" si="88"/>
        <v/>
      </c>
      <c r="U189" s="219">
        <f t="shared" si="89"/>
        <v>0</v>
      </c>
      <c r="V189" s="219">
        <f t="shared" si="90"/>
        <v>5481335</v>
      </c>
      <c r="W189" s="213" t="s">
        <v>218</v>
      </c>
      <c r="X189" s="213" t="s">
        <v>92</v>
      </c>
      <c r="Y189" s="221">
        <f>SUMIFS(Cert_App_Output!$G:$G,Cert_App_Output!$E:$E,$E189,Cert_App_Output!$K:$K,$X189)</f>
        <v>0</v>
      </c>
    </row>
    <row r="190" spans="1:25" x14ac:dyDescent="0.35">
      <c r="A190" s="213" t="s">
        <v>219</v>
      </c>
      <c r="B190" s="213" t="s">
        <v>24</v>
      </c>
      <c r="C190" s="213" t="s">
        <v>220</v>
      </c>
      <c r="D190" s="213" t="s">
        <v>24</v>
      </c>
      <c r="E190" s="213">
        <v>19.170000000000002</v>
      </c>
      <c r="F190" s="213" t="s">
        <v>25</v>
      </c>
      <c r="G190" s="213" t="s">
        <v>238</v>
      </c>
      <c r="H190" s="213" t="s">
        <v>27</v>
      </c>
      <c r="I190" s="217">
        <v>1</v>
      </c>
      <c r="J190" s="218">
        <v>2093587.3781549991</v>
      </c>
      <c r="K190" s="218">
        <v>1987743.777</v>
      </c>
      <c r="L190" s="218">
        <v>-2.3E-5</v>
      </c>
      <c r="M190" s="218">
        <v>61219.96732697812</v>
      </c>
      <c r="N190" s="219">
        <f t="shared" si="83"/>
        <v>4142551.1224589776</v>
      </c>
      <c r="O190" s="219">
        <f t="shared" si="84"/>
        <v>2631393.8375627031</v>
      </c>
      <c r="P190" s="219">
        <f t="shared" si="85"/>
        <v>2498360.8422691626</v>
      </c>
      <c r="Q190" s="219">
        <f t="shared" si="86"/>
        <v>-2.8908302990094455E-5</v>
      </c>
      <c r="R190" s="219">
        <f t="shared" si="87"/>
        <v>76946.32019704202</v>
      </c>
      <c r="S190" s="218">
        <v>5206701</v>
      </c>
      <c r="T190" s="220">
        <f t="shared" si="88"/>
        <v>1.256882738699759</v>
      </c>
      <c r="U190" s="219">
        <f t="shared" si="89"/>
        <v>4142551.1224589776</v>
      </c>
      <c r="V190" s="219">
        <f t="shared" si="90"/>
        <v>5206701</v>
      </c>
      <c r="W190" s="213" t="s">
        <v>218</v>
      </c>
      <c r="X190" s="213" t="s">
        <v>92</v>
      </c>
      <c r="Y190" s="221">
        <f>SUMIFS(Cert_App_Output!$G:$G,Cert_App_Output!$E:$E,$E190,Cert_App_Output!$K:$K,$X190)</f>
        <v>0</v>
      </c>
    </row>
    <row r="191" spans="1:25" x14ac:dyDescent="0.35">
      <c r="A191" s="213" t="s">
        <v>219</v>
      </c>
      <c r="B191" s="213" t="s">
        <v>24</v>
      </c>
      <c r="C191" s="213" t="s">
        <v>220</v>
      </c>
      <c r="D191" s="213" t="s">
        <v>24</v>
      </c>
      <c r="E191" s="213">
        <v>19.18</v>
      </c>
      <c r="F191" s="213" t="s">
        <v>25</v>
      </c>
      <c r="G191" s="213" t="s">
        <v>239</v>
      </c>
      <c r="H191" s="213" t="s">
        <v>27</v>
      </c>
      <c r="I191" s="217">
        <v>1</v>
      </c>
      <c r="J191" s="218">
        <v>6500000</v>
      </c>
      <c r="K191" s="218">
        <v>6500000</v>
      </c>
      <c r="L191" s="218">
        <v>0</v>
      </c>
      <c r="M191" s="218">
        <v>195000</v>
      </c>
      <c r="N191" s="219">
        <f t="shared" si="83"/>
        <v>13195000</v>
      </c>
      <c r="O191" s="219">
        <f t="shared" si="84"/>
        <v>8169736.9458128083</v>
      </c>
      <c r="P191" s="219">
        <f t="shared" si="85"/>
        <v>8169736.9458128083</v>
      </c>
      <c r="Q191" s="219">
        <f t="shared" si="86"/>
        <v>0</v>
      </c>
      <c r="R191" s="219">
        <f t="shared" si="87"/>
        <v>245092.10837438423</v>
      </c>
      <c r="S191" s="218">
        <v>16584566</v>
      </c>
      <c r="T191" s="220">
        <f t="shared" si="88"/>
        <v>1.2568826070481243</v>
      </c>
      <c r="U191" s="219">
        <f t="shared" si="89"/>
        <v>13195000</v>
      </c>
      <c r="V191" s="219">
        <f t="shared" si="90"/>
        <v>16584566</v>
      </c>
      <c r="W191" s="213" t="s">
        <v>218</v>
      </c>
      <c r="X191" s="213" t="s">
        <v>92</v>
      </c>
      <c r="Y191" s="221">
        <f>SUMIFS(Cert_App_Output!$G:$G,Cert_App_Output!$E:$E,$E191,Cert_App_Output!$K:$K,$X191)</f>
        <v>0.7</v>
      </c>
    </row>
    <row r="192" spans="1:25" x14ac:dyDescent="0.35">
      <c r="A192" s="213" t="s">
        <v>24</v>
      </c>
      <c r="B192" s="213" t="s">
        <v>24</v>
      </c>
      <c r="C192" s="213" t="s">
        <v>220</v>
      </c>
      <c r="D192" s="213" t="s">
        <v>24</v>
      </c>
      <c r="E192" s="213">
        <v>19.190000000000001</v>
      </c>
      <c r="F192" s="213" t="s">
        <v>25</v>
      </c>
      <c r="G192" s="213" t="s">
        <v>240</v>
      </c>
      <c r="H192" s="213" t="s">
        <v>27</v>
      </c>
      <c r="I192" s="217">
        <v>1</v>
      </c>
      <c r="J192" s="218">
        <v>0</v>
      </c>
      <c r="K192" s="218">
        <v>2925000</v>
      </c>
      <c r="L192" s="218">
        <v>0</v>
      </c>
      <c r="M192" s="218">
        <v>0</v>
      </c>
      <c r="N192" s="219">
        <f t="shared" si="83"/>
        <v>2925000</v>
      </c>
      <c r="O192" s="219">
        <f t="shared" si="84"/>
        <v>0</v>
      </c>
      <c r="P192" s="219">
        <f t="shared" si="85"/>
        <v>3676382</v>
      </c>
      <c r="Q192" s="219">
        <f t="shared" si="86"/>
        <v>0</v>
      </c>
      <c r="R192" s="219">
        <f t="shared" si="87"/>
        <v>0</v>
      </c>
      <c r="S192" s="218">
        <v>3676382</v>
      </c>
      <c r="T192" s="220">
        <f t="shared" si="88"/>
        <v>1.256882735042735</v>
      </c>
      <c r="U192" s="219">
        <f t="shared" si="89"/>
        <v>2925000</v>
      </c>
      <c r="V192" s="219">
        <f t="shared" si="90"/>
        <v>3676382</v>
      </c>
      <c r="W192" s="213" t="s">
        <v>218</v>
      </c>
      <c r="X192" s="213" t="s">
        <v>92</v>
      </c>
      <c r="Y192" s="221">
        <f>SUMIFS(Cert_App_Output!$G:$G,Cert_App_Output!$E:$E,$E192,Cert_App_Output!$K:$K,$X192)</f>
        <v>0.5</v>
      </c>
    </row>
    <row r="193" spans="1:25" x14ac:dyDescent="0.35">
      <c r="E193" s="213">
        <v>20</v>
      </c>
      <c r="G193" s="213" t="s">
        <v>241</v>
      </c>
      <c r="I193" s="214"/>
      <c r="J193" s="215"/>
      <c r="K193" s="215"/>
      <c r="L193" s="215"/>
      <c r="M193" s="215"/>
      <c r="N193" s="215"/>
      <c r="O193" s="215"/>
      <c r="P193" s="215"/>
      <c r="Q193" s="215"/>
      <c r="R193" s="215"/>
      <c r="S193" s="215"/>
      <c r="T193" s="216"/>
      <c r="U193" s="215"/>
      <c r="V193" s="215"/>
      <c r="Y193" s="203"/>
    </row>
    <row r="194" spans="1:25" x14ac:dyDescent="0.35">
      <c r="A194" s="213" t="s">
        <v>242</v>
      </c>
      <c r="B194" s="213" t="s">
        <v>24</v>
      </c>
      <c r="C194" s="213" t="s">
        <v>243</v>
      </c>
      <c r="D194" s="213" t="s">
        <v>24</v>
      </c>
      <c r="E194" s="213">
        <v>20.010000000000002</v>
      </c>
      <c r="F194" s="213" t="s">
        <v>25</v>
      </c>
      <c r="G194" s="213" t="s">
        <v>244</v>
      </c>
      <c r="H194" s="213" t="s">
        <v>66</v>
      </c>
      <c r="I194" s="217">
        <v>36</v>
      </c>
      <c r="J194" s="218">
        <v>375000</v>
      </c>
      <c r="K194" s="218">
        <v>213888.88888888891</v>
      </c>
      <c r="L194" s="218">
        <v>0</v>
      </c>
      <c r="M194" s="218">
        <v>0</v>
      </c>
      <c r="N194" s="219">
        <f>SUM(J194:M194)</f>
        <v>588888.88888888888</v>
      </c>
      <c r="O194" s="219">
        <f>IF($N194=0,$S194,J194/$N194*$S194)</f>
        <v>471331.48584905663</v>
      </c>
      <c r="P194" s="219">
        <f t="shared" ref="P194:R195" si="91">IF($N194=0,0,K194/$N194*$S194)</f>
        <v>268833.51415094343</v>
      </c>
      <c r="Q194" s="219">
        <f t="shared" si="91"/>
        <v>0</v>
      </c>
      <c r="R194" s="219">
        <f t="shared" si="91"/>
        <v>0</v>
      </c>
      <c r="S194" s="218">
        <v>740165</v>
      </c>
      <c r="T194" s="220">
        <f>IFERROR(S194/N194,"")</f>
        <v>1.256883962264151</v>
      </c>
      <c r="U194" s="219">
        <f>N194*I194</f>
        <v>21200000</v>
      </c>
      <c r="V194" s="219">
        <f>S194*I194</f>
        <v>26645940</v>
      </c>
      <c r="W194" s="213" t="s">
        <v>241</v>
      </c>
      <c r="X194" s="213" t="s">
        <v>92</v>
      </c>
      <c r="Y194" s="221">
        <f>SUMIFS(Cert_App_Output!$G:$G,Cert_App_Output!$E:$E,$E194,Cert_App_Output!$K:$K,$X194)</f>
        <v>0.8</v>
      </c>
    </row>
    <row r="195" spans="1:25" x14ac:dyDescent="0.35">
      <c r="A195" s="213" t="s">
        <v>24</v>
      </c>
      <c r="B195" s="213" t="s">
        <v>24</v>
      </c>
      <c r="C195" s="213" t="s">
        <v>243</v>
      </c>
      <c r="D195" s="213" t="s">
        <v>24</v>
      </c>
      <c r="E195" s="213">
        <v>20.02</v>
      </c>
      <c r="F195" s="213" t="s">
        <v>25</v>
      </c>
      <c r="G195" s="213" t="s">
        <v>245</v>
      </c>
      <c r="H195" s="213" t="s">
        <v>66</v>
      </c>
      <c r="I195" s="217">
        <v>36</v>
      </c>
      <c r="J195" s="218">
        <v>0</v>
      </c>
      <c r="K195" s="218">
        <v>189000</v>
      </c>
      <c r="L195" s="218">
        <v>0</v>
      </c>
      <c r="M195" s="218">
        <v>0</v>
      </c>
      <c r="N195" s="219">
        <f>SUM(J195:M195)</f>
        <v>189000</v>
      </c>
      <c r="O195" s="219">
        <f>IF($N195=0,$S195,J195/$N195*$S195)</f>
        <v>0</v>
      </c>
      <c r="P195" s="219">
        <f t="shared" si="91"/>
        <v>237551</v>
      </c>
      <c r="Q195" s="219">
        <f t="shared" si="91"/>
        <v>0</v>
      </c>
      <c r="R195" s="219">
        <f t="shared" si="91"/>
        <v>0</v>
      </c>
      <c r="S195" s="218">
        <v>237551</v>
      </c>
      <c r="T195" s="220">
        <f>IFERROR(S195/N195,"")</f>
        <v>1.2568835978835979</v>
      </c>
      <c r="U195" s="219">
        <f>N195*I195</f>
        <v>6804000</v>
      </c>
      <c r="V195" s="219">
        <f>S195*I195</f>
        <v>8551836</v>
      </c>
      <c r="W195" s="213" t="s">
        <v>241</v>
      </c>
      <c r="X195" s="213" t="s">
        <v>92</v>
      </c>
      <c r="Y195" s="221">
        <f>SUMIFS(Cert_App_Output!$G:$G,Cert_App_Output!$E:$E,$E195,Cert_App_Output!$K:$K,$X195)</f>
        <v>0</v>
      </c>
    </row>
    <row r="196" spans="1:25" x14ac:dyDescent="0.35">
      <c r="E196" s="213">
        <v>21</v>
      </c>
      <c r="G196" s="213" t="s">
        <v>246</v>
      </c>
      <c r="I196" s="214"/>
      <c r="J196" s="215"/>
      <c r="K196" s="215"/>
      <c r="L196" s="215"/>
      <c r="M196" s="215"/>
      <c r="N196" s="215"/>
      <c r="O196" s="215"/>
      <c r="P196" s="215"/>
      <c r="Q196" s="215"/>
      <c r="R196" s="215"/>
      <c r="S196" s="215"/>
      <c r="T196" s="216"/>
      <c r="U196" s="215"/>
      <c r="V196" s="215"/>
      <c r="Y196" s="203"/>
    </row>
    <row r="197" spans="1:25" x14ac:dyDescent="0.35">
      <c r="A197" s="213" t="s">
        <v>76</v>
      </c>
      <c r="B197" s="213" t="s">
        <v>24</v>
      </c>
      <c r="C197" s="213" t="s">
        <v>24</v>
      </c>
      <c r="D197" s="213" t="s">
        <v>24</v>
      </c>
      <c r="E197" s="213">
        <v>21.01</v>
      </c>
      <c r="F197" s="213" t="s">
        <v>25</v>
      </c>
      <c r="G197" s="213" t="s">
        <v>247</v>
      </c>
      <c r="H197" s="213" t="s">
        <v>27</v>
      </c>
      <c r="I197" s="217">
        <v>0</v>
      </c>
      <c r="J197" s="218">
        <v>0</v>
      </c>
      <c r="K197" s="218">
        <v>0</v>
      </c>
      <c r="L197" s="218">
        <v>0</v>
      </c>
      <c r="M197" s="218">
        <v>0</v>
      </c>
      <c r="N197" s="219">
        <f>SUM(J197:M197)</f>
        <v>0</v>
      </c>
      <c r="O197" s="219">
        <f>IF($N197=0,$S197,J197/$N197*$S197)</f>
        <v>0</v>
      </c>
      <c r="P197" s="219">
        <f>IF($N197=0,0,K197/$N197*$S197)</f>
        <v>0</v>
      </c>
      <c r="Q197" s="219">
        <f>IF($N197=0,0,L197/$N197*$S197)</f>
        <v>0</v>
      </c>
      <c r="R197" s="219">
        <f>IF($N197=0,0,M197/$N197*$S197)</f>
        <v>0</v>
      </c>
      <c r="S197" s="218">
        <v>0</v>
      </c>
      <c r="T197" s="220" t="str">
        <f>IFERROR(S197/N197,"")</f>
        <v/>
      </c>
      <c r="U197" s="219">
        <f>N197*I197</f>
        <v>0</v>
      </c>
      <c r="V197" s="219">
        <f>S197*I197</f>
        <v>0</v>
      </c>
      <c r="W197" s="213" t="s">
        <v>246</v>
      </c>
      <c r="X197" s="213" t="s">
        <v>92</v>
      </c>
      <c r="Y197" s="221">
        <f>SUMIFS(Cert_App_Output!$G:$G,Cert_App_Output!$E:$E,$E197,Cert_App_Output!$K:$K,$X197)</f>
        <v>0</v>
      </c>
    </row>
    <row r="198" spans="1:25" x14ac:dyDescent="0.35">
      <c r="E198" s="213">
        <v>22</v>
      </c>
      <c r="G198" s="213" t="s">
        <v>248</v>
      </c>
      <c r="I198" s="214"/>
      <c r="J198" s="215"/>
      <c r="K198" s="215"/>
      <c r="L198" s="215"/>
      <c r="M198" s="215"/>
      <c r="N198" s="215"/>
      <c r="O198" s="215"/>
      <c r="P198" s="215"/>
      <c r="Q198" s="215"/>
      <c r="R198" s="215"/>
      <c r="S198" s="215"/>
      <c r="T198" s="216"/>
      <c r="U198" s="215"/>
      <c r="V198" s="215"/>
      <c r="Y198" s="203"/>
    </row>
    <row r="199" spans="1:25" x14ac:dyDescent="0.35">
      <c r="A199" s="213" t="s">
        <v>24</v>
      </c>
      <c r="B199" s="213" t="s">
        <v>24</v>
      </c>
      <c r="C199" s="213" t="s">
        <v>187</v>
      </c>
      <c r="D199" s="213" t="s">
        <v>24</v>
      </c>
      <c r="E199" s="213">
        <v>22.01</v>
      </c>
      <c r="F199" s="213" t="s">
        <v>25</v>
      </c>
      <c r="G199" s="213" t="s">
        <v>249</v>
      </c>
      <c r="H199" s="213" t="s">
        <v>66</v>
      </c>
      <c r="I199" s="217">
        <v>16</v>
      </c>
      <c r="J199" s="218">
        <v>0</v>
      </c>
      <c r="K199" s="218">
        <v>64400</v>
      </c>
      <c r="L199" s="218">
        <v>0</v>
      </c>
      <c r="M199" s="218">
        <v>0</v>
      </c>
      <c r="N199" s="219">
        <f>SUM(J199:M199)</f>
        <v>64400</v>
      </c>
      <c r="O199" s="219">
        <f>IF($N199=0,$S199,J199/$N199*$S199)</f>
        <v>0</v>
      </c>
      <c r="P199" s="219">
        <f t="shared" ref="P199:R200" si="92">IF($N199=0,0,K199/$N199*$S199)</f>
        <v>80944</v>
      </c>
      <c r="Q199" s="219">
        <f t="shared" si="92"/>
        <v>0</v>
      </c>
      <c r="R199" s="219">
        <f t="shared" si="92"/>
        <v>0</v>
      </c>
      <c r="S199" s="218">
        <v>80944</v>
      </c>
      <c r="T199" s="220">
        <f>IFERROR(S199/N199,"")</f>
        <v>1.2568944099378883</v>
      </c>
      <c r="U199" s="219">
        <f>N199*I199</f>
        <v>1030400</v>
      </c>
      <c r="V199" s="219">
        <f>S199*I199</f>
        <v>1295104</v>
      </c>
      <c r="W199" s="213" t="s">
        <v>248</v>
      </c>
      <c r="X199" s="213" t="s">
        <v>92</v>
      </c>
      <c r="Y199" s="221">
        <f>SUMIFS(Cert_App_Output!$G:$G,Cert_App_Output!$E:$E,$E199,Cert_App_Output!$K:$K,$X199)</f>
        <v>0</v>
      </c>
    </row>
    <row r="200" spans="1:25" x14ac:dyDescent="0.35">
      <c r="A200" s="213" t="s">
        <v>24</v>
      </c>
      <c r="B200" s="213" t="s">
        <v>24</v>
      </c>
      <c r="C200" s="213" t="s">
        <v>187</v>
      </c>
      <c r="D200" s="213" t="s">
        <v>24</v>
      </c>
      <c r="E200" s="213">
        <v>22.02</v>
      </c>
      <c r="F200" s="213" t="s">
        <v>25</v>
      </c>
      <c r="G200" s="213" t="s">
        <v>250</v>
      </c>
      <c r="H200" s="213" t="s">
        <v>66</v>
      </c>
      <c r="I200" s="217">
        <v>17</v>
      </c>
      <c r="J200" s="218">
        <v>0</v>
      </c>
      <c r="K200" s="218">
        <v>64400</v>
      </c>
      <c r="L200" s="218">
        <v>0</v>
      </c>
      <c r="M200" s="218">
        <v>0</v>
      </c>
      <c r="N200" s="219">
        <f>SUM(J200:M200)</f>
        <v>64400</v>
      </c>
      <c r="O200" s="219">
        <f>IF($N200=0,$S200,J200/$N200*$S200)</f>
        <v>0</v>
      </c>
      <c r="P200" s="219">
        <f t="shared" si="92"/>
        <v>80944</v>
      </c>
      <c r="Q200" s="219">
        <f t="shared" si="92"/>
        <v>0</v>
      </c>
      <c r="R200" s="219">
        <f t="shared" si="92"/>
        <v>0</v>
      </c>
      <c r="S200" s="218">
        <v>80944</v>
      </c>
      <c r="T200" s="220">
        <f>IFERROR(S200/N200,"")</f>
        <v>1.2568944099378883</v>
      </c>
      <c r="U200" s="219">
        <f>N200*I200</f>
        <v>1094800</v>
      </c>
      <c r="V200" s="219">
        <f>S200*I200</f>
        <v>1376048</v>
      </c>
      <c r="W200" s="213" t="s">
        <v>248</v>
      </c>
      <c r="X200" s="213" t="s">
        <v>92</v>
      </c>
      <c r="Y200" s="221">
        <f>SUMIFS(Cert_App_Output!$G:$G,Cert_App_Output!$E:$E,$E200,Cert_App_Output!$K:$K,$X200)</f>
        <v>0</v>
      </c>
    </row>
    <row r="201" spans="1:25" x14ac:dyDescent="0.35">
      <c r="E201" s="213">
        <v>23</v>
      </c>
      <c r="G201" s="213" t="s">
        <v>251</v>
      </c>
      <c r="I201" s="214"/>
      <c r="J201" s="215"/>
      <c r="K201" s="215"/>
      <c r="L201" s="215"/>
      <c r="M201" s="215"/>
      <c r="N201" s="215"/>
      <c r="O201" s="215"/>
      <c r="P201" s="215"/>
      <c r="Q201" s="215"/>
      <c r="R201" s="215"/>
      <c r="S201" s="215"/>
      <c r="T201" s="216"/>
      <c r="U201" s="215"/>
      <c r="V201" s="215"/>
      <c r="Y201" s="203"/>
    </row>
    <row r="202" spans="1:25" x14ac:dyDescent="0.35">
      <c r="A202" s="213" t="s">
        <v>76</v>
      </c>
      <c r="B202" s="213" t="s">
        <v>24</v>
      </c>
      <c r="C202" s="213" t="s">
        <v>24</v>
      </c>
      <c r="D202" s="213" t="s">
        <v>71</v>
      </c>
      <c r="E202" s="213">
        <v>23.01</v>
      </c>
      <c r="F202" s="213" t="s">
        <v>25</v>
      </c>
      <c r="G202" s="213" t="s">
        <v>252</v>
      </c>
      <c r="H202" s="213" t="s">
        <v>27</v>
      </c>
      <c r="I202" s="217">
        <v>7</v>
      </c>
      <c r="J202" s="218">
        <v>102857.44160864411</v>
      </c>
      <c r="K202" s="218">
        <v>0</v>
      </c>
      <c r="L202" s="218">
        <v>247059.611856737</v>
      </c>
      <c r="M202" s="218">
        <v>5248.7558019807166</v>
      </c>
      <c r="N202" s="219">
        <f>SUM(J202:M202)</f>
        <v>355165.80926736182</v>
      </c>
      <c r="O202" s="219">
        <f>IF($N202=0,$S202,J202/$N202*$S202)</f>
        <v>129279.80805274379</v>
      </c>
      <c r="P202" s="219">
        <f t="shared" ref="P202:R204" si="93">IF($N202=0,0,K202/$N202*$S202)</f>
        <v>0</v>
      </c>
      <c r="Q202" s="219">
        <f t="shared" si="93"/>
        <v>310525.11805563059</v>
      </c>
      <c r="R202" s="219">
        <f t="shared" si="93"/>
        <v>6597.073891625615</v>
      </c>
      <c r="S202" s="218">
        <v>446402</v>
      </c>
      <c r="T202" s="220">
        <f>IFERROR(S202/N202,"")</f>
        <v>1.2568833720814532</v>
      </c>
      <c r="U202" s="219">
        <f>N202*I202</f>
        <v>2486160.6648715329</v>
      </c>
      <c r="V202" s="219">
        <f>S202*I202</f>
        <v>3124814</v>
      </c>
      <c r="W202" s="213" t="s">
        <v>251</v>
      </c>
      <c r="X202" s="213" t="s">
        <v>92</v>
      </c>
      <c r="Y202" s="221">
        <f>SUMIFS(Cert_App_Output!$G:$G,Cert_App_Output!$E:$E,$E202,Cert_App_Output!$K:$K,$X202)</f>
        <v>0.1</v>
      </c>
    </row>
    <row r="203" spans="1:25" x14ac:dyDescent="0.35">
      <c r="A203" s="213" t="s">
        <v>76</v>
      </c>
      <c r="B203" s="213" t="s">
        <v>24</v>
      </c>
      <c r="C203" s="213" t="s">
        <v>24</v>
      </c>
      <c r="D203" s="213" t="s">
        <v>71</v>
      </c>
      <c r="E203" s="213">
        <v>23.02</v>
      </c>
      <c r="F203" s="213" t="s">
        <v>25</v>
      </c>
      <c r="G203" s="213" t="s">
        <v>253</v>
      </c>
      <c r="H203" s="213" t="s">
        <v>27</v>
      </c>
      <c r="I203" s="217">
        <v>1</v>
      </c>
      <c r="J203" s="218">
        <v>200000</v>
      </c>
      <c r="K203" s="218">
        <v>0</v>
      </c>
      <c r="L203" s="218">
        <v>326801.24153285992</v>
      </c>
      <c r="M203" s="218">
        <v>7902.0186229928977</v>
      </c>
      <c r="N203" s="219">
        <f>SUM(J203:M203)</f>
        <v>534703.26015585277</v>
      </c>
      <c r="O203" s="219">
        <f>IF($N203=0,$S203,J203/$N203*$S203)</f>
        <v>251376.81030937089</v>
      </c>
      <c r="P203" s="219">
        <f t="shared" si="93"/>
        <v>0</v>
      </c>
      <c r="Q203" s="219">
        <f t="shared" si="93"/>
        <v>410751.26850836317</v>
      </c>
      <c r="R203" s="219">
        <f t="shared" si="93"/>
        <v>9931.9211822660091</v>
      </c>
      <c r="S203" s="218">
        <v>672060</v>
      </c>
      <c r="T203" s="220">
        <f>IFERROR(S203/N203,"")</f>
        <v>1.2568840515468545</v>
      </c>
      <c r="U203" s="219">
        <f>N203*I203</f>
        <v>534703.26015585277</v>
      </c>
      <c r="V203" s="219">
        <f>S203*I203</f>
        <v>672060</v>
      </c>
      <c r="W203" s="213" t="s">
        <v>251</v>
      </c>
      <c r="X203" s="213" t="s">
        <v>92</v>
      </c>
      <c r="Y203" s="221">
        <f>SUMIFS(Cert_App_Output!$G:$G,Cert_App_Output!$E:$E,$E203,Cert_App_Output!$K:$K,$X203)</f>
        <v>0.85</v>
      </c>
    </row>
    <row r="204" spans="1:25" x14ac:dyDescent="0.35">
      <c r="A204" s="213" t="s">
        <v>76</v>
      </c>
      <c r="B204" s="213" t="s">
        <v>24</v>
      </c>
      <c r="C204" s="213" t="s">
        <v>71</v>
      </c>
      <c r="D204" s="213" t="s">
        <v>24</v>
      </c>
      <c r="E204" s="213">
        <v>23.03</v>
      </c>
      <c r="F204" s="213" t="s">
        <v>25</v>
      </c>
      <c r="G204" s="213" t="s">
        <v>254</v>
      </c>
      <c r="H204" s="213" t="s">
        <v>27</v>
      </c>
      <c r="I204" s="217">
        <v>1</v>
      </c>
      <c r="J204" s="218">
        <v>253919.62647337769</v>
      </c>
      <c r="K204" s="218">
        <v>439307.50329999998</v>
      </c>
      <c r="L204" s="218">
        <v>2.8E-5</v>
      </c>
      <c r="M204" s="218">
        <v>0</v>
      </c>
      <c r="N204" s="219">
        <f>SUM(J204:M204)</f>
        <v>693227.12980137765</v>
      </c>
      <c r="O204" s="219">
        <f>IF($N204=0,$S204,J204/$N204*$S204)</f>
        <v>319147.48363556206</v>
      </c>
      <c r="P204" s="219">
        <f t="shared" si="93"/>
        <v>552158.51632924529</v>
      </c>
      <c r="Q204" s="219">
        <f t="shared" si="93"/>
        <v>3.5192748453151375E-5</v>
      </c>
      <c r="R204" s="219">
        <f t="shared" si="93"/>
        <v>0</v>
      </c>
      <c r="S204" s="218">
        <v>871306</v>
      </c>
      <c r="T204" s="220">
        <f>IFERROR(S204/N204,"")</f>
        <v>1.2568838733268348</v>
      </c>
      <c r="U204" s="219">
        <f>N204*I204</f>
        <v>693227.12980137765</v>
      </c>
      <c r="V204" s="219">
        <f>S204*I204</f>
        <v>871306</v>
      </c>
      <c r="W204" s="213" t="s">
        <v>251</v>
      </c>
      <c r="X204" s="213" t="s">
        <v>92</v>
      </c>
      <c r="Y204" s="221">
        <f>SUMIFS(Cert_App_Output!$G:$G,Cert_App_Output!$E:$E,$E204,Cert_App_Output!$K:$K,$X204)</f>
        <v>0</v>
      </c>
    </row>
    <row r="205" spans="1:25" x14ac:dyDescent="0.35">
      <c r="E205" s="213">
        <v>24</v>
      </c>
      <c r="G205" s="213" t="s">
        <v>70</v>
      </c>
      <c r="I205" s="214"/>
      <c r="J205" s="215"/>
      <c r="K205" s="215"/>
      <c r="L205" s="215"/>
      <c r="M205" s="215"/>
      <c r="N205" s="215"/>
      <c r="O205" s="215"/>
      <c r="P205" s="215"/>
      <c r="Q205" s="215"/>
      <c r="R205" s="215"/>
      <c r="S205" s="215"/>
      <c r="T205" s="216"/>
      <c r="U205" s="215"/>
      <c r="V205" s="215"/>
      <c r="Y205" s="203"/>
    </row>
    <row r="206" spans="1:25" x14ac:dyDescent="0.35">
      <c r="A206" s="213" t="s">
        <v>24</v>
      </c>
      <c r="B206" s="213" t="s">
        <v>24</v>
      </c>
      <c r="C206" s="213" t="s">
        <v>71</v>
      </c>
      <c r="D206" s="213" t="s">
        <v>24</v>
      </c>
      <c r="E206" s="213">
        <v>24.01</v>
      </c>
      <c r="F206" s="213" t="s">
        <v>25</v>
      </c>
      <c r="G206" s="213" t="s">
        <v>72</v>
      </c>
      <c r="H206" s="213" t="s">
        <v>37</v>
      </c>
      <c r="I206" s="217">
        <v>6</v>
      </c>
      <c r="J206" s="218">
        <v>0</v>
      </c>
      <c r="K206" s="218">
        <v>599210.84669999999</v>
      </c>
      <c r="L206" s="218">
        <v>1.9000000000000001E-5</v>
      </c>
      <c r="M206" s="218">
        <v>0</v>
      </c>
      <c r="N206" s="219">
        <f t="shared" ref="N206:N216" si="94">SUM(J206:M206)</f>
        <v>599210.84671900002</v>
      </c>
      <c r="O206" s="219">
        <f t="shared" ref="O206:O216" si="95">IF($N206=0,$S206,J206/$N206*$S206)</f>
        <v>0</v>
      </c>
      <c r="P206" s="219">
        <f t="shared" ref="P206:P216" si="96">IF($N206=0,0,K206/$N206*$S206)</f>
        <v>753137.99997611914</v>
      </c>
      <c r="Q206" s="219">
        <f t="shared" ref="Q206:Q216" si="97">IF($N206=0,0,L206/$N206*$S206)</f>
        <v>2.3880779325596056E-5</v>
      </c>
      <c r="R206" s="219">
        <f t="shared" ref="R206:R216" si="98">IF($N206=0,0,M206/$N206*$S206)</f>
        <v>0</v>
      </c>
      <c r="S206" s="218">
        <v>753138</v>
      </c>
      <c r="T206" s="220">
        <f t="shared" ref="T206:T216" si="99">IFERROR(S206/N206,"")</f>
        <v>1.2568831223997921</v>
      </c>
      <c r="U206" s="219">
        <f t="shared" ref="U206:U216" si="100">N206*I206</f>
        <v>3595265.0803140001</v>
      </c>
      <c r="V206" s="219">
        <f t="shared" ref="V206:V216" si="101">S206*I206</f>
        <v>4518828</v>
      </c>
      <c r="W206" s="213" t="s">
        <v>70</v>
      </c>
      <c r="X206" s="213" t="s">
        <v>92</v>
      </c>
      <c r="Y206" s="221">
        <f>SUMIFS(Cert_App_Output!$G:$G,Cert_App_Output!$E:$E,$E206,Cert_App_Output!$K:$K,$X206)</f>
        <v>0.5</v>
      </c>
    </row>
    <row r="207" spans="1:25" x14ac:dyDescent="0.35">
      <c r="A207" s="213" t="s">
        <v>24</v>
      </c>
      <c r="B207" s="213" t="s">
        <v>24</v>
      </c>
      <c r="C207" s="213" t="s">
        <v>73</v>
      </c>
      <c r="D207" s="213" t="s">
        <v>24</v>
      </c>
      <c r="E207" s="213">
        <v>24.02</v>
      </c>
      <c r="F207" s="213" t="s">
        <v>25</v>
      </c>
      <c r="G207" s="213" t="s">
        <v>74</v>
      </c>
      <c r="H207" s="213" t="s">
        <v>37</v>
      </c>
      <c r="I207" s="217">
        <v>0</v>
      </c>
      <c r="J207" s="218">
        <v>0</v>
      </c>
      <c r="K207" s="218">
        <v>1547376.3492000001</v>
      </c>
      <c r="L207" s="218">
        <v>0</v>
      </c>
      <c r="M207" s="218">
        <v>0</v>
      </c>
      <c r="N207" s="219">
        <f t="shared" si="94"/>
        <v>1547376.3492000001</v>
      </c>
      <c r="O207" s="219">
        <f t="shared" si="95"/>
        <v>0</v>
      </c>
      <c r="P207" s="219">
        <f t="shared" si="96"/>
        <v>0</v>
      </c>
      <c r="Q207" s="219">
        <f t="shared" si="97"/>
        <v>0</v>
      </c>
      <c r="R207" s="219">
        <f t="shared" si="98"/>
        <v>0</v>
      </c>
      <c r="S207" s="218">
        <v>0</v>
      </c>
      <c r="T207" s="220">
        <f t="shared" si="99"/>
        <v>0</v>
      </c>
      <c r="U207" s="219">
        <f t="shared" si="100"/>
        <v>0</v>
      </c>
      <c r="V207" s="219">
        <f t="shared" si="101"/>
        <v>0</v>
      </c>
      <c r="W207" s="213" t="s">
        <v>70</v>
      </c>
      <c r="X207" s="213" t="s">
        <v>92</v>
      </c>
      <c r="Y207" s="221">
        <f>SUMIFS(Cert_App_Output!$G:$G,Cert_App_Output!$E:$E,$E207,Cert_App_Output!$K:$K,$X207)</f>
        <v>0</v>
      </c>
    </row>
    <row r="208" spans="1:25" x14ac:dyDescent="0.35">
      <c r="A208" s="213" t="s">
        <v>24</v>
      </c>
      <c r="B208" s="213" t="s">
        <v>24</v>
      </c>
      <c r="C208" s="213" t="s">
        <v>73</v>
      </c>
      <c r="D208" s="213" t="s">
        <v>24</v>
      </c>
      <c r="E208" s="213">
        <v>24.03</v>
      </c>
      <c r="F208" s="213" t="s">
        <v>25</v>
      </c>
      <c r="G208" s="213" t="s">
        <v>75</v>
      </c>
      <c r="H208" s="213" t="s">
        <v>37</v>
      </c>
      <c r="I208" s="217">
        <v>6</v>
      </c>
      <c r="J208" s="218">
        <v>0</v>
      </c>
      <c r="K208" s="218">
        <v>150000</v>
      </c>
      <c r="L208" s="218">
        <v>0</v>
      </c>
      <c r="M208" s="218">
        <v>0</v>
      </c>
      <c r="N208" s="219">
        <f t="shared" si="94"/>
        <v>150000</v>
      </c>
      <c r="O208" s="219">
        <f t="shared" si="95"/>
        <v>0</v>
      </c>
      <c r="P208" s="219">
        <f t="shared" si="96"/>
        <v>188533</v>
      </c>
      <c r="Q208" s="219">
        <f t="shared" si="97"/>
        <v>0</v>
      </c>
      <c r="R208" s="219">
        <f t="shared" si="98"/>
        <v>0</v>
      </c>
      <c r="S208" s="218">
        <v>188533</v>
      </c>
      <c r="T208" s="220">
        <f t="shared" si="99"/>
        <v>1.2568866666666667</v>
      </c>
      <c r="U208" s="219">
        <f t="shared" si="100"/>
        <v>900000</v>
      </c>
      <c r="V208" s="219">
        <f t="shared" si="101"/>
        <v>1131198</v>
      </c>
      <c r="W208" s="213" t="s">
        <v>70</v>
      </c>
      <c r="X208" s="213" t="s">
        <v>92</v>
      </c>
      <c r="Y208" s="221">
        <f>SUMIFS(Cert_App_Output!$G:$G,Cert_App_Output!$E:$E,$E208,Cert_App_Output!$K:$K,$X208)</f>
        <v>0.5</v>
      </c>
    </row>
    <row r="209" spans="1:25" x14ac:dyDescent="0.35">
      <c r="A209" s="213" t="s">
        <v>76</v>
      </c>
      <c r="B209" s="213" t="s">
        <v>24</v>
      </c>
      <c r="C209" s="213" t="s">
        <v>24</v>
      </c>
      <c r="D209" s="213" t="s">
        <v>71</v>
      </c>
      <c r="E209" s="213">
        <v>24.04</v>
      </c>
      <c r="F209" s="213" t="s">
        <v>25</v>
      </c>
      <c r="G209" s="213" t="s">
        <v>77</v>
      </c>
      <c r="H209" s="213" t="s">
        <v>27</v>
      </c>
      <c r="I209" s="217">
        <v>0</v>
      </c>
      <c r="J209" s="218">
        <v>2388097.2693333328</v>
      </c>
      <c r="K209" s="218">
        <v>0</v>
      </c>
      <c r="L209" s="218">
        <v>1222808.07717144</v>
      </c>
      <c r="M209" s="218">
        <v>54163.580197571588</v>
      </c>
      <c r="N209" s="219">
        <f t="shared" si="94"/>
        <v>3665068.9267023448</v>
      </c>
      <c r="O209" s="219">
        <f t="shared" si="95"/>
        <v>0</v>
      </c>
      <c r="P209" s="219">
        <f t="shared" si="96"/>
        <v>0</v>
      </c>
      <c r="Q209" s="219">
        <f t="shared" si="97"/>
        <v>0</v>
      </c>
      <c r="R209" s="219">
        <f t="shared" si="98"/>
        <v>0</v>
      </c>
      <c r="S209" s="218">
        <v>0</v>
      </c>
      <c r="T209" s="220">
        <f t="shared" si="99"/>
        <v>0</v>
      </c>
      <c r="U209" s="219">
        <f t="shared" si="100"/>
        <v>0</v>
      </c>
      <c r="V209" s="219">
        <f t="shared" si="101"/>
        <v>0</v>
      </c>
      <c r="W209" s="213" t="s">
        <v>70</v>
      </c>
      <c r="X209" s="213" t="s">
        <v>92</v>
      </c>
      <c r="Y209" s="221">
        <f>SUMIFS(Cert_App_Output!$G:$G,Cert_App_Output!$E:$E,$E209,Cert_App_Output!$K:$K,$X209)</f>
        <v>0</v>
      </c>
    </row>
    <row r="210" spans="1:25" x14ac:dyDescent="0.35">
      <c r="A210" s="213" t="s">
        <v>76</v>
      </c>
      <c r="B210" s="213" t="s">
        <v>24</v>
      </c>
      <c r="C210" s="213" t="s">
        <v>24</v>
      </c>
      <c r="D210" s="213" t="s">
        <v>71</v>
      </c>
      <c r="E210" s="213">
        <v>24.05</v>
      </c>
      <c r="F210" s="213" t="s">
        <v>25</v>
      </c>
      <c r="G210" s="213" t="s">
        <v>78</v>
      </c>
      <c r="H210" s="213" t="s">
        <v>37</v>
      </c>
      <c r="I210" s="217">
        <v>6</v>
      </c>
      <c r="J210" s="218">
        <v>50000</v>
      </c>
      <c r="K210" s="218">
        <v>0</v>
      </c>
      <c r="L210" s="218">
        <v>495686.16827914771</v>
      </c>
      <c r="M210" s="218">
        <v>8185.2925241872153</v>
      </c>
      <c r="N210" s="219">
        <f t="shared" si="94"/>
        <v>553871.46080333495</v>
      </c>
      <c r="O210" s="219">
        <f t="shared" si="95"/>
        <v>62844.184008894539</v>
      </c>
      <c r="P210" s="219">
        <f t="shared" si="96"/>
        <v>0</v>
      </c>
      <c r="Q210" s="219">
        <f t="shared" si="97"/>
        <v>623019.85539997241</v>
      </c>
      <c r="R210" s="219">
        <f t="shared" si="98"/>
        <v>10287.960591133004</v>
      </c>
      <c r="S210" s="218">
        <v>696152</v>
      </c>
      <c r="T210" s="220">
        <f t="shared" si="99"/>
        <v>1.2568836801778906</v>
      </c>
      <c r="U210" s="219">
        <f t="shared" si="100"/>
        <v>3323228.7648200095</v>
      </c>
      <c r="V210" s="219">
        <f t="shared" si="101"/>
        <v>4176912</v>
      </c>
      <c r="W210" s="213" t="s">
        <v>70</v>
      </c>
      <c r="X210" s="213" t="s">
        <v>92</v>
      </c>
      <c r="Y210" s="221">
        <f>SUMIFS(Cert_App_Output!$G:$G,Cert_App_Output!$E:$E,$E210,Cert_App_Output!$K:$K,$X210)</f>
        <v>0.4</v>
      </c>
    </row>
    <row r="211" spans="1:25" x14ac:dyDescent="0.35">
      <c r="A211" s="213" t="s">
        <v>76</v>
      </c>
      <c r="B211" s="213" t="s">
        <v>24</v>
      </c>
      <c r="C211" s="213" t="s">
        <v>24</v>
      </c>
      <c r="D211" s="213" t="s">
        <v>71</v>
      </c>
      <c r="E211" s="213">
        <v>24.06</v>
      </c>
      <c r="F211" s="213" t="s">
        <v>25</v>
      </c>
      <c r="G211" s="213" t="s">
        <v>79</v>
      </c>
      <c r="H211" s="213" t="s">
        <v>37</v>
      </c>
      <c r="I211" s="217">
        <v>6</v>
      </c>
      <c r="J211" s="218">
        <v>25000</v>
      </c>
      <c r="K211" s="218">
        <v>0</v>
      </c>
      <c r="L211" s="218">
        <v>329565.96569537499</v>
      </c>
      <c r="M211" s="218">
        <v>5318.4894854306249</v>
      </c>
      <c r="N211" s="219">
        <f t="shared" si="94"/>
        <v>359884.45518080564</v>
      </c>
      <c r="O211" s="219">
        <f t="shared" si="95"/>
        <v>31422.099057650899</v>
      </c>
      <c r="P211" s="219">
        <f t="shared" si="96"/>
        <v>0</v>
      </c>
      <c r="Q211" s="219">
        <f t="shared" si="97"/>
        <v>414226.17680441804</v>
      </c>
      <c r="R211" s="219">
        <f t="shared" si="98"/>
        <v>6684.7241379310344</v>
      </c>
      <c r="S211" s="218">
        <v>452333</v>
      </c>
      <c r="T211" s="220">
        <f t="shared" si="99"/>
        <v>1.2568839623060359</v>
      </c>
      <c r="U211" s="219">
        <f t="shared" si="100"/>
        <v>2159306.7310848339</v>
      </c>
      <c r="V211" s="219">
        <f t="shared" si="101"/>
        <v>2713998</v>
      </c>
      <c r="W211" s="213" t="s">
        <v>70</v>
      </c>
      <c r="X211" s="213" t="s">
        <v>92</v>
      </c>
      <c r="Y211" s="221">
        <f>SUMIFS(Cert_App_Output!$G:$G,Cert_App_Output!$E:$E,$E211,Cert_App_Output!$K:$K,$X211)</f>
        <v>0.4</v>
      </c>
    </row>
    <row r="212" spans="1:25" x14ac:dyDescent="0.35">
      <c r="A212" s="213" t="s">
        <v>76</v>
      </c>
      <c r="B212" s="213" t="s">
        <v>24</v>
      </c>
      <c r="C212" s="213" t="s">
        <v>24</v>
      </c>
      <c r="D212" s="213" t="s">
        <v>24</v>
      </c>
      <c r="E212" s="213">
        <v>24.07</v>
      </c>
      <c r="F212" s="213" t="s">
        <v>25</v>
      </c>
      <c r="G212" s="213" t="s">
        <v>80</v>
      </c>
      <c r="H212" s="213" t="s">
        <v>27</v>
      </c>
      <c r="I212" s="217">
        <v>0</v>
      </c>
      <c r="J212" s="218">
        <v>0</v>
      </c>
      <c r="K212" s="218">
        <v>0</v>
      </c>
      <c r="L212" s="218">
        <v>0</v>
      </c>
      <c r="M212" s="218">
        <v>0</v>
      </c>
      <c r="N212" s="219">
        <f t="shared" si="94"/>
        <v>0</v>
      </c>
      <c r="O212" s="219">
        <f t="shared" si="95"/>
        <v>0</v>
      </c>
      <c r="P212" s="219">
        <f t="shared" si="96"/>
        <v>0</v>
      </c>
      <c r="Q212" s="219">
        <f t="shared" si="97"/>
        <v>0</v>
      </c>
      <c r="R212" s="219">
        <f t="shared" si="98"/>
        <v>0</v>
      </c>
      <c r="S212" s="218">
        <v>0</v>
      </c>
      <c r="T212" s="220" t="str">
        <f t="shared" si="99"/>
        <v/>
      </c>
      <c r="U212" s="219">
        <f t="shared" si="100"/>
        <v>0</v>
      </c>
      <c r="V212" s="219">
        <f t="shared" si="101"/>
        <v>0</v>
      </c>
      <c r="W212" s="213" t="s">
        <v>70</v>
      </c>
      <c r="X212" s="213" t="s">
        <v>92</v>
      </c>
      <c r="Y212" s="221">
        <f>SUMIFS(Cert_App_Output!$G:$G,Cert_App_Output!$E:$E,$E212,Cert_App_Output!$K:$K,$X212)</f>
        <v>0</v>
      </c>
    </row>
    <row r="213" spans="1:25" x14ac:dyDescent="0.35">
      <c r="A213" s="213" t="s">
        <v>24</v>
      </c>
      <c r="B213" s="213" t="s">
        <v>24</v>
      </c>
      <c r="C213" s="213" t="s">
        <v>81</v>
      </c>
      <c r="D213" s="213" t="s">
        <v>24</v>
      </c>
      <c r="E213" s="213">
        <v>24.08</v>
      </c>
      <c r="F213" s="213" t="s">
        <v>25</v>
      </c>
      <c r="G213" s="213" t="s">
        <v>82</v>
      </c>
      <c r="H213" s="213" t="s">
        <v>37</v>
      </c>
      <c r="I213" s="217">
        <v>6</v>
      </c>
      <c r="J213" s="218">
        <v>0</v>
      </c>
      <c r="K213" s="218">
        <v>250000</v>
      </c>
      <c r="L213" s="218">
        <v>0</v>
      </c>
      <c r="M213" s="218">
        <v>0</v>
      </c>
      <c r="N213" s="219">
        <f t="shared" si="94"/>
        <v>250000</v>
      </c>
      <c r="O213" s="219">
        <f t="shared" si="95"/>
        <v>0</v>
      </c>
      <c r="P213" s="219">
        <f t="shared" si="96"/>
        <v>314221</v>
      </c>
      <c r="Q213" s="219">
        <f t="shared" si="97"/>
        <v>0</v>
      </c>
      <c r="R213" s="219">
        <f t="shared" si="98"/>
        <v>0</v>
      </c>
      <c r="S213" s="218">
        <v>314221</v>
      </c>
      <c r="T213" s="220">
        <f t="shared" si="99"/>
        <v>1.2568839999999999</v>
      </c>
      <c r="U213" s="219">
        <f t="shared" si="100"/>
        <v>1500000</v>
      </c>
      <c r="V213" s="219">
        <f t="shared" si="101"/>
        <v>1885326</v>
      </c>
      <c r="W213" s="213" t="s">
        <v>70</v>
      </c>
      <c r="X213" s="213" t="s">
        <v>92</v>
      </c>
      <c r="Y213" s="221">
        <f>SUMIFS(Cert_App_Output!$G:$G,Cert_App_Output!$E:$E,$E213,Cert_App_Output!$K:$K,$X213)</f>
        <v>0.4</v>
      </c>
    </row>
    <row r="214" spans="1:25" x14ac:dyDescent="0.35">
      <c r="A214" s="213" t="s">
        <v>83</v>
      </c>
      <c r="B214" s="213" t="s">
        <v>24</v>
      </c>
      <c r="C214" s="213" t="s">
        <v>24</v>
      </c>
      <c r="D214" s="213" t="s">
        <v>24</v>
      </c>
      <c r="E214" s="213">
        <v>24.09</v>
      </c>
      <c r="F214" s="213" t="s">
        <v>25</v>
      </c>
      <c r="G214" s="213" t="s">
        <v>84</v>
      </c>
      <c r="H214" s="213" t="s">
        <v>37</v>
      </c>
      <c r="I214" s="217">
        <v>4</v>
      </c>
      <c r="J214" s="218">
        <v>0</v>
      </c>
      <c r="K214" s="218">
        <v>0</v>
      </c>
      <c r="L214" s="218">
        <v>0</v>
      </c>
      <c r="M214" s="218">
        <v>0</v>
      </c>
      <c r="N214" s="219">
        <f t="shared" si="94"/>
        <v>0</v>
      </c>
      <c r="O214" s="219">
        <f t="shared" si="95"/>
        <v>0</v>
      </c>
      <c r="P214" s="219">
        <f t="shared" si="96"/>
        <v>0</v>
      </c>
      <c r="Q214" s="219">
        <f t="shared" si="97"/>
        <v>0</v>
      </c>
      <c r="R214" s="219">
        <f t="shared" si="98"/>
        <v>0</v>
      </c>
      <c r="S214" s="218">
        <v>0</v>
      </c>
      <c r="T214" s="220" t="str">
        <f t="shared" si="99"/>
        <v/>
      </c>
      <c r="U214" s="219">
        <f t="shared" si="100"/>
        <v>0</v>
      </c>
      <c r="V214" s="219">
        <f t="shared" si="101"/>
        <v>0</v>
      </c>
      <c r="W214" s="213" t="s">
        <v>70</v>
      </c>
      <c r="X214" s="213" t="s">
        <v>92</v>
      </c>
      <c r="Y214" s="221">
        <f>SUMIFS(Cert_App_Output!$G:$G,Cert_App_Output!$E:$E,$E214,Cert_App_Output!$K:$K,$X214)</f>
        <v>0</v>
      </c>
    </row>
    <row r="215" spans="1:25" x14ac:dyDescent="0.35">
      <c r="A215" s="213" t="s">
        <v>24</v>
      </c>
      <c r="B215" s="213" t="s">
        <v>24</v>
      </c>
      <c r="C215" s="213" t="s">
        <v>24</v>
      </c>
      <c r="D215" s="213" t="s">
        <v>71</v>
      </c>
      <c r="E215" s="213">
        <v>24.1</v>
      </c>
      <c r="F215" s="213" t="s">
        <v>25</v>
      </c>
      <c r="G215" s="213" t="s">
        <v>85</v>
      </c>
      <c r="H215" s="213" t="s">
        <v>37</v>
      </c>
      <c r="I215" s="217">
        <v>6</v>
      </c>
      <c r="J215" s="218">
        <v>0</v>
      </c>
      <c r="K215" s="218">
        <v>0</v>
      </c>
      <c r="L215" s="218">
        <v>49934.237226571968</v>
      </c>
      <c r="M215" s="218">
        <v>0</v>
      </c>
      <c r="N215" s="219">
        <f t="shared" si="94"/>
        <v>49934.237226571968</v>
      </c>
      <c r="O215" s="219">
        <f t="shared" si="95"/>
        <v>0</v>
      </c>
      <c r="P215" s="219">
        <f t="shared" si="96"/>
        <v>0</v>
      </c>
      <c r="Q215" s="219">
        <f t="shared" si="97"/>
        <v>102719.37588095191</v>
      </c>
      <c r="R215" s="219">
        <f t="shared" si="98"/>
        <v>0</v>
      </c>
      <c r="S215" s="218">
        <v>102719.37588095191</v>
      </c>
      <c r="T215" s="220">
        <f t="shared" si="99"/>
        <v>2.0570931205952396</v>
      </c>
      <c r="U215" s="219">
        <f t="shared" si="100"/>
        <v>299605.42335943179</v>
      </c>
      <c r="V215" s="219">
        <f t="shared" si="101"/>
        <v>616316.25528571149</v>
      </c>
      <c r="W215" s="213" t="s">
        <v>70</v>
      </c>
      <c r="X215" s="213" t="s">
        <v>92</v>
      </c>
      <c r="Y215" s="221">
        <f>SUMIFS(Cert_App_Output!$G:$G,Cert_App_Output!$E:$E,$E215,Cert_App_Output!$K:$K,$X215)</f>
        <v>0.4</v>
      </c>
    </row>
    <row r="216" spans="1:25" x14ac:dyDescent="0.35">
      <c r="A216" s="213" t="s">
        <v>35</v>
      </c>
      <c r="B216" s="213" t="s">
        <v>24</v>
      </c>
      <c r="C216" s="213" t="s">
        <v>24</v>
      </c>
      <c r="D216" s="213" t="s">
        <v>24</v>
      </c>
      <c r="E216" s="213">
        <v>24.1</v>
      </c>
      <c r="F216" s="213" t="s">
        <v>25</v>
      </c>
      <c r="G216" s="213" t="s">
        <v>85</v>
      </c>
      <c r="H216" s="213" t="s">
        <v>37</v>
      </c>
      <c r="I216" s="217">
        <v>6</v>
      </c>
      <c r="J216" s="218">
        <v>200000</v>
      </c>
      <c r="K216" s="218">
        <v>0</v>
      </c>
      <c r="L216" s="218">
        <v>0</v>
      </c>
      <c r="M216" s="218">
        <v>0</v>
      </c>
      <c r="N216" s="219">
        <f t="shared" si="94"/>
        <v>200000</v>
      </c>
      <c r="O216" s="219">
        <f t="shared" si="95"/>
        <v>411418.62411904812</v>
      </c>
      <c r="P216" s="219">
        <f t="shared" si="96"/>
        <v>0</v>
      </c>
      <c r="Q216" s="219">
        <f t="shared" si="97"/>
        <v>0</v>
      </c>
      <c r="R216" s="219">
        <f t="shared" si="98"/>
        <v>0</v>
      </c>
      <c r="S216" s="218">
        <v>411418.62411904812</v>
      </c>
      <c r="T216" s="220">
        <f t="shared" si="99"/>
        <v>2.0570931205952405</v>
      </c>
      <c r="U216" s="219">
        <f t="shared" si="100"/>
        <v>1200000</v>
      </c>
      <c r="V216" s="219">
        <f t="shared" si="101"/>
        <v>2468511.744714289</v>
      </c>
      <c r="W216" s="213" t="s">
        <v>70</v>
      </c>
      <c r="X216" s="213" t="s">
        <v>92</v>
      </c>
      <c r="Y216" s="221">
        <f>SUMIFS(Cert_App_Output!$G:$G,Cert_App_Output!$E:$E,$E216,Cert_App_Output!$K:$K,$X216)</f>
        <v>0.4</v>
      </c>
    </row>
    <row r="217" spans="1:25" x14ac:dyDescent="0.35">
      <c r="E217" s="213">
        <v>25</v>
      </c>
      <c r="G217" s="213" t="s">
        <v>86</v>
      </c>
      <c r="I217" s="214"/>
      <c r="J217" s="215"/>
      <c r="K217" s="215"/>
      <c r="L217" s="215"/>
      <c r="M217" s="215"/>
      <c r="N217" s="215"/>
      <c r="O217" s="215"/>
      <c r="P217" s="215"/>
      <c r="Q217" s="215"/>
      <c r="R217" s="215"/>
      <c r="S217" s="215"/>
      <c r="T217" s="216"/>
      <c r="U217" s="215"/>
      <c r="V217" s="215"/>
      <c r="Y217" s="203"/>
    </row>
    <row r="218" spans="1:25" x14ac:dyDescent="0.35">
      <c r="A218" s="213" t="s">
        <v>24</v>
      </c>
      <c r="B218" s="213" t="s">
        <v>24</v>
      </c>
      <c r="C218" s="213" t="s">
        <v>87</v>
      </c>
      <c r="D218" s="213" t="s">
        <v>24</v>
      </c>
      <c r="E218" s="213">
        <v>25.01</v>
      </c>
      <c r="F218" s="213" t="s">
        <v>25</v>
      </c>
      <c r="G218" s="213" t="s">
        <v>88</v>
      </c>
      <c r="H218" s="213" t="s">
        <v>37</v>
      </c>
      <c r="I218" s="217">
        <v>6</v>
      </c>
      <c r="J218" s="218">
        <v>0</v>
      </c>
      <c r="K218" s="218">
        <v>3798370.5819999999</v>
      </c>
      <c r="L218" s="218">
        <v>0</v>
      </c>
      <c r="M218" s="218">
        <v>0</v>
      </c>
      <c r="N218" s="219">
        <f>SUM(J218:M218)</f>
        <v>3798370.5819999999</v>
      </c>
      <c r="O218" s="219">
        <f>IF($N218=0,$S218,J218/$N218*$S218)</f>
        <v>0</v>
      </c>
      <c r="P218" s="219">
        <f t="shared" ref="P218:R219" si="102">IF($N218=0,0,K218/$N218*$S218)</f>
        <v>4774106</v>
      </c>
      <c r="Q218" s="219">
        <f t="shared" si="102"/>
        <v>0</v>
      </c>
      <c r="R218" s="219">
        <f t="shared" si="102"/>
        <v>0</v>
      </c>
      <c r="S218" s="218">
        <v>4774106</v>
      </c>
      <c r="T218" s="220">
        <f>IFERROR(S218/N218,"")</f>
        <v>1.2568826282048116</v>
      </c>
      <c r="U218" s="219">
        <f>N218*I218</f>
        <v>22790223.491999999</v>
      </c>
      <c r="V218" s="219">
        <f>S218*I218</f>
        <v>28644636</v>
      </c>
      <c r="W218" s="213" t="s">
        <v>86</v>
      </c>
      <c r="X218" s="213" t="s">
        <v>92</v>
      </c>
      <c r="Y218" s="221">
        <f>SUMIFS(Cert_App_Output!$G:$G,Cert_App_Output!$E:$E,$E218,Cert_App_Output!$K:$K,$X218)</f>
        <v>0.5</v>
      </c>
    </row>
    <row r="219" spans="1:25" x14ac:dyDescent="0.35">
      <c r="A219" s="213" t="s">
        <v>24</v>
      </c>
      <c r="B219" s="213" t="s">
        <v>24</v>
      </c>
      <c r="C219" s="213" t="s">
        <v>81</v>
      </c>
      <c r="D219" s="213" t="s">
        <v>24</v>
      </c>
      <c r="E219" s="213">
        <v>25.02</v>
      </c>
      <c r="F219" s="213" t="s">
        <v>25</v>
      </c>
      <c r="G219" s="213" t="s">
        <v>89</v>
      </c>
      <c r="H219" s="213" t="s">
        <v>37</v>
      </c>
      <c r="I219" s="217">
        <v>6</v>
      </c>
      <c r="J219" s="218">
        <v>0</v>
      </c>
      <c r="K219" s="218">
        <v>500000</v>
      </c>
      <c r="L219" s="218">
        <v>0</v>
      </c>
      <c r="M219" s="218">
        <v>0</v>
      </c>
      <c r="N219" s="219">
        <f>SUM(J219:M219)</f>
        <v>500000</v>
      </c>
      <c r="O219" s="219">
        <f>IF($N219=0,$S219,J219/$N219*$S219)</f>
        <v>0</v>
      </c>
      <c r="P219" s="219">
        <f t="shared" si="102"/>
        <v>628442</v>
      </c>
      <c r="Q219" s="219">
        <f t="shared" si="102"/>
        <v>0</v>
      </c>
      <c r="R219" s="219">
        <f t="shared" si="102"/>
        <v>0</v>
      </c>
      <c r="S219" s="218">
        <v>628442</v>
      </c>
      <c r="T219" s="220">
        <f>IFERROR(S219/N219,"")</f>
        <v>1.2568839999999999</v>
      </c>
      <c r="U219" s="219">
        <f>N219*I219</f>
        <v>3000000</v>
      </c>
      <c r="V219" s="219">
        <f>S219*I219</f>
        <v>3770652</v>
      </c>
      <c r="W219" s="213" t="s">
        <v>86</v>
      </c>
      <c r="X219" s="213" t="s">
        <v>92</v>
      </c>
      <c r="Y219" s="221">
        <f>SUMIFS(Cert_App_Output!$G:$G,Cert_App_Output!$E:$E,$E219,Cert_App_Output!$K:$K,$X219)</f>
        <v>0.5</v>
      </c>
    </row>
    <row r="224" spans="1:25" x14ac:dyDescent="0.35">
      <c r="U224" s="215"/>
    </row>
  </sheetData>
  <autoFilter ref="A3:Y21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00"/>
  </sheetPr>
  <dimension ref="A2:AT101"/>
  <sheetViews>
    <sheetView topLeftCell="A26" zoomScaleNormal="100" workbookViewId="0">
      <selection activeCell="I48" sqref="I48"/>
    </sheetView>
  </sheetViews>
  <sheetFormatPr defaultColWidth="8.7265625" defaultRowHeight="10.5" x14ac:dyDescent="0.25"/>
  <cols>
    <col min="1" max="1" width="3" style="18" customWidth="1"/>
    <col min="2" max="2" width="30.1796875" style="18" customWidth="1"/>
    <col min="3" max="3" width="3.1796875" style="18" customWidth="1"/>
    <col min="4" max="4" width="5" style="18" customWidth="1"/>
    <col min="5" max="5" width="4.08984375" style="18" customWidth="1"/>
    <col min="6" max="6" width="11.1796875" style="18" customWidth="1"/>
    <col min="7" max="7" width="13.36328125" style="18" customWidth="1"/>
    <col min="8" max="8" width="12" style="18" customWidth="1"/>
    <col min="9" max="10" width="8.7265625" style="18" customWidth="1"/>
    <col min="11" max="11" width="12.36328125" style="18" customWidth="1"/>
    <col min="12" max="12" width="10.6328125" style="18" customWidth="1"/>
    <col min="13" max="13" width="16.36328125" style="18" customWidth="1"/>
    <col min="14" max="14" width="4.81640625" style="18" customWidth="1"/>
    <col min="15" max="15" width="6.7265625" style="18" customWidth="1"/>
    <col min="16" max="16" width="13.08984375" style="18" customWidth="1"/>
    <col min="17" max="17" width="7.81640625" style="18" customWidth="1"/>
    <col min="18" max="18" width="21" style="18" customWidth="1"/>
    <col min="19" max="31" width="8.7265625" style="18" customWidth="1"/>
    <col min="32" max="16384" width="8.7265625" style="18"/>
  </cols>
  <sheetData>
    <row r="2" spans="1:46" ht="10.5" customHeight="1" x14ac:dyDescent="0.25">
      <c r="A2" s="19"/>
      <c r="B2" s="20"/>
      <c r="C2" s="21"/>
      <c r="D2" s="22"/>
      <c r="E2" s="22"/>
      <c r="F2" s="23"/>
      <c r="G2" s="24"/>
      <c r="H2" s="25">
        <v>45590</v>
      </c>
      <c r="I2" s="26"/>
      <c r="J2" s="24"/>
      <c r="K2" s="24"/>
      <c r="M2" s="26"/>
      <c r="N2" s="27"/>
      <c r="O2" s="27">
        <v>22</v>
      </c>
      <c r="P2" s="27"/>
      <c r="Q2" s="24"/>
      <c r="R2" s="28"/>
      <c r="S2" s="29"/>
      <c r="T2" s="24"/>
      <c r="U2" s="30"/>
      <c r="V2" s="31"/>
      <c r="W2" s="31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</row>
    <row r="3" spans="1:46" ht="20.25" customHeight="1" x14ac:dyDescent="0.25">
      <c r="A3" s="19"/>
      <c r="B3" s="33"/>
      <c r="C3" s="21"/>
      <c r="D3" s="22"/>
      <c r="E3" s="22"/>
      <c r="F3" s="34" t="s">
        <v>316</v>
      </c>
      <c r="G3" s="35" t="s">
        <v>317</v>
      </c>
      <c r="H3" s="35" t="s">
        <v>318</v>
      </c>
      <c r="I3" s="27"/>
      <c r="J3" s="27"/>
      <c r="K3" s="27"/>
      <c r="M3" s="35" t="s">
        <v>319</v>
      </c>
      <c r="N3" s="36" t="s">
        <v>320</v>
      </c>
      <c r="O3" s="36" t="s">
        <v>321</v>
      </c>
      <c r="Q3" s="24"/>
      <c r="R3" s="26"/>
      <c r="S3" s="37"/>
      <c r="T3" s="38"/>
      <c r="U3" s="26"/>
      <c r="V3" s="39"/>
      <c r="W3" s="40"/>
      <c r="X3" s="41"/>
      <c r="Y3" s="41"/>
      <c r="Z3" s="41"/>
      <c r="AA3" s="41"/>
      <c r="AB3" s="41"/>
      <c r="AC3" s="41"/>
      <c r="AD3" s="41"/>
      <c r="AE3" s="41"/>
      <c r="AF3" s="41"/>
      <c r="AG3" s="41"/>
      <c r="AH3" s="41"/>
      <c r="AI3" s="41"/>
      <c r="AJ3" s="41"/>
      <c r="AK3" s="41"/>
      <c r="AL3" s="41"/>
      <c r="AM3" s="41"/>
      <c r="AN3" s="41"/>
      <c r="AO3" s="41"/>
      <c r="AP3" s="41"/>
      <c r="AQ3" s="41"/>
      <c r="AR3" s="41"/>
      <c r="AS3" s="41"/>
      <c r="AT3" s="41"/>
    </row>
    <row r="4" spans="1:46" ht="21" customHeight="1" x14ac:dyDescent="0.25">
      <c r="A4" s="19"/>
      <c r="B4" s="33" t="s">
        <v>322</v>
      </c>
      <c r="C4" s="21"/>
      <c r="D4" s="22"/>
      <c r="E4" s="22"/>
      <c r="F4" s="42">
        <v>14</v>
      </c>
      <c r="G4" s="43">
        <v>1005</v>
      </c>
      <c r="H4" s="43">
        <v>1170</v>
      </c>
      <c r="I4" s="44"/>
      <c r="J4" s="44"/>
      <c r="K4" s="38"/>
      <c r="M4" s="45" t="s">
        <v>323</v>
      </c>
      <c r="N4" s="46">
        <v>0.75</v>
      </c>
      <c r="O4" s="46">
        <f t="shared" ref="O4:O17" si="0">+N4*$O$2</f>
        <v>16.5</v>
      </c>
      <c r="Q4" s="47" t="s">
        <v>324</v>
      </c>
      <c r="R4" s="38"/>
      <c r="S4" s="48"/>
      <c r="T4" s="49"/>
      <c r="U4" s="50"/>
      <c r="V4" s="50"/>
      <c r="W4" s="40"/>
      <c r="X4" s="51"/>
      <c r="Y4" s="51"/>
      <c r="Z4" s="51"/>
      <c r="AA4" s="51"/>
      <c r="AB4" s="51"/>
      <c r="AC4" s="52"/>
      <c r="AD4" s="53"/>
      <c r="AE4" s="52"/>
      <c r="AF4" s="53"/>
      <c r="AG4" s="52"/>
      <c r="AH4" s="53"/>
      <c r="AI4" s="51"/>
      <c r="AJ4" s="52"/>
      <c r="AK4" s="53"/>
      <c r="AL4" s="52"/>
      <c r="AM4" s="53"/>
      <c r="AN4" s="52"/>
      <c r="AO4" s="53"/>
      <c r="AP4" s="52"/>
      <c r="AQ4" s="53"/>
      <c r="AR4" s="51"/>
      <c r="AS4" s="51"/>
      <c r="AT4" s="51"/>
    </row>
    <row r="5" spans="1:46" ht="10.5" customHeight="1" x14ac:dyDescent="0.25">
      <c r="M5" s="54" t="s">
        <v>325</v>
      </c>
      <c r="N5" s="55">
        <v>2.5</v>
      </c>
      <c r="O5" s="55">
        <f t="shared" si="0"/>
        <v>55</v>
      </c>
      <c r="P5" s="56"/>
      <c r="Q5" s="57">
        <f>+ROUNDUP(SUM(N4:N5),0)</f>
        <v>4</v>
      </c>
      <c r="T5" s="49"/>
      <c r="U5" s="50"/>
      <c r="V5" s="50"/>
    </row>
    <row r="6" spans="1:46" ht="10.5" customHeight="1" x14ac:dyDescent="0.25">
      <c r="B6" s="58" t="s">
        <v>326</v>
      </c>
      <c r="C6" s="59" t="s">
        <v>8</v>
      </c>
      <c r="D6" s="60" t="s">
        <v>9</v>
      </c>
      <c r="E6" s="60"/>
      <c r="F6" s="61" t="s">
        <v>327</v>
      </c>
      <c r="G6" s="60" t="s">
        <v>328</v>
      </c>
      <c r="H6" s="62">
        <f>SUM(G7:G10)</f>
        <v>0</v>
      </c>
      <c r="I6" s="63"/>
      <c r="J6" s="63"/>
      <c r="K6" s="50"/>
      <c r="M6" s="64" t="s">
        <v>329</v>
      </c>
      <c r="N6" s="55">
        <v>0</v>
      </c>
      <c r="O6" s="55">
        <f t="shared" si="0"/>
        <v>0</v>
      </c>
      <c r="Q6" s="65"/>
      <c r="T6" s="49"/>
      <c r="U6" s="50"/>
      <c r="V6" s="50"/>
    </row>
    <row r="7" spans="1:46" ht="10.5" customHeight="1" x14ac:dyDescent="0.25">
      <c r="B7" s="66" t="s">
        <v>330</v>
      </c>
      <c r="C7" s="67" t="s">
        <v>37</v>
      </c>
      <c r="D7" s="68">
        <f>+$F$4</f>
        <v>14</v>
      </c>
      <c r="E7" s="68">
        <v>0</v>
      </c>
      <c r="F7" s="69">
        <f>E7*I7+J7</f>
        <v>0</v>
      </c>
      <c r="G7" s="70">
        <f>+F7*D7*E7</f>
        <v>0</v>
      </c>
      <c r="H7" s="63"/>
      <c r="I7" s="71"/>
      <c r="J7" s="63"/>
      <c r="K7" s="50"/>
      <c r="M7" s="64" t="s">
        <v>331</v>
      </c>
      <c r="N7" s="55">
        <v>1</v>
      </c>
      <c r="O7" s="55">
        <f t="shared" si="0"/>
        <v>22</v>
      </c>
      <c r="Q7" s="65"/>
      <c r="T7" s="49"/>
      <c r="U7" s="50"/>
      <c r="V7" s="50"/>
    </row>
    <row r="8" spans="1:46" ht="10.5" customHeight="1" x14ac:dyDescent="0.25">
      <c r="B8" s="72" t="s">
        <v>332</v>
      </c>
      <c r="C8" s="73" t="s">
        <v>37</v>
      </c>
      <c r="D8" s="68">
        <f>+$F$4</f>
        <v>14</v>
      </c>
      <c r="E8" s="74">
        <v>0</v>
      </c>
      <c r="F8" s="69">
        <f>E8*I8+J8</f>
        <v>0</v>
      </c>
      <c r="G8" s="70">
        <f>+F8*D8*E8</f>
        <v>0</v>
      </c>
      <c r="H8" s="63"/>
      <c r="I8" s="71"/>
      <c r="J8" s="63"/>
      <c r="M8" s="64" t="s">
        <v>333</v>
      </c>
      <c r="N8" s="55">
        <v>1</v>
      </c>
      <c r="O8" s="55">
        <f t="shared" si="0"/>
        <v>22</v>
      </c>
      <c r="Q8" s="65"/>
      <c r="T8" s="49"/>
      <c r="U8" s="50"/>
      <c r="V8" s="50"/>
    </row>
    <row r="9" spans="1:46" ht="10.5" customHeight="1" x14ac:dyDescent="0.25">
      <c r="B9" s="72" t="s">
        <v>334</v>
      </c>
      <c r="C9" s="73" t="s">
        <v>37</v>
      </c>
      <c r="D9" s="68">
        <f>+$F$4</f>
        <v>14</v>
      </c>
      <c r="E9" s="74">
        <v>1</v>
      </c>
      <c r="F9" s="69">
        <f>E9*I9+J9</f>
        <v>0</v>
      </c>
      <c r="G9" s="70">
        <f>+F9*D9*E9</f>
        <v>0</v>
      </c>
      <c r="H9" s="63"/>
      <c r="I9" s="63"/>
      <c r="J9" s="63"/>
      <c r="M9" s="64" t="s">
        <v>335</v>
      </c>
      <c r="N9" s="55">
        <v>0.75</v>
      </c>
      <c r="O9" s="55">
        <f t="shared" si="0"/>
        <v>16.5</v>
      </c>
      <c r="P9" s="56"/>
      <c r="Q9" s="65"/>
      <c r="T9" s="49"/>
      <c r="U9" s="50"/>
      <c r="V9" s="50"/>
    </row>
    <row r="10" spans="1:46" ht="10.5" customHeight="1" x14ac:dyDescent="0.35">
      <c r="B10" s="72" t="s">
        <v>336</v>
      </c>
      <c r="C10" s="73" t="s">
        <v>37</v>
      </c>
      <c r="D10" s="68">
        <f>+$F$4</f>
        <v>14</v>
      </c>
      <c r="E10" s="74">
        <v>2</v>
      </c>
      <c r="F10" s="69">
        <f>E10*I10+J10</f>
        <v>0</v>
      </c>
      <c r="G10" s="70">
        <f>+F10*D10*E10</f>
        <v>0</v>
      </c>
      <c r="H10" s="63"/>
      <c r="I10" s="63"/>
      <c r="J10" s="63"/>
      <c r="M10" s="64" t="s">
        <v>337</v>
      </c>
      <c r="N10" s="55">
        <v>0.75</v>
      </c>
      <c r="O10" s="55">
        <f t="shared" si="0"/>
        <v>16.5</v>
      </c>
      <c r="P10" t="s">
        <v>338</v>
      </c>
      <c r="Q10" s="65"/>
      <c r="T10" s="49"/>
      <c r="U10" s="50"/>
      <c r="V10" s="50"/>
    </row>
    <row r="11" spans="1:46" ht="10.5" customHeight="1" x14ac:dyDescent="0.25">
      <c r="B11" s="75" t="s">
        <v>326</v>
      </c>
      <c r="C11" s="76"/>
      <c r="D11" s="77"/>
      <c r="E11" s="77"/>
      <c r="F11" s="78"/>
      <c r="G11" s="79"/>
      <c r="H11" s="80">
        <f>SUM(G12:G18)</f>
        <v>16192179.259200001</v>
      </c>
      <c r="I11" s="63"/>
      <c r="J11" s="63"/>
      <c r="K11" s="50"/>
      <c r="M11" s="64" t="s">
        <v>339</v>
      </c>
      <c r="N11" s="55">
        <v>0.75</v>
      </c>
      <c r="O11" s="55">
        <f t="shared" si="0"/>
        <v>16.5</v>
      </c>
      <c r="Q11" s="65" t="s">
        <v>340</v>
      </c>
      <c r="R11" s="56" t="s">
        <v>341</v>
      </c>
      <c r="T11" s="56"/>
      <c r="U11" s="56"/>
      <c r="V11" s="56"/>
    </row>
    <row r="12" spans="1:46" ht="10.5" customHeight="1" x14ac:dyDescent="0.25">
      <c r="B12" s="81" t="s">
        <v>342</v>
      </c>
      <c r="C12" s="82" t="s">
        <v>37</v>
      </c>
      <c r="D12" s="83">
        <v>4</v>
      </c>
      <c r="E12" s="83">
        <v>1</v>
      </c>
      <c r="F12" s="84"/>
      <c r="G12" s="189">
        <f t="shared" ref="G12:G18" si="1">+F12*D12*E12</f>
        <v>0</v>
      </c>
      <c r="H12" s="63"/>
      <c r="J12" s="85">
        <v>2578960.5819999999</v>
      </c>
      <c r="K12" s="68">
        <f>+J12*D12*E12</f>
        <v>10315842.328</v>
      </c>
      <c r="M12" s="54" t="s">
        <v>343</v>
      </c>
      <c r="N12" s="55">
        <v>0.5</v>
      </c>
      <c r="O12" s="55">
        <f t="shared" si="0"/>
        <v>11</v>
      </c>
      <c r="Q12" s="65">
        <f>+SUM(N4:N12)</f>
        <v>8</v>
      </c>
      <c r="R12" s="56">
        <f>+Q12/2</f>
        <v>4</v>
      </c>
      <c r="T12" s="56"/>
      <c r="U12" s="56"/>
      <c r="V12" s="56"/>
    </row>
    <row r="13" spans="1:46" ht="10.5" customHeight="1" x14ac:dyDescent="0.25">
      <c r="B13" s="72" t="s">
        <v>344</v>
      </c>
      <c r="C13" s="73" t="s">
        <v>37</v>
      </c>
      <c r="D13" s="74">
        <f>+$F$4</f>
        <v>14</v>
      </c>
      <c r="E13" s="74">
        <v>1</v>
      </c>
      <c r="F13" s="69"/>
      <c r="G13" s="189">
        <f t="shared" si="1"/>
        <v>0</v>
      </c>
      <c r="H13" s="63"/>
      <c r="J13" s="86">
        <v>150000</v>
      </c>
      <c r="K13" s="69">
        <f>+J13*D13*E13</f>
        <v>2100000</v>
      </c>
      <c r="M13" s="54" t="s">
        <v>345</v>
      </c>
      <c r="N13" s="55">
        <v>2</v>
      </c>
      <c r="O13" s="55">
        <f t="shared" si="0"/>
        <v>44</v>
      </c>
    </row>
    <row r="14" spans="1:46" ht="10.5" customHeight="1" x14ac:dyDescent="0.35">
      <c r="B14" s="72" t="s">
        <v>346</v>
      </c>
      <c r="C14" s="73" t="s">
        <v>37</v>
      </c>
      <c r="D14" s="74">
        <f>+F4</f>
        <v>14</v>
      </c>
      <c r="E14" s="74">
        <v>0.5</v>
      </c>
      <c r="F14" s="69">
        <v>200000</v>
      </c>
      <c r="G14" s="69">
        <f t="shared" si="1"/>
        <v>1400000</v>
      </c>
      <c r="H14" s="63"/>
      <c r="I14" s="63">
        <f>+G14/$H$4</f>
        <v>1196.5811965811965</v>
      </c>
      <c r="J14" s="50"/>
      <c r="K14" s="50"/>
      <c r="M14" s="54" t="s">
        <v>347</v>
      </c>
      <c r="N14" s="55">
        <v>2</v>
      </c>
      <c r="O14" s="55">
        <f t="shared" si="0"/>
        <v>44</v>
      </c>
      <c r="P14">
        <f>+SUM(N13:N14)</f>
        <v>4</v>
      </c>
    </row>
    <row r="15" spans="1:46" ht="10.5" customHeight="1" x14ac:dyDescent="0.25">
      <c r="B15" s="72" t="s">
        <v>348</v>
      </c>
      <c r="C15" s="73" t="s">
        <v>37</v>
      </c>
      <c r="D15" s="74">
        <f>+$F$4</f>
        <v>14</v>
      </c>
      <c r="E15" s="74">
        <v>1</v>
      </c>
      <c r="F15" s="69">
        <v>25000</v>
      </c>
      <c r="G15" s="69">
        <f t="shared" si="1"/>
        <v>350000</v>
      </c>
      <c r="H15" s="63"/>
      <c r="I15" s="63"/>
      <c r="J15" s="50"/>
      <c r="K15" s="50"/>
      <c r="M15" s="54" t="s">
        <v>349</v>
      </c>
      <c r="N15" s="87">
        <v>0</v>
      </c>
      <c r="O15" s="55">
        <f t="shared" si="0"/>
        <v>0</v>
      </c>
    </row>
    <row r="16" spans="1:46" ht="10.5" customHeight="1" x14ac:dyDescent="0.25">
      <c r="B16" s="72" t="s">
        <v>350</v>
      </c>
      <c r="C16" s="73" t="s">
        <v>37</v>
      </c>
      <c r="D16" s="74">
        <f>+$F$4</f>
        <v>14</v>
      </c>
      <c r="E16" s="74">
        <v>0</v>
      </c>
      <c r="F16" s="69">
        <v>10000</v>
      </c>
      <c r="G16" s="69">
        <f t="shared" si="1"/>
        <v>0</v>
      </c>
      <c r="H16" s="63"/>
      <c r="I16" s="63"/>
      <c r="J16" s="50"/>
      <c r="K16" s="50"/>
      <c r="M16" s="88" t="s">
        <v>351</v>
      </c>
      <c r="N16" s="89">
        <v>2</v>
      </c>
      <c r="O16" s="55">
        <f t="shared" si="0"/>
        <v>44</v>
      </c>
    </row>
    <row r="17" spans="2:15" ht="10.5" customHeight="1" x14ac:dyDescent="0.35">
      <c r="B17" s="72" t="s">
        <v>352</v>
      </c>
      <c r="C17" s="73" t="s">
        <v>37</v>
      </c>
      <c r="D17" s="74">
        <f>+$F$4</f>
        <v>14</v>
      </c>
      <c r="E17" s="74">
        <v>0</v>
      </c>
      <c r="F17" s="69">
        <v>2578960.5819999999</v>
      </c>
      <c r="G17" s="69">
        <f t="shared" si="1"/>
        <v>0</v>
      </c>
      <c r="H17" s="63"/>
      <c r="I17" s="63"/>
      <c r="J17" s="50"/>
      <c r="K17" s="50"/>
      <c r="M17" t="s">
        <v>353</v>
      </c>
      <c r="N17" s="90">
        <v>2</v>
      </c>
      <c r="O17" s="90">
        <f t="shared" si="0"/>
        <v>44</v>
      </c>
    </row>
    <row r="18" spans="2:15" ht="10.5" customHeight="1" x14ac:dyDescent="0.35">
      <c r="B18" s="72" t="s">
        <v>354</v>
      </c>
      <c r="C18" s="73" t="s">
        <v>37</v>
      </c>
      <c r="D18" s="74">
        <f>+$F$4</f>
        <v>14</v>
      </c>
      <c r="E18" s="74">
        <v>0.4</v>
      </c>
      <c r="F18" s="69">
        <v>2578960.5819999999</v>
      </c>
      <c r="G18" s="69">
        <f t="shared" si="1"/>
        <v>14442179.259200001</v>
      </c>
      <c r="H18" s="63"/>
      <c r="I18">
        <f>+G18/$H$4</f>
        <v>12343.742956581198</v>
      </c>
      <c r="K18" s="50"/>
      <c r="L18" s="50"/>
      <c r="M18" t="s">
        <v>355</v>
      </c>
      <c r="N18">
        <v>0</v>
      </c>
      <c r="O18">
        <f>+L18*$O$2</f>
        <v>0</v>
      </c>
    </row>
    <row r="19" spans="2:15" ht="10.5" customHeight="1" x14ac:dyDescent="0.35">
      <c r="B19" s="72" t="s">
        <v>356</v>
      </c>
      <c r="C19" s="73"/>
      <c r="D19" s="74"/>
      <c r="E19" s="74"/>
      <c r="F19" s="69"/>
      <c r="G19" s="69"/>
      <c r="H19" s="63">
        <f>SUM(G20:G30)</f>
        <v>38913603.305449091</v>
      </c>
      <c r="I19" s="63"/>
      <c r="J19" s="50"/>
      <c r="K19" s="50"/>
      <c r="L19" s="50"/>
      <c r="N19">
        <f>SUM(N4:N18)</f>
        <v>16</v>
      </c>
      <c r="O19">
        <f>SUM(O4:O18)</f>
        <v>352</v>
      </c>
    </row>
    <row r="20" spans="2:15" ht="10.5" customHeight="1" x14ac:dyDescent="0.25">
      <c r="B20" s="75" t="s">
        <v>357</v>
      </c>
      <c r="C20" s="76" t="s">
        <v>37</v>
      </c>
      <c r="D20" s="91">
        <f t="shared" ref="D20:D29" si="2">+$F$4</f>
        <v>14</v>
      </c>
      <c r="E20" s="91">
        <v>0.15</v>
      </c>
      <c r="F20" s="92">
        <v>4680364.0999999996</v>
      </c>
      <c r="G20" s="93">
        <f t="shared" ref="G20:G28" si="3">+F20*D20*E20</f>
        <v>9828764.6099999975</v>
      </c>
      <c r="H20" s="62"/>
      <c r="I20" s="63">
        <f>+G20/$H$4</f>
        <v>8400.6535128205105</v>
      </c>
      <c r="J20" s="50"/>
      <c r="K20" s="50"/>
    </row>
    <row r="21" spans="2:15" ht="10.5" customHeight="1" x14ac:dyDescent="0.25">
      <c r="B21" s="81" t="s">
        <v>358</v>
      </c>
      <c r="C21" s="82" t="s">
        <v>37</v>
      </c>
      <c r="D21" s="83">
        <f t="shared" si="2"/>
        <v>14</v>
      </c>
      <c r="E21" s="83">
        <v>1</v>
      </c>
      <c r="F21" s="84"/>
      <c r="G21" s="84">
        <f t="shared" si="3"/>
        <v>0</v>
      </c>
      <c r="H21" s="63"/>
      <c r="I21" s="63"/>
      <c r="J21" s="63">
        <v>3798370.5819999999</v>
      </c>
      <c r="K21" s="50">
        <f>+J21*D21*E21</f>
        <v>53177188.148000002</v>
      </c>
    </row>
    <row r="22" spans="2:15" ht="10.5" customHeight="1" x14ac:dyDescent="0.25">
      <c r="B22" s="72" t="s">
        <v>359</v>
      </c>
      <c r="C22" s="73" t="s">
        <v>37</v>
      </c>
      <c r="D22" s="74">
        <f t="shared" si="2"/>
        <v>14</v>
      </c>
      <c r="E22" s="74">
        <v>0</v>
      </c>
      <c r="F22" s="94">
        <v>2578960.5819999999</v>
      </c>
      <c r="G22" s="189">
        <f t="shared" si="3"/>
        <v>0</v>
      </c>
      <c r="H22" s="63"/>
      <c r="J22" s="86"/>
      <c r="K22" s="69"/>
    </row>
    <row r="23" spans="2:15" ht="10.5" customHeight="1" x14ac:dyDescent="0.25">
      <c r="B23" s="72" t="s">
        <v>360</v>
      </c>
      <c r="C23" s="73" t="s">
        <v>37</v>
      </c>
      <c r="D23" s="74">
        <f t="shared" si="2"/>
        <v>14</v>
      </c>
      <c r="E23" s="95">
        <v>0</v>
      </c>
      <c r="F23" s="69">
        <f>+F22</f>
        <v>2578960.5819999999</v>
      </c>
      <c r="G23" s="69">
        <f t="shared" si="3"/>
        <v>0</v>
      </c>
      <c r="H23" s="63"/>
      <c r="I23" s="63"/>
      <c r="J23" s="63"/>
      <c r="K23" s="50"/>
    </row>
    <row r="24" spans="2:15" ht="10.5" customHeight="1" x14ac:dyDescent="0.25">
      <c r="B24" s="72" t="s">
        <v>361</v>
      </c>
      <c r="C24" s="73" t="s">
        <v>37</v>
      </c>
      <c r="D24" s="74">
        <f t="shared" si="2"/>
        <v>14</v>
      </c>
      <c r="E24" s="95">
        <v>0.5</v>
      </c>
      <c r="F24" s="69">
        <v>3154976.9564927272</v>
      </c>
      <c r="G24" s="69">
        <f t="shared" si="3"/>
        <v>22084838.695449091</v>
      </c>
      <c r="H24" s="63"/>
      <c r="I24" s="63">
        <f>+G24/$H$4</f>
        <v>18875.930508930847</v>
      </c>
      <c r="J24" s="63"/>
      <c r="K24" s="50"/>
      <c r="L24" s="96"/>
    </row>
    <row r="25" spans="2:15" ht="10.5" customHeight="1" x14ac:dyDescent="0.25">
      <c r="B25" s="72" t="s">
        <v>362</v>
      </c>
      <c r="C25" s="73" t="s">
        <v>37</v>
      </c>
      <c r="D25" s="74">
        <f t="shared" si="2"/>
        <v>14</v>
      </c>
      <c r="E25" s="95">
        <v>0.5</v>
      </c>
      <c r="F25" s="69">
        <v>500000</v>
      </c>
      <c r="G25" s="69">
        <f t="shared" si="3"/>
        <v>3500000</v>
      </c>
      <c r="H25" s="63"/>
      <c r="I25" s="63">
        <f>+G25/$H$4</f>
        <v>2991.4529914529912</v>
      </c>
      <c r="J25" s="63"/>
      <c r="K25" s="50"/>
    </row>
    <row r="26" spans="2:15" ht="10.5" customHeight="1" x14ac:dyDescent="0.25">
      <c r="B26" s="72" t="s">
        <v>363</v>
      </c>
      <c r="C26" s="73" t="s">
        <v>37</v>
      </c>
      <c r="D26" s="74">
        <f t="shared" si="2"/>
        <v>14</v>
      </c>
      <c r="E26" s="74">
        <v>0.5</v>
      </c>
      <c r="F26" s="69">
        <f>F25</f>
        <v>500000</v>
      </c>
      <c r="G26" s="69">
        <f t="shared" si="3"/>
        <v>3500000</v>
      </c>
      <c r="H26" s="63"/>
      <c r="I26" s="63">
        <f>+G26/$H$4</f>
        <v>2991.4529914529912</v>
      </c>
      <c r="J26" s="63"/>
      <c r="K26" s="50"/>
    </row>
    <row r="27" spans="2:15" ht="10.5" customHeight="1" x14ac:dyDescent="0.25">
      <c r="B27" s="72" t="s">
        <v>364</v>
      </c>
      <c r="C27" s="73" t="s">
        <v>37</v>
      </c>
      <c r="D27" s="74">
        <f t="shared" si="2"/>
        <v>14</v>
      </c>
      <c r="E27" s="74">
        <v>1</v>
      </c>
      <c r="F27" s="69"/>
      <c r="G27" s="69">
        <f t="shared" si="3"/>
        <v>0</v>
      </c>
      <c r="H27" s="63"/>
      <c r="I27" s="63"/>
      <c r="J27" s="63">
        <f>F25</f>
        <v>500000</v>
      </c>
      <c r="K27" s="50">
        <f>+J27*D27*E27</f>
        <v>7000000</v>
      </c>
    </row>
    <row r="28" spans="2:15" ht="10.5" customHeight="1" x14ac:dyDescent="0.25">
      <c r="B28" s="72" t="s">
        <v>365</v>
      </c>
      <c r="C28" s="73" t="s">
        <v>37</v>
      </c>
      <c r="D28" s="74">
        <f t="shared" si="2"/>
        <v>14</v>
      </c>
      <c r="E28" s="74">
        <v>1</v>
      </c>
      <c r="F28" s="94"/>
      <c r="G28" s="189">
        <f t="shared" si="3"/>
        <v>0</v>
      </c>
      <c r="H28" s="63"/>
      <c r="J28" s="86"/>
      <c r="K28" s="69"/>
    </row>
    <row r="29" spans="2:15" ht="10.5" customHeight="1" x14ac:dyDescent="0.35">
      <c r="B29" s="72" t="s">
        <v>366</v>
      </c>
      <c r="C29" s="73" t="s">
        <v>37</v>
      </c>
      <c r="D29" s="74">
        <f t="shared" si="2"/>
        <v>14</v>
      </c>
      <c r="E29" s="74">
        <v>1</v>
      </c>
      <c r="F29" s="69"/>
      <c r="G29" s="69"/>
      <c r="H29" s="63"/>
      <c r="J29">
        <v>1198421.6934377269</v>
      </c>
      <c r="K29" s="50">
        <f>+J29*D29*E29</f>
        <v>16777903.708128177</v>
      </c>
    </row>
    <row r="30" spans="2:15" ht="10.5" customHeight="1" x14ac:dyDescent="0.25">
      <c r="B30" s="72"/>
      <c r="C30" s="73"/>
      <c r="D30" s="74"/>
      <c r="E30" s="74"/>
      <c r="F30" s="94"/>
      <c r="G30" s="189"/>
      <c r="H30" s="63"/>
      <c r="J30" s="86"/>
      <c r="K30" s="69"/>
    </row>
    <row r="31" spans="2:15" ht="10.5" customHeight="1" x14ac:dyDescent="0.25">
      <c r="B31" s="97" t="s">
        <v>367</v>
      </c>
      <c r="C31" s="98"/>
      <c r="D31" s="99"/>
      <c r="E31" s="99"/>
      <c r="F31" s="100"/>
      <c r="G31" s="100"/>
      <c r="H31" s="63">
        <f>SUM(G32:G40)</f>
        <v>0</v>
      </c>
      <c r="I31" s="63"/>
      <c r="J31" s="50"/>
      <c r="K31" s="50"/>
    </row>
    <row r="32" spans="2:15" ht="10.5" customHeight="1" x14ac:dyDescent="0.25">
      <c r="B32" s="75" t="s">
        <v>368</v>
      </c>
      <c r="C32" s="76" t="s">
        <v>37</v>
      </c>
      <c r="D32" s="91">
        <v>0</v>
      </c>
      <c r="E32" s="91"/>
      <c r="F32" s="92">
        <v>130000</v>
      </c>
      <c r="G32" s="93">
        <f>+F32*D32</f>
        <v>0</v>
      </c>
      <c r="H32" s="62"/>
      <c r="I32" s="63"/>
      <c r="J32" s="50"/>
      <c r="K32" s="50"/>
    </row>
    <row r="33" spans="2:13" ht="10.5" customHeight="1" x14ac:dyDescent="0.25">
      <c r="B33" s="81" t="s">
        <v>369</v>
      </c>
      <c r="C33" s="82" t="s">
        <v>37</v>
      </c>
      <c r="D33" s="83">
        <v>0</v>
      </c>
      <c r="E33" s="83"/>
      <c r="F33" s="84">
        <v>100000</v>
      </c>
      <c r="G33" s="84">
        <f>+F33*D33</f>
        <v>0</v>
      </c>
      <c r="H33" s="63"/>
      <c r="I33" s="63"/>
      <c r="J33" s="50"/>
      <c r="K33" s="50"/>
    </row>
    <row r="34" spans="2:13" ht="10.5" customHeight="1" x14ac:dyDescent="0.25">
      <c r="B34" s="72" t="s">
        <v>370</v>
      </c>
      <c r="C34" s="73" t="s">
        <v>37</v>
      </c>
      <c r="D34" s="74"/>
      <c r="E34" s="74"/>
      <c r="F34" s="69">
        <v>33600</v>
      </c>
      <c r="G34" s="69">
        <f>+F34*D34</f>
        <v>0</v>
      </c>
      <c r="H34" s="63"/>
      <c r="I34" s="63"/>
      <c r="J34" s="50"/>
      <c r="K34" s="50"/>
    </row>
    <row r="35" spans="2:13" ht="10.5" customHeight="1" x14ac:dyDescent="0.25">
      <c r="B35" s="72" t="s">
        <v>371</v>
      </c>
      <c r="C35" s="73" t="s">
        <v>37</v>
      </c>
      <c r="D35" s="74"/>
      <c r="E35" s="74"/>
      <c r="F35" s="69">
        <v>89000</v>
      </c>
      <c r="G35" s="69">
        <f>+F35*D35</f>
        <v>0</v>
      </c>
      <c r="H35" s="63"/>
      <c r="I35" s="63"/>
      <c r="J35" s="50"/>
      <c r="K35" s="50"/>
    </row>
    <row r="36" spans="2:13" ht="10.5" customHeight="1" x14ac:dyDescent="0.25">
      <c r="B36" s="72" t="s">
        <v>372</v>
      </c>
      <c r="C36" s="73" t="s">
        <v>37</v>
      </c>
      <c r="D36" s="74"/>
      <c r="E36" s="74"/>
      <c r="F36" s="69">
        <v>70000</v>
      </c>
      <c r="G36" s="69">
        <f>+F36*D36</f>
        <v>0</v>
      </c>
      <c r="H36" s="63"/>
      <c r="I36" s="63"/>
      <c r="J36" s="50"/>
      <c r="K36" s="50"/>
    </row>
    <row r="37" spans="2:13" ht="10.5" customHeight="1" x14ac:dyDescent="0.25">
      <c r="B37" s="72"/>
      <c r="C37" s="73"/>
      <c r="D37" s="74"/>
      <c r="E37" s="74"/>
      <c r="F37" s="69"/>
      <c r="G37" s="69"/>
      <c r="H37" s="63"/>
      <c r="I37" s="63"/>
      <c r="J37" s="50"/>
      <c r="K37" s="50"/>
    </row>
    <row r="38" spans="2:13" ht="10.5" customHeight="1" x14ac:dyDescent="0.25">
      <c r="B38" s="72"/>
      <c r="C38" s="73"/>
      <c r="D38" s="74"/>
      <c r="E38" s="74"/>
      <c r="F38" s="69"/>
      <c r="G38" s="69"/>
      <c r="H38" s="63"/>
      <c r="I38" s="63"/>
      <c r="J38" s="50"/>
      <c r="K38" s="50"/>
    </row>
    <row r="39" spans="2:13" ht="10.5" customHeight="1" x14ac:dyDescent="0.25">
      <c r="B39" s="72"/>
      <c r="C39" s="73"/>
      <c r="D39" s="74"/>
      <c r="E39" s="74"/>
      <c r="F39" s="69"/>
      <c r="G39" s="69"/>
      <c r="H39" s="63"/>
      <c r="I39" s="63"/>
      <c r="J39" s="50"/>
      <c r="K39" s="50"/>
    </row>
    <row r="40" spans="2:13" ht="10.5" customHeight="1" x14ac:dyDescent="0.25">
      <c r="B40" s="72"/>
      <c r="C40" s="73"/>
      <c r="D40" s="74"/>
      <c r="E40" s="74"/>
      <c r="F40" s="69"/>
      <c r="G40" s="69"/>
      <c r="H40" s="63"/>
      <c r="I40" s="63"/>
      <c r="J40" s="50"/>
      <c r="K40" s="50"/>
    </row>
    <row r="41" spans="2:13" ht="10.5" customHeight="1" x14ac:dyDescent="0.25">
      <c r="B41" s="97" t="s">
        <v>373</v>
      </c>
      <c r="C41" s="98"/>
      <c r="D41" s="99"/>
      <c r="E41" s="99"/>
      <c r="F41" s="100"/>
      <c r="G41" s="100"/>
      <c r="H41" s="63">
        <f>SUM(G42:G47)</f>
        <v>58713324.074000001</v>
      </c>
      <c r="I41" s="63"/>
      <c r="J41" s="50"/>
      <c r="K41" s="50"/>
    </row>
    <row r="42" spans="2:13" ht="10.5" customHeight="1" x14ac:dyDescent="0.25">
      <c r="B42" s="75" t="s">
        <v>374</v>
      </c>
      <c r="C42" s="76" t="s">
        <v>37</v>
      </c>
      <c r="D42" s="91">
        <f>+$F$4</f>
        <v>14</v>
      </c>
      <c r="E42" s="91">
        <v>0.5</v>
      </c>
      <c r="F42" s="92">
        <v>2578960.5819999999</v>
      </c>
      <c r="G42" s="93">
        <f>+F42*D42*E42</f>
        <v>18052724.074000001</v>
      </c>
      <c r="H42" s="62"/>
      <c r="I42" s="63">
        <f>+G42/$H$4</f>
        <v>15429.678695726496</v>
      </c>
      <c r="J42" s="50"/>
      <c r="K42" s="50"/>
    </row>
    <row r="43" spans="2:13" ht="10.5" customHeight="1" x14ac:dyDescent="0.25">
      <c r="B43" s="66" t="s">
        <v>375</v>
      </c>
      <c r="C43" s="101" t="s">
        <v>27</v>
      </c>
      <c r="D43" s="68">
        <f>+D42</f>
        <v>14</v>
      </c>
      <c r="E43" s="68">
        <v>1</v>
      </c>
      <c r="F43" s="70">
        <v>250000</v>
      </c>
      <c r="G43" s="69">
        <f>+F43*D43</f>
        <v>3500000</v>
      </c>
      <c r="H43" s="63"/>
      <c r="I43" s="63">
        <f>+G43/$H$4</f>
        <v>2991.4529914529912</v>
      </c>
      <c r="J43" s="50"/>
      <c r="K43" s="50"/>
    </row>
    <row r="44" spans="2:13" ht="10.5" customHeight="1" x14ac:dyDescent="0.25">
      <c r="B44" s="72" t="s">
        <v>376</v>
      </c>
      <c r="C44" s="102" t="s">
        <v>27</v>
      </c>
      <c r="D44" s="74">
        <v>0.04</v>
      </c>
      <c r="E44" s="74">
        <v>0.6</v>
      </c>
      <c r="F44" s="69">
        <v>1145000000</v>
      </c>
      <c r="G44" s="69">
        <f>+F44*D44*E44</f>
        <v>27480000</v>
      </c>
      <c r="H44" s="63"/>
      <c r="I44" s="63">
        <f>+G44/$H$4</f>
        <v>23487.179487179488</v>
      </c>
      <c r="J44" s="50"/>
      <c r="K44" s="50"/>
    </row>
    <row r="45" spans="2:13" ht="10.5" customHeight="1" x14ac:dyDescent="0.25">
      <c r="B45" s="103" t="s">
        <v>377</v>
      </c>
      <c r="C45" s="102" t="s">
        <v>27</v>
      </c>
      <c r="D45" s="74">
        <f>1.2/100</f>
        <v>1.2E-2</v>
      </c>
      <c r="E45" s="74">
        <f>+E44</f>
        <v>0.6</v>
      </c>
      <c r="F45" s="104">
        <f>+F44*1.15</f>
        <v>1316750000</v>
      </c>
      <c r="G45" s="69">
        <f>+F45*D45*E45</f>
        <v>9480600</v>
      </c>
      <c r="H45" s="63"/>
      <c r="I45" s="63">
        <f>+G45/$H$4</f>
        <v>8103.0769230769229</v>
      </c>
      <c r="J45" s="50"/>
      <c r="K45" s="62"/>
    </row>
    <row r="46" spans="2:13" ht="10.5" customHeight="1" x14ac:dyDescent="0.25">
      <c r="B46" s="72" t="s">
        <v>378</v>
      </c>
      <c r="C46" s="102" t="s">
        <v>27</v>
      </c>
      <c r="D46" s="74">
        <v>1</v>
      </c>
      <c r="E46" s="74">
        <v>1</v>
      </c>
      <c r="F46" s="69">
        <v>200000</v>
      </c>
      <c r="G46" s="69">
        <f>+F46*D46*E46</f>
        <v>200000</v>
      </c>
      <c r="H46" s="63"/>
      <c r="I46" s="63">
        <f>+G46/$H$4</f>
        <v>170.94017094017093</v>
      </c>
      <c r="J46" s="50"/>
      <c r="K46" s="63"/>
    </row>
    <row r="47" spans="2:13" ht="10.5" customHeight="1" x14ac:dyDescent="0.25">
      <c r="B47" s="72"/>
      <c r="C47" s="102"/>
      <c r="D47" s="74"/>
      <c r="E47" s="74"/>
      <c r="F47" s="69"/>
      <c r="G47" s="69"/>
      <c r="H47" s="63"/>
      <c r="I47" s="63"/>
      <c r="J47" s="50"/>
      <c r="K47" s="63"/>
      <c r="M47" s="63"/>
    </row>
    <row r="48" spans="2:13" ht="10.5" customHeight="1" x14ac:dyDescent="0.35">
      <c r="B48" s="97"/>
      <c r="C48" s="98"/>
      <c r="D48" s="99"/>
      <c r="E48" s="99"/>
      <c r="F48" s="100"/>
      <c r="G48" s="100">
        <f>SUM(G7:G47)</f>
        <v>113819106.63864909</v>
      </c>
      <c r="H48" s="63">
        <f>SUM(H6:H47)</f>
        <v>113819106.63864909</v>
      </c>
      <c r="I48" s="63">
        <f>SUM(I6:I47)</f>
        <v>96982.142426195816</v>
      </c>
      <c r="J48" s="63"/>
      <c r="K48" s="63">
        <f>SUM(K6:K47)</f>
        <v>89370934.184128195</v>
      </c>
      <c r="L48">
        <f>+K48+G64</f>
        <v>319805616.28814679</v>
      </c>
      <c r="M48" s="63">
        <f>+L48/N19</f>
        <v>19987851.018009175</v>
      </c>
    </row>
    <row r="49" spans="1:13" ht="10.5" customHeight="1" x14ac:dyDescent="0.25">
      <c r="B49" s="105" t="s">
        <v>379</v>
      </c>
      <c r="D49" s="106"/>
      <c r="E49" s="106"/>
      <c r="F49" s="107"/>
      <c r="G49" s="106"/>
      <c r="H49" s="80"/>
      <c r="I49" s="63"/>
      <c r="J49" s="63"/>
      <c r="K49" s="80"/>
      <c r="L49" s="108"/>
      <c r="M49" s="50"/>
    </row>
    <row r="50" spans="1:13" ht="10.5" customHeight="1" x14ac:dyDescent="0.25">
      <c r="B50" s="105" t="s">
        <v>380</v>
      </c>
      <c r="D50" s="106"/>
      <c r="E50" s="106"/>
      <c r="F50" s="107"/>
      <c r="G50" s="106">
        <f>+G49+H48</f>
        <v>113819106.63864909</v>
      </c>
      <c r="H50" s="106"/>
      <c r="I50" s="106"/>
      <c r="K50" s="65"/>
      <c r="L50" s="109"/>
      <c r="M50" s="50"/>
    </row>
    <row r="51" spans="1:13" ht="10.5" customHeight="1" x14ac:dyDescent="0.25">
      <c r="B51" s="105"/>
      <c r="D51" s="106"/>
      <c r="E51" s="106"/>
      <c r="F51" s="107"/>
      <c r="G51" s="106"/>
      <c r="H51" s="106"/>
      <c r="I51" s="106"/>
      <c r="M51" s="50"/>
    </row>
    <row r="52" spans="1:13" ht="10.5" customHeight="1" x14ac:dyDescent="0.35">
      <c r="A52" s="110"/>
      <c r="B52" s="105" t="s">
        <v>381</v>
      </c>
      <c r="D52" s="111"/>
      <c r="E52" s="111"/>
      <c r="F52" s="112"/>
      <c r="G52" s="111">
        <v>152635787.39072511</v>
      </c>
      <c r="H52" s="111"/>
      <c r="I52">
        <f>+G52/$H$4</f>
        <v>130457.93794079068</v>
      </c>
      <c r="M52" s="50"/>
    </row>
    <row r="53" spans="1:13" ht="10.5" customHeight="1" x14ac:dyDescent="0.35">
      <c r="A53" s="110"/>
      <c r="B53" s="105" t="s">
        <v>382</v>
      </c>
      <c r="D53" s="111"/>
      <c r="E53" s="111"/>
      <c r="F53" s="112"/>
      <c r="G53" s="50">
        <v>89943824.963067681</v>
      </c>
      <c r="H53" s="113"/>
      <c r="I53">
        <f>+G53/$H$4</f>
        <v>76875.064070998022</v>
      </c>
      <c r="J53" s="114"/>
      <c r="K53" s="115"/>
      <c r="M53" s="50"/>
    </row>
    <row r="54" spans="1:13" ht="10.5" customHeight="1" x14ac:dyDescent="0.35">
      <c r="B54" s="105" t="s">
        <v>383</v>
      </c>
      <c r="F54" s="112"/>
      <c r="G54" s="50">
        <v>466157734.73747998</v>
      </c>
      <c r="H54" s="113"/>
      <c r="I54">
        <f>+G54/$H$4</f>
        <v>398425.41430553846</v>
      </c>
      <c r="J54" s="114"/>
      <c r="K54" s="115"/>
      <c r="M54" s="50"/>
    </row>
    <row r="55" spans="1:13" ht="10.5" customHeight="1" x14ac:dyDescent="0.25">
      <c r="B55" s="105" t="s">
        <v>384</v>
      </c>
      <c r="F55" s="112"/>
      <c r="G55" s="50">
        <v>167770803.14356181</v>
      </c>
      <c r="H55" s="113"/>
      <c r="I55" s="50">
        <f>+G55/$H$4</f>
        <v>143393.84884065113</v>
      </c>
      <c r="J55" s="114"/>
      <c r="K55" s="115"/>
    </row>
    <row r="56" spans="1:13" ht="10.5" customHeight="1" x14ac:dyDescent="0.25">
      <c r="B56" s="105" t="s">
        <v>367</v>
      </c>
      <c r="F56" s="112"/>
      <c r="G56" s="50">
        <v>20534737.960315071</v>
      </c>
      <c r="H56" s="113"/>
      <c r="I56" s="50">
        <f>+G56/$H$4</f>
        <v>17551.058085739376</v>
      </c>
      <c r="J56" s="114"/>
      <c r="K56" s="115"/>
    </row>
    <row r="57" spans="1:13" ht="10.5" customHeight="1" x14ac:dyDescent="0.25">
      <c r="B57" s="105"/>
      <c r="F57" s="112"/>
      <c r="G57" s="50"/>
      <c r="H57" s="113"/>
      <c r="I57" s="50"/>
      <c r="K57" s="115"/>
    </row>
    <row r="58" spans="1:13" ht="10.5" customHeight="1" x14ac:dyDescent="0.35">
      <c r="A58" t="s">
        <v>385</v>
      </c>
      <c r="B58" s="105"/>
      <c r="F58" s="112"/>
      <c r="G58" s="50">
        <f>SUM(G52:G57)</f>
        <v>897042888.19514978</v>
      </c>
      <c r="H58" s="113"/>
      <c r="I58">
        <f>SUM(I52:I57)</f>
        <v>766703.32324371766</v>
      </c>
      <c r="J58" s="115"/>
      <c r="L58" s="115"/>
    </row>
    <row r="59" spans="1:13" ht="10.5" customHeight="1" x14ac:dyDescent="0.25">
      <c r="A59" s="116"/>
      <c r="B59" s="117"/>
      <c r="C59" s="76"/>
      <c r="D59" s="76"/>
      <c r="E59" s="76"/>
      <c r="F59" s="78"/>
      <c r="G59" s="118"/>
      <c r="H59" s="119"/>
      <c r="I59" s="50"/>
    </row>
    <row r="60" spans="1:13" ht="10.5" customHeight="1" x14ac:dyDescent="0.35">
      <c r="A60" s="120"/>
      <c r="B60" s="105" t="s">
        <v>386</v>
      </c>
      <c r="F60" s="112">
        <f>+G50/G58</f>
        <v>0.12688256953650581</v>
      </c>
      <c r="G60" s="50">
        <f>+F60*$G$58</f>
        <v>113819106.63864911</v>
      </c>
      <c r="H60" s="50"/>
      <c r="I60">
        <f>+G60/$H$4</f>
        <v>97281.287725341113</v>
      </c>
      <c r="J60" s="115"/>
      <c r="L60" s="121"/>
    </row>
    <row r="61" spans="1:13" ht="10.5" customHeight="1" x14ac:dyDescent="0.35">
      <c r="A61" s="120"/>
      <c r="B61" s="105" t="s">
        <v>367</v>
      </c>
      <c r="E61" s="50">
        <v>3</v>
      </c>
      <c r="F61" s="50">
        <v>0</v>
      </c>
      <c r="G61" s="50">
        <f>+F61*$G$58</f>
        <v>0</v>
      </c>
      <c r="H61" s="113"/>
      <c r="I61">
        <f>+G61/$H$4</f>
        <v>0</v>
      </c>
      <c r="J61" s="122"/>
    </row>
    <row r="62" spans="1:13" ht="10.5" customHeight="1" x14ac:dyDescent="0.35">
      <c r="A62" s="120"/>
      <c r="B62" s="105" t="s">
        <v>387</v>
      </c>
      <c r="E62" s="50">
        <v>5</v>
      </c>
      <c r="F62" s="123">
        <v>0.03</v>
      </c>
      <c r="G62" s="50">
        <f>+F62*$G$58</f>
        <v>26911286.645854492</v>
      </c>
      <c r="H62" s="113"/>
      <c r="I62">
        <f>+G62/$H$4</f>
        <v>23001.099697311533</v>
      </c>
      <c r="J62" s="115"/>
      <c r="L62">
        <v>987276976</v>
      </c>
    </row>
    <row r="63" spans="1:13" ht="10.5" customHeight="1" x14ac:dyDescent="0.35">
      <c r="A63" s="120"/>
      <c r="B63" s="105" t="s">
        <v>388</v>
      </c>
      <c r="E63" s="50">
        <v>9</v>
      </c>
      <c r="F63" s="123">
        <v>0.1</v>
      </c>
      <c r="G63" s="50">
        <f>+F63*$G$58</f>
        <v>89704288.81951499</v>
      </c>
      <c r="H63" s="113"/>
      <c r="I63" s="124">
        <f>+G63/$H$4</f>
        <v>76670.33232437179</v>
      </c>
      <c r="J63" s="121"/>
      <c r="L63">
        <v>1127402758.0195</v>
      </c>
    </row>
    <row r="64" spans="1:13" ht="10.5" customHeight="1" x14ac:dyDescent="0.35">
      <c r="A64" s="120" t="s">
        <v>389</v>
      </c>
      <c r="B64" s="105"/>
      <c r="E64" s="50"/>
      <c r="F64" s="50">
        <f>SUM(F60:F63)</f>
        <v>0.25688256953650579</v>
      </c>
      <c r="G64" s="50">
        <f>SUM(G60:G63)</f>
        <v>230434682.1040186</v>
      </c>
      <c r="H64" s="113"/>
      <c r="I64" s="50">
        <f>+G64/$H$4</f>
        <v>196952.71974702444</v>
      </c>
      <c r="L64">
        <f>+L63-L62</f>
        <v>140125782.01950002</v>
      </c>
    </row>
    <row r="65" spans="1:16" ht="10.5" customHeight="1" x14ac:dyDescent="0.25">
      <c r="A65" s="116"/>
      <c r="B65" s="117"/>
      <c r="C65" s="76"/>
      <c r="D65" s="76"/>
      <c r="E65" s="125"/>
      <c r="F65" s="125"/>
      <c r="G65" s="118"/>
      <c r="H65" s="119"/>
      <c r="I65" s="50"/>
      <c r="K65" s="115"/>
    </row>
    <row r="66" spans="1:16" ht="10.5" customHeight="1" x14ac:dyDescent="0.25">
      <c r="A66" s="120" t="s">
        <v>390</v>
      </c>
      <c r="B66" s="105"/>
      <c r="E66" s="50"/>
      <c r="F66" s="50">
        <f>1+F64</f>
        <v>1.2568825695365058</v>
      </c>
      <c r="G66" s="50">
        <f>+G58*F66</f>
        <v>1127477570.2991683</v>
      </c>
      <c r="H66" s="50"/>
    </row>
    <row r="67" spans="1:16" ht="10.5" customHeight="1" x14ac:dyDescent="0.35">
      <c r="A67" s="116"/>
      <c r="B67" s="117"/>
      <c r="C67" s="76"/>
      <c r="D67" s="76"/>
      <c r="E67" s="125"/>
      <c r="F67" s="118"/>
      <c r="G67" s="125"/>
      <c r="H67" s="126"/>
      <c r="I67" s="50"/>
      <c r="J67" s="50"/>
      <c r="L67">
        <v>1138195271.5160999</v>
      </c>
      <c r="M67" s="110"/>
      <c r="N67" s="110"/>
      <c r="O67" s="50"/>
    </row>
    <row r="68" spans="1:16" ht="10.5" customHeight="1" x14ac:dyDescent="0.35">
      <c r="A68" t="s">
        <v>391</v>
      </c>
      <c r="B68" s="105"/>
      <c r="E68" s="50"/>
      <c r="F68" s="50"/>
      <c r="G68" s="50">
        <f>+G58+G64</f>
        <v>1127477570.2991683</v>
      </c>
      <c r="H68" s="50"/>
      <c r="I68">
        <f>+G68/$H$4</f>
        <v>963656.04299074213</v>
      </c>
      <c r="M68" s="110"/>
      <c r="N68" s="110"/>
      <c r="O68" s="50"/>
    </row>
    <row r="69" spans="1:16" ht="10.5" customHeight="1" x14ac:dyDescent="0.25">
      <c r="A69" s="116"/>
      <c r="B69" s="117"/>
      <c r="C69" s="76"/>
      <c r="D69" s="76"/>
      <c r="E69" s="125"/>
      <c r="F69" s="125"/>
      <c r="G69" s="125"/>
      <c r="H69" s="119"/>
      <c r="I69" s="71"/>
      <c r="J69" s="50"/>
      <c r="K69" s="115"/>
    </row>
    <row r="70" spans="1:16" ht="10.5" customHeight="1" x14ac:dyDescent="0.25">
      <c r="B70" s="105"/>
      <c r="E70" s="50"/>
      <c r="F70" s="50">
        <f>+G71/G58</f>
        <v>3.3443217035430711E-2</v>
      </c>
      <c r="G70" s="50"/>
      <c r="H70" s="127"/>
      <c r="J70" s="50"/>
      <c r="N70" s="124"/>
      <c r="O70" s="124"/>
    </row>
    <row r="71" spans="1:16" ht="10.5" customHeight="1" x14ac:dyDescent="0.25">
      <c r="B71" s="105"/>
      <c r="F71" s="112">
        <f>+G71/G66</f>
        <v>2.660806812506231E-2</v>
      </c>
      <c r="G71" s="50">
        <v>30000000</v>
      </c>
      <c r="H71" s="50"/>
      <c r="I71" s="110"/>
      <c r="M71" s="56"/>
      <c r="N71" s="128"/>
      <c r="O71" s="128"/>
    </row>
    <row r="72" spans="1:16" ht="10.5" customHeight="1" x14ac:dyDescent="0.25">
      <c r="B72" s="105"/>
      <c r="F72" s="107"/>
      <c r="G72" s="63"/>
      <c r="H72" s="63"/>
      <c r="I72" s="110">
        <f>+I63+I62+I20</f>
        <v>108072.08553450383</v>
      </c>
      <c r="M72" s="56"/>
      <c r="N72" s="128"/>
      <c r="O72" s="128"/>
    </row>
    <row r="73" spans="1:16" ht="10.5" customHeight="1" x14ac:dyDescent="0.25">
      <c r="B73" s="105"/>
      <c r="F73" s="129"/>
      <c r="G73" s="63"/>
      <c r="H73" s="63"/>
      <c r="I73" s="110"/>
      <c r="M73" s="56"/>
      <c r="N73" s="128"/>
      <c r="O73" s="128"/>
    </row>
    <row r="74" spans="1:16" ht="10.5" customHeight="1" x14ac:dyDescent="0.25">
      <c r="B74" s="105"/>
      <c r="F74" s="112"/>
      <c r="G74" s="50"/>
      <c r="H74" s="50"/>
      <c r="I74" s="110"/>
      <c r="M74" s="56"/>
      <c r="N74" s="128"/>
      <c r="O74" s="128"/>
    </row>
    <row r="75" spans="1:16" ht="10.5" customHeight="1" x14ac:dyDescent="0.25">
      <c r="B75" s="105"/>
      <c r="F75" s="112"/>
      <c r="G75" s="50"/>
      <c r="H75" s="113"/>
      <c r="K75" s="130"/>
      <c r="M75" s="56"/>
      <c r="N75" s="131"/>
      <c r="O75" s="56"/>
    </row>
    <row r="76" spans="1:16" ht="10.5" customHeight="1" x14ac:dyDescent="0.25">
      <c r="B76" s="105"/>
      <c r="F76" s="112"/>
      <c r="L76" s="128"/>
      <c r="M76" s="56"/>
      <c r="N76" s="56"/>
      <c r="O76" s="56"/>
      <c r="P76" s="124"/>
    </row>
    <row r="77" spans="1:16" ht="10.5" customHeight="1" x14ac:dyDescent="0.25">
      <c r="B77" s="105"/>
      <c r="D77" s="106"/>
      <c r="E77" s="106"/>
      <c r="F77" s="107"/>
      <c r="G77" s="106"/>
      <c r="H77" s="106"/>
      <c r="I77" s="106"/>
      <c r="K77" s="56"/>
      <c r="L77" s="132"/>
      <c r="M77" s="56"/>
      <c r="N77" s="56"/>
      <c r="P77" s="132"/>
    </row>
    <row r="78" spans="1:16" ht="10.5" customHeight="1" x14ac:dyDescent="0.25">
      <c r="B78" s="105"/>
      <c r="D78" s="106"/>
      <c r="E78" s="106"/>
      <c r="F78" s="107"/>
      <c r="G78" s="106"/>
      <c r="H78" s="106"/>
      <c r="I78" s="106"/>
      <c r="K78" s="56"/>
      <c r="L78" s="132"/>
      <c r="M78" s="56"/>
      <c r="N78" s="56"/>
    </row>
    <row r="79" spans="1:16" ht="10.5" customHeight="1" x14ac:dyDescent="0.25">
      <c r="B79" s="105"/>
      <c r="D79" s="106"/>
      <c r="E79" s="106"/>
      <c r="F79" s="107"/>
      <c r="G79" s="106"/>
      <c r="H79" s="106"/>
      <c r="I79" s="106"/>
      <c r="K79" s="56"/>
      <c r="L79" s="133"/>
      <c r="M79" s="56"/>
      <c r="N79" s="56"/>
    </row>
    <row r="80" spans="1:16" ht="10.5" customHeight="1" x14ac:dyDescent="0.25">
      <c r="B80" s="105"/>
      <c r="D80" s="106"/>
      <c r="E80" s="106"/>
      <c r="F80" s="107"/>
      <c r="G80" s="106"/>
      <c r="H80" s="106"/>
      <c r="I80" s="106"/>
      <c r="K80" s="56"/>
      <c r="L80" s="132"/>
      <c r="M80" s="56"/>
      <c r="N80" s="56"/>
    </row>
    <row r="81" spans="1:16" ht="10.5" customHeight="1" x14ac:dyDescent="0.25">
      <c r="B81" s="105"/>
      <c r="D81" s="106"/>
      <c r="E81" s="106"/>
      <c r="F81" s="107"/>
      <c r="G81" s="106"/>
      <c r="H81" s="106"/>
      <c r="I81" s="106"/>
      <c r="K81" s="56"/>
      <c r="L81" s="133"/>
      <c r="M81" s="56"/>
      <c r="N81" s="56"/>
    </row>
    <row r="82" spans="1:16" ht="10.5" customHeight="1" x14ac:dyDescent="0.25">
      <c r="B82" s="105"/>
      <c r="F82" s="107"/>
      <c r="G82" s="106"/>
      <c r="H82" s="106"/>
      <c r="I82" s="106"/>
      <c r="K82" s="134"/>
      <c r="L82" s="63"/>
      <c r="M82" s="56"/>
      <c r="N82" s="56"/>
    </row>
    <row r="83" spans="1:16" ht="10.5" customHeight="1" x14ac:dyDescent="0.25">
      <c r="B83" s="105"/>
      <c r="D83" s="106"/>
      <c r="E83" s="106"/>
      <c r="F83" s="107"/>
      <c r="G83" s="106"/>
      <c r="H83" s="106"/>
      <c r="I83" s="106"/>
      <c r="K83" s="56"/>
      <c r="L83" s="63"/>
      <c r="M83" s="56"/>
      <c r="N83" s="56"/>
    </row>
    <row r="84" spans="1:16" ht="10.5" customHeight="1" x14ac:dyDescent="0.25">
      <c r="B84" s="105"/>
      <c r="D84" s="106"/>
      <c r="E84" s="106"/>
      <c r="F84" s="107"/>
      <c r="G84" s="106"/>
      <c r="H84" s="106"/>
      <c r="I84" s="106"/>
      <c r="K84" s="56"/>
      <c r="L84" s="80"/>
      <c r="M84" s="56"/>
      <c r="N84" s="56"/>
    </row>
    <row r="85" spans="1:16" ht="10.5" customHeight="1" x14ac:dyDescent="0.25">
      <c r="B85" s="105"/>
      <c r="D85" s="106"/>
      <c r="E85" s="106"/>
      <c r="F85" s="107"/>
      <c r="G85" s="106"/>
      <c r="H85" s="106"/>
      <c r="I85" s="106"/>
      <c r="K85" s="56"/>
      <c r="L85" s="56"/>
      <c r="M85" s="56"/>
      <c r="N85" s="56"/>
    </row>
    <row r="86" spans="1:16" ht="10.5" customHeight="1" x14ac:dyDescent="0.25">
      <c r="B86" s="105"/>
      <c r="D86" s="106"/>
      <c r="E86" s="106"/>
      <c r="F86" s="107"/>
      <c r="G86" s="106"/>
      <c r="H86" s="106"/>
      <c r="I86" s="106"/>
      <c r="K86" s="56"/>
      <c r="L86" s="96"/>
      <c r="M86" s="56"/>
      <c r="N86" s="56"/>
    </row>
    <row r="87" spans="1:16" ht="10.5" customHeight="1" x14ac:dyDescent="0.25">
      <c r="B87" s="105"/>
      <c r="D87" s="106"/>
      <c r="E87" s="106"/>
      <c r="F87" s="107"/>
      <c r="G87" s="106"/>
      <c r="H87" s="106"/>
      <c r="I87" s="106"/>
      <c r="K87" s="56"/>
      <c r="L87" s="56"/>
      <c r="M87" s="56"/>
      <c r="N87" s="56"/>
    </row>
    <row r="88" spans="1:16" ht="10.5" customHeight="1" x14ac:dyDescent="0.25">
      <c r="B88" s="105"/>
      <c r="D88" s="106"/>
      <c r="E88" s="106"/>
      <c r="F88" s="107"/>
      <c r="G88" s="106"/>
      <c r="H88" s="106"/>
      <c r="I88" s="106"/>
      <c r="K88" s="56"/>
      <c r="L88" s="96"/>
      <c r="M88" s="56"/>
      <c r="N88" s="56"/>
    </row>
    <row r="89" spans="1:16" ht="10.5" customHeight="1" x14ac:dyDescent="0.25">
      <c r="B89" s="105"/>
      <c r="D89" s="106"/>
      <c r="E89" s="106"/>
      <c r="F89" s="107"/>
      <c r="G89" s="106"/>
      <c r="H89" s="106"/>
      <c r="I89" s="106"/>
    </row>
    <row r="90" spans="1:16" ht="10.5" customHeight="1" x14ac:dyDescent="0.25">
      <c r="B90" s="105"/>
      <c r="D90" s="106"/>
      <c r="E90" s="106"/>
      <c r="F90" s="107"/>
      <c r="G90" s="106"/>
      <c r="H90" s="106"/>
      <c r="I90" s="106"/>
    </row>
    <row r="91" spans="1:16" ht="10.5" customHeight="1" x14ac:dyDescent="0.25">
      <c r="B91" s="105"/>
      <c r="D91" s="106"/>
      <c r="E91" s="106"/>
      <c r="F91" s="107"/>
      <c r="G91" s="106"/>
      <c r="H91" s="106"/>
      <c r="I91" s="106"/>
    </row>
    <row r="92" spans="1:16" ht="10.5" customHeight="1" x14ac:dyDescent="0.25">
      <c r="A92" s="56"/>
      <c r="D92" s="106"/>
      <c r="E92" s="106"/>
      <c r="G92" s="106"/>
      <c r="H92" s="106"/>
      <c r="I92" s="106"/>
      <c r="J92" s="56"/>
      <c r="K92" s="56"/>
      <c r="M92" s="56"/>
      <c r="N92" s="56"/>
      <c r="O92" s="56"/>
      <c r="P92" s="56"/>
    </row>
    <row r="93" spans="1:16" ht="10.5" customHeight="1" x14ac:dyDescent="0.25">
      <c r="A93" s="56"/>
      <c r="D93" s="106"/>
      <c r="E93" s="106"/>
      <c r="G93" s="106"/>
      <c r="H93" s="106"/>
      <c r="I93" s="106"/>
      <c r="J93" s="56"/>
      <c r="K93" s="56"/>
      <c r="M93" s="56"/>
      <c r="N93" s="56"/>
      <c r="O93" s="56"/>
      <c r="P93" s="56"/>
    </row>
    <row r="94" spans="1:16" ht="10.5" customHeight="1" x14ac:dyDescent="0.25">
      <c r="A94" s="56"/>
      <c r="D94" s="106"/>
      <c r="E94" s="106"/>
      <c r="G94" s="106"/>
      <c r="H94" s="106"/>
      <c r="I94" s="106"/>
      <c r="J94" s="56"/>
      <c r="K94" s="56"/>
      <c r="M94" s="56"/>
      <c r="N94" s="56"/>
      <c r="O94" s="56"/>
      <c r="P94" s="56"/>
    </row>
    <row r="95" spans="1:16" ht="10.5" customHeight="1" x14ac:dyDescent="0.25">
      <c r="A95" s="56"/>
      <c r="D95" s="106"/>
      <c r="E95" s="106"/>
      <c r="G95" s="106"/>
      <c r="H95" s="106"/>
      <c r="I95" s="106"/>
      <c r="J95" s="56"/>
      <c r="K95" s="56"/>
      <c r="M95" s="56"/>
      <c r="N95" s="56"/>
      <c r="O95" s="56"/>
      <c r="P95" s="56"/>
    </row>
    <row r="96" spans="1:16" ht="10.5" customHeight="1" x14ac:dyDescent="0.25">
      <c r="A96" s="56"/>
      <c r="D96" s="106"/>
      <c r="E96" s="106"/>
      <c r="G96" s="106"/>
      <c r="H96" s="106"/>
      <c r="I96" s="106"/>
      <c r="J96" s="56"/>
      <c r="K96" s="56"/>
      <c r="M96" s="56"/>
      <c r="N96" s="56"/>
      <c r="O96" s="56"/>
      <c r="P96" s="56"/>
    </row>
    <row r="97" spans="1:16" ht="10.5" customHeight="1" x14ac:dyDescent="0.25">
      <c r="A97" s="56"/>
      <c r="D97" s="106"/>
      <c r="E97" s="106"/>
      <c r="G97" s="106"/>
      <c r="H97" s="106"/>
      <c r="I97" s="106"/>
      <c r="J97" s="56"/>
      <c r="K97" s="56"/>
      <c r="M97" s="56"/>
      <c r="N97" s="56"/>
      <c r="O97" s="56"/>
      <c r="P97" s="56"/>
    </row>
    <row r="98" spans="1:16" ht="10.5" customHeight="1" x14ac:dyDescent="0.25">
      <c r="A98" s="56"/>
      <c r="D98" s="106"/>
      <c r="E98" s="106"/>
      <c r="G98" s="106"/>
      <c r="H98" s="106"/>
      <c r="I98" s="106"/>
      <c r="J98" s="56"/>
      <c r="K98" s="56"/>
      <c r="P98" s="56"/>
    </row>
    <row r="99" spans="1:16" ht="10.5" customHeight="1" x14ac:dyDescent="0.25">
      <c r="A99" s="56"/>
      <c r="D99" s="106"/>
      <c r="E99" s="106"/>
      <c r="G99" s="106"/>
      <c r="H99" s="106"/>
      <c r="I99" s="106"/>
      <c r="J99" s="56"/>
      <c r="K99" s="56"/>
      <c r="P99" s="56"/>
    </row>
    <row r="100" spans="1:16" ht="10.5" customHeight="1" x14ac:dyDescent="0.25">
      <c r="A100" s="56"/>
      <c r="D100" s="106"/>
      <c r="E100" s="106"/>
      <c r="G100" s="106"/>
      <c r="H100" s="106"/>
      <c r="I100" s="106"/>
      <c r="J100" s="56"/>
      <c r="K100" s="56"/>
      <c r="P100" s="56"/>
    </row>
    <row r="101" spans="1:16" ht="10.5" customHeight="1" x14ac:dyDescent="0.25">
      <c r="H101" s="63"/>
      <c r="I101" s="63"/>
      <c r="J101" s="50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A1:R319"/>
  <sheetViews>
    <sheetView topLeftCell="C1" workbookViewId="0">
      <pane ySplit="1" topLeftCell="A2" activePane="bottomLeft" state="frozen"/>
      <selection pane="bottomLeft" activeCell="P2" sqref="P2"/>
    </sheetView>
  </sheetViews>
  <sheetFormatPr defaultRowHeight="14.5" x14ac:dyDescent="0.35"/>
  <cols>
    <col min="1" max="1" width="10" customWidth="1"/>
    <col min="2" max="2" width="22" customWidth="1"/>
    <col min="3" max="3" width="13" style="205" customWidth="1"/>
    <col min="4" max="4" width="9" customWidth="1"/>
    <col min="5" max="5" width="34" customWidth="1"/>
    <col min="6" max="6" width="22" customWidth="1"/>
    <col min="7" max="7" width="13" customWidth="1"/>
    <col min="8" max="10" width="14" customWidth="1"/>
    <col min="11" max="11" width="8" customWidth="1"/>
    <col min="12" max="13" width="14" customWidth="1"/>
    <col min="14" max="14" width="18" customWidth="1"/>
    <col min="15" max="15" width="13" customWidth="1"/>
    <col min="16" max="16" width="30" customWidth="1"/>
    <col min="17" max="17" width="16" customWidth="1"/>
    <col min="18" max="18" width="12" customWidth="1"/>
  </cols>
  <sheetData>
    <row r="1" spans="1:18" x14ac:dyDescent="0.35">
      <c r="A1" s="192" t="s">
        <v>392</v>
      </c>
      <c r="B1" s="192" t="s">
        <v>393</v>
      </c>
      <c r="C1" s="204" t="s">
        <v>394</v>
      </c>
      <c r="D1" s="192" t="s">
        <v>395</v>
      </c>
      <c r="E1" s="192" t="s">
        <v>396</v>
      </c>
      <c r="F1" s="192" t="s">
        <v>397</v>
      </c>
      <c r="G1" s="192" t="s">
        <v>398</v>
      </c>
      <c r="H1" s="192" t="s">
        <v>399</v>
      </c>
      <c r="I1" s="192" t="s">
        <v>400</v>
      </c>
      <c r="J1" s="192" t="s">
        <v>401</v>
      </c>
      <c r="K1" s="192" t="s">
        <v>402</v>
      </c>
      <c r="L1" s="192" t="s">
        <v>403</v>
      </c>
      <c r="M1" s="192" t="s">
        <v>404</v>
      </c>
      <c r="N1" s="192" t="s">
        <v>405</v>
      </c>
      <c r="O1" s="192" t="s">
        <v>406</v>
      </c>
      <c r="P1" s="192" t="s">
        <v>407</v>
      </c>
      <c r="Q1" s="192" t="s">
        <v>408</v>
      </c>
      <c r="R1" s="192" t="s">
        <v>409</v>
      </c>
    </row>
    <row r="2" spans="1:18" x14ac:dyDescent="0.35">
      <c r="A2">
        <v>410222</v>
      </c>
      <c r="B2" t="s">
        <v>410</v>
      </c>
      <c r="C2" s="205">
        <v>45964</v>
      </c>
      <c r="D2">
        <v>4</v>
      </c>
      <c r="E2" t="s">
        <v>411</v>
      </c>
      <c r="F2" t="s">
        <v>412</v>
      </c>
      <c r="G2" t="s">
        <v>413</v>
      </c>
      <c r="H2">
        <v>300000760</v>
      </c>
      <c r="I2">
        <v>0</v>
      </c>
      <c r="J2">
        <v>15000000</v>
      </c>
      <c r="K2" t="s">
        <v>414</v>
      </c>
      <c r="L2" t="s">
        <v>415</v>
      </c>
      <c r="M2" t="s">
        <v>416</v>
      </c>
      <c r="N2" t="s">
        <v>417</v>
      </c>
    </row>
    <row r="3" spans="1:18" x14ac:dyDescent="0.35">
      <c r="A3">
        <v>410222</v>
      </c>
      <c r="B3" t="s">
        <v>410</v>
      </c>
      <c r="C3" s="205">
        <v>45964</v>
      </c>
      <c r="D3">
        <v>4</v>
      </c>
      <c r="E3" t="s">
        <v>411</v>
      </c>
      <c r="F3" t="s">
        <v>412</v>
      </c>
      <c r="G3" t="s">
        <v>413</v>
      </c>
      <c r="H3">
        <v>300000760</v>
      </c>
      <c r="I3">
        <v>0</v>
      </c>
      <c r="J3">
        <v>5000000</v>
      </c>
      <c r="K3" t="s">
        <v>414</v>
      </c>
      <c r="L3" t="s">
        <v>415</v>
      </c>
      <c r="M3" t="s">
        <v>416</v>
      </c>
      <c r="N3" t="s">
        <v>417</v>
      </c>
    </row>
    <row r="4" spans="1:18" x14ac:dyDescent="0.35">
      <c r="A4">
        <v>410222</v>
      </c>
      <c r="B4" t="s">
        <v>410</v>
      </c>
      <c r="C4" s="205">
        <v>46009</v>
      </c>
      <c r="D4">
        <v>489</v>
      </c>
      <c r="E4" t="s">
        <v>411</v>
      </c>
      <c r="F4" t="s">
        <v>412</v>
      </c>
      <c r="G4" t="s">
        <v>413</v>
      </c>
      <c r="H4">
        <v>300000783</v>
      </c>
      <c r="I4">
        <v>0</v>
      </c>
      <c r="J4">
        <v>13000000</v>
      </c>
      <c r="K4" t="s">
        <v>414</v>
      </c>
      <c r="L4" t="s">
        <v>415</v>
      </c>
      <c r="M4" t="s">
        <v>416</v>
      </c>
      <c r="N4" t="s">
        <v>417</v>
      </c>
    </row>
    <row r="5" spans="1:18" x14ac:dyDescent="0.35">
      <c r="A5">
        <v>410222</v>
      </c>
      <c r="B5" t="s">
        <v>410</v>
      </c>
      <c r="C5" s="205">
        <v>46009</v>
      </c>
      <c r="D5">
        <v>489</v>
      </c>
      <c r="E5" t="s">
        <v>411</v>
      </c>
      <c r="F5" t="s">
        <v>412</v>
      </c>
      <c r="G5" t="s">
        <v>413</v>
      </c>
      <c r="H5">
        <v>300000783</v>
      </c>
      <c r="I5">
        <v>0</v>
      </c>
      <c r="J5">
        <v>3500000</v>
      </c>
      <c r="K5" t="s">
        <v>414</v>
      </c>
      <c r="L5" t="s">
        <v>415</v>
      </c>
      <c r="M5" t="s">
        <v>416</v>
      </c>
      <c r="N5" t="s">
        <v>417</v>
      </c>
    </row>
    <row r="6" spans="1:18" x14ac:dyDescent="0.35">
      <c r="A6">
        <v>410222</v>
      </c>
      <c r="B6" t="s">
        <v>410</v>
      </c>
      <c r="C6" s="205">
        <v>46028</v>
      </c>
      <c r="D6">
        <v>680</v>
      </c>
      <c r="E6" t="s">
        <v>411</v>
      </c>
      <c r="F6" t="s">
        <v>412</v>
      </c>
      <c r="G6" t="s">
        <v>413</v>
      </c>
      <c r="H6">
        <v>300000791</v>
      </c>
      <c r="I6">
        <v>0</v>
      </c>
      <c r="J6">
        <v>15750000</v>
      </c>
      <c r="K6" t="s">
        <v>414</v>
      </c>
      <c r="L6" t="s">
        <v>415</v>
      </c>
      <c r="M6" t="s">
        <v>416</v>
      </c>
      <c r="N6" t="s">
        <v>417</v>
      </c>
    </row>
    <row r="7" spans="1:18" x14ac:dyDescent="0.35">
      <c r="A7">
        <v>410222</v>
      </c>
      <c r="B7" t="s">
        <v>410</v>
      </c>
      <c r="C7" s="205">
        <v>46028</v>
      </c>
      <c r="D7">
        <v>680</v>
      </c>
      <c r="E7" t="s">
        <v>411</v>
      </c>
      <c r="F7" t="s">
        <v>412</v>
      </c>
      <c r="G7" t="s">
        <v>413</v>
      </c>
      <c r="H7">
        <v>300000791</v>
      </c>
      <c r="I7">
        <v>0</v>
      </c>
      <c r="J7">
        <v>5480000</v>
      </c>
      <c r="K7" t="s">
        <v>414</v>
      </c>
      <c r="L7" t="s">
        <v>415</v>
      </c>
      <c r="M7" t="s">
        <v>416</v>
      </c>
      <c r="N7" t="s">
        <v>417</v>
      </c>
    </row>
    <row r="8" spans="1:18" x14ac:dyDescent="0.35">
      <c r="A8">
        <v>410222</v>
      </c>
      <c r="B8" t="s">
        <v>410</v>
      </c>
      <c r="C8" s="205">
        <v>46056</v>
      </c>
      <c r="D8">
        <v>1144</v>
      </c>
      <c r="E8" t="s">
        <v>411</v>
      </c>
      <c r="F8" t="s">
        <v>412</v>
      </c>
      <c r="G8" t="s">
        <v>413</v>
      </c>
      <c r="H8">
        <v>300000809</v>
      </c>
      <c r="I8">
        <v>0</v>
      </c>
      <c r="J8">
        <v>20200000</v>
      </c>
      <c r="K8" t="s">
        <v>414</v>
      </c>
      <c r="L8" t="s">
        <v>415</v>
      </c>
      <c r="M8" t="s">
        <v>416</v>
      </c>
      <c r="N8" t="s">
        <v>417</v>
      </c>
    </row>
    <row r="9" spans="1:18" x14ac:dyDescent="0.35">
      <c r="A9">
        <v>410222</v>
      </c>
      <c r="B9" t="s">
        <v>410</v>
      </c>
      <c r="C9" s="205">
        <v>46056</v>
      </c>
      <c r="D9">
        <v>1144</v>
      </c>
      <c r="E9" t="s">
        <v>411</v>
      </c>
      <c r="F9" t="s">
        <v>412</v>
      </c>
      <c r="G9" t="s">
        <v>413</v>
      </c>
      <c r="H9">
        <v>300000809</v>
      </c>
      <c r="I9">
        <v>0</v>
      </c>
      <c r="J9">
        <v>13150000</v>
      </c>
      <c r="K9" t="s">
        <v>414</v>
      </c>
      <c r="L9" t="s">
        <v>415</v>
      </c>
      <c r="M9" t="s">
        <v>416</v>
      </c>
      <c r="N9" t="s">
        <v>417</v>
      </c>
    </row>
    <row r="10" spans="1:18" x14ac:dyDescent="0.35">
      <c r="A10">
        <v>410222</v>
      </c>
      <c r="B10" t="s">
        <v>410</v>
      </c>
      <c r="C10" s="205">
        <v>46056</v>
      </c>
      <c r="D10">
        <v>1144</v>
      </c>
      <c r="E10" t="s">
        <v>411</v>
      </c>
      <c r="F10" t="s">
        <v>412</v>
      </c>
      <c r="G10" t="s">
        <v>413</v>
      </c>
      <c r="H10">
        <v>300000809</v>
      </c>
      <c r="I10">
        <v>0</v>
      </c>
      <c r="J10">
        <v>4650000</v>
      </c>
      <c r="K10" t="s">
        <v>414</v>
      </c>
      <c r="L10" t="s">
        <v>415</v>
      </c>
      <c r="M10" t="s">
        <v>416</v>
      </c>
      <c r="N10" t="s">
        <v>417</v>
      </c>
    </row>
    <row r="11" spans="1:18" x14ac:dyDescent="0.35">
      <c r="A11">
        <v>410222</v>
      </c>
      <c r="B11" t="s">
        <v>410</v>
      </c>
      <c r="C11" s="205">
        <v>46098</v>
      </c>
      <c r="D11">
        <v>1712</v>
      </c>
      <c r="E11" t="s">
        <v>411</v>
      </c>
      <c r="F11" t="s">
        <v>412</v>
      </c>
      <c r="G11" t="s">
        <v>413</v>
      </c>
      <c r="H11">
        <v>300000831</v>
      </c>
      <c r="I11">
        <v>0</v>
      </c>
      <c r="J11">
        <v>13000000</v>
      </c>
      <c r="K11" t="s">
        <v>414</v>
      </c>
      <c r="L11" t="s">
        <v>415</v>
      </c>
      <c r="M11" t="s">
        <v>416</v>
      </c>
      <c r="N11" t="s">
        <v>417</v>
      </c>
    </row>
    <row r="12" spans="1:18" x14ac:dyDescent="0.35">
      <c r="A12">
        <v>410222</v>
      </c>
      <c r="B12" t="s">
        <v>410</v>
      </c>
      <c r="C12" s="205">
        <v>46098</v>
      </c>
      <c r="D12">
        <v>1712</v>
      </c>
      <c r="E12" t="s">
        <v>411</v>
      </c>
      <c r="F12" t="s">
        <v>412</v>
      </c>
      <c r="G12" t="s">
        <v>413</v>
      </c>
      <c r="H12">
        <v>300000831</v>
      </c>
      <c r="I12">
        <v>0</v>
      </c>
      <c r="J12">
        <v>5000000</v>
      </c>
      <c r="K12" t="s">
        <v>414</v>
      </c>
      <c r="L12" t="s">
        <v>415</v>
      </c>
      <c r="M12" t="s">
        <v>416</v>
      </c>
      <c r="N12" t="s">
        <v>417</v>
      </c>
    </row>
    <row r="13" spans="1:18" x14ac:dyDescent="0.35">
      <c r="A13">
        <v>410222</v>
      </c>
      <c r="B13" t="s">
        <v>410</v>
      </c>
      <c r="C13" s="205">
        <v>46120</v>
      </c>
      <c r="D13">
        <v>2139</v>
      </c>
      <c r="E13" t="s">
        <v>411</v>
      </c>
      <c r="F13" t="s">
        <v>412</v>
      </c>
      <c r="G13" t="s">
        <v>413</v>
      </c>
      <c r="H13">
        <v>300000846</v>
      </c>
      <c r="I13">
        <v>0</v>
      </c>
      <c r="J13">
        <v>20000000</v>
      </c>
      <c r="K13" t="s">
        <v>414</v>
      </c>
      <c r="L13" t="s">
        <v>415</v>
      </c>
      <c r="M13" t="s">
        <v>416</v>
      </c>
      <c r="N13" t="s">
        <v>417</v>
      </c>
    </row>
    <row r="14" spans="1:18" x14ac:dyDescent="0.35">
      <c r="A14">
        <v>410222</v>
      </c>
      <c r="B14" t="s">
        <v>410</v>
      </c>
      <c r="C14" s="205">
        <v>46164</v>
      </c>
      <c r="D14">
        <v>2839</v>
      </c>
      <c r="E14" t="s">
        <v>411</v>
      </c>
      <c r="F14" t="s">
        <v>412</v>
      </c>
      <c r="G14" t="s">
        <v>413</v>
      </c>
      <c r="H14">
        <v>300000865</v>
      </c>
      <c r="I14">
        <v>0</v>
      </c>
      <c r="J14">
        <v>29650000</v>
      </c>
      <c r="K14" t="s">
        <v>414</v>
      </c>
      <c r="L14" t="s">
        <v>415</v>
      </c>
      <c r="M14" t="s">
        <v>416</v>
      </c>
      <c r="N14" t="s">
        <v>417</v>
      </c>
    </row>
    <row r="15" spans="1:18" x14ac:dyDescent="0.35">
      <c r="A15">
        <v>4201</v>
      </c>
      <c r="B15" t="s">
        <v>418</v>
      </c>
      <c r="C15" s="205">
        <v>45973</v>
      </c>
      <c r="D15">
        <v>23</v>
      </c>
      <c r="E15" t="s">
        <v>419</v>
      </c>
      <c r="F15" t="s">
        <v>420</v>
      </c>
      <c r="G15" t="s">
        <v>421</v>
      </c>
      <c r="H15">
        <v>237</v>
      </c>
      <c r="I15">
        <v>0</v>
      </c>
      <c r="J15">
        <v>1350661</v>
      </c>
      <c r="K15" t="s">
        <v>414</v>
      </c>
      <c r="L15" t="s">
        <v>415</v>
      </c>
      <c r="M15" t="s">
        <v>416</v>
      </c>
      <c r="N15" t="s">
        <v>417</v>
      </c>
    </row>
    <row r="16" spans="1:18" x14ac:dyDescent="0.35">
      <c r="A16">
        <v>4201</v>
      </c>
      <c r="B16" t="s">
        <v>418</v>
      </c>
      <c r="C16" s="205">
        <v>45973</v>
      </c>
      <c r="D16">
        <v>24</v>
      </c>
      <c r="E16" t="s">
        <v>422</v>
      </c>
      <c r="F16" t="s">
        <v>420</v>
      </c>
      <c r="G16" t="s">
        <v>421</v>
      </c>
      <c r="H16">
        <v>238</v>
      </c>
      <c r="I16">
        <v>0</v>
      </c>
      <c r="J16">
        <v>9792918</v>
      </c>
      <c r="K16" t="s">
        <v>414</v>
      </c>
      <c r="L16" t="s">
        <v>415</v>
      </c>
      <c r="M16" t="s">
        <v>416</v>
      </c>
      <c r="N16" t="s">
        <v>417</v>
      </c>
    </row>
    <row r="17" spans="1:14" x14ac:dyDescent="0.35">
      <c r="A17">
        <v>4201</v>
      </c>
      <c r="B17" t="s">
        <v>418</v>
      </c>
      <c r="C17" s="205">
        <v>45995</v>
      </c>
      <c r="D17">
        <v>163</v>
      </c>
      <c r="E17" t="s">
        <v>423</v>
      </c>
      <c r="F17" t="s">
        <v>420</v>
      </c>
      <c r="G17" t="s">
        <v>421</v>
      </c>
      <c r="H17">
        <v>242</v>
      </c>
      <c r="I17">
        <v>0</v>
      </c>
      <c r="J17">
        <v>43800000</v>
      </c>
      <c r="K17" t="s">
        <v>414</v>
      </c>
      <c r="L17" t="s">
        <v>415</v>
      </c>
      <c r="M17" t="s">
        <v>416</v>
      </c>
      <c r="N17" t="s">
        <v>417</v>
      </c>
    </row>
    <row r="18" spans="1:14" x14ac:dyDescent="0.35">
      <c r="A18">
        <v>4201</v>
      </c>
      <c r="B18" t="s">
        <v>418</v>
      </c>
      <c r="C18" s="205">
        <v>46037</v>
      </c>
      <c r="D18">
        <v>326</v>
      </c>
      <c r="E18" t="s">
        <v>424</v>
      </c>
      <c r="F18" t="s">
        <v>420</v>
      </c>
      <c r="G18" t="s">
        <v>421</v>
      </c>
      <c r="H18">
        <v>252</v>
      </c>
      <c r="I18">
        <v>0</v>
      </c>
      <c r="J18">
        <v>30330000</v>
      </c>
      <c r="K18" t="s">
        <v>414</v>
      </c>
      <c r="L18" t="s">
        <v>415</v>
      </c>
      <c r="M18" t="s">
        <v>416</v>
      </c>
      <c r="N18" t="s">
        <v>417</v>
      </c>
    </row>
    <row r="19" spans="1:14" x14ac:dyDescent="0.35">
      <c r="A19">
        <v>4201</v>
      </c>
      <c r="B19" t="s">
        <v>418</v>
      </c>
      <c r="C19" s="205">
        <v>46086</v>
      </c>
      <c r="D19">
        <v>672</v>
      </c>
      <c r="E19" t="s">
        <v>423</v>
      </c>
      <c r="F19" t="s">
        <v>420</v>
      </c>
      <c r="G19" t="s">
        <v>421</v>
      </c>
      <c r="H19">
        <v>263</v>
      </c>
      <c r="I19">
        <v>0</v>
      </c>
      <c r="J19">
        <v>27240000</v>
      </c>
      <c r="K19" t="s">
        <v>414</v>
      </c>
      <c r="L19" t="s">
        <v>415</v>
      </c>
      <c r="M19" t="s">
        <v>416</v>
      </c>
      <c r="N19" t="s">
        <v>417</v>
      </c>
    </row>
    <row r="20" spans="1:14" x14ac:dyDescent="0.35">
      <c r="A20">
        <v>4201</v>
      </c>
      <c r="B20" t="s">
        <v>418</v>
      </c>
      <c r="C20" s="205">
        <v>46122</v>
      </c>
      <c r="D20">
        <v>937</v>
      </c>
      <c r="E20" t="s">
        <v>423</v>
      </c>
      <c r="F20" t="s">
        <v>420</v>
      </c>
      <c r="G20" t="s">
        <v>421</v>
      </c>
      <c r="H20">
        <v>271</v>
      </c>
      <c r="I20">
        <v>0</v>
      </c>
      <c r="J20">
        <v>35025000</v>
      </c>
      <c r="K20" t="s">
        <v>414</v>
      </c>
      <c r="L20" t="s">
        <v>415</v>
      </c>
      <c r="M20" t="s">
        <v>416</v>
      </c>
      <c r="N20" t="s">
        <v>417</v>
      </c>
    </row>
    <row r="21" spans="1:14" x14ac:dyDescent="0.35">
      <c r="A21">
        <v>4201</v>
      </c>
      <c r="B21" t="s">
        <v>418</v>
      </c>
      <c r="C21" s="205">
        <v>46154</v>
      </c>
      <c r="D21">
        <v>1227</v>
      </c>
      <c r="E21" t="s">
        <v>425</v>
      </c>
      <c r="F21" t="s">
        <v>420</v>
      </c>
      <c r="G21" t="s">
        <v>421</v>
      </c>
      <c r="H21">
        <v>274</v>
      </c>
      <c r="I21">
        <v>0</v>
      </c>
      <c r="J21">
        <v>56000000</v>
      </c>
      <c r="K21" t="s">
        <v>414</v>
      </c>
      <c r="L21" t="s">
        <v>415</v>
      </c>
      <c r="M21" t="s">
        <v>416</v>
      </c>
      <c r="N21" t="s">
        <v>417</v>
      </c>
    </row>
    <row r="22" spans="1:14" x14ac:dyDescent="0.35">
      <c r="A22">
        <v>4201</v>
      </c>
      <c r="B22" t="s">
        <v>418</v>
      </c>
      <c r="C22" s="205">
        <v>46154</v>
      </c>
      <c r="D22">
        <v>1228</v>
      </c>
      <c r="E22" t="s">
        <v>426</v>
      </c>
      <c r="F22" t="s">
        <v>420</v>
      </c>
      <c r="G22" t="s">
        <v>421</v>
      </c>
      <c r="H22">
        <v>275</v>
      </c>
      <c r="I22">
        <v>0</v>
      </c>
      <c r="J22">
        <v>1870000</v>
      </c>
      <c r="K22" t="s">
        <v>414</v>
      </c>
      <c r="L22" t="s">
        <v>415</v>
      </c>
      <c r="M22" t="s">
        <v>416</v>
      </c>
      <c r="N22" t="s">
        <v>417</v>
      </c>
    </row>
    <row r="23" spans="1:14" x14ac:dyDescent="0.35">
      <c r="A23">
        <v>5101</v>
      </c>
      <c r="B23" t="s">
        <v>427</v>
      </c>
      <c r="C23" s="205">
        <v>46073</v>
      </c>
      <c r="D23">
        <v>577</v>
      </c>
      <c r="E23" t="s">
        <v>428</v>
      </c>
      <c r="F23" t="s">
        <v>420</v>
      </c>
      <c r="G23" t="s">
        <v>429</v>
      </c>
      <c r="H23">
        <v>8598</v>
      </c>
      <c r="I23">
        <v>2199000</v>
      </c>
      <c r="J23">
        <v>0</v>
      </c>
      <c r="K23" t="s">
        <v>414</v>
      </c>
      <c r="L23" t="s">
        <v>415</v>
      </c>
      <c r="M23" t="s">
        <v>416</v>
      </c>
      <c r="N23" t="s">
        <v>417</v>
      </c>
    </row>
    <row r="24" spans="1:14" x14ac:dyDescent="0.35">
      <c r="A24">
        <v>5108</v>
      </c>
      <c r="B24" t="s">
        <v>430</v>
      </c>
      <c r="C24" s="205">
        <v>46134</v>
      </c>
      <c r="D24">
        <v>2535</v>
      </c>
      <c r="E24" t="s">
        <v>431</v>
      </c>
      <c r="F24" t="s">
        <v>432</v>
      </c>
      <c r="G24" t="s">
        <v>433</v>
      </c>
      <c r="H24">
        <v>1000223626</v>
      </c>
      <c r="I24">
        <v>26100</v>
      </c>
      <c r="J24">
        <v>0</v>
      </c>
      <c r="K24" t="s">
        <v>414</v>
      </c>
      <c r="L24" t="s">
        <v>415</v>
      </c>
      <c r="M24" t="s">
        <v>416</v>
      </c>
      <c r="N24" t="s">
        <v>417</v>
      </c>
    </row>
    <row r="25" spans="1:14" x14ac:dyDescent="0.35">
      <c r="A25">
        <v>52005</v>
      </c>
      <c r="B25" t="s">
        <v>434</v>
      </c>
      <c r="C25" s="205">
        <v>45982</v>
      </c>
      <c r="D25">
        <v>218</v>
      </c>
      <c r="E25" t="s">
        <v>435</v>
      </c>
      <c r="F25" t="s">
        <v>436</v>
      </c>
      <c r="G25" t="s">
        <v>433</v>
      </c>
      <c r="H25">
        <v>395005503422</v>
      </c>
      <c r="I25">
        <v>57041.33</v>
      </c>
      <c r="J25">
        <v>0</v>
      </c>
      <c r="K25" t="s">
        <v>414</v>
      </c>
      <c r="L25" t="s">
        <v>415</v>
      </c>
      <c r="M25" t="s">
        <v>416</v>
      </c>
      <c r="N25" t="s">
        <v>417</v>
      </c>
    </row>
    <row r="26" spans="1:14" x14ac:dyDescent="0.35">
      <c r="A26">
        <v>52005</v>
      </c>
      <c r="B26" t="s">
        <v>434</v>
      </c>
      <c r="C26" s="205">
        <v>46012</v>
      </c>
      <c r="D26">
        <v>841</v>
      </c>
      <c r="E26" t="s">
        <v>435</v>
      </c>
      <c r="F26" t="s">
        <v>436</v>
      </c>
      <c r="G26" t="s">
        <v>433</v>
      </c>
      <c r="H26">
        <v>395005786141</v>
      </c>
      <c r="I26">
        <v>58734.3</v>
      </c>
      <c r="J26">
        <v>0</v>
      </c>
      <c r="K26" t="s">
        <v>414</v>
      </c>
      <c r="L26" t="s">
        <v>415</v>
      </c>
      <c r="M26" t="s">
        <v>416</v>
      </c>
      <c r="N26" t="s">
        <v>417</v>
      </c>
    </row>
    <row r="27" spans="1:14" x14ac:dyDescent="0.35">
      <c r="A27">
        <v>52005</v>
      </c>
      <c r="B27" t="s">
        <v>434</v>
      </c>
      <c r="C27" s="205">
        <v>46043</v>
      </c>
      <c r="D27">
        <v>1003</v>
      </c>
      <c r="E27" t="s">
        <v>435</v>
      </c>
      <c r="F27" t="s">
        <v>436</v>
      </c>
      <c r="G27" t="s">
        <v>433</v>
      </c>
      <c r="H27">
        <v>395006067664</v>
      </c>
      <c r="I27">
        <v>60188.44</v>
      </c>
      <c r="J27">
        <v>0</v>
      </c>
      <c r="K27" t="s">
        <v>414</v>
      </c>
      <c r="L27" t="s">
        <v>415</v>
      </c>
      <c r="M27" t="s">
        <v>416</v>
      </c>
      <c r="N27" t="s">
        <v>417</v>
      </c>
    </row>
    <row r="28" spans="1:14" x14ac:dyDescent="0.35">
      <c r="A28">
        <v>52005</v>
      </c>
      <c r="B28" t="s">
        <v>434</v>
      </c>
      <c r="C28" s="205">
        <v>46074</v>
      </c>
      <c r="D28">
        <v>1383</v>
      </c>
      <c r="E28" t="s">
        <v>435</v>
      </c>
      <c r="F28" t="s">
        <v>436</v>
      </c>
      <c r="G28" t="s">
        <v>433</v>
      </c>
      <c r="H28">
        <v>395006348871</v>
      </c>
      <c r="I28">
        <v>61986.79</v>
      </c>
      <c r="J28">
        <v>0</v>
      </c>
      <c r="K28" t="s">
        <v>414</v>
      </c>
      <c r="L28" t="s">
        <v>415</v>
      </c>
      <c r="M28" t="s">
        <v>416</v>
      </c>
      <c r="N28" t="s">
        <v>417</v>
      </c>
    </row>
    <row r="29" spans="1:14" x14ac:dyDescent="0.35">
      <c r="A29">
        <v>52005</v>
      </c>
      <c r="B29" t="s">
        <v>434</v>
      </c>
      <c r="C29" s="205">
        <v>46102</v>
      </c>
      <c r="D29">
        <v>2164</v>
      </c>
      <c r="E29" t="s">
        <v>435</v>
      </c>
      <c r="F29" t="s">
        <v>436</v>
      </c>
      <c r="G29" t="s">
        <v>433</v>
      </c>
      <c r="H29">
        <v>395006630182</v>
      </c>
      <c r="I29">
        <v>64143.4</v>
      </c>
      <c r="J29">
        <v>0</v>
      </c>
      <c r="K29" t="s">
        <v>414</v>
      </c>
      <c r="L29" t="s">
        <v>415</v>
      </c>
      <c r="M29" t="s">
        <v>416</v>
      </c>
      <c r="N29" t="s">
        <v>417</v>
      </c>
    </row>
    <row r="30" spans="1:14" x14ac:dyDescent="0.35">
      <c r="A30">
        <v>52005</v>
      </c>
      <c r="B30" t="s">
        <v>434</v>
      </c>
      <c r="C30" s="205">
        <v>46133</v>
      </c>
      <c r="D30">
        <v>2525</v>
      </c>
      <c r="E30" t="s">
        <v>435</v>
      </c>
      <c r="F30" t="s">
        <v>436</v>
      </c>
      <c r="G30" t="s">
        <v>433</v>
      </c>
      <c r="H30">
        <v>395006903339</v>
      </c>
      <c r="I30">
        <v>54669.43</v>
      </c>
      <c r="J30">
        <v>0</v>
      </c>
      <c r="K30" t="s">
        <v>414</v>
      </c>
      <c r="L30" t="s">
        <v>415</v>
      </c>
      <c r="M30" t="s">
        <v>416</v>
      </c>
      <c r="N30" t="s">
        <v>417</v>
      </c>
    </row>
    <row r="31" spans="1:14" x14ac:dyDescent="0.35">
      <c r="A31">
        <v>52101</v>
      </c>
      <c r="B31" t="s">
        <v>437</v>
      </c>
      <c r="C31" s="205">
        <v>45974</v>
      </c>
      <c r="D31">
        <v>461</v>
      </c>
      <c r="E31" t="s">
        <v>438</v>
      </c>
      <c r="F31" t="s">
        <v>439</v>
      </c>
      <c r="G31" t="s">
        <v>440</v>
      </c>
      <c r="H31">
        <v>300008979</v>
      </c>
      <c r="I31">
        <v>6198.35</v>
      </c>
      <c r="J31">
        <v>0</v>
      </c>
      <c r="K31" t="s">
        <v>414</v>
      </c>
      <c r="L31" t="s">
        <v>415</v>
      </c>
      <c r="M31" t="s">
        <v>416</v>
      </c>
      <c r="N31" t="s">
        <v>417</v>
      </c>
    </row>
    <row r="32" spans="1:14" x14ac:dyDescent="0.35">
      <c r="A32">
        <v>52103</v>
      </c>
      <c r="B32" t="s">
        <v>441</v>
      </c>
      <c r="C32" s="205">
        <v>45996</v>
      </c>
      <c r="D32">
        <v>162</v>
      </c>
      <c r="E32" t="s">
        <v>442</v>
      </c>
      <c r="F32" t="s">
        <v>420</v>
      </c>
      <c r="G32" t="s">
        <v>429</v>
      </c>
      <c r="H32">
        <v>8181</v>
      </c>
      <c r="I32">
        <v>150000</v>
      </c>
      <c r="J32">
        <v>0</v>
      </c>
      <c r="K32" t="s">
        <v>414</v>
      </c>
      <c r="L32" t="s">
        <v>415</v>
      </c>
      <c r="M32" t="s">
        <v>416</v>
      </c>
      <c r="N32" t="s">
        <v>417</v>
      </c>
    </row>
    <row r="33" spans="1:14" x14ac:dyDescent="0.35">
      <c r="A33">
        <v>52103</v>
      </c>
      <c r="B33" t="s">
        <v>441</v>
      </c>
      <c r="C33" s="205">
        <v>46104</v>
      </c>
      <c r="D33">
        <v>1058</v>
      </c>
      <c r="E33" t="s">
        <v>442</v>
      </c>
      <c r="F33" t="s">
        <v>420</v>
      </c>
      <c r="G33" t="s">
        <v>429</v>
      </c>
      <c r="H33">
        <v>9086</v>
      </c>
      <c r="I33">
        <v>11810</v>
      </c>
      <c r="J33">
        <v>0</v>
      </c>
      <c r="K33" t="s">
        <v>414</v>
      </c>
      <c r="L33" t="s">
        <v>415</v>
      </c>
      <c r="M33" t="s">
        <v>416</v>
      </c>
      <c r="N33" t="s">
        <v>417</v>
      </c>
    </row>
    <row r="34" spans="1:14" x14ac:dyDescent="0.35">
      <c r="A34">
        <v>52104</v>
      </c>
      <c r="B34" t="s">
        <v>443</v>
      </c>
      <c r="C34" s="205">
        <v>45962</v>
      </c>
      <c r="D34">
        <v>15</v>
      </c>
      <c r="E34" t="s">
        <v>444</v>
      </c>
      <c r="F34" t="s">
        <v>445</v>
      </c>
      <c r="G34" t="s">
        <v>433</v>
      </c>
      <c r="H34">
        <v>2900053162</v>
      </c>
      <c r="I34">
        <v>164600</v>
      </c>
      <c r="J34">
        <v>0</v>
      </c>
      <c r="K34" t="s">
        <v>414</v>
      </c>
      <c r="L34" t="s">
        <v>415</v>
      </c>
      <c r="M34" t="s">
        <v>416</v>
      </c>
      <c r="N34" t="s">
        <v>417</v>
      </c>
    </row>
    <row r="35" spans="1:14" x14ac:dyDescent="0.35">
      <c r="A35">
        <v>52104</v>
      </c>
      <c r="B35" t="s">
        <v>443</v>
      </c>
      <c r="C35" s="205">
        <v>45992</v>
      </c>
      <c r="D35">
        <v>246</v>
      </c>
      <c r="E35" t="s">
        <v>444</v>
      </c>
      <c r="F35" t="s">
        <v>445</v>
      </c>
      <c r="G35" t="s">
        <v>433</v>
      </c>
      <c r="H35">
        <v>2900053592</v>
      </c>
      <c r="I35">
        <v>281250</v>
      </c>
      <c r="J35">
        <v>0</v>
      </c>
      <c r="K35" t="s">
        <v>414</v>
      </c>
      <c r="L35" t="s">
        <v>415</v>
      </c>
      <c r="M35" t="s">
        <v>416</v>
      </c>
      <c r="N35" t="s">
        <v>417</v>
      </c>
    </row>
    <row r="36" spans="1:14" x14ac:dyDescent="0.35">
      <c r="A36">
        <v>52104</v>
      </c>
      <c r="B36" t="s">
        <v>443</v>
      </c>
      <c r="C36" s="205">
        <v>46023</v>
      </c>
      <c r="D36">
        <v>700</v>
      </c>
      <c r="E36" t="s">
        <v>444</v>
      </c>
      <c r="F36" t="s">
        <v>445</v>
      </c>
      <c r="G36" t="s">
        <v>433</v>
      </c>
      <c r="H36">
        <v>2900054002</v>
      </c>
      <c r="I36">
        <v>320400</v>
      </c>
      <c r="J36">
        <v>0</v>
      </c>
      <c r="K36" t="s">
        <v>414</v>
      </c>
      <c r="L36" t="s">
        <v>415</v>
      </c>
      <c r="M36" t="s">
        <v>416</v>
      </c>
      <c r="N36" t="s">
        <v>417</v>
      </c>
    </row>
    <row r="37" spans="1:14" x14ac:dyDescent="0.35">
      <c r="A37">
        <v>52104</v>
      </c>
      <c r="B37" t="s">
        <v>443</v>
      </c>
      <c r="C37" s="205">
        <v>46055</v>
      </c>
      <c r="D37">
        <v>1199</v>
      </c>
      <c r="E37" t="s">
        <v>444</v>
      </c>
      <c r="F37" t="s">
        <v>445</v>
      </c>
      <c r="G37" t="s">
        <v>433</v>
      </c>
      <c r="H37">
        <v>2900054427</v>
      </c>
      <c r="I37">
        <v>431150</v>
      </c>
      <c r="J37">
        <v>0</v>
      </c>
      <c r="K37" t="s">
        <v>414</v>
      </c>
      <c r="L37" t="s">
        <v>415</v>
      </c>
      <c r="M37" t="s">
        <v>416</v>
      </c>
      <c r="N37" t="s">
        <v>417</v>
      </c>
    </row>
    <row r="38" spans="1:14" x14ac:dyDescent="0.35">
      <c r="A38">
        <v>52104</v>
      </c>
      <c r="B38" t="s">
        <v>443</v>
      </c>
      <c r="C38" s="205">
        <v>46082</v>
      </c>
      <c r="D38">
        <v>1402</v>
      </c>
      <c r="E38" t="s">
        <v>444</v>
      </c>
      <c r="F38" t="s">
        <v>445</v>
      </c>
      <c r="G38" t="s">
        <v>433</v>
      </c>
      <c r="H38">
        <v>2900054845</v>
      </c>
      <c r="I38">
        <v>240000</v>
      </c>
      <c r="J38">
        <v>0</v>
      </c>
      <c r="K38" t="s">
        <v>414</v>
      </c>
      <c r="L38" t="s">
        <v>415</v>
      </c>
      <c r="M38" t="s">
        <v>416</v>
      </c>
      <c r="N38" t="s">
        <v>417</v>
      </c>
    </row>
    <row r="39" spans="1:14" x14ac:dyDescent="0.35">
      <c r="A39">
        <v>52104</v>
      </c>
      <c r="B39" t="s">
        <v>443</v>
      </c>
      <c r="C39" s="205">
        <v>46113</v>
      </c>
      <c r="D39">
        <v>2124</v>
      </c>
      <c r="E39" t="s">
        <v>444</v>
      </c>
      <c r="F39" t="s">
        <v>445</v>
      </c>
      <c r="G39" t="s">
        <v>433</v>
      </c>
      <c r="H39">
        <v>2900055264</v>
      </c>
      <c r="I39">
        <v>291400</v>
      </c>
      <c r="J39">
        <v>0</v>
      </c>
      <c r="K39" t="s">
        <v>414</v>
      </c>
      <c r="L39" t="s">
        <v>415</v>
      </c>
      <c r="M39" t="s">
        <v>416</v>
      </c>
      <c r="N39" t="s">
        <v>417</v>
      </c>
    </row>
    <row r="40" spans="1:14" x14ac:dyDescent="0.35">
      <c r="A40">
        <v>52104</v>
      </c>
      <c r="B40" t="s">
        <v>443</v>
      </c>
      <c r="C40" s="205">
        <v>46143</v>
      </c>
      <c r="D40">
        <v>2604</v>
      </c>
      <c r="E40" t="s">
        <v>444</v>
      </c>
      <c r="F40" t="s">
        <v>445</v>
      </c>
      <c r="G40" t="s">
        <v>433</v>
      </c>
      <c r="H40">
        <v>2900055674</v>
      </c>
      <c r="I40">
        <v>281750</v>
      </c>
      <c r="J40">
        <v>0</v>
      </c>
      <c r="K40" t="s">
        <v>414</v>
      </c>
      <c r="L40" t="s">
        <v>415</v>
      </c>
      <c r="M40" t="s">
        <v>416</v>
      </c>
      <c r="N40" t="s">
        <v>417</v>
      </c>
    </row>
    <row r="41" spans="1:14" x14ac:dyDescent="0.35">
      <c r="A41">
        <v>52204</v>
      </c>
      <c r="B41" t="s">
        <v>446</v>
      </c>
      <c r="C41" s="205">
        <v>45966</v>
      </c>
      <c r="D41">
        <v>33</v>
      </c>
      <c r="E41" t="s">
        <v>447</v>
      </c>
      <c r="F41" t="s">
        <v>448</v>
      </c>
      <c r="G41" t="s">
        <v>433</v>
      </c>
      <c r="H41">
        <v>300001370</v>
      </c>
      <c r="I41">
        <v>332000</v>
      </c>
      <c r="J41">
        <v>0</v>
      </c>
      <c r="K41" t="s">
        <v>414</v>
      </c>
      <c r="L41" t="s">
        <v>415</v>
      </c>
      <c r="M41" t="s">
        <v>416</v>
      </c>
      <c r="N41" t="s">
        <v>417</v>
      </c>
    </row>
    <row r="42" spans="1:14" x14ac:dyDescent="0.35">
      <c r="A42">
        <v>52204</v>
      </c>
      <c r="B42" t="s">
        <v>446</v>
      </c>
      <c r="C42" s="205">
        <v>45966</v>
      </c>
      <c r="D42">
        <v>33</v>
      </c>
      <c r="E42" t="s">
        <v>447</v>
      </c>
      <c r="F42" t="s">
        <v>448</v>
      </c>
      <c r="G42" t="s">
        <v>433</v>
      </c>
      <c r="H42">
        <v>300001370</v>
      </c>
      <c r="I42">
        <v>296000</v>
      </c>
      <c r="J42">
        <v>0</v>
      </c>
      <c r="K42" t="s">
        <v>414</v>
      </c>
      <c r="L42" t="s">
        <v>415</v>
      </c>
      <c r="M42" t="s">
        <v>416</v>
      </c>
      <c r="N42" t="s">
        <v>417</v>
      </c>
    </row>
    <row r="43" spans="1:14" x14ac:dyDescent="0.35">
      <c r="A43">
        <v>52204</v>
      </c>
      <c r="B43" t="s">
        <v>446</v>
      </c>
      <c r="C43" s="205">
        <v>45979</v>
      </c>
      <c r="D43">
        <v>54</v>
      </c>
      <c r="E43" t="s">
        <v>449</v>
      </c>
      <c r="F43" t="s">
        <v>420</v>
      </c>
      <c r="G43" t="s">
        <v>429</v>
      </c>
      <c r="H43">
        <v>7979</v>
      </c>
      <c r="I43">
        <v>279500</v>
      </c>
      <c r="J43">
        <v>0</v>
      </c>
      <c r="K43" t="s">
        <v>414</v>
      </c>
      <c r="L43" t="s">
        <v>415</v>
      </c>
      <c r="M43" t="s">
        <v>416</v>
      </c>
      <c r="N43" t="s">
        <v>417</v>
      </c>
    </row>
    <row r="44" spans="1:14" x14ac:dyDescent="0.35">
      <c r="A44">
        <v>52204</v>
      </c>
      <c r="B44" t="s">
        <v>446</v>
      </c>
      <c r="C44" s="205">
        <v>45993</v>
      </c>
      <c r="D44">
        <v>318</v>
      </c>
      <c r="E44" t="s">
        <v>447</v>
      </c>
      <c r="F44" t="s">
        <v>448</v>
      </c>
      <c r="G44" t="s">
        <v>433</v>
      </c>
      <c r="H44">
        <v>300001373</v>
      </c>
      <c r="I44">
        <v>339775</v>
      </c>
      <c r="J44">
        <v>0</v>
      </c>
      <c r="K44" t="s">
        <v>414</v>
      </c>
      <c r="L44" t="s">
        <v>415</v>
      </c>
      <c r="M44" t="s">
        <v>416</v>
      </c>
      <c r="N44" t="s">
        <v>417</v>
      </c>
    </row>
    <row r="45" spans="1:14" x14ac:dyDescent="0.35">
      <c r="A45">
        <v>52204</v>
      </c>
      <c r="B45" t="s">
        <v>446</v>
      </c>
      <c r="C45" s="205">
        <v>45995</v>
      </c>
      <c r="D45">
        <v>327</v>
      </c>
      <c r="E45" t="s">
        <v>449</v>
      </c>
      <c r="F45" t="s">
        <v>420</v>
      </c>
      <c r="G45" t="s">
        <v>429</v>
      </c>
      <c r="H45">
        <v>8348</v>
      </c>
      <c r="I45">
        <v>170400</v>
      </c>
      <c r="J45">
        <v>0</v>
      </c>
      <c r="K45" t="s">
        <v>414</v>
      </c>
      <c r="L45" t="s">
        <v>415</v>
      </c>
      <c r="M45" t="s">
        <v>416</v>
      </c>
      <c r="N45" t="s">
        <v>417</v>
      </c>
    </row>
    <row r="46" spans="1:14" x14ac:dyDescent="0.35">
      <c r="A46">
        <v>52204</v>
      </c>
      <c r="B46" t="s">
        <v>446</v>
      </c>
      <c r="C46" s="205">
        <v>45995</v>
      </c>
      <c r="D46">
        <v>327</v>
      </c>
      <c r="E46" t="s">
        <v>449</v>
      </c>
      <c r="F46" t="s">
        <v>420</v>
      </c>
      <c r="G46" t="s">
        <v>429</v>
      </c>
      <c r="H46">
        <v>8348</v>
      </c>
      <c r="I46">
        <v>115650</v>
      </c>
      <c r="J46">
        <v>0</v>
      </c>
      <c r="K46" t="s">
        <v>414</v>
      </c>
      <c r="L46" t="s">
        <v>415</v>
      </c>
      <c r="M46" t="s">
        <v>416</v>
      </c>
      <c r="N46" t="s">
        <v>417</v>
      </c>
    </row>
    <row r="47" spans="1:14" x14ac:dyDescent="0.35">
      <c r="A47">
        <v>52204</v>
      </c>
      <c r="B47" t="s">
        <v>446</v>
      </c>
      <c r="C47" s="205">
        <v>46024</v>
      </c>
      <c r="D47">
        <v>704</v>
      </c>
      <c r="E47" t="s">
        <v>447</v>
      </c>
      <c r="F47" t="s">
        <v>448</v>
      </c>
      <c r="G47" t="s">
        <v>433</v>
      </c>
      <c r="H47">
        <v>300001392</v>
      </c>
      <c r="I47">
        <v>348178</v>
      </c>
      <c r="J47">
        <v>0</v>
      </c>
      <c r="K47" t="s">
        <v>414</v>
      </c>
      <c r="L47" t="s">
        <v>415</v>
      </c>
      <c r="M47" t="s">
        <v>416</v>
      </c>
      <c r="N47" t="s">
        <v>417</v>
      </c>
    </row>
    <row r="48" spans="1:14" x14ac:dyDescent="0.35">
      <c r="A48">
        <v>52204</v>
      </c>
      <c r="B48" t="s">
        <v>446</v>
      </c>
      <c r="C48" s="205">
        <v>46045</v>
      </c>
      <c r="D48">
        <v>392</v>
      </c>
      <c r="E48" t="s">
        <v>450</v>
      </c>
      <c r="F48" t="s">
        <v>420</v>
      </c>
      <c r="G48" t="s">
        <v>429</v>
      </c>
      <c r="H48">
        <v>8416</v>
      </c>
      <c r="I48">
        <v>292600</v>
      </c>
      <c r="J48">
        <v>0</v>
      </c>
      <c r="K48" t="s">
        <v>414</v>
      </c>
      <c r="L48" t="s">
        <v>415</v>
      </c>
      <c r="M48" t="s">
        <v>416</v>
      </c>
      <c r="N48" t="s">
        <v>417</v>
      </c>
    </row>
    <row r="49" spans="1:14" x14ac:dyDescent="0.35">
      <c r="A49">
        <v>52204</v>
      </c>
      <c r="B49" t="s">
        <v>446</v>
      </c>
      <c r="C49" s="205">
        <v>46047</v>
      </c>
      <c r="D49">
        <v>1007</v>
      </c>
      <c r="E49" t="s">
        <v>447</v>
      </c>
      <c r="F49" t="s">
        <v>451</v>
      </c>
      <c r="G49" t="s">
        <v>452</v>
      </c>
      <c r="H49">
        <v>300000843</v>
      </c>
      <c r="I49">
        <v>380000</v>
      </c>
      <c r="J49">
        <v>0</v>
      </c>
      <c r="K49" t="s">
        <v>414</v>
      </c>
      <c r="L49" t="s">
        <v>415</v>
      </c>
      <c r="M49" t="s">
        <v>416</v>
      </c>
      <c r="N49" t="s">
        <v>417</v>
      </c>
    </row>
    <row r="50" spans="1:14" x14ac:dyDescent="0.35">
      <c r="A50">
        <v>52204</v>
      </c>
      <c r="B50" t="s">
        <v>446</v>
      </c>
      <c r="C50" s="205">
        <v>46055</v>
      </c>
      <c r="D50">
        <v>1381</v>
      </c>
      <c r="E50" t="s">
        <v>447</v>
      </c>
      <c r="F50" t="s">
        <v>448</v>
      </c>
      <c r="G50" t="s">
        <v>433</v>
      </c>
      <c r="H50">
        <v>300001414</v>
      </c>
      <c r="I50">
        <v>358083</v>
      </c>
      <c r="J50">
        <v>0</v>
      </c>
      <c r="K50" t="s">
        <v>414</v>
      </c>
      <c r="L50" t="s">
        <v>415</v>
      </c>
      <c r="M50" t="s">
        <v>416</v>
      </c>
      <c r="N50" t="s">
        <v>417</v>
      </c>
    </row>
    <row r="51" spans="1:14" x14ac:dyDescent="0.35">
      <c r="A51">
        <v>52204</v>
      </c>
      <c r="B51" t="s">
        <v>446</v>
      </c>
      <c r="C51" s="205">
        <v>46079</v>
      </c>
      <c r="D51">
        <v>608</v>
      </c>
      <c r="E51" t="s">
        <v>449</v>
      </c>
      <c r="F51" t="s">
        <v>420</v>
      </c>
      <c r="G51" t="s">
        <v>429</v>
      </c>
      <c r="H51">
        <v>8626</v>
      </c>
      <c r="I51">
        <v>300918</v>
      </c>
      <c r="J51">
        <v>0</v>
      </c>
      <c r="K51" t="s">
        <v>414</v>
      </c>
      <c r="L51" t="s">
        <v>415</v>
      </c>
      <c r="M51" t="s">
        <v>416</v>
      </c>
      <c r="N51" t="s">
        <v>417</v>
      </c>
    </row>
    <row r="52" spans="1:14" x14ac:dyDescent="0.35">
      <c r="A52">
        <v>52204</v>
      </c>
      <c r="B52" t="s">
        <v>446</v>
      </c>
      <c r="C52" s="205">
        <v>46083</v>
      </c>
      <c r="D52">
        <v>1490</v>
      </c>
      <c r="E52" t="s">
        <v>447</v>
      </c>
      <c r="F52" t="s">
        <v>451</v>
      </c>
      <c r="G52" t="s">
        <v>452</v>
      </c>
      <c r="H52">
        <v>300000870</v>
      </c>
      <c r="I52">
        <v>80000</v>
      </c>
      <c r="J52">
        <v>0</v>
      </c>
      <c r="K52" t="s">
        <v>414</v>
      </c>
      <c r="L52" t="s">
        <v>415</v>
      </c>
      <c r="M52" t="s">
        <v>416</v>
      </c>
      <c r="N52" t="s">
        <v>417</v>
      </c>
    </row>
    <row r="53" spans="1:14" x14ac:dyDescent="0.35">
      <c r="A53">
        <v>52204</v>
      </c>
      <c r="B53" t="s">
        <v>446</v>
      </c>
      <c r="C53" s="205">
        <v>46084</v>
      </c>
      <c r="D53">
        <v>2072</v>
      </c>
      <c r="E53" t="s">
        <v>447</v>
      </c>
      <c r="F53" t="s">
        <v>448</v>
      </c>
      <c r="G53" t="s">
        <v>433</v>
      </c>
      <c r="H53">
        <v>300001433</v>
      </c>
      <c r="I53">
        <v>370000</v>
      </c>
      <c r="J53">
        <v>0</v>
      </c>
      <c r="K53" t="s">
        <v>414</v>
      </c>
      <c r="L53" t="s">
        <v>415</v>
      </c>
      <c r="M53" t="s">
        <v>416</v>
      </c>
      <c r="N53" t="s">
        <v>417</v>
      </c>
    </row>
    <row r="54" spans="1:14" x14ac:dyDescent="0.35">
      <c r="A54">
        <v>52204</v>
      </c>
      <c r="B54" t="s">
        <v>446</v>
      </c>
      <c r="C54" s="205">
        <v>46098</v>
      </c>
      <c r="D54">
        <v>802</v>
      </c>
      <c r="E54" t="s">
        <v>453</v>
      </c>
      <c r="F54" t="s">
        <v>420</v>
      </c>
      <c r="G54" t="s">
        <v>429</v>
      </c>
      <c r="H54">
        <v>8830</v>
      </c>
      <c r="I54">
        <v>601000</v>
      </c>
      <c r="J54">
        <v>0</v>
      </c>
      <c r="K54" t="s">
        <v>414</v>
      </c>
      <c r="L54" t="s">
        <v>415</v>
      </c>
      <c r="M54" t="s">
        <v>416</v>
      </c>
      <c r="N54" t="s">
        <v>417</v>
      </c>
    </row>
    <row r="55" spans="1:14" x14ac:dyDescent="0.35">
      <c r="A55">
        <v>52204</v>
      </c>
      <c r="B55" t="s">
        <v>446</v>
      </c>
      <c r="C55" s="205">
        <v>46113</v>
      </c>
      <c r="D55">
        <v>2174</v>
      </c>
      <c r="E55" t="s">
        <v>447</v>
      </c>
      <c r="F55" t="s">
        <v>448</v>
      </c>
      <c r="G55" t="s">
        <v>433</v>
      </c>
      <c r="H55">
        <v>300001454</v>
      </c>
      <c r="I55">
        <v>370000</v>
      </c>
      <c r="J55">
        <v>0</v>
      </c>
      <c r="K55" t="s">
        <v>414</v>
      </c>
      <c r="L55" t="s">
        <v>415</v>
      </c>
      <c r="M55" t="s">
        <v>416</v>
      </c>
      <c r="N55" t="s">
        <v>417</v>
      </c>
    </row>
    <row r="56" spans="1:14" x14ac:dyDescent="0.35">
      <c r="A56">
        <v>52204</v>
      </c>
      <c r="B56" t="s">
        <v>446</v>
      </c>
      <c r="C56" s="205">
        <v>46113</v>
      </c>
      <c r="D56">
        <v>2174</v>
      </c>
      <c r="E56" t="s">
        <v>447</v>
      </c>
      <c r="F56" t="s">
        <v>448</v>
      </c>
      <c r="G56" t="s">
        <v>433</v>
      </c>
      <c r="H56">
        <v>300001454</v>
      </c>
      <c r="I56">
        <v>420000</v>
      </c>
      <c r="J56">
        <v>0</v>
      </c>
      <c r="K56" t="s">
        <v>414</v>
      </c>
      <c r="L56" t="s">
        <v>415</v>
      </c>
      <c r="M56" t="s">
        <v>416</v>
      </c>
      <c r="N56" t="s">
        <v>417</v>
      </c>
    </row>
    <row r="57" spans="1:14" x14ac:dyDescent="0.35">
      <c r="A57">
        <v>52204</v>
      </c>
      <c r="B57" t="s">
        <v>446</v>
      </c>
      <c r="C57" s="205">
        <v>46139</v>
      </c>
      <c r="D57">
        <v>1076</v>
      </c>
      <c r="E57" t="s">
        <v>450</v>
      </c>
      <c r="F57" t="s">
        <v>420</v>
      </c>
      <c r="G57" t="s">
        <v>429</v>
      </c>
      <c r="H57">
        <v>9103</v>
      </c>
      <c r="I57">
        <v>437000</v>
      </c>
      <c r="J57">
        <v>0</v>
      </c>
      <c r="K57" t="s">
        <v>414</v>
      </c>
      <c r="L57" t="s">
        <v>415</v>
      </c>
      <c r="M57" t="s">
        <v>416</v>
      </c>
      <c r="N57" t="s">
        <v>417</v>
      </c>
    </row>
    <row r="58" spans="1:14" x14ac:dyDescent="0.35">
      <c r="A58">
        <v>52204</v>
      </c>
      <c r="B58" t="s">
        <v>446</v>
      </c>
      <c r="C58" s="205">
        <v>46145</v>
      </c>
      <c r="D58">
        <v>2610</v>
      </c>
      <c r="E58" t="s">
        <v>447</v>
      </c>
      <c r="F58" t="s">
        <v>451</v>
      </c>
      <c r="G58" t="s">
        <v>452</v>
      </c>
      <c r="H58">
        <v>300000901</v>
      </c>
      <c r="I58">
        <v>570000</v>
      </c>
      <c r="J58">
        <v>0</v>
      </c>
      <c r="K58" t="s">
        <v>414</v>
      </c>
      <c r="L58" t="s">
        <v>415</v>
      </c>
      <c r="M58" t="s">
        <v>416</v>
      </c>
      <c r="N58" t="s">
        <v>417</v>
      </c>
    </row>
    <row r="59" spans="1:14" x14ac:dyDescent="0.35">
      <c r="A59">
        <v>52204</v>
      </c>
      <c r="B59" t="s">
        <v>446</v>
      </c>
      <c r="C59" s="205">
        <v>46147</v>
      </c>
      <c r="D59">
        <v>2725</v>
      </c>
      <c r="E59" t="s">
        <v>447</v>
      </c>
      <c r="F59" t="s">
        <v>448</v>
      </c>
      <c r="G59" t="s">
        <v>433</v>
      </c>
      <c r="H59">
        <v>300001481</v>
      </c>
      <c r="I59">
        <v>370000</v>
      </c>
      <c r="J59">
        <v>0</v>
      </c>
      <c r="K59" t="s">
        <v>414</v>
      </c>
      <c r="L59" t="s">
        <v>415</v>
      </c>
      <c r="M59" t="s">
        <v>416</v>
      </c>
      <c r="N59" t="s">
        <v>417</v>
      </c>
    </row>
    <row r="60" spans="1:14" x14ac:dyDescent="0.35">
      <c r="A60">
        <v>52204</v>
      </c>
      <c r="B60" t="s">
        <v>446</v>
      </c>
      <c r="C60" s="205">
        <v>46149</v>
      </c>
      <c r="D60">
        <v>2739</v>
      </c>
      <c r="E60" t="s">
        <v>447</v>
      </c>
      <c r="F60" t="s">
        <v>454</v>
      </c>
      <c r="G60" t="s">
        <v>433</v>
      </c>
      <c r="H60">
        <v>400000693</v>
      </c>
      <c r="I60">
        <v>30000</v>
      </c>
      <c r="J60">
        <v>0</v>
      </c>
      <c r="K60" t="s">
        <v>414</v>
      </c>
      <c r="L60" t="s">
        <v>415</v>
      </c>
      <c r="M60" t="s">
        <v>416</v>
      </c>
      <c r="N60" t="s">
        <v>417</v>
      </c>
    </row>
    <row r="61" spans="1:14" x14ac:dyDescent="0.35">
      <c r="A61">
        <v>52204</v>
      </c>
      <c r="B61" t="s">
        <v>446</v>
      </c>
      <c r="C61" s="205">
        <v>46169</v>
      </c>
      <c r="D61">
        <v>1269</v>
      </c>
      <c r="E61" t="s">
        <v>450</v>
      </c>
      <c r="F61" t="s">
        <v>420</v>
      </c>
      <c r="G61" t="s">
        <v>429</v>
      </c>
      <c r="H61">
        <v>9294</v>
      </c>
      <c r="I61">
        <v>437000</v>
      </c>
      <c r="J61">
        <v>0</v>
      </c>
      <c r="K61" t="s">
        <v>414</v>
      </c>
      <c r="L61" t="s">
        <v>415</v>
      </c>
      <c r="M61" t="s">
        <v>416</v>
      </c>
      <c r="N61" t="s">
        <v>417</v>
      </c>
    </row>
    <row r="62" spans="1:14" x14ac:dyDescent="0.35">
      <c r="A62">
        <v>52302</v>
      </c>
      <c r="B62" t="s">
        <v>81</v>
      </c>
      <c r="C62" s="205">
        <v>45976</v>
      </c>
      <c r="D62">
        <v>203</v>
      </c>
      <c r="E62" t="s">
        <v>455</v>
      </c>
      <c r="F62" t="s">
        <v>456</v>
      </c>
      <c r="G62" t="s">
        <v>433</v>
      </c>
      <c r="H62">
        <v>217201892519</v>
      </c>
      <c r="I62">
        <v>26131.51</v>
      </c>
      <c r="J62">
        <v>0</v>
      </c>
      <c r="K62" t="s">
        <v>414</v>
      </c>
      <c r="L62" t="s">
        <v>415</v>
      </c>
      <c r="M62" t="s">
        <v>416</v>
      </c>
      <c r="N62" t="s">
        <v>417</v>
      </c>
    </row>
    <row r="63" spans="1:14" x14ac:dyDescent="0.35">
      <c r="A63">
        <v>52302</v>
      </c>
      <c r="B63" t="s">
        <v>81</v>
      </c>
      <c r="C63" s="205">
        <v>45976</v>
      </c>
      <c r="D63">
        <v>203</v>
      </c>
      <c r="E63" t="s">
        <v>457</v>
      </c>
      <c r="F63" t="s">
        <v>456</v>
      </c>
      <c r="G63" t="s">
        <v>433</v>
      </c>
      <c r="H63">
        <v>217201892519</v>
      </c>
      <c r="I63">
        <v>15494.56</v>
      </c>
      <c r="J63">
        <v>0</v>
      </c>
      <c r="K63" t="s">
        <v>414</v>
      </c>
      <c r="L63" t="s">
        <v>415</v>
      </c>
      <c r="M63" t="s">
        <v>416</v>
      </c>
      <c r="N63" t="s">
        <v>417</v>
      </c>
    </row>
    <row r="64" spans="1:14" x14ac:dyDescent="0.35">
      <c r="A64">
        <v>52302</v>
      </c>
      <c r="B64" t="s">
        <v>81</v>
      </c>
      <c r="C64" s="205">
        <v>45976</v>
      </c>
      <c r="D64">
        <v>203</v>
      </c>
      <c r="E64" t="s">
        <v>458</v>
      </c>
      <c r="F64" t="s">
        <v>456</v>
      </c>
      <c r="G64" t="s">
        <v>433</v>
      </c>
      <c r="H64">
        <v>217201892519</v>
      </c>
      <c r="I64">
        <v>58594.18</v>
      </c>
      <c r="J64">
        <v>0</v>
      </c>
      <c r="K64" t="s">
        <v>414</v>
      </c>
      <c r="L64" t="s">
        <v>415</v>
      </c>
      <c r="M64" t="s">
        <v>416</v>
      </c>
      <c r="N64" t="s">
        <v>417</v>
      </c>
    </row>
    <row r="65" spans="1:14" x14ac:dyDescent="0.35">
      <c r="A65">
        <v>52302</v>
      </c>
      <c r="B65" t="s">
        <v>81</v>
      </c>
      <c r="C65" s="205">
        <v>45976</v>
      </c>
      <c r="D65">
        <v>203</v>
      </c>
      <c r="E65" t="s">
        <v>459</v>
      </c>
      <c r="F65" t="s">
        <v>456</v>
      </c>
      <c r="G65" t="s">
        <v>433</v>
      </c>
      <c r="H65">
        <v>217201892519</v>
      </c>
      <c r="I65">
        <v>17664.349999999999</v>
      </c>
      <c r="J65">
        <v>0</v>
      </c>
      <c r="K65" t="s">
        <v>414</v>
      </c>
      <c r="L65" t="s">
        <v>415</v>
      </c>
      <c r="M65" t="s">
        <v>416</v>
      </c>
      <c r="N65" t="s">
        <v>417</v>
      </c>
    </row>
    <row r="66" spans="1:14" x14ac:dyDescent="0.35">
      <c r="A66">
        <v>52302</v>
      </c>
      <c r="B66" t="s">
        <v>81</v>
      </c>
      <c r="C66" s="205">
        <v>45976</v>
      </c>
      <c r="D66">
        <v>203</v>
      </c>
      <c r="E66" t="s">
        <v>460</v>
      </c>
      <c r="F66" t="s">
        <v>456</v>
      </c>
      <c r="G66" t="s">
        <v>433</v>
      </c>
      <c r="H66">
        <v>217201892519</v>
      </c>
      <c r="I66">
        <v>1585.33</v>
      </c>
      <c r="J66">
        <v>0</v>
      </c>
      <c r="K66" t="s">
        <v>414</v>
      </c>
      <c r="L66" t="s">
        <v>415</v>
      </c>
      <c r="M66" t="s">
        <v>416</v>
      </c>
      <c r="N66" t="s">
        <v>417</v>
      </c>
    </row>
    <row r="67" spans="1:14" x14ac:dyDescent="0.35">
      <c r="A67">
        <v>52302</v>
      </c>
      <c r="B67" t="s">
        <v>81</v>
      </c>
      <c r="C67" s="205">
        <v>45991</v>
      </c>
      <c r="D67">
        <v>351</v>
      </c>
      <c r="E67" t="s">
        <v>461</v>
      </c>
      <c r="F67" t="s">
        <v>456</v>
      </c>
      <c r="G67" t="s">
        <v>433</v>
      </c>
      <c r="H67">
        <v>217201905588</v>
      </c>
      <c r="I67">
        <v>27897.85</v>
      </c>
      <c r="J67">
        <v>0</v>
      </c>
      <c r="K67" t="s">
        <v>414</v>
      </c>
      <c r="L67" t="s">
        <v>415</v>
      </c>
      <c r="M67" t="s">
        <v>416</v>
      </c>
      <c r="N67" t="s">
        <v>417</v>
      </c>
    </row>
    <row r="68" spans="1:14" x14ac:dyDescent="0.35">
      <c r="A68">
        <v>52302</v>
      </c>
      <c r="B68" t="s">
        <v>81</v>
      </c>
      <c r="C68" s="205">
        <v>45991</v>
      </c>
      <c r="D68">
        <v>351</v>
      </c>
      <c r="E68" t="s">
        <v>462</v>
      </c>
      <c r="F68" t="s">
        <v>456</v>
      </c>
      <c r="G68" t="s">
        <v>433</v>
      </c>
      <c r="H68">
        <v>217201905588</v>
      </c>
      <c r="I68">
        <v>56608.92</v>
      </c>
      <c r="J68">
        <v>0</v>
      </c>
      <c r="K68" t="s">
        <v>414</v>
      </c>
      <c r="L68" t="s">
        <v>415</v>
      </c>
      <c r="M68" t="s">
        <v>416</v>
      </c>
      <c r="N68" t="s">
        <v>417</v>
      </c>
    </row>
    <row r="69" spans="1:14" x14ac:dyDescent="0.35">
      <c r="A69">
        <v>52302</v>
      </c>
      <c r="B69" t="s">
        <v>81</v>
      </c>
      <c r="C69" s="205">
        <v>45991</v>
      </c>
      <c r="D69">
        <v>351</v>
      </c>
      <c r="E69" t="s">
        <v>463</v>
      </c>
      <c r="F69" t="s">
        <v>456</v>
      </c>
      <c r="G69" t="s">
        <v>433</v>
      </c>
      <c r="H69">
        <v>217201905588</v>
      </c>
      <c r="I69">
        <v>1130.29</v>
      </c>
      <c r="J69">
        <v>0</v>
      </c>
      <c r="K69" t="s">
        <v>414</v>
      </c>
      <c r="L69" t="s">
        <v>415</v>
      </c>
      <c r="M69" t="s">
        <v>416</v>
      </c>
      <c r="N69" t="s">
        <v>417</v>
      </c>
    </row>
    <row r="70" spans="1:14" x14ac:dyDescent="0.35">
      <c r="A70">
        <v>52302</v>
      </c>
      <c r="B70" t="s">
        <v>81</v>
      </c>
      <c r="C70" s="205">
        <v>45991</v>
      </c>
      <c r="D70">
        <v>351</v>
      </c>
      <c r="E70" t="s">
        <v>459</v>
      </c>
      <c r="F70" t="s">
        <v>456</v>
      </c>
      <c r="G70" t="s">
        <v>433</v>
      </c>
      <c r="H70">
        <v>217201905588</v>
      </c>
      <c r="I70">
        <v>14617.01</v>
      </c>
      <c r="J70">
        <v>0</v>
      </c>
      <c r="K70" t="s">
        <v>414</v>
      </c>
      <c r="L70" t="s">
        <v>415</v>
      </c>
      <c r="M70" t="s">
        <v>416</v>
      </c>
      <c r="N70" t="s">
        <v>417</v>
      </c>
    </row>
    <row r="71" spans="1:14" x14ac:dyDescent="0.35">
      <c r="A71">
        <v>52302</v>
      </c>
      <c r="B71" t="s">
        <v>81</v>
      </c>
      <c r="C71" s="205">
        <v>45995</v>
      </c>
      <c r="D71">
        <v>161</v>
      </c>
      <c r="E71" t="s">
        <v>464</v>
      </c>
      <c r="F71" t="s">
        <v>420</v>
      </c>
      <c r="G71" t="s">
        <v>429</v>
      </c>
      <c r="H71">
        <v>8180</v>
      </c>
      <c r="I71">
        <v>30000</v>
      </c>
      <c r="J71">
        <v>0</v>
      </c>
      <c r="K71" t="s">
        <v>414</v>
      </c>
      <c r="L71" t="s">
        <v>415</v>
      </c>
      <c r="M71" t="s">
        <v>416</v>
      </c>
      <c r="N71" t="s">
        <v>417</v>
      </c>
    </row>
    <row r="72" spans="1:14" x14ac:dyDescent="0.35">
      <c r="A72">
        <v>52302</v>
      </c>
      <c r="B72" t="s">
        <v>81</v>
      </c>
      <c r="C72" s="205">
        <v>46006</v>
      </c>
      <c r="D72">
        <v>685</v>
      </c>
      <c r="E72" t="s">
        <v>461</v>
      </c>
      <c r="F72" t="s">
        <v>456</v>
      </c>
      <c r="G72" t="s">
        <v>433</v>
      </c>
      <c r="H72">
        <v>217201931277</v>
      </c>
      <c r="I72">
        <v>49751.23</v>
      </c>
      <c r="J72">
        <v>0</v>
      </c>
      <c r="K72" t="s">
        <v>414</v>
      </c>
      <c r="L72" t="s">
        <v>415</v>
      </c>
      <c r="M72" t="s">
        <v>416</v>
      </c>
      <c r="N72" t="s">
        <v>417</v>
      </c>
    </row>
    <row r="73" spans="1:14" x14ac:dyDescent="0.35">
      <c r="A73">
        <v>52302</v>
      </c>
      <c r="B73" t="s">
        <v>81</v>
      </c>
      <c r="C73" s="205">
        <v>46006</v>
      </c>
      <c r="D73">
        <v>685</v>
      </c>
      <c r="E73" t="s">
        <v>465</v>
      </c>
      <c r="F73" t="s">
        <v>456</v>
      </c>
      <c r="G73" t="s">
        <v>433</v>
      </c>
      <c r="H73">
        <v>217201931277</v>
      </c>
      <c r="I73">
        <v>130554.16</v>
      </c>
      <c r="J73">
        <v>0</v>
      </c>
      <c r="K73" t="s">
        <v>414</v>
      </c>
      <c r="L73" t="s">
        <v>415</v>
      </c>
      <c r="M73" t="s">
        <v>416</v>
      </c>
      <c r="N73" t="s">
        <v>417</v>
      </c>
    </row>
    <row r="74" spans="1:14" x14ac:dyDescent="0.35">
      <c r="A74">
        <v>52302</v>
      </c>
      <c r="B74" t="s">
        <v>81</v>
      </c>
      <c r="C74" s="205">
        <v>46006</v>
      </c>
      <c r="D74">
        <v>685</v>
      </c>
      <c r="E74" t="s">
        <v>463</v>
      </c>
      <c r="F74" t="s">
        <v>456</v>
      </c>
      <c r="G74" t="s">
        <v>433</v>
      </c>
      <c r="H74">
        <v>217201931277</v>
      </c>
      <c r="I74">
        <v>2518.0300000000002</v>
      </c>
      <c r="J74">
        <v>0</v>
      </c>
      <c r="K74" t="s">
        <v>414</v>
      </c>
      <c r="L74" t="s">
        <v>415</v>
      </c>
      <c r="M74" t="s">
        <v>416</v>
      </c>
      <c r="N74" t="s">
        <v>417</v>
      </c>
    </row>
    <row r="75" spans="1:14" x14ac:dyDescent="0.35">
      <c r="A75">
        <v>52302</v>
      </c>
      <c r="B75" t="s">
        <v>81</v>
      </c>
      <c r="C75" s="205">
        <v>46006</v>
      </c>
      <c r="D75">
        <v>685</v>
      </c>
      <c r="E75" t="s">
        <v>459</v>
      </c>
      <c r="F75" t="s">
        <v>456</v>
      </c>
      <c r="G75" t="s">
        <v>433</v>
      </c>
      <c r="H75">
        <v>217201931277</v>
      </c>
      <c r="I75">
        <v>34047.82</v>
      </c>
      <c r="J75">
        <v>0</v>
      </c>
      <c r="K75" t="s">
        <v>414</v>
      </c>
      <c r="L75" t="s">
        <v>415</v>
      </c>
      <c r="M75" t="s">
        <v>416</v>
      </c>
      <c r="N75" t="s">
        <v>417</v>
      </c>
    </row>
    <row r="76" spans="1:14" x14ac:dyDescent="0.35">
      <c r="A76">
        <v>52302</v>
      </c>
      <c r="B76" t="s">
        <v>81</v>
      </c>
      <c r="C76" s="205">
        <v>46022</v>
      </c>
      <c r="D76">
        <v>695</v>
      </c>
      <c r="E76" t="s">
        <v>466</v>
      </c>
      <c r="F76" t="s">
        <v>456</v>
      </c>
      <c r="G76" t="s">
        <v>433</v>
      </c>
      <c r="H76">
        <v>217201945178</v>
      </c>
      <c r="I76">
        <v>39470.15</v>
      </c>
      <c r="J76">
        <v>0</v>
      </c>
      <c r="K76" t="s">
        <v>414</v>
      </c>
      <c r="L76" t="s">
        <v>415</v>
      </c>
      <c r="M76" t="s">
        <v>416</v>
      </c>
      <c r="N76" t="s">
        <v>417</v>
      </c>
    </row>
    <row r="77" spans="1:14" x14ac:dyDescent="0.35">
      <c r="A77">
        <v>52302</v>
      </c>
      <c r="B77" t="s">
        <v>81</v>
      </c>
      <c r="C77" s="205">
        <v>46022</v>
      </c>
      <c r="D77">
        <v>695</v>
      </c>
      <c r="E77" t="s">
        <v>467</v>
      </c>
      <c r="F77" t="s">
        <v>456</v>
      </c>
      <c r="G77" t="s">
        <v>433</v>
      </c>
      <c r="H77">
        <v>217201945178</v>
      </c>
      <c r="I77">
        <v>81458.34</v>
      </c>
      <c r="J77">
        <v>0</v>
      </c>
      <c r="K77" t="s">
        <v>414</v>
      </c>
      <c r="L77" t="s">
        <v>415</v>
      </c>
      <c r="M77" t="s">
        <v>416</v>
      </c>
      <c r="N77" t="s">
        <v>417</v>
      </c>
    </row>
    <row r="78" spans="1:14" x14ac:dyDescent="0.35">
      <c r="A78">
        <v>52302</v>
      </c>
      <c r="B78" t="s">
        <v>81</v>
      </c>
      <c r="C78" s="205">
        <v>46022</v>
      </c>
      <c r="D78">
        <v>695</v>
      </c>
      <c r="E78" t="s">
        <v>463</v>
      </c>
      <c r="F78" t="s">
        <v>456</v>
      </c>
      <c r="G78" t="s">
        <v>433</v>
      </c>
      <c r="H78">
        <v>217201945178</v>
      </c>
      <c r="I78">
        <v>1643.68</v>
      </c>
      <c r="J78">
        <v>0</v>
      </c>
      <c r="K78" t="s">
        <v>414</v>
      </c>
      <c r="L78" t="s">
        <v>415</v>
      </c>
      <c r="M78" t="s">
        <v>416</v>
      </c>
      <c r="N78" t="s">
        <v>417</v>
      </c>
    </row>
    <row r="79" spans="1:14" x14ac:dyDescent="0.35">
      <c r="A79">
        <v>52302</v>
      </c>
      <c r="B79" t="s">
        <v>81</v>
      </c>
      <c r="C79" s="205">
        <v>46022</v>
      </c>
      <c r="D79">
        <v>695</v>
      </c>
      <c r="E79" t="s">
        <v>459</v>
      </c>
      <c r="F79" t="s">
        <v>456</v>
      </c>
      <c r="G79" t="s">
        <v>433</v>
      </c>
      <c r="H79">
        <v>217201945178</v>
      </c>
      <c r="I79">
        <v>21975.63</v>
      </c>
      <c r="J79">
        <v>0</v>
      </c>
      <c r="K79" t="s">
        <v>414</v>
      </c>
      <c r="L79" t="s">
        <v>415</v>
      </c>
      <c r="M79" t="s">
        <v>416</v>
      </c>
      <c r="N79" t="s">
        <v>417</v>
      </c>
    </row>
    <row r="80" spans="1:14" x14ac:dyDescent="0.35">
      <c r="A80">
        <v>52302</v>
      </c>
      <c r="B80" t="s">
        <v>81</v>
      </c>
      <c r="C80" s="205">
        <v>46028</v>
      </c>
      <c r="D80">
        <v>1059</v>
      </c>
      <c r="E80" t="s">
        <v>468</v>
      </c>
      <c r="F80" t="s">
        <v>420</v>
      </c>
      <c r="G80" t="s">
        <v>429</v>
      </c>
      <c r="H80">
        <v>9087</v>
      </c>
      <c r="I80">
        <v>81007</v>
      </c>
      <c r="J80">
        <v>0</v>
      </c>
      <c r="K80" t="s">
        <v>414</v>
      </c>
      <c r="L80" t="s">
        <v>415</v>
      </c>
      <c r="M80" t="s">
        <v>416</v>
      </c>
      <c r="N80" t="s">
        <v>417</v>
      </c>
    </row>
    <row r="81" spans="1:14" x14ac:dyDescent="0.35">
      <c r="A81">
        <v>52302</v>
      </c>
      <c r="B81" t="s">
        <v>81</v>
      </c>
      <c r="C81" s="205">
        <v>46028</v>
      </c>
      <c r="D81">
        <v>1064</v>
      </c>
      <c r="E81" t="s">
        <v>468</v>
      </c>
      <c r="F81" t="s">
        <v>420</v>
      </c>
      <c r="G81" t="s">
        <v>429</v>
      </c>
      <c r="H81">
        <v>9092</v>
      </c>
      <c r="I81">
        <v>20900</v>
      </c>
      <c r="J81">
        <v>0</v>
      </c>
      <c r="K81" t="s">
        <v>414</v>
      </c>
      <c r="L81" t="s">
        <v>415</v>
      </c>
      <c r="M81" t="s">
        <v>416</v>
      </c>
      <c r="N81" t="s">
        <v>417</v>
      </c>
    </row>
    <row r="82" spans="1:14" x14ac:dyDescent="0.35">
      <c r="A82">
        <v>52302</v>
      </c>
      <c r="B82" t="s">
        <v>81</v>
      </c>
      <c r="C82" s="205">
        <v>46040</v>
      </c>
      <c r="D82">
        <v>919</v>
      </c>
      <c r="E82" t="s">
        <v>469</v>
      </c>
      <c r="F82" t="s">
        <v>456</v>
      </c>
      <c r="G82" t="s">
        <v>433</v>
      </c>
      <c r="H82">
        <v>142000009935</v>
      </c>
      <c r="I82">
        <v>14310.76</v>
      </c>
      <c r="J82">
        <v>0</v>
      </c>
      <c r="K82" t="s">
        <v>414</v>
      </c>
      <c r="L82" t="s">
        <v>415</v>
      </c>
      <c r="M82" t="s">
        <v>416</v>
      </c>
      <c r="N82" t="s">
        <v>417</v>
      </c>
    </row>
    <row r="83" spans="1:14" x14ac:dyDescent="0.35">
      <c r="A83">
        <v>52302</v>
      </c>
      <c r="B83" t="s">
        <v>81</v>
      </c>
      <c r="C83" s="205">
        <v>46040</v>
      </c>
      <c r="D83">
        <v>919</v>
      </c>
      <c r="E83" t="s">
        <v>469</v>
      </c>
      <c r="F83" t="s">
        <v>456</v>
      </c>
      <c r="G83" t="s">
        <v>433</v>
      </c>
      <c r="H83">
        <v>142000009935</v>
      </c>
      <c r="I83">
        <v>15394.57</v>
      </c>
      <c r="J83">
        <v>0</v>
      </c>
      <c r="K83" t="s">
        <v>414</v>
      </c>
      <c r="L83" t="s">
        <v>415</v>
      </c>
      <c r="M83" t="s">
        <v>416</v>
      </c>
      <c r="N83" t="s">
        <v>417</v>
      </c>
    </row>
    <row r="84" spans="1:14" x14ac:dyDescent="0.35">
      <c r="A84">
        <v>52302</v>
      </c>
      <c r="B84" t="s">
        <v>81</v>
      </c>
      <c r="C84" s="205">
        <v>46040</v>
      </c>
      <c r="D84">
        <v>919</v>
      </c>
      <c r="E84" t="s">
        <v>470</v>
      </c>
      <c r="F84" t="s">
        <v>456</v>
      </c>
      <c r="G84" t="s">
        <v>433</v>
      </c>
      <c r="H84">
        <v>142000009935</v>
      </c>
      <c r="I84">
        <v>6440.09</v>
      </c>
      <c r="J84">
        <v>0</v>
      </c>
      <c r="K84" t="s">
        <v>414</v>
      </c>
      <c r="L84" t="s">
        <v>415</v>
      </c>
      <c r="M84" t="s">
        <v>416</v>
      </c>
      <c r="N84" t="s">
        <v>417</v>
      </c>
    </row>
    <row r="85" spans="1:14" x14ac:dyDescent="0.35">
      <c r="A85">
        <v>52302</v>
      </c>
      <c r="B85" t="s">
        <v>81</v>
      </c>
      <c r="C85" s="205">
        <v>46040</v>
      </c>
      <c r="D85">
        <v>919</v>
      </c>
      <c r="E85" t="s">
        <v>471</v>
      </c>
      <c r="F85" t="s">
        <v>456</v>
      </c>
      <c r="G85" t="s">
        <v>433</v>
      </c>
      <c r="H85">
        <v>142000009935</v>
      </c>
      <c r="I85">
        <v>394.49</v>
      </c>
      <c r="J85">
        <v>0</v>
      </c>
      <c r="K85" t="s">
        <v>414</v>
      </c>
      <c r="L85" t="s">
        <v>415</v>
      </c>
      <c r="M85" t="s">
        <v>416</v>
      </c>
      <c r="N85" t="s">
        <v>417</v>
      </c>
    </row>
    <row r="86" spans="1:14" x14ac:dyDescent="0.35">
      <c r="A86">
        <v>52302</v>
      </c>
      <c r="B86" t="s">
        <v>81</v>
      </c>
      <c r="C86" s="205">
        <v>46040</v>
      </c>
      <c r="D86">
        <v>919</v>
      </c>
      <c r="E86" t="s">
        <v>472</v>
      </c>
      <c r="F86" t="s">
        <v>456</v>
      </c>
      <c r="G86" t="s">
        <v>433</v>
      </c>
      <c r="H86">
        <v>142000009935</v>
      </c>
      <c r="I86">
        <v>131.49</v>
      </c>
      <c r="J86">
        <v>0</v>
      </c>
      <c r="K86" t="s">
        <v>414</v>
      </c>
      <c r="L86" t="s">
        <v>415</v>
      </c>
      <c r="M86" t="s">
        <v>416</v>
      </c>
      <c r="N86" t="s">
        <v>417</v>
      </c>
    </row>
    <row r="87" spans="1:14" x14ac:dyDescent="0.35">
      <c r="A87">
        <v>52302</v>
      </c>
      <c r="B87" t="s">
        <v>81</v>
      </c>
      <c r="C87" s="205">
        <v>46044</v>
      </c>
      <c r="D87">
        <v>1057</v>
      </c>
      <c r="E87" t="s">
        <v>468</v>
      </c>
      <c r="F87" t="s">
        <v>420</v>
      </c>
      <c r="G87" t="s">
        <v>429</v>
      </c>
      <c r="H87">
        <v>9085</v>
      </c>
      <c r="I87">
        <v>7633.99</v>
      </c>
      <c r="J87">
        <v>0</v>
      </c>
      <c r="K87" t="s">
        <v>414</v>
      </c>
      <c r="L87" t="s">
        <v>415</v>
      </c>
      <c r="M87" t="s">
        <v>416</v>
      </c>
      <c r="N87" t="s">
        <v>417</v>
      </c>
    </row>
    <row r="88" spans="1:14" x14ac:dyDescent="0.35">
      <c r="A88">
        <v>52302</v>
      </c>
      <c r="B88" t="s">
        <v>81</v>
      </c>
      <c r="C88" s="205">
        <v>46048</v>
      </c>
      <c r="D88">
        <v>1062</v>
      </c>
      <c r="E88" t="s">
        <v>468</v>
      </c>
      <c r="F88" t="s">
        <v>420</v>
      </c>
      <c r="G88" t="s">
        <v>429</v>
      </c>
      <c r="H88">
        <v>9090</v>
      </c>
      <c r="I88">
        <v>7047.6</v>
      </c>
      <c r="J88">
        <v>0</v>
      </c>
      <c r="K88" t="s">
        <v>414</v>
      </c>
      <c r="L88" t="s">
        <v>415</v>
      </c>
      <c r="M88" t="s">
        <v>416</v>
      </c>
      <c r="N88" t="s">
        <v>417</v>
      </c>
    </row>
    <row r="89" spans="1:14" x14ac:dyDescent="0.35">
      <c r="A89">
        <v>52302</v>
      </c>
      <c r="B89" t="s">
        <v>81</v>
      </c>
      <c r="C89" s="205">
        <v>46048</v>
      </c>
      <c r="D89">
        <v>1108</v>
      </c>
      <c r="E89" t="s">
        <v>473</v>
      </c>
      <c r="F89" t="s">
        <v>420</v>
      </c>
      <c r="G89" t="s">
        <v>474</v>
      </c>
      <c r="H89">
        <v>4371</v>
      </c>
      <c r="I89">
        <v>9000</v>
      </c>
      <c r="J89">
        <v>0</v>
      </c>
      <c r="K89" t="s">
        <v>414</v>
      </c>
      <c r="L89" t="s">
        <v>415</v>
      </c>
      <c r="M89" t="s">
        <v>416</v>
      </c>
      <c r="N89" t="s">
        <v>417</v>
      </c>
    </row>
    <row r="90" spans="1:14" x14ac:dyDescent="0.35">
      <c r="A90">
        <v>52302</v>
      </c>
      <c r="B90" t="s">
        <v>81</v>
      </c>
      <c r="C90" s="205">
        <v>46053</v>
      </c>
      <c r="D90">
        <v>1323</v>
      </c>
      <c r="E90" t="s">
        <v>469</v>
      </c>
      <c r="F90" t="s">
        <v>456</v>
      </c>
      <c r="G90" t="s">
        <v>433</v>
      </c>
      <c r="H90">
        <v>142000021052</v>
      </c>
      <c r="I90">
        <v>202970.28</v>
      </c>
      <c r="J90">
        <v>0</v>
      </c>
      <c r="K90" t="s">
        <v>414</v>
      </c>
      <c r="L90" t="s">
        <v>415</v>
      </c>
      <c r="M90" t="s">
        <v>416</v>
      </c>
      <c r="N90" t="s">
        <v>417</v>
      </c>
    </row>
    <row r="91" spans="1:14" x14ac:dyDescent="0.35">
      <c r="A91">
        <v>52302</v>
      </c>
      <c r="B91" t="s">
        <v>81</v>
      </c>
      <c r="C91" s="205">
        <v>46053</v>
      </c>
      <c r="D91">
        <v>1323</v>
      </c>
      <c r="E91" t="s">
        <v>470</v>
      </c>
      <c r="F91" t="s">
        <v>456</v>
      </c>
      <c r="G91" t="s">
        <v>433</v>
      </c>
      <c r="H91">
        <v>142000021052</v>
      </c>
      <c r="I91">
        <v>35692.39</v>
      </c>
      <c r="J91">
        <v>0</v>
      </c>
      <c r="K91" t="s">
        <v>414</v>
      </c>
      <c r="L91" t="s">
        <v>415</v>
      </c>
      <c r="M91" t="s">
        <v>416</v>
      </c>
      <c r="N91" t="s">
        <v>417</v>
      </c>
    </row>
    <row r="92" spans="1:14" x14ac:dyDescent="0.35">
      <c r="A92">
        <v>52302</v>
      </c>
      <c r="B92" t="s">
        <v>81</v>
      </c>
      <c r="C92" s="205">
        <v>46053</v>
      </c>
      <c r="D92">
        <v>1323</v>
      </c>
      <c r="E92" t="s">
        <v>471</v>
      </c>
      <c r="F92" t="s">
        <v>456</v>
      </c>
      <c r="G92" t="s">
        <v>433</v>
      </c>
      <c r="H92">
        <v>142000021052</v>
      </c>
      <c r="I92">
        <v>2875.36</v>
      </c>
      <c r="J92">
        <v>0</v>
      </c>
      <c r="K92" t="s">
        <v>414</v>
      </c>
      <c r="L92" t="s">
        <v>415</v>
      </c>
      <c r="M92" t="s">
        <v>416</v>
      </c>
      <c r="N92" t="s">
        <v>417</v>
      </c>
    </row>
    <row r="93" spans="1:14" x14ac:dyDescent="0.35">
      <c r="A93">
        <v>52302</v>
      </c>
      <c r="B93" t="s">
        <v>81</v>
      </c>
      <c r="C93" s="205">
        <v>46066</v>
      </c>
      <c r="D93">
        <v>1318</v>
      </c>
      <c r="E93" t="s">
        <v>475</v>
      </c>
      <c r="F93" t="s">
        <v>476</v>
      </c>
      <c r="G93" t="s">
        <v>433</v>
      </c>
      <c r="H93">
        <v>200000053</v>
      </c>
      <c r="I93">
        <v>250000</v>
      </c>
      <c r="J93">
        <v>0</v>
      </c>
      <c r="K93" t="s">
        <v>414</v>
      </c>
      <c r="L93" t="s">
        <v>415</v>
      </c>
      <c r="M93" t="s">
        <v>416</v>
      </c>
      <c r="N93" t="s">
        <v>417</v>
      </c>
    </row>
    <row r="94" spans="1:14" x14ac:dyDescent="0.35">
      <c r="A94">
        <v>52302</v>
      </c>
      <c r="B94" t="s">
        <v>81</v>
      </c>
      <c r="C94" s="205">
        <v>46066</v>
      </c>
      <c r="D94">
        <v>1319</v>
      </c>
      <c r="E94" t="s">
        <v>477</v>
      </c>
      <c r="F94" t="s">
        <v>476</v>
      </c>
      <c r="G94" t="s">
        <v>433</v>
      </c>
      <c r="H94">
        <v>200000054</v>
      </c>
      <c r="I94">
        <v>500000</v>
      </c>
      <c r="J94">
        <v>0</v>
      </c>
      <c r="K94" t="s">
        <v>414</v>
      </c>
      <c r="L94" t="s">
        <v>415</v>
      </c>
      <c r="M94" t="s">
        <v>416</v>
      </c>
      <c r="N94" t="s">
        <v>417</v>
      </c>
    </row>
    <row r="95" spans="1:14" x14ac:dyDescent="0.35">
      <c r="A95">
        <v>52302</v>
      </c>
      <c r="B95" t="s">
        <v>81</v>
      </c>
      <c r="C95" s="205">
        <v>46074</v>
      </c>
      <c r="D95">
        <v>1345</v>
      </c>
      <c r="E95" t="s">
        <v>469</v>
      </c>
      <c r="F95" t="s">
        <v>456</v>
      </c>
      <c r="G95" t="s">
        <v>433</v>
      </c>
      <c r="H95">
        <v>142000054718</v>
      </c>
      <c r="I95">
        <v>120925.97</v>
      </c>
      <c r="J95">
        <v>0</v>
      </c>
      <c r="K95" t="s">
        <v>414</v>
      </c>
      <c r="L95" t="s">
        <v>415</v>
      </c>
      <c r="M95" t="s">
        <v>416</v>
      </c>
      <c r="N95" t="s">
        <v>417</v>
      </c>
    </row>
    <row r="96" spans="1:14" x14ac:dyDescent="0.35">
      <c r="A96">
        <v>52302</v>
      </c>
      <c r="B96" t="s">
        <v>81</v>
      </c>
      <c r="C96" s="205">
        <v>46081</v>
      </c>
      <c r="D96">
        <v>1485</v>
      </c>
      <c r="E96" t="s">
        <v>478</v>
      </c>
      <c r="F96" t="s">
        <v>456</v>
      </c>
      <c r="G96" t="s">
        <v>433</v>
      </c>
      <c r="H96">
        <v>142000071412</v>
      </c>
      <c r="I96">
        <v>32310.03</v>
      </c>
      <c r="J96">
        <v>0</v>
      </c>
      <c r="K96" t="s">
        <v>414</v>
      </c>
      <c r="L96" t="s">
        <v>415</v>
      </c>
      <c r="M96" t="s">
        <v>416</v>
      </c>
      <c r="N96" t="s">
        <v>417</v>
      </c>
    </row>
    <row r="97" spans="1:14" x14ac:dyDescent="0.35">
      <c r="A97">
        <v>52302</v>
      </c>
      <c r="B97" t="s">
        <v>81</v>
      </c>
      <c r="C97" s="205">
        <v>46081</v>
      </c>
      <c r="D97">
        <v>1485</v>
      </c>
      <c r="E97" t="s">
        <v>479</v>
      </c>
      <c r="F97" t="s">
        <v>456</v>
      </c>
      <c r="G97" t="s">
        <v>433</v>
      </c>
      <c r="H97">
        <v>142000071412</v>
      </c>
      <c r="I97">
        <v>70941.899999999994</v>
      </c>
      <c r="J97">
        <v>0</v>
      </c>
      <c r="K97" t="s">
        <v>414</v>
      </c>
      <c r="L97" t="s">
        <v>415</v>
      </c>
      <c r="M97" t="s">
        <v>416</v>
      </c>
      <c r="N97" t="s">
        <v>417</v>
      </c>
    </row>
    <row r="98" spans="1:14" x14ac:dyDescent="0.35">
      <c r="A98">
        <v>52302</v>
      </c>
      <c r="B98" t="s">
        <v>81</v>
      </c>
      <c r="C98" s="205">
        <v>46081</v>
      </c>
      <c r="D98">
        <v>1485</v>
      </c>
      <c r="E98" t="s">
        <v>470</v>
      </c>
      <c r="F98" t="s">
        <v>456</v>
      </c>
      <c r="G98" t="s">
        <v>433</v>
      </c>
      <c r="H98">
        <v>142000071412</v>
      </c>
      <c r="I98">
        <v>20930</v>
      </c>
      <c r="J98">
        <v>0</v>
      </c>
      <c r="K98" t="s">
        <v>414</v>
      </c>
      <c r="L98" t="s">
        <v>415</v>
      </c>
      <c r="M98" t="s">
        <v>416</v>
      </c>
      <c r="N98" t="s">
        <v>417</v>
      </c>
    </row>
    <row r="99" spans="1:14" x14ac:dyDescent="0.35">
      <c r="A99">
        <v>52302</v>
      </c>
      <c r="B99" t="s">
        <v>81</v>
      </c>
      <c r="C99" s="205">
        <v>46081</v>
      </c>
      <c r="D99">
        <v>1485</v>
      </c>
      <c r="E99" t="s">
        <v>471</v>
      </c>
      <c r="F99" t="s">
        <v>456</v>
      </c>
      <c r="G99" t="s">
        <v>433</v>
      </c>
      <c r="H99">
        <v>142000071412</v>
      </c>
      <c r="I99">
        <v>1587.18</v>
      </c>
      <c r="J99">
        <v>0</v>
      </c>
      <c r="K99" t="s">
        <v>414</v>
      </c>
      <c r="L99" t="s">
        <v>415</v>
      </c>
      <c r="M99" t="s">
        <v>416</v>
      </c>
      <c r="N99" t="s">
        <v>417</v>
      </c>
    </row>
    <row r="100" spans="1:14" x14ac:dyDescent="0.35">
      <c r="A100">
        <v>52302</v>
      </c>
      <c r="B100" t="s">
        <v>81</v>
      </c>
      <c r="C100" s="205">
        <v>46084</v>
      </c>
      <c r="D100">
        <v>1587</v>
      </c>
      <c r="E100" t="s">
        <v>477</v>
      </c>
      <c r="F100" t="s">
        <v>476</v>
      </c>
      <c r="G100" t="s">
        <v>433</v>
      </c>
      <c r="H100">
        <v>200000057</v>
      </c>
      <c r="I100">
        <v>150000</v>
      </c>
      <c r="J100">
        <v>0</v>
      </c>
      <c r="K100" t="s">
        <v>414</v>
      </c>
      <c r="L100" t="s">
        <v>415</v>
      </c>
      <c r="M100" t="s">
        <v>416</v>
      </c>
      <c r="N100" t="s">
        <v>417</v>
      </c>
    </row>
    <row r="101" spans="1:14" x14ac:dyDescent="0.35">
      <c r="A101">
        <v>52302</v>
      </c>
      <c r="B101" t="s">
        <v>81</v>
      </c>
      <c r="C101" s="205">
        <v>46086</v>
      </c>
      <c r="D101">
        <v>642</v>
      </c>
      <c r="E101" t="s">
        <v>473</v>
      </c>
      <c r="F101" t="s">
        <v>420</v>
      </c>
      <c r="G101" t="s">
        <v>429</v>
      </c>
      <c r="H101">
        <v>8660</v>
      </c>
      <c r="I101">
        <v>18000</v>
      </c>
      <c r="J101">
        <v>0</v>
      </c>
      <c r="K101" t="s">
        <v>414</v>
      </c>
      <c r="L101" t="s">
        <v>415</v>
      </c>
      <c r="M101" t="s">
        <v>416</v>
      </c>
      <c r="N101" t="s">
        <v>417</v>
      </c>
    </row>
    <row r="102" spans="1:14" x14ac:dyDescent="0.35">
      <c r="A102">
        <v>52302</v>
      </c>
      <c r="B102" t="s">
        <v>81</v>
      </c>
      <c r="C102" s="205">
        <v>46096</v>
      </c>
      <c r="D102">
        <v>1717</v>
      </c>
      <c r="E102" t="s">
        <v>478</v>
      </c>
      <c r="F102" t="s">
        <v>456</v>
      </c>
      <c r="G102" t="s">
        <v>433</v>
      </c>
      <c r="H102">
        <v>142000092187</v>
      </c>
      <c r="I102">
        <v>50783.43</v>
      </c>
      <c r="J102">
        <v>0</v>
      </c>
      <c r="K102" t="s">
        <v>414</v>
      </c>
      <c r="L102" t="s">
        <v>415</v>
      </c>
      <c r="M102" t="s">
        <v>416</v>
      </c>
      <c r="N102" t="s">
        <v>417</v>
      </c>
    </row>
    <row r="103" spans="1:14" x14ac:dyDescent="0.35">
      <c r="A103">
        <v>52302</v>
      </c>
      <c r="B103" t="s">
        <v>81</v>
      </c>
      <c r="C103" s="205">
        <v>46096</v>
      </c>
      <c r="D103">
        <v>1717</v>
      </c>
      <c r="E103" t="s">
        <v>479</v>
      </c>
      <c r="F103" t="s">
        <v>456</v>
      </c>
      <c r="G103" t="s">
        <v>433</v>
      </c>
      <c r="H103">
        <v>142000092187</v>
      </c>
      <c r="I103">
        <v>103689.67</v>
      </c>
      <c r="J103">
        <v>0</v>
      </c>
      <c r="K103" t="s">
        <v>414</v>
      </c>
      <c r="L103" t="s">
        <v>415</v>
      </c>
      <c r="M103" t="s">
        <v>416</v>
      </c>
      <c r="N103" t="s">
        <v>417</v>
      </c>
    </row>
    <row r="104" spans="1:14" x14ac:dyDescent="0.35">
      <c r="A104">
        <v>52302</v>
      </c>
      <c r="B104" t="s">
        <v>81</v>
      </c>
      <c r="C104" s="205">
        <v>46096</v>
      </c>
      <c r="D104">
        <v>1717</v>
      </c>
      <c r="E104" t="s">
        <v>470</v>
      </c>
      <c r="F104" t="s">
        <v>456</v>
      </c>
      <c r="G104" t="s">
        <v>433</v>
      </c>
      <c r="H104">
        <v>142000092187</v>
      </c>
      <c r="I104">
        <v>32036.3</v>
      </c>
      <c r="J104">
        <v>0</v>
      </c>
      <c r="K104" t="s">
        <v>414</v>
      </c>
      <c r="L104" t="s">
        <v>415</v>
      </c>
      <c r="M104" t="s">
        <v>416</v>
      </c>
      <c r="N104" t="s">
        <v>417</v>
      </c>
    </row>
    <row r="105" spans="1:14" x14ac:dyDescent="0.35">
      <c r="A105">
        <v>52302</v>
      </c>
      <c r="B105" t="s">
        <v>81</v>
      </c>
      <c r="C105" s="205">
        <v>46096</v>
      </c>
      <c r="D105">
        <v>1717</v>
      </c>
      <c r="E105" t="s">
        <v>471</v>
      </c>
      <c r="F105" t="s">
        <v>456</v>
      </c>
      <c r="G105" t="s">
        <v>433</v>
      </c>
      <c r="H105">
        <v>142000092187</v>
      </c>
      <c r="I105">
        <v>1980.25</v>
      </c>
      <c r="J105">
        <v>0</v>
      </c>
      <c r="K105" t="s">
        <v>414</v>
      </c>
      <c r="L105" t="s">
        <v>415</v>
      </c>
      <c r="M105" t="s">
        <v>416</v>
      </c>
      <c r="N105" t="s">
        <v>417</v>
      </c>
    </row>
    <row r="106" spans="1:14" x14ac:dyDescent="0.35">
      <c r="A106">
        <v>52302</v>
      </c>
      <c r="B106" t="s">
        <v>81</v>
      </c>
      <c r="C106" s="205">
        <v>46097</v>
      </c>
      <c r="D106">
        <v>1729</v>
      </c>
      <c r="E106" t="s">
        <v>473</v>
      </c>
      <c r="F106" t="s">
        <v>420</v>
      </c>
      <c r="G106" t="s">
        <v>474</v>
      </c>
      <c r="H106">
        <v>4457</v>
      </c>
      <c r="I106">
        <v>13200</v>
      </c>
      <c r="J106">
        <v>0</v>
      </c>
      <c r="K106" t="s">
        <v>414</v>
      </c>
      <c r="L106" t="s">
        <v>415</v>
      </c>
      <c r="M106" t="s">
        <v>416</v>
      </c>
      <c r="N106" t="s">
        <v>417</v>
      </c>
    </row>
    <row r="107" spans="1:14" x14ac:dyDescent="0.35">
      <c r="A107">
        <v>52302</v>
      </c>
      <c r="B107" t="s">
        <v>81</v>
      </c>
      <c r="C107" s="205">
        <v>46112</v>
      </c>
      <c r="D107">
        <v>2351</v>
      </c>
      <c r="E107" t="s">
        <v>470</v>
      </c>
      <c r="F107" t="s">
        <v>456</v>
      </c>
      <c r="G107" t="s">
        <v>433</v>
      </c>
      <c r="H107">
        <v>142000105577</v>
      </c>
      <c r="I107">
        <v>30593.22</v>
      </c>
      <c r="J107">
        <v>0</v>
      </c>
      <c r="K107" t="s">
        <v>414</v>
      </c>
      <c r="L107" t="s">
        <v>415</v>
      </c>
      <c r="M107" t="s">
        <v>416</v>
      </c>
      <c r="N107" t="s">
        <v>417</v>
      </c>
    </row>
    <row r="108" spans="1:14" x14ac:dyDescent="0.35">
      <c r="A108">
        <v>52302</v>
      </c>
      <c r="B108" t="s">
        <v>81</v>
      </c>
      <c r="C108" s="205">
        <v>46112</v>
      </c>
      <c r="D108">
        <v>2351</v>
      </c>
      <c r="E108" t="s">
        <v>471</v>
      </c>
      <c r="F108" t="s">
        <v>456</v>
      </c>
      <c r="G108" t="s">
        <v>433</v>
      </c>
      <c r="H108">
        <v>142000105577</v>
      </c>
      <c r="I108">
        <v>2355.5700000000002</v>
      </c>
      <c r="J108">
        <v>0</v>
      </c>
      <c r="K108" t="s">
        <v>414</v>
      </c>
      <c r="L108" t="s">
        <v>415</v>
      </c>
      <c r="M108" t="s">
        <v>416</v>
      </c>
      <c r="N108" t="s">
        <v>417</v>
      </c>
    </row>
    <row r="109" spans="1:14" x14ac:dyDescent="0.35">
      <c r="A109">
        <v>52302</v>
      </c>
      <c r="B109" t="s">
        <v>81</v>
      </c>
      <c r="C109" s="205">
        <v>46112</v>
      </c>
      <c r="D109">
        <v>2351</v>
      </c>
      <c r="E109" t="s">
        <v>478</v>
      </c>
      <c r="F109" t="s">
        <v>456</v>
      </c>
      <c r="G109" t="s">
        <v>433</v>
      </c>
      <c r="H109">
        <v>142000105577</v>
      </c>
      <c r="I109">
        <v>54265.599999999999</v>
      </c>
      <c r="J109">
        <v>0</v>
      </c>
      <c r="K109" t="s">
        <v>414</v>
      </c>
      <c r="L109" t="s">
        <v>415</v>
      </c>
      <c r="M109" t="s">
        <v>416</v>
      </c>
      <c r="N109" t="s">
        <v>417</v>
      </c>
    </row>
    <row r="110" spans="1:14" x14ac:dyDescent="0.35">
      <c r="A110">
        <v>52302</v>
      </c>
      <c r="B110" t="s">
        <v>81</v>
      </c>
      <c r="C110" s="205">
        <v>46112</v>
      </c>
      <c r="D110">
        <v>2351</v>
      </c>
      <c r="E110" t="s">
        <v>479</v>
      </c>
      <c r="F110" t="s">
        <v>456</v>
      </c>
      <c r="G110" t="s">
        <v>433</v>
      </c>
      <c r="H110">
        <v>142000105577</v>
      </c>
      <c r="I110">
        <v>108531.29</v>
      </c>
      <c r="J110">
        <v>0</v>
      </c>
      <c r="K110" t="s">
        <v>414</v>
      </c>
      <c r="L110" t="s">
        <v>415</v>
      </c>
      <c r="M110" t="s">
        <v>416</v>
      </c>
      <c r="N110" t="s">
        <v>417</v>
      </c>
    </row>
    <row r="111" spans="1:14" x14ac:dyDescent="0.35">
      <c r="A111">
        <v>52302</v>
      </c>
      <c r="B111" t="s">
        <v>81</v>
      </c>
      <c r="C111" s="205">
        <v>46122</v>
      </c>
      <c r="D111">
        <v>2586</v>
      </c>
      <c r="E111" t="s">
        <v>480</v>
      </c>
      <c r="F111" t="s">
        <v>481</v>
      </c>
      <c r="G111" t="s">
        <v>433</v>
      </c>
      <c r="H111">
        <v>201400139891</v>
      </c>
      <c r="I111">
        <v>13963.29</v>
      </c>
      <c r="J111">
        <v>0</v>
      </c>
      <c r="K111" t="s">
        <v>414</v>
      </c>
      <c r="L111" t="s">
        <v>415</v>
      </c>
      <c r="M111" t="s">
        <v>416</v>
      </c>
      <c r="N111" t="s">
        <v>417</v>
      </c>
    </row>
    <row r="112" spans="1:14" x14ac:dyDescent="0.35">
      <c r="A112">
        <v>52302</v>
      </c>
      <c r="B112" t="s">
        <v>81</v>
      </c>
      <c r="C112" s="205">
        <v>46122</v>
      </c>
      <c r="D112">
        <v>2586</v>
      </c>
      <c r="E112" t="s">
        <v>480</v>
      </c>
      <c r="F112" t="s">
        <v>481</v>
      </c>
      <c r="G112" t="s">
        <v>433</v>
      </c>
      <c r="H112">
        <v>201400139891</v>
      </c>
      <c r="I112">
        <v>2925.21</v>
      </c>
      <c r="J112">
        <v>0</v>
      </c>
      <c r="K112" t="s">
        <v>414</v>
      </c>
      <c r="L112" t="s">
        <v>415</v>
      </c>
      <c r="M112" t="s">
        <v>416</v>
      </c>
      <c r="N112" t="s">
        <v>417</v>
      </c>
    </row>
    <row r="113" spans="1:14" x14ac:dyDescent="0.35">
      <c r="A113">
        <v>52302</v>
      </c>
      <c r="B113" t="s">
        <v>81</v>
      </c>
      <c r="C113" s="205">
        <v>46122</v>
      </c>
      <c r="D113">
        <v>2586</v>
      </c>
      <c r="E113" t="s">
        <v>480</v>
      </c>
      <c r="F113" t="s">
        <v>481</v>
      </c>
      <c r="G113" t="s">
        <v>433</v>
      </c>
      <c r="H113">
        <v>201400139891</v>
      </c>
      <c r="I113">
        <v>179.18</v>
      </c>
      <c r="J113">
        <v>0</v>
      </c>
      <c r="K113" t="s">
        <v>414</v>
      </c>
      <c r="L113" t="s">
        <v>415</v>
      </c>
      <c r="M113" t="s">
        <v>416</v>
      </c>
      <c r="N113" t="s">
        <v>417</v>
      </c>
    </row>
    <row r="114" spans="1:14" x14ac:dyDescent="0.35">
      <c r="A114">
        <v>52302</v>
      </c>
      <c r="B114" t="s">
        <v>81</v>
      </c>
      <c r="C114" s="205">
        <v>46127</v>
      </c>
      <c r="D114">
        <v>2376</v>
      </c>
      <c r="E114" t="s">
        <v>478</v>
      </c>
      <c r="F114" t="s">
        <v>456</v>
      </c>
      <c r="G114" t="s">
        <v>433</v>
      </c>
      <c r="H114">
        <v>142000129001</v>
      </c>
      <c r="I114">
        <v>27160.13</v>
      </c>
      <c r="J114">
        <v>0</v>
      </c>
      <c r="K114" t="s">
        <v>414</v>
      </c>
      <c r="L114" t="s">
        <v>415</v>
      </c>
      <c r="M114" t="s">
        <v>416</v>
      </c>
      <c r="N114" t="s">
        <v>417</v>
      </c>
    </row>
    <row r="115" spans="1:14" x14ac:dyDescent="0.35">
      <c r="A115">
        <v>52302</v>
      </c>
      <c r="B115" t="s">
        <v>81</v>
      </c>
      <c r="C115" s="205">
        <v>46127</v>
      </c>
      <c r="D115">
        <v>2376</v>
      </c>
      <c r="E115" t="s">
        <v>479</v>
      </c>
      <c r="F115" t="s">
        <v>456</v>
      </c>
      <c r="G115" t="s">
        <v>433</v>
      </c>
      <c r="H115">
        <v>142000129001</v>
      </c>
      <c r="I115">
        <v>52785.65</v>
      </c>
      <c r="J115">
        <v>0</v>
      </c>
      <c r="K115" t="s">
        <v>414</v>
      </c>
      <c r="L115" t="s">
        <v>415</v>
      </c>
      <c r="M115" t="s">
        <v>416</v>
      </c>
      <c r="N115" t="s">
        <v>417</v>
      </c>
    </row>
    <row r="116" spans="1:14" x14ac:dyDescent="0.35">
      <c r="A116">
        <v>52302</v>
      </c>
      <c r="B116" t="s">
        <v>81</v>
      </c>
      <c r="C116" s="205">
        <v>46127</v>
      </c>
      <c r="D116">
        <v>2376</v>
      </c>
      <c r="E116" t="s">
        <v>470</v>
      </c>
      <c r="F116" t="s">
        <v>456</v>
      </c>
      <c r="G116" t="s">
        <v>433</v>
      </c>
      <c r="H116">
        <v>142000129001</v>
      </c>
      <c r="I116">
        <v>14520.52</v>
      </c>
      <c r="J116">
        <v>0</v>
      </c>
      <c r="K116" t="s">
        <v>414</v>
      </c>
      <c r="L116" t="s">
        <v>415</v>
      </c>
      <c r="M116" t="s">
        <v>416</v>
      </c>
      <c r="N116" t="s">
        <v>417</v>
      </c>
    </row>
    <row r="117" spans="1:14" x14ac:dyDescent="0.35">
      <c r="A117">
        <v>52302</v>
      </c>
      <c r="B117" t="s">
        <v>81</v>
      </c>
      <c r="C117" s="205">
        <v>46127</v>
      </c>
      <c r="D117">
        <v>2376</v>
      </c>
      <c r="E117" t="s">
        <v>471</v>
      </c>
      <c r="F117" t="s">
        <v>456</v>
      </c>
      <c r="G117" t="s">
        <v>433</v>
      </c>
      <c r="H117">
        <v>142000129001</v>
      </c>
      <c r="I117">
        <v>1494.98</v>
      </c>
      <c r="J117">
        <v>0</v>
      </c>
      <c r="K117" t="s">
        <v>414</v>
      </c>
      <c r="L117" t="s">
        <v>415</v>
      </c>
      <c r="M117" t="s">
        <v>416</v>
      </c>
      <c r="N117" t="s">
        <v>417</v>
      </c>
    </row>
    <row r="118" spans="1:14" x14ac:dyDescent="0.35">
      <c r="A118">
        <v>52302</v>
      </c>
      <c r="B118" t="s">
        <v>81</v>
      </c>
      <c r="C118" s="205">
        <v>46142</v>
      </c>
      <c r="D118">
        <v>2598</v>
      </c>
      <c r="E118" t="s">
        <v>478</v>
      </c>
      <c r="F118" t="s">
        <v>456</v>
      </c>
      <c r="G118" t="s">
        <v>433</v>
      </c>
      <c r="H118">
        <v>142000143812</v>
      </c>
      <c r="I118">
        <v>74897.899999999994</v>
      </c>
      <c r="J118">
        <v>0</v>
      </c>
      <c r="K118" t="s">
        <v>414</v>
      </c>
      <c r="L118" t="s">
        <v>415</v>
      </c>
      <c r="M118" t="s">
        <v>416</v>
      </c>
      <c r="N118" t="s">
        <v>417</v>
      </c>
    </row>
    <row r="119" spans="1:14" x14ac:dyDescent="0.35">
      <c r="A119">
        <v>52302</v>
      </c>
      <c r="B119" t="s">
        <v>81</v>
      </c>
      <c r="C119" s="205">
        <v>46142</v>
      </c>
      <c r="D119">
        <v>2598</v>
      </c>
      <c r="E119" t="s">
        <v>479</v>
      </c>
      <c r="F119" t="s">
        <v>456</v>
      </c>
      <c r="G119" t="s">
        <v>433</v>
      </c>
      <c r="H119">
        <v>142000143812</v>
      </c>
      <c r="I119">
        <v>94910.92</v>
      </c>
      <c r="J119">
        <v>0</v>
      </c>
      <c r="K119" t="s">
        <v>414</v>
      </c>
      <c r="L119" t="s">
        <v>415</v>
      </c>
      <c r="M119" t="s">
        <v>416</v>
      </c>
      <c r="N119" t="s">
        <v>417</v>
      </c>
    </row>
    <row r="120" spans="1:14" x14ac:dyDescent="0.35">
      <c r="A120">
        <v>52302</v>
      </c>
      <c r="B120" t="s">
        <v>81</v>
      </c>
      <c r="C120" s="205">
        <v>46142</v>
      </c>
      <c r="D120">
        <v>2598</v>
      </c>
      <c r="E120" t="s">
        <v>470</v>
      </c>
      <c r="F120" t="s">
        <v>456</v>
      </c>
      <c r="G120" t="s">
        <v>433</v>
      </c>
      <c r="H120">
        <v>142000143812</v>
      </c>
      <c r="I120">
        <v>29181.83</v>
      </c>
      <c r="J120">
        <v>0</v>
      </c>
      <c r="K120" t="s">
        <v>414</v>
      </c>
      <c r="L120" t="s">
        <v>415</v>
      </c>
      <c r="M120" t="s">
        <v>416</v>
      </c>
      <c r="N120" t="s">
        <v>417</v>
      </c>
    </row>
    <row r="121" spans="1:14" x14ac:dyDescent="0.35">
      <c r="A121">
        <v>52302</v>
      </c>
      <c r="B121" t="s">
        <v>81</v>
      </c>
      <c r="C121" s="205">
        <v>46142</v>
      </c>
      <c r="D121">
        <v>2598</v>
      </c>
      <c r="E121" t="s">
        <v>471</v>
      </c>
      <c r="F121" t="s">
        <v>456</v>
      </c>
      <c r="G121" t="s">
        <v>433</v>
      </c>
      <c r="H121">
        <v>142000143812</v>
      </c>
      <c r="I121">
        <v>2318.38</v>
      </c>
      <c r="J121">
        <v>0</v>
      </c>
      <c r="K121" t="s">
        <v>414</v>
      </c>
      <c r="L121" t="s">
        <v>415</v>
      </c>
      <c r="M121" t="s">
        <v>416</v>
      </c>
      <c r="N121" t="s">
        <v>417</v>
      </c>
    </row>
    <row r="122" spans="1:14" x14ac:dyDescent="0.35">
      <c r="A122">
        <v>52302</v>
      </c>
      <c r="B122" t="s">
        <v>81</v>
      </c>
      <c r="C122" s="205">
        <v>46163</v>
      </c>
      <c r="D122">
        <v>2862</v>
      </c>
      <c r="E122" t="s">
        <v>480</v>
      </c>
      <c r="F122" t="s">
        <v>481</v>
      </c>
      <c r="G122" t="s">
        <v>433</v>
      </c>
      <c r="H122">
        <v>201400142812</v>
      </c>
      <c r="I122">
        <v>34827.629999999997</v>
      </c>
      <c r="J122">
        <v>0</v>
      </c>
      <c r="K122" t="s">
        <v>414</v>
      </c>
      <c r="L122" t="s">
        <v>415</v>
      </c>
      <c r="M122" t="s">
        <v>416</v>
      </c>
      <c r="N122" t="s">
        <v>417</v>
      </c>
    </row>
    <row r="123" spans="1:14" x14ac:dyDescent="0.35">
      <c r="A123">
        <v>52302</v>
      </c>
      <c r="B123" t="s">
        <v>81</v>
      </c>
      <c r="C123" s="205">
        <v>46163</v>
      </c>
      <c r="D123">
        <v>2862</v>
      </c>
      <c r="E123" t="s">
        <v>480</v>
      </c>
      <c r="F123" t="s">
        <v>481</v>
      </c>
      <c r="G123" t="s">
        <v>433</v>
      </c>
      <c r="H123">
        <v>201400142812</v>
      </c>
      <c r="I123">
        <v>7858.44</v>
      </c>
      <c r="J123">
        <v>0</v>
      </c>
      <c r="K123" t="s">
        <v>414</v>
      </c>
      <c r="L123" t="s">
        <v>415</v>
      </c>
      <c r="M123" t="s">
        <v>416</v>
      </c>
      <c r="N123" t="s">
        <v>417</v>
      </c>
    </row>
    <row r="124" spans="1:14" x14ac:dyDescent="0.35">
      <c r="A124">
        <v>52405</v>
      </c>
      <c r="B124" t="s">
        <v>482</v>
      </c>
      <c r="C124" s="205">
        <v>45967</v>
      </c>
      <c r="D124">
        <v>314</v>
      </c>
      <c r="E124" t="s">
        <v>483</v>
      </c>
      <c r="F124" t="s">
        <v>484</v>
      </c>
      <c r="G124" t="s">
        <v>433</v>
      </c>
      <c r="H124">
        <v>1800096655</v>
      </c>
      <c r="I124">
        <v>0.01</v>
      </c>
      <c r="J124">
        <v>0</v>
      </c>
      <c r="K124" t="s">
        <v>414</v>
      </c>
      <c r="L124" t="s">
        <v>415</v>
      </c>
      <c r="M124" t="s">
        <v>416</v>
      </c>
      <c r="N124" t="s">
        <v>417</v>
      </c>
    </row>
    <row r="125" spans="1:14" x14ac:dyDescent="0.35">
      <c r="A125">
        <v>52405</v>
      </c>
      <c r="B125" t="s">
        <v>482</v>
      </c>
      <c r="C125" s="205">
        <v>46042</v>
      </c>
      <c r="D125">
        <v>924</v>
      </c>
      <c r="E125" t="s">
        <v>485</v>
      </c>
      <c r="F125" t="s">
        <v>486</v>
      </c>
      <c r="G125" t="s">
        <v>433</v>
      </c>
      <c r="H125">
        <v>400032543</v>
      </c>
      <c r="I125">
        <v>0.01</v>
      </c>
      <c r="J125">
        <v>0</v>
      </c>
      <c r="K125" t="s">
        <v>414</v>
      </c>
      <c r="L125" t="s">
        <v>415</v>
      </c>
      <c r="M125" t="s">
        <v>416</v>
      </c>
      <c r="N125" t="s">
        <v>417</v>
      </c>
    </row>
    <row r="126" spans="1:14" x14ac:dyDescent="0.35">
      <c r="A126">
        <v>52405</v>
      </c>
      <c r="B126" t="s">
        <v>482</v>
      </c>
      <c r="C126" s="205">
        <v>46051</v>
      </c>
      <c r="D126">
        <v>1157</v>
      </c>
      <c r="E126" t="s">
        <v>483</v>
      </c>
      <c r="F126" t="s">
        <v>484</v>
      </c>
      <c r="G126" t="s">
        <v>433</v>
      </c>
      <c r="H126">
        <v>1800100248</v>
      </c>
      <c r="I126">
        <v>0.01</v>
      </c>
      <c r="J126">
        <v>0</v>
      </c>
      <c r="K126" t="s">
        <v>414</v>
      </c>
      <c r="L126" t="s">
        <v>415</v>
      </c>
      <c r="M126" t="s">
        <v>416</v>
      </c>
      <c r="N126" t="s">
        <v>417</v>
      </c>
    </row>
    <row r="127" spans="1:14" x14ac:dyDescent="0.35">
      <c r="A127">
        <v>52405</v>
      </c>
      <c r="B127" t="s">
        <v>482</v>
      </c>
      <c r="C127" s="205">
        <v>46094</v>
      </c>
      <c r="D127">
        <v>1676</v>
      </c>
      <c r="E127" t="s">
        <v>487</v>
      </c>
      <c r="F127" t="s">
        <v>488</v>
      </c>
      <c r="G127" t="s">
        <v>433</v>
      </c>
      <c r="H127">
        <v>1500092219</v>
      </c>
      <c r="I127">
        <v>0.01</v>
      </c>
      <c r="J127">
        <v>0</v>
      </c>
      <c r="K127" t="s">
        <v>414</v>
      </c>
      <c r="L127" t="s">
        <v>415</v>
      </c>
      <c r="M127" t="s">
        <v>416</v>
      </c>
      <c r="N127" t="s">
        <v>417</v>
      </c>
    </row>
    <row r="128" spans="1:14" x14ac:dyDescent="0.35">
      <c r="A128">
        <v>52405</v>
      </c>
      <c r="B128" t="s">
        <v>482</v>
      </c>
      <c r="C128" s="205">
        <v>46122</v>
      </c>
      <c r="D128">
        <v>2586</v>
      </c>
      <c r="E128" t="s">
        <v>489</v>
      </c>
      <c r="F128" t="s">
        <v>481</v>
      </c>
      <c r="G128" t="s">
        <v>433</v>
      </c>
      <c r="H128">
        <v>201400139891</v>
      </c>
      <c r="I128">
        <v>0.01</v>
      </c>
      <c r="J128">
        <v>0</v>
      </c>
      <c r="K128" t="s">
        <v>414</v>
      </c>
      <c r="L128" t="s">
        <v>415</v>
      </c>
      <c r="M128" t="s">
        <v>416</v>
      </c>
      <c r="N128" t="s">
        <v>417</v>
      </c>
    </row>
    <row r="129" spans="1:14" x14ac:dyDescent="0.35">
      <c r="A129">
        <v>52405</v>
      </c>
      <c r="B129" t="s">
        <v>482</v>
      </c>
      <c r="C129" s="205">
        <v>46150</v>
      </c>
      <c r="D129">
        <v>2744</v>
      </c>
      <c r="E129" t="s">
        <v>490</v>
      </c>
      <c r="F129" t="s">
        <v>491</v>
      </c>
      <c r="G129" t="s">
        <v>433</v>
      </c>
      <c r="H129">
        <v>500028409</v>
      </c>
      <c r="I129">
        <v>0.01</v>
      </c>
      <c r="J129">
        <v>0</v>
      </c>
      <c r="K129" t="s">
        <v>414</v>
      </c>
      <c r="L129" t="s">
        <v>415</v>
      </c>
      <c r="M129" t="s">
        <v>416</v>
      </c>
      <c r="N129" t="s">
        <v>417</v>
      </c>
    </row>
    <row r="130" spans="1:14" x14ac:dyDescent="0.35">
      <c r="A130">
        <v>53001</v>
      </c>
      <c r="B130" t="s">
        <v>23</v>
      </c>
      <c r="C130" s="205">
        <v>45966</v>
      </c>
      <c r="D130">
        <v>32</v>
      </c>
      <c r="E130" t="s">
        <v>492</v>
      </c>
      <c r="F130" t="s">
        <v>493</v>
      </c>
      <c r="G130" t="s">
        <v>433</v>
      </c>
      <c r="H130">
        <v>300001741</v>
      </c>
      <c r="I130">
        <v>202741.83</v>
      </c>
      <c r="J130">
        <v>0</v>
      </c>
      <c r="K130" t="s">
        <v>414</v>
      </c>
      <c r="L130" t="s">
        <v>415</v>
      </c>
      <c r="M130" t="s">
        <v>416</v>
      </c>
      <c r="N130" t="s">
        <v>417</v>
      </c>
    </row>
    <row r="131" spans="1:14" x14ac:dyDescent="0.35">
      <c r="A131">
        <v>53004</v>
      </c>
      <c r="B131" t="s">
        <v>50</v>
      </c>
      <c r="C131" s="205">
        <v>45967</v>
      </c>
      <c r="D131">
        <v>43</v>
      </c>
      <c r="E131" t="s">
        <v>494</v>
      </c>
      <c r="F131" t="s">
        <v>495</v>
      </c>
      <c r="G131" t="s">
        <v>433</v>
      </c>
      <c r="H131">
        <v>200002011</v>
      </c>
      <c r="I131">
        <v>190000</v>
      </c>
      <c r="J131">
        <v>0</v>
      </c>
      <c r="K131" t="s">
        <v>414</v>
      </c>
      <c r="L131" t="s">
        <v>415</v>
      </c>
      <c r="M131" t="s">
        <v>416</v>
      </c>
      <c r="N131" t="s">
        <v>417</v>
      </c>
    </row>
    <row r="132" spans="1:14" x14ac:dyDescent="0.35">
      <c r="A132">
        <v>53004</v>
      </c>
      <c r="B132" t="s">
        <v>50</v>
      </c>
      <c r="C132" s="205">
        <v>45967</v>
      </c>
      <c r="D132">
        <v>44</v>
      </c>
      <c r="E132" t="s">
        <v>494</v>
      </c>
      <c r="F132" t="s">
        <v>495</v>
      </c>
      <c r="G132" t="s">
        <v>496</v>
      </c>
      <c r="H132">
        <v>200000131</v>
      </c>
      <c r="I132">
        <v>0</v>
      </c>
      <c r="J132">
        <v>285000</v>
      </c>
      <c r="K132" t="s">
        <v>414</v>
      </c>
      <c r="L132" t="s">
        <v>415</v>
      </c>
      <c r="M132" t="s">
        <v>416</v>
      </c>
      <c r="N132" t="s">
        <v>417</v>
      </c>
    </row>
    <row r="133" spans="1:14" x14ac:dyDescent="0.35">
      <c r="A133">
        <v>53004</v>
      </c>
      <c r="B133" t="s">
        <v>50</v>
      </c>
      <c r="C133" s="205">
        <v>45974</v>
      </c>
      <c r="D133">
        <v>100</v>
      </c>
      <c r="E133" t="s">
        <v>497</v>
      </c>
      <c r="F133" t="s">
        <v>498</v>
      </c>
      <c r="G133" t="s">
        <v>433</v>
      </c>
      <c r="H133">
        <v>1400008426</v>
      </c>
      <c r="I133">
        <v>458975.2</v>
      </c>
      <c r="J133">
        <v>0</v>
      </c>
      <c r="K133" t="s">
        <v>414</v>
      </c>
      <c r="L133" t="s">
        <v>415</v>
      </c>
      <c r="M133" t="s">
        <v>416</v>
      </c>
      <c r="N133" t="s">
        <v>417</v>
      </c>
    </row>
    <row r="134" spans="1:14" x14ac:dyDescent="0.35">
      <c r="A134">
        <v>53004</v>
      </c>
      <c r="B134" t="s">
        <v>50</v>
      </c>
      <c r="C134" s="205">
        <v>45982</v>
      </c>
      <c r="D134">
        <v>345</v>
      </c>
      <c r="E134" t="s">
        <v>499</v>
      </c>
      <c r="F134" t="s">
        <v>488</v>
      </c>
      <c r="G134" t="s">
        <v>433</v>
      </c>
      <c r="H134">
        <v>1500088157</v>
      </c>
      <c r="I134">
        <v>733118.4</v>
      </c>
      <c r="J134">
        <v>0</v>
      </c>
      <c r="K134" t="s">
        <v>414</v>
      </c>
      <c r="L134" t="s">
        <v>415</v>
      </c>
      <c r="M134" t="s">
        <v>416</v>
      </c>
      <c r="N134" t="s">
        <v>417</v>
      </c>
    </row>
    <row r="135" spans="1:14" x14ac:dyDescent="0.35">
      <c r="A135">
        <v>53004</v>
      </c>
      <c r="B135" t="s">
        <v>50</v>
      </c>
      <c r="C135" s="205">
        <v>45988</v>
      </c>
      <c r="D135">
        <v>238</v>
      </c>
      <c r="E135" t="s">
        <v>494</v>
      </c>
      <c r="F135" t="s">
        <v>495</v>
      </c>
      <c r="G135" t="s">
        <v>433</v>
      </c>
      <c r="H135">
        <v>200002034</v>
      </c>
      <c r="I135">
        <v>190000</v>
      </c>
      <c r="J135">
        <v>0</v>
      </c>
      <c r="K135" t="s">
        <v>414</v>
      </c>
      <c r="L135" t="s">
        <v>415</v>
      </c>
      <c r="M135" t="s">
        <v>416</v>
      </c>
      <c r="N135" t="s">
        <v>417</v>
      </c>
    </row>
    <row r="136" spans="1:14" x14ac:dyDescent="0.35">
      <c r="A136">
        <v>53004</v>
      </c>
      <c r="B136" t="s">
        <v>50</v>
      </c>
      <c r="C136" s="205">
        <v>46007</v>
      </c>
      <c r="D136">
        <v>997</v>
      </c>
      <c r="E136" t="s">
        <v>494</v>
      </c>
      <c r="F136" t="s">
        <v>495</v>
      </c>
      <c r="G136" t="s">
        <v>433</v>
      </c>
      <c r="H136">
        <v>200002053</v>
      </c>
      <c r="I136">
        <v>190000</v>
      </c>
      <c r="J136">
        <v>0</v>
      </c>
      <c r="K136" t="s">
        <v>414</v>
      </c>
      <c r="L136" t="s">
        <v>415</v>
      </c>
      <c r="M136" t="s">
        <v>416</v>
      </c>
      <c r="N136" t="s">
        <v>417</v>
      </c>
    </row>
    <row r="137" spans="1:14" x14ac:dyDescent="0.35">
      <c r="A137">
        <v>53004</v>
      </c>
      <c r="B137" t="s">
        <v>50</v>
      </c>
      <c r="C137" s="205">
        <v>46035</v>
      </c>
      <c r="D137">
        <v>850</v>
      </c>
      <c r="E137" t="s">
        <v>494</v>
      </c>
      <c r="F137" t="s">
        <v>495</v>
      </c>
      <c r="G137" t="s">
        <v>433</v>
      </c>
      <c r="H137">
        <v>200002081</v>
      </c>
      <c r="I137">
        <v>285000</v>
      </c>
      <c r="J137">
        <v>0</v>
      </c>
      <c r="K137" t="s">
        <v>414</v>
      </c>
      <c r="L137" t="s">
        <v>415</v>
      </c>
      <c r="M137" t="s">
        <v>416</v>
      </c>
      <c r="N137" t="s">
        <v>417</v>
      </c>
    </row>
    <row r="138" spans="1:14" x14ac:dyDescent="0.35">
      <c r="A138">
        <v>53004</v>
      </c>
      <c r="B138" t="s">
        <v>50</v>
      </c>
      <c r="C138" s="205">
        <v>46050</v>
      </c>
      <c r="D138">
        <v>1152</v>
      </c>
      <c r="E138" t="s">
        <v>494</v>
      </c>
      <c r="F138" t="s">
        <v>495</v>
      </c>
      <c r="G138" t="s">
        <v>433</v>
      </c>
      <c r="H138">
        <v>200002101</v>
      </c>
      <c r="I138">
        <v>190000</v>
      </c>
      <c r="J138">
        <v>0</v>
      </c>
      <c r="K138" t="s">
        <v>414</v>
      </c>
      <c r="L138" t="s">
        <v>415</v>
      </c>
      <c r="M138" t="s">
        <v>416</v>
      </c>
      <c r="N138" t="s">
        <v>417</v>
      </c>
    </row>
    <row r="139" spans="1:14" x14ac:dyDescent="0.35">
      <c r="A139">
        <v>53004</v>
      </c>
      <c r="B139" t="s">
        <v>50</v>
      </c>
      <c r="C139" s="205">
        <v>46112</v>
      </c>
      <c r="D139">
        <v>2122</v>
      </c>
      <c r="E139" t="s">
        <v>500</v>
      </c>
      <c r="F139" t="s">
        <v>501</v>
      </c>
      <c r="G139" t="s">
        <v>433</v>
      </c>
      <c r="H139">
        <v>600026003</v>
      </c>
      <c r="I139">
        <v>223140.49</v>
      </c>
      <c r="J139">
        <v>0</v>
      </c>
      <c r="K139" t="s">
        <v>414</v>
      </c>
      <c r="L139" t="s">
        <v>415</v>
      </c>
      <c r="M139" t="s">
        <v>416</v>
      </c>
      <c r="N139" t="s">
        <v>417</v>
      </c>
    </row>
    <row r="140" spans="1:14" x14ac:dyDescent="0.35">
      <c r="A140">
        <v>53004</v>
      </c>
      <c r="B140" t="s">
        <v>50</v>
      </c>
      <c r="C140" s="205">
        <v>46121</v>
      </c>
      <c r="D140">
        <v>967</v>
      </c>
      <c r="E140" t="s">
        <v>502</v>
      </c>
      <c r="F140" t="s">
        <v>420</v>
      </c>
      <c r="G140" t="s">
        <v>429</v>
      </c>
      <c r="H140">
        <v>8995</v>
      </c>
      <c r="I140">
        <v>660000</v>
      </c>
      <c r="J140">
        <v>0</v>
      </c>
      <c r="K140" t="s">
        <v>414</v>
      </c>
      <c r="L140" t="s">
        <v>415</v>
      </c>
      <c r="M140" t="s">
        <v>416</v>
      </c>
      <c r="N140" t="s">
        <v>417</v>
      </c>
    </row>
    <row r="141" spans="1:14" x14ac:dyDescent="0.35">
      <c r="A141">
        <v>53005</v>
      </c>
      <c r="B141" t="s">
        <v>44</v>
      </c>
      <c r="C141" s="205">
        <v>46121</v>
      </c>
      <c r="D141">
        <v>966</v>
      </c>
      <c r="E141" t="s">
        <v>503</v>
      </c>
      <c r="F141" t="s">
        <v>420</v>
      </c>
      <c r="G141" t="s">
        <v>429</v>
      </c>
      <c r="H141">
        <v>8994</v>
      </c>
      <c r="I141">
        <v>534400</v>
      </c>
      <c r="J141">
        <v>0</v>
      </c>
      <c r="K141" t="s">
        <v>414</v>
      </c>
      <c r="L141" t="s">
        <v>415</v>
      </c>
      <c r="M141" t="s">
        <v>416</v>
      </c>
      <c r="N141" t="s">
        <v>417</v>
      </c>
    </row>
    <row r="142" spans="1:14" x14ac:dyDescent="0.35">
      <c r="A142">
        <v>53005</v>
      </c>
      <c r="B142" t="s">
        <v>44</v>
      </c>
      <c r="C142" s="205">
        <v>46129</v>
      </c>
      <c r="D142">
        <v>994</v>
      </c>
      <c r="E142" t="s">
        <v>504</v>
      </c>
      <c r="F142" t="s">
        <v>420</v>
      </c>
      <c r="G142" t="s">
        <v>429</v>
      </c>
      <c r="H142">
        <v>9022</v>
      </c>
      <c r="I142">
        <v>1500000</v>
      </c>
      <c r="J142">
        <v>0</v>
      </c>
      <c r="K142" t="s">
        <v>414</v>
      </c>
      <c r="L142" t="s">
        <v>415</v>
      </c>
      <c r="M142" t="s">
        <v>416</v>
      </c>
      <c r="N142" t="s">
        <v>417</v>
      </c>
    </row>
    <row r="143" spans="1:14" x14ac:dyDescent="0.35">
      <c r="A143">
        <v>53005</v>
      </c>
      <c r="B143" t="s">
        <v>44</v>
      </c>
      <c r="C143" s="205">
        <v>46136</v>
      </c>
      <c r="D143">
        <v>1021</v>
      </c>
      <c r="E143" t="s">
        <v>505</v>
      </c>
      <c r="F143" t="s">
        <v>420</v>
      </c>
      <c r="G143" t="s">
        <v>429</v>
      </c>
      <c r="H143">
        <v>9049</v>
      </c>
      <c r="I143">
        <v>1727513</v>
      </c>
      <c r="J143">
        <v>0</v>
      </c>
      <c r="K143" t="s">
        <v>414</v>
      </c>
      <c r="L143" t="s">
        <v>415</v>
      </c>
      <c r="M143" t="s">
        <v>416</v>
      </c>
      <c r="N143" t="s">
        <v>417</v>
      </c>
    </row>
    <row r="144" spans="1:14" x14ac:dyDescent="0.35">
      <c r="A144">
        <v>53008</v>
      </c>
      <c r="B144" t="s">
        <v>76</v>
      </c>
      <c r="C144" s="205">
        <v>45974</v>
      </c>
      <c r="D144">
        <v>158</v>
      </c>
      <c r="E144" t="s">
        <v>506</v>
      </c>
      <c r="F144" t="s">
        <v>420</v>
      </c>
      <c r="G144" t="s">
        <v>429</v>
      </c>
      <c r="H144">
        <v>8177</v>
      </c>
      <c r="I144">
        <v>3840025</v>
      </c>
      <c r="J144">
        <v>0</v>
      </c>
      <c r="K144" t="s">
        <v>414</v>
      </c>
      <c r="L144" t="s">
        <v>415</v>
      </c>
      <c r="M144" t="s">
        <v>416</v>
      </c>
      <c r="N144" t="s">
        <v>417</v>
      </c>
    </row>
    <row r="145" spans="1:14" x14ac:dyDescent="0.35">
      <c r="A145">
        <v>53008</v>
      </c>
      <c r="B145" t="s">
        <v>76</v>
      </c>
      <c r="C145" s="205">
        <v>45979</v>
      </c>
      <c r="D145">
        <v>204</v>
      </c>
      <c r="E145" t="s">
        <v>507</v>
      </c>
      <c r="F145" t="s">
        <v>508</v>
      </c>
      <c r="G145" t="s">
        <v>433</v>
      </c>
      <c r="H145">
        <v>800030110</v>
      </c>
      <c r="I145">
        <v>818438.55</v>
      </c>
      <c r="J145">
        <v>0</v>
      </c>
      <c r="K145" t="s">
        <v>414</v>
      </c>
      <c r="L145" t="s">
        <v>415</v>
      </c>
      <c r="M145" t="s">
        <v>416</v>
      </c>
      <c r="N145" t="s">
        <v>417</v>
      </c>
    </row>
    <row r="146" spans="1:14" x14ac:dyDescent="0.35">
      <c r="A146">
        <v>53008</v>
      </c>
      <c r="B146" t="s">
        <v>76</v>
      </c>
      <c r="C146" s="205">
        <v>46029</v>
      </c>
      <c r="D146">
        <v>761</v>
      </c>
      <c r="E146" t="s">
        <v>509</v>
      </c>
      <c r="F146" t="s">
        <v>493</v>
      </c>
      <c r="G146" t="s">
        <v>433</v>
      </c>
      <c r="H146">
        <v>300001778</v>
      </c>
      <c r="I146">
        <v>114343.18</v>
      </c>
      <c r="J146">
        <v>0</v>
      </c>
      <c r="K146" t="s">
        <v>414</v>
      </c>
      <c r="L146" t="s">
        <v>415</v>
      </c>
      <c r="M146" t="s">
        <v>416</v>
      </c>
      <c r="N146" t="s">
        <v>417</v>
      </c>
    </row>
    <row r="147" spans="1:14" x14ac:dyDescent="0.35">
      <c r="A147">
        <v>53008</v>
      </c>
      <c r="B147" t="s">
        <v>76</v>
      </c>
      <c r="C147" s="205">
        <v>46050</v>
      </c>
      <c r="D147">
        <v>1054</v>
      </c>
      <c r="E147" t="s">
        <v>510</v>
      </c>
      <c r="F147" t="s">
        <v>488</v>
      </c>
      <c r="G147" t="s">
        <v>433</v>
      </c>
      <c r="H147">
        <v>1500090409</v>
      </c>
      <c r="I147">
        <v>1764992.65</v>
      </c>
      <c r="J147">
        <v>0</v>
      </c>
      <c r="K147" t="s">
        <v>414</v>
      </c>
      <c r="L147" t="s">
        <v>415</v>
      </c>
      <c r="M147" t="s">
        <v>416</v>
      </c>
      <c r="N147" t="s">
        <v>417</v>
      </c>
    </row>
    <row r="148" spans="1:14" x14ac:dyDescent="0.35">
      <c r="A148">
        <v>53008</v>
      </c>
      <c r="B148" t="s">
        <v>76</v>
      </c>
      <c r="C148" s="205">
        <v>46052</v>
      </c>
      <c r="D148">
        <v>1164</v>
      </c>
      <c r="E148" t="s">
        <v>510</v>
      </c>
      <c r="F148" t="s">
        <v>488</v>
      </c>
      <c r="G148" t="s">
        <v>433</v>
      </c>
      <c r="H148">
        <v>1500090533</v>
      </c>
      <c r="I148">
        <v>1286315.79</v>
      </c>
      <c r="J148">
        <v>0</v>
      </c>
      <c r="K148" t="s">
        <v>414</v>
      </c>
      <c r="L148" t="s">
        <v>415</v>
      </c>
      <c r="M148" t="s">
        <v>416</v>
      </c>
      <c r="N148" t="s">
        <v>417</v>
      </c>
    </row>
    <row r="149" spans="1:14" x14ac:dyDescent="0.35">
      <c r="A149">
        <v>53008</v>
      </c>
      <c r="B149" t="s">
        <v>76</v>
      </c>
      <c r="C149" s="205">
        <v>46064</v>
      </c>
      <c r="D149">
        <v>1662</v>
      </c>
      <c r="E149" t="s">
        <v>510</v>
      </c>
      <c r="F149" t="s">
        <v>488</v>
      </c>
      <c r="G149" t="s">
        <v>433</v>
      </c>
      <c r="H149">
        <v>1500091046</v>
      </c>
      <c r="I149">
        <v>2437807.36</v>
      </c>
      <c r="J149">
        <v>0</v>
      </c>
      <c r="K149" t="s">
        <v>414</v>
      </c>
      <c r="L149" t="s">
        <v>415</v>
      </c>
      <c r="M149" t="s">
        <v>416</v>
      </c>
      <c r="N149" t="s">
        <v>417</v>
      </c>
    </row>
    <row r="150" spans="1:14" x14ac:dyDescent="0.35">
      <c r="A150">
        <v>53008</v>
      </c>
      <c r="B150" t="s">
        <v>76</v>
      </c>
      <c r="C150" s="205">
        <v>46078</v>
      </c>
      <c r="D150">
        <v>1391</v>
      </c>
      <c r="E150" t="s">
        <v>510</v>
      </c>
      <c r="F150" t="s">
        <v>488</v>
      </c>
      <c r="G150" t="s">
        <v>433</v>
      </c>
      <c r="H150">
        <v>1500091447</v>
      </c>
      <c r="I150">
        <v>314496</v>
      </c>
      <c r="J150">
        <v>0</v>
      </c>
      <c r="K150" t="s">
        <v>414</v>
      </c>
      <c r="L150" t="s">
        <v>415</v>
      </c>
      <c r="M150" t="s">
        <v>416</v>
      </c>
      <c r="N150" t="s">
        <v>417</v>
      </c>
    </row>
    <row r="151" spans="1:14" x14ac:dyDescent="0.35">
      <c r="A151">
        <v>53008</v>
      </c>
      <c r="B151" t="s">
        <v>76</v>
      </c>
      <c r="C151" s="205">
        <v>46085</v>
      </c>
      <c r="D151">
        <v>1502</v>
      </c>
      <c r="E151" t="s">
        <v>510</v>
      </c>
      <c r="F151" t="s">
        <v>488</v>
      </c>
      <c r="G151" t="s">
        <v>433</v>
      </c>
      <c r="H151">
        <v>1500091778</v>
      </c>
      <c r="I151">
        <v>314496</v>
      </c>
      <c r="J151">
        <v>0</v>
      </c>
      <c r="K151" t="s">
        <v>414</v>
      </c>
      <c r="L151" t="s">
        <v>415</v>
      </c>
      <c r="M151" t="s">
        <v>416</v>
      </c>
      <c r="N151" t="s">
        <v>417</v>
      </c>
    </row>
    <row r="152" spans="1:14" x14ac:dyDescent="0.35">
      <c r="A152">
        <v>53008</v>
      </c>
      <c r="B152" t="s">
        <v>76</v>
      </c>
      <c r="C152" s="205">
        <v>46097</v>
      </c>
      <c r="D152">
        <v>1720</v>
      </c>
      <c r="E152" t="s">
        <v>511</v>
      </c>
      <c r="F152" t="s">
        <v>512</v>
      </c>
      <c r="G152" t="s">
        <v>433</v>
      </c>
      <c r="H152">
        <v>700051150</v>
      </c>
      <c r="I152">
        <v>97731.33</v>
      </c>
      <c r="J152">
        <v>0</v>
      </c>
      <c r="K152" t="s">
        <v>414</v>
      </c>
      <c r="L152" t="s">
        <v>415</v>
      </c>
      <c r="M152" t="s">
        <v>416</v>
      </c>
      <c r="N152" t="s">
        <v>417</v>
      </c>
    </row>
    <row r="153" spans="1:14" x14ac:dyDescent="0.35">
      <c r="A153">
        <v>53008</v>
      </c>
      <c r="B153" t="s">
        <v>76</v>
      </c>
      <c r="C153" s="205">
        <v>46104</v>
      </c>
      <c r="D153">
        <v>2584</v>
      </c>
      <c r="E153" t="s">
        <v>510</v>
      </c>
      <c r="F153" t="s">
        <v>488</v>
      </c>
      <c r="G153" t="s">
        <v>433</v>
      </c>
      <c r="H153">
        <v>1500092673</v>
      </c>
      <c r="I153">
        <v>324434.88</v>
      </c>
      <c r="J153">
        <v>0</v>
      </c>
      <c r="K153" t="s">
        <v>414</v>
      </c>
      <c r="L153" t="s">
        <v>415</v>
      </c>
      <c r="M153" t="s">
        <v>416</v>
      </c>
      <c r="N153" t="s">
        <v>417</v>
      </c>
    </row>
    <row r="154" spans="1:14" x14ac:dyDescent="0.35">
      <c r="A154">
        <v>53008</v>
      </c>
      <c r="B154" t="s">
        <v>76</v>
      </c>
      <c r="C154" s="205">
        <v>46106</v>
      </c>
      <c r="D154">
        <v>1944</v>
      </c>
      <c r="E154" t="s">
        <v>510</v>
      </c>
      <c r="F154" t="s">
        <v>488</v>
      </c>
      <c r="G154" t="s">
        <v>433</v>
      </c>
      <c r="H154">
        <v>1500092705</v>
      </c>
      <c r="I154">
        <v>45456.160000000003</v>
      </c>
      <c r="J154">
        <v>0</v>
      </c>
      <c r="K154" t="s">
        <v>414</v>
      </c>
      <c r="L154" t="s">
        <v>415</v>
      </c>
      <c r="M154" t="s">
        <v>416</v>
      </c>
      <c r="N154" t="s">
        <v>417</v>
      </c>
    </row>
    <row r="155" spans="1:14" x14ac:dyDescent="0.35">
      <c r="A155">
        <v>53008</v>
      </c>
      <c r="B155" t="s">
        <v>76</v>
      </c>
      <c r="C155" s="205">
        <v>46108</v>
      </c>
      <c r="D155">
        <v>2108</v>
      </c>
      <c r="E155" t="s">
        <v>513</v>
      </c>
      <c r="F155" t="s">
        <v>488</v>
      </c>
      <c r="G155" t="s">
        <v>433</v>
      </c>
      <c r="H155">
        <v>1500092872</v>
      </c>
      <c r="I155">
        <v>344693.09</v>
      </c>
      <c r="J155">
        <v>0</v>
      </c>
      <c r="K155" t="s">
        <v>414</v>
      </c>
      <c r="L155" t="s">
        <v>415</v>
      </c>
      <c r="M155" t="s">
        <v>416</v>
      </c>
      <c r="N155" t="s">
        <v>417</v>
      </c>
    </row>
    <row r="156" spans="1:14" x14ac:dyDescent="0.35">
      <c r="A156">
        <v>53008</v>
      </c>
      <c r="B156" t="s">
        <v>76</v>
      </c>
      <c r="C156" s="205">
        <v>46108</v>
      </c>
      <c r="D156">
        <v>2109</v>
      </c>
      <c r="E156" t="s">
        <v>510</v>
      </c>
      <c r="F156" t="s">
        <v>488</v>
      </c>
      <c r="G156" t="s">
        <v>433</v>
      </c>
      <c r="H156">
        <v>1500092873</v>
      </c>
      <c r="I156">
        <v>38455.199999999997</v>
      </c>
      <c r="J156">
        <v>0</v>
      </c>
      <c r="K156" t="s">
        <v>414</v>
      </c>
      <c r="L156" t="s">
        <v>415</v>
      </c>
      <c r="M156" t="s">
        <v>416</v>
      </c>
      <c r="N156" t="s">
        <v>417</v>
      </c>
    </row>
    <row r="157" spans="1:14" x14ac:dyDescent="0.35">
      <c r="A157">
        <v>53008</v>
      </c>
      <c r="B157" t="s">
        <v>76</v>
      </c>
      <c r="C157" s="205">
        <v>46108</v>
      </c>
      <c r="D157">
        <v>2114</v>
      </c>
      <c r="E157" t="s">
        <v>514</v>
      </c>
      <c r="F157" t="s">
        <v>515</v>
      </c>
      <c r="G157" t="s">
        <v>433</v>
      </c>
      <c r="H157">
        <v>3700065174</v>
      </c>
      <c r="I157">
        <v>2337241.0099999998</v>
      </c>
      <c r="J157">
        <v>0</v>
      </c>
      <c r="K157" t="s">
        <v>414</v>
      </c>
      <c r="L157" t="s">
        <v>415</v>
      </c>
      <c r="M157" t="s">
        <v>416</v>
      </c>
      <c r="N157" t="s">
        <v>417</v>
      </c>
    </row>
    <row r="158" spans="1:14" x14ac:dyDescent="0.35">
      <c r="A158">
        <v>53008</v>
      </c>
      <c r="B158" t="s">
        <v>76</v>
      </c>
      <c r="C158" s="205">
        <v>46113</v>
      </c>
      <c r="D158">
        <v>2131</v>
      </c>
      <c r="E158" t="s">
        <v>516</v>
      </c>
      <c r="F158" t="s">
        <v>517</v>
      </c>
      <c r="G158" t="s">
        <v>433</v>
      </c>
      <c r="H158">
        <v>600000409</v>
      </c>
      <c r="I158">
        <v>13820846</v>
      </c>
      <c r="J158">
        <v>0</v>
      </c>
      <c r="K158" t="s">
        <v>414</v>
      </c>
      <c r="L158" t="s">
        <v>415</v>
      </c>
      <c r="M158" t="s">
        <v>416</v>
      </c>
      <c r="N158" t="s">
        <v>417</v>
      </c>
    </row>
    <row r="159" spans="1:14" x14ac:dyDescent="0.35">
      <c r="A159">
        <v>53008</v>
      </c>
      <c r="B159" t="s">
        <v>76</v>
      </c>
      <c r="C159" s="205">
        <v>46120</v>
      </c>
      <c r="D159">
        <v>2183</v>
      </c>
      <c r="E159" t="s">
        <v>510</v>
      </c>
      <c r="F159" t="s">
        <v>488</v>
      </c>
      <c r="G159" t="s">
        <v>433</v>
      </c>
      <c r="H159">
        <v>1500093248</v>
      </c>
      <c r="I159">
        <v>324434.88</v>
      </c>
      <c r="J159">
        <v>0</v>
      </c>
      <c r="K159" t="s">
        <v>414</v>
      </c>
      <c r="L159" t="s">
        <v>415</v>
      </c>
      <c r="M159" t="s">
        <v>416</v>
      </c>
      <c r="N159" t="s">
        <v>417</v>
      </c>
    </row>
    <row r="160" spans="1:14" x14ac:dyDescent="0.35">
      <c r="A160">
        <v>53008</v>
      </c>
      <c r="B160" t="s">
        <v>76</v>
      </c>
      <c r="C160" s="205">
        <v>46122</v>
      </c>
      <c r="D160">
        <v>2191</v>
      </c>
      <c r="E160" t="s">
        <v>510</v>
      </c>
      <c r="F160" t="s">
        <v>488</v>
      </c>
      <c r="G160" t="s">
        <v>433</v>
      </c>
      <c r="H160">
        <v>1500093410</v>
      </c>
      <c r="I160">
        <v>142317</v>
      </c>
      <c r="J160">
        <v>0</v>
      </c>
      <c r="K160" t="s">
        <v>414</v>
      </c>
      <c r="L160" t="s">
        <v>415</v>
      </c>
      <c r="M160" t="s">
        <v>416</v>
      </c>
      <c r="N160" t="s">
        <v>417</v>
      </c>
    </row>
    <row r="161" spans="1:14" x14ac:dyDescent="0.35">
      <c r="A161">
        <v>53008</v>
      </c>
      <c r="B161" t="s">
        <v>76</v>
      </c>
      <c r="C161" s="205">
        <v>46127</v>
      </c>
      <c r="D161">
        <v>2375</v>
      </c>
      <c r="E161" t="s">
        <v>518</v>
      </c>
      <c r="F161" t="s">
        <v>519</v>
      </c>
      <c r="G161" t="s">
        <v>433</v>
      </c>
      <c r="H161">
        <v>2400013706</v>
      </c>
      <c r="I161">
        <v>3524902.11</v>
      </c>
      <c r="J161">
        <v>0</v>
      </c>
      <c r="K161" t="s">
        <v>414</v>
      </c>
      <c r="L161" t="s">
        <v>415</v>
      </c>
      <c r="M161" t="s">
        <v>416</v>
      </c>
      <c r="N161" t="s">
        <v>417</v>
      </c>
    </row>
    <row r="162" spans="1:14" x14ac:dyDescent="0.35">
      <c r="A162">
        <v>53008</v>
      </c>
      <c r="B162" t="s">
        <v>76</v>
      </c>
      <c r="C162" s="205">
        <v>46129</v>
      </c>
      <c r="D162">
        <v>2383</v>
      </c>
      <c r="E162" t="s">
        <v>510</v>
      </c>
      <c r="F162" t="s">
        <v>488</v>
      </c>
      <c r="G162" t="s">
        <v>433</v>
      </c>
      <c r="H162">
        <v>1500093633</v>
      </c>
      <c r="I162">
        <v>324434.88</v>
      </c>
      <c r="J162">
        <v>0</v>
      </c>
      <c r="K162" t="s">
        <v>414</v>
      </c>
      <c r="L162" t="s">
        <v>415</v>
      </c>
      <c r="M162" t="s">
        <v>416</v>
      </c>
      <c r="N162" t="s">
        <v>417</v>
      </c>
    </row>
    <row r="163" spans="1:14" x14ac:dyDescent="0.35">
      <c r="A163">
        <v>53008</v>
      </c>
      <c r="B163" t="s">
        <v>76</v>
      </c>
      <c r="C163" s="205">
        <v>46129</v>
      </c>
      <c r="D163">
        <v>2385</v>
      </c>
      <c r="E163" t="s">
        <v>520</v>
      </c>
      <c r="F163" t="s">
        <v>498</v>
      </c>
      <c r="G163" t="s">
        <v>433</v>
      </c>
      <c r="H163">
        <v>1000035061</v>
      </c>
      <c r="I163">
        <v>55429.75</v>
      </c>
      <c r="J163">
        <v>0</v>
      </c>
      <c r="K163" t="s">
        <v>414</v>
      </c>
      <c r="L163" t="s">
        <v>415</v>
      </c>
      <c r="M163" t="s">
        <v>416</v>
      </c>
      <c r="N163" t="s">
        <v>417</v>
      </c>
    </row>
    <row r="164" spans="1:14" x14ac:dyDescent="0.35">
      <c r="A164">
        <v>53008</v>
      </c>
      <c r="B164" t="s">
        <v>76</v>
      </c>
      <c r="C164" s="205">
        <v>46136</v>
      </c>
      <c r="D164">
        <v>2544</v>
      </c>
      <c r="E164" t="s">
        <v>510</v>
      </c>
      <c r="F164" t="s">
        <v>488</v>
      </c>
      <c r="G164" t="s">
        <v>433</v>
      </c>
      <c r="H164">
        <v>1500093969</v>
      </c>
      <c r="I164">
        <v>2101832.59</v>
      </c>
      <c r="J164">
        <v>0</v>
      </c>
      <c r="K164" t="s">
        <v>414</v>
      </c>
      <c r="L164" t="s">
        <v>415</v>
      </c>
      <c r="M164" t="s">
        <v>416</v>
      </c>
      <c r="N164" t="s">
        <v>417</v>
      </c>
    </row>
    <row r="165" spans="1:14" x14ac:dyDescent="0.35">
      <c r="A165">
        <v>53008</v>
      </c>
      <c r="B165" t="s">
        <v>76</v>
      </c>
      <c r="C165" s="205">
        <v>46139</v>
      </c>
      <c r="D165">
        <v>2552</v>
      </c>
      <c r="E165" t="s">
        <v>521</v>
      </c>
      <c r="F165" t="s">
        <v>501</v>
      </c>
      <c r="G165" t="s">
        <v>433</v>
      </c>
      <c r="H165">
        <v>600026221</v>
      </c>
      <c r="I165">
        <v>47933.89</v>
      </c>
      <c r="J165">
        <v>0</v>
      </c>
      <c r="K165" t="s">
        <v>414</v>
      </c>
      <c r="L165" t="s">
        <v>415</v>
      </c>
      <c r="M165" t="s">
        <v>416</v>
      </c>
      <c r="N165" t="s">
        <v>417</v>
      </c>
    </row>
    <row r="166" spans="1:14" x14ac:dyDescent="0.35">
      <c r="A166">
        <v>53008</v>
      </c>
      <c r="B166" t="s">
        <v>76</v>
      </c>
      <c r="C166" s="205">
        <v>46150</v>
      </c>
      <c r="D166">
        <v>2742</v>
      </c>
      <c r="E166" t="s">
        <v>510</v>
      </c>
      <c r="F166" t="s">
        <v>488</v>
      </c>
      <c r="G166" t="s">
        <v>433</v>
      </c>
      <c r="H166">
        <v>1500094635</v>
      </c>
      <c r="I166">
        <v>1059209.3400000001</v>
      </c>
      <c r="J166">
        <v>0</v>
      </c>
      <c r="K166" t="s">
        <v>414</v>
      </c>
      <c r="L166" t="s">
        <v>415</v>
      </c>
      <c r="M166" t="s">
        <v>416</v>
      </c>
      <c r="N166" t="s">
        <v>417</v>
      </c>
    </row>
    <row r="167" spans="1:14" x14ac:dyDescent="0.35">
      <c r="A167">
        <v>53008</v>
      </c>
      <c r="B167" t="s">
        <v>76</v>
      </c>
      <c r="C167" s="205">
        <v>46150</v>
      </c>
      <c r="D167">
        <v>1178</v>
      </c>
      <c r="E167" t="s">
        <v>522</v>
      </c>
      <c r="F167" t="s">
        <v>420</v>
      </c>
      <c r="G167" t="s">
        <v>429</v>
      </c>
      <c r="H167">
        <v>9142</v>
      </c>
      <c r="I167">
        <v>3031570.46</v>
      </c>
      <c r="J167">
        <v>0</v>
      </c>
      <c r="K167" t="s">
        <v>414</v>
      </c>
      <c r="L167" t="s">
        <v>415</v>
      </c>
      <c r="M167" t="s">
        <v>416</v>
      </c>
      <c r="N167" t="s">
        <v>417</v>
      </c>
    </row>
    <row r="168" spans="1:14" x14ac:dyDescent="0.35">
      <c r="A168">
        <v>53008</v>
      </c>
      <c r="B168" t="s">
        <v>76</v>
      </c>
      <c r="C168" s="205">
        <v>46154</v>
      </c>
      <c r="D168">
        <v>2672</v>
      </c>
      <c r="E168" t="s">
        <v>523</v>
      </c>
      <c r="F168" t="s">
        <v>524</v>
      </c>
      <c r="G168" t="s">
        <v>525</v>
      </c>
      <c r="H168">
        <v>19713</v>
      </c>
      <c r="I168">
        <v>15609000</v>
      </c>
      <c r="J168">
        <v>0</v>
      </c>
      <c r="K168" t="s">
        <v>414</v>
      </c>
      <c r="L168" t="s">
        <v>415</v>
      </c>
      <c r="M168" t="s">
        <v>416</v>
      </c>
      <c r="N168" t="s">
        <v>417</v>
      </c>
    </row>
    <row r="169" spans="1:14" x14ac:dyDescent="0.35">
      <c r="A169">
        <v>53008</v>
      </c>
      <c r="B169" t="s">
        <v>76</v>
      </c>
      <c r="C169" s="205">
        <v>46168</v>
      </c>
      <c r="D169">
        <v>2903</v>
      </c>
      <c r="E169" t="s">
        <v>510</v>
      </c>
      <c r="F169" t="s">
        <v>488</v>
      </c>
      <c r="G169" t="s">
        <v>433</v>
      </c>
      <c r="H169">
        <v>1500095349</v>
      </c>
      <c r="I169">
        <v>214053.42</v>
      </c>
      <c r="J169">
        <v>0</v>
      </c>
      <c r="K169" t="s">
        <v>414</v>
      </c>
      <c r="L169" t="s">
        <v>415</v>
      </c>
      <c r="M169" t="s">
        <v>416</v>
      </c>
      <c r="N169" t="s">
        <v>417</v>
      </c>
    </row>
    <row r="170" spans="1:14" x14ac:dyDescent="0.35">
      <c r="A170">
        <v>53008</v>
      </c>
      <c r="B170" t="s">
        <v>76</v>
      </c>
      <c r="C170" s="205">
        <v>46169</v>
      </c>
      <c r="D170">
        <v>2908</v>
      </c>
      <c r="E170" t="s">
        <v>526</v>
      </c>
      <c r="F170" t="s">
        <v>527</v>
      </c>
      <c r="G170" t="s">
        <v>433</v>
      </c>
      <c r="H170">
        <v>400019468</v>
      </c>
      <c r="I170">
        <v>117234.32</v>
      </c>
      <c r="J170">
        <v>0</v>
      </c>
      <c r="K170" t="s">
        <v>414</v>
      </c>
      <c r="L170" t="s">
        <v>415</v>
      </c>
      <c r="M170" t="s">
        <v>416</v>
      </c>
      <c r="N170" t="s">
        <v>417</v>
      </c>
    </row>
    <row r="171" spans="1:14" x14ac:dyDescent="0.35">
      <c r="A171">
        <v>53008</v>
      </c>
      <c r="B171" t="s">
        <v>76</v>
      </c>
      <c r="C171" s="205">
        <v>46170</v>
      </c>
      <c r="D171">
        <v>2909</v>
      </c>
      <c r="E171" t="s">
        <v>518</v>
      </c>
      <c r="F171" t="s">
        <v>519</v>
      </c>
      <c r="G171" t="s">
        <v>433</v>
      </c>
      <c r="H171">
        <v>2400140177</v>
      </c>
      <c r="I171">
        <v>2753100.75</v>
      </c>
      <c r="J171">
        <v>0</v>
      </c>
      <c r="K171" t="s">
        <v>414</v>
      </c>
      <c r="L171" t="s">
        <v>415</v>
      </c>
      <c r="M171" t="s">
        <v>416</v>
      </c>
      <c r="N171" t="s">
        <v>417</v>
      </c>
    </row>
    <row r="172" spans="1:14" x14ac:dyDescent="0.35">
      <c r="A172">
        <v>53008</v>
      </c>
      <c r="B172" t="s">
        <v>76</v>
      </c>
      <c r="C172" s="205">
        <v>46170</v>
      </c>
      <c r="D172">
        <v>2910</v>
      </c>
      <c r="E172" t="s">
        <v>528</v>
      </c>
      <c r="F172" t="s">
        <v>529</v>
      </c>
      <c r="G172" t="s">
        <v>433</v>
      </c>
      <c r="H172">
        <v>100000033</v>
      </c>
      <c r="I172">
        <v>868000</v>
      </c>
      <c r="J172">
        <v>0</v>
      </c>
      <c r="K172" t="s">
        <v>414</v>
      </c>
      <c r="L172" t="s">
        <v>415</v>
      </c>
      <c r="M172" t="s">
        <v>416</v>
      </c>
      <c r="N172" t="s">
        <v>417</v>
      </c>
    </row>
    <row r="173" spans="1:14" x14ac:dyDescent="0.35">
      <c r="A173">
        <v>53009</v>
      </c>
      <c r="B173" t="s">
        <v>71</v>
      </c>
      <c r="C173" s="205">
        <v>45967</v>
      </c>
      <c r="D173">
        <v>28</v>
      </c>
      <c r="E173" t="s">
        <v>530</v>
      </c>
      <c r="F173" t="s">
        <v>420</v>
      </c>
      <c r="G173" t="s">
        <v>429</v>
      </c>
      <c r="H173">
        <v>7953</v>
      </c>
      <c r="I173">
        <v>4356000</v>
      </c>
      <c r="J173">
        <v>0</v>
      </c>
      <c r="K173" t="s">
        <v>414</v>
      </c>
      <c r="L173" t="s">
        <v>415</v>
      </c>
      <c r="M173" t="s">
        <v>416</v>
      </c>
      <c r="N173" t="s">
        <v>417</v>
      </c>
    </row>
    <row r="174" spans="1:14" x14ac:dyDescent="0.35">
      <c r="A174">
        <v>53009</v>
      </c>
      <c r="B174" t="s">
        <v>71</v>
      </c>
      <c r="C174" s="205">
        <v>45968</v>
      </c>
      <c r="D174">
        <v>32</v>
      </c>
      <c r="E174" t="s">
        <v>531</v>
      </c>
      <c r="F174" t="s">
        <v>420</v>
      </c>
      <c r="G174" t="s">
        <v>429</v>
      </c>
      <c r="H174">
        <v>7957</v>
      </c>
      <c r="I174">
        <v>250000</v>
      </c>
      <c r="J174">
        <v>0</v>
      </c>
      <c r="K174" t="s">
        <v>414</v>
      </c>
      <c r="L174" t="s">
        <v>415</v>
      </c>
      <c r="M174" t="s">
        <v>416</v>
      </c>
      <c r="N174" t="s">
        <v>417</v>
      </c>
    </row>
    <row r="175" spans="1:14" x14ac:dyDescent="0.35">
      <c r="A175">
        <v>53009</v>
      </c>
      <c r="B175" t="s">
        <v>71</v>
      </c>
      <c r="C175" s="205">
        <v>45982</v>
      </c>
      <c r="D175">
        <v>59</v>
      </c>
      <c r="E175" t="s">
        <v>532</v>
      </c>
      <c r="F175" t="s">
        <v>420</v>
      </c>
      <c r="G175" t="s">
        <v>429</v>
      </c>
      <c r="H175">
        <v>7984</v>
      </c>
      <c r="I175">
        <v>250000</v>
      </c>
      <c r="J175">
        <v>0</v>
      </c>
      <c r="K175" t="s">
        <v>414</v>
      </c>
      <c r="L175" t="s">
        <v>415</v>
      </c>
      <c r="M175" t="s">
        <v>416</v>
      </c>
      <c r="N175" t="s">
        <v>417</v>
      </c>
    </row>
    <row r="176" spans="1:14" x14ac:dyDescent="0.35">
      <c r="A176">
        <v>53009</v>
      </c>
      <c r="B176" t="s">
        <v>71</v>
      </c>
      <c r="C176" s="205">
        <v>45982</v>
      </c>
      <c r="D176">
        <v>67</v>
      </c>
      <c r="E176" t="s">
        <v>533</v>
      </c>
      <c r="F176" t="s">
        <v>420</v>
      </c>
      <c r="G176" t="s">
        <v>429</v>
      </c>
      <c r="H176">
        <v>7992</v>
      </c>
      <c r="I176">
        <v>3501000</v>
      </c>
      <c r="J176">
        <v>0</v>
      </c>
      <c r="K176" t="s">
        <v>414</v>
      </c>
      <c r="L176" t="s">
        <v>415</v>
      </c>
      <c r="M176" t="s">
        <v>416</v>
      </c>
      <c r="N176" t="s">
        <v>417</v>
      </c>
    </row>
    <row r="177" spans="1:14" x14ac:dyDescent="0.35">
      <c r="A177">
        <v>53009</v>
      </c>
      <c r="B177" t="s">
        <v>71</v>
      </c>
      <c r="C177" s="205">
        <v>45989</v>
      </c>
      <c r="D177">
        <v>92</v>
      </c>
      <c r="E177" t="s">
        <v>534</v>
      </c>
      <c r="F177" t="s">
        <v>420</v>
      </c>
      <c r="G177" t="s">
        <v>429</v>
      </c>
      <c r="H177">
        <v>8017</v>
      </c>
      <c r="I177">
        <v>43350</v>
      </c>
      <c r="J177">
        <v>0</v>
      </c>
      <c r="K177" t="s">
        <v>414</v>
      </c>
      <c r="L177" t="s">
        <v>415</v>
      </c>
      <c r="M177" t="s">
        <v>416</v>
      </c>
      <c r="N177" t="s">
        <v>417</v>
      </c>
    </row>
    <row r="178" spans="1:14" x14ac:dyDescent="0.35">
      <c r="A178">
        <v>53009</v>
      </c>
      <c r="B178" t="s">
        <v>71</v>
      </c>
      <c r="C178" s="205">
        <v>45996</v>
      </c>
      <c r="D178">
        <v>117</v>
      </c>
      <c r="E178" t="s">
        <v>535</v>
      </c>
      <c r="F178" t="s">
        <v>420</v>
      </c>
      <c r="G178" t="s">
        <v>429</v>
      </c>
      <c r="H178">
        <v>8051</v>
      </c>
      <c r="I178">
        <v>253000</v>
      </c>
      <c r="J178">
        <v>0</v>
      </c>
      <c r="K178" t="s">
        <v>414</v>
      </c>
      <c r="L178" t="s">
        <v>415</v>
      </c>
      <c r="M178" t="s">
        <v>416</v>
      </c>
      <c r="N178" t="s">
        <v>417</v>
      </c>
    </row>
    <row r="179" spans="1:14" x14ac:dyDescent="0.35">
      <c r="A179">
        <v>53009</v>
      </c>
      <c r="B179" t="s">
        <v>71</v>
      </c>
      <c r="C179" s="205">
        <v>45996</v>
      </c>
      <c r="D179">
        <v>139</v>
      </c>
      <c r="E179" t="s">
        <v>536</v>
      </c>
      <c r="F179" t="s">
        <v>420</v>
      </c>
      <c r="G179" t="s">
        <v>429</v>
      </c>
      <c r="H179">
        <v>8158</v>
      </c>
      <c r="I179">
        <v>4063500</v>
      </c>
      <c r="J179">
        <v>0</v>
      </c>
      <c r="K179" t="s">
        <v>414</v>
      </c>
      <c r="L179" t="s">
        <v>415</v>
      </c>
      <c r="M179" t="s">
        <v>416</v>
      </c>
      <c r="N179" t="s">
        <v>417</v>
      </c>
    </row>
    <row r="180" spans="1:14" x14ac:dyDescent="0.35">
      <c r="A180">
        <v>53009</v>
      </c>
      <c r="B180" t="s">
        <v>71</v>
      </c>
      <c r="C180" s="205">
        <v>46010</v>
      </c>
      <c r="D180">
        <v>200</v>
      </c>
      <c r="E180" t="s">
        <v>537</v>
      </c>
      <c r="F180" t="s">
        <v>420</v>
      </c>
      <c r="G180" t="s">
        <v>429</v>
      </c>
      <c r="H180">
        <v>8227</v>
      </c>
      <c r="I180">
        <v>258000</v>
      </c>
      <c r="J180">
        <v>0</v>
      </c>
      <c r="K180" t="s">
        <v>414</v>
      </c>
      <c r="L180" t="s">
        <v>415</v>
      </c>
      <c r="M180" t="s">
        <v>416</v>
      </c>
      <c r="N180" t="s">
        <v>417</v>
      </c>
    </row>
    <row r="181" spans="1:14" x14ac:dyDescent="0.35">
      <c r="A181">
        <v>53009</v>
      </c>
      <c r="B181" t="s">
        <v>71</v>
      </c>
      <c r="C181" s="205">
        <v>46010</v>
      </c>
      <c r="D181">
        <v>211</v>
      </c>
      <c r="E181" t="s">
        <v>538</v>
      </c>
      <c r="F181" t="s">
        <v>420</v>
      </c>
      <c r="G181" t="s">
        <v>429</v>
      </c>
      <c r="H181">
        <v>8238</v>
      </c>
      <c r="I181">
        <v>4336000</v>
      </c>
      <c r="J181">
        <v>0</v>
      </c>
      <c r="K181" t="s">
        <v>414</v>
      </c>
      <c r="L181" t="s">
        <v>415</v>
      </c>
      <c r="M181" t="s">
        <v>416</v>
      </c>
      <c r="N181" t="s">
        <v>417</v>
      </c>
    </row>
    <row r="182" spans="1:14" x14ac:dyDescent="0.35">
      <c r="A182">
        <v>53009</v>
      </c>
      <c r="B182" t="s">
        <v>71</v>
      </c>
      <c r="C182" s="205">
        <v>46024</v>
      </c>
      <c r="D182">
        <v>283</v>
      </c>
      <c r="E182" t="s">
        <v>539</v>
      </c>
      <c r="F182" t="s">
        <v>420</v>
      </c>
      <c r="G182" t="s">
        <v>429</v>
      </c>
      <c r="H182">
        <v>8306</v>
      </c>
      <c r="I182">
        <v>1500000</v>
      </c>
      <c r="J182">
        <v>0</v>
      </c>
      <c r="K182" t="s">
        <v>414</v>
      </c>
      <c r="L182" t="s">
        <v>415</v>
      </c>
      <c r="M182" t="s">
        <v>416</v>
      </c>
      <c r="N182" t="s">
        <v>417</v>
      </c>
    </row>
    <row r="183" spans="1:14" x14ac:dyDescent="0.35">
      <c r="A183">
        <v>53009</v>
      </c>
      <c r="B183" t="s">
        <v>71</v>
      </c>
      <c r="C183" s="205">
        <v>46028</v>
      </c>
      <c r="D183">
        <v>286</v>
      </c>
      <c r="E183" t="s">
        <v>540</v>
      </c>
      <c r="F183" t="s">
        <v>420</v>
      </c>
      <c r="G183" t="s">
        <v>429</v>
      </c>
      <c r="H183">
        <v>8309</v>
      </c>
      <c r="I183">
        <v>91000</v>
      </c>
      <c r="J183">
        <v>0</v>
      </c>
      <c r="K183" t="s">
        <v>414</v>
      </c>
      <c r="L183" t="s">
        <v>415</v>
      </c>
      <c r="M183" t="s">
        <v>416</v>
      </c>
      <c r="N183" t="s">
        <v>417</v>
      </c>
    </row>
    <row r="184" spans="1:14" x14ac:dyDescent="0.35">
      <c r="A184">
        <v>53009</v>
      </c>
      <c r="B184" t="s">
        <v>71</v>
      </c>
      <c r="C184" s="205">
        <v>46028</v>
      </c>
      <c r="D184">
        <v>287</v>
      </c>
      <c r="E184" t="s">
        <v>541</v>
      </c>
      <c r="F184" t="s">
        <v>420</v>
      </c>
      <c r="G184" t="s">
        <v>429</v>
      </c>
      <c r="H184">
        <v>8310</v>
      </c>
      <c r="I184">
        <v>94000</v>
      </c>
      <c r="J184">
        <v>0</v>
      </c>
      <c r="K184" t="s">
        <v>414</v>
      </c>
      <c r="L184" t="s">
        <v>415</v>
      </c>
      <c r="M184" t="s">
        <v>416</v>
      </c>
      <c r="N184" t="s">
        <v>417</v>
      </c>
    </row>
    <row r="185" spans="1:14" x14ac:dyDescent="0.35">
      <c r="A185">
        <v>53009</v>
      </c>
      <c r="B185" t="s">
        <v>71</v>
      </c>
      <c r="C185" s="205">
        <v>46030</v>
      </c>
      <c r="D185">
        <v>304</v>
      </c>
      <c r="E185" t="s">
        <v>542</v>
      </c>
      <c r="F185" t="s">
        <v>420</v>
      </c>
      <c r="G185" t="s">
        <v>429</v>
      </c>
      <c r="H185">
        <v>8327</v>
      </c>
      <c r="I185">
        <v>3346500</v>
      </c>
      <c r="J185">
        <v>0</v>
      </c>
      <c r="K185" t="s">
        <v>414</v>
      </c>
      <c r="L185" t="s">
        <v>415</v>
      </c>
      <c r="M185" t="s">
        <v>416</v>
      </c>
      <c r="N185" t="s">
        <v>417</v>
      </c>
    </row>
    <row r="186" spans="1:14" x14ac:dyDescent="0.35">
      <c r="A186">
        <v>53009</v>
      </c>
      <c r="B186" t="s">
        <v>71</v>
      </c>
      <c r="C186" s="205">
        <v>46031</v>
      </c>
      <c r="D186">
        <v>310</v>
      </c>
      <c r="E186" t="s">
        <v>543</v>
      </c>
      <c r="F186" t="s">
        <v>420</v>
      </c>
      <c r="G186" t="s">
        <v>429</v>
      </c>
      <c r="H186">
        <v>8333</v>
      </c>
      <c r="I186">
        <v>258000</v>
      </c>
      <c r="J186">
        <v>0</v>
      </c>
      <c r="K186" t="s">
        <v>414</v>
      </c>
      <c r="L186" t="s">
        <v>415</v>
      </c>
      <c r="M186" t="s">
        <v>416</v>
      </c>
      <c r="N186" t="s">
        <v>417</v>
      </c>
    </row>
    <row r="187" spans="1:14" x14ac:dyDescent="0.35">
      <c r="A187">
        <v>53009</v>
      </c>
      <c r="B187" t="s">
        <v>71</v>
      </c>
      <c r="C187" s="205">
        <v>46038</v>
      </c>
      <c r="D187">
        <v>344</v>
      </c>
      <c r="E187" t="s">
        <v>544</v>
      </c>
      <c r="F187" t="s">
        <v>420</v>
      </c>
      <c r="G187" t="s">
        <v>429</v>
      </c>
      <c r="H187">
        <v>8365</v>
      </c>
      <c r="I187">
        <v>3519700</v>
      </c>
      <c r="J187">
        <v>0</v>
      </c>
      <c r="K187" t="s">
        <v>414</v>
      </c>
      <c r="L187" t="s">
        <v>415</v>
      </c>
      <c r="M187" t="s">
        <v>416</v>
      </c>
      <c r="N187" t="s">
        <v>417</v>
      </c>
    </row>
    <row r="188" spans="1:14" x14ac:dyDescent="0.35">
      <c r="A188">
        <v>53009</v>
      </c>
      <c r="B188" t="s">
        <v>71</v>
      </c>
      <c r="C188" s="205">
        <v>46044</v>
      </c>
      <c r="D188">
        <v>412</v>
      </c>
      <c r="E188" t="s">
        <v>545</v>
      </c>
      <c r="F188" t="s">
        <v>420</v>
      </c>
      <c r="G188" t="s">
        <v>429</v>
      </c>
      <c r="H188">
        <v>8436</v>
      </c>
      <c r="I188">
        <v>4510000</v>
      </c>
      <c r="J188">
        <v>0</v>
      </c>
      <c r="K188" t="s">
        <v>414</v>
      </c>
      <c r="L188" t="s">
        <v>415</v>
      </c>
      <c r="M188" t="s">
        <v>416</v>
      </c>
      <c r="N188" t="s">
        <v>417</v>
      </c>
    </row>
    <row r="189" spans="1:14" x14ac:dyDescent="0.35">
      <c r="A189">
        <v>53009</v>
      </c>
      <c r="B189" t="s">
        <v>71</v>
      </c>
      <c r="C189" s="205">
        <v>46044</v>
      </c>
      <c r="D189">
        <v>420</v>
      </c>
      <c r="E189" t="s">
        <v>546</v>
      </c>
      <c r="F189" t="s">
        <v>420</v>
      </c>
      <c r="G189" t="s">
        <v>429</v>
      </c>
      <c r="H189">
        <v>8444</v>
      </c>
      <c r="I189">
        <v>263000</v>
      </c>
      <c r="J189">
        <v>0</v>
      </c>
      <c r="K189" t="s">
        <v>414</v>
      </c>
      <c r="L189" t="s">
        <v>415</v>
      </c>
      <c r="M189" t="s">
        <v>416</v>
      </c>
      <c r="N189" t="s">
        <v>417</v>
      </c>
    </row>
    <row r="190" spans="1:14" x14ac:dyDescent="0.35">
      <c r="A190">
        <v>53009</v>
      </c>
      <c r="B190" t="s">
        <v>71</v>
      </c>
      <c r="C190" s="205">
        <v>46059</v>
      </c>
      <c r="D190">
        <v>545</v>
      </c>
      <c r="E190" t="s">
        <v>547</v>
      </c>
      <c r="F190" t="s">
        <v>420</v>
      </c>
      <c r="G190" t="s">
        <v>429</v>
      </c>
      <c r="H190">
        <v>8566</v>
      </c>
      <c r="I190">
        <v>7554000</v>
      </c>
      <c r="J190">
        <v>0</v>
      </c>
      <c r="K190" t="s">
        <v>414</v>
      </c>
      <c r="L190" t="s">
        <v>415</v>
      </c>
      <c r="M190" t="s">
        <v>416</v>
      </c>
      <c r="N190" t="s">
        <v>417</v>
      </c>
    </row>
    <row r="191" spans="1:14" x14ac:dyDescent="0.35">
      <c r="A191">
        <v>53009</v>
      </c>
      <c r="B191" t="s">
        <v>71</v>
      </c>
      <c r="C191" s="205">
        <v>46087</v>
      </c>
      <c r="D191">
        <v>666</v>
      </c>
      <c r="E191" t="s">
        <v>548</v>
      </c>
      <c r="F191" t="s">
        <v>420</v>
      </c>
      <c r="G191" t="s">
        <v>429</v>
      </c>
      <c r="H191">
        <v>8684</v>
      </c>
      <c r="I191">
        <v>3158000</v>
      </c>
      <c r="J191">
        <v>0</v>
      </c>
      <c r="K191" t="s">
        <v>414</v>
      </c>
      <c r="L191" t="s">
        <v>415</v>
      </c>
      <c r="M191" t="s">
        <v>416</v>
      </c>
      <c r="N191" t="s">
        <v>417</v>
      </c>
    </row>
    <row r="192" spans="1:14" x14ac:dyDescent="0.35">
      <c r="A192">
        <v>53009</v>
      </c>
      <c r="B192" t="s">
        <v>71</v>
      </c>
      <c r="C192" s="205">
        <v>46100</v>
      </c>
      <c r="D192">
        <v>815</v>
      </c>
      <c r="E192" t="s">
        <v>549</v>
      </c>
      <c r="F192" t="s">
        <v>420</v>
      </c>
      <c r="G192" t="s">
        <v>429</v>
      </c>
      <c r="H192">
        <v>8843</v>
      </c>
      <c r="I192">
        <v>3933500</v>
      </c>
      <c r="J192">
        <v>0</v>
      </c>
      <c r="K192" t="s">
        <v>414</v>
      </c>
      <c r="L192" t="s">
        <v>415</v>
      </c>
      <c r="M192" t="s">
        <v>416</v>
      </c>
      <c r="N192" t="s">
        <v>417</v>
      </c>
    </row>
    <row r="193" spans="1:14" x14ac:dyDescent="0.35">
      <c r="A193">
        <v>53009</v>
      </c>
      <c r="B193" t="s">
        <v>71</v>
      </c>
      <c r="C193" s="205">
        <v>46113</v>
      </c>
      <c r="D193">
        <v>941</v>
      </c>
      <c r="E193" t="s">
        <v>550</v>
      </c>
      <c r="F193" t="s">
        <v>420</v>
      </c>
      <c r="G193" t="s">
        <v>429</v>
      </c>
      <c r="H193">
        <v>8969</v>
      </c>
      <c r="I193">
        <v>643500</v>
      </c>
      <c r="J193">
        <v>0</v>
      </c>
      <c r="K193" t="s">
        <v>414</v>
      </c>
      <c r="L193" t="s">
        <v>415</v>
      </c>
      <c r="M193" t="s">
        <v>416</v>
      </c>
      <c r="N193" t="s">
        <v>417</v>
      </c>
    </row>
    <row r="194" spans="1:14" x14ac:dyDescent="0.35">
      <c r="A194">
        <v>53009</v>
      </c>
      <c r="B194" t="s">
        <v>71</v>
      </c>
      <c r="C194" s="205">
        <v>46119</v>
      </c>
      <c r="D194">
        <v>1069</v>
      </c>
      <c r="E194" t="s">
        <v>551</v>
      </c>
      <c r="F194" t="s">
        <v>420</v>
      </c>
      <c r="G194" t="s">
        <v>429</v>
      </c>
      <c r="H194">
        <v>9096</v>
      </c>
      <c r="I194">
        <v>4313000</v>
      </c>
      <c r="J194">
        <v>0</v>
      </c>
      <c r="K194" t="s">
        <v>414</v>
      </c>
      <c r="L194" t="s">
        <v>415</v>
      </c>
      <c r="M194" t="s">
        <v>416</v>
      </c>
      <c r="N194" t="s">
        <v>417</v>
      </c>
    </row>
    <row r="195" spans="1:14" x14ac:dyDescent="0.35">
      <c r="A195">
        <v>53009</v>
      </c>
      <c r="B195" t="s">
        <v>71</v>
      </c>
      <c r="C195" s="205">
        <v>46129</v>
      </c>
      <c r="D195">
        <v>996</v>
      </c>
      <c r="E195" t="s">
        <v>552</v>
      </c>
      <c r="F195" t="s">
        <v>420</v>
      </c>
      <c r="G195" t="s">
        <v>429</v>
      </c>
      <c r="H195">
        <v>9024</v>
      </c>
      <c r="I195">
        <v>3659500</v>
      </c>
      <c r="J195">
        <v>0</v>
      </c>
      <c r="K195" t="s">
        <v>414</v>
      </c>
      <c r="L195" t="s">
        <v>415</v>
      </c>
      <c r="M195" t="s">
        <v>416</v>
      </c>
      <c r="N195" t="s">
        <v>417</v>
      </c>
    </row>
    <row r="196" spans="1:14" x14ac:dyDescent="0.35">
      <c r="A196">
        <v>53009</v>
      </c>
      <c r="B196" t="s">
        <v>71</v>
      </c>
      <c r="C196" s="205">
        <v>46129</v>
      </c>
      <c r="D196">
        <v>1002</v>
      </c>
      <c r="E196" t="s">
        <v>553</v>
      </c>
      <c r="F196" t="s">
        <v>420</v>
      </c>
      <c r="G196" t="s">
        <v>429</v>
      </c>
      <c r="H196">
        <v>9030</v>
      </c>
      <c r="I196">
        <v>290000</v>
      </c>
      <c r="J196">
        <v>0</v>
      </c>
      <c r="K196" t="s">
        <v>414</v>
      </c>
      <c r="L196" t="s">
        <v>415</v>
      </c>
      <c r="M196" t="s">
        <v>416</v>
      </c>
      <c r="N196" t="s">
        <v>417</v>
      </c>
    </row>
    <row r="197" spans="1:14" x14ac:dyDescent="0.35">
      <c r="A197">
        <v>53009</v>
      </c>
      <c r="B197" t="s">
        <v>71</v>
      </c>
      <c r="C197" s="205">
        <v>46149</v>
      </c>
      <c r="D197">
        <v>1109</v>
      </c>
      <c r="E197" t="s">
        <v>554</v>
      </c>
      <c r="F197" t="s">
        <v>420</v>
      </c>
      <c r="G197" t="s">
        <v>429</v>
      </c>
      <c r="H197">
        <v>9136</v>
      </c>
      <c r="I197">
        <v>5516000</v>
      </c>
      <c r="J197">
        <v>0</v>
      </c>
      <c r="K197" t="s">
        <v>414</v>
      </c>
      <c r="L197" t="s">
        <v>415</v>
      </c>
      <c r="M197" t="s">
        <v>416</v>
      </c>
      <c r="N197" t="s">
        <v>417</v>
      </c>
    </row>
    <row r="198" spans="1:14" x14ac:dyDescent="0.35">
      <c r="A198">
        <v>53009</v>
      </c>
      <c r="B198" t="s">
        <v>71</v>
      </c>
      <c r="C198" s="205">
        <v>46163</v>
      </c>
      <c r="D198">
        <v>1236</v>
      </c>
      <c r="E198" t="s">
        <v>555</v>
      </c>
      <c r="F198" t="s">
        <v>420</v>
      </c>
      <c r="G198" t="s">
        <v>429</v>
      </c>
      <c r="H198">
        <v>9260</v>
      </c>
      <c r="I198">
        <v>4285000</v>
      </c>
      <c r="J198">
        <v>0</v>
      </c>
      <c r="K198" t="s">
        <v>414</v>
      </c>
      <c r="L198" t="s">
        <v>415</v>
      </c>
      <c r="M198" t="s">
        <v>416</v>
      </c>
      <c r="N198" t="s">
        <v>417</v>
      </c>
    </row>
    <row r="199" spans="1:14" x14ac:dyDescent="0.35">
      <c r="A199">
        <v>53010</v>
      </c>
      <c r="B199" t="s">
        <v>115</v>
      </c>
      <c r="C199" s="205">
        <v>46058</v>
      </c>
      <c r="D199">
        <v>1208</v>
      </c>
      <c r="E199" t="s">
        <v>556</v>
      </c>
      <c r="F199" t="s">
        <v>517</v>
      </c>
      <c r="G199" t="s">
        <v>433</v>
      </c>
      <c r="H199">
        <v>600000279</v>
      </c>
      <c r="I199">
        <v>6856283.7000000002</v>
      </c>
      <c r="J199">
        <v>0</v>
      </c>
      <c r="K199" t="s">
        <v>414</v>
      </c>
      <c r="L199" t="s">
        <v>415</v>
      </c>
      <c r="M199" t="s">
        <v>416</v>
      </c>
      <c r="N199" t="s">
        <v>417</v>
      </c>
    </row>
    <row r="200" spans="1:14" x14ac:dyDescent="0.35">
      <c r="A200">
        <v>53010</v>
      </c>
      <c r="B200" t="s">
        <v>115</v>
      </c>
      <c r="C200" s="205">
        <v>46094</v>
      </c>
      <c r="D200">
        <v>1676</v>
      </c>
      <c r="E200" t="s">
        <v>557</v>
      </c>
      <c r="F200" t="s">
        <v>488</v>
      </c>
      <c r="G200" t="s">
        <v>433</v>
      </c>
      <c r="H200">
        <v>1500092219</v>
      </c>
      <c r="I200">
        <v>1071902.3</v>
      </c>
      <c r="J200">
        <v>0</v>
      </c>
      <c r="K200" t="s">
        <v>414</v>
      </c>
      <c r="L200" t="s">
        <v>415</v>
      </c>
      <c r="M200" t="s">
        <v>416</v>
      </c>
      <c r="N200" t="s">
        <v>417</v>
      </c>
    </row>
    <row r="201" spans="1:14" x14ac:dyDescent="0.35">
      <c r="A201">
        <v>53010</v>
      </c>
      <c r="B201" t="s">
        <v>115</v>
      </c>
      <c r="C201" s="205">
        <v>46120</v>
      </c>
      <c r="D201">
        <v>2183</v>
      </c>
      <c r="E201" t="s">
        <v>557</v>
      </c>
      <c r="F201" t="s">
        <v>488</v>
      </c>
      <c r="G201" t="s">
        <v>433</v>
      </c>
      <c r="H201">
        <v>1500093248</v>
      </c>
      <c r="I201">
        <v>491875.55</v>
      </c>
      <c r="J201">
        <v>0</v>
      </c>
      <c r="K201" t="s">
        <v>414</v>
      </c>
      <c r="L201" t="s">
        <v>415</v>
      </c>
      <c r="M201" t="s">
        <v>416</v>
      </c>
      <c r="N201" t="s">
        <v>417</v>
      </c>
    </row>
    <row r="202" spans="1:14" x14ac:dyDescent="0.35">
      <c r="A202">
        <v>53010</v>
      </c>
      <c r="B202" t="s">
        <v>115</v>
      </c>
      <c r="C202" s="205">
        <v>46146</v>
      </c>
      <c r="D202">
        <v>2615</v>
      </c>
      <c r="E202" t="s">
        <v>558</v>
      </c>
      <c r="F202" t="s">
        <v>517</v>
      </c>
      <c r="G202" t="s">
        <v>433</v>
      </c>
      <c r="H202">
        <v>600000477</v>
      </c>
      <c r="I202">
        <v>11586301.65</v>
      </c>
      <c r="J202">
        <v>0</v>
      </c>
      <c r="K202" t="s">
        <v>414</v>
      </c>
      <c r="L202" t="s">
        <v>415</v>
      </c>
      <c r="M202" t="s">
        <v>416</v>
      </c>
      <c r="N202" t="s">
        <v>417</v>
      </c>
    </row>
    <row r="203" spans="1:14" x14ac:dyDescent="0.35">
      <c r="A203">
        <v>53010</v>
      </c>
      <c r="B203" t="s">
        <v>115</v>
      </c>
      <c r="C203" s="205">
        <v>46148</v>
      </c>
      <c r="D203">
        <v>2733</v>
      </c>
      <c r="E203" t="s">
        <v>557</v>
      </c>
      <c r="F203" t="s">
        <v>488</v>
      </c>
      <c r="G203" t="s">
        <v>433</v>
      </c>
      <c r="H203">
        <v>1500094495</v>
      </c>
      <c r="I203">
        <v>1061641.22</v>
      </c>
      <c r="J203">
        <v>0</v>
      </c>
      <c r="K203" t="s">
        <v>414</v>
      </c>
      <c r="L203" t="s">
        <v>415</v>
      </c>
      <c r="M203" t="s">
        <v>416</v>
      </c>
      <c r="N203" t="s">
        <v>417</v>
      </c>
    </row>
    <row r="204" spans="1:14" x14ac:dyDescent="0.35">
      <c r="A204">
        <v>53011</v>
      </c>
      <c r="B204" t="s">
        <v>116</v>
      </c>
      <c r="C204" s="205">
        <v>46052</v>
      </c>
      <c r="D204">
        <v>506</v>
      </c>
      <c r="E204" t="s">
        <v>559</v>
      </c>
      <c r="F204" t="s">
        <v>420</v>
      </c>
      <c r="G204" t="s">
        <v>429</v>
      </c>
      <c r="H204">
        <v>8530</v>
      </c>
      <c r="I204">
        <v>1027500</v>
      </c>
      <c r="J204">
        <v>0</v>
      </c>
      <c r="K204" t="s">
        <v>414</v>
      </c>
      <c r="L204" t="s">
        <v>415</v>
      </c>
      <c r="M204" t="s">
        <v>416</v>
      </c>
      <c r="N204" t="s">
        <v>417</v>
      </c>
    </row>
    <row r="205" spans="1:14" x14ac:dyDescent="0.35">
      <c r="A205">
        <v>53011</v>
      </c>
      <c r="B205" t="s">
        <v>116</v>
      </c>
      <c r="C205" s="205">
        <v>46066</v>
      </c>
      <c r="D205">
        <v>561</v>
      </c>
      <c r="E205" t="s">
        <v>560</v>
      </c>
      <c r="F205" t="s">
        <v>420</v>
      </c>
      <c r="G205" t="s">
        <v>429</v>
      </c>
      <c r="H205">
        <v>8582</v>
      </c>
      <c r="I205">
        <v>1177504.57</v>
      </c>
      <c r="J205">
        <v>0</v>
      </c>
      <c r="K205" t="s">
        <v>414</v>
      </c>
      <c r="L205" t="s">
        <v>415</v>
      </c>
      <c r="M205" t="s">
        <v>416</v>
      </c>
      <c r="N205" t="s">
        <v>417</v>
      </c>
    </row>
    <row r="206" spans="1:14" x14ac:dyDescent="0.35">
      <c r="A206">
        <v>53011</v>
      </c>
      <c r="B206" t="s">
        <v>116</v>
      </c>
      <c r="C206" s="205">
        <v>46073</v>
      </c>
      <c r="D206">
        <v>586</v>
      </c>
      <c r="E206" t="s">
        <v>561</v>
      </c>
      <c r="F206" t="s">
        <v>420</v>
      </c>
      <c r="G206" t="s">
        <v>429</v>
      </c>
      <c r="H206">
        <v>8607</v>
      </c>
      <c r="I206">
        <v>111000</v>
      </c>
      <c r="J206">
        <v>0</v>
      </c>
      <c r="K206" t="s">
        <v>414</v>
      </c>
      <c r="L206" t="s">
        <v>415</v>
      </c>
      <c r="M206" t="s">
        <v>416</v>
      </c>
      <c r="N206" t="s">
        <v>417</v>
      </c>
    </row>
    <row r="207" spans="1:14" x14ac:dyDescent="0.35">
      <c r="A207">
        <v>53011</v>
      </c>
      <c r="B207" t="s">
        <v>116</v>
      </c>
      <c r="C207" s="205">
        <v>46129</v>
      </c>
      <c r="D207">
        <v>992</v>
      </c>
      <c r="E207" t="s">
        <v>562</v>
      </c>
      <c r="F207" t="s">
        <v>420</v>
      </c>
      <c r="G207" t="s">
        <v>429</v>
      </c>
      <c r="H207">
        <v>9020</v>
      </c>
      <c r="I207">
        <v>3583500</v>
      </c>
      <c r="J207">
        <v>0</v>
      </c>
      <c r="K207" t="s">
        <v>414</v>
      </c>
      <c r="L207" t="s">
        <v>415</v>
      </c>
      <c r="M207" t="s">
        <v>416</v>
      </c>
      <c r="N207" t="s">
        <v>417</v>
      </c>
    </row>
    <row r="208" spans="1:14" x14ac:dyDescent="0.35">
      <c r="A208">
        <v>53011</v>
      </c>
      <c r="B208" t="s">
        <v>116</v>
      </c>
      <c r="C208" s="205">
        <v>46136</v>
      </c>
      <c r="D208">
        <v>1023</v>
      </c>
      <c r="E208" t="s">
        <v>563</v>
      </c>
      <c r="F208" t="s">
        <v>420</v>
      </c>
      <c r="G208" t="s">
        <v>429</v>
      </c>
      <c r="H208">
        <v>9051</v>
      </c>
      <c r="I208">
        <v>4407050</v>
      </c>
      <c r="J208">
        <v>0</v>
      </c>
      <c r="K208" t="s">
        <v>414</v>
      </c>
      <c r="L208" t="s">
        <v>415</v>
      </c>
      <c r="M208" t="s">
        <v>416</v>
      </c>
      <c r="N208" t="s">
        <v>417</v>
      </c>
    </row>
    <row r="209" spans="1:14" x14ac:dyDescent="0.35">
      <c r="A209">
        <v>53011</v>
      </c>
      <c r="B209" t="s">
        <v>116</v>
      </c>
      <c r="C209" s="205">
        <v>46142</v>
      </c>
      <c r="D209">
        <v>1082</v>
      </c>
      <c r="E209" t="s">
        <v>564</v>
      </c>
      <c r="F209" t="s">
        <v>420</v>
      </c>
      <c r="G209" t="s">
        <v>429</v>
      </c>
      <c r="H209">
        <v>9109</v>
      </c>
      <c r="I209">
        <v>4084890</v>
      </c>
      <c r="J209">
        <v>0</v>
      </c>
      <c r="K209" t="s">
        <v>414</v>
      </c>
      <c r="L209" t="s">
        <v>415</v>
      </c>
      <c r="M209" t="s">
        <v>416</v>
      </c>
      <c r="N209" t="s">
        <v>417</v>
      </c>
    </row>
    <row r="210" spans="1:14" x14ac:dyDescent="0.35">
      <c r="A210">
        <v>53011</v>
      </c>
      <c r="B210" t="s">
        <v>116</v>
      </c>
      <c r="C210" s="205">
        <v>46142</v>
      </c>
      <c r="D210">
        <v>1086</v>
      </c>
      <c r="E210" t="s">
        <v>565</v>
      </c>
      <c r="F210" t="s">
        <v>420</v>
      </c>
      <c r="G210" t="s">
        <v>429</v>
      </c>
      <c r="H210">
        <v>9113</v>
      </c>
      <c r="I210">
        <v>100000</v>
      </c>
      <c r="J210">
        <v>0</v>
      </c>
      <c r="K210" t="s">
        <v>414</v>
      </c>
      <c r="L210" t="s">
        <v>415</v>
      </c>
      <c r="M210" t="s">
        <v>416</v>
      </c>
      <c r="N210" t="s">
        <v>417</v>
      </c>
    </row>
    <row r="211" spans="1:14" x14ac:dyDescent="0.35">
      <c r="A211">
        <v>53011</v>
      </c>
      <c r="B211" t="s">
        <v>116</v>
      </c>
      <c r="C211" s="205">
        <v>46157</v>
      </c>
      <c r="D211">
        <v>1220</v>
      </c>
      <c r="E211" t="s">
        <v>566</v>
      </c>
      <c r="F211" t="s">
        <v>420</v>
      </c>
      <c r="G211" t="s">
        <v>429</v>
      </c>
      <c r="H211">
        <v>9248</v>
      </c>
      <c r="I211">
        <v>6486600</v>
      </c>
      <c r="J211">
        <v>0</v>
      </c>
      <c r="K211" t="s">
        <v>414</v>
      </c>
      <c r="L211" t="s">
        <v>415</v>
      </c>
      <c r="M211" t="s">
        <v>416</v>
      </c>
      <c r="N211" t="s">
        <v>417</v>
      </c>
    </row>
    <row r="212" spans="1:14" x14ac:dyDescent="0.35">
      <c r="A212">
        <v>53011</v>
      </c>
      <c r="B212" t="s">
        <v>116</v>
      </c>
      <c r="C212" s="205">
        <v>46164</v>
      </c>
      <c r="D212">
        <v>1238</v>
      </c>
      <c r="E212" t="s">
        <v>567</v>
      </c>
      <c r="F212" t="s">
        <v>420</v>
      </c>
      <c r="G212" t="s">
        <v>429</v>
      </c>
      <c r="H212">
        <v>9262</v>
      </c>
      <c r="I212">
        <v>2865850</v>
      </c>
      <c r="J212">
        <v>0</v>
      </c>
      <c r="K212" t="s">
        <v>414</v>
      </c>
      <c r="L212" t="s">
        <v>415</v>
      </c>
      <c r="M212" t="s">
        <v>416</v>
      </c>
      <c r="N212" t="s">
        <v>417</v>
      </c>
    </row>
    <row r="213" spans="1:14" x14ac:dyDescent="0.35">
      <c r="A213">
        <v>53013</v>
      </c>
      <c r="B213" t="s">
        <v>141</v>
      </c>
      <c r="C213" s="205">
        <v>46021</v>
      </c>
      <c r="D213">
        <v>748</v>
      </c>
      <c r="E213" t="s">
        <v>568</v>
      </c>
      <c r="F213" t="s">
        <v>519</v>
      </c>
      <c r="G213" t="s">
        <v>433</v>
      </c>
      <c r="H213">
        <v>2400131162</v>
      </c>
      <c r="I213">
        <v>4076500</v>
      </c>
      <c r="J213">
        <v>0</v>
      </c>
      <c r="K213" t="s">
        <v>414</v>
      </c>
      <c r="L213" t="s">
        <v>415</v>
      </c>
      <c r="M213" t="s">
        <v>416</v>
      </c>
      <c r="N213" t="s">
        <v>417</v>
      </c>
    </row>
    <row r="214" spans="1:14" x14ac:dyDescent="0.35">
      <c r="A214">
        <v>53013</v>
      </c>
      <c r="B214" t="s">
        <v>141</v>
      </c>
      <c r="C214" s="205">
        <v>46119</v>
      </c>
      <c r="D214">
        <v>2782</v>
      </c>
      <c r="E214" t="s">
        <v>569</v>
      </c>
      <c r="F214" t="s">
        <v>570</v>
      </c>
      <c r="G214" t="s">
        <v>433</v>
      </c>
      <c r="H214">
        <v>300138233</v>
      </c>
      <c r="I214">
        <v>83123.600000000006</v>
      </c>
      <c r="J214">
        <v>0</v>
      </c>
      <c r="K214" t="s">
        <v>414</v>
      </c>
      <c r="L214" t="s">
        <v>415</v>
      </c>
      <c r="M214" t="s">
        <v>416</v>
      </c>
      <c r="N214" t="s">
        <v>417</v>
      </c>
    </row>
    <row r="215" spans="1:14" x14ac:dyDescent="0.35">
      <c r="A215">
        <v>53013</v>
      </c>
      <c r="B215" t="s">
        <v>141</v>
      </c>
      <c r="C215" s="205">
        <v>46121</v>
      </c>
      <c r="D215">
        <v>1179</v>
      </c>
      <c r="E215" t="s">
        <v>522</v>
      </c>
      <c r="F215" t="s">
        <v>420</v>
      </c>
      <c r="G215" t="s">
        <v>429</v>
      </c>
      <c r="H215">
        <v>9207</v>
      </c>
      <c r="I215">
        <v>7806000</v>
      </c>
      <c r="J215">
        <v>0</v>
      </c>
      <c r="K215" t="s">
        <v>414</v>
      </c>
      <c r="L215" t="s">
        <v>415</v>
      </c>
      <c r="M215" t="s">
        <v>416</v>
      </c>
      <c r="N215" t="s">
        <v>417</v>
      </c>
    </row>
    <row r="216" spans="1:14" x14ac:dyDescent="0.35">
      <c r="A216">
        <v>53013</v>
      </c>
      <c r="B216" t="s">
        <v>141</v>
      </c>
      <c r="C216" s="205">
        <v>46122</v>
      </c>
      <c r="D216">
        <v>2783</v>
      </c>
      <c r="E216" t="s">
        <v>571</v>
      </c>
      <c r="F216" t="s">
        <v>488</v>
      </c>
      <c r="G216" t="s">
        <v>433</v>
      </c>
      <c r="H216">
        <v>1500093315</v>
      </c>
      <c r="I216">
        <v>652473.91</v>
      </c>
      <c r="J216">
        <v>0</v>
      </c>
      <c r="K216" t="s">
        <v>414</v>
      </c>
      <c r="L216" t="s">
        <v>415</v>
      </c>
      <c r="M216" t="s">
        <v>416</v>
      </c>
      <c r="N216" t="s">
        <v>417</v>
      </c>
    </row>
    <row r="217" spans="1:14" x14ac:dyDescent="0.35">
      <c r="A217">
        <v>53014</v>
      </c>
      <c r="B217" t="s">
        <v>142</v>
      </c>
      <c r="C217" s="205">
        <v>46101</v>
      </c>
      <c r="D217">
        <v>822</v>
      </c>
      <c r="E217" t="s">
        <v>572</v>
      </c>
      <c r="F217" t="s">
        <v>420</v>
      </c>
      <c r="G217" t="s">
        <v>429</v>
      </c>
      <c r="H217">
        <v>8850</v>
      </c>
      <c r="I217">
        <v>300000</v>
      </c>
      <c r="J217">
        <v>0</v>
      </c>
      <c r="K217" t="s">
        <v>414</v>
      </c>
      <c r="L217" t="s">
        <v>415</v>
      </c>
      <c r="M217" t="s">
        <v>416</v>
      </c>
      <c r="N217" t="s">
        <v>417</v>
      </c>
    </row>
    <row r="218" spans="1:14" x14ac:dyDescent="0.35">
      <c r="A218">
        <v>53015</v>
      </c>
      <c r="B218" t="s">
        <v>169</v>
      </c>
      <c r="C218" s="205">
        <v>46002</v>
      </c>
      <c r="D218">
        <v>428</v>
      </c>
      <c r="E218" t="s">
        <v>573</v>
      </c>
      <c r="F218" t="s">
        <v>491</v>
      </c>
      <c r="G218" t="s">
        <v>433</v>
      </c>
      <c r="H218">
        <v>500026208</v>
      </c>
      <c r="I218">
        <v>57872.52</v>
      </c>
      <c r="J218">
        <v>0</v>
      </c>
      <c r="K218" t="s">
        <v>414</v>
      </c>
      <c r="L218" t="s">
        <v>415</v>
      </c>
      <c r="M218" t="s">
        <v>416</v>
      </c>
      <c r="N218" t="s">
        <v>417</v>
      </c>
    </row>
    <row r="219" spans="1:14" x14ac:dyDescent="0.35">
      <c r="A219">
        <v>53017</v>
      </c>
      <c r="B219" t="s">
        <v>219</v>
      </c>
      <c r="C219" s="205">
        <v>45972</v>
      </c>
      <c r="D219">
        <v>92</v>
      </c>
      <c r="E219" t="s">
        <v>574</v>
      </c>
      <c r="F219" t="s">
        <v>575</v>
      </c>
      <c r="G219" t="s">
        <v>433</v>
      </c>
      <c r="H219">
        <v>600010467</v>
      </c>
      <c r="I219">
        <v>147203.78</v>
      </c>
      <c r="J219">
        <v>0</v>
      </c>
      <c r="K219" t="s">
        <v>414</v>
      </c>
      <c r="L219" t="s">
        <v>415</v>
      </c>
      <c r="M219" t="s">
        <v>416</v>
      </c>
      <c r="N219" t="s">
        <v>417</v>
      </c>
    </row>
    <row r="220" spans="1:14" x14ac:dyDescent="0.35">
      <c r="A220">
        <v>53017</v>
      </c>
      <c r="B220" t="s">
        <v>219</v>
      </c>
      <c r="C220" s="205">
        <v>45986</v>
      </c>
      <c r="D220">
        <v>226</v>
      </c>
      <c r="E220" t="s">
        <v>576</v>
      </c>
      <c r="F220" t="s">
        <v>491</v>
      </c>
      <c r="G220" t="s">
        <v>433</v>
      </c>
      <c r="H220">
        <v>500025985</v>
      </c>
      <c r="I220">
        <v>83580.97</v>
      </c>
      <c r="J220">
        <v>0</v>
      </c>
      <c r="K220" t="s">
        <v>414</v>
      </c>
      <c r="L220" t="s">
        <v>415</v>
      </c>
      <c r="M220" t="s">
        <v>416</v>
      </c>
      <c r="N220" t="s">
        <v>417</v>
      </c>
    </row>
    <row r="221" spans="1:14" x14ac:dyDescent="0.35">
      <c r="A221">
        <v>53017</v>
      </c>
      <c r="B221" t="s">
        <v>219</v>
      </c>
      <c r="C221" s="205">
        <v>45994</v>
      </c>
      <c r="D221">
        <v>390</v>
      </c>
      <c r="E221" t="s">
        <v>577</v>
      </c>
      <c r="F221" t="s">
        <v>578</v>
      </c>
      <c r="G221" t="s">
        <v>433</v>
      </c>
      <c r="H221">
        <v>900002343</v>
      </c>
      <c r="I221">
        <v>2853953.23</v>
      </c>
      <c r="J221">
        <v>0</v>
      </c>
      <c r="K221" t="s">
        <v>414</v>
      </c>
      <c r="L221" t="s">
        <v>415</v>
      </c>
      <c r="M221" t="s">
        <v>416</v>
      </c>
      <c r="N221" t="s">
        <v>417</v>
      </c>
    </row>
    <row r="222" spans="1:14" x14ac:dyDescent="0.35">
      <c r="A222">
        <v>53017</v>
      </c>
      <c r="B222" t="s">
        <v>219</v>
      </c>
      <c r="C222" s="205">
        <v>46003</v>
      </c>
      <c r="D222">
        <v>518</v>
      </c>
      <c r="E222" t="s">
        <v>579</v>
      </c>
      <c r="F222" t="s">
        <v>578</v>
      </c>
      <c r="G222" t="s">
        <v>433</v>
      </c>
      <c r="H222">
        <v>900002408</v>
      </c>
      <c r="I222">
        <v>1574317.64</v>
      </c>
      <c r="J222">
        <v>0</v>
      </c>
      <c r="K222" t="s">
        <v>414</v>
      </c>
      <c r="L222" t="s">
        <v>415</v>
      </c>
      <c r="M222" t="s">
        <v>416</v>
      </c>
      <c r="N222" t="s">
        <v>417</v>
      </c>
    </row>
    <row r="223" spans="1:14" x14ac:dyDescent="0.35">
      <c r="A223">
        <v>53017</v>
      </c>
      <c r="B223" t="s">
        <v>219</v>
      </c>
      <c r="C223" s="205">
        <v>46031</v>
      </c>
      <c r="D223">
        <v>773</v>
      </c>
      <c r="E223" t="s">
        <v>579</v>
      </c>
      <c r="F223" t="s">
        <v>578</v>
      </c>
      <c r="G223" t="s">
        <v>433</v>
      </c>
      <c r="H223">
        <v>900002501</v>
      </c>
      <c r="I223">
        <v>4850106.38</v>
      </c>
      <c r="J223">
        <v>0</v>
      </c>
      <c r="K223" t="s">
        <v>414</v>
      </c>
      <c r="L223" t="s">
        <v>415</v>
      </c>
      <c r="M223" t="s">
        <v>416</v>
      </c>
      <c r="N223" t="s">
        <v>417</v>
      </c>
    </row>
    <row r="224" spans="1:14" x14ac:dyDescent="0.35">
      <c r="A224">
        <v>53017</v>
      </c>
      <c r="B224" t="s">
        <v>219</v>
      </c>
      <c r="C224" s="205">
        <v>46031</v>
      </c>
      <c r="D224">
        <v>775</v>
      </c>
      <c r="E224" t="s">
        <v>579</v>
      </c>
      <c r="F224" t="s">
        <v>578</v>
      </c>
      <c r="G224" t="s">
        <v>433</v>
      </c>
      <c r="H224">
        <v>900002509</v>
      </c>
      <c r="I224">
        <v>3401355.14</v>
      </c>
      <c r="J224">
        <v>0</v>
      </c>
      <c r="K224" t="s">
        <v>414</v>
      </c>
      <c r="L224" t="s">
        <v>415</v>
      </c>
      <c r="M224" t="s">
        <v>416</v>
      </c>
      <c r="N224" t="s">
        <v>417</v>
      </c>
    </row>
    <row r="225" spans="1:14" x14ac:dyDescent="0.35">
      <c r="A225">
        <v>53017</v>
      </c>
      <c r="B225" t="s">
        <v>219</v>
      </c>
      <c r="C225" s="205">
        <v>46031</v>
      </c>
      <c r="D225">
        <v>776</v>
      </c>
      <c r="E225" t="s">
        <v>579</v>
      </c>
      <c r="F225" t="s">
        <v>578</v>
      </c>
      <c r="G225" t="s">
        <v>496</v>
      </c>
      <c r="H225">
        <v>900000348</v>
      </c>
      <c r="I225">
        <v>0</v>
      </c>
      <c r="J225">
        <v>4850106.38</v>
      </c>
      <c r="K225" t="s">
        <v>414</v>
      </c>
      <c r="L225" t="s">
        <v>415</v>
      </c>
      <c r="M225" t="s">
        <v>416</v>
      </c>
      <c r="N225" t="s">
        <v>417</v>
      </c>
    </row>
    <row r="226" spans="1:14" x14ac:dyDescent="0.35">
      <c r="A226">
        <v>53017</v>
      </c>
      <c r="B226" t="s">
        <v>219</v>
      </c>
      <c r="C226" s="205">
        <v>46031</v>
      </c>
      <c r="D226">
        <v>808</v>
      </c>
      <c r="E226" t="s">
        <v>579</v>
      </c>
      <c r="F226" t="s">
        <v>578</v>
      </c>
      <c r="G226" t="s">
        <v>433</v>
      </c>
      <c r="H226">
        <v>900002508</v>
      </c>
      <c r="I226">
        <v>1448751.24</v>
      </c>
      <c r="J226">
        <v>0</v>
      </c>
      <c r="K226" t="s">
        <v>414</v>
      </c>
      <c r="L226" t="s">
        <v>415</v>
      </c>
      <c r="M226" t="s">
        <v>416</v>
      </c>
      <c r="N226" t="s">
        <v>417</v>
      </c>
    </row>
    <row r="227" spans="1:14" x14ac:dyDescent="0.35">
      <c r="A227">
        <v>53017</v>
      </c>
      <c r="B227" t="s">
        <v>219</v>
      </c>
      <c r="C227" s="205">
        <v>46042</v>
      </c>
      <c r="D227">
        <v>923</v>
      </c>
      <c r="E227" t="s">
        <v>580</v>
      </c>
      <c r="F227" t="s">
        <v>486</v>
      </c>
      <c r="G227" t="s">
        <v>433</v>
      </c>
      <c r="H227">
        <v>400032544</v>
      </c>
      <c r="I227">
        <v>1222714.7</v>
      </c>
      <c r="J227">
        <v>0</v>
      </c>
      <c r="K227" t="s">
        <v>414</v>
      </c>
      <c r="L227" t="s">
        <v>415</v>
      </c>
      <c r="M227" t="s">
        <v>416</v>
      </c>
      <c r="N227" t="s">
        <v>417</v>
      </c>
    </row>
    <row r="228" spans="1:14" x14ac:dyDescent="0.35">
      <c r="A228">
        <v>53017</v>
      </c>
      <c r="B228" t="s">
        <v>219</v>
      </c>
      <c r="C228" s="205">
        <v>46042</v>
      </c>
      <c r="D228">
        <v>923</v>
      </c>
      <c r="E228" t="s">
        <v>580</v>
      </c>
      <c r="F228" t="s">
        <v>486</v>
      </c>
      <c r="G228" t="s">
        <v>433</v>
      </c>
      <c r="H228">
        <v>400032544</v>
      </c>
      <c r="I228">
        <v>424383.71</v>
      </c>
      <c r="J228">
        <v>0</v>
      </c>
      <c r="K228" t="s">
        <v>414</v>
      </c>
      <c r="L228" t="s">
        <v>415</v>
      </c>
      <c r="M228" t="s">
        <v>416</v>
      </c>
      <c r="N228" t="s">
        <v>417</v>
      </c>
    </row>
    <row r="229" spans="1:14" x14ac:dyDescent="0.35">
      <c r="A229">
        <v>53017</v>
      </c>
      <c r="B229" t="s">
        <v>219</v>
      </c>
      <c r="C229" s="205">
        <v>46042</v>
      </c>
      <c r="D229">
        <v>924</v>
      </c>
      <c r="E229" t="s">
        <v>580</v>
      </c>
      <c r="F229" t="s">
        <v>486</v>
      </c>
      <c r="G229" t="s">
        <v>433</v>
      </c>
      <c r="H229">
        <v>400032543</v>
      </c>
      <c r="I229">
        <v>6639277.9699999997</v>
      </c>
      <c r="J229">
        <v>0</v>
      </c>
      <c r="K229" t="s">
        <v>414</v>
      </c>
      <c r="L229" t="s">
        <v>415</v>
      </c>
      <c r="M229" t="s">
        <v>416</v>
      </c>
      <c r="N229" t="s">
        <v>417</v>
      </c>
    </row>
    <row r="230" spans="1:14" x14ac:dyDescent="0.35">
      <c r="A230">
        <v>53017</v>
      </c>
      <c r="B230" t="s">
        <v>219</v>
      </c>
      <c r="C230" s="205">
        <v>46055</v>
      </c>
      <c r="D230">
        <v>1175</v>
      </c>
      <c r="E230" t="s">
        <v>580</v>
      </c>
      <c r="F230" t="s">
        <v>486</v>
      </c>
      <c r="G230" t="s">
        <v>496</v>
      </c>
      <c r="H230">
        <v>400004142</v>
      </c>
      <c r="I230">
        <v>0</v>
      </c>
      <c r="J230">
        <v>270767.01</v>
      </c>
      <c r="K230" t="s">
        <v>414</v>
      </c>
      <c r="L230" t="s">
        <v>415</v>
      </c>
      <c r="M230" t="s">
        <v>416</v>
      </c>
      <c r="N230" t="s">
        <v>417</v>
      </c>
    </row>
    <row r="231" spans="1:14" x14ac:dyDescent="0.35">
      <c r="A231">
        <v>53017</v>
      </c>
      <c r="B231" t="s">
        <v>219</v>
      </c>
      <c r="C231" s="205">
        <v>46056</v>
      </c>
      <c r="D231">
        <v>1621</v>
      </c>
      <c r="E231" t="s">
        <v>579</v>
      </c>
      <c r="F231" t="s">
        <v>578</v>
      </c>
      <c r="G231" t="s">
        <v>433</v>
      </c>
      <c r="H231">
        <v>900002683</v>
      </c>
      <c r="I231">
        <v>1295974.18</v>
      </c>
      <c r="J231">
        <v>0</v>
      </c>
      <c r="K231" t="s">
        <v>414</v>
      </c>
      <c r="L231" t="s">
        <v>415</v>
      </c>
      <c r="M231" t="s">
        <v>416</v>
      </c>
      <c r="N231" t="s">
        <v>417</v>
      </c>
    </row>
    <row r="232" spans="1:14" x14ac:dyDescent="0.35">
      <c r="A232">
        <v>53017</v>
      </c>
      <c r="B232" t="s">
        <v>219</v>
      </c>
      <c r="C232" s="205">
        <v>46058</v>
      </c>
      <c r="D232">
        <v>1622</v>
      </c>
      <c r="E232" t="s">
        <v>579</v>
      </c>
      <c r="F232" t="s">
        <v>578</v>
      </c>
      <c r="G232" t="s">
        <v>433</v>
      </c>
      <c r="H232">
        <v>900002704</v>
      </c>
      <c r="I232">
        <v>122767.7</v>
      </c>
      <c r="J232">
        <v>0</v>
      </c>
      <c r="K232" t="s">
        <v>414</v>
      </c>
      <c r="L232" t="s">
        <v>415</v>
      </c>
      <c r="M232" t="s">
        <v>416</v>
      </c>
      <c r="N232" t="s">
        <v>417</v>
      </c>
    </row>
    <row r="233" spans="1:14" x14ac:dyDescent="0.35">
      <c r="A233">
        <v>53017</v>
      </c>
      <c r="B233" t="s">
        <v>219</v>
      </c>
      <c r="C233" s="205">
        <v>46063</v>
      </c>
      <c r="D233">
        <v>1623</v>
      </c>
      <c r="E233" t="s">
        <v>580</v>
      </c>
      <c r="F233" t="s">
        <v>486</v>
      </c>
      <c r="G233" t="s">
        <v>433</v>
      </c>
      <c r="H233">
        <v>400033052</v>
      </c>
      <c r="I233">
        <v>76888.539999999994</v>
      </c>
      <c r="J233">
        <v>0</v>
      </c>
      <c r="K233" t="s">
        <v>414</v>
      </c>
      <c r="L233" t="s">
        <v>415</v>
      </c>
      <c r="M233" t="s">
        <v>416</v>
      </c>
      <c r="N233" t="s">
        <v>417</v>
      </c>
    </row>
    <row r="234" spans="1:14" x14ac:dyDescent="0.35">
      <c r="A234">
        <v>53017</v>
      </c>
      <c r="B234" t="s">
        <v>219</v>
      </c>
      <c r="C234" s="205">
        <v>46063</v>
      </c>
      <c r="D234">
        <v>1307</v>
      </c>
      <c r="E234" t="s">
        <v>580</v>
      </c>
      <c r="F234" t="s">
        <v>486</v>
      </c>
      <c r="G234" t="s">
        <v>433</v>
      </c>
      <c r="H234">
        <v>400033054</v>
      </c>
      <c r="I234">
        <v>76888.539999999994</v>
      </c>
      <c r="J234">
        <v>0</v>
      </c>
      <c r="K234" t="s">
        <v>414</v>
      </c>
      <c r="L234" t="s">
        <v>415</v>
      </c>
      <c r="M234" t="s">
        <v>416</v>
      </c>
      <c r="N234" t="s">
        <v>417</v>
      </c>
    </row>
    <row r="235" spans="1:14" x14ac:dyDescent="0.35">
      <c r="A235">
        <v>53017</v>
      </c>
      <c r="B235" t="s">
        <v>219</v>
      </c>
      <c r="C235" s="205">
        <v>46063</v>
      </c>
      <c r="D235">
        <v>1309</v>
      </c>
      <c r="E235" t="s">
        <v>580</v>
      </c>
      <c r="F235" t="s">
        <v>486</v>
      </c>
      <c r="G235" t="s">
        <v>496</v>
      </c>
      <c r="H235">
        <v>400004172</v>
      </c>
      <c r="I235">
        <v>0</v>
      </c>
      <c r="J235">
        <v>76888.539999999994</v>
      </c>
      <c r="K235" t="s">
        <v>414</v>
      </c>
      <c r="L235" t="s">
        <v>415</v>
      </c>
      <c r="M235" t="s">
        <v>416</v>
      </c>
      <c r="N235" t="s">
        <v>417</v>
      </c>
    </row>
    <row r="236" spans="1:14" x14ac:dyDescent="0.35">
      <c r="A236">
        <v>53017</v>
      </c>
      <c r="B236" t="s">
        <v>219</v>
      </c>
      <c r="C236" s="205">
        <v>46077</v>
      </c>
      <c r="D236">
        <v>1389</v>
      </c>
      <c r="E236" t="s">
        <v>581</v>
      </c>
      <c r="F236" t="s">
        <v>582</v>
      </c>
      <c r="G236" t="s">
        <v>433</v>
      </c>
      <c r="H236">
        <v>700028277</v>
      </c>
      <c r="I236">
        <v>34975.14</v>
      </c>
      <c r="J236">
        <v>0</v>
      </c>
      <c r="K236" t="s">
        <v>414</v>
      </c>
      <c r="L236" t="s">
        <v>415</v>
      </c>
      <c r="M236" t="s">
        <v>416</v>
      </c>
      <c r="N236" t="s">
        <v>417</v>
      </c>
    </row>
    <row r="237" spans="1:14" x14ac:dyDescent="0.35">
      <c r="A237">
        <v>53017</v>
      </c>
      <c r="B237" t="s">
        <v>219</v>
      </c>
      <c r="C237" s="205">
        <v>46080</v>
      </c>
      <c r="D237">
        <v>1627</v>
      </c>
      <c r="E237" t="s">
        <v>579</v>
      </c>
      <c r="F237" t="s">
        <v>578</v>
      </c>
      <c r="G237" t="s">
        <v>433</v>
      </c>
      <c r="H237">
        <v>900002852</v>
      </c>
      <c r="I237">
        <v>2147885.7599999998</v>
      </c>
      <c r="J237">
        <v>0</v>
      </c>
      <c r="K237" t="s">
        <v>414</v>
      </c>
      <c r="L237" t="s">
        <v>415</v>
      </c>
      <c r="M237" t="s">
        <v>416</v>
      </c>
      <c r="N237" t="s">
        <v>417</v>
      </c>
    </row>
    <row r="238" spans="1:14" x14ac:dyDescent="0.35">
      <c r="A238">
        <v>53017</v>
      </c>
      <c r="B238" t="s">
        <v>219</v>
      </c>
      <c r="C238" s="205">
        <v>46080</v>
      </c>
      <c r="D238">
        <v>1628</v>
      </c>
      <c r="E238" t="s">
        <v>579</v>
      </c>
      <c r="F238" t="s">
        <v>578</v>
      </c>
      <c r="G238" t="s">
        <v>433</v>
      </c>
      <c r="H238">
        <v>900002854</v>
      </c>
      <c r="I238">
        <v>15663.39</v>
      </c>
      <c r="J238">
        <v>0</v>
      </c>
      <c r="K238" t="s">
        <v>414</v>
      </c>
      <c r="L238" t="s">
        <v>415</v>
      </c>
      <c r="M238" t="s">
        <v>416</v>
      </c>
      <c r="N238" t="s">
        <v>417</v>
      </c>
    </row>
    <row r="239" spans="1:14" x14ac:dyDescent="0.35">
      <c r="A239">
        <v>53017</v>
      </c>
      <c r="B239" t="s">
        <v>219</v>
      </c>
      <c r="C239" s="205">
        <v>46092</v>
      </c>
      <c r="D239">
        <v>1653</v>
      </c>
      <c r="E239" t="s">
        <v>580</v>
      </c>
      <c r="F239" t="s">
        <v>486</v>
      </c>
      <c r="G239" t="s">
        <v>433</v>
      </c>
      <c r="H239">
        <v>400033726</v>
      </c>
      <c r="I239">
        <v>1376359.75</v>
      </c>
      <c r="J239">
        <v>0</v>
      </c>
      <c r="K239" t="s">
        <v>414</v>
      </c>
      <c r="L239" t="s">
        <v>415</v>
      </c>
      <c r="M239" t="s">
        <v>416</v>
      </c>
      <c r="N239" t="s">
        <v>417</v>
      </c>
    </row>
    <row r="240" spans="1:14" x14ac:dyDescent="0.35">
      <c r="A240">
        <v>53017</v>
      </c>
      <c r="B240" t="s">
        <v>219</v>
      </c>
      <c r="C240" s="205">
        <v>46093</v>
      </c>
      <c r="D240">
        <v>1656</v>
      </c>
      <c r="E240" t="s">
        <v>579</v>
      </c>
      <c r="F240" t="s">
        <v>578</v>
      </c>
      <c r="G240" t="s">
        <v>496</v>
      </c>
      <c r="H240">
        <v>900000385</v>
      </c>
      <c r="I240">
        <v>0</v>
      </c>
      <c r="J240">
        <v>1574385.64</v>
      </c>
      <c r="K240" t="s">
        <v>414</v>
      </c>
      <c r="L240" t="s">
        <v>415</v>
      </c>
      <c r="M240" t="s">
        <v>416</v>
      </c>
      <c r="N240" t="s">
        <v>417</v>
      </c>
    </row>
    <row r="241" spans="1:14" x14ac:dyDescent="0.35">
      <c r="A241">
        <v>53017</v>
      </c>
      <c r="B241" t="s">
        <v>219</v>
      </c>
      <c r="C241" s="205">
        <v>46094</v>
      </c>
      <c r="D241">
        <v>1715</v>
      </c>
      <c r="E241" t="s">
        <v>583</v>
      </c>
      <c r="F241" t="s">
        <v>584</v>
      </c>
      <c r="G241" t="s">
        <v>433</v>
      </c>
      <c r="H241">
        <v>600006667</v>
      </c>
      <c r="I241">
        <v>17000000</v>
      </c>
      <c r="J241">
        <v>0</v>
      </c>
      <c r="K241" t="s">
        <v>414</v>
      </c>
      <c r="L241" t="s">
        <v>415</v>
      </c>
      <c r="M241" t="s">
        <v>416</v>
      </c>
      <c r="N241" t="s">
        <v>417</v>
      </c>
    </row>
    <row r="242" spans="1:14" x14ac:dyDescent="0.35">
      <c r="A242">
        <v>53017</v>
      </c>
      <c r="B242" t="s">
        <v>219</v>
      </c>
      <c r="C242" s="205">
        <v>46099</v>
      </c>
      <c r="D242">
        <v>2728</v>
      </c>
      <c r="E242" t="s">
        <v>579</v>
      </c>
      <c r="F242" t="s">
        <v>578</v>
      </c>
      <c r="G242" t="s">
        <v>433</v>
      </c>
      <c r="H242">
        <v>900002964</v>
      </c>
      <c r="I242">
        <v>2082384.55</v>
      </c>
      <c r="J242">
        <v>0</v>
      </c>
      <c r="K242" t="s">
        <v>414</v>
      </c>
      <c r="L242" t="s">
        <v>415</v>
      </c>
      <c r="M242" t="s">
        <v>416</v>
      </c>
      <c r="N242" t="s">
        <v>417</v>
      </c>
    </row>
    <row r="243" spans="1:14" x14ac:dyDescent="0.35">
      <c r="A243">
        <v>53017</v>
      </c>
      <c r="B243" t="s">
        <v>219</v>
      </c>
      <c r="C243" s="205">
        <v>46099</v>
      </c>
      <c r="D243">
        <v>2729</v>
      </c>
      <c r="E243" t="s">
        <v>579</v>
      </c>
      <c r="F243" t="s">
        <v>578</v>
      </c>
      <c r="G243" t="s">
        <v>433</v>
      </c>
      <c r="H243">
        <v>900002965</v>
      </c>
      <c r="I243">
        <v>84860</v>
      </c>
      <c r="J243">
        <v>0</v>
      </c>
      <c r="K243" t="s">
        <v>414</v>
      </c>
      <c r="L243" t="s">
        <v>415</v>
      </c>
      <c r="M243" t="s">
        <v>416</v>
      </c>
      <c r="N243" t="s">
        <v>417</v>
      </c>
    </row>
    <row r="244" spans="1:14" x14ac:dyDescent="0.35">
      <c r="A244">
        <v>53017</v>
      </c>
      <c r="B244" t="s">
        <v>219</v>
      </c>
      <c r="C244" s="205">
        <v>46100</v>
      </c>
      <c r="D244">
        <v>2342</v>
      </c>
      <c r="E244" t="s">
        <v>579</v>
      </c>
      <c r="F244" t="s">
        <v>578</v>
      </c>
      <c r="G244" t="s">
        <v>433</v>
      </c>
      <c r="H244">
        <v>900002971</v>
      </c>
      <c r="I244">
        <v>879582.74</v>
      </c>
      <c r="J244">
        <v>0</v>
      </c>
      <c r="K244" t="s">
        <v>414</v>
      </c>
      <c r="L244" t="s">
        <v>415</v>
      </c>
      <c r="M244" t="s">
        <v>416</v>
      </c>
      <c r="N244" t="s">
        <v>417</v>
      </c>
    </row>
    <row r="245" spans="1:14" x14ac:dyDescent="0.35">
      <c r="A245">
        <v>53017</v>
      </c>
      <c r="B245" t="s">
        <v>219</v>
      </c>
      <c r="C245" s="205">
        <v>46104</v>
      </c>
      <c r="D245">
        <v>2343</v>
      </c>
      <c r="E245" t="s">
        <v>579</v>
      </c>
      <c r="F245" t="s">
        <v>578</v>
      </c>
      <c r="G245" t="s">
        <v>433</v>
      </c>
      <c r="H245">
        <v>900002991</v>
      </c>
      <c r="I245">
        <v>225546.2</v>
      </c>
      <c r="J245">
        <v>0</v>
      </c>
      <c r="K245" t="s">
        <v>414</v>
      </c>
      <c r="L245" t="s">
        <v>415</v>
      </c>
      <c r="M245" t="s">
        <v>416</v>
      </c>
      <c r="N245" t="s">
        <v>417</v>
      </c>
    </row>
    <row r="246" spans="1:14" x14ac:dyDescent="0.35">
      <c r="A246">
        <v>53017</v>
      </c>
      <c r="B246" t="s">
        <v>219</v>
      </c>
      <c r="C246" s="205">
        <v>46111</v>
      </c>
      <c r="D246">
        <v>2346</v>
      </c>
      <c r="E246" t="s">
        <v>579</v>
      </c>
      <c r="F246" t="s">
        <v>578</v>
      </c>
      <c r="G246" t="s">
        <v>433</v>
      </c>
      <c r="H246">
        <v>900003024</v>
      </c>
      <c r="I246">
        <v>1127731</v>
      </c>
      <c r="J246">
        <v>0</v>
      </c>
      <c r="K246" t="s">
        <v>414</v>
      </c>
      <c r="L246" t="s">
        <v>415</v>
      </c>
      <c r="M246" t="s">
        <v>416</v>
      </c>
      <c r="N246" t="s">
        <v>417</v>
      </c>
    </row>
    <row r="247" spans="1:14" x14ac:dyDescent="0.35">
      <c r="A247">
        <v>53017</v>
      </c>
      <c r="B247" t="s">
        <v>219</v>
      </c>
      <c r="C247" s="205">
        <v>46113</v>
      </c>
      <c r="D247">
        <v>2352</v>
      </c>
      <c r="E247" t="s">
        <v>579</v>
      </c>
      <c r="F247" t="s">
        <v>578</v>
      </c>
      <c r="G247" t="s">
        <v>433</v>
      </c>
      <c r="H247">
        <v>900003043</v>
      </c>
      <c r="I247">
        <v>708535.44</v>
      </c>
      <c r="J247">
        <v>0</v>
      </c>
      <c r="K247" t="s">
        <v>414</v>
      </c>
      <c r="L247" t="s">
        <v>415</v>
      </c>
      <c r="M247" t="s">
        <v>416</v>
      </c>
      <c r="N247" t="s">
        <v>417</v>
      </c>
    </row>
    <row r="248" spans="1:14" x14ac:dyDescent="0.35">
      <c r="A248">
        <v>53017</v>
      </c>
      <c r="B248" t="s">
        <v>219</v>
      </c>
      <c r="C248" s="205">
        <v>46118</v>
      </c>
      <c r="D248">
        <v>2355</v>
      </c>
      <c r="E248" t="s">
        <v>579</v>
      </c>
      <c r="F248" t="s">
        <v>578</v>
      </c>
      <c r="G248" t="s">
        <v>496</v>
      </c>
      <c r="H248">
        <v>900000395</v>
      </c>
      <c r="I248">
        <v>0</v>
      </c>
      <c r="J248">
        <v>494662.43</v>
      </c>
      <c r="K248" t="s">
        <v>414</v>
      </c>
      <c r="L248" t="s">
        <v>415</v>
      </c>
      <c r="M248" t="s">
        <v>416</v>
      </c>
      <c r="N248" t="s">
        <v>417</v>
      </c>
    </row>
    <row r="249" spans="1:14" x14ac:dyDescent="0.35">
      <c r="A249">
        <v>53017</v>
      </c>
      <c r="B249" t="s">
        <v>219</v>
      </c>
      <c r="C249" s="205">
        <v>46136</v>
      </c>
      <c r="D249">
        <v>2546</v>
      </c>
      <c r="E249" t="s">
        <v>574</v>
      </c>
      <c r="F249" t="s">
        <v>575</v>
      </c>
      <c r="G249" t="s">
        <v>433</v>
      </c>
      <c r="H249">
        <v>600011401</v>
      </c>
      <c r="I249">
        <v>132698.34</v>
      </c>
      <c r="J249">
        <v>0</v>
      </c>
      <c r="K249" t="s">
        <v>414</v>
      </c>
      <c r="L249" t="s">
        <v>415</v>
      </c>
      <c r="M249" t="s">
        <v>416</v>
      </c>
      <c r="N249" t="s">
        <v>417</v>
      </c>
    </row>
    <row r="250" spans="1:14" x14ac:dyDescent="0.35">
      <c r="A250">
        <v>53017</v>
      </c>
      <c r="B250" t="s">
        <v>219</v>
      </c>
      <c r="C250" s="205">
        <v>46136</v>
      </c>
      <c r="D250">
        <v>2594</v>
      </c>
      <c r="E250" t="s">
        <v>579</v>
      </c>
      <c r="F250" t="s">
        <v>578</v>
      </c>
      <c r="G250" t="s">
        <v>433</v>
      </c>
      <c r="H250">
        <v>900003160</v>
      </c>
      <c r="I250">
        <v>310511.40000000002</v>
      </c>
      <c r="J250">
        <v>0</v>
      </c>
      <c r="K250" t="s">
        <v>414</v>
      </c>
      <c r="L250" t="s">
        <v>415</v>
      </c>
      <c r="M250" t="s">
        <v>416</v>
      </c>
      <c r="N250" t="s">
        <v>417</v>
      </c>
    </row>
    <row r="251" spans="1:14" x14ac:dyDescent="0.35">
      <c r="A251">
        <v>53017</v>
      </c>
      <c r="B251" t="s">
        <v>219</v>
      </c>
      <c r="C251" s="205">
        <v>46147</v>
      </c>
      <c r="D251">
        <v>2621</v>
      </c>
      <c r="E251" t="s">
        <v>574</v>
      </c>
      <c r="F251" t="s">
        <v>575</v>
      </c>
      <c r="G251" t="s">
        <v>433</v>
      </c>
      <c r="H251">
        <v>600011439</v>
      </c>
      <c r="I251">
        <v>88465.56</v>
      </c>
      <c r="J251">
        <v>0</v>
      </c>
      <c r="K251" t="s">
        <v>414</v>
      </c>
      <c r="L251" t="s">
        <v>415</v>
      </c>
      <c r="M251" t="s">
        <v>416</v>
      </c>
      <c r="N251" t="s">
        <v>417</v>
      </c>
    </row>
    <row r="252" spans="1:14" x14ac:dyDescent="0.35">
      <c r="A252">
        <v>53017</v>
      </c>
      <c r="B252" t="s">
        <v>219</v>
      </c>
      <c r="C252" s="205">
        <v>46150</v>
      </c>
      <c r="D252">
        <v>2744</v>
      </c>
      <c r="E252" t="s">
        <v>576</v>
      </c>
      <c r="F252" t="s">
        <v>491</v>
      </c>
      <c r="G252" t="s">
        <v>433</v>
      </c>
      <c r="H252">
        <v>500028409</v>
      </c>
      <c r="I252">
        <v>9446.0300000000007</v>
      </c>
      <c r="J252">
        <v>0</v>
      </c>
      <c r="K252" t="s">
        <v>414</v>
      </c>
      <c r="L252" t="s">
        <v>415</v>
      </c>
      <c r="M252" t="s">
        <v>416</v>
      </c>
      <c r="N252" t="s">
        <v>417</v>
      </c>
    </row>
    <row r="253" spans="1:14" x14ac:dyDescent="0.35">
      <c r="A253">
        <v>53017</v>
      </c>
      <c r="B253" t="s">
        <v>219</v>
      </c>
      <c r="C253" s="205">
        <v>46154</v>
      </c>
      <c r="D253">
        <v>2773</v>
      </c>
      <c r="E253" t="s">
        <v>579</v>
      </c>
      <c r="F253" t="s">
        <v>578</v>
      </c>
      <c r="G253" t="s">
        <v>433</v>
      </c>
      <c r="H253">
        <v>900003232</v>
      </c>
      <c r="I253">
        <v>821082.85</v>
      </c>
      <c r="J253">
        <v>0</v>
      </c>
      <c r="K253" t="s">
        <v>414</v>
      </c>
      <c r="L253" t="s">
        <v>415</v>
      </c>
      <c r="M253" t="s">
        <v>416</v>
      </c>
      <c r="N253" t="s">
        <v>417</v>
      </c>
    </row>
    <row r="254" spans="1:14" x14ac:dyDescent="0.35">
      <c r="A254">
        <v>53017</v>
      </c>
      <c r="B254" t="s">
        <v>219</v>
      </c>
      <c r="C254" s="205">
        <v>46154</v>
      </c>
      <c r="D254">
        <v>2855</v>
      </c>
      <c r="E254" t="s">
        <v>579</v>
      </c>
      <c r="F254" t="s">
        <v>578</v>
      </c>
      <c r="G254" t="s">
        <v>433</v>
      </c>
      <c r="H254">
        <v>900003233</v>
      </c>
      <c r="I254">
        <v>15660.08</v>
      </c>
      <c r="J254">
        <v>0</v>
      </c>
      <c r="K254" t="s">
        <v>414</v>
      </c>
      <c r="L254" t="s">
        <v>415</v>
      </c>
      <c r="M254" t="s">
        <v>416</v>
      </c>
      <c r="N254" t="s">
        <v>417</v>
      </c>
    </row>
    <row r="255" spans="1:14" x14ac:dyDescent="0.35">
      <c r="A255">
        <v>53018</v>
      </c>
      <c r="B255" t="s">
        <v>220</v>
      </c>
      <c r="C255" s="205">
        <v>45987</v>
      </c>
      <c r="D255">
        <v>90</v>
      </c>
      <c r="E255" t="s">
        <v>585</v>
      </c>
      <c r="F255" t="s">
        <v>420</v>
      </c>
      <c r="G255" t="s">
        <v>429</v>
      </c>
      <c r="H255">
        <v>8015</v>
      </c>
      <c r="I255">
        <v>390000</v>
      </c>
      <c r="J255">
        <v>0</v>
      </c>
      <c r="K255" t="s">
        <v>414</v>
      </c>
      <c r="L255" t="s">
        <v>415</v>
      </c>
      <c r="M255" t="s">
        <v>416</v>
      </c>
      <c r="N255" t="s">
        <v>417</v>
      </c>
    </row>
    <row r="256" spans="1:14" x14ac:dyDescent="0.35">
      <c r="A256">
        <v>53018</v>
      </c>
      <c r="B256" t="s">
        <v>220</v>
      </c>
      <c r="C256" s="205">
        <v>46036</v>
      </c>
      <c r="D256">
        <v>331</v>
      </c>
      <c r="E256" t="s">
        <v>585</v>
      </c>
      <c r="F256" t="s">
        <v>420</v>
      </c>
      <c r="G256" t="s">
        <v>429</v>
      </c>
      <c r="H256">
        <v>8352</v>
      </c>
      <c r="I256">
        <v>260000</v>
      </c>
      <c r="J256">
        <v>0</v>
      </c>
      <c r="K256" t="s">
        <v>414</v>
      </c>
      <c r="L256" t="s">
        <v>415</v>
      </c>
      <c r="M256" t="s">
        <v>416</v>
      </c>
      <c r="N256" t="s">
        <v>417</v>
      </c>
    </row>
    <row r="257" spans="1:14" x14ac:dyDescent="0.35">
      <c r="A257">
        <v>53018</v>
      </c>
      <c r="B257" t="s">
        <v>220</v>
      </c>
      <c r="C257" s="205">
        <v>46094</v>
      </c>
      <c r="D257">
        <v>904</v>
      </c>
      <c r="E257" t="s">
        <v>586</v>
      </c>
      <c r="F257" t="s">
        <v>420</v>
      </c>
      <c r="G257" t="s">
        <v>429</v>
      </c>
      <c r="H257">
        <v>8936</v>
      </c>
      <c r="I257">
        <v>480000</v>
      </c>
      <c r="J257">
        <v>0</v>
      </c>
      <c r="K257" t="s">
        <v>414</v>
      </c>
      <c r="L257" t="s">
        <v>415</v>
      </c>
      <c r="M257" t="s">
        <v>416</v>
      </c>
      <c r="N257" t="s">
        <v>417</v>
      </c>
    </row>
    <row r="258" spans="1:14" x14ac:dyDescent="0.35">
      <c r="A258">
        <v>53018</v>
      </c>
      <c r="B258" t="s">
        <v>220</v>
      </c>
      <c r="C258" s="205">
        <v>46108</v>
      </c>
      <c r="D258">
        <v>842</v>
      </c>
      <c r="E258" t="s">
        <v>587</v>
      </c>
      <c r="F258" t="s">
        <v>420</v>
      </c>
      <c r="G258" t="s">
        <v>429</v>
      </c>
      <c r="H258">
        <v>8870</v>
      </c>
      <c r="I258">
        <v>320000</v>
      </c>
      <c r="J258">
        <v>0</v>
      </c>
      <c r="K258" t="s">
        <v>414</v>
      </c>
      <c r="L258" t="s">
        <v>415</v>
      </c>
      <c r="M258" t="s">
        <v>416</v>
      </c>
      <c r="N258" t="s">
        <v>417</v>
      </c>
    </row>
    <row r="259" spans="1:14" x14ac:dyDescent="0.35">
      <c r="A259">
        <v>53019</v>
      </c>
      <c r="B259" t="s">
        <v>186</v>
      </c>
      <c r="C259" s="205">
        <v>45967</v>
      </c>
      <c r="D259">
        <v>314</v>
      </c>
      <c r="E259" t="s">
        <v>588</v>
      </c>
      <c r="F259" t="s">
        <v>484</v>
      </c>
      <c r="G259" t="s">
        <v>433</v>
      </c>
      <c r="H259">
        <v>1800096655</v>
      </c>
      <c r="I259">
        <v>1195548.27</v>
      </c>
      <c r="J259">
        <v>0</v>
      </c>
      <c r="K259" t="s">
        <v>414</v>
      </c>
      <c r="L259" t="s">
        <v>415</v>
      </c>
      <c r="M259" t="s">
        <v>416</v>
      </c>
      <c r="N259" t="s">
        <v>417</v>
      </c>
    </row>
    <row r="260" spans="1:14" x14ac:dyDescent="0.35">
      <c r="A260">
        <v>53019</v>
      </c>
      <c r="B260" t="s">
        <v>186</v>
      </c>
      <c r="C260" s="205">
        <v>45974</v>
      </c>
      <c r="D260">
        <v>315</v>
      </c>
      <c r="E260" t="s">
        <v>588</v>
      </c>
      <c r="F260" t="s">
        <v>484</v>
      </c>
      <c r="G260" t="s">
        <v>433</v>
      </c>
      <c r="H260">
        <v>1800097005</v>
      </c>
      <c r="I260">
        <v>142311.1</v>
      </c>
      <c r="J260">
        <v>0</v>
      </c>
      <c r="K260" t="s">
        <v>414</v>
      </c>
      <c r="L260" t="s">
        <v>415</v>
      </c>
      <c r="M260" t="s">
        <v>416</v>
      </c>
      <c r="N260" t="s">
        <v>417</v>
      </c>
    </row>
    <row r="261" spans="1:14" x14ac:dyDescent="0.35">
      <c r="A261">
        <v>53019</v>
      </c>
      <c r="B261" t="s">
        <v>186</v>
      </c>
      <c r="C261" s="205">
        <v>45986</v>
      </c>
      <c r="D261">
        <v>226</v>
      </c>
      <c r="E261" t="s">
        <v>589</v>
      </c>
      <c r="F261" t="s">
        <v>491</v>
      </c>
      <c r="G261" t="s">
        <v>433</v>
      </c>
      <c r="H261">
        <v>500025985</v>
      </c>
      <c r="I261">
        <v>6297.52</v>
      </c>
      <c r="J261">
        <v>0</v>
      </c>
      <c r="K261" t="s">
        <v>414</v>
      </c>
      <c r="L261" t="s">
        <v>415</v>
      </c>
      <c r="M261" t="s">
        <v>416</v>
      </c>
      <c r="N261" t="s">
        <v>417</v>
      </c>
    </row>
    <row r="262" spans="1:14" x14ac:dyDescent="0.35">
      <c r="A262">
        <v>53019</v>
      </c>
      <c r="B262" t="s">
        <v>186</v>
      </c>
      <c r="C262" s="205">
        <v>46002</v>
      </c>
      <c r="D262">
        <v>428</v>
      </c>
      <c r="E262" t="s">
        <v>589</v>
      </c>
      <c r="F262" t="s">
        <v>491</v>
      </c>
      <c r="G262" t="s">
        <v>433</v>
      </c>
      <c r="H262">
        <v>500026208</v>
      </c>
      <c r="I262">
        <v>48067.03</v>
      </c>
      <c r="J262">
        <v>0</v>
      </c>
      <c r="K262" t="s">
        <v>414</v>
      </c>
      <c r="L262" t="s">
        <v>415</v>
      </c>
      <c r="M262" t="s">
        <v>416</v>
      </c>
      <c r="N262" t="s">
        <v>417</v>
      </c>
    </row>
    <row r="263" spans="1:14" x14ac:dyDescent="0.35">
      <c r="A263">
        <v>53019</v>
      </c>
      <c r="B263" t="s">
        <v>186</v>
      </c>
      <c r="C263" s="205">
        <v>46028</v>
      </c>
      <c r="D263">
        <v>909</v>
      </c>
      <c r="E263" t="s">
        <v>590</v>
      </c>
      <c r="F263" t="s">
        <v>591</v>
      </c>
      <c r="G263" t="s">
        <v>433</v>
      </c>
      <c r="H263">
        <v>300010321</v>
      </c>
      <c r="I263">
        <v>424997.45</v>
      </c>
      <c r="J263">
        <v>0</v>
      </c>
      <c r="K263" t="s">
        <v>414</v>
      </c>
      <c r="L263" t="s">
        <v>415</v>
      </c>
      <c r="M263" t="s">
        <v>416</v>
      </c>
      <c r="N263" t="s">
        <v>417</v>
      </c>
    </row>
    <row r="264" spans="1:14" x14ac:dyDescent="0.35">
      <c r="A264">
        <v>53019</v>
      </c>
      <c r="B264" t="s">
        <v>186</v>
      </c>
      <c r="C264" s="205">
        <v>46028</v>
      </c>
      <c r="D264">
        <v>910</v>
      </c>
      <c r="E264" t="s">
        <v>590</v>
      </c>
      <c r="F264" t="s">
        <v>591</v>
      </c>
      <c r="G264" t="s">
        <v>496</v>
      </c>
      <c r="H264">
        <v>300001218</v>
      </c>
      <c r="I264">
        <v>0</v>
      </c>
      <c r="J264">
        <v>772007.51</v>
      </c>
      <c r="K264" t="s">
        <v>414</v>
      </c>
      <c r="L264" t="s">
        <v>415</v>
      </c>
      <c r="M264" t="s">
        <v>416</v>
      </c>
      <c r="N264" t="s">
        <v>417</v>
      </c>
    </row>
    <row r="265" spans="1:14" x14ac:dyDescent="0.35">
      <c r="A265">
        <v>53019</v>
      </c>
      <c r="B265" t="s">
        <v>186</v>
      </c>
      <c r="C265" s="205">
        <v>46048</v>
      </c>
      <c r="D265">
        <v>1011</v>
      </c>
      <c r="E265" t="s">
        <v>588</v>
      </c>
      <c r="F265" t="s">
        <v>484</v>
      </c>
      <c r="G265" t="s">
        <v>433</v>
      </c>
      <c r="H265">
        <v>1800100078</v>
      </c>
      <c r="I265">
        <v>599983.80000000005</v>
      </c>
      <c r="J265">
        <v>0</v>
      </c>
      <c r="K265" t="s">
        <v>414</v>
      </c>
      <c r="L265" t="s">
        <v>415</v>
      </c>
      <c r="M265" t="s">
        <v>416</v>
      </c>
      <c r="N265" t="s">
        <v>417</v>
      </c>
    </row>
    <row r="266" spans="1:14" x14ac:dyDescent="0.35">
      <c r="A266">
        <v>53019</v>
      </c>
      <c r="B266" t="s">
        <v>186</v>
      </c>
      <c r="C266" s="205">
        <v>46051</v>
      </c>
      <c r="D266">
        <v>1157</v>
      </c>
      <c r="E266" t="s">
        <v>588</v>
      </c>
      <c r="F266" t="s">
        <v>484</v>
      </c>
      <c r="G266" t="s">
        <v>433</v>
      </c>
      <c r="H266">
        <v>1800100248</v>
      </c>
      <c r="I266">
        <v>276151.77</v>
      </c>
      <c r="J266">
        <v>0</v>
      </c>
      <c r="K266" t="s">
        <v>414</v>
      </c>
      <c r="L266" t="s">
        <v>415</v>
      </c>
      <c r="M266" t="s">
        <v>416</v>
      </c>
      <c r="N266" t="s">
        <v>417</v>
      </c>
    </row>
    <row r="267" spans="1:14" x14ac:dyDescent="0.35">
      <c r="A267">
        <v>53019</v>
      </c>
      <c r="B267" t="s">
        <v>186</v>
      </c>
      <c r="C267" s="205">
        <v>46113</v>
      </c>
      <c r="D267">
        <v>2132</v>
      </c>
      <c r="E267" t="s">
        <v>590</v>
      </c>
      <c r="F267" t="s">
        <v>591</v>
      </c>
      <c r="G267" t="s">
        <v>433</v>
      </c>
      <c r="H267">
        <v>300011851</v>
      </c>
      <c r="I267">
        <v>130575.17</v>
      </c>
      <c r="J267">
        <v>0</v>
      </c>
      <c r="K267" t="s">
        <v>414</v>
      </c>
      <c r="L267" t="s">
        <v>415</v>
      </c>
      <c r="M267" t="s">
        <v>416</v>
      </c>
      <c r="N267" t="s">
        <v>417</v>
      </c>
    </row>
    <row r="268" spans="1:14" x14ac:dyDescent="0.35">
      <c r="A268">
        <v>53019</v>
      </c>
      <c r="B268" t="s">
        <v>186</v>
      </c>
      <c r="C268" s="205">
        <v>46128</v>
      </c>
      <c r="D268">
        <v>2588</v>
      </c>
      <c r="E268" t="s">
        <v>592</v>
      </c>
      <c r="F268" t="s">
        <v>593</v>
      </c>
      <c r="G268" t="s">
        <v>440</v>
      </c>
      <c r="H268">
        <v>400020725</v>
      </c>
      <c r="I268">
        <v>12155</v>
      </c>
      <c r="J268">
        <v>0</v>
      </c>
      <c r="K268" t="s">
        <v>414</v>
      </c>
      <c r="L268" t="s">
        <v>415</v>
      </c>
      <c r="M268" t="s">
        <v>416</v>
      </c>
      <c r="N268" t="s">
        <v>417</v>
      </c>
    </row>
    <row r="269" spans="1:14" x14ac:dyDescent="0.35">
      <c r="A269">
        <v>53019</v>
      </c>
      <c r="B269" t="s">
        <v>186</v>
      </c>
      <c r="C269" s="205">
        <v>46133</v>
      </c>
      <c r="D269">
        <v>2529</v>
      </c>
      <c r="E269" t="s">
        <v>590</v>
      </c>
      <c r="F269" t="s">
        <v>591</v>
      </c>
      <c r="G269" t="s">
        <v>433</v>
      </c>
      <c r="H269">
        <v>300012191</v>
      </c>
      <c r="I269">
        <v>60878.2</v>
      </c>
      <c r="J269">
        <v>0</v>
      </c>
      <c r="K269" t="s">
        <v>414</v>
      </c>
      <c r="L269" t="s">
        <v>415</v>
      </c>
      <c r="M269" t="s">
        <v>416</v>
      </c>
      <c r="N269" t="s">
        <v>417</v>
      </c>
    </row>
    <row r="270" spans="1:14" x14ac:dyDescent="0.35">
      <c r="A270">
        <v>53019</v>
      </c>
      <c r="B270" t="s">
        <v>186</v>
      </c>
      <c r="C270" s="205">
        <v>46133</v>
      </c>
      <c r="D270">
        <v>2530</v>
      </c>
      <c r="E270" t="s">
        <v>590</v>
      </c>
      <c r="F270" t="s">
        <v>591</v>
      </c>
      <c r="G270" t="s">
        <v>496</v>
      </c>
      <c r="H270">
        <v>300001414</v>
      </c>
      <c r="I270">
        <v>0</v>
      </c>
      <c r="J270">
        <v>45945.56</v>
      </c>
      <c r="K270" t="s">
        <v>414</v>
      </c>
      <c r="L270" t="s">
        <v>415</v>
      </c>
      <c r="M270" t="s">
        <v>416</v>
      </c>
      <c r="N270" t="s">
        <v>417</v>
      </c>
    </row>
    <row r="271" spans="1:14" x14ac:dyDescent="0.35">
      <c r="A271">
        <v>53019</v>
      </c>
      <c r="B271" t="s">
        <v>186</v>
      </c>
      <c r="C271" s="205">
        <v>46150</v>
      </c>
      <c r="D271">
        <v>2744</v>
      </c>
      <c r="E271" t="s">
        <v>589</v>
      </c>
      <c r="F271" t="s">
        <v>491</v>
      </c>
      <c r="G271" t="s">
        <v>433</v>
      </c>
      <c r="H271">
        <v>500028409</v>
      </c>
      <c r="I271">
        <v>39325.199999999997</v>
      </c>
      <c r="J271">
        <v>0</v>
      </c>
      <c r="K271" t="s">
        <v>414</v>
      </c>
      <c r="L271" t="s">
        <v>415</v>
      </c>
      <c r="M271" t="s">
        <v>416</v>
      </c>
      <c r="N271" t="s">
        <v>417</v>
      </c>
    </row>
    <row r="272" spans="1:14" x14ac:dyDescent="0.35">
      <c r="A272">
        <v>53019</v>
      </c>
      <c r="B272" t="s">
        <v>186</v>
      </c>
      <c r="C272" s="205">
        <v>46156</v>
      </c>
      <c r="D272">
        <v>2777</v>
      </c>
      <c r="E272" t="s">
        <v>590</v>
      </c>
      <c r="F272" t="s">
        <v>591</v>
      </c>
      <c r="G272" t="s">
        <v>433</v>
      </c>
      <c r="H272">
        <v>300012638</v>
      </c>
      <c r="I272">
        <v>1602203.06</v>
      </c>
      <c r="J272">
        <v>0</v>
      </c>
      <c r="K272" t="s">
        <v>414</v>
      </c>
      <c r="L272" t="s">
        <v>415</v>
      </c>
      <c r="M272" t="s">
        <v>416</v>
      </c>
      <c r="N272" t="s">
        <v>417</v>
      </c>
    </row>
    <row r="273" spans="1:14" x14ac:dyDescent="0.35">
      <c r="A273">
        <v>53019</v>
      </c>
      <c r="B273" t="s">
        <v>186</v>
      </c>
      <c r="C273" s="205">
        <v>46157</v>
      </c>
      <c r="D273">
        <v>2842</v>
      </c>
      <c r="E273" t="s">
        <v>590</v>
      </c>
      <c r="F273" t="s">
        <v>591</v>
      </c>
      <c r="G273" t="s">
        <v>433</v>
      </c>
      <c r="H273">
        <v>300012668</v>
      </c>
      <c r="I273">
        <v>267650.71999999997</v>
      </c>
      <c r="J273">
        <v>0</v>
      </c>
      <c r="K273" t="s">
        <v>414</v>
      </c>
      <c r="L273" t="s">
        <v>415</v>
      </c>
      <c r="M273" t="s">
        <v>416</v>
      </c>
      <c r="N273" t="s">
        <v>417</v>
      </c>
    </row>
    <row r="274" spans="1:14" x14ac:dyDescent="0.35">
      <c r="A274">
        <v>53019</v>
      </c>
      <c r="B274" t="s">
        <v>186</v>
      </c>
      <c r="C274" s="205">
        <v>46161</v>
      </c>
      <c r="D274">
        <v>2854</v>
      </c>
      <c r="E274" t="s">
        <v>588</v>
      </c>
      <c r="F274" t="s">
        <v>484</v>
      </c>
      <c r="G274" t="s">
        <v>433</v>
      </c>
      <c r="H274">
        <v>2200056057</v>
      </c>
      <c r="I274">
        <v>138024</v>
      </c>
      <c r="J274">
        <v>0</v>
      </c>
      <c r="K274" t="s">
        <v>414</v>
      </c>
      <c r="L274" t="s">
        <v>415</v>
      </c>
      <c r="M274" t="s">
        <v>416</v>
      </c>
      <c r="N274" t="s">
        <v>417</v>
      </c>
    </row>
    <row r="275" spans="1:14" x14ac:dyDescent="0.35">
      <c r="A275">
        <v>53019</v>
      </c>
      <c r="B275" t="s">
        <v>186</v>
      </c>
      <c r="C275" s="205">
        <v>46162</v>
      </c>
      <c r="D275">
        <v>2864</v>
      </c>
      <c r="E275" t="s">
        <v>588</v>
      </c>
      <c r="F275" t="s">
        <v>484</v>
      </c>
      <c r="G275" t="s">
        <v>433</v>
      </c>
      <c r="H275">
        <v>2200056096</v>
      </c>
      <c r="I275">
        <v>4087001.4</v>
      </c>
      <c r="J275">
        <v>0</v>
      </c>
      <c r="K275" t="s">
        <v>414</v>
      </c>
      <c r="L275" t="s">
        <v>415</v>
      </c>
      <c r="M275" t="s">
        <v>416</v>
      </c>
      <c r="N275" t="s">
        <v>417</v>
      </c>
    </row>
    <row r="276" spans="1:14" x14ac:dyDescent="0.35">
      <c r="A276">
        <v>53020</v>
      </c>
      <c r="B276" t="s">
        <v>187</v>
      </c>
      <c r="C276" s="205">
        <v>45982</v>
      </c>
      <c r="D276">
        <v>71</v>
      </c>
      <c r="E276" t="s">
        <v>594</v>
      </c>
      <c r="F276" t="s">
        <v>420</v>
      </c>
      <c r="G276" t="s">
        <v>429</v>
      </c>
      <c r="H276">
        <v>7996</v>
      </c>
      <c r="I276">
        <v>339500</v>
      </c>
      <c r="J276">
        <v>0</v>
      </c>
      <c r="K276" t="s">
        <v>414</v>
      </c>
      <c r="L276" t="s">
        <v>415</v>
      </c>
      <c r="M276" t="s">
        <v>416</v>
      </c>
      <c r="N276" t="s">
        <v>417</v>
      </c>
    </row>
    <row r="277" spans="1:14" x14ac:dyDescent="0.35">
      <c r="A277">
        <v>53020</v>
      </c>
      <c r="B277" t="s">
        <v>187</v>
      </c>
      <c r="C277" s="205">
        <v>46017</v>
      </c>
      <c r="D277">
        <v>264</v>
      </c>
      <c r="E277" t="s">
        <v>595</v>
      </c>
      <c r="F277" t="s">
        <v>420</v>
      </c>
      <c r="G277" t="s">
        <v>429</v>
      </c>
      <c r="H277">
        <v>8289</v>
      </c>
      <c r="I277">
        <v>605000</v>
      </c>
      <c r="J277">
        <v>0</v>
      </c>
      <c r="K277" t="s">
        <v>414</v>
      </c>
      <c r="L277" t="s">
        <v>415</v>
      </c>
      <c r="M277" t="s">
        <v>416</v>
      </c>
      <c r="N277" t="s">
        <v>417</v>
      </c>
    </row>
    <row r="278" spans="1:14" x14ac:dyDescent="0.35">
      <c r="A278">
        <v>53020</v>
      </c>
      <c r="B278" t="s">
        <v>187</v>
      </c>
      <c r="C278" s="205">
        <v>46038</v>
      </c>
      <c r="D278">
        <v>342</v>
      </c>
      <c r="E278" t="s">
        <v>596</v>
      </c>
      <c r="F278" t="s">
        <v>420</v>
      </c>
      <c r="G278" t="s">
        <v>429</v>
      </c>
      <c r="H278">
        <v>8363</v>
      </c>
      <c r="I278">
        <v>652200</v>
      </c>
      <c r="J278">
        <v>0</v>
      </c>
      <c r="K278" t="s">
        <v>414</v>
      </c>
      <c r="L278" t="s">
        <v>415</v>
      </c>
      <c r="M278" t="s">
        <v>416</v>
      </c>
      <c r="N278" t="s">
        <v>417</v>
      </c>
    </row>
    <row r="279" spans="1:14" x14ac:dyDescent="0.35">
      <c r="A279">
        <v>53020</v>
      </c>
      <c r="B279" t="s">
        <v>187</v>
      </c>
      <c r="C279" s="205">
        <v>46052</v>
      </c>
      <c r="D279">
        <v>505</v>
      </c>
      <c r="E279" t="s">
        <v>597</v>
      </c>
      <c r="F279" t="s">
        <v>420</v>
      </c>
      <c r="G279" t="s">
        <v>429</v>
      </c>
      <c r="H279">
        <v>8529</v>
      </c>
      <c r="I279">
        <v>1928000</v>
      </c>
      <c r="J279">
        <v>0</v>
      </c>
      <c r="K279" t="s">
        <v>414</v>
      </c>
      <c r="L279" t="s">
        <v>415</v>
      </c>
      <c r="M279" t="s">
        <v>416</v>
      </c>
      <c r="N279" t="s">
        <v>417</v>
      </c>
    </row>
    <row r="280" spans="1:14" x14ac:dyDescent="0.35">
      <c r="A280">
        <v>53020</v>
      </c>
      <c r="B280" t="s">
        <v>187</v>
      </c>
      <c r="C280" s="205">
        <v>46101</v>
      </c>
      <c r="D280">
        <v>821</v>
      </c>
      <c r="E280" t="s">
        <v>598</v>
      </c>
      <c r="F280" t="s">
        <v>420</v>
      </c>
      <c r="G280" t="s">
        <v>429</v>
      </c>
      <c r="H280">
        <v>8849</v>
      </c>
      <c r="I280">
        <v>1111000</v>
      </c>
      <c r="J280">
        <v>0</v>
      </c>
      <c r="K280" t="s">
        <v>414</v>
      </c>
      <c r="L280" t="s">
        <v>415</v>
      </c>
      <c r="M280" t="s">
        <v>416</v>
      </c>
      <c r="N280" t="s">
        <v>417</v>
      </c>
    </row>
    <row r="281" spans="1:14" x14ac:dyDescent="0.35">
      <c r="A281">
        <v>53020</v>
      </c>
      <c r="B281" t="s">
        <v>187</v>
      </c>
      <c r="C281" s="205">
        <v>46129</v>
      </c>
      <c r="D281">
        <v>991</v>
      </c>
      <c r="E281" t="s">
        <v>599</v>
      </c>
      <c r="F281" t="s">
        <v>420</v>
      </c>
      <c r="G281" t="s">
        <v>429</v>
      </c>
      <c r="H281">
        <v>9019</v>
      </c>
      <c r="I281">
        <v>1406500</v>
      </c>
      <c r="J281">
        <v>0</v>
      </c>
      <c r="K281" t="s">
        <v>414</v>
      </c>
      <c r="L281" t="s">
        <v>415</v>
      </c>
      <c r="M281" t="s">
        <v>416</v>
      </c>
      <c r="N281" t="s">
        <v>417</v>
      </c>
    </row>
    <row r="282" spans="1:14" x14ac:dyDescent="0.35">
      <c r="A282">
        <v>53020</v>
      </c>
      <c r="B282" t="s">
        <v>187</v>
      </c>
      <c r="C282" s="205">
        <v>46150</v>
      </c>
      <c r="D282">
        <v>1116</v>
      </c>
      <c r="E282" t="s">
        <v>600</v>
      </c>
      <c r="F282" t="s">
        <v>420</v>
      </c>
      <c r="G282" t="s">
        <v>429</v>
      </c>
      <c r="H282">
        <v>9143</v>
      </c>
      <c r="I282">
        <v>1561000</v>
      </c>
      <c r="J282">
        <v>0</v>
      </c>
      <c r="K282" t="s">
        <v>414</v>
      </c>
      <c r="L282" t="s">
        <v>415</v>
      </c>
      <c r="M282" t="s">
        <v>416</v>
      </c>
      <c r="N282" t="s">
        <v>417</v>
      </c>
    </row>
    <row r="283" spans="1:14" x14ac:dyDescent="0.35">
      <c r="A283">
        <v>53022</v>
      </c>
      <c r="B283" t="s">
        <v>35</v>
      </c>
      <c r="C283" s="205">
        <v>46043</v>
      </c>
      <c r="D283">
        <v>498</v>
      </c>
      <c r="E283" t="s">
        <v>601</v>
      </c>
      <c r="F283" t="s">
        <v>420</v>
      </c>
      <c r="G283" t="s">
        <v>429</v>
      </c>
      <c r="H283">
        <v>8522</v>
      </c>
      <c r="I283">
        <v>380952.38</v>
      </c>
      <c r="J283">
        <v>0</v>
      </c>
      <c r="K283" t="s">
        <v>414</v>
      </c>
      <c r="L283" t="s">
        <v>415</v>
      </c>
      <c r="M283" t="s">
        <v>416</v>
      </c>
      <c r="N283" t="s">
        <v>417</v>
      </c>
    </row>
    <row r="284" spans="1:14" x14ac:dyDescent="0.35">
      <c r="A284">
        <v>53022</v>
      </c>
      <c r="B284" t="s">
        <v>35</v>
      </c>
      <c r="C284" s="205">
        <v>46048</v>
      </c>
      <c r="D284">
        <v>499</v>
      </c>
      <c r="E284" t="s">
        <v>601</v>
      </c>
      <c r="F284" t="s">
        <v>420</v>
      </c>
      <c r="G284" t="s">
        <v>429</v>
      </c>
      <c r="H284">
        <v>8523</v>
      </c>
      <c r="I284">
        <v>761904.76</v>
      </c>
      <c r="J284">
        <v>0</v>
      </c>
      <c r="K284" t="s">
        <v>414</v>
      </c>
      <c r="L284" t="s">
        <v>415</v>
      </c>
      <c r="M284" t="s">
        <v>416</v>
      </c>
      <c r="N284" t="s">
        <v>417</v>
      </c>
    </row>
    <row r="285" spans="1:14" x14ac:dyDescent="0.35">
      <c r="A285">
        <v>53022</v>
      </c>
      <c r="B285" t="s">
        <v>35</v>
      </c>
      <c r="C285" s="205">
        <v>46058</v>
      </c>
      <c r="D285">
        <v>1927</v>
      </c>
      <c r="E285" t="s">
        <v>602</v>
      </c>
      <c r="F285" t="s">
        <v>603</v>
      </c>
      <c r="G285" t="s">
        <v>433</v>
      </c>
      <c r="H285">
        <v>200007845</v>
      </c>
      <c r="I285">
        <v>26363.64</v>
      </c>
      <c r="J285">
        <v>0</v>
      </c>
      <c r="K285" t="s">
        <v>414</v>
      </c>
      <c r="L285" t="s">
        <v>415</v>
      </c>
      <c r="M285" t="s">
        <v>416</v>
      </c>
      <c r="N285" t="s">
        <v>417</v>
      </c>
    </row>
    <row r="286" spans="1:14" x14ac:dyDescent="0.35">
      <c r="A286">
        <v>53022</v>
      </c>
      <c r="B286" t="s">
        <v>35</v>
      </c>
      <c r="C286" s="205">
        <v>46106</v>
      </c>
      <c r="D286">
        <v>860</v>
      </c>
      <c r="E286" t="s">
        <v>601</v>
      </c>
      <c r="F286" t="s">
        <v>420</v>
      </c>
      <c r="G286" t="s">
        <v>429</v>
      </c>
      <c r="H286">
        <v>8888</v>
      </c>
      <c r="I286">
        <v>425142.86</v>
      </c>
      <c r="J286">
        <v>0</v>
      </c>
      <c r="K286" t="s">
        <v>414</v>
      </c>
      <c r="L286" t="s">
        <v>415</v>
      </c>
      <c r="M286" t="s">
        <v>416</v>
      </c>
      <c r="N286" t="s">
        <v>417</v>
      </c>
    </row>
    <row r="287" spans="1:14" x14ac:dyDescent="0.35">
      <c r="A287">
        <v>53022</v>
      </c>
      <c r="B287" t="s">
        <v>35</v>
      </c>
      <c r="C287" s="205">
        <v>46106</v>
      </c>
      <c r="D287">
        <v>860</v>
      </c>
      <c r="E287" t="s">
        <v>601</v>
      </c>
      <c r="F287" t="s">
        <v>420</v>
      </c>
      <c r="G287" t="s">
        <v>429</v>
      </c>
      <c r="H287">
        <v>8888</v>
      </c>
      <c r="I287">
        <v>500000</v>
      </c>
      <c r="J287">
        <v>0</v>
      </c>
      <c r="K287" t="s">
        <v>414</v>
      </c>
      <c r="L287" t="s">
        <v>415</v>
      </c>
      <c r="M287" t="s">
        <v>416</v>
      </c>
      <c r="N287" t="s">
        <v>417</v>
      </c>
    </row>
    <row r="288" spans="1:14" x14ac:dyDescent="0.35">
      <c r="A288">
        <v>53022</v>
      </c>
      <c r="B288" t="s">
        <v>35</v>
      </c>
      <c r="C288" s="205">
        <v>46129</v>
      </c>
      <c r="D288">
        <v>1243</v>
      </c>
      <c r="E288" t="s">
        <v>601</v>
      </c>
      <c r="F288" t="s">
        <v>420</v>
      </c>
      <c r="G288" t="s">
        <v>429</v>
      </c>
      <c r="H288">
        <v>9267</v>
      </c>
      <c r="I288">
        <v>600000</v>
      </c>
      <c r="J288">
        <v>0</v>
      </c>
      <c r="K288" t="s">
        <v>414</v>
      </c>
      <c r="L288" t="s">
        <v>415</v>
      </c>
      <c r="M288" t="s">
        <v>416</v>
      </c>
      <c r="N288" t="s">
        <v>417</v>
      </c>
    </row>
    <row r="289" spans="1:14" x14ac:dyDescent="0.35">
      <c r="A289">
        <v>53022</v>
      </c>
      <c r="B289" t="s">
        <v>35</v>
      </c>
      <c r="C289" s="205">
        <v>46161</v>
      </c>
      <c r="D289">
        <v>1242</v>
      </c>
      <c r="E289" t="s">
        <v>601</v>
      </c>
      <c r="F289" t="s">
        <v>420</v>
      </c>
      <c r="G289" t="s">
        <v>429</v>
      </c>
      <c r="H289">
        <v>9266</v>
      </c>
      <c r="I289">
        <v>120000</v>
      </c>
      <c r="J289">
        <v>0</v>
      </c>
      <c r="K289" t="s">
        <v>414</v>
      </c>
      <c r="L289" t="s">
        <v>415</v>
      </c>
      <c r="M289" t="s">
        <v>416</v>
      </c>
      <c r="N289" t="s">
        <v>417</v>
      </c>
    </row>
    <row r="290" spans="1:14" x14ac:dyDescent="0.35">
      <c r="A290">
        <v>53023</v>
      </c>
      <c r="B290" t="s">
        <v>604</v>
      </c>
      <c r="C290" s="205">
        <v>45965</v>
      </c>
      <c r="D290">
        <v>29</v>
      </c>
      <c r="E290" t="s">
        <v>605</v>
      </c>
      <c r="F290" t="s">
        <v>432</v>
      </c>
      <c r="G290" t="s">
        <v>433</v>
      </c>
      <c r="H290">
        <v>1000212591</v>
      </c>
      <c r="I290">
        <v>24984</v>
      </c>
      <c r="J290">
        <v>0</v>
      </c>
      <c r="K290" t="s">
        <v>414</v>
      </c>
      <c r="L290" t="s">
        <v>415</v>
      </c>
      <c r="M290" t="s">
        <v>416</v>
      </c>
      <c r="N290" t="s">
        <v>417</v>
      </c>
    </row>
    <row r="291" spans="1:14" x14ac:dyDescent="0.35">
      <c r="A291">
        <v>53023</v>
      </c>
      <c r="B291" t="s">
        <v>604</v>
      </c>
      <c r="C291" s="205">
        <v>45965</v>
      </c>
      <c r="D291">
        <v>681</v>
      </c>
      <c r="E291" t="s">
        <v>605</v>
      </c>
      <c r="F291" t="s">
        <v>432</v>
      </c>
      <c r="G291" t="s">
        <v>433</v>
      </c>
      <c r="H291">
        <v>1000212565</v>
      </c>
      <c r="I291">
        <v>418670.1</v>
      </c>
      <c r="J291">
        <v>0</v>
      </c>
      <c r="K291" t="s">
        <v>414</v>
      </c>
      <c r="L291" t="s">
        <v>415</v>
      </c>
      <c r="M291" t="s">
        <v>416</v>
      </c>
      <c r="N291" t="s">
        <v>417</v>
      </c>
    </row>
    <row r="292" spans="1:14" x14ac:dyDescent="0.35">
      <c r="A292">
        <v>53023</v>
      </c>
      <c r="B292" t="s">
        <v>604</v>
      </c>
      <c r="C292" s="205">
        <v>45981</v>
      </c>
      <c r="D292">
        <v>159</v>
      </c>
      <c r="E292" t="s">
        <v>606</v>
      </c>
      <c r="F292" t="s">
        <v>420</v>
      </c>
      <c r="G292" t="s">
        <v>429</v>
      </c>
      <c r="H292">
        <v>8178</v>
      </c>
      <c r="I292">
        <v>7200</v>
      </c>
      <c r="J292">
        <v>0</v>
      </c>
      <c r="K292" t="s">
        <v>414</v>
      </c>
      <c r="L292" t="s">
        <v>415</v>
      </c>
      <c r="M292" t="s">
        <v>416</v>
      </c>
      <c r="N292" t="s">
        <v>417</v>
      </c>
    </row>
    <row r="293" spans="1:14" x14ac:dyDescent="0.35">
      <c r="A293">
        <v>53023</v>
      </c>
      <c r="B293" t="s">
        <v>604</v>
      </c>
      <c r="C293" s="205">
        <v>45986</v>
      </c>
      <c r="D293">
        <v>226</v>
      </c>
      <c r="E293" t="s">
        <v>607</v>
      </c>
      <c r="F293" t="s">
        <v>491</v>
      </c>
      <c r="G293" t="s">
        <v>433</v>
      </c>
      <c r="H293">
        <v>500025985</v>
      </c>
      <c r="I293">
        <v>227830.58</v>
      </c>
      <c r="J293">
        <v>0</v>
      </c>
      <c r="K293" t="s">
        <v>414</v>
      </c>
      <c r="L293" t="s">
        <v>415</v>
      </c>
      <c r="M293" t="s">
        <v>416</v>
      </c>
      <c r="N293" t="s">
        <v>417</v>
      </c>
    </row>
    <row r="294" spans="1:14" x14ac:dyDescent="0.35">
      <c r="A294">
        <v>53023</v>
      </c>
      <c r="B294" t="s">
        <v>604</v>
      </c>
      <c r="C294" s="205">
        <v>45986</v>
      </c>
      <c r="D294">
        <v>227</v>
      </c>
      <c r="E294" t="s">
        <v>605</v>
      </c>
      <c r="F294" t="s">
        <v>432</v>
      </c>
      <c r="G294" t="s">
        <v>433</v>
      </c>
      <c r="H294">
        <v>1000214088</v>
      </c>
      <c r="I294">
        <v>2579.4</v>
      </c>
      <c r="J294">
        <v>0</v>
      </c>
      <c r="K294" t="s">
        <v>414</v>
      </c>
      <c r="L294" t="s">
        <v>415</v>
      </c>
      <c r="M294" t="s">
        <v>416</v>
      </c>
      <c r="N294" t="s">
        <v>417</v>
      </c>
    </row>
    <row r="295" spans="1:14" x14ac:dyDescent="0.35">
      <c r="A295">
        <v>53023</v>
      </c>
      <c r="B295" t="s">
        <v>604</v>
      </c>
      <c r="C295" s="205">
        <v>45987</v>
      </c>
      <c r="D295">
        <v>682</v>
      </c>
      <c r="E295" t="s">
        <v>605</v>
      </c>
      <c r="F295" t="s">
        <v>432</v>
      </c>
      <c r="G295" t="s">
        <v>433</v>
      </c>
      <c r="H295">
        <v>1000214130</v>
      </c>
      <c r="I295">
        <v>301533.3</v>
      </c>
      <c r="J295">
        <v>0</v>
      </c>
      <c r="K295" t="s">
        <v>414</v>
      </c>
      <c r="L295" t="s">
        <v>415</v>
      </c>
      <c r="M295" t="s">
        <v>416</v>
      </c>
      <c r="N295" t="s">
        <v>417</v>
      </c>
    </row>
    <row r="296" spans="1:14" x14ac:dyDescent="0.35">
      <c r="A296">
        <v>53023</v>
      </c>
      <c r="B296" t="s">
        <v>604</v>
      </c>
      <c r="C296" s="205">
        <v>45988</v>
      </c>
      <c r="D296">
        <v>160</v>
      </c>
      <c r="E296" t="s">
        <v>606</v>
      </c>
      <c r="F296" t="s">
        <v>420</v>
      </c>
      <c r="G296" t="s">
        <v>429</v>
      </c>
      <c r="H296">
        <v>8179</v>
      </c>
      <c r="I296">
        <v>12000</v>
      </c>
      <c r="J296">
        <v>0</v>
      </c>
      <c r="K296" t="s">
        <v>414</v>
      </c>
      <c r="L296" t="s">
        <v>415</v>
      </c>
      <c r="M296" t="s">
        <v>416</v>
      </c>
      <c r="N296" t="s">
        <v>417</v>
      </c>
    </row>
    <row r="297" spans="1:14" x14ac:dyDescent="0.35">
      <c r="A297">
        <v>53023</v>
      </c>
      <c r="B297" t="s">
        <v>604</v>
      </c>
      <c r="C297" s="205">
        <v>46002</v>
      </c>
      <c r="D297">
        <v>428</v>
      </c>
      <c r="E297" t="s">
        <v>607</v>
      </c>
      <c r="F297" t="s">
        <v>491</v>
      </c>
      <c r="G297" t="s">
        <v>433</v>
      </c>
      <c r="H297">
        <v>500026208</v>
      </c>
      <c r="I297">
        <v>69259.34</v>
      </c>
      <c r="J297">
        <v>0</v>
      </c>
      <c r="K297" t="s">
        <v>414</v>
      </c>
      <c r="L297" t="s">
        <v>415</v>
      </c>
      <c r="M297" t="s">
        <v>416</v>
      </c>
      <c r="N297" t="s">
        <v>417</v>
      </c>
    </row>
    <row r="298" spans="1:14" x14ac:dyDescent="0.35">
      <c r="A298">
        <v>53023</v>
      </c>
      <c r="B298" t="s">
        <v>604</v>
      </c>
      <c r="C298" s="205">
        <v>46004</v>
      </c>
      <c r="D298">
        <v>470</v>
      </c>
      <c r="E298" t="s">
        <v>605</v>
      </c>
      <c r="F298" t="s">
        <v>432</v>
      </c>
      <c r="G298" t="s">
        <v>433</v>
      </c>
      <c r="H298">
        <v>1000215379</v>
      </c>
      <c r="I298">
        <v>455244.57</v>
      </c>
      <c r="J298">
        <v>0</v>
      </c>
      <c r="K298" t="s">
        <v>414</v>
      </c>
      <c r="L298" t="s">
        <v>415</v>
      </c>
      <c r="M298" t="s">
        <v>416</v>
      </c>
      <c r="N298" t="s">
        <v>417</v>
      </c>
    </row>
    <row r="299" spans="1:14" x14ac:dyDescent="0.35">
      <c r="A299">
        <v>53023</v>
      </c>
      <c r="B299" t="s">
        <v>604</v>
      </c>
      <c r="C299" s="205">
        <v>46030</v>
      </c>
      <c r="D299">
        <v>771</v>
      </c>
      <c r="E299" t="s">
        <v>607</v>
      </c>
      <c r="F299" t="s">
        <v>491</v>
      </c>
      <c r="G299" t="s">
        <v>433</v>
      </c>
      <c r="H299">
        <v>500026573</v>
      </c>
      <c r="I299">
        <v>158795.73000000001</v>
      </c>
      <c r="J299">
        <v>0</v>
      </c>
      <c r="K299" t="s">
        <v>414</v>
      </c>
      <c r="L299" t="s">
        <v>415</v>
      </c>
      <c r="M299" t="s">
        <v>416</v>
      </c>
      <c r="N299" t="s">
        <v>417</v>
      </c>
    </row>
    <row r="300" spans="1:14" x14ac:dyDescent="0.35">
      <c r="A300">
        <v>53023</v>
      </c>
      <c r="B300" t="s">
        <v>604</v>
      </c>
      <c r="C300" s="205">
        <v>46045</v>
      </c>
      <c r="D300">
        <v>1005</v>
      </c>
      <c r="E300" t="s">
        <v>605</v>
      </c>
      <c r="F300" t="s">
        <v>432</v>
      </c>
      <c r="G300" t="s">
        <v>433</v>
      </c>
      <c r="H300">
        <v>1000217896</v>
      </c>
      <c r="I300">
        <v>19733.400000000001</v>
      </c>
      <c r="J300">
        <v>0</v>
      </c>
      <c r="K300" t="s">
        <v>414</v>
      </c>
      <c r="L300" t="s">
        <v>415</v>
      </c>
      <c r="M300" t="s">
        <v>416</v>
      </c>
      <c r="N300" t="s">
        <v>417</v>
      </c>
    </row>
    <row r="301" spans="1:14" x14ac:dyDescent="0.35">
      <c r="A301">
        <v>53023</v>
      </c>
      <c r="B301" t="s">
        <v>604</v>
      </c>
      <c r="C301" s="205">
        <v>46052</v>
      </c>
      <c r="D301">
        <v>1188</v>
      </c>
      <c r="E301" t="s">
        <v>605</v>
      </c>
      <c r="F301" t="s">
        <v>432</v>
      </c>
      <c r="G301" t="s">
        <v>433</v>
      </c>
      <c r="H301">
        <v>1000218397</v>
      </c>
      <c r="I301">
        <v>715292</v>
      </c>
      <c r="J301">
        <v>0</v>
      </c>
      <c r="K301" t="s">
        <v>414</v>
      </c>
      <c r="L301" t="s">
        <v>415</v>
      </c>
      <c r="M301" t="s">
        <v>416</v>
      </c>
      <c r="N301" t="s">
        <v>417</v>
      </c>
    </row>
    <row r="302" spans="1:14" x14ac:dyDescent="0.35">
      <c r="A302">
        <v>53023</v>
      </c>
      <c r="B302" t="s">
        <v>604</v>
      </c>
      <c r="C302" s="205">
        <v>46055</v>
      </c>
      <c r="D302">
        <v>1177</v>
      </c>
      <c r="E302" t="s">
        <v>607</v>
      </c>
      <c r="F302" t="s">
        <v>491</v>
      </c>
      <c r="G302" t="s">
        <v>433</v>
      </c>
      <c r="H302">
        <v>500026938</v>
      </c>
      <c r="I302">
        <v>392902.25</v>
      </c>
      <c r="J302">
        <v>0</v>
      </c>
      <c r="K302" t="s">
        <v>414</v>
      </c>
      <c r="L302" t="s">
        <v>415</v>
      </c>
      <c r="M302" t="s">
        <v>416</v>
      </c>
      <c r="N302" t="s">
        <v>417</v>
      </c>
    </row>
    <row r="303" spans="1:14" x14ac:dyDescent="0.35">
      <c r="A303">
        <v>53023</v>
      </c>
      <c r="B303" t="s">
        <v>604</v>
      </c>
      <c r="C303" s="205">
        <v>46071</v>
      </c>
      <c r="D303">
        <v>1063</v>
      </c>
      <c r="E303" t="s">
        <v>606</v>
      </c>
      <c r="F303" t="s">
        <v>420</v>
      </c>
      <c r="G303" t="s">
        <v>429</v>
      </c>
      <c r="H303">
        <v>9091</v>
      </c>
      <c r="I303">
        <v>21600</v>
      </c>
      <c r="J303">
        <v>0</v>
      </c>
      <c r="K303" t="s">
        <v>414</v>
      </c>
      <c r="L303" t="s">
        <v>415</v>
      </c>
      <c r="M303" t="s">
        <v>416</v>
      </c>
      <c r="N303" t="s">
        <v>417</v>
      </c>
    </row>
    <row r="304" spans="1:14" x14ac:dyDescent="0.35">
      <c r="A304">
        <v>53023</v>
      </c>
      <c r="B304" t="s">
        <v>604</v>
      </c>
      <c r="C304" s="205">
        <v>46080</v>
      </c>
      <c r="D304">
        <v>1396</v>
      </c>
      <c r="E304" t="s">
        <v>607</v>
      </c>
      <c r="F304" t="s">
        <v>491</v>
      </c>
      <c r="G304" t="s">
        <v>433</v>
      </c>
      <c r="H304">
        <v>500027299</v>
      </c>
      <c r="I304">
        <v>185403.64</v>
      </c>
      <c r="J304">
        <v>0</v>
      </c>
      <c r="K304" t="s">
        <v>414</v>
      </c>
      <c r="L304" t="s">
        <v>415</v>
      </c>
      <c r="M304" t="s">
        <v>416</v>
      </c>
      <c r="N304" t="s">
        <v>417</v>
      </c>
    </row>
    <row r="305" spans="1:14" x14ac:dyDescent="0.35">
      <c r="A305">
        <v>53023</v>
      </c>
      <c r="B305" t="s">
        <v>604</v>
      </c>
      <c r="C305" s="205">
        <v>46085</v>
      </c>
      <c r="D305">
        <v>2581</v>
      </c>
      <c r="E305" t="s">
        <v>608</v>
      </c>
      <c r="F305" t="s">
        <v>609</v>
      </c>
      <c r="G305" t="s">
        <v>433</v>
      </c>
      <c r="H305">
        <v>400017128</v>
      </c>
      <c r="I305">
        <v>27768.6</v>
      </c>
      <c r="J305">
        <v>0</v>
      </c>
      <c r="K305" t="s">
        <v>414</v>
      </c>
      <c r="L305" t="s">
        <v>415</v>
      </c>
      <c r="M305" t="s">
        <v>416</v>
      </c>
      <c r="N305" t="s">
        <v>417</v>
      </c>
    </row>
    <row r="306" spans="1:14" x14ac:dyDescent="0.35">
      <c r="A306">
        <v>53023</v>
      </c>
      <c r="B306" t="s">
        <v>604</v>
      </c>
      <c r="C306" s="205">
        <v>46091</v>
      </c>
      <c r="D306">
        <v>1060</v>
      </c>
      <c r="E306" t="s">
        <v>606</v>
      </c>
      <c r="F306" t="s">
        <v>420</v>
      </c>
      <c r="G306" t="s">
        <v>429</v>
      </c>
      <c r="H306">
        <v>9088</v>
      </c>
      <c r="I306">
        <v>11700</v>
      </c>
      <c r="J306">
        <v>0</v>
      </c>
      <c r="K306" t="s">
        <v>414</v>
      </c>
      <c r="L306" t="s">
        <v>415</v>
      </c>
      <c r="M306" t="s">
        <v>416</v>
      </c>
      <c r="N306" t="s">
        <v>417</v>
      </c>
    </row>
    <row r="307" spans="1:14" x14ac:dyDescent="0.35">
      <c r="A307">
        <v>53023</v>
      </c>
      <c r="B307" t="s">
        <v>604</v>
      </c>
      <c r="C307" s="205">
        <v>46094</v>
      </c>
      <c r="D307">
        <v>1658</v>
      </c>
      <c r="E307" t="s">
        <v>607</v>
      </c>
      <c r="F307" t="s">
        <v>491</v>
      </c>
      <c r="G307" t="s">
        <v>433</v>
      </c>
      <c r="H307">
        <v>500027537</v>
      </c>
      <c r="I307">
        <v>467366.06</v>
      </c>
      <c r="J307">
        <v>0</v>
      </c>
      <c r="K307" t="s">
        <v>414</v>
      </c>
      <c r="L307" t="s">
        <v>415</v>
      </c>
      <c r="M307" t="s">
        <v>416</v>
      </c>
      <c r="N307" t="s">
        <v>417</v>
      </c>
    </row>
    <row r="308" spans="1:14" x14ac:dyDescent="0.35">
      <c r="A308">
        <v>53023</v>
      </c>
      <c r="B308" t="s">
        <v>604</v>
      </c>
      <c r="C308" s="205">
        <v>46112</v>
      </c>
      <c r="D308">
        <v>2585</v>
      </c>
      <c r="E308" t="s">
        <v>610</v>
      </c>
      <c r="F308" t="s">
        <v>611</v>
      </c>
      <c r="G308" t="s">
        <v>433</v>
      </c>
      <c r="H308">
        <v>1300004568</v>
      </c>
      <c r="I308">
        <v>5355.37</v>
      </c>
      <c r="J308">
        <v>0</v>
      </c>
      <c r="K308" t="s">
        <v>414</v>
      </c>
      <c r="L308" t="s">
        <v>415</v>
      </c>
      <c r="M308" t="s">
        <v>416</v>
      </c>
      <c r="N308" t="s">
        <v>417</v>
      </c>
    </row>
    <row r="309" spans="1:14" x14ac:dyDescent="0.35">
      <c r="A309">
        <v>53023</v>
      </c>
      <c r="B309" t="s">
        <v>604</v>
      </c>
      <c r="C309" s="205">
        <v>46126</v>
      </c>
      <c r="D309">
        <v>2369</v>
      </c>
      <c r="E309" t="s">
        <v>607</v>
      </c>
      <c r="F309" t="s">
        <v>491</v>
      </c>
      <c r="G309" t="s">
        <v>433</v>
      </c>
      <c r="H309">
        <v>500028003</v>
      </c>
      <c r="I309">
        <v>593941.74</v>
      </c>
      <c r="J309">
        <v>0</v>
      </c>
      <c r="K309" t="s">
        <v>414</v>
      </c>
      <c r="L309" t="s">
        <v>415</v>
      </c>
      <c r="M309" t="s">
        <v>416</v>
      </c>
      <c r="N309" t="s">
        <v>417</v>
      </c>
    </row>
    <row r="310" spans="1:14" x14ac:dyDescent="0.35">
      <c r="A310">
        <v>53023</v>
      </c>
      <c r="B310" t="s">
        <v>604</v>
      </c>
      <c r="C310" s="205">
        <v>46128</v>
      </c>
      <c r="D310">
        <v>2589</v>
      </c>
      <c r="E310" t="s">
        <v>610</v>
      </c>
      <c r="F310" t="s">
        <v>611</v>
      </c>
      <c r="G310" t="s">
        <v>433</v>
      </c>
      <c r="H310">
        <v>1300004598</v>
      </c>
      <c r="I310">
        <v>32132.23</v>
      </c>
      <c r="J310">
        <v>0</v>
      </c>
      <c r="K310" t="s">
        <v>414</v>
      </c>
      <c r="L310" t="s">
        <v>415</v>
      </c>
      <c r="M310" t="s">
        <v>416</v>
      </c>
      <c r="N310" t="s">
        <v>417</v>
      </c>
    </row>
    <row r="311" spans="1:14" x14ac:dyDescent="0.35">
      <c r="A311">
        <v>53023</v>
      </c>
      <c r="B311" t="s">
        <v>604</v>
      </c>
      <c r="C311" s="205">
        <v>46128</v>
      </c>
      <c r="D311">
        <v>1061</v>
      </c>
      <c r="E311" t="s">
        <v>606</v>
      </c>
      <c r="F311" t="s">
        <v>420</v>
      </c>
      <c r="G311" t="s">
        <v>429</v>
      </c>
      <c r="H311">
        <v>9089</v>
      </c>
      <c r="I311">
        <v>7200</v>
      </c>
      <c r="J311">
        <v>0</v>
      </c>
      <c r="K311" t="s">
        <v>414</v>
      </c>
      <c r="L311" t="s">
        <v>415</v>
      </c>
      <c r="M311" t="s">
        <v>416</v>
      </c>
      <c r="N311" t="s">
        <v>417</v>
      </c>
    </row>
    <row r="312" spans="1:14" x14ac:dyDescent="0.35">
      <c r="A312">
        <v>53023</v>
      </c>
      <c r="B312" t="s">
        <v>604</v>
      </c>
      <c r="C312" s="205">
        <v>46134</v>
      </c>
      <c r="D312">
        <v>2535</v>
      </c>
      <c r="E312" t="s">
        <v>605</v>
      </c>
      <c r="F312" t="s">
        <v>432</v>
      </c>
      <c r="G312" t="s">
        <v>433</v>
      </c>
      <c r="H312">
        <v>1000223626</v>
      </c>
      <c r="I312">
        <v>144570.92000000001</v>
      </c>
      <c r="J312">
        <v>0</v>
      </c>
      <c r="K312" t="s">
        <v>414</v>
      </c>
      <c r="L312" t="s">
        <v>415</v>
      </c>
      <c r="M312" t="s">
        <v>416</v>
      </c>
      <c r="N312" t="s">
        <v>417</v>
      </c>
    </row>
    <row r="313" spans="1:14" x14ac:dyDescent="0.35">
      <c r="A313">
        <v>53023</v>
      </c>
      <c r="B313" t="s">
        <v>604</v>
      </c>
      <c r="C313" s="205">
        <v>46134</v>
      </c>
      <c r="D313">
        <v>2539</v>
      </c>
      <c r="E313" t="s">
        <v>612</v>
      </c>
      <c r="F313" t="s">
        <v>613</v>
      </c>
      <c r="G313" t="s">
        <v>433</v>
      </c>
      <c r="H313">
        <v>100000753</v>
      </c>
      <c r="I313">
        <v>35366.94</v>
      </c>
      <c r="J313">
        <v>0</v>
      </c>
      <c r="K313" t="s">
        <v>414</v>
      </c>
      <c r="L313" t="s">
        <v>415</v>
      </c>
      <c r="M313" t="s">
        <v>416</v>
      </c>
      <c r="N313" t="s">
        <v>417</v>
      </c>
    </row>
    <row r="314" spans="1:14" x14ac:dyDescent="0.35">
      <c r="A314">
        <v>53023</v>
      </c>
      <c r="B314" t="s">
        <v>604</v>
      </c>
      <c r="C314" s="205">
        <v>46135</v>
      </c>
      <c r="D314">
        <v>2592</v>
      </c>
      <c r="E314" t="s">
        <v>614</v>
      </c>
      <c r="F314" t="s">
        <v>615</v>
      </c>
      <c r="G314" t="s">
        <v>433</v>
      </c>
      <c r="H314">
        <v>400006882</v>
      </c>
      <c r="I314">
        <v>41983.47</v>
      </c>
      <c r="J314">
        <v>0</v>
      </c>
      <c r="K314" t="s">
        <v>414</v>
      </c>
      <c r="L314" t="s">
        <v>415</v>
      </c>
      <c r="M314" t="s">
        <v>416</v>
      </c>
      <c r="N314" t="s">
        <v>417</v>
      </c>
    </row>
    <row r="315" spans="1:14" x14ac:dyDescent="0.35">
      <c r="A315">
        <v>53023</v>
      </c>
      <c r="B315" t="s">
        <v>604</v>
      </c>
      <c r="C315" s="205">
        <v>46150</v>
      </c>
      <c r="D315">
        <v>2744</v>
      </c>
      <c r="E315" t="s">
        <v>607</v>
      </c>
      <c r="F315" t="s">
        <v>491</v>
      </c>
      <c r="G315" t="s">
        <v>433</v>
      </c>
      <c r="H315">
        <v>500028409</v>
      </c>
      <c r="I315">
        <v>181605.4</v>
      </c>
      <c r="J315">
        <v>0</v>
      </c>
      <c r="K315" t="s">
        <v>414</v>
      </c>
      <c r="L315" t="s">
        <v>415</v>
      </c>
      <c r="M315" t="s">
        <v>416</v>
      </c>
      <c r="N315" t="s">
        <v>417</v>
      </c>
    </row>
    <row r="316" spans="1:14" x14ac:dyDescent="0.35">
      <c r="A316">
        <v>53025</v>
      </c>
      <c r="B316" t="s">
        <v>243</v>
      </c>
      <c r="C316" s="205">
        <v>46050</v>
      </c>
      <c r="D316">
        <v>502</v>
      </c>
      <c r="E316" t="s">
        <v>616</v>
      </c>
      <c r="F316" t="s">
        <v>420</v>
      </c>
      <c r="G316" t="s">
        <v>429</v>
      </c>
      <c r="H316">
        <v>8526</v>
      </c>
      <c r="I316">
        <v>4235000</v>
      </c>
      <c r="J316">
        <v>0</v>
      </c>
      <c r="K316" t="s">
        <v>414</v>
      </c>
      <c r="L316" t="s">
        <v>415</v>
      </c>
      <c r="M316" t="s">
        <v>416</v>
      </c>
      <c r="N316" t="s">
        <v>417</v>
      </c>
    </row>
    <row r="317" spans="1:14" x14ac:dyDescent="0.35">
      <c r="A317">
        <v>53025</v>
      </c>
      <c r="B317" t="s">
        <v>243</v>
      </c>
      <c r="C317" s="205">
        <v>46101</v>
      </c>
      <c r="D317">
        <v>823</v>
      </c>
      <c r="E317" t="s">
        <v>617</v>
      </c>
      <c r="F317" t="s">
        <v>420</v>
      </c>
      <c r="G317" t="s">
        <v>429</v>
      </c>
      <c r="H317">
        <v>8851</v>
      </c>
      <c r="I317">
        <v>1464000</v>
      </c>
      <c r="J317">
        <v>0</v>
      </c>
      <c r="K317" t="s">
        <v>414</v>
      </c>
      <c r="L317" t="s">
        <v>415</v>
      </c>
      <c r="M317" t="s">
        <v>416</v>
      </c>
      <c r="N317" t="s">
        <v>417</v>
      </c>
    </row>
    <row r="318" spans="1:14" x14ac:dyDescent="0.35">
      <c r="A318">
        <v>53025</v>
      </c>
      <c r="B318" t="s">
        <v>243</v>
      </c>
      <c r="C318" s="205">
        <v>46129</v>
      </c>
      <c r="D318">
        <v>993</v>
      </c>
      <c r="E318" t="s">
        <v>618</v>
      </c>
      <c r="F318" t="s">
        <v>420</v>
      </c>
      <c r="G318" t="s">
        <v>429</v>
      </c>
      <c r="H318">
        <v>9021</v>
      </c>
      <c r="I318">
        <v>4233000</v>
      </c>
      <c r="J318">
        <v>0</v>
      </c>
      <c r="K318" t="s">
        <v>414</v>
      </c>
      <c r="L318" t="s">
        <v>415</v>
      </c>
      <c r="M318" t="s">
        <v>416</v>
      </c>
      <c r="N318" t="s">
        <v>417</v>
      </c>
    </row>
    <row r="319" spans="1:14" x14ac:dyDescent="0.35">
      <c r="A319">
        <v>53025</v>
      </c>
      <c r="B319" t="s">
        <v>243</v>
      </c>
      <c r="C319" s="205">
        <v>46142</v>
      </c>
      <c r="D319">
        <v>1084</v>
      </c>
      <c r="E319" t="s">
        <v>619</v>
      </c>
      <c r="F319" t="s">
        <v>420</v>
      </c>
      <c r="G319" t="s">
        <v>429</v>
      </c>
      <c r="H319">
        <v>9111</v>
      </c>
      <c r="I319">
        <v>807000</v>
      </c>
      <c r="J319">
        <v>0</v>
      </c>
      <c r="K319" t="s">
        <v>414</v>
      </c>
      <c r="L319" t="s">
        <v>415</v>
      </c>
      <c r="M319" t="s">
        <v>416</v>
      </c>
      <c r="N319" t="s">
        <v>417</v>
      </c>
    </row>
  </sheetData>
  <autoFilter ref="A1:R850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95959"/>
  </sheetPr>
  <dimension ref="A1:S1879"/>
  <sheetViews>
    <sheetView zoomScaleNormal="100" workbookViewId="0">
      <selection activeCell="B2" sqref="B2"/>
    </sheetView>
  </sheetViews>
  <sheetFormatPr defaultColWidth="8.6328125" defaultRowHeight="12" zeroHeight="1" x14ac:dyDescent="0.3"/>
  <cols>
    <col min="1" max="1" width="10.36328125" style="178" bestFit="1" customWidth="1"/>
    <col min="2" max="2" width="8.26953125" style="178" bestFit="1" customWidth="1"/>
    <col min="3" max="3" width="10.7265625" style="178" bestFit="1" customWidth="1"/>
    <col min="4" max="4" width="13.90625" style="178" bestFit="1" customWidth="1"/>
    <col min="5" max="5" width="32.26953125" style="178" customWidth="1"/>
    <col min="6" max="6" width="12.26953125" style="178" bestFit="1" customWidth="1"/>
    <col min="7" max="7" width="8.7265625" style="178" bestFit="1" customWidth="1"/>
    <col min="8" max="8" width="10.1796875" style="178" bestFit="1" customWidth="1"/>
    <col min="9" max="9" width="9.81640625" style="178" bestFit="1" customWidth="1"/>
    <col min="10" max="10" width="9.54296875" style="178" bestFit="1" customWidth="1"/>
    <col min="11" max="11" width="10.90625" style="178" bestFit="1" customWidth="1"/>
    <col min="12" max="12" width="9.54296875" style="178" bestFit="1" customWidth="1"/>
    <col min="13" max="13" width="13.453125" style="178" bestFit="1" customWidth="1"/>
    <col min="14" max="14" width="12.81640625" style="178" bestFit="1" customWidth="1"/>
    <col min="15" max="15" width="14.54296875" style="179" bestFit="1" customWidth="1"/>
    <col min="16" max="16" width="11" style="179" bestFit="1" customWidth="1"/>
    <col min="17" max="17" width="14.54296875" style="179" bestFit="1" customWidth="1"/>
    <col min="18" max="18" width="11.81640625" style="180" bestFit="1" customWidth="1"/>
    <col min="19" max="19" width="11" style="180" bestFit="1" customWidth="1"/>
    <col min="20" max="32" width="8.6328125" style="178" customWidth="1"/>
    <col min="33" max="16384" width="8.6328125" style="178"/>
  </cols>
  <sheetData>
    <row r="1" spans="1:19" ht="30" customHeight="1" x14ac:dyDescent="0.3">
      <c r="A1" s="175" t="s">
        <v>621</v>
      </c>
      <c r="B1" s="175" t="s">
        <v>622</v>
      </c>
      <c r="C1" s="175" t="s">
        <v>623</v>
      </c>
      <c r="D1" s="175" t="s">
        <v>624</v>
      </c>
      <c r="E1" s="175" t="s">
        <v>7</v>
      </c>
      <c r="F1" s="175" t="s">
        <v>625</v>
      </c>
      <c r="G1" s="175" t="s">
        <v>9</v>
      </c>
      <c r="H1" s="175" t="s">
        <v>626</v>
      </c>
      <c r="I1" s="175" t="s">
        <v>627</v>
      </c>
      <c r="J1" s="175" t="s">
        <v>628</v>
      </c>
      <c r="K1" s="175" t="s">
        <v>629</v>
      </c>
      <c r="L1" s="175" t="s">
        <v>630</v>
      </c>
      <c r="M1" s="175" t="s">
        <v>631</v>
      </c>
      <c r="N1" s="175" t="s">
        <v>632</v>
      </c>
      <c r="O1" s="176" t="s">
        <v>633</v>
      </c>
      <c r="P1" s="176" t="s">
        <v>634</v>
      </c>
      <c r="Q1" s="176" t="s">
        <v>635</v>
      </c>
      <c r="R1" s="177" t="s">
        <v>636</v>
      </c>
      <c r="S1" s="177" t="s">
        <v>637</v>
      </c>
    </row>
    <row r="2" spans="1:19" ht="15" customHeight="1" x14ac:dyDescent="0.35">
      <c r="A2" s="222" t="s">
        <v>638</v>
      </c>
      <c r="B2" s="222" t="s">
        <v>639</v>
      </c>
      <c r="C2" s="222" t="s">
        <v>640</v>
      </c>
      <c r="D2" s="222" t="s">
        <v>641</v>
      </c>
      <c r="E2" s="222" t="s">
        <v>642</v>
      </c>
      <c r="F2" s="222" t="s">
        <v>643</v>
      </c>
      <c r="G2" s="223">
        <v>1</v>
      </c>
      <c r="H2" s="222">
        <v>0</v>
      </c>
      <c r="I2" s="224">
        <v>172653.2083</v>
      </c>
      <c r="J2" s="224">
        <v>172653.2083</v>
      </c>
      <c r="K2" s="222" t="s">
        <v>644</v>
      </c>
      <c r="L2" s="222">
        <v>1</v>
      </c>
      <c r="M2" s="222" t="s">
        <v>645</v>
      </c>
      <c r="N2" s="222">
        <v>1</v>
      </c>
      <c r="O2" s="222">
        <v>0</v>
      </c>
      <c r="P2" s="225">
        <v>3</v>
      </c>
      <c r="Q2" s="224">
        <v>0</v>
      </c>
      <c r="R2" s="222">
        <v>1.02</v>
      </c>
      <c r="S2" s="226" t="str">
        <f>IFERROR(_xlfn.XLOOKUP(R2,'1_Presupuesto'!$E:$E,'1_Presupuesto'!$D:$D),"")</f>
        <v>Preliminares</v>
      </c>
    </row>
    <row r="3" spans="1:19" ht="15" customHeight="1" x14ac:dyDescent="0.35">
      <c r="A3" s="222" t="s">
        <v>638</v>
      </c>
      <c r="B3" s="222" t="s">
        <v>639</v>
      </c>
      <c r="C3" s="222" t="s">
        <v>646</v>
      </c>
      <c r="D3" s="222" t="s">
        <v>647</v>
      </c>
      <c r="E3" s="222" t="s">
        <v>648</v>
      </c>
      <c r="F3" s="222" t="s">
        <v>643</v>
      </c>
      <c r="G3" s="223">
        <v>1.6666666699999999</v>
      </c>
      <c r="H3" s="222">
        <v>0</v>
      </c>
      <c r="I3" s="224">
        <v>49934.239999999998</v>
      </c>
      <c r="J3" s="224">
        <v>83223.733499780792</v>
      </c>
      <c r="K3" s="222" t="s">
        <v>644</v>
      </c>
      <c r="L3" s="222">
        <v>2</v>
      </c>
      <c r="M3" s="222" t="s">
        <v>649</v>
      </c>
      <c r="N3" s="222">
        <v>1</v>
      </c>
      <c r="O3" s="222">
        <v>1.6666666699999999</v>
      </c>
      <c r="P3" s="225">
        <v>3</v>
      </c>
      <c r="Q3" s="224">
        <v>5.0000000099999999</v>
      </c>
      <c r="R3" s="222">
        <v>1.02</v>
      </c>
      <c r="S3" s="226" t="str">
        <f>IFERROR(_xlfn.XLOOKUP(R3,'1_Presupuesto'!$E:$E,'1_Presupuesto'!$D:$D),"")</f>
        <v>Preliminares</v>
      </c>
    </row>
    <row r="4" spans="1:19" ht="15" customHeight="1" x14ac:dyDescent="0.35">
      <c r="A4" s="222" t="s">
        <v>638</v>
      </c>
      <c r="B4" s="222" t="s">
        <v>13</v>
      </c>
      <c r="C4" s="222"/>
      <c r="D4" s="222" t="s">
        <v>650</v>
      </c>
      <c r="E4" s="222" t="s">
        <v>651</v>
      </c>
      <c r="F4" s="222"/>
      <c r="G4" s="223">
        <v>1</v>
      </c>
      <c r="H4" s="222">
        <v>0</v>
      </c>
      <c r="I4" s="224">
        <v>4463.1540999999997</v>
      </c>
      <c r="J4" s="224">
        <v>4463.1540999999997</v>
      </c>
      <c r="K4" s="222" t="s">
        <v>652</v>
      </c>
      <c r="L4" s="222">
        <v>1</v>
      </c>
      <c r="M4" s="222" t="s">
        <v>653</v>
      </c>
      <c r="N4" s="222">
        <v>1</v>
      </c>
      <c r="O4" s="222">
        <v>0</v>
      </c>
      <c r="P4" s="225">
        <v>3</v>
      </c>
      <c r="Q4" s="224">
        <v>0</v>
      </c>
      <c r="R4" s="222">
        <v>1.02</v>
      </c>
      <c r="S4" s="226" t="str">
        <f>IFERROR(_xlfn.XLOOKUP(R4,'1_Presupuesto'!$E:$E,'1_Presupuesto'!$D:$D),"")</f>
        <v>Preliminares</v>
      </c>
    </row>
    <row r="5" spans="1:19" ht="15" customHeight="1" x14ac:dyDescent="0.35">
      <c r="A5" s="222" t="s">
        <v>638</v>
      </c>
      <c r="B5" s="222" t="s">
        <v>654</v>
      </c>
      <c r="C5" s="222" t="s">
        <v>655</v>
      </c>
      <c r="D5" s="222" t="s">
        <v>656</v>
      </c>
      <c r="E5" s="222" t="s">
        <v>657</v>
      </c>
      <c r="F5" s="222"/>
      <c r="G5" s="223">
        <v>41666.666700000002</v>
      </c>
      <c r="H5" s="222">
        <v>0</v>
      </c>
      <c r="I5" s="224">
        <v>1</v>
      </c>
      <c r="J5" s="224">
        <v>41666.666700000002</v>
      </c>
      <c r="K5" s="222" t="s">
        <v>658</v>
      </c>
      <c r="L5" s="222">
        <v>1</v>
      </c>
      <c r="M5" s="222" t="s">
        <v>659</v>
      </c>
      <c r="N5" s="222">
        <v>1</v>
      </c>
      <c r="O5" s="222">
        <v>0</v>
      </c>
      <c r="P5" s="225">
        <v>3</v>
      </c>
      <c r="Q5" s="224">
        <v>0</v>
      </c>
      <c r="R5" s="222">
        <v>1.02</v>
      </c>
      <c r="S5" s="226" t="str">
        <f>IFERROR(_xlfn.XLOOKUP(R5,'1_Presupuesto'!$E:$E,'1_Presupuesto'!$D:$D),"")</f>
        <v>Preliminares</v>
      </c>
    </row>
    <row r="6" spans="1:19" ht="15" customHeight="1" x14ac:dyDescent="0.35">
      <c r="A6" s="222" t="s">
        <v>660</v>
      </c>
      <c r="B6" s="222" t="s">
        <v>654</v>
      </c>
      <c r="C6" s="222" t="s">
        <v>640</v>
      </c>
      <c r="D6" s="222" t="s">
        <v>661</v>
      </c>
      <c r="E6" s="222" t="s">
        <v>662</v>
      </c>
      <c r="F6" s="222"/>
      <c r="G6" s="223">
        <v>2.5</v>
      </c>
      <c r="H6" s="222">
        <v>0</v>
      </c>
      <c r="I6" s="224">
        <v>10599.9835</v>
      </c>
      <c r="J6" s="224">
        <v>26499.958750000002</v>
      </c>
      <c r="K6" s="222" t="s">
        <v>663</v>
      </c>
      <c r="L6" s="222">
        <v>1</v>
      </c>
      <c r="M6" s="222" t="s">
        <v>664</v>
      </c>
      <c r="N6" s="222">
        <v>1</v>
      </c>
      <c r="O6" s="222">
        <v>0</v>
      </c>
      <c r="P6" s="225">
        <v>11</v>
      </c>
      <c r="Q6" s="224">
        <v>0</v>
      </c>
      <c r="R6" s="222">
        <v>1.04</v>
      </c>
      <c r="S6" s="226" t="str">
        <f>IFERROR(_xlfn.XLOOKUP(R6,'1_Presupuesto'!$E:$E,'1_Presupuesto'!$D:$D),"")</f>
        <v>Preliminares</v>
      </c>
    </row>
    <row r="7" spans="1:19" ht="15" customHeight="1" x14ac:dyDescent="0.35">
      <c r="A7" s="222" t="s">
        <v>660</v>
      </c>
      <c r="B7" s="222" t="s">
        <v>654</v>
      </c>
      <c r="C7" s="222" t="s">
        <v>640</v>
      </c>
      <c r="D7" s="222" t="s">
        <v>665</v>
      </c>
      <c r="E7" s="222" t="s">
        <v>666</v>
      </c>
      <c r="F7" s="222"/>
      <c r="G7" s="223">
        <v>9.0909089999999998E-2</v>
      </c>
      <c r="H7" s="222">
        <v>0</v>
      </c>
      <c r="I7" s="224">
        <v>267019.01650000003</v>
      </c>
      <c r="J7" s="224">
        <v>24274.455802709988</v>
      </c>
      <c r="K7" s="222" t="s">
        <v>663</v>
      </c>
      <c r="L7" s="222">
        <v>2</v>
      </c>
      <c r="M7" s="222" t="s">
        <v>667</v>
      </c>
      <c r="N7" s="222">
        <v>1</v>
      </c>
      <c r="O7" s="222">
        <v>0</v>
      </c>
      <c r="P7" s="225">
        <v>11</v>
      </c>
      <c r="Q7" s="224">
        <v>0</v>
      </c>
      <c r="R7" s="222">
        <v>1.04</v>
      </c>
      <c r="S7" s="226" t="str">
        <f>IFERROR(_xlfn.XLOOKUP(R7,'1_Presupuesto'!$E:$E,'1_Presupuesto'!$D:$D),"")</f>
        <v>Preliminares</v>
      </c>
    </row>
    <row r="8" spans="1:19" ht="15" customHeight="1" x14ac:dyDescent="0.35">
      <c r="A8" s="222" t="s">
        <v>660</v>
      </c>
      <c r="B8" s="222" t="s">
        <v>654</v>
      </c>
      <c r="C8" s="222" t="s">
        <v>640</v>
      </c>
      <c r="D8" s="222" t="s">
        <v>668</v>
      </c>
      <c r="E8" s="222" t="s">
        <v>669</v>
      </c>
      <c r="F8" s="222"/>
      <c r="G8" s="223">
        <v>0.18181818</v>
      </c>
      <c r="H8" s="222">
        <v>0</v>
      </c>
      <c r="I8" s="224">
        <v>26250.6198</v>
      </c>
      <c r="J8" s="224">
        <v>4772.8399159079636</v>
      </c>
      <c r="K8" s="222" t="s">
        <v>663</v>
      </c>
      <c r="L8" s="222">
        <v>3</v>
      </c>
      <c r="M8" s="222" t="s">
        <v>670</v>
      </c>
      <c r="N8" s="222">
        <v>1</v>
      </c>
      <c r="O8" s="222">
        <v>0</v>
      </c>
      <c r="P8" s="225">
        <v>11</v>
      </c>
      <c r="Q8" s="224">
        <v>0</v>
      </c>
      <c r="R8" s="222">
        <v>1.04</v>
      </c>
      <c r="S8" s="226" t="str">
        <f>IFERROR(_xlfn.XLOOKUP(R8,'1_Presupuesto'!$E:$E,'1_Presupuesto'!$D:$D),"")</f>
        <v>Preliminares</v>
      </c>
    </row>
    <row r="9" spans="1:19" ht="15" customHeight="1" x14ac:dyDescent="0.35">
      <c r="A9" s="222" t="s">
        <v>660</v>
      </c>
      <c r="B9" s="222" t="s">
        <v>654</v>
      </c>
      <c r="C9" s="222" t="s">
        <v>640</v>
      </c>
      <c r="D9" s="222" t="s">
        <v>671</v>
      </c>
      <c r="E9" s="222" t="s">
        <v>672</v>
      </c>
      <c r="F9" s="222"/>
      <c r="G9" s="223">
        <v>9.0909089999999998E-2</v>
      </c>
      <c r="H9" s="222">
        <v>0</v>
      </c>
      <c r="I9" s="224">
        <v>81509.950400000002</v>
      </c>
      <c r="J9" s="224">
        <v>7409.9954168091363</v>
      </c>
      <c r="K9" s="222" t="s">
        <v>663</v>
      </c>
      <c r="L9" s="222">
        <v>4</v>
      </c>
      <c r="M9" s="222" t="s">
        <v>673</v>
      </c>
      <c r="N9" s="222">
        <v>1</v>
      </c>
      <c r="O9" s="222">
        <v>0</v>
      </c>
      <c r="P9" s="225">
        <v>11</v>
      </c>
      <c r="Q9" s="224">
        <v>0</v>
      </c>
      <c r="R9" s="222">
        <v>1.04</v>
      </c>
      <c r="S9" s="226" t="str">
        <f>IFERROR(_xlfn.XLOOKUP(R9,'1_Presupuesto'!$E:$E,'1_Presupuesto'!$D:$D),"")</f>
        <v>Preliminares</v>
      </c>
    </row>
    <row r="10" spans="1:19" ht="15" customHeight="1" x14ac:dyDescent="0.35">
      <c r="A10" s="222" t="s">
        <v>660</v>
      </c>
      <c r="B10" s="222" t="s">
        <v>654</v>
      </c>
      <c r="C10" s="222" t="s">
        <v>640</v>
      </c>
      <c r="D10" s="222" t="s">
        <v>674</v>
      </c>
      <c r="E10" s="222" t="s">
        <v>675</v>
      </c>
      <c r="F10" s="222"/>
      <c r="G10" s="223">
        <v>0.18181818</v>
      </c>
      <c r="H10" s="222">
        <v>0</v>
      </c>
      <c r="I10" s="224">
        <v>12131.562</v>
      </c>
      <c r="J10" s="224">
        <v>2205.73852339716</v>
      </c>
      <c r="K10" s="222" t="s">
        <v>663</v>
      </c>
      <c r="L10" s="222">
        <v>5</v>
      </c>
      <c r="M10" s="222" t="s">
        <v>676</v>
      </c>
      <c r="N10" s="222">
        <v>1</v>
      </c>
      <c r="O10" s="222">
        <v>0</v>
      </c>
      <c r="P10" s="225">
        <v>11</v>
      </c>
      <c r="Q10" s="224">
        <v>0</v>
      </c>
      <c r="R10" s="222">
        <v>1.04</v>
      </c>
      <c r="S10" s="226" t="str">
        <f>IFERROR(_xlfn.XLOOKUP(R10,'1_Presupuesto'!$E:$E,'1_Presupuesto'!$D:$D),"")</f>
        <v>Preliminares</v>
      </c>
    </row>
    <row r="11" spans="1:19" ht="15" customHeight="1" x14ac:dyDescent="0.35">
      <c r="A11" s="222" t="s">
        <v>660</v>
      </c>
      <c r="B11" s="222" t="s">
        <v>654</v>
      </c>
      <c r="C11" s="222" t="s">
        <v>640</v>
      </c>
      <c r="D11" s="222" t="s">
        <v>677</v>
      </c>
      <c r="E11" s="222" t="s">
        <v>678</v>
      </c>
      <c r="F11" s="222"/>
      <c r="G11" s="223">
        <v>11.25</v>
      </c>
      <c r="H11" s="222">
        <v>0</v>
      </c>
      <c r="I11" s="224">
        <v>120</v>
      </c>
      <c r="J11" s="224">
        <v>1350</v>
      </c>
      <c r="K11" s="222" t="s">
        <v>663</v>
      </c>
      <c r="L11" s="222">
        <v>6</v>
      </c>
      <c r="M11" s="222" t="s">
        <v>679</v>
      </c>
      <c r="N11" s="222">
        <v>1</v>
      </c>
      <c r="O11" s="222">
        <v>0</v>
      </c>
      <c r="P11" s="225">
        <v>11</v>
      </c>
      <c r="Q11" s="224">
        <v>0</v>
      </c>
      <c r="R11" s="222">
        <v>1.04</v>
      </c>
      <c r="S11" s="226" t="str">
        <f>IFERROR(_xlfn.XLOOKUP(R11,'1_Presupuesto'!$E:$E,'1_Presupuesto'!$D:$D),"")</f>
        <v>Preliminares</v>
      </c>
    </row>
    <row r="12" spans="1:19" ht="15" customHeight="1" x14ac:dyDescent="0.35">
      <c r="A12" s="222" t="s">
        <v>660</v>
      </c>
      <c r="B12" s="222" t="s">
        <v>654</v>
      </c>
      <c r="C12" s="222" t="s">
        <v>640</v>
      </c>
      <c r="D12" s="222" t="s">
        <v>680</v>
      </c>
      <c r="E12" s="222" t="s">
        <v>681</v>
      </c>
      <c r="F12" s="222"/>
      <c r="G12" s="223">
        <v>9.0909089999999998E-2</v>
      </c>
      <c r="H12" s="222">
        <v>0</v>
      </c>
      <c r="I12" s="224">
        <v>31404.958699999999</v>
      </c>
      <c r="J12" s="224">
        <v>2854.996216904583</v>
      </c>
      <c r="K12" s="222" t="s">
        <v>663</v>
      </c>
      <c r="L12" s="222">
        <v>7</v>
      </c>
      <c r="M12" s="222" t="s">
        <v>682</v>
      </c>
      <c r="N12" s="222">
        <v>1</v>
      </c>
      <c r="O12" s="222">
        <v>0</v>
      </c>
      <c r="P12" s="225">
        <v>11</v>
      </c>
      <c r="Q12" s="224">
        <v>0</v>
      </c>
      <c r="R12" s="222">
        <v>1.04</v>
      </c>
      <c r="S12" s="226" t="str">
        <f>IFERROR(_xlfn.XLOOKUP(R12,'1_Presupuesto'!$E:$E,'1_Presupuesto'!$D:$D),"")</f>
        <v>Preliminares</v>
      </c>
    </row>
    <row r="13" spans="1:19" ht="15" customHeight="1" x14ac:dyDescent="0.35">
      <c r="A13" s="222" t="s">
        <v>660</v>
      </c>
      <c r="B13" s="222" t="s">
        <v>639</v>
      </c>
      <c r="C13" s="222" t="s">
        <v>646</v>
      </c>
      <c r="D13" s="222" t="s">
        <v>683</v>
      </c>
      <c r="E13" s="222" t="s">
        <v>684</v>
      </c>
      <c r="F13" s="222" t="s">
        <v>643</v>
      </c>
      <c r="G13" s="223">
        <v>0.18181818</v>
      </c>
      <c r="H13" s="222">
        <v>0</v>
      </c>
      <c r="I13" s="224">
        <v>65360.25</v>
      </c>
      <c r="J13" s="224">
        <v>11883.681699344999</v>
      </c>
      <c r="K13" s="222" t="s">
        <v>685</v>
      </c>
      <c r="L13" s="222">
        <v>1</v>
      </c>
      <c r="M13" s="222" t="s">
        <v>686</v>
      </c>
      <c r="N13" s="222">
        <v>1</v>
      </c>
      <c r="O13" s="222">
        <v>0.18181818</v>
      </c>
      <c r="P13" s="225">
        <v>11</v>
      </c>
      <c r="Q13" s="224">
        <v>1.9999999799999999</v>
      </c>
      <c r="R13" s="222">
        <v>1.04</v>
      </c>
      <c r="S13" s="226" t="str">
        <f>IFERROR(_xlfn.XLOOKUP(R13,'1_Presupuesto'!$E:$E,'1_Presupuesto'!$D:$D),"")</f>
        <v>Preliminares</v>
      </c>
    </row>
    <row r="14" spans="1:19" ht="15" customHeight="1" x14ac:dyDescent="0.35">
      <c r="A14" s="222" t="s">
        <v>660</v>
      </c>
      <c r="B14" s="222" t="s">
        <v>639</v>
      </c>
      <c r="C14" s="222" t="s">
        <v>646</v>
      </c>
      <c r="D14" s="222" t="s">
        <v>687</v>
      </c>
      <c r="E14" s="222" t="s">
        <v>688</v>
      </c>
      <c r="F14" s="222" t="s">
        <v>643</v>
      </c>
      <c r="G14" s="223">
        <v>0.18181818</v>
      </c>
      <c r="H14" s="222">
        <v>0</v>
      </c>
      <c r="I14" s="224">
        <v>54784.07</v>
      </c>
      <c r="J14" s="224">
        <v>9960.7399003926002</v>
      </c>
      <c r="K14" s="222" t="s">
        <v>685</v>
      </c>
      <c r="L14" s="222">
        <v>2</v>
      </c>
      <c r="M14" s="222" t="s">
        <v>689</v>
      </c>
      <c r="N14" s="222">
        <v>1</v>
      </c>
      <c r="O14" s="222">
        <v>0.18181818</v>
      </c>
      <c r="P14" s="225">
        <v>11</v>
      </c>
      <c r="Q14" s="224">
        <v>1.9999999799999999</v>
      </c>
      <c r="R14" s="222">
        <v>1.04</v>
      </c>
      <c r="S14" s="226" t="str">
        <f>IFERROR(_xlfn.XLOOKUP(R14,'1_Presupuesto'!$E:$E,'1_Presupuesto'!$D:$D),"")</f>
        <v>Preliminares</v>
      </c>
    </row>
    <row r="15" spans="1:19" ht="15" customHeight="1" x14ac:dyDescent="0.35">
      <c r="A15" s="222" t="s">
        <v>660</v>
      </c>
      <c r="B15" s="222" t="s">
        <v>639</v>
      </c>
      <c r="C15" s="222" t="s">
        <v>646</v>
      </c>
      <c r="D15" s="222" t="s">
        <v>647</v>
      </c>
      <c r="E15" s="222" t="s">
        <v>648</v>
      </c>
      <c r="F15" s="222" t="s">
        <v>643</v>
      </c>
      <c r="G15" s="223">
        <v>0.18181818</v>
      </c>
      <c r="H15" s="222">
        <v>0</v>
      </c>
      <c r="I15" s="224">
        <v>49934.239999999998</v>
      </c>
      <c r="J15" s="224">
        <v>9078.9526364832</v>
      </c>
      <c r="K15" s="222" t="s">
        <v>685</v>
      </c>
      <c r="L15" s="222">
        <v>3</v>
      </c>
      <c r="M15" s="222" t="s">
        <v>690</v>
      </c>
      <c r="N15" s="222">
        <v>1</v>
      </c>
      <c r="O15" s="222">
        <v>0.18181818</v>
      </c>
      <c r="P15" s="225">
        <v>11</v>
      </c>
      <c r="Q15" s="224">
        <v>1.9999999799999999</v>
      </c>
      <c r="R15" s="222">
        <v>1.04</v>
      </c>
      <c r="S15" s="226" t="str">
        <f>IFERROR(_xlfn.XLOOKUP(R15,'1_Presupuesto'!$E:$E,'1_Presupuesto'!$D:$D),"")</f>
        <v>Preliminares</v>
      </c>
    </row>
    <row r="16" spans="1:19" ht="15" customHeight="1" x14ac:dyDescent="0.35">
      <c r="A16" s="222" t="s">
        <v>660</v>
      </c>
      <c r="B16" s="222" t="s">
        <v>13</v>
      </c>
      <c r="C16" s="222"/>
      <c r="D16" s="222" t="s">
        <v>691</v>
      </c>
      <c r="E16" s="222" t="s">
        <v>692</v>
      </c>
      <c r="F16" s="222"/>
      <c r="G16" s="223">
        <v>1</v>
      </c>
      <c r="H16" s="222">
        <v>0</v>
      </c>
      <c r="I16" s="224">
        <v>1660.4484</v>
      </c>
      <c r="J16" s="224">
        <v>1660.4484</v>
      </c>
      <c r="K16" s="222" t="s">
        <v>693</v>
      </c>
      <c r="L16" s="222">
        <v>1</v>
      </c>
      <c r="M16" s="222" t="s">
        <v>694</v>
      </c>
      <c r="N16" s="222">
        <v>1</v>
      </c>
      <c r="O16" s="222">
        <v>0</v>
      </c>
      <c r="P16" s="225">
        <v>11</v>
      </c>
      <c r="Q16" s="224">
        <v>0</v>
      </c>
      <c r="R16" s="222">
        <v>1.04</v>
      </c>
      <c r="S16" s="226" t="str">
        <f>IFERROR(_xlfn.XLOOKUP(R16,'1_Presupuesto'!$E:$E,'1_Presupuesto'!$D:$D),"")</f>
        <v>Preliminares</v>
      </c>
    </row>
    <row r="17" spans="1:19" ht="15" customHeight="1" x14ac:dyDescent="0.35">
      <c r="A17" s="222" t="s">
        <v>660</v>
      </c>
      <c r="B17" s="222" t="s">
        <v>654</v>
      </c>
      <c r="C17" s="222" t="s">
        <v>655</v>
      </c>
      <c r="D17" s="222" t="s">
        <v>656</v>
      </c>
      <c r="E17" s="222" t="s">
        <v>657</v>
      </c>
      <c r="F17" s="222"/>
      <c r="G17" s="223">
        <v>10405.195</v>
      </c>
      <c r="H17" s="222">
        <v>0</v>
      </c>
      <c r="I17" s="224">
        <v>1</v>
      </c>
      <c r="J17" s="224">
        <v>10405.195</v>
      </c>
      <c r="K17" s="222" t="s">
        <v>663</v>
      </c>
      <c r="L17" s="222">
        <v>8</v>
      </c>
      <c r="M17" s="222" t="s">
        <v>695</v>
      </c>
      <c r="N17" s="222">
        <v>1</v>
      </c>
      <c r="O17" s="222">
        <v>0</v>
      </c>
      <c r="P17" s="225">
        <v>11</v>
      </c>
      <c r="Q17" s="224">
        <v>0</v>
      </c>
      <c r="R17" s="222">
        <v>1.04</v>
      </c>
      <c r="S17" s="226" t="str">
        <f>IFERROR(_xlfn.XLOOKUP(R17,'1_Presupuesto'!$E:$E,'1_Presupuesto'!$D:$D),"")</f>
        <v>Preliminares</v>
      </c>
    </row>
    <row r="18" spans="1:19" ht="15" customHeight="1" x14ac:dyDescent="0.35">
      <c r="A18" s="222" t="s">
        <v>696</v>
      </c>
      <c r="B18" s="222" t="s">
        <v>654</v>
      </c>
      <c r="C18" s="222" t="s">
        <v>640</v>
      </c>
      <c r="D18" s="222" t="s">
        <v>697</v>
      </c>
      <c r="E18" s="222" t="s">
        <v>662</v>
      </c>
      <c r="F18" s="222"/>
      <c r="G18" s="223">
        <v>35</v>
      </c>
      <c r="H18" s="222">
        <v>0</v>
      </c>
      <c r="I18" s="224">
        <v>5299.9916999999996</v>
      </c>
      <c r="J18" s="224">
        <v>185499.7095</v>
      </c>
      <c r="K18" s="222" t="s">
        <v>698</v>
      </c>
      <c r="L18" s="222">
        <v>1</v>
      </c>
      <c r="M18" s="222" t="s">
        <v>699</v>
      </c>
      <c r="N18" s="222">
        <v>1</v>
      </c>
      <c r="O18" s="222">
        <v>0</v>
      </c>
      <c r="P18" s="225">
        <v>1</v>
      </c>
      <c r="Q18" s="224">
        <v>0</v>
      </c>
      <c r="R18" s="222">
        <v>1.05</v>
      </c>
      <c r="S18" s="226" t="str">
        <f>IFERROR(_xlfn.XLOOKUP(R18,'1_Presupuesto'!$E:$E,'1_Presupuesto'!$D:$D),"")</f>
        <v>Preliminares</v>
      </c>
    </row>
    <row r="19" spans="1:19" ht="15" customHeight="1" x14ac:dyDescent="0.35">
      <c r="A19" s="222" t="s">
        <v>696</v>
      </c>
      <c r="B19" s="222" t="s">
        <v>654</v>
      </c>
      <c r="C19" s="222" t="s">
        <v>640</v>
      </c>
      <c r="D19" s="222" t="s">
        <v>700</v>
      </c>
      <c r="E19" s="222" t="s">
        <v>701</v>
      </c>
      <c r="F19" s="222"/>
      <c r="G19" s="223">
        <v>33</v>
      </c>
      <c r="H19" s="222">
        <v>0</v>
      </c>
      <c r="I19" s="224">
        <v>13161.34</v>
      </c>
      <c r="J19" s="224">
        <v>434324.22</v>
      </c>
      <c r="K19" s="222" t="s">
        <v>698</v>
      </c>
      <c r="L19" s="222">
        <v>2</v>
      </c>
      <c r="M19" s="222" t="s">
        <v>702</v>
      </c>
      <c r="N19" s="222">
        <v>1</v>
      </c>
      <c r="O19" s="222">
        <v>0</v>
      </c>
      <c r="P19" s="225">
        <v>1</v>
      </c>
      <c r="Q19" s="224">
        <v>0</v>
      </c>
      <c r="R19" s="222">
        <v>1.05</v>
      </c>
      <c r="S19" s="226" t="str">
        <f>IFERROR(_xlfn.XLOOKUP(R19,'1_Presupuesto'!$E:$E,'1_Presupuesto'!$D:$D),"")</f>
        <v>Preliminares</v>
      </c>
    </row>
    <row r="20" spans="1:19" ht="15" customHeight="1" x14ac:dyDescent="0.35">
      <c r="A20" s="222" t="s">
        <v>696</v>
      </c>
      <c r="B20" s="222" t="s">
        <v>654</v>
      </c>
      <c r="C20" s="222" t="s">
        <v>640</v>
      </c>
      <c r="D20" s="222" t="s">
        <v>703</v>
      </c>
      <c r="E20" s="222" t="s">
        <v>704</v>
      </c>
      <c r="F20" s="222"/>
      <c r="G20" s="223">
        <v>80</v>
      </c>
      <c r="H20" s="222">
        <v>0</v>
      </c>
      <c r="I20" s="224">
        <v>970.97400000000005</v>
      </c>
      <c r="J20" s="224">
        <v>77677.919999999998</v>
      </c>
      <c r="K20" s="222" t="s">
        <v>698</v>
      </c>
      <c r="L20" s="222">
        <v>3</v>
      </c>
      <c r="M20" s="222" t="s">
        <v>705</v>
      </c>
      <c r="N20" s="222">
        <v>1</v>
      </c>
      <c r="O20" s="222">
        <v>0</v>
      </c>
      <c r="P20" s="225">
        <v>1</v>
      </c>
      <c r="Q20" s="224">
        <v>0</v>
      </c>
      <c r="R20" s="222">
        <v>1.05</v>
      </c>
      <c r="S20" s="226" t="str">
        <f>IFERROR(_xlfn.XLOOKUP(R20,'1_Presupuesto'!$E:$E,'1_Presupuesto'!$D:$D),"")</f>
        <v>Preliminares</v>
      </c>
    </row>
    <row r="21" spans="1:19" ht="15" customHeight="1" x14ac:dyDescent="0.35">
      <c r="A21" s="222" t="s">
        <v>696</v>
      </c>
      <c r="B21" s="222" t="s">
        <v>654</v>
      </c>
      <c r="C21" s="222" t="s">
        <v>640</v>
      </c>
      <c r="D21" s="222" t="s">
        <v>706</v>
      </c>
      <c r="E21" s="222" t="s">
        <v>707</v>
      </c>
      <c r="F21" s="222"/>
      <c r="G21" s="223">
        <v>40</v>
      </c>
      <c r="H21" s="222">
        <v>0</v>
      </c>
      <c r="I21" s="224">
        <v>2184.7139999999999</v>
      </c>
      <c r="J21" s="224">
        <v>87388.56</v>
      </c>
      <c r="K21" s="222" t="s">
        <v>698</v>
      </c>
      <c r="L21" s="222">
        <v>4</v>
      </c>
      <c r="M21" s="222" t="s">
        <v>708</v>
      </c>
      <c r="N21" s="222">
        <v>1</v>
      </c>
      <c r="O21" s="222">
        <v>0</v>
      </c>
      <c r="P21" s="225">
        <v>1</v>
      </c>
      <c r="Q21" s="224">
        <v>0</v>
      </c>
      <c r="R21" s="222">
        <v>1.05</v>
      </c>
      <c r="S21" s="226" t="str">
        <f>IFERROR(_xlfn.XLOOKUP(R21,'1_Presupuesto'!$E:$E,'1_Presupuesto'!$D:$D),"")</f>
        <v>Preliminares</v>
      </c>
    </row>
    <row r="22" spans="1:19" ht="15" customHeight="1" x14ac:dyDescent="0.35">
      <c r="A22" s="222" t="s">
        <v>696</v>
      </c>
      <c r="B22" s="222" t="s">
        <v>654</v>
      </c>
      <c r="C22" s="222" t="s">
        <v>640</v>
      </c>
      <c r="D22" s="222" t="s">
        <v>709</v>
      </c>
      <c r="E22" s="222" t="s">
        <v>710</v>
      </c>
      <c r="F22" s="222"/>
      <c r="G22" s="223">
        <v>20</v>
      </c>
      <c r="H22" s="222">
        <v>0</v>
      </c>
      <c r="I22" s="224">
        <v>4369.4279999999999</v>
      </c>
      <c r="J22" s="224">
        <v>87388.56</v>
      </c>
      <c r="K22" s="222" t="s">
        <v>698</v>
      </c>
      <c r="L22" s="222">
        <v>5</v>
      </c>
      <c r="M22" s="222" t="s">
        <v>711</v>
      </c>
      <c r="N22" s="222">
        <v>1</v>
      </c>
      <c r="O22" s="222">
        <v>0</v>
      </c>
      <c r="P22" s="225">
        <v>1</v>
      </c>
      <c r="Q22" s="224">
        <v>0</v>
      </c>
      <c r="R22" s="222">
        <v>1.05</v>
      </c>
      <c r="S22" s="226" t="str">
        <f>IFERROR(_xlfn.XLOOKUP(R22,'1_Presupuesto'!$E:$E,'1_Presupuesto'!$D:$D),"")</f>
        <v>Preliminares</v>
      </c>
    </row>
    <row r="23" spans="1:19" ht="15" customHeight="1" x14ac:dyDescent="0.35">
      <c r="A23" s="222" t="s">
        <v>696</v>
      </c>
      <c r="B23" s="222" t="s">
        <v>654</v>
      </c>
      <c r="C23" s="222" t="s">
        <v>640</v>
      </c>
      <c r="D23" s="222" t="s">
        <v>712</v>
      </c>
      <c r="E23" s="222" t="s">
        <v>713</v>
      </c>
      <c r="F23" s="222"/>
      <c r="G23" s="223">
        <v>0.5</v>
      </c>
      <c r="H23" s="222">
        <v>0</v>
      </c>
      <c r="I23" s="224">
        <v>252455.04000000001</v>
      </c>
      <c r="J23" s="224">
        <v>126227.52</v>
      </c>
      <c r="K23" s="222" t="s">
        <v>698</v>
      </c>
      <c r="L23" s="222">
        <v>6</v>
      </c>
      <c r="M23" s="222" t="s">
        <v>714</v>
      </c>
      <c r="N23" s="222">
        <v>1</v>
      </c>
      <c r="O23" s="222">
        <v>0</v>
      </c>
      <c r="P23" s="225">
        <v>1</v>
      </c>
      <c r="Q23" s="224">
        <v>0</v>
      </c>
      <c r="R23" s="222">
        <v>1.05</v>
      </c>
      <c r="S23" s="226" t="str">
        <f>IFERROR(_xlfn.XLOOKUP(R23,'1_Presupuesto'!$E:$E,'1_Presupuesto'!$D:$D),"")</f>
        <v>Preliminares</v>
      </c>
    </row>
    <row r="24" spans="1:19" ht="15" customHeight="1" x14ac:dyDescent="0.35">
      <c r="A24" s="222" t="s">
        <v>696</v>
      </c>
      <c r="B24" s="222" t="s">
        <v>639</v>
      </c>
      <c r="C24" s="222" t="s">
        <v>640</v>
      </c>
      <c r="D24" s="222" t="s">
        <v>715</v>
      </c>
      <c r="E24" s="222" t="s">
        <v>716</v>
      </c>
      <c r="F24" s="222" t="s">
        <v>643</v>
      </c>
      <c r="G24" s="223">
        <v>2</v>
      </c>
      <c r="H24" s="222">
        <v>0</v>
      </c>
      <c r="I24" s="224">
        <v>250000</v>
      </c>
      <c r="J24" s="224">
        <v>500000</v>
      </c>
      <c r="K24" s="222" t="s">
        <v>717</v>
      </c>
      <c r="L24" s="222">
        <v>1</v>
      </c>
      <c r="M24" s="222" t="s">
        <v>718</v>
      </c>
      <c r="N24" s="222">
        <v>1</v>
      </c>
      <c r="O24" s="222">
        <v>0</v>
      </c>
      <c r="P24" s="225">
        <v>1</v>
      </c>
      <c r="Q24" s="224">
        <v>0</v>
      </c>
      <c r="R24" s="222">
        <v>1.05</v>
      </c>
      <c r="S24" s="226" t="str">
        <f>IFERROR(_xlfn.XLOOKUP(R24,'1_Presupuesto'!$E:$E,'1_Presupuesto'!$D:$D),"")</f>
        <v>Preliminares</v>
      </c>
    </row>
    <row r="25" spans="1:19" ht="15" customHeight="1" x14ac:dyDescent="0.35">
      <c r="A25" s="222" t="s">
        <v>696</v>
      </c>
      <c r="B25" s="222" t="s">
        <v>654</v>
      </c>
      <c r="C25" s="222" t="s">
        <v>719</v>
      </c>
      <c r="D25" s="222" t="s">
        <v>720</v>
      </c>
      <c r="E25" s="222" t="s">
        <v>721</v>
      </c>
      <c r="F25" s="222"/>
      <c r="G25" s="223">
        <v>1</v>
      </c>
      <c r="H25" s="222">
        <v>0</v>
      </c>
      <c r="I25" s="224">
        <v>100000</v>
      </c>
      <c r="J25" s="224">
        <v>100000</v>
      </c>
      <c r="K25" s="222" t="s">
        <v>698</v>
      </c>
      <c r="L25" s="222">
        <v>7</v>
      </c>
      <c r="M25" s="222" t="s">
        <v>722</v>
      </c>
      <c r="N25" s="222">
        <v>1</v>
      </c>
      <c r="O25" s="222">
        <v>0</v>
      </c>
      <c r="P25" s="225">
        <v>1</v>
      </c>
      <c r="Q25" s="224">
        <v>0</v>
      </c>
      <c r="R25" s="222">
        <v>1.05</v>
      </c>
      <c r="S25" s="226" t="str">
        <f>IFERROR(_xlfn.XLOOKUP(R25,'1_Presupuesto'!$E:$E,'1_Presupuesto'!$D:$D),"")</f>
        <v>Preliminares</v>
      </c>
    </row>
    <row r="26" spans="1:19" ht="15" customHeight="1" x14ac:dyDescent="0.35">
      <c r="A26" s="222" t="s">
        <v>696</v>
      </c>
      <c r="B26" s="222" t="s">
        <v>639</v>
      </c>
      <c r="C26" s="222" t="s">
        <v>646</v>
      </c>
      <c r="D26" s="222" t="s">
        <v>723</v>
      </c>
      <c r="E26" s="222" t="s">
        <v>724</v>
      </c>
      <c r="F26" s="222" t="s">
        <v>643</v>
      </c>
      <c r="G26" s="223">
        <v>12</v>
      </c>
      <c r="H26" s="222">
        <v>0</v>
      </c>
      <c r="I26" s="224">
        <v>75113.05</v>
      </c>
      <c r="J26" s="224">
        <v>901356.60000000009</v>
      </c>
      <c r="K26" s="222" t="s">
        <v>717</v>
      </c>
      <c r="L26" s="222">
        <v>2</v>
      </c>
      <c r="M26" s="222" t="s">
        <v>725</v>
      </c>
      <c r="N26" s="222">
        <v>1</v>
      </c>
      <c r="O26" s="222">
        <v>12</v>
      </c>
      <c r="P26" s="225">
        <v>1</v>
      </c>
      <c r="Q26" s="224">
        <v>12</v>
      </c>
      <c r="R26" s="222">
        <v>1.05</v>
      </c>
      <c r="S26" s="226" t="str">
        <f>IFERROR(_xlfn.XLOOKUP(R26,'1_Presupuesto'!$E:$E,'1_Presupuesto'!$D:$D),"")</f>
        <v>Preliminares</v>
      </c>
    </row>
    <row r="27" spans="1:19" ht="15" customHeight="1" x14ac:dyDescent="0.35">
      <c r="A27" s="222" t="s">
        <v>696</v>
      </c>
      <c r="B27" s="222" t="s">
        <v>639</v>
      </c>
      <c r="C27" s="222" t="s">
        <v>646</v>
      </c>
      <c r="D27" s="222" t="s">
        <v>683</v>
      </c>
      <c r="E27" s="222" t="s">
        <v>684</v>
      </c>
      <c r="F27" s="222" t="s">
        <v>643</v>
      </c>
      <c r="G27" s="223">
        <v>19</v>
      </c>
      <c r="H27" s="222">
        <v>0</v>
      </c>
      <c r="I27" s="224">
        <v>65360.25</v>
      </c>
      <c r="J27" s="224">
        <v>1241844.75</v>
      </c>
      <c r="K27" s="222" t="s">
        <v>717</v>
      </c>
      <c r="L27" s="222">
        <v>3</v>
      </c>
      <c r="M27" s="222" t="s">
        <v>726</v>
      </c>
      <c r="N27" s="222">
        <v>1</v>
      </c>
      <c r="O27" s="222">
        <v>19</v>
      </c>
      <c r="P27" s="225">
        <v>1</v>
      </c>
      <c r="Q27" s="224">
        <v>19</v>
      </c>
      <c r="R27" s="222">
        <v>1.05</v>
      </c>
      <c r="S27" s="226" t="str">
        <f>IFERROR(_xlfn.XLOOKUP(R27,'1_Presupuesto'!$E:$E,'1_Presupuesto'!$D:$D),"")</f>
        <v>Preliminares</v>
      </c>
    </row>
    <row r="28" spans="1:19" ht="15" customHeight="1" x14ac:dyDescent="0.35">
      <c r="A28" s="222" t="s">
        <v>696</v>
      </c>
      <c r="B28" s="222" t="s">
        <v>639</v>
      </c>
      <c r="C28" s="222" t="s">
        <v>646</v>
      </c>
      <c r="D28" s="222" t="s">
        <v>687</v>
      </c>
      <c r="E28" s="222" t="s">
        <v>688</v>
      </c>
      <c r="F28" s="222" t="s">
        <v>643</v>
      </c>
      <c r="G28" s="223">
        <v>5</v>
      </c>
      <c r="H28" s="222">
        <v>0</v>
      </c>
      <c r="I28" s="224">
        <v>54784.07</v>
      </c>
      <c r="J28" s="224">
        <v>273920.34999999998</v>
      </c>
      <c r="K28" s="222" t="s">
        <v>717</v>
      </c>
      <c r="L28" s="222">
        <v>4</v>
      </c>
      <c r="M28" s="222" t="s">
        <v>727</v>
      </c>
      <c r="N28" s="222">
        <v>1</v>
      </c>
      <c r="O28" s="222">
        <v>5</v>
      </c>
      <c r="P28" s="225">
        <v>1</v>
      </c>
      <c r="Q28" s="224">
        <v>5</v>
      </c>
      <c r="R28" s="222">
        <v>1.05</v>
      </c>
      <c r="S28" s="226" t="str">
        <f>IFERROR(_xlfn.XLOOKUP(R28,'1_Presupuesto'!$E:$E,'1_Presupuesto'!$D:$D),"")</f>
        <v>Preliminares</v>
      </c>
    </row>
    <row r="29" spans="1:19" ht="15" customHeight="1" x14ac:dyDescent="0.35">
      <c r="A29" s="222" t="s">
        <v>696</v>
      </c>
      <c r="B29" s="222" t="s">
        <v>639</v>
      </c>
      <c r="C29" s="222" t="s">
        <v>646</v>
      </c>
      <c r="D29" s="222" t="s">
        <v>647</v>
      </c>
      <c r="E29" s="222" t="s">
        <v>648</v>
      </c>
      <c r="F29" s="222" t="s">
        <v>643</v>
      </c>
      <c r="G29" s="223">
        <v>12</v>
      </c>
      <c r="H29" s="222">
        <v>0</v>
      </c>
      <c r="I29" s="224">
        <v>49934.239999999998</v>
      </c>
      <c r="J29" s="224">
        <v>599210.88</v>
      </c>
      <c r="K29" s="222" t="s">
        <v>717</v>
      </c>
      <c r="L29" s="222">
        <v>5</v>
      </c>
      <c r="M29" s="222" t="s">
        <v>728</v>
      </c>
      <c r="N29" s="222">
        <v>1</v>
      </c>
      <c r="O29" s="222">
        <v>12</v>
      </c>
      <c r="P29" s="225">
        <v>1</v>
      </c>
      <c r="Q29" s="224">
        <v>12</v>
      </c>
      <c r="R29" s="222">
        <v>1.05</v>
      </c>
      <c r="S29" s="226" t="str">
        <f>IFERROR(_xlfn.XLOOKUP(R29,'1_Presupuesto'!$E:$E,'1_Presupuesto'!$D:$D),"")</f>
        <v>Preliminares</v>
      </c>
    </row>
    <row r="30" spans="1:19" ht="15" customHeight="1" x14ac:dyDescent="0.35">
      <c r="A30" s="222" t="s">
        <v>696</v>
      </c>
      <c r="B30" s="222" t="s">
        <v>654</v>
      </c>
      <c r="C30" s="222" t="s">
        <v>640</v>
      </c>
      <c r="D30" s="222" t="s">
        <v>729</v>
      </c>
      <c r="E30" s="222" t="s">
        <v>730</v>
      </c>
      <c r="F30" s="222"/>
      <c r="G30" s="223">
        <v>1</v>
      </c>
      <c r="H30" s="222">
        <v>0</v>
      </c>
      <c r="I30" s="224">
        <v>214876.0331</v>
      </c>
      <c r="J30" s="224">
        <v>214876.0331</v>
      </c>
      <c r="K30" s="222" t="s">
        <v>698</v>
      </c>
      <c r="L30" s="222">
        <v>8</v>
      </c>
      <c r="M30" s="222" t="s">
        <v>731</v>
      </c>
      <c r="N30" s="222">
        <v>1</v>
      </c>
      <c r="O30" s="222">
        <v>0</v>
      </c>
      <c r="P30" s="225">
        <v>1</v>
      </c>
      <c r="Q30" s="224">
        <v>0</v>
      </c>
      <c r="R30" s="222">
        <v>1.05</v>
      </c>
      <c r="S30" s="226" t="str">
        <f>IFERROR(_xlfn.XLOOKUP(R30,'1_Presupuesto'!$E:$E,'1_Presupuesto'!$D:$D),"")</f>
        <v>Preliminares</v>
      </c>
    </row>
    <row r="31" spans="1:19" ht="15" customHeight="1" x14ac:dyDescent="0.35">
      <c r="A31" s="222" t="s">
        <v>696</v>
      </c>
      <c r="B31" s="222" t="s">
        <v>654</v>
      </c>
      <c r="C31" s="222" t="s">
        <v>640</v>
      </c>
      <c r="D31" s="222" t="s">
        <v>732</v>
      </c>
      <c r="E31" s="222" t="s">
        <v>733</v>
      </c>
      <c r="F31" s="222"/>
      <c r="G31" s="223">
        <v>10</v>
      </c>
      <c r="H31" s="222">
        <v>0</v>
      </c>
      <c r="I31" s="224">
        <v>369.8347</v>
      </c>
      <c r="J31" s="224">
        <v>3698.3470000000002</v>
      </c>
      <c r="K31" s="222" t="s">
        <v>698</v>
      </c>
      <c r="L31" s="222">
        <v>9</v>
      </c>
      <c r="M31" s="222" t="s">
        <v>734</v>
      </c>
      <c r="N31" s="222">
        <v>1</v>
      </c>
      <c r="O31" s="222">
        <v>0</v>
      </c>
      <c r="P31" s="225">
        <v>1</v>
      </c>
      <c r="Q31" s="224">
        <v>0</v>
      </c>
      <c r="R31" s="222">
        <v>1.05</v>
      </c>
      <c r="S31" s="226" t="str">
        <f>IFERROR(_xlfn.XLOOKUP(R31,'1_Presupuesto'!$E:$E,'1_Presupuesto'!$D:$D),"")</f>
        <v>Preliminares</v>
      </c>
    </row>
    <row r="32" spans="1:19" ht="15" customHeight="1" x14ac:dyDescent="0.35">
      <c r="A32" s="222" t="s">
        <v>696</v>
      </c>
      <c r="B32" s="222" t="s">
        <v>654</v>
      </c>
      <c r="C32" s="222" t="s">
        <v>640</v>
      </c>
      <c r="D32" s="222" t="s">
        <v>735</v>
      </c>
      <c r="E32" s="222" t="s">
        <v>736</v>
      </c>
      <c r="F32" s="222"/>
      <c r="G32" s="223">
        <v>10</v>
      </c>
      <c r="H32" s="222">
        <v>0</v>
      </c>
      <c r="I32" s="224">
        <v>2363.6363999999999</v>
      </c>
      <c r="J32" s="224">
        <v>23636.364000000001</v>
      </c>
      <c r="K32" s="222" t="s">
        <v>698</v>
      </c>
      <c r="L32" s="222">
        <v>10</v>
      </c>
      <c r="M32" s="222" t="s">
        <v>737</v>
      </c>
      <c r="N32" s="222">
        <v>1</v>
      </c>
      <c r="O32" s="222">
        <v>0</v>
      </c>
      <c r="P32" s="225">
        <v>1</v>
      </c>
      <c r="Q32" s="224">
        <v>0</v>
      </c>
      <c r="R32" s="222">
        <v>1.05</v>
      </c>
      <c r="S32" s="226" t="str">
        <f>IFERROR(_xlfn.XLOOKUP(R32,'1_Presupuesto'!$E:$E,'1_Presupuesto'!$D:$D),"")</f>
        <v>Preliminares</v>
      </c>
    </row>
    <row r="33" spans="1:19" ht="15" customHeight="1" x14ac:dyDescent="0.35">
      <c r="A33" s="222" t="s">
        <v>696</v>
      </c>
      <c r="B33" s="222" t="s">
        <v>654</v>
      </c>
      <c r="C33" s="222" t="s">
        <v>640</v>
      </c>
      <c r="D33" s="222" t="s">
        <v>738</v>
      </c>
      <c r="E33" s="222" t="s">
        <v>739</v>
      </c>
      <c r="F33" s="222"/>
      <c r="G33" s="223">
        <v>0.25</v>
      </c>
      <c r="H33" s="222">
        <v>0</v>
      </c>
      <c r="I33" s="224">
        <v>242210.7438</v>
      </c>
      <c r="J33" s="224">
        <v>60552.685949999999</v>
      </c>
      <c r="K33" s="222" t="s">
        <v>698</v>
      </c>
      <c r="L33" s="222">
        <v>11</v>
      </c>
      <c r="M33" s="222" t="s">
        <v>740</v>
      </c>
      <c r="N33" s="222">
        <v>1</v>
      </c>
      <c r="O33" s="222">
        <v>0</v>
      </c>
      <c r="P33" s="225">
        <v>1</v>
      </c>
      <c r="Q33" s="224">
        <v>0</v>
      </c>
      <c r="R33" s="222">
        <v>1.05</v>
      </c>
      <c r="S33" s="226" t="str">
        <f>IFERROR(_xlfn.XLOOKUP(R33,'1_Presupuesto'!$E:$E,'1_Presupuesto'!$D:$D),"")</f>
        <v>Preliminares</v>
      </c>
    </row>
    <row r="34" spans="1:19" ht="15" customHeight="1" x14ac:dyDescent="0.35">
      <c r="A34" s="222" t="s">
        <v>696</v>
      </c>
      <c r="B34" s="222" t="s">
        <v>654</v>
      </c>
      <c r="C34" s="222" t="s">
        <v>640</v>
      </c>
      <c r="D34" s="222" t="s">
        <v>741</v>
      </c>
      <c r="E34" s="222" t="s">
        <v>742</v>
      </c>
      <c r="F34" s="222"/>
      <c r="G34" s="223">
        <v>1</v>
      </c>
      <c r="H34" s="222">
        <v>0</v>
      </c>
      <c r="I34" s="224">
        <v>500000</v>
      </c>
      <c r="J34" s="224">
        <v>500000</v>
      </c>
      <c r="K34" s="222" t="s">
        <v>698</v>
      </c>
      <c r="L34" s="222">
        <v>12</v>
      </c>
      <c r="M34" s="222" t="s">
        <v>743</v>
      </c>
      <c r="N34" s="222">
        <v>1</v>
      </c>
      <c r="O34" s="222">
        <v>0</v>
      </c>
      <c r="P34" s="225">
        <v>1</v>
      </c>
      <c r="Q34" s="224">
        <v>0</v>
      </c>
      <c r="R34" s="222">
        <v>1.05</v>
      </c>
      <c r="S34" s="226" t="str">
        <f>IFERROR(_xlfn.XLOOKUP(R34,'1_Presupuesto'!$E:$E,'1_Presupuesto'!$D:$D),"")</f>
        <v>Preliminares</v>
      </c>
    </row>
    <row r="35" spans="1:19" ht="15" customHeight="1" x14ac:dyDescent="0.35">
      <c r="A35" s="222" t="s">
        <v>696</v>
      </c>
      <c r="B35" s="222" t="s">
        <v>654</v>
      </c>
      <c r="C35" s="222" t="s">
        <v>640</v>
      </c>
      <c r="D35" s="222" t="s">
        <v>744</v>
      </c>
      <c r="E35" s="222" t="s">
        <v>745</v>
      </c>
      <c r="F35" s="222"/>
      <c r="G35" s="223">
        <v>2</v>
      </c>
      <c r="H35" s="222">
        <v>0</v>
      </c>
      <c r="I35" s="224">
        <v>100000</v>
      </c>
      <c r="J35" s="224">
        <v>200000</v>
      </c>
      <c r="K35" s="222" t="s">
        <v>698</v>
      </c>
      <c r="L35" s="222">
        <v>13</v>
      </c>
      <c r="M35" s="222" t="s">
        <v>746</v>
      </c>
      <c r="N35" s="222">
        <v>1</v>
      </c>
      <c r="O35" s="222">
        <v>0</v>
      </c>
      <c r="P35" s="225">
        <v>1</v>
      </c>
      <c r="Q35" s="224">
        <v>0</v>
      </c>
      <c r="R35" s="222">
        <v>1.05</v>
      </c>
      <c r="S35" s="226" t="str">
        <f>IFERROR(_xlfn.XLOOKUP(R35,'1_Presupuesto'!$E:$E,'1_Presupuesto'!$D:$D),"")</f>
        <v>Preliminares</v>
      </c>
    </row>
    <row r="36" spans="1:19" ht="15" customHeight="1" x14ac:dyDescent="0.35">
      <c r="A36" s="222" t="s">
        <v>696</v>
      </c>
      <c r="B36" s="222" t="s">
        <v>654</v>
      </c>
      <c r="C36" s="222" t="s">
        <v>640</v>
      </c>
      <c r="D36" s="222" t="s">
        <v>747</v>
      </c>
      <c r="E36" s="222" t="s">
        <v>748</v>
      </c>
      <c r="F36" s="222"/>
      <c r="G36" s="223">
        <v>2</v>
      </c>
      <c r="H36" s="222">
        <v>0</v>
      </c>
      <c r="I36" s="224">
        <v>25000</v>
      </c>
      <c r="J36" s="224">
        <v>50000</v>
      </c>
      <c r="K36" s="222" t="s">
        <v>698</v>
      </c>
      <c r="L36" s="222">
        <v>14</v>
      </c>
      <c r="M36" s="222" t="s">
        <v>749</v>
      </c>
      <c r="N36" s="222">
        <v>1</v>
      </c>
      <c r="O36" s="222">
        <v>0</v>
      </c>
      <c r="P36" s="225">
        <v>1</v>
      </c>
      <c r="Q36" s="224">
        <v>0</v>
      </c>
      <c r="R36" s="222">
        <v>1.05</v>
      </c>
      <c r="S36" s="226" t="str">
        <f>IFERROR(_xlfn.XLOOKUP(R36,'1_Presupuesto'!$E:$E,'1_Presupuesto'!$D:$D),"")</f>
        <v>Preliminares</v>
      </c>
    </row>
    <row r="37" spans="1:19" ht="15" customHeight="1" x14ac:dyDescent="0.35">
      <c r="A37" s="222" t="s">
        <v>696</v>
      </c>
      <c r="B37" s="222" t="s">
        <v>654</v>
      </c>
      <c r="C37" s="222" t="s">
        <v>640</v>
      </c>
      <c r="D37" s="222" t="s">
        <v>750</v>
      </c>
      <c r="E37" s="222" t="s">
        <v>751</v>
      </c>
      <c r="F37" s="222"/>
      <c r="G37" s="223">
        <v>2</v>
      </c>
      <c r="H37" s="222">
        <v>0</v>
      </c>
      <c r="I37" s="224">
        <v>24793.3884</v>
      </c>
      <c r="J37" s="224">
        <v>49586.7768</v>
      </c>
      <c r="K37" s="222" t="s">
        <v>698</v>
      </c>
      <c r="L37" s="222">
        <v>15</v>
      </c>
      <c r="M37" s="222" t="s">
        <v>752</v>
      </c>
      <c r="N37" s="222">
        <v>1</v>
      </c>
      <c r="O37" s="222">
        <v>0</v>
      </c>
      <c r="P37" s="225">
        <v>1</v>
      </c>
      <c r="Q37" s="224">
        <v>0</v>
      </c>
      <c r="R37" s="222">
        <v>1.05</v>
      </c>
      <c r="S37" s="226" t="str">
        <f>IFERROR(_xlfn.XLOOKUP(R37,'1_Presupuesto'!$E:$E,'1_Presupuesto'!$D:$D),"")</f>
        <v>Preliminares</v>
      </c>
    </row>
    <row r="38" spans="1:19" ht="15" customHeight="1" x14ac:dyDescent="0.35">
      <c r="A38" s="222" t="s">
        <v>696</v>
      </c>
      <c r="B38" s="222" t="s">
        <v>654</v>
      </c>
      <c r="C38" s="222" t="s">
        <v>640</v>
      </c>
      <c r="D38" s="222" t="s">
        <v>753</v>
      </c>
      <c r="E38" s="222" t="s">
        <v>754</v>
      </c>
      <c r="F38" s="222"/>
      <c r="G38" s="223">
        <v>1</v>
      </c>
      <c r="H38" s="222">
        <v>0</v>
      </c>
      <c r="I38" s="224">
        <v>200000</v>
      </c>
      <c r="J38" s="224">
        <v>200000</v>
      </c>
      <c r="K38" s="222" t="s">
        <v>698</v>
      </c>
      <c r="L38" s="222">
        <v>16</v>
      </c>
      <c r="M38" s="222" t="s">
        <v>755</v>
      </c>
      <c r="N38" s="222">
        <v>1</v>
      </c>
      <c r="O38" s="222">
        <v>0</v>
      </c>
      <c r="P38" s="225">
        <v>1</v>
      </c>
      <c r="Q38" s="224">
        <v>0</v>
      </c>
      <c r="R38" s="222">
        <v>1.05</v>
      </c>
      <c r="S38" s="226" t="str">
        <f>IFERROR(_xlfn.XLOOKUP(R38,'1_Presupuesto'!$E:$E,'1_Presupuesto'!$D:$D),"")</f>
        <v>Preliminares</v>
      </c>
    </row>
    <row r="39" spans="1:19" ht="15" customHeight="1" x14ac:dyDescent="0.35">
      <c r="A39" s="222" t="s">
        <v>696</v>
      </c>
      <c r="B39" s="222" t="s">
        <v>13</v>
      </c>
      <c r="C39" s="222"/>
      <c r="D39" s="222" t="s">
        <v>756</v>
      </c>
      <c r="E39" s="222" t="s">
        <v>757</v>
      </c>
      <c r="F39" s="222"/>
      <c r="G39" s="223">
        <v>1</v>
      </c>
      <c r="H39" s="222">
        <v>0</v>
      </c>
      <c r="I39" s="224">
        <v>88757.838000000003</v>
      </c>
      <c r="J39" s="224">
        <v>88757.838000000003</v>
      </c>
      <c r="K39" s="222" t="s">
        <v>758</v>
      </c>
      <c r="L39" s="222">
        <v>1</v>
      </c>
      <c r="M39" s="222" t="s">
        <v>759</v>
      </c>
      <c r="N39" s="222">
        <v>1</v>
      </c>
      <c r="O39" s="222">
        <v>0</v>
      </c>
      <c r="P39" s="225">
        <v>1</v>
      </c>
      <c r="Q39" s="224">
        <v>0</v>
      </c>
      <c r="R39" s="222">
        <v>1.05</v>
      </c>
      <c r="S39" s="226" t="str">
        <f>IFERROR(_xlfn.XLOOKUP(R39,'1_Presupuesto'!$E:$E,'1_Presupuesto'!$D:$D),"")</f>
        <v>Preliminares</v>
      </c>
    </row>
    <row r="40" spans="1:19" ht="15" customHeight="1" x14ac:dyDescent="0.35">
      <c r="A40" s="222" t="s">
        <v>760</v>
      </c>
      <c r="B40" s="222" t="s">
        <v>639</v>
      </c>
      <c r="C40" s="222" t="s">
        <v>640</v>
      </c>
      <c r="D40" s="222" t="s">
        <v>761</v>
      </c>
      <c r="E40" s="222" t="s">
        <v>762</v>
      </c>
      <c r="F40" s="222" t="s">
        <v>643</v>
      </c>
      <c r="G40" s="223">
        <v>1</v>
      </c>
      <c r="H40" s="222">
        <v>0</v>
      </c>
      <c r="I40" s="224">
        <v>295488.55940000003</v>
      </c>
      <c r="J40" s="224">
        <v>295488.55940000003</v>
      </c>
      <c r="K40" s="222" t="s">
        <v>763</v>
      </c>
      <c r="L40" s="222">
        <v>1</v>
      </c>
      <c r="M40" s="222" t="s">
        <v>764</v>
      </c>
      <c r="N40" s="222">
        <v>1</v>
      </c>
      <c r="O40" s="222">
        <v>0</v>
      </c>
      <c r="P40" s="225">
        <v>3</v>
      </c>
      <c r="Q40" s="224">
        <v>0</v>
      </c>
      <c r="R40" s="222">
        <v>1.06</v>
      </c>
      <c r="S40" s="226" t="str">
        <f>IFERROR(_xlfn.XLOOKUP(R40,'1_Presupuesto'!$E:$E,'1_Presupuesto'!$D:$D),"")</f>
        <v>-</v>
      </c>
    </row>
    <row r="41" spans="1:19" ht="15" customHeight="1" x14ac:dyDescent="0.35">
      <c r="A41" s="222" t="s">
        <v>760</v>
      </c>
      <c r="B41" s="222" t="s">
        <v>639</v>
      </c>
      <c r="C41" s="222" t="s">
        <v>640</v>
      </c>
      <c r="D41" s="222" t="s">
        <v>765</v>
      </c>
      <c r="E41" s="222" t="s">
        <v>766</v>
      </c>
      <c r="F41" s="222" t="s">
        <v>643</v>
      </c>
      <c r="G41" s="223">
        <v>1</v>
      </c>
      <c r="H41" s="222">
        <v>0</v>
      </c>
      <c r="I41" s="224">
        <v>16416.0311</v>
      </c>
      <c r="J41" s="224">
        <v>16416.0311</v>
      </c>
      <c r="K41" s="222" t="s">
        <v>763</v>
      </c>
      <c r="L41" s="222">
        <v>2</v>
      </c>
      <c r="M41" s="222" t="s">
        <v>767</v>
      </c>
      <c r="N41" s="222">
        <v>1</v>
      </c>
      <c r="O41" s="222">
        <v>0</v>
      </c>
      <c r="P41" s="225">
        <v>3</v>
      </c>
      <c r="Q41" s="224">
        <v>0</v>
      </c>
      <c r="R41" s="222">
        <v>1.06</v>
      </c>
      <c r="S41" s="226" t="str">
        <f>IFERROR(_xlfn.XLOOKUP(R41,'1_Presupuesto'!$E:$E,'1_Presupuesto'!$D:$D),"")</f>
        <v>-</v>
      </c>
    </row>
    <row r="42" spans="1:19" ht="15" customHeight="1" x14ac:dyDescent="0.35">
      <c r="A42" s="222" t="s">
        <v>768</v>
      </c>
      <c r="B42" s="222" t="s">
        <v>654</v>
      </c>
      <c r="C42" s="222" t="s">
        <v>719</v>
      </c>
      <c r="D42" s="222" t="s">
        <v>769</v>
      </c>
      <c r="E42" s="222" t="s">
        <v>770</v>
      </c>
      <c r="F42" s="222"/>
      <c r="G42" s="223">
        <v>2</v>
      </c>
      <c r="H42" s="222">
        <v>0</v>
      </c>
      <c r="I42" s="224">
        <v>25000</v>
      </c>
      <c r="J42" s="224">
        <v>50000</v>
      </c>
      <c r="K42" s="222" t="s">
        <v>771</v>
      </c>
      <c r="L42" s="222">
        <v>1</v>
      </c>
      <c r="M42" s="222" t="s">
        <v>772</v>
      </c>
      <c r="N42" s="222">
        <v>1</v>
      </c>
      <c r="O42" s="222">
        <v>0</v>
      </c>
      <c r="P42" s="225">
        <v>1</v>
      </c>
      <c r="Q42" s="224">
        <v>0</v>
      </c>
      <c r="R42" s="222">
        <v>1.07</v>
      </c>
      <c r="S42" s="226" t="str">
        <f>IFERROR(_xlfn.XLOOKUP(R42,'1_Presupuesto'!$E:$E,'1_Presupuesto'!$D:$D),"")</f>
        <v>Preliminares</v>
      </c>
    </row>
    <row r="43" spans="1:19" ht="15" customHeight="1" x14ac:dyDescent="0.35">
      <c r="A43" s="222" t="s">
        <v>768</v>
      </c>
      <c r="B43" s="222" t="s">
        <v>639</v>
      </c>
      <c r="C43" s="222" t="s">
        <v>646</v>
      </c>
      <c r="D43" s="222" t="s">
        <v>683</v>
      </c>
      <c r="E43" s="222" t="s">
        <v>684</v>
      </c>
      <c r="F43" s="222" t="s">
        <v>643</v>
      </c>
      <c r="G43" s="223">
        <v>4</v>
      </c>
      <c r="H43" s="222">
        <v>0</v>
      </c>
      <c r="I43" s="224">
        <v>65360.25</v>
      </c>
      <c r="J43" s="224">
        <v>261441</v>
      </c>
      <c r="K43" s="222" t="s">
        <v>773</v>
      </c>
      <c r="L43" s="222">
        <v>1</v>
      </c>
      <c r="M43" s="222" t="s">
        <v>774</v>
      </c>
      <c r="N43" s="222">
        <v>1</v>
      </c>
      <c r="O43" s="222">
        <v>4</v>
      </c>
      <c r="P43" s="225">
        <v>1</v>
      </c>
      <c r="Q43" s="224">
        <v>4</v>
      </c>
      <c r="R43" s="222">
        <v>1.07</v>
      </c>
      <c r="S43" s="226" t="str">
        <f>IFERROR(_xlfn.XLOOKUP(R43,'1_Presupuesto'!$E:$E,'1_Presupuesto'!$D:$D),"")</f>
        <v>Preliminares</v>
      </c>
    </row>
    <row r="44" spans="1:19" ht="15" customHeight="1" x14ac:dyDescent="0.35">
      <c r="A44" s="222" t="s">
        <v>768</v>
      </c>
      <c r="B44" s="222" t="s">
        <v>639</v>
      </c>
      <c r="C44" s="222" t="s">
        <v>646</v>
      </c>
      <c r="D44" s="222" t="s">
        <v>647</v>
      </c>
      <c r="E44" s="222" t="s">
        <v>648</v>
      </c>
      <c r="F44" s="222" t="s">
        <v>643</v>
      </c>
      <c r="G44" s="223">
        <v>2</v>
      </c>
      <c r="H44" s="222">
        <v>0</v>
      </c>
      <c r="I44" s="224">
        <v>49934.239999999998</v>
      </c>
      <c r="J44" s="224">
        <v>99868.479999999996</v>
      </c>
      <c r="K44" s="222" t="s">
        <v>773</v>
      </c>
      <c r="L44" s="222">
        <v>2</v>
      </c>
      <c r="M44" s="222" t="s">
        <v>775</v>
      </c>
      <c r="N44" s="222">
        <v>1</v>
      </c>
      <c r="O44" s="222">
        <v>2</v>
      </c>
      <c r="P44" s="225">
        <v>1</v>
      </c>
      <c r="Q44" s="224">
        <v>2</v>
      </c>
      <c r="R44" s="222">
        <v>1.07</v>
      </c>
      <c r="S44" s="226" t="str">
        <f>IFERROR(_xlfn.XLOOKUP(R44,'1_Presupuesto'!$E:$E,'1_Presupuesto'!$D:$D),"")</f>
        <v>Preliminares</v>
      </c>
    </row>
    <row r="45" spans="1:19" ht="15" customHeight="1" x14ac:dyDescent="0.35">
      <c r="A45" s="222" t="s">
        <v>768</v>
      </c>
      <c r="B45" s="222" t="s">
        <v>654</v>
      </c>
      <c r="C45" s="222" t="s">
        <v>640</v>
      </c>
      <c r="D45" s="222" t="s">
        <v>776</v>
      </c>
      <c r="E45" s="222" t="s">
        <v>777</v>
      </c>
      <c r="F45" s="222"/>
      <c r="G45" s="223">
        <v>1</v>
      </c>
      <c r="H45" s="222">
        <v>0</v>
      </c>
      <c r="I45" s="224">
        <v>150000</v>
      </c>
      <c r="J45" s="224">
        <v>150000</v>
      </c>
      <c r="K45" s="222" t="s">
        <v>771</v>
      </c>
      <c r="L45" s="222">
        <v>2</v>
      </c>
      <c r="M45" s="222" t="s">
        <v>778</v>
      </c>
      <c r="N45" s="222">
        <v>1</v>
      </c>
      <c r="O45" s="222">
        <v>0</v>
      </c>
      <c r="P45" s="225">
        <v>1</v>
      </c>
      <c r="Q45" s="224">
        <v>0</v>
      </c>
      <c r="R45" s="222">
        <v>1.07</v>
      </c>
      <c r="S45" s="226" t="str">
        <f>IFERROR(_xlfn.XLOOKUP(R45,'1_Presupuesto'!$E:$E,'1_Presupuesto'!$D:$D),"")</f>
        <v>Preliminares</v>
      </c>
    </row>
    <row r="46" spans="1:19" ht="15" customHeight="1" x14ac:dyDescent="0.35">
      <c r="A46" s="222" t="s">
        <v>768</v>
      </c>
      <c r="B46" s="222" t="s">
        <v>654</v>
      </c>
      <c r="C46" s="222" t="s">
        <v>640</v>
      </c>
      <c r="D46" s="222" t="s">
        <v>779</v>
      </c>
      <c r="E46" s="222" t="s">
        <v>780</v>
      </c>
      <c r="F46" s="222"/>
      <c r="G46" s="223">
        <v>1</v>
      </c>
      <c r="H46" s="222">
        <v>0</v>
      </c>
      <c r="I46" s="224">
        <v>15000</v>
      </c>
      <c r="J46" s="224">
        <v>15000</v>
      </c>
      <c r="K46" s="222" t="s">
        <v>771</v>
      </c>
      <c r="L46" s="222">
        <v>3</v>
      </c>
      <c r="M46" s="222" t="s">
        <v>781</v>
      </c>
      <c r="N46" s="222">
        <v>1</v>
      </c>
      <c r="O46" s="222">
        <v>0</v>
      </c>
      <c r="P46" s="225">
        <v>1</v>
      </c>
      <c r="Q46" s="224">
        <v>0</v>
      </c>
      <c r="R46" s="222">
        <v>1.07</v>
      </c>
      <c r="S46" s="226" t="str">
        <f>IFERROR(_xlfn.XLOOKUP(R46,'1_Presupuesto'!$E:$E,'1_Presupuesto'!$D:$D),"")</f>
        <v>Preliminares</v>
      </c>
    </row>
    <row r="47" spans="1:19" ht="15" customHeight="1" x14ac:dyDescent="0.35">
      <c r="A47" s="222" t="s">
        <v>768</v>
      </c>
      <c r="B47" s="222" t="s">
        <v>654</v>
      </c>
      <c r="C47" s="222" t="s">
        <v>640</v>
      </c>
      <c r="D47" s="222" t="s">
        <v>782</v>
      </c>
      <c r="E47" s="222" t="s">
        <v>783</v>
      </c>
      <c r="F47" s="222"/>
      <c r="G47" s="223">
        <v>20</v>
      </c>
      <c r="H47" s="222">
        <v>0</v>
      </c>
      <c r="I47" s="224">
        <v>16528.925599999999</v>
      </c>
      <c r="J47" s="224">
        <v>330578.51199999999</v>
      </c>
      <c r="K47" s="222" t="s">
        <v>771</v>
      </c>
      <c r="L47" s="222">
        <v>4</v>
      </c>
      <c r="M47" s="222" t="s">
        <v>784</v>
      </c>
      <c r="N47" s="222">
        <v>1</v>
      </c>
      <c r="O47" s="222">
        <v>0</v>
      </c>
      <c r="P47" s="225">
        <v>1</v>
      </c>
      <c r="Q47" s="224">
        <v>0</v>
      </c>
      <c r="R47" s="222">
        <v>1.07</v>
      </c>
      <c r="S47" s="226" t="str">
        <f>IFERROR(_xlfn.XLOOKUP(R47,'1_Presupuesto'!$E:$E,'1_Presupuesto'!$D:$D),"")</f>
        <v>Preliminares</v>
      </c>
    </row>
    <row r="48" spans="1:19" ht="15" customHeight="1" x14ac:dyDescent="0.35">
      <c r="A48" s="222" t="s">
        <v>768</v>
      </c>
      <c r="B48" s="222" t="s">
        <v>654</v>
      </c>
      <c r="C48" s="222" t="s">
        <v>640</v>
      </c>
      <c r="D48" s="222" t="s">
        <v>785</v>
      </c>
      <c r="E48" s="222" t="s">
        <v>786</v>
      </c>
      <c r="F48" s="222"/>
      <c r="G48" s="223">
        <v>1</v>
      </c>
      <c r="H48" s="222">
        <v>0</v>
      </c>
      <c r="I48" s="224">
        <v>300000</v>
      </c>
      <c r="J48" s="224">
        <v>300000</v>
      </c>
      <c r="K48" s="222" t="s">
        <v>771</v>
      </c>
      <c r="L48" s="222">
        <v>5</v>
      </c>
      <c r="M48" s="222" t="s">
        <v>787</v>
      </c>
      <c r="N48" s="222">
        <v>1</v>
      </c>
      <c r="O48" s="222">
        <v>0</v>
      </c>
      <c r="P48" s="225">
        <v>1</v>
      </c>
      <c r="Q48" s="224">
        <v>0</v>
      </c>
      <c r="R48" s="222">
        <v>1.07</v>
      </c>
      <c r="S48" s="226" t="str">
        <f>IFERROR(_xlfn.XLOOKUP(R48,'1_Presupuesto'!$E:$E,'1_Presupuesto'!$D:$D),"")</f>
        <v>Preliminares</v>
      </c>
    </row>
    <row r="49" spans="1:19" ht="15" customHeight="1" x14ac:dyDescent="0.35">
      <c r="A49" s="222" t="s">
        <v>768</v>
      </c>
      <c r="B49" s="222" t="s">
        <v>639</v>
      </c>
      <c r="C49" s="222" t="s">
        <v>646</v>
      </c>
      <c r="D49" s="222" t="s">
        <v>723</v>
      </c>
      <c r="E49" s="222" t="s">
        <v>724</v>
      </c>
      <c r="F49" s="222" t="s">
        <v>643</v>
      </c>
      <c r="G49" s="223">
        <v>2</v>
      </c>
      <c r="H49" s="222">
        <v>0</v>
      </c>
      <c r="I49" s="224">
        <v>75113.05</v>
      </c>
      <c r="J49" s="224">
        <v>150226.1</v>
      </c>
      <c r="K49" s="222" t="s">
        <v>773</v>
      </c>
      <c r="L49" s="222">
        <v>3</v>
      </c>
      <c r="M49" s="222" t="s">
        <v>788</v>
      </c>
      <c r="N49" s="222">
        <v>1</v>
      </c>
      <c r="O49" s="222">
        <v>2</v>
      </c>
      <c r="P49" s="225">
        <v>1</v>
      </c>
      <c r="Q49" s="224">
        <v>2</v>
      </c>
      <c r="R49" s="222">
        <v>1.07</v>
      </c>
      <c r="S49" s="226" t="str">
        <f>IFERROR(_xlfn.XLOOKUP(R49,'1_Presupuesto'!$E:$E,'1_Presupuesto'!$D:$D),"")</f>
        <v>Preliminares</v>
      </c>
    </row>
    <row r="50" spans="1:19" ht="15" customHeight="1" x14ac:dyDescent="0.35">
      <c r="A50" s="222" t="s">
        <v>768</v>
      </c>
      <c r="B50" s="222" t="s">
        <v>13</v>
      </c>
      <c r="C50" s="222"/>
      <c r="D50" s="222" t="s">
        <v>789</v>
      </c>
      <c r="E50" s="222" t="s">
        <v>790</v>
      </c>
      <c r="F50" s="222"/>
      <c r="G50" s="223">
        <v>1</v>
      </c>
      <c r="H50" s="222">
        <v>0</v>
      </c>
      <c r="I50" s="224">
        <v>20356.7111</v>
      </c>
      <c r="J50" s="224">
        <v>20356.7111</v>
      </c>
      <c r="K50" s="222" t="s">
        <v>791</v>
      </c>
      <c r="L50" s="222">
        <v>1</v>
      </c>
      <c r="M50" s="222" t="s">
        <v>792</v>
      </c>
      <c r="N50" s="222">
        <v>1</v>
      </c>
      <c r="O50" s="222">
        <v>0</v>
      </c>
      <c r="P50" s="225">
        <v>1</v>
      </c>
      <c r="Q50" s="224">
        <v>0</v>
      </c>
      <c r="R50" s="222">
        <v>1.07</v>
      </c>
      <c r="S50" s="226" t="str">
        <f>IFERROR(_xlfn.XLOOKUP(R50,'1_Presupuesto'!$E:$E,'1_Presupuesto'!$D:$D),"")</f>
        <v>Preliminares</v>
      </c>
    </row>
    <row r="51" spans="1:19" ht="15" customHeight="1" x14ac:dyDescent="0.35">
      <c r="A51" s="222" t="s">
        <v>793</v>
      </c>
      <c r="B51" s="222" t="s">
        <v>654</v>
      </c>
      <c r="C51" s="222" t="s">
        <v>640</v>
      </c>
      <c r="D51" s="222" t="s">
        <v>794</v>
      </c>
      <c r="E51" s="222" t="s">
        <v>795</v>
      </c>
      <c r="F51" s="222"/>
      <c r="G51" s="223">
        <v>1</v>
      </c>
      <c r="H51" s="222">
        <v>0</v>
      </c>
      <c r="I51" s="224">
        <v>150000</v>
      </c>
      <c r="J51" s="224">
        <v>150000</v>
      </c>
      <c r="K51" s="222" t="s">
        <v>796</v>
      </c>
      <c r="L51" s="222">
        <v>1</v>
      </c>
      <c r="M51" s="222" t="s">
        <v>797</v>
      </c>
      <c r="N51" s="222">
        <v>1</v>
      </c>
      <c r="O51" s="222">
        <v>0</v>
      </c>
      <c r="P51" s="225">
        <v>1</v>
      </c>
      <c r="Q51" s="224">
        <v>0</v>
      </c>
      <c r="R51" s="222">
        <v>1.08</v>
      </c>
      <c r="S51" s="226" t="str">
        <f>IFERROR(_xlfn.XLOOKUP(R51,'1_Presupuesto'!$E:$E,'1_Presupuesto'!$D:$D),"")</f>
        <v>Preliminares</v>
      </c>
    </row>
    <row r="52" spans="1:19" ht="15" customHeight="1" x14ac:dyDescent="0.35">
      <c r="A52" s="222" t="s">
        <v>793</v>
      </c>
      <c r="B52" s="222" t="s">
        <v>654</v>
      </c>
      <c r="C52" s="222" t="s">
        <v>640</v>
      </c>
      <c r="D52" s="222" t="s">
        <v>798</v>
      </c>
      <c r="E52" s="222" t="s">
        <v>799</v>
      </c>
      <c r="F52" s="222"/>
      <c r="G52" s="223">
        <v>1</v>
      </c>
      <c r="H52" s="222">
        <v>0</v>
      </c>
      <c r="I52" s="224">
        <v>200000</v>
      </c>
      <c r="J52" s="224">
        <v>200000</v>
      </c>
      <c r="K52" s="222" t="s">
        <v>796</v>
      </c>
      <c r="L52" s="222">
        <v>2</v>
      </c>
      <c r="M52" s="222" t="s">
        <v>800</v>
      </c>
      <c r="N52" s="222">
        <v>1</v>
      </c>
      <c r="O52" s="222">
        <v>0</v>
      </c>
      <c r="P52" s="225">
        <v>1</v>
      </c>
      <c r="Q52" s="224">
        <v>0</v>
      </c>
      <c r="R52" s="222">
        <v>1.08</v>
      </c>
      <c r="S52" s="226" t="str">
        <f>IFERROR(_xlfn.XLOOKUP(R52,'1_Presupuesto'!$E:$E,'1_Presupuesto'!$D:$D),"")</f>
        <v>Preliminares</v>
      </c>
    </row>
    <row r="53" spans="1:19" ht="15" customHeight="1" x14ac:dyDescent="0.35">
      <c r="A53" s="222" t="s">
        <v>793</v>
      </c>
      <c r="B53" s="222" t="s">
        <v>654</v>
      </c>
      <c r="C53" s="222" t="s">
        <v>640</v>
      </c>
      <c r="D53" s="222" t="s">
        <v>801</v>
      </c>
      <c r="E53" s="222" t="s">
        <v>802</v>
      </c>
      <c r="F53" s="222"/>
      <c r="G53" s="223">
        <v>1</v>
      </c>
      <c r="H53" s="222">
        <v>0</v>
      </c>
      <c r="I53" s="224">
        <v>50000</v>
      </c>
      <c r="J53" s="224">
        <v>50000</v>
      </c>
      <c r="K53" s="222" t="s">
        <v>796</v>
      </c>
      <c r="L53" s="222">
        <v>3</v>
      </c>
      <c r="M53" s="222" t="s">
        <v>803</v>
      </c>
      <c r="N53" s="222">
        <v>1</v>
      </c>
      <c r="O53" s="222">
        <v>0</v>
      </c>
      <c r="P53" s="225">
        <v>1</v>
      </c>
      <c r="Q53" s="224">
        <v>0</v>
      </c>
      <c r="R53" s="222">
        <v>1.08</v>
      </c>
      <c r="S53" s="226" t="str">
        <f>IFERROR(_xlfn.XLOOKUP(R53,'1_Presupuesto'!$E:$E,'1_Presupuesto'!$D:$D),"")</f>
        <v>Preliminares</v>
      </c>
    </row>
    <row r="54" spans="1:19" ht="15" customHeight="1" x14ac:dyDescent="0.35">
      <c r="A54" s="222" t="s">
        <v>793</v>
      </c>
      <c r="B54" s="222" t="s">
        <v>654</v>
      </c>
      <c r="C54" s="222" t="s">
        <v>640</v>
      </c>
      <c r="D54" s="222" t="s">
        <v>804</v>
      </c>
      <c r="E54" s="222" t="s">
        <v>805</v>
      </c>
      <c r="F54" s="222"/>
      <c r="G54" s="223">
        <v>1</v>
      </c>
      <c r="H54" s="222">
        <v>0</v>
      </c>
      <c r="I54" s="224">
        <v>10000</v>
      </c>
      <c r="J54" s="224">
        <v>10000</v>
      </c>
      <c r="K54" s="222" t="s">
        <v>796</v>
      </c>
      <c r="L54" s="222">
        <v>4</v>
      </c>
      <c r="M54" s="222" t="s">
        <v>806</v>
      </c>
      <c r="N54" s="222">
        <v>1</v>
      </c>
      <c r="O54" s="222">
        <v>0</v>
      </c>
      <c r="P54" s="225">
        <v>1</v>
      </c>
      <c r="Q54" s="224">
        <v>0</v>
      </c>
      <c r="R54" s="222">
        <v>1.08</v>
      </c>
      <c r="S54" s="226" t="str">
        <f>IFERROR(_xlfn.XLOOKUP(R54,'1_Presupuesto'!$E:$E,'1_Presupuesto'!$D:$D),"")</f>
        <v>Preliminares</v>
      </c>
    </row>
    <row r="55" spans="1:19" ht="15" customHeight="1" x14ac:dyDescent="0.35">
      <c r="A55" s="222" t="s">
        <v>793</v>
      </c>
      <c r="B55" s="222" t="s">
        <v>654</v>
      </c>
      <c r="C55" s="222" t="s">
        <v>640</v>
      </c>
      <c r="D55" s="222" t="s">
        <v>807</v>
      </c>
      <c r="E55" s="222" t="s">
        <v>808</v>
      </c>
      <c r="F55" s="222"/>
      <c r="G55" s="223">
        <v>10</v>
      </c>
      <c r="H55" s="222">
        <v>0</v>
      </c>
      <c r="I55" s="224">
        <v>10000</v>
      </c>
      <c r="J55" s="224">
        <v>100000</v>
      </c>
      <c r="K55" s="222" t="s">
        <v>796</v>
      </c>
      <c r="L55" s="222">
        <v>5</v>
      </c>
      <c r="M55" s="222" t="s">
        <v>809</v>
      </c>
      <c r="N55" s="222">
        <v>1</v>
      </c>
      <c r="O55" s="222">
        <v>0</v>
      </c>
      <c r="P55" s="225">
        <v>1</v>
      </c>
      <c r="Q55" s="224">
        <v>0</v>
      </c>
      <c r="R55" s="222">
        <v>1.08</v>
      </c>
      <c r="S55" s="226" t="str">
        <f>IFERROR(_xlfn.XLOOKUP(R55,'1_Presupuesto'!$E:$E,'1_Presupuesto'!$D:$D),"")</f>
        <v>Preliminares</v>
      </c>
    </row>
    <row r="56" spans="1:19" ht="15" customHeight="1" x14ac:dyDescent="0.35">
      <c r="A56" s="222" t="s">
        <v>793</v>
      </c>
      <c r="B56" s="222" t="s">
        <v>654</v>
      </c>
      <c r="C56" s="222" t="s">
        <v>640</v>
      </c>
      <c r="D56" s="222" t="s">
        <v>810</v>
      </c>
      <c r="E56" s="222" t="s">
        <v>811</v>
      </c>
      <c r="F56" s="222"/>
      <c r="G56" s="223">
        <v>3</v>
      </c>
      <c r="H56" s="222">
        <v>0</v>
      </c>
      <c r="I56" s="224">
        <v>15000</v>
      </c>
      <c r="J56" s="224">
        <v>45000</v>
      </c>
      <c r="K56" s="222" t="s">
        <v>796</v>
      </c>
      <c r="L56" s="222">
        <v>6</v>
      </c>
      <c r="M56" s="222" t="s">
        <v>812</v>
      </c>
      <c r="N56" s="222">
        <v>1</v>
      </c>
      <c r="O56" s="222">
        <v>0</v>
      </c>
      <c r="P56" s="225">
        <v>1</v>
      </c>
      <c r="Q56" s="224">
        <v>0</v>
      </c>
      <c r="R56" s="222">
        <v>1.08</v>
      </c>
      <c r="S56" s="226" t="str">
        <f>IFERROR(_xlfn.XLOOKUP(R56,'1_Presupuesto'!$E:$E,'1_Presupuesto'!$D:$D),"")</f>
        <v>Preliminares</v>
      </c>
    </row>
    <row r="57" spans="1:19" ht="15" customHeight="1" x14ac:dyDescent="0.35">
      <c r="A57" s="222" t="s">
        <v>793</v>
      </c>
      <c r="B57" s="222" t="s">
        <v>654</v>
      </c>
      <c r="C57" s="222" t="s">
        <v>640</v>
      </c>
      <c r="D57" s="222" t="s">
        <v>813</v>
      </c>
      <c r="E57" s="222" t="s">
        <v>814</v>
      </c>
      <c r="F57" s="222"/>
      <c r="G57" s="223">
        <v>6</v>
      </c>
      <c r="H57" s="222">
        <v>0</v>
      </c>
      <c r="I57" s="224">
        <v>2000</v>
      </c>
      <c r="J57" s="224">
        <v>12000</v>
      </c>
      <c r="K57" s="222" t="s">
        <v>796</v>
      </c>
      <c r="L57" s="222">
        <v>7</v>
      </c>
      <c r="M57" s="222" t="s">
        <v>815</v>
      </c>
      <c r="N57" s="222">
        <v>1</v>
      </c>
      <c r="O57" s="222">
        <v>0</v>
      </c>
      <c r="P57" s="225">
        <v>1</v>
      </c>
      <c r="Q57" s="224">
        <v>0</v>
      </c>
      <c r="R57" s="222">
        <v>1.08</v>
      </c>
      <c r="S57" s="226" t="str">
        <f>IFERROR(_xlfn.XLOOKUP(R57,'1_Presupuesto'!$E:$E,'1_Presupuesto'!$D:$D),"")</f>
        <v>Preliminares</v>
      </c>
    </row>
    <row r="58" spans="1:19" ht="15" customHeight="1" x14ac:dyDescent="0.35">
      <c r="A58" s="222" t="s">
        <v>793</v>
      </c>
      <c r="B58" s="222" t="s">
        <v>654</v>
      </c>
      <c r="C58" s="222" t="s">
        <v>640</v>
      </c>
      <c r="D58" s="222" t="s">
        <v>816</v>
      </c>
      <c r="E58" s="222" t="s">
        <v>817</v>
      </c>
      <c r="F58" s="222"/>
      <c r="G58" s="223">
        <v>0.2</v>
      </c>
      <c r="H58" s="222">
        <v>0</v>
      </c>
      <c r="I58" s="224">
        <v>567000</v>
      </c>
      <c r="J58" s="224">
        <v>113400</v>
      </c>
      <c r="K58" s="222" t="s">
        <v>796</v>
      </c>
      <c r="L58" s="222">
        <v>8</v>
      </c>
      <c r="M58" s="222" t="s">
        <v>818</v>
      </c>
      <c r="N58" s="222">
        <v>1</v>
      </c>
      <c r="O58" s="222">
        <v>0</v>
      </c>
      <c r="P58" s="225">
        <v>1</v>
      </c>
      <c r="Q58" s="224">
        <v>0</v>
      </c>
      <c r="R58" s="222">
        <v>1.08</v>
      </c>
      <c r="S58" s="226" t="str">
        <f>IFERROR(_xlfn.XLOOKUP(R58,'1_Presupuesto'!$E:$E,'1_Presupuesto'!$D:$D),"")</f>
        <v>Preliminares</v>
      </c>
    </row>
    <row r="59" spans="1:19" ht="15" customHeight="1" x14ac:dyDescent="0.35">
      <c r="A59" s="222" t="s">
        <v>793</v>
      </c>
      <c r="B59" s="222" t="s">
        <v>639</v>
      </c>
      <c r="C59" s="222" t="s">
        <v>646</v>
      </c>
      <c r="D59" s="222" t="s">
        <v>723</v>
      </c>
      <c r="E59" s="222" t="s">
        <v>724</v>
      </c>
      <c r="F59" s="222" t="s">
        <v>643</v>
      </c>
      <c r="G59" s="223">
        <v>3</v>
      </c>
      <c r="H59" s="222">
        <v>0</v>
      </c>
      <c r="I59" s="224">
        <v>75113.05</v>
      </c>
      <c r="J59" s="224">
        <v>225339.15</v>
      </c>
      <c r="K59" s="222" t="s">
        <v>819</v>
      </c>
      <c r="L59" s="222">
        <v>1</v>
      </c>
      <c r="M59" s="222" t="s">
        <v>820</v>
      </c>
      <c r="N59" s="222">
        <v>1</v>
      </c>
      <c r="O59" s="222">
        <v>3</v>
      </c>
      <c r="P59" s="225">
        <v>1</v>
      </c>
      <c r="Q59" s="224">
        <v>3</v>
      </c>
      <c r="R59" s="222">
        <v>1.08</v>
      </c>
      <c r="S59" s="226" t="str">
        <f>IFERROR(_xlfn.XLOOKUP(R59,'1_Presupuesto'!$E:$E,'1_Presupuesto'!$D:$D),"")</f>
        <v>Preliminares</v>
      </c>
    </row>
    <row r="60" spans="1:19" ht="15" customHeight="1" x14ac:dyDescent="0.35">
      <c r="A60" s="222" t="s">
        <v>793</v>
      </c>
      <c r="B60" s="222" t="s">
        <v>639</v>
      </c>
      <c r="C60" s="222" t="s">
        <v>646</v>
      </c>
      <c r="D60" s="222" t="s">
        <v>683</v>
      </c>
      <c r="E60" s="222" t="s">
        <v>684</v>
      </c>
      <c r="F60" s="222" t="s">
        <v>643</v>
      </c>
      <c r="G60" s="223">
        <v>3</v>
      </c>
      <c r="H60" s="222">
        <v>0</v>
      </c>
      <c r="I60" s="224">
        <v>65360.25</v>
      </c>
      <c r="J60" s="224">
        <v>196080.75</v>
      </c>
      <c r="K60" s="222" t="s">
        <v>819</v>
      </c>
      <c r="L60" s="222">
        <v>2</v>
      </c>
      <c r="M60" s="222" t="s">
        <v>821</v>
      </c>
      <c r="N60" s="222">
        <v>1</v>
      </c>
      <c r="O60" s="222">
        <v>3</v>
      </c>
      <c r="P60" s="225">
        <v>1</v>
      </c>
      <c r="Q60" s="224">
        <v>3</v>
      </c>
      <c r="R60" s="222">
        <v>1.08</v>
      </c>
      <c r="S60" s="226" t="str">
        <f>IFERROR(_xlfn.XLOOKUP(R60,'1_Presupuesto'!$E:$E,'1_Presupuesto'!$D:$D),"")</f>
        <v>Preliminares</v>
      </c>
    </row>
    <row r="61" spans="1:19" ht="15" customHeight="1" x14ac:dyDescent="0.35">
      <c r="A61" s="222" t="s">
        <v>793</v>
      </c>
      <c r="B61" s="222" t="s">
        <v>13</v>
      </c>
      <c r="C61" s="222"/>
      <c r="D61" s="222" t="s">
        <v>822</v>
      </c>
      <c r="E61" s="222" t="s">
        <v>823</v>
      </c>
      <c r="F61" s="222"/>
      <c r="G61" s="223">
        <v>1</v>
      </c>
      <c r="H61" s="222">
        <v>0</v>
      </c>
      <c r="I61" s="224">
        <v>16527.298299999999</v>
      </c>
      <c r="J61" s="224">
        <v>16527.298299999999</v>
      </c>
      <c r="K61" s="222" t="s">
        <v>824</v>
      </c>
      <c r="L61" s="222">
        <v>1</v>
      </c>
      <c r="M61" s="222" t="s">
        <v>825</v>
      </c>
      <c r="N61" s="222">
        <v>1</v>
      </c>
      <c r="O61" s="222">
        <v>0</v>
      </c>
      <c r="P61" s="225">
        <v>1</v>
      </c>
      <c r="Q61" s="224">
        <v>0</v>
      </c>
      <c r="R61" s="222">
        <v>1.08</v>
      </c>
      <c r="S61" s="226" t="str">
        <f>IFERROR(_xlfn.XLOOKUP(R61,'1_Presupuesto'!$E:$E,'1_Presupuesto'!$D:$D),"")</f>
        <v>Preliminares</v>
      </c>
    </row>
    <row r="62" spans="1:19" ht="15" customHeight="1" x14ac:dyDescent="0.35">
      <c r="A62" s="222" t="s">
        <v>826</v>
      </c>
      <c r="B62" s="222" t="s">
        <v>639</v>
      </c>
      <c r="C62" s="222" t="s">
        <v>640</v>
      </c>
      <c r="D62" s="222" t="s">
        <v>827</v>
      </c>
      <c r="E62" s="222" t="s">
        <v>828</v>
      </c>
      <c r="F62" s="222" t="s">
        <v>643</v>
      </c>
      <c r="G62" s="223">
        <v>0.79478826999999996</v>
      </c>
      <c r="H62" s="222">
        <v>0</v>
      </c>
      <c r="I62" s="224">
        <v>139065.91810000001</v>
      </c>
      <c r="J62" s="224">
        <v>110527.9604626607</v>
      </c>
      <c r="K62" s="222" t="s">
        <v>829</v>
      </c>
      <c r="L62" s="222">
        <v>1</v>
      </c>
      <c r="M62" s="222" t="s">
        <v>830</v>
      </c>
      <c r="N62" s="222">
        <v>1</v>
      </c>
      <c r="O62" s="222">
        <v>0</v>
      </c>
      <c r="P62" s="225">
        <v>1</v>
      </c>
      <c r="Q62" s="224">
        <v>0</v>
      </c>
      <c r="R62" s="222">
        <v>1.0900000000000001</v>
      </c>
      <c r="S62" s="226" t="str">
        <f>IFERROR(_xlfn.XLOOKUP(R62,'1_Presupuesto'!$E:$E,'1_Presupuesto'!$D:$D),"")</f>
        <v>-</v>
      </c>
    </row>
    <row r="63" spans="1:19" ht="15" customHeight="1" x14ac:dyDescent="0.35">
      <c r="A63" s="222" t="s">
        <v>826</v>
      </c>
      <c r="B63" s="222" t="s">
        <v>639</v>
      </c>
      <c r="C63" s="222" t="s">
        <v>640</v>
      </c>
      <c r="D63" s="222" t="s">
        <v>831</v>
      </c>
      <c r="E63" s="222" t="s">
        <v>832</v>
      </c>
      <c r="F63" s="222" t="s">
        <v>643</v>
      </c>
      <c r="G63" s="223">
        <v>1.5895765500000001</v>
      </c>
      <c r="H63" s="222">
        <v>0</v>
      </c>
      <c r="I63" s="224">
        <v>100127.461</v>
      </c>
      <c r="J63" s="224">
        <v>159160.26401663959</v>
      </c>
      <c r="K63" s="222" t="s">
        <v>829</v>
      </c>
      <c r="L63" s="222">
        <v>2</v>
      </c>
      <c r="M63" s="222" t="s">
        <v>833</v>
      </c>
      <c r="N63" s="222">
        <v>1</v>
      </c>
      <c r="O63" s="222">
        <v>0</v>
      </c>
      <c r="P63" s="225">
        <v>1</v>
      </c>
      <c r="Q63" s="224">
        <v>0</v>
      </c>
      <c r="R63" s="222">
        <v>1.0900000000000001</v>
      </c>
      <c r="S63" s="226" t="str">
        <f>IFERROR(_xlfn.XLOOKUP(R63,'1_Presupuesto'!$E:$E,'1_Presupuesto'!$D:$D),"")</f>
        <v>-</v>
      </c>
    </row>
    <row r="64" spans="1:19" ht="15" customHeight="1" x14ac:dyDescent="0.35">
      <c r="A64" s="222" t="s">
        <v>826</v>
      </c>
      <c r="B64" s="222" t="s">
        <v>639</v>
      </c>
      <c r="C64" s="222" t="s">
        <v>640</v>
      </c>
      <c r="D64" s="222" t="s">
        <v>834</v>
      </c>
      <c r="E64" s="222" t="s">
        <v>835</v>
      </c>
      <c r="F64" s="222" t="s">
        <v>643</v>
      </c>
      <c r="G64" s="223">
        <v>0.79478826999999996</v>
      </c>
      <c r="H64" s="222">
        <v>0</v>
      </c>
      <c r="I64" s="224">
        <v>87611.528399999996</v>
      </c>
      <c r="J64" s="224">
        <v>69632.615089091865</v>
      </c>
      <c r="K64" s="222" t="s">
        <v>829</v>
      </c>
      <c r="L64" s="222">
        <v>3</v>
      </c>
      <c r="M64" s="222" t="s">
        <v>836</v>
      </c>
      <c r="N64" s="222">
        <v>1</v>
      </c>
      <c r="O64" s="222">
        <v>0</v>
      </c>
      <c r="P64" s="225">
        <v>1</v>
      </c>
      <c r="Q64" s="224">
        <v>0</v>
      </c>
      <c r="R64" s="222">
        <v>1.0900000000000001</v>
      </c>
      <c r="S64" s="226" t="str">
        <f>IFERROR(_xlfn.XLOOKUP(R64,'1_Presupuesto'!$E:$E,'1_Presupuesto'!$D:$D),"")</f>
        <v>-</v>
      </c>
    </row>
    <row r="65" spans="1:19" ht="15" customHeight="1" x14ac:dyDescent="0.35">
      <c r="A65" s="222" t="s">
        <v>837</v>
      </c>
      <c r="B65" s="222" t="s">
        <v>639</v>
      </c>
      <c r="C65" s="222" t="s">
        <v>640</v>
      </c>
      <c r="D65" s="222" t="s">
        <v>838</v>
      </c>
      <c r="E65" s="222" t="s">
        <v>839</v>
      </c>
      <c r="F65" s="222" t="s">
        <v>643</v>
      </c>
      <c r="G65" s="223">
        <v>1</v>
      </c>
      <c r="H65" s="222">
        <v>0</v>
      </c>
      <c r="I65" s="224">
        <v>7800000</v>
      </c>
      <c r="J65" s="224">
        <v>7800000</v>
      </c>
      <c r="K65" s="222" t="s">
        <v>840</v>
      </c>
      <c r="L65" s="222">
        <v>1</v>
      </c>
      <c r="M65" s="222" t="s">
        <v>841</v>
      </c>
      <c r="N65" s="222">
        <v>1</v>
      </c>
      <c r="O65" s="222">
        <v>0</v>
      </c>
      <c r="P65" s="225">
        <v>1</v>
      </c>
      <c r="Q65" s="224">
        <v>0</v>
      </c>
      <c r="R65" s="222">
        <v>1.1000000000000001</v>
      </c>
      <c r="S65" s="226" t="str">
        <f>IFERROR(_xlfn.XLOOKUP(R65,'1_Presupuesto'!$E:$E,'1_Presupuesto'!$D:$D),"")</f>
        <v>-</v>
      </c>
    </row>
    <row r="66" spans="1:19" ht="15" customHeight="1" x14ac:dyDescent="0.35">
      <c r="A66" s="222" t="s">
        <v>842</v>
      </c>
      <c r="B66" s="222" t="s">
        <v>639</v>
      </c>
      <c r="C66" s="222" t="s">
        <v>640</v>
      </c>
      <c r="D66" s="222" t="s">
        <v>843</v>
      </c>
      <c r="E66" s="222" t="s">
        <v>844</v>
      </c>
      <c r="F66" s="222" t="s">
        <v>643</v>
      </c>
      <c r="G66" s="223">
        <v>1.1499999999999999</v>
      </c>
      <c r="H66" s="222">
        <v>0</v>
      </c>
      <c r="I66" s="224">
        <v>16000</v>
      </c>
      <c r="J66" s="224">
        <v>18400</v>
      </c>
      <c r="K66" s="222" t="s">
        <v>845</v>
      </c>
      <c r="L66" s="222">
        <v>1</v>
      </c>
      <c r="M66" s="222" t="s">
        <v>846</v>
      </c>
      <c r="N66" s="222">
        <v>1</v>
      </c>
      <c r="O66" s="222">
        <v>0</v>
      </c>
      <c r="P66" s="225">
        <v>1266</v>
      </c>
      <c r="Q66" s="224">
        <v>0</v>
      </c>
      <c r="R66" s="222">
        <v>2.0099999999999998</v>
      </c>
      <c r="S66" s="226" t="str">
        <f>IFERROR(_xlfn.XLOOKUP(R66,'1_Presupuesto'!$E:$E,'1_Presupuesto'!$D:$D),"")</f>
        <v>Homigón MO</v>
      </c>
    </row>
    <row r="67" spans="1:19" ht="15" customHeight="1" x14ac:dyDescent="0.35">
      <c r="A67" s="222" t="s">
        <v>842</v>
      </c>
      <c r="B67" s="222" t="s">
        <v>639</v>
      </c>
      <c r="C67" s="222" t="s">
        <v>646</v>
      </c>
      <c r="D67" s="222" t="s">
        <v>647</v>
      </c>
      <c r="E67" s="222" t="s">
        <v>648</v>
      </c>
      <c r="F67" s="222" t="s">
        <v>643</v>
      </c>
      <c r="G67" s="223">
        <v>0.15639810000000001</v>
      </c>
      <c r="H67" s="222">
        <v>0</v>
      </c>
      <c r="I67" s="224">
        <v>49934.239999999998</v>
      </c>
      <c r="J67" s="224">
        <v>7809.6202609440006</v>
      </c>
      <c r="K67" s="222" t="s">
        <v>845</v>
      </c>
      <c r="L67" s="222">
        <v>2</v>
      </c>
      <c r="M67" s="222" t="s">
        <v>847</v>
      </c>
      <c r="N67" s="222">
        <v>1</v>
      </c>
      <c r="O67" s="222">
        <v>0.15639810000000001</v>
      </c>
      <c r="P67" s="225">
        <v>1266</v>
      </c>
      <c r="Q67" s="224">
        <v>197.99999460000001</v>
      </c>
      <c r="R67" s="222">
        <v>2.0099999999999998</v>
      </c>
      <c r="S67" s="226" t="str">
        <f>IFERROR(_xlfn.XLOOKUP(R67,'1_Presupuesto'!$E:$E,'1_Presupuesto'!$D:$D),"")</f>
        <v>Homigón MO</v>
      </c>
    </row>
    <row r="68" spans="1:19" ht="15" customHeight="1" x14ac:dyDescent="0.35">
      <c r="A68" s="222" t="s">
        <v>842</v>
      </c>
      <c r="B68" s="222" t="s">
        <v>13</v>
      </c>
      <c r="C68" s="222"/>
      <c r="D68" s="222" t="s">
        <v>848</v>
      </c>
      <c r="E68" s="222" t="s">
        <v>849</v>
      </c>
      <c r="F68" s="222"/>
      <c r="G68" s="223">
        <v>1</v>
      </c>
      <c r="H68" s="222">
        <v>0</v>
      </c>
      <c r="I68" s="224">
        <v>117.1443</v>
      </c>
      <c r="J68" s="224">
        <v>117.1443</v>
      </c>
      <c r="K68" s="222" t="s">
        <v>850</v>
      </c>
      <c r="L68" s="222">
        <v>1</v>
      </c>
      <c r="M68" s="222" t="s">
        <v>851</v>
      </c>
      <c r="N68" s="222">
        <v>1</v>
      </c>
      <c r="O68" s="222">
        <v>0</v>
      </c>
      <c r="P68" s="225">
        <v>1266</v>
      </c>
      <c r="Q68" s="224">
        <v>0</v>
      </c>
      <c r="R68" s="222">
        <v>2.0099999999999998</v>
      </c>
      <c r="S68" s="226" t="str">
        <f>IFERROR(_xlfn.XLOOKUP(R68,'1_Presupuesto'!$E:$E,'1_Presupuesto'!$D:$D),"")</f>
        <v>Homigón MO</v>
      </c>
    </row>
    <row r="69" spans="1:19" ht="15" customHeight="1" x14ac:dyDescent="0.35">
      <c r="A69" s="222" t="s">
        <v>852</v>
      </c>
      <c r="B69" s="222" t="s">
        <v>639</v>
      </c>
      <c r="C69" s="222" t="s">
        <v>646</v>
      </c>
      <c r="D69" s="222" t="s">
        <v>647</v>
      </c>
      <c r="E69" s="222" t="s">
        <v>648</v>
      </c>
      <c r="F69" s="222" t="s">
        <v>643</v>
      </c>
      <c r="G69" s="223">
        <v>1</v>
      </c>
      <c r="H69" s="222">
        <v>0</v>
      </c>
      <c r="I69" s="224">
        <v>49934.239999999998</v>
      </c>
      <c r="J69" s="224">
        <v>49934.239999999998</v>
      </c>
      <c r="K69" s="222" t="s">
        <v>853</v>
      </c>
      <c r="L69" s="222">
        <v>1</v>
      </c>
      <c r="M69" s="222" t="s">
        <v>854</v>
      </c>
      <c r="N69" s="222">
        <v>1</v>
      </c>
      <c r="O69" s="222">
        <v>1</v>
      </c>
      <c r="P69" s="225">
        <v>2</v>
      </c>
      <c r="Q69" s="224">
        <v>2</v>
      </c>
      <c r="R69" s="222">
        <v>2.0299999999999998</v>
      </c>
      <c r="S69" s="226" t="str">
        <f>IFERROR(_xlfn.XLOOKUP(R69,'1_Presupuesto'!$E:$E,'1_Presupuesto'!$D:$D),"")</f>
        <v>Homigón MO</v>
      </c>
    </row>
    <row r="70" spans="1:19" ht="15" customHeight="1" x14ac:dyDescent="0.35">
      <c r="A70" s="222" t="s">
        <v>855</v>
      </c>
      <c r="B70" s="222" t="s">
        <v>654</v>
      </c>
      <c r="C70" s="222" t="s">
        <v>640</v>
      </c>
      <c r="D70" s="222" t="s">
        <v>856</v>
      </c>
      <c r="E70" s="222" t="s">
        <v>857</v>
      </c>
      <c r="F70" s="222"/>
      <c r="G70" s="223">
        <v>1</v>
      </c>
      <c r="H70" s="222">
        <v>0</v>
      </c>
      <c r="I70" s="224">
        <v>115100</v>
      </c>
      <c r="J70" s="224">
        <v>115100</v>
      </c>
      <c r="K70" s="222" t="s">
        <v>858</v>
      </c>
      <c r="L70" s="222">
        <v>1</v>
      </c>
      <c r="M70" s="222" t="s">
        <v>859</v>
      </c>
      <c r="N70" s="222">
        <v>1</v>
      </c>
      <c r="O70" s="222">
        <v>0</v>
      </c>
      <c r="P70" s="225">
        <v>35</v>
      </c>
      <c r="Q70" s="224">
        <v>0</v>
      </c>
      <c r="R70" s="222">
        <v>3.01</v>
      </c>
      <c r="S70" s="226" t="str">
        <f>IFERROR(_xlfn.XLOOKUP(R70,'1_Presupuesto'!$E:$E,'1_Presupuesto'!$D:$D),"")</f>
        <v>Homigón MO</v>
      </c>
    </row>
    <row r="71" spans="1:19" ht="15" customHeight="1" x14ac:dyDescent="0.35">
      <c r="A71" s="222" t="s">
        <v>855</v>
      </c>
      <c r="B71" s="222" t="s">
        <v>654</v>
      </c>
      <c r="C71" s="222" t="s">
        <v>640</v>
      </c>
      <c r="D71" s="222" t="s">
        <v>860</v>
      </c>
      <c r="E71" s="222" t="s">
        <v>861</v>
      </c>
      <c r="F71" s="222"/>
      <c r="G71" s="223">
        <v>1</v>
      </c>
      <c r="H71" s="222">
        <v>0</v>
      </c>
      <c r="I71" s="224">
        <v>5330</v>
      </c>
      <c r="J71" s="224">
        <v>5330</v>
      </c>
      <c r="K71" s="222" t="s">
        <v>858</v>
      </c>
      <c r="L71" s="222">
        <v>2</v>
      </c>
      <c r="M71" s="222" t="s">
        <v>862</v>
      </c>
      <c r="N71" s="222">
        <v>1</v>
      </c>
      <c r="O71" s="222">
        <v>0</v>
      </c>
      <c r="P71" s="225">
        <v>35</v>
      </c>
      <c r="Q71" s="224">
        <v>0</v>
      </c>
      <c r="R71" s="222">
        <v>3.01</v>
      </c>
      <c r="S71" s="226" t="str">
        <f>IFERROR(_xlfn.XLOOKUP(R71,'1_Presupuesto'!$E:$E,'1_Presupuesto'!$D:$D),"")</f>
        <v>Homigón MO</v>
      </c>
    </row>
    <row r="72" spans="1:19" ht="15" customHeight="1" x14ac:dyDescent="0.35">
      <c r="A72" s="222" t="s">
        <v>855</v>
      </c>
      <c r="B72" s="222" t="s">
        <v>654</v>
      </c>
      <c r="C72" s="222" t="s">
        <v>719</v>
      </c>
      <c r="D72" s="222" t="s">
        <v>863</v>
      </c>
      <c r="E72" s="222" t="s">
        <v>864</v>
      </c>
      <c r="F72" s="222"/>
      <c r="G72" s="223">
        <v>1</v>
      </c>
      <c r="H72" s="222">
        <v>0</v>
      </c>
      <c r="I72" s="224">
        <v>76142.857099999994</v>
      </c>
      <c r="J72" s="224">
        <v>76142.857099999994</v>
      </c>
      <c r="K72" s="222" t="s">
        <v>858</v>
      </c>
      <c r="L72" s="222">
        <v>3</v>
      </c>
      <c r="M72" s="222" t="s">
        <v>865</v>
      </c>
      <c r="N72" s="222">
        <v>1</v>
      </c>
      <c r="O72" s="222">
        <v>0</v>
      </c>
      <c r="P72" s="225">
        <v>35</v>
      </c>
      <c r="Q72" s="224">
        <v>0</v>
      </c>
      <c r="R72" s="222">
        <v>3.01</v>
      </c>
      <c r="S72" s="226" t="str">
        <f>IFERROR(_xlfn.XLOOKUP(R72,'1_Presupuesto'!$E:$E,'1_Presupuesto'!$D:$D),"")</f>
        <v>Homigón MO</v>
      </c>
    </row>
    <row r="73" spans="1:19" ht="15" customHeight="1" x14ac:dyDescent="0.35">
      <c r="A73" s="222" t="s">
        <v>855</v>
      </c>
      <c r="B73" s="222" t="s">
        <v>639</v>
      </c>
      <c r="C73" s="222" t="s">
        <v>646</v>
      </c>
      <c r="D73" s="222" t="s">
        <v>647</v>
      </c>
      <c r="E73" s="222" t="s">
        <v>648</v>
      </c>
      <c r="F73" s="222" t="s">
        <v>643</v>
      </c>
      <c r="G73" s="223">
        <v>1</v>
      </c>
      <c r="H73" s="222">
        <v>0</v>
      </c>
      <c r="I73" s="224">
        <v>49934.239999999998</v>
      </c>
      <c r="J73" s="224">
        <v>49934.239999999998</v>
      </c>
      <c r="K73" s="222" t="s">
        <v>866</v>
      </c>
      <c r="L73" s="222">
        <v>1</v>
      </c>
      <c r="M73" s="222" t="s">
        <v>867</v>
      </c>
      <c r="N73" s="222">
        <v>1</v>
      </c>
      <c r="O73" s="222">
        <v>1</v>
      </c>
      <c r="P73" s="225">
        <v>35</v>
      </c>
      <c r="Q73" s="224">
        <v>35</v>
      </c>
      <c r="R73" s="222">
        <v>3.01</v>
      </c>
      <c r="S73" s="226" t="str">
        <f>IFERROR(_xlfn.XLOOKUP(R73,'1_Presupuesto'!$E:$E,'1_Presupuesto'!$D:$D),"")</f>
        <v>Homigón MO</v>
      </c>
    </row>
    <row r="74" spans="1:19" ht="15" customHeight="1" x14ac:dyDescent="0.35">
      <c r="A74" s="222" t="s">
        <v>855</v>
      </c>
      <c r="B74" s="222" t="s">
        <v>13</v>
      </c>
      <c r="C74" s="222"/>
      <c r="D74" s="222" t="s">
        <v>868</v>
      </c>
      <c r="E74" s="222" t="s">
        <v>869</v>
      </c>
      <c r="F74" s="222"/>
      <c r="G74" s="223">
        <v>1</v>
      </c>
      <c r="H74" s="222">
        <v>0</v>
      </c>
      <c r="I74" s="224">
        <v>3697.6064000000001</v>
      </c>
      <c r="J74" s="224">
        <v>3697.6064000000001</v>
      </c>
      <c r="K74" s="222" t="s">
        <v>870</v>
      </c>
      <c r="L74" s="222">
        <v>1</v>
      </c>
      <c r="M74" s="222" t="s">
        <v>871</v>
      </c>
      <c r="N74" s="222">
        <v>1</v>
      </c>
      <c r="O74" s="222">
        <v>0</v>
      </c>
      <c r="P74" s="225">
        <v>35</v>
      </c>
      <c r="Q74" s="224">
        <v>0</v>
      </c>
      <c r="R74" s="222">
        <v>3.01</v>
      </c>
      <c r="S74" s="226" t="str">
        <f>IFERROR(_xlfn.XLOOKUP(R74,'1_Presupuesto'!$E:$E,'1_Presupuesto'!$D:$D),"")</f>
        <v>Homigón MO</v>
      </c>
    </row>
    <row r="75" spans="1:19" ht="15" customHeight="1" x14ac:dyDescent="0.35">
      <c r="A75" s="222" t="s">
        <v>872</v>
      </c>
      <c r="B75" s="222" t="s">
        <v>654</v>
      </c>
      <c r="C75" s="222" t="s">
        <v>640</v>
      </c>
      <c r="D75" s="222" t="s">
        <v>873</v>
      </c>
      <c r="E75" s="222" t="s">
        <v>874</v>
      </c>
      <c r="F75" s="222"/>
      <c r="G75" s="223">
        <v>1</v>
      </c>
      <c r="H75" s="222">
        <v>0</v>
      </c>
      <c r="I75" s="224">
        <v>70843.445699999997</v>
      </c>
      <c r="J75" s="224">
        <v>70843.445699999997</v>
      </c>
      <c r="K75" s="222" t="s">
        <v>875</v>
      </c>
      <c r="L75" s="222">
        <v>1</v>
      </c>
      <c r="M75" s="222" t="s">
        <v>876</v>
      </c>
      <c r="N75" s="222">
        <v>1</v>
      </c>
      <c r="O75" s="222">
        <v>0</v>
      </c>
      <c r="P75" s="225">
        <v>40</v>
      </c>
      <c r="Q75" s="224">
        <v>0</v>
      </c>
      <c r="R75" s="222">
        <v>3.02</v>
      </c>
      <c r="S75" s="226" t="str">
        <f>IFERROR(_xlfn.XLOOKUP(R75,'1_Presupuesto'!$E:$E,'1_Presupuesto'!$D:$D),"")</f>
        <v>Homigón MO</v>
      </c>
    </row>
    <row r="76" spans="1:19" ht="15" customHeight="1" x14ac:dyDescent="0.35">
      <c r="A76" s="222" t="s">
        <v>872</v>
      </c>
      <c r="B76" s="222" t="s">
        <v>639</v>
      </c>
      <c r="C76" s="222" t="s">
        <v>646</v>
      </c>
      <c r="D76" s="222" t="s">
        <v>723</v>
      </c>
      <c r="E76" s="222" t="s">
        <v>724</v>
      </c>
      <c r="F76" s="222" t="s">
        <v>643</v>
      </c>
      <c r="G76" s="223">
        <v>1.89395808</v>
      </c>
      <c r="H76" s="222">
        <v>0</v>
      </c>
      <c r="I76" s="224">
        <v>75113.05</v>
      </c>
      <c r="J76" s="224">
        <v>142260.96796094399</v>
      </c>
      <c r="K76" s="222" t="s">
        <v>877</v>
      </c>
      <c r="L76" s="222">
        <v>1</v>
      </c>
      <c r="M76" s="222" t="s">
        <v>878</v>
      </c>
      <c r="N76" s="222">
        <v>1</v>
      </c>
      <c r="O76" s="222">
        <v>1.89395808</v>
      </c>
      <c r="P76" s="225">
        <v>40</v>
      </c>
      <c r="Q76" s="224">
        <v>75.758323200000007</v>
      </c>
      <c r="R76" s="222">
        <v>3.02</v>
      </c>
      <c r="S76" s="226" t="str">
        <f>IFERROR(_xlfn.XLOOKUP(R76,'1_Presupuesto'!$E:$E,'1_Presupuesto'!$D:$D),"")</f>
        <v>Homigón MO</v>
      </c>
    </row>
    <row r="77" spans="1:19" ht="15" customHeight="1" x14ac:dyDescent="0.35">
      <c r="A77" s="222" t="s">
        <v>872</v>
      </c>
      <c r="B77" s="222" t="s">
        <v>639</v>
      </c>
      <c r="C77" s="222" t="s">
        <v>646</v>
      </c>
      <c r="D77" s="222" t="s">
        <v>683</v>
      </c>
      <c r="E77" s="222" t="s">
        <v>684</v>
      </c>
      <c r="F77" s="222" t="s">
        <v>643</v>
      </c>
      <c r="G77" s="223">
        <v>2.4858201100000001</v>
      </c>
      <c r="H77" s="222">
        <v>0</v>
      </c>
      <c r="I77" s="224">
        <v>65360.25</v>
      </c>
      <c r="J77" s="224">
        <v>162473.82384462751</v>
      </c>
      <c r="K77" s="222" t="s">
        <v>877</v>
      </c>
      <c r="L77" s="222">
        <v>2</v>
      </c>
      <c r="M77" s="222" t="s">
        <v>879</v>
      </c>
      <c r="N77" s="222">
        <v>1</v>
      </c>
      <c r="O77" s="222">
        <v>2.4858201100000001</v>
      </c>
      <c r="P77" s="225">
        <v>40</v>
      </c>
      <c r="Q77" s="224">
        <v>99.432804399999995</v>
      </c>
      <c r="R77" s="222">
        <v>3.02</v>
      </c>
      <c r="S77" s="226" t="str">
        <f>IFERROR(_xlfn.XLOOKUP(R77,'1_Presupuesto'!$E:$E,'1_Presupuesto'!$D:$D),"")</f>
        <v>Homigón MO</v>
      </c>
    </row>
    <row r="78" spans="1:19" ht="15" customHeight="1" x14ac:dyDescent="0.35">
      <c r="A78" s="222" t="s">
        <v>872</v>
      </c>
      <c r="B78" s="222" t="s">
        <v>639</v>
      </c>
      <c r="C78" s="222" t="s">
        <v>646</v>
      </c>
      <c r="D78" s="222" t="s">
        <v>647</v>
      </c>
      <c r="E78" s="222" t="s">
        <v>648</v>
      </c>
      <c r="F78" s="222" t="s">
        <v>643</v>
      </c>
      <c r="G78" s="223">
        <v>5.9186000000000002E-2</v>
      </c>
      <c r="H78" s="222">
        <v>0</v>
      </c>
      <c r="I78" s="224">
        <v>49934.239999999998</v>
      </c>
      <c r="J78" s="224">
        <v>2955.4079286400001</v>
      </c>
      <c r="K78" s="222" t="s">
        <v>877</v>
      </c>
      <c r="L78" s="222">
        <v>3</v>
      </c>
      <c r="M78" s="222" t="s">
        <v>880</v>
      </c>
      <c r="N78" s="222">
        <v>1</v>
      </c>
      <c r="O78" s="222">
        <v>5.9186000000000002E-2</v>
      </c>
      <c r="P78" s="225">
        <v>40</v>
      </c>
      <c r="Q78" s="224">
        <v>2.3674400000000002</v>
      </c>
      <c r="R78" s="222">
        <v>3.02</v>
      </c>
      <c r="S78" s="226" t="str">
        <f>IFERROR(_xlfn.XLOOKUP(R78,'1_Presupuesto'!$E:$E,'1_Presupuesto'!$D:$D),"")</f>
        <v>Homigón MO</v>
      </c>
    </row>
    <row r="79" spans="1:19" ht="15" customHeight="1" x14ac:dyDescent="0.35">
      <c r="A79" s="222" t="s">
        <v>872</v>
      </c>
      <c r="B79" s="222" t="s">
        <v>13</v>
      </c>
      <c r="C79" s="222"/>
      <c r="D79" s="222" t="s">
        <v>881</v>
      </c>
      <c r="E79" s="222" t="s">
        <v>882</v>
      </c>
      <c r="F79" s="222"/>
      <c r="G79" s="223">
        <v>1</v>
      </c>
      <c r="H79" s="222">
        <v>0</v>
      </c>
      <c r="I79" s="224">
        <v>5678.0046000000002</v>
      </c>
      <c r="J79" s="224">
        <v>5678.0046000000002</v>
      </c>
      <c r="K79" s="222" t="s">
        <v>883</v>
      </c>
      <c r="L79" s="222">
        <v>1</v>
      </c>
      <c r="M79" s="222" t="s">
        <v>884</v>
      </c>
      <c r="N79" s="222">
        <v>1</v>
      </c>
      <c r="O79" s="222">
        <v>0</v>
      </c>
      <c r="P79" s="225">
        <v>40</v>
      </c>
      <c r="Q79" s="224">
        <v>0</v>
      </c>
      <c r="R79" s="222">
        <v>3.02</v>
      </c>
      <c r="S79" s="226" t="str">
        <f>IFERROR(_xlfn.XLOOKUP(R79,'1_Presupuesto'!$E:$E,'1_Presupuesto'!$D:$D),"")</f>
        <v>Homigón MO</v>
      </c>
    </row>
    <row r="80" spans="1:19" ht="15" customHeight="1" x14ac:dyDescent="0.35">
      <c r="A80" s="222" t="s">
        <v>885</v>
      </c>
      <c r="B80" s="222" t="s">
        <v>654</v>
      </c>
      <c r="C80" s="222" t="s">
        <v>640</v>
      </c>
      <c r="D80" s="222" t="s">
        <v>886</v>
      </c>
      <c r="E80" s="222" t="s">
        <v>887</v>
      </c>
      <c r="F80" s="222"/>
      <c r="G80" s="223">
        <v>1</v>
      </c>
      <c r="H80" s="222">
        <v>0</v>
      </c>
      <c r="I80" s="224">
        <v>55068.8217</v>
      </c>
      <c r="J80" s="224">
        <v>55068.8217</v>
      </c>
      <c r="K80" s="222" t="s">
        <v>888</v>
      </c>
      <c r="L80" s="222">
        <v>1</v>
      </c>
      <c r="M80" s="222" t="s">
        <v>889</v>
      </c>
      <c r="N80" s="222">
        <v>1</v>
      </c>
      <c r="O80" s="222">
        <v>0</v>
      </c>
      <c r="P80" s="225">
        <v>28</v>
      </c>
      <c r="Q80" s="224">
        <v>0</v>
      </c>
      <c r="R80" s="222">
        <v>3.03</v>
      </c>
      <c r="S80" s="226" t="str">
        <f>IFERROR(_xlfn.XLOOKUP(R80,'1_Presupuesto'!$E:$E,'1_Presupuesto'!$D:$D),"")</f>
        <v>-</v>
      </c>
    </row>
    <row r="81" spans="1:19" ht="15" customHeight="1" x14ac:dyDescent="0.35">
      <c r="A81" s="222" t="s">
        <v>885</v>
      </c>
      <c r="B81" s="222" t="s">
        <v>639</v>
      </c>
      <c r="C81" s="222" t="s">
        <v>640</v>
      </c>
      <c r="D81" s="222" t="s">
        <v>890</v>
      </c>
      <c r="E81" s="222" t="s">
        <v>891</v>
      </c>
      <c r="F81" s="222" t="s">
        <v>643</v>
      </c>
      <c r="G81" s="223">
        <v>1</v>
      </c>
      <c r="H81" s="222">
        <v>0</v>
      </c>
      <c r="I81" s="224">
        <v>253994.1428</v>
      </c>
      <c r="J81" s="224">
        <v>253994.1428</v>
      </c>
      <c r="K81" s="222" t="s">
        <v>892</v>
      </c>
      <c r="L81" s="222">
        <v>1</v>
      </c>
      <c r="M81" s="222" t="s">
        <v>893</v>
      </c>
      <c r="N81" s="222">
        <v>1</v>
      </c>
      <c r="O81" s="222">
        <v>0</v>
      </c>
      <c r="P81" s="225">
        <v>28</v>
      </c>
      <c r="Q81" s="224">
        <v>0</v>
      </c>
      <c r="R81" s="222">
        <v>3.03</v>
      </c>
      <c r="S81" s="226" t="str">
        <f>IFERROR(_xlfn.XLOOKUP(R81,'1_Presupuesto'!$E:$E,'1_Presupuesto'!$D:$D),"")</f>
        <v>-</v>
      </c>
    </row>
    <row r="82" spans="1:19" ht="15" customHeight="1" x14ac:dyDescent="0.35">
      <c r="A82" s="222" t="s">
        <v>885</v>
      </c>
      <c r="B82" s="222" t="s">
        <v>13</v>
      </c>
      <c r="C82" s="222"/>
      <c r="D82" s="222" t="s">
        <v>894</v>
      </c>
      <c r="E82" s="222" t="s">
        <v>895</v>
      </c>
      <c r="F82" s="222"/>
      <c r="G82" s="223">
        <v>1</v>
      </c>
      <c r="H82" s="222">
        <v>0</v>
      </c>
      <c r="I82" s="224">
        <v>4635.9444999999996</v>
      </c>
      <c r="J82" s="224">
        <v>4635.9444999999996</v>
      </c>
      <c r="K82" s="222" t="s">
        <v>896</v>
      </c>
      <c r="L82" s="222">
        <v>1</v>
      </c>
      <c r="M82" s="222" t="s">
        <v>897</v>
      </c>
      <c r="N82" s="222">
        <v>1</v>
      </c>
      <c r="O82" s="222">
        <v>0</v>
      </c>
      <c r="P82" s="225">
        <v>28</v>
      </c>
      <c r="Q82" s="224">
        <v>0</v>
      </c>
      <c r="R82" s="222">
        <v>3.03</v>
      </c>
      <c r="S82" s="226" t="str">
        <f>IFERROR(_xlfn.XLOOKUP(R82,'1_Presupuesto'!$E:$E,'1_Presupuesto'!$D:$D),"")</f>
        <v>-</v>
      </c>
    </row>
    <row r="83" spans="1:19" ht="15" customHeight="1" x14ac:dyDescent="0.35">
      <c r="A83" s="222" t="s">
        <v>898</v>
      </c>
      <c r="B83" s="222" t="s">
        <v>654</v>
      </c>
      <c r="C83" s="222" t="s">
        <v>640</v>
      </c>
      <c r="D83" s="222" t="s">
        <v>899</v>
      </c>
      <c r="E83" s="222" t="s">
        <v>900</v>
      </c>
      <c r="F83" s="222"/>
      <c r="G83" s="223">
        <v>1</v>
      </c>
      <c r="H83" s="222">
        <v>0</v>
      </c>
      <c r="I83" s="224">
        <v>2471.4097999999999</v>
      </c>
      <c r="J83" s="224">
        <v>2471.4097999999999</v>
      </c>
      <c r="K83" s="222" t="s">
        <v>901</v>
      </c>
      <c r="L83" s="222">
        <v>1</v>
      </c>
      <c r="M83" s="222" t="s">
        <v>902</v>
      </c>
      <c r="N83" s="222">
        <v>1</v>
      </c>
      <c r="O83" s="222">
        <v>0</v>
      </c>
      <c r="P83" s="225">
        <v>179</v>
      </c>
      <c r="Q83" s="224">
        <v>0</v>
      </c>
      <c r="R83" s="222">
        <v>3.04</v>
      </c>
      <c r="S83" s="226" t="str">
        <f>IFERROR(_xlfn.XLOOKUP(R83,'1_Presupuesto'!$E:$E,'1_Presupuesto'!$D:$D),"")</f>
        <v>-</v>
      </c>
    </row>
    <row r="84" spans="1:19" ht="15" customHeight="1" x14ac:dyDescent="0.35">
      <c r="A84" s="222" t="s">
        <v>898</v>
      </c>
      <c r="B84" s="222" t="s">
        <v>639</v>
      </c>
      <c r="C84" s="222" t="s">
        <v>640</v>
      </c>
      <c r="D84" s="222" t="s">
        <v>903</v>
      </c>
      <c r="E84" s="222" t="s">
        <v>904</v>
      </c>
      <c r="F84" s="222" t="s">
        <v>643</v>
      </c>
      <c r="G84" s="223">
        <v>1</v>
      </c>
      <c r="H84" s="222">
        <v>0</v>
      </c>
      <c r="I84" s="224">
        <v>148967.56479999999</v>
      </c>
      <c r="J84" s="224">
        <v>148967.56479999999</v>
      </c>
      <c r="K84" s="222" t="s">
        <v>905</v>
      </c>
      <c r="L84" s="222">
        <v>1</v>
      </c>
      <c r="M84" s="222" t="s">
        <v>906</v>
      </c>
      <c r="N84" s="222">
        <v>1</v>
      </c>
      <c r="O84" s="222">
        <v>0</v>
      </c>
      <c r="P84" s="225">
        <v>179</v>
      </c>
      <c r="Q84" s="224">
        <v>0</v>
      </c>
      <c r="R84" s="222">
        <v>3.04</v>
      </c>
      <c r="S84" s="226" t="str">
        <f>IFERROR(_xlfn.XLOOKUP(R84,'1_Presupuesto'!$E:$E,'1_Presupuesto'!$D:$D),"")</f>
        <v>-</v>
      </c>
    </row>
    <row r="85" spans="1:19" ht="15" customHeight="1" x14ac:dyDescent="0.35">
      <c r="A85" s="222" t="s">
        <v>898</v>
      </c>
      <c r="B85" s="222" t="s">
        <v>13</v>
      </c>
      <c r="C85" s="222"/>
      <c r="D85" s="222" t="s">
        <v>907</v>
      </c>
      <c r="E85" s="222" t="s">
        <v>908</v>
      </c>
      <c r="F85" s="222"/>
      <c r="G85" s="223">
        <v>1</v>
      </c>
      <c r="H85" s="222">
        <v>0</v>
      </c>
      <c r="I85" s="224">
        <v>2271.5846000000001</v>
      </c>
      <c r="J85" s="224">
        <v>2271.5846000000001</v>
      </c>
      <c r="K85" s="222" t="s">
        <v>909</v>
      </c>
      <c r="L85" s="222">
        <v>1</v>
      </c>
      <c r="M85" s="222" t="s">
        <v>910</v>
      </c>
      <c r="N85" s="222">
        <v>1</v>
      </c>
      <c r="O85" s="222">
        <v>0</v>
      </c>
      <c r="P85" s="225">
        <v>179</v>
      </c>
      <c r="Q85" s="224">
        <v>0</v>
      </c>
      <c r="R85" s="222">
        <v>3.04</v>
      </c>
      <c r="S85" s="226" t="str">
        <f>IFERROR(_xlfn.XLOOKUP(R85,'1_Presupuesto'!$E:$E,'1_Presupuesto'!$D:$D),"")</f>
        <v>-</v>
      </c>
    </row>
    <row r="86" spans="1:19" ht="15" customHeight="1" x14ac:dyDescent="0.35">
      <c r="A86" s="222" t="s">
        <v>911</v>
      </c>
      <c r="B86" s="222" t="s">
        <v>654</v>
      </c>
      <c r="C86" s="222" t="s">
        <v>640</v>
      </c>
      <c r="D86" s="222" t="s">
        <v>912</v>
      </c>
      <c r="E86" s="222" t="s">
        <v>913</v>
      </c>
      <c r="F86" s="222"/>
      <c r="G86" s="223">
        <v>1</v>
      </c>
      <c r="H86" s="222">
        <v>0</v>
      </c>
      <c r="I86" s="224">
        <v>40150.005400000002</v>
      </c>
      <c r="J86" s="224">
        <v>40150.005400000002</v>
      </c>
      <c r="K86" s="222" t="s">
        <v>914</v>
      </c>
      <c r="L86" s="222">
        <v>1</v>
      </c>
      <c r="M86" s="222" t="s">
        <v>915</v>
      </c>
      <c r="N86" s="222">
        <v>1</v>
      </c>
      <c r="O86" s="222">
        <v>0</v>
      </c>
      <c r="P86" s="225">
        <v>10</v>
      </c>
      <c r="Q86" s="224">
        <v>0</v>
      </c>
      <c r="R86" s="222">
        <v>3.05</v>
      </c>
      <c r="S86" s="226" t="str">
        <f>IFERROR(_xlfn.XLOOKUP(R86,'1_Presupuesto'!$E:$E,'1_Presupuesto'!$D:$D),"")</f>
        <v>Homigón MO</v>
      </c>
    </row>
    <row r="87" spans="1:19" ht="15" customHeight="1" x14ac:dyDescent="0.35">
      <c r="A87" s="222" t="s">
        <v>911</v>
      </c>
      <c r="B87" s="222" t="s">
        <v>639</v>
      </c>
      <c r="C87" s="222" t="s">
        <v>646</v>
      </c>
      <c r="D87" s="222" t="s">
        <v>723</v>
      </c>
      <c r="E87" s="222" t="s">
        <v>724</v>
      </c>
      <c r="F87" s="222" t="s">
        <v>643</v>
      </c>
      <c r="G87" s="223">
        <v>1.99658716</v>
      </c>
      <c r="H87" s="222">
        <v>0</v>
      </c>
      <c r="I87" s="224">
        <v>75113.05</v>
      </c>
      <c r="J87" s="224">
        <v>149969.75117843799</v>
      </c>
      <c r="K87" s="222" t="s">
        <v>916</v>
      </c>
      <c r="L87" s="222">
        <v>1</v>
      </c>
      <c r="M87" s="222" t="s">
        <v>917</v>
      </c>
      <c r="N87" s="222">
        <v>1</v>
      </c>
      <c r="O87" s="222">
        <v>1.99658716</v>
      </c>
      <c r="P87" s="225">
        <v>10</v>
      </c>
      <c r="Q87" s="224">
        <v>19.9658716</v>
      </c>
      <c r="R87" s="222">
        <v>3.05</v>
      </c>
      <c r="S87" s="226" t="str">
        <f>IFERROR(_xlfn.XLOOKUP(R87,'1_Presupuesto'!$E:$E,'1_Presupuesto'!$D:$D),"")</f>
        <v>Homigón MO</v>
      </c>
    </row>
    <row r="88" spans="1:19" ht="15" customHeight="1" x14ac:dyDescent="0.35">
      <c r="A88" s="222" t="s">
        <v>911</v>
      </c>
      <c r="B88" s="222" t="s">
        <v>639</v>
      </c>
      <c r="C88" s="222" t="s">
        <v>646</v>
      </c>
      <c r="D88" s="222" t="s">
        <v>683</v>
      </c>
      <c r="E88" s="222" t="s">
        <v>684</v>
      </c>
      <c r="F88" s="222" t="s">
        <v>643</v>
      </c>
      <c r="G88" s="223">
        <v>1.99658716</v>
      </c>
      <c r="H88" s="222">
        <v>0</v>
      </c>
      <c r="I88" s="224">
        <v>65360.25</v>
      </c>
      <c r="J88" s="224">
        <v>130497.43592439</v>
      </c>
      <c r="K88" s="222" t="s">
        <v>916</v>
      </c>
      <c r="L88" s="222">
        <v>2</v>
      </c>
      <c r="M88" s="222" t="s">
        <v>918</v>
      </c>
      <c r="N88" s="222">
        <v>1</v>
      </c>
      <c r="O88" s="222">
        <v>1.99658716</v>
      </c>
      <c r="P88" s="225">
        <v>10</v>
      </c>
      <c r="Q88" s="224">
        <v>19.9658716</v>
      </c>
      <c r="R88" s="222">
        <v>3.05</v>
      </c>
      <c r="S88" s="226" t="str">
        <f>IFERROR(_xlfn.XLOOKUP(R88,'1_Presupuesto'!$E:$E,'1_Presupuesto'!$D:$D),"")</f>
        <v>Homigón MO</v>
      </c>
    </row>
    <row r="89" spans="1:19" ht="15" customHeight="1" x14ac:dyDescent="0.35">
      <c r="A89" s="222" t="s">
        <v>911</v>
      </c>
      <c r="B89" s="222" t="s">
        <v>639</v>
      </c>
      <c r="C89" s="222" t="s">
        <v>646</v>
      </c>
      <c r="D89" s="222" t="s">
        <v>647</v>
      </c>
      <c r="E89" s="222" t="s">
        <v>648</v>
      </c>
      <c r="F89" s="222" t="s">
        <v>643</v>
      </c>
      <c r="G89" s="223">
        <v>0.12286652000000001</v>
      </c>
      <c r="H89" s="222">
        <v>0</v>
      </c>
      <c r="I89" s="224">
        <v>49934.239999999998</v>
      </c>
      <c r="J89" s="224">
        <v>6135.2462976448014</v>
      </c>
      <c r="K89" s="222" t="s">
        <v>916</v>
      </c>
      <c r="L89" s="222">
        <v>3</v>
      </c>
      <c r="M89" s="222" t="s">
        <v>919</v>
      </c>
      <c r="N89" s="222">
        <v>1</v>
      </c>
      <c r="O89" s="222">
        <v>0.12286652000000001</v>
      </c>
      <c r="P89" s="225">
        <v>10</v>
      </c>
      <c r="Q89" s="224">
        <v>1.2286652</v>
      </c>
      <c r="R89" s="222">
        <v>3.05</v>
      </c>
      <c r="S89" s="226" t="str">
        <f>IFERROR(_xlfn.XLOOKUP(R89,'1_Presupuesto'!$E:$E,'1_Presupuesto'!$D:$D),"")</f>
        <v>Homigón MO</v>
      </c>
    </row>
    <row r="90" spans="1:19" ht="15" customHeight="1" x14ac:dyDescent="0.35">
      <c r="A90" s="222" t="s">
        <v>911</v>
      </c>
      <c r="B90" s="222" t="s">
        <v>13</v>
      </c>
      <c r="C90" s="222"/>
      <c r="D90" s="222" t="s">
        <v>920</v>
      </c>
      <c r="E90" s="222" t="s">
        <v>921</v>
      </c>
      <c r="F90" s="222"/>
      <c r="G90" s="223">
        <v>1</v>
      </c>
      <c r="H90" s="222">
        <v>0</v>
      </c>
      <c r="I90" s="224">
        <v>4901.2865000000002</v>
      </c>
      <c r="J90" s="224">
        <v>4901.2865000000002</v>
      </c>
      <c r="K90" s="222" t="s">
        <v>922</v>
      </c>
      <c r="L90" s="222">
        <v>1</v>
      </c>
      <c r="M90" s="222" t="s">
        <v>923</v>
      </c>
      <c r="N90" s="222">
        <v>1</v>
      </c>
      <c r="O90" s="222">
        <v>0</v>
      </c>
      <c r="P90" s="225">
        <v>10</v>
      </c>
      <c r="Q90" s="224">
        <v>0</v>
      </c>
      <c r="R90" s="222">
        <v>3.05</v>
      </c>
      <c r="S90" s="226" t="str">
        <f>IFERROR(_xlfn.XLOOKUP(R90,'1_Presupuesto'!$E:$E,'1_Presupuesto'!$D:$D),"")</f>
        <v>Homigón MO</v>
      </c>
    </row>
    <row r="91" spans="1:19" ht="15" customHeight="1" x14ac:dyDescent="0.35">
      <c r="A91" s="222" t="s">
        <v>924</v>
      </c>
      <c r="B91" s="222" t="s">
        <v>654</v>
      </c>
      <c r="C91" s="222" t="s">
        <v>640</v>
      </c>
      <c r="D91" s="222" t="s">
        <v>925</v>
      </c>
      <c r="E91" s="222" t="s">
        <v>926</v>
      </c>
      <c r="F91" s="222"/>
      <c r="G91" s="223">
        <v>1</v>
      </c>
      <c r="H91" s="222">
        <v>0</v>
      </c>
      <c r="I91" s="224">
        <v>32975.501400000001</v>
      </c>
      <c r="J91" s="224">
        <v>32975.501400000001</v>
      </c>
      <c r="K91" s="222" t="s">
        <v>927</v>
      </c>
      <c r="L91" s="222">
        <v>1</v>
      </c>
      <c r="M91" s="222" t="s">
        <v>928</v>
      </c>
      <c r="N91" s="222">
        <v>1</v>
      </c>
      <c r="O91" s="222">
        <v>0</v>
      </c>
      <c r="P91" s="225">
        <v>177</v>
      </c>
      <c r="Q91" s="224">
        <v>0</v>
      </c>
      <c r="R91" s="222">
        <v>3.06</v>
      </c>
      <c r="S91" s="226" t="str">
        <f>IFERROR(_xlfn.XLOOKUP(R91,'1_Presupuesto'!$E:$E,'1_Presupuesto'!$D:$D),"")</f>
        <v>Homigón MO</v>
      </c>
    </row>
    <row r="92" spans="1:19" ht="15" customHeight="1" x14ac:dyDescent="0.35">
      <c r="A92" s="222" t="s">
        <v>924</v>
      </c>
      <c r="B92" s="222" t="s">
        <v>639</v>
      </c>
      <c r="C92" s="222" t="s">
        <v>646</v>
      </c>
      <c r="D92" s="222" t="s">
        <v>723</v>
      </c>
      <c r="E92" s="222" t="s">
        <v>724</v>
      </c>
      <c r="F92" s="222" t="s">
        <v>643</v>
      </c>
      <c r="G92" s="223">
        <v>1.3310581100000001</v>
      </c>
      <c r="H92" s="222">
        <v>0</v>
      </c>
      <c r="I92" s="224">
        <v>75113.05</v>
      </c>
      <c r="J92" s="224">
        <v>99979.834369335513</v>
      </c>
      <c r="K92" s="222" t="s">
        <v>929</v>
      </c>
      <c r="L92" s="222">
        <v>1</v>
      </c>
      <c r="M92" s="222" t="s">
        <v>930</v>
      </c>
      <c r="N92" s="222">
        <v>1</v>
      </c>
      <c r="O92" s="222">
        <v>1.3310581100000001</v>
      </c>
      <c r="P92" s="225">
        <v>177</v>
      </c>
      <c r="Q92" s="224">
        <v>235.59728547</v>
      </c>
      <c r="R92" s="222">
        <v>3.06</v>
      </c>
      <c r="S92" s="226" t="str">
        <f>IFERROR(_xlfn.XLOOKUP(R92,'1_Presupuesto'!$E:$E,'1_Presupuesto'!$D:$D),"")</f>
        <v>Homigón MO</v>
      </c>
    </row>
    <row r="93" spans="1:19" ht="15" customHeight="1" x14ac:dyDescent="0.35">
      <c r="A93" s="222" t="s">
        <v>924</v>
      </c>
      <c r="B93" s="222" t="s">
        <v>639</v>
      </c>
      <c r="C93" s="222" t="s">
        <v>646</v>
      </c>
      <c r="D93" s="222" t="s">
        <v>683</v>
      </c>
      <c r="E93" s="222" t="s">
        <v>684</v>
      </c>
      <c r="F93" s="222" t="s">
        <v>643</v>
      </c>
      <c r="G93" s="223">
        <v>1.3310581100000001</v>
      </c>
      <c r="H93" s="222">
        <v>0</v>
      </c>
      <c r="I93" s="224">
        <v>65360.25</v>
      </c>
      <c r="J93" s="224">
        <v>86998.290834127503</v>
      </c>
      <c r="K93" s="222" t="s">
        <v>929</v>
      </c>
      <c r="L93" s="222">
        <v>2</v>
      </c>
      <c r="M93" s="222" t="s">
        <v>931</v>
      </c>
      <c r="N93" s="222">
        <v>1</v>
      </c>
      <c r="O93" s="222">
        <v>1.3310581100000001</v>
      </c>
      <c r="P93" s="225">
        <v>177</v>
      </c>
      <c r="Q93" s="224">
        <v>235.59728547</v>
      </c>
      <c r="R93" s="222">
        <v>3.06</v>
      </c>
      <c r="S93" s="226" t="str">
        <f>IFERROR(_xlfn.XLOOKUP(R93,'1_Presupuesto'!$E:$E,'1_Presupuesto'!$D:$D),"")</f>
        <v>Homigón MO</v>
      </c>
    </row>
    <row r="94" spans="1:19" ht="15" customHeight="1" x14ac:dyDescent="0.35">
      <c r="A94" s="222" t="s">
        <v>924</v>
      </c>
      <c r="B94" s="222" t="s">
        <v>639</v>
      </c>
      <c r="C94" s="222" t="s">
        <v>646</v>
      </c>
      <c r="D94" s="222" t="s">
        <v>647</v>
      </c>
      <c r="E94" s="222" t="s">
        <v>648</v>
      </c>
      <c r="F94" s="222" t="s">
        <v>643</v>
      </c>
      <c r="G94" s="223">
        <v>8.1911010000000006E-2</v>
      </c>
      <c r="H94" s="222">
        <v>0</v>
      </c>
      <c r="I94" s="224">
        <v>49934.239999999998</v>
      </c>
      <c r="J94" s="224">
        <v>4090.1640319824</v>
      </c>
      <c r="K94" s="222" t="s">
        <v>929</v>
      </c>
      <c r="L94" s="222">
        <v>3</v>
      </c>
      <c r="M94" s="222" t="s">
        <v>932</v>
      </c>
      <c r="N94" s="222">
        <v>1</v>
      </c>
      <c r="O94" s="222">
        <v>8.1911010000000006E-2</v>
      </c>
      <c r="P94" s="225">
        <v>177</v>
      </c>
      <c r="Q94" s="224">
        <v>14.49824877</v>
      </c>
      <c r="R94" s="222">
        <v>3.06</v>
      </c>
      <c r="S94" s="226" t="str">
        <f>IFERROR(_xlfn.XLOOKUP(R94,'1_Presupuesto'!$E:$E,'1_Presupuesto'!$D:$D),"")</f>
        <v>Homigón MO</v>
      </c>
    </row>
    <row r="95" spans="1:19" ht="15" customHeight="1" x14ac:dyDescent="0.35">
      <c r="A95" s="222" t="s">
        <v>924</v>
      </c>
      <c r="B95" s="222" t="s">
        <v>13</v>
      </c>
      <c r="C95" s="222"/>
      <c r="D95" s="222" t="s">
        <v>933</v>
      </c>
      <c r="E95" s="222" t="s">
        <v>934</v>
      </c>
      <c r="F95" s="222"/>
      <c r="G95" s="223">
        <v>1</v>
      </c>
      <c r="H95" s="222">
        <v>0</v>
      </c>
      <c r="I95" s="224">
        <v>3360.6568000000002</v>
      </c>
      <c r="J95" s="224">
        <v>3360.6568000000002</v>
      </c>
      <c r="K95" s="222" t="s">
        <v>935</v>
      </c>
      <c r="L95" s="222">
        <v>1</v>
      </c>
      <c r="M95" s="222" t="s">
        <v>936</v>
      </c>
      <c r="N95" s="222">
        <v>1</v>
      </c>
      <c r="O95" s="222">
        <v>0</v>
      </c>
      <c r="P95" s="225">
        <v>177</v>
      </c>
      <c r="Q95" s="224">
        <v>0</v>
      </c>
      <c r="R95" s="222">
        <v>3.06</v>
      </c>
      <c r="S95" s="226" t="str">
        <f>IFERROR(_xlfn.XLOOKUP(R95,'1_Presupuesto'!$E:$E,'1_Presupuesto'!$D:$D),"")</f>
        <v>Homigón MO</v>
      </c>
    </row>
    <row r="96" spans="1:19" ht="15" customHeight="1" x14ac:dyDescent="0.35">
      <c r="A96" s="222" t="s">
        <v>937</v>
      </c>
      <c r="B96" s="222" t="s">
        <v>654</v>
      </c>
      <c r="C96" s="222" t="s">
        <v>640</v>
      </c>
      <c r="D96" s="222" t="s">
        <v>938</v>
      </c>
      <c r="E96" s="222" t="s">
        <v>939</v>
      </c>
      <c r="F96" s="222"/>
      <c r="G96" s="223">
        <v>1</v>
      </c>
      <c r="H96" s="222">
        <v>0</v>
      </c>
      <c r="I96" s="224">
        <v>94228.958100000003</v>
      </c>
      <c r="J96" s="224">
        <v>94228.958100000003</v>
      </c>
      <c r="K96" s="222" t="s">
        <v>940</v>
      </c>
      <c r="L96" s="222">
        <v>1</v>
      </c>
      <c r="M96" s="222" t="s">
        <v>941</v>
      </c>
      <c r="N96" s="222">
        <v>1</v>
      </c>
      <c r="O96" s="222">
        <v>0</v>
      </c>
      <c r="P96" s="225">
        <v>65</v>
      </c>
      <c r="Q96" s="224">
        <v>0</v>
      </c>
      <c r="R96" s="222">
        <v>3.07</v>
      </c>
      <c r="S96" s="226" t="str">
        <f>IFERROR(_xlfn.XLOOKUP(R96,'1_Presupuesto'!$E:$E,'1_Presupuesto'!$D:$D),"")</f>
        <v>Homigón MO</v>
      </c>
    </row>
    <row r="97" spans="1:19" ht="15" customHeight="1" x14ac:dyDescent="0.35">
      <c r="A97" s="222" t="s">
        <v>937</v>
      </c>
      <c r="B97" s="222" t="s">
        <v>639</v>
      </c>
      <c r="C97" s="222" t="s">
        <v>646</v>
      </c>
      <c r="D97" s="222" t="s">
        <v>723</v>
      </c>
      <c r="E97" s="222" t="s">
        <v>724</v>
      </c>
      <c r="F97" s="222" t="s">
        <v>643</v>
      </c>
      <c r="G97" s="223">
        <v>3.2673112400000002</v>
      </c>
      <c r="H97" s="222">
        <v>0</v>
      </c>
      <c r="I97" s="224">
        <v>75113.05</v>
      </c>
      <c r="J97" s="224">
        <v>245417.71253568199</v>
      </c>
      <c r="K97" s="222" t="s">
        <v>942</v>
      </c>
      <c r="L97" s="222">
        <v>1</v>
      </c>
      <c r="M97" s="222" t="s">
        <v>943</v>
      </c>
      <c r="N97" s="222">
        <v>1</v>
      </c>
      <c r="O97" s="222">
        <v>3.2673112400000002</v>
      </c>
      <c r="P97" s="225">
        <v>65</v>
      </c>
      <c r="Q97" s="224">
        <v>212.37523060000001</v>
      </c>
      <c r="R97" s="222">
        <v>3.07</v>
      </c>
      <c r="S97" s="226" t="str">
        <f>IFERROR(_xlfn.XLOOKUP(R97,'1_Presupuesto'!$E:$E,'1_Presupuesto'!$D:$D),"")</f>
        <v>Homigón MO</v>
      </c>
    </row>
    <row r="98" spans="1:19" ht="15" customHeight="1" x14ac:dyDescent="0.35">
      <c r="A98" s="222" t="s">
        <v>937</v>
      </c>
      <c r="B98" s="222" t="s">
        <v>639</v>
      </c>
      <c r="C98" s="222" t="s">
        <v>646</v>
      </c>
      <c r="D98" s="222" t="s">
        <v>683</v>
      </c>
      <c r="E98" s="222" t="s">
        <v>684</v>
      </c>
      <c r="F98" s="222" t="s">
        <v>643</v>
      </c>
      <c r="G98" s="223">
        <v>3.2673112400000002</v>
      </c>
      <c r="H98" s="222">
        <v>0</v>
      </c>
      <c r="I98" s="224">
        <v>65360.25</v>
      </c>
      <c r="J98" s="224">
        <v>213552.27947420999</v>
      </c>
      <c r="K98" s="222" t="s">
        <v>942</v>
      </c>
      <c r="L98" s="222">
        <v>2</v>
      </c>
      <c r="M98" s="222" t="s">
        <v>944</v>
      </c>
      <c r="N98" s="222">
        <v>1</v>
      </c>
      <c r="O98" s="222">
        <v>3.2673112400000002</v>
      </c>
      <c r="P98" s="225">
        <v>65</v>
      </c>
      <c r="Q98" s="224">
        <v>212.37523060000001</v>
      </c>
      <c r="R98" s="222">
        <v>3.07</v>
      </c>
      <c r="S98" s="226" t="str">
        <f>IFERROR(_xlfn.XLOOKUP(R98,'1_Presupuesto'!$E:$E,'1_Presupuesto'!$D:$D),"")</f>
        <v>Homigón MO</v>
      </c>
    </row>
    <row r="99" spans="1:19" ht="15" customHeight="1" x14ac:dyDescent="0.35">
      <c r="A99" s="222" t="s">
        <v>937</v>
      </c>
      <c r="B99" s="222" t="s">
        <v>639</v>
      </c>
      <c r="C99" s="222" t="s">
        <v>646</v>
      </c>
      <c r="D99" s="222" t="s">
        <v>647</v>
      </c>
      <c r="E99" s="222" t="s">
        <v>648</v>
      </c>
      <c r="F99" s="222" t="s">
        <v>643</v>
      </c>
      <c r="G99" s="223">
        <v>7.9691010000000007E-2</v>
      </c>
      <c r="H99" s="222">
        <v>0</v>
      </c>
      <c r="I99" s="224">
        <v>49934.239999999998</v>
      </c>
      <c r="J99" s="224">
        <v>3979.3100191824001</v>
      </c>
      <c r="K99" s="222" t="s">
        <v>942</v>
      </c>
      <c r="L99" s="222">
        <v>3</v>
      </c>
      <c r="M99" s="222" t="s">
        <v>945</v>
      </c>
      <c r="N99" s="222">
        <v>1</v>
      </c>
      <c r="O99" s="222">
        <v>7.9691010000000007E-2</v>
      </c>
      <c r="P99" s="225">
        <v>65</v>
      </c>
      <c r="Q99" s="224">
        <v>5.1799156499999999</v>
      </c>
      <c r="R99" s="222">
        <v>3.07</v>
      </c>
      <c r="S99" s="226" t="str">
        <f>IFERROR(_xlfn.XLOOKUP(R99,'1_Presupuesto'!$E:$E,'1_Presupuesto'!$D:$D),"")</f>
        <v>Homigón MO</v>
      </c>
    </row>
    <row r="100" spans="1:19" ht="15" customHeight="1" x14ac:dyDescent="0.35">
      <c r="A100" s="222" t="s">
        <v>937</v>
      </c>
      <c r="B100" s="222" t="s">
        <v>13</v>
      </c>
      <c r="C100" s="222"/>
      <c r="D100" s="222" t="s">
        <v>946</v>
      </c>
      <c r="E100" s="222" t="s">
        <v>947</v>
      </c>
      <c r="F100" s="222"/>
      <c r="G100" s="223">
        <v>1</v>
      </c>
      <c r="H100" s="222">
        <v>0</v>
      </c>
      <c r="I100" s="224">
        <v>8357.6736999999994</v>
      </c>
      <c r="J100" s="224">
        <v>8357.6736999999994</v>
      </c>
      <c r="K100" s="222" t="s">
        <v>948</v>
      </c>
      <c r="L100" s="222">
        <v>1</v>
      </c>
      <c r="M100" s="222" t="s">
        <v>949</v>
      </c>
      <c r="N100" s="222">
        <v>1</v>
      </c>
      <c r="O100" s="222">
        <v>0</v>
      </c>
      <c r="P100" s="225">
        <v>65</v>
      </c>
      <c r="Q100" s="224">
        <v>0</v>
      </c>
      <c r="R100" s="222">
        <v>3.07</v>
      </c>
      <c r="S100" s="226" t="str">
        <f>IFERROR(_xlfn.XLOOKUP(R100,'1_Presupuesto'!$E:$E,'1_Presupuesto'!$D:$D),"")</f>
        <v>Homigón MO</v>
      </c>
    </row>
    <row r="101" spans="1:19" ht="15" customHeight="1" x14ac:dyDescent="0.35">
      <c r="A101" s="222" t="s">
        <v>950</v>
      </c>
      <c r="B101" s="222" t="s">
        <v>654</v>
      </c>
      <c r="C101" s="222" t="s">
        <v>640</v>
      </c>
      <c r="D101" s="222" t="s">
        <v>951</v>
      </c>
      <c r="E101" s="222" t="s">
        <v>952</v>
      </c>
      <c r="F101" s="222"/>
      <c r="G101" s="223">
        <v>1</v>
      </c>
      <c r="H101" s="222">
        <v>0</v>
      </c>
      <c r="I101" s="224">
        <v>92072.316600000006</v>
      </c>
      <c r="J101" s="224">
        <v>92072.316600000006</v>
      </c>
      <c r="K101" s="222" t="s">
        <v>953</v>
      </c>
      <c r="L101" s="222">
        <v>1</v>
      </c>
      <c r="M101" s="222" t="s">
        <v>954</v>
      </c>
      <c r="N101" s="222">
        <v>1</v>
      </c>
      <c r="O101" s="222">
        <v>0</v>
      </c>
      <c r="P101" s="225">
        <v>12</v>
      </c>
      <c r="Q101" s="224">
        <v>0</v>
      </c>
      <c r="R101" s="222">
        <v>3.08</v>
      </c>
      <c r="S101" s="226" t="str">
        <f>IFERROR(_xlfn.XLOOKUP(R101,'1_Presupuesto'!$E:$E,'1_Presupuesto'!$D:$D),"")</f>
        <v>Homigón MO</v>
      </c>
    </row>
    <row r="102" spans="1:19" ht="15" customHeight="1" x14ac:dyDescent="0.35">
      <c r="A102" s="222" t="s">
        <v>950</v>
      </c>
      <c r="B102" s="222" t="s">
        <v>639</v>
      </c>
      <c r="C102" s="222" t="s">
        <v>646</v>
      </c>
      <c r="D102" s="222" t="s">
        <v>723</v>
      </c>
      <c r="E102" s="222" t="s">
        <v>724</v>
      </c>
      <c r="F102" s="222" t="s">
        <v>643</v>
      </c>
      <c r="G102" s="223">
        <v>3.9207734900000002</v>
      </c>
      <c r="H102" s="222">
        <v>0</v>
      </c>
      <c r="I102" s="224">
        <v>75113.05</v>
      </c>
      <c r="J102" s="224">
        <v>294501.25519304449</v>
      </c>
      <c r="K102" s="222" t="s">
        <v>955</v>
      </c>
      <c r="L102" s="222">
        <v>1</v>
      </c>
      <c r="M102" s="222" t="s">
        <v>956</v>
      </c>
      <c r="N102" s="222">
        <v>1</v>
      </c>
      <c r="O102" s="222">
        <v>3.9207734900000002</v>
      </c>
      <c r="P102" s="225">
        <v>12</v>
      </c>
      <c r="Q102" s="224">
        <v>47.049281880000002</v>
      </c>
      <c r="R102" s="222">
        <v>3.08</v>
      </c>
      <c r="S102" s="226" t="str">
        <f>IFERROR(_xlfn.XLOOKUP(R102,'1_Presupuesto'!$E:$E,'1_Presupuesto'!$D:$D),"")</f>
        <v>Homigón MO</v>
      </c>
    </row>
    <row r="103" spans="1:19" ht="15" customHeight="1" x14ac:dyDescent="0.35">
      <c r="A103" s="222" t="s">
        <v>950</v>
      </c>
      <c r="B103" s="222" t="s">
        <v>639</v>
      </c>
      <c r="C103" s="222" t="s">
        <v>646</v>
      </c>
      <c r="D103" s="222" t="s">
        <v>683</v>
      </c>
      <c r="E103" s="222" t="s">
        <v>684</v>
      </c>
      <c r="F103" s="222" t="s">
        <v>643</v>
      </c>
      <c r="G103" s="223">
        <v>3.9207734900000002</v>
      </c>
      <c r="H103" s="222">
        <v>0</v>
      </c>
      <c r="I103" s="224">
        <v>65360.25</v>
      </c>
      <c r="J103" s="224">
        <v>256262.73549977251</v>
      </c>
      <c r="K103" s="222" t="s">
        <v>955</v>
      </c>
      <c r="L103" s="222">
        <v>2</v>
      </c>
      <c r="M103" s="222" t="s">
        <v>957</v>
      </c>
      <c r="N103" s="222">
        <v>1</v>
      </c>
      <c r="O103" s="222">
        <v>3.9207734900000002</v>
      </c>
      <c r="P103" s="225">
        <v>12</v>
      </c>
      <c r="Q103" s="224">
        <v>47.049281880000002</v>
      </c>
      <c r="R103" s="222">
        <v>3.08</v>
      </c>
      <c r="S103" s="226" t="str">
        <f>IFERROR(_xlfn.XLOOKUP(R103,'1_Presupuesto'!$E:$E,'1_Presupuesto'!$D:$D),"")</f>
        <v>Homigón MO</v>
      </c>
    </row>
    <row r="104" spans="1:19" ht="15" customHeight="1" x14ac:dyDescent="0.35">
      <c r="A104" s="222" t="s">
        <v>950</v>
      </c>
      <c r="B104" s="222" t="s">
        <v>639</v>
      </c>
      <c r="C104" s="222" t="s">
        <v>646</v>
      </c>
      <c r="D104" s="222" t="s">
        <v>647</v>
      </c>
      <c r="E104" s="222" t="s">
        <v>648</v>
      </c>
      <c r="F104" s="222" t="s">
        <v>643</v>
      </c>
      <c r="G104" s="223">
        <v>9.5629210000000006E-2</v>
      </c>
      <c r="H104" s="222">
        <v>0</v>
      </c>
      <c r="I104" s="224">
        <v>49934.239999999998</v>
      </c>
      <c r="J104" s="224">
        <v>4775.1719231504003</v>
      </c>
      <c r="K104" s="222" t="s">
        <v>955</v>
      </c>
      <c r="L104" s="222">
        <v>3</v>
      </c>
      <c r="M104" s="222" t="s">
        <v>958</v>
      </c>
      <c r="N104" s="222">
        <v>1</v>
      </c>
      <c r="O104" s="222">
        <v>9.5629210000000006E-2</v>
      </c>
      <c r="P104" s="225">
        <v>12</v>
      </c>
      <c r="Q104" s="224">
        <v>1.14755052</v>
      </c>
      <c r="R104" s="222">
        <v>3.08</v>
      </c>
      <c r="S104" s="226" t="str">
        <f>IFERROR(_xlfn.XLOOKUP(R104,'1_Presupuesto'!$E:$E,'1_Presupuesto'!$D:$D),"")</f>
        <v>Homigón MO</v>
      </c>
    </row>
    <row r="105" spans="1:19" ht="15" customHeight="1" x14ac:dyDescent="0.35">
      <c r="A105" s="222" t="s">
        <v>950</v>
      </c>
      <c r="B105" s="222" t="s">
        <v>13</v>
      </c>
      <c r="C105" s="222"/>
      <c r="D105" s="222" t="s">
        <v>959</v>
      </c>
      <c r="E105" s="222" t="s">
        <v>960</v>
      </c>
      <c r="F105" s="222"/>
      <c r="G105" s="223">
        <v>1</v>
      </c>
      <c r="H105" s="222">
        <v>0</v>
      </c>
      <c r="I105" s="224">
        <v>9714.1720000000005</v>
      </c>
      <c r="J105" s="224">
        <v>9714.1720000000005</v>
      </c>
      <c r="K105" s="222" t="s">
        <v>961</v>
      </c>
      <c r="L105" s="222">
        <v>1</v>
      </c>
      <c r="M105" s="222" t="s">
        <v>962</v>
      </c>
      <c r="N105" s="222">
        <v>1</v>
      </c>
      <c r="O105" s="222">
        <v>0</v>
      </c>
      <c r="P105" s="225">
        <v>12</v>
      </c>
      <c r="Q105" s="224">
        <v>0</v>
      </c>
      <c r="R105" s="222">
        <v>3.08</v>
      </c>
      <c r="S105" s="226" t="str">
        <f>IFERROR(_xlfn.XLOOKUP(R105,'1_Presupuesto'!$E:$E,'1_Presupuesto'!$D:$D),"")</f>
        <v>Homigón MO</v>
      </c>
    </row>
    <row r="106" spans="1:19" ht="15" customHeight="1" x14ac:dyDescent="0.35">
      <c r="A106" s="222" t="s">
        <v>963</v>
      </c>
      <c r="B106" s="222" t="s">
        <v>654</v>
      </c>
      <c r="C106" s="222" t="s">
        <v>640</v>
      </c>
      <c r="D106" s="222" t="s">
        <v>964</v>
      </c>
      <c r="E106" s="222" t="s">
        <v>965</v>
      </c>
      <c r="F106" s="222"/>
      <c r="G106" s="223">
        <v>1</v>
      </c>
      <c r="H106" s="222">
        <v>0</v>
      </c>
      <c r="I106" s="224">
        <v>70843.445699999997</v>
      </c>
      <c r="J106" s="224">
        <v>70843.445699999997</v>
      </c>
      <c r="K106" s="222" t="s">
        <v>966</v>
      </c>
      <c r="L106" s="222">
        <v>1</v>
      </c>
      <c r="M106" s="222" t="s">
        <v>967</v>
      </c>
      <c r="N106" s="222">
        <v>1</v>
      </c>
      <c r="O106" s="222">
        <v>0</v>
      </c>
      <c r="P106" s="225">
        <v>28</v>
      </c>
      <c r="Q106" s="224">
        <v>0</v>
      </c>
      <c r="R106" s="222">
        <v>3.09</v>
      </c>
      <c r="S106" s="226" t="str">
        <f>IFERROR(_xlfn.XLOOKUP(R106,'1_Presupuesto'!$E:$E,'1_Presupuesto'!$D:$D),"")</f>
        <v>Homigón MO</v>
      </c>
    </row>
    <row r="107" spans="1:19" ht="15" customHeight="1" x14ac:dyDescent="0.35">
      <c r="A107" s="222" t="s">
        <v>963</v>
      </c>
      <c r="B107" s="222" t="s">
        <v>639</v>
      </c>
      <c r="C107" s="222" t="s">
        <v>646</v>
      </c>
      <c r="D107" s="222" t="s">
        <v>723</v>
      </c>
      <c r="E107" s="222" t="s">
        <v>724</v>
      </c>
      <c r="F107" s="222" t="s">
        <v>643</v>
      </c>
      <c r="G107" s="223">
        <v>1.89395808</v>
      </c>
      <c r="H107" s="222">
        <v>0</v>
      </c>
      <c r="I107" s="224">
        <v>75113.05</v>
      </c>
      <c r="J107" s="224">
        <v>142260.96796094399</v>
      </c>
      <c r="K107" s="222" t="s">
        <v>968</v>
      </c>
      <c r="L107" s="222">
        <v>1</v>
      </c>
      <c r="M107" s="222" t="s">
        <v>969</v>
      </c>
      <c r="N107" s="222">
        <v>1</v>
      </c>
      <c r="O107" s="222">
        <v>1.89395808</v>
      </c>
      <c r="P107" s="225">
        <v>28</v>
      </c>
      <c r="Q107" s="224">
        <v>53.030826240000003</v>
      </c>
      <c r="R107" s="222">
        <v>3.09</v>
      </c>
      <c r="S107" s="226" t="str">
        <f>IFERROR(_xlfn.XLOOKUP(R107,'1_Presupuesto'!$E:$E,'1_Presupuesto'!$D:$D),"")</f>
        <v>Homigón MO</v>
      </c>
    </row>
    <row r="108" spans="1:19" ht="15" customHeight="1" x14ac:dyDescent="0.35">
      <c r="A108" s="222" t="s">
        <v>963</v>
      </c>
      <c r="B108" s="222" t="s">
        <v>639</v>
      </c>
      <c r="C108" s="222" t="s">
        <v>646</v>
      </c>
      <c r="D108" s="222" t="s">
        <v>683</v>
      </c>
      <c r="E108" s="222" t="s">
        <v>684</v>
      </c>
      <c r="F108" s="222" t="s">
        <v>643</v>
      </c>
      <c r="G108" s="223">
        <v>2.4858201100000001</v>
      </c>
      <c r="H108" s="222">
        <v>0</v>
      </c>
      <c r="I108" s="224">
        <v>65360.25</v>
      </c>
      <c r="J108" s="224">
        <v>162473.82384462751</v>
      </c>
      <c r="K108" s="222" t="s">
        <v>968</v>
      </c>
      <c r="L108" s="222">
        <v>2</v>
      </c>
      <c r="M108" s="222" t="s">
        <v>970</v>
      </c>
      <c r="N108" s="222">
        <v>1</v>
      </c>
      <c r="O108" s="222">
        <v>2.4858201100000001</v>
      </c>
      <c r="P108" s="225">
        <v>28</v>
      </c>
      <c r="Q108" s="224">
        <v>69.602963079999995</v>
      </c>
      <c r="R108" s="222">
        <v>3.09</v>
      </c>
      <c r="S108" s="226" t="str">
        <f>IFERROR(_xlfn.XLOOKUP(R108,'1_Presupuesto'!$E:$E,'1_Presupuesto'!$D:$D),"")</f>
        <v>Homigón MO</v>
      </c>
    </row>
    <row r="109" spans="1:19" ht="15" customHeight="1" x14ac:dyDescent="0.35">
      <c r="A109" s="222" t="s">
        <v>963</v>
      </c>
      <c r="B109" s="222" t="s">
        <v>639</v>
      </c>
      <c r="C109" s="222" t="s">
        <v>646</v>
      </c>
      <c r="D109" s="222" t="s">
        <v>647</v>
      </c>
      <c r="E109" s="222" t="s">
        <v>648</v>
      </c>
      <c r="F109" s="222" t="s">
        <v>643</v>
      </c>
      <c r="G109" s="223">
        <v>5.9186000000000002E-2</v>
      </c>
      <c r="H109" s="222">
        <v>0</v>
      </c>
      <c r="I109" s="224">
        <v>49934.239999999998</v>
      </c>
      <c r="J109" s="224">
        <v>2955.4079286400001</v>
      </c>
      <c r="K109" s="222" t="s">
        <v>968</v>
      </c>
      <c r="L109" s="222">
        <v>3</v>
      </c>
      <c r="M109" s="222" t="s">
        <v>971</v>
      </c>
      <c r="N109" s="222">
        <v>1</v>
      </c>
      <c r="O109" s="222">
        <v>5.9186000000000002E-2</v>
      </c>
      <c r="P109" s="225">
        <v>28</v>
      </c>
      <c r="Q109" s="224">
        <v>1.657208</v>
      </c>
      <c r="R109" s="222">
        <v>3.09</v>
      </c>
      <c r="S109" s="226" t="str">
        <f>IFERROR(_xlfn.XLOOKUP(R109,'1_Presupuesto'!$E:$E,'1_Presupuesto'!$D:$D),"")</f>
        <v>Homigón MO</v>
      </c>
    </row>
    <row r="110" spans="1:19" ht="15" customHeight="1" x14ac:dyDescent="0.35">
      <c r="A110" s="222" t="s">
        <v>963</v>
      </c>
      <c r="B110" s="222" t="s">
        <v>13</v>
      </c>
      <c r="C110" s="222"/>
      <c r="D110" s="222" t="s">
        <v>972</v>
      </c>
      <c r="E110" s="222" t="s">
        <v>973</v>
      </c>
      <c r="F110" s="222"/>
      <c r="G110" s="223">
        <v>1</v>
      </c>
      <c r="H110" s="222">
        <v>0</v>
      </c>
      <c r="I110" s="224">
        <v>5678.0046000000002</v>
      </c>
      <c r="J110" s="224">
        <v>5678.0046000000002</v>
      </c>
      <c r="K110" s="222" t="s">
        <v>974</v>
      </c>
      <c r="L110" s="222">
        <v>1</v>
      </c>
      <c r="M110" s="222" t="s">
        <v>975</v>
      </c>
      <c r="N110" s="222">
        <v>1</v>
      </c>
      <c r="O110" s="222">
        <v>0</v>
      </c>
      <c r="P110" s="225">
        <v>28</v>
      </c>
      <c r="Q110" s="224">
        <v>0</v>
      </c>
      <c r="R110" s="222">
        <v>3.09</v>
      </c>
      <c r="S110" s="226" t="str">
        <f>IFERROR(_xlfn.XLOOKUP(R110,'1_Presupuesto'!$E:$E,'1_Presupuesto'!$D:$D),"")</f>
        <v>Homigón MO</v>
      </c>
    </row>
    <row r="111" spans="1:19" ht="15" customHeight="1" x14ac:dyDescent="0.35">
      <c r="A111" s="222" t="s">
        <v>976</v>
      </c>
      <c r="B111" s="222" t="s">
        <v>654</v>
      </c>
      <c r="C111" s="222" t="s">
        <v>640</v>
      </c>
      <c r="D111" s="222" t="s">
        <v>977</v>
      </c>
      <c r="E111" s="222" t="s">
        <v>978</v>
      </c>
      <c r="F111" s="222"/>
      <c r="G111" s="223">
        <v>1</v>
      </c>
      <c r="H111" s="222">
        <v>0</v>
      </c>
      <c r="I111" s="224">
        <v>60951.378700000001</v>
      </c>
      <c r="J111" s="224">
        <v>60951.378700000001</v>
      </c>
      <c r="K111" s="222" t="s">
        <v>979</v>
      </c>
      <c r="L111" s="222">
        <v>1</v>
      </c>
      <c r="M111" s="222" t="s">
        <v>980</v>
      </c>
      <c r="N111" s="222">
        <v>1</v>
      </c>
      <c r="O111" s="222">
        <v>0</v>
      </c>
      <c r="P111" s="225">
        <v>54</v>
      </c>
      <c r="Q111" s="224">
        <v>0</v>
      </c>
      <c r="R111" s="222">
        <v>3.1</v>
      </c>
      <c r="S111" s="226" t="str">
        <f>IFERROR(_xlfn.XLOOKUP(R111,'1_Presupuesto'!$E:$E,'1_Presupuesto'!$D:$D),"")</f>
        <v>Homigón MO</v>
      </c>
    </row>
    <row r="112" spans="1:19" ht="15" customHeight="1" x14ac:dyDescent="0.35">
      <c r="A112" s="222" t="s">
        <v>976</v>
      </c>
      <c r="B112" s="222" t="s">
        <v>639</v>
      </c>
      <c r="C112" s="222" t="s">
        <v>646</v>
      </c>
      <c r="D112" s="222" t="s">
        <v>723</v>
      </c>
      <c r="E112" s="222" t="s">
        <v>724</v>
      </c>
      <c r="F112" s="222" t="s">
        <v>643</v>
      </c>
      <c r="G112" s="223">
        <v>1.7427466</v>
      </c>
      <c r="H112" s="222">
        <v>0</v>
      </c>
      <c r="I112" s="224">
        <v>75113.05</v>
      </c>
      <c r="J112" s="224">
        <v>130903.01250313</v>
      </c>
      <c r="K112" s="222" t="s">
        <v>981</v>
      </c>
      <c r="L112" s="222">
        <v>1</v>
      </c>
      <c r="M112" s="222" t="s">
        <v>982</v>
      </c>
      <c r="N112" s="222">
        <v>1</v>
      </c>
      <c r="O112" s="222">
        <v>1.7427466</v>
      </c>
      <c r="P112" s="225">
        <v>54</v>
      </c>
      <c r="Q112" s="224">
        <v>94.108316400000007</v>
      </c>
      <c r="R112" s="222">
        <v>3.1</v>
      </c>
      <c r="S112" s="226" t="str">
        <f>IFERROR(_xlfn.XLOOKUP(R112,'1_Presupuesto'!$E:$E,'1_Presupuesto'!$D:$D),"")</f>
        <v>Homigón MO</v>
      </c>
    </row>
    <row r="113" spans="1:19" ht="15" customHeight="1" x14ac:dyDescent="0.35">
      <c r="A113" s="222" t="s">
        <v>976</v>
      </c>
      <c r="B113" s="222" t="s">
        <v>639</v>
      </c>
      <c r="C113" s="222" t="s">
        <v>646</v>
      </c>
      <c r="D113" s="222" t="s">
        <v>683</v>
      </c>
      <c r="E113" s="222" t="s">
        <v>684</v>
      </c>
      <c r="F113" s="222" t="s">
        <v>643</v>
      </c>
      <c r="G113" s="223">
        <v>2.1528045100000002</v>
      </c>
      <c r="H113" s="222">
        <v>0</v>
      </c>
      <c r="I113" s="224">
        <v>65360.25</v>
      </c>
      <c r="J113" s="224">
        <v>140707.8409747275</v>
      </c>
      <c r="K113" s="222" t="s">
        <v>981</v>
      </c>
      <c r="L113" s="222">
        <v>2</v>
      </c>
      <c r="M113" s="222" t="s">
        <v>983</v>
      </c>
      <c r="N113" s="222">
        <v>1</v>
      </c>
      <c r="O113" s="222">
        <v>2.1528045100000002</v>
      </c>
      <c r="P113" s="225">
        <v>54</v>
      </c>
      <c r="Q113" s="224">
        <v>116.25144354</v>
      </c>
      <c r="R113" s="222">
        <v>3.1</v>
      </c>
      <c r="S113" s="226" t="str">
        <f>IFERROR(_xlfn.XLOOKUP(R113,'1_Presupuesto'!$E:$E,'1_Presupuesto'!$D:$D),"")</f>
        <v>Homigón MO</v>
      </c>
    </row>
    <row r="114" spans="1:19" ht="15" customHeight="1" x14ac:dyDescent="0.35">
      <c r="A114" s="222" t="s">
        <v>976</v>
      </c>
      <c r="B114" s="222" t="s">
        <v>639</v>
      </c>
      <c r="C114" s="222" t="s">
        <v>646</v>
      </c>
      <c r="D114" s="222" t="s">
        <v>647</v>
      </c>
      <c r="E114" s="222" t="s">
        <v>648</v>
      </c>
      <c r="F114" s="222" t="s">
        <v>643</v>
      </c>
      <c r="G114" s="223">
        <v>4.1005989999999999E-2</v>
      </c>
      <c r="H114" s="222">
        <v>0</v>
      </c>
      <c r="I114" s="224">
        <v>49934.239999999998</v>
      </c>
      <c r="J114" s="224">
        <v>2047.6029460975999</v>
      </c>
      <c r="K114" s="222" t="s">
        <v>981</v>
      </c>
      <c r="L114" s="222">
        <v>3</v>
      </c>
      <c r="M114" s="222" t="s">
        <v>984</v>
      </c>
      <c r="N114" s="222">
        <v>1</v>
      </c>
      <c r="O114" s="222">
        <v>4.1005989999999999E-2</v>
      </c>
      <c r="P114" s="225">
        <v>54</v>
      </c>
      <c r="Q114" s="224">
        <v>2.2143234600000001</v>
      </c>
      <c r="R114" s="222">
        <v>3.1</v>
      </c>
      <c r="S114" s="226" t="str">
        <f>IFERROR(_xlfn.XLOOKUP(R114,'1_Presupuesto'!$E:$E,'1_Presupuesto'!$D:$D),"")</f>
        <v>Homigón MO</v>
      </c>
    </row>
    <row r="115" spans="1:19" ht="15" customHeight="1" x14ac:dyDescent="0.35">
      <c r="A115" s="222" t="s">
        <v>976</v>
      </c>
      <c r="B115" s="222" t="s">
        <v>13</v>
      </c>
      <c r="C115" s="222"/>
      <c r="D115" s="222" t="s">
        <v>985</v>
      </c>
      <c r="E115" s="222" t="s">
        <v>986</v>
      </c>
      <c r="F115" s="222"/>
      <c r="G115" s="223">
        <v>1</v>
      </c>
      <c r="H115" s="222">
        <v>0</v>
      </c>
      <c r="I115" s="224">
        <v>5019.1473999999998</v>
      </c>
      <c r="J115" s="224">
        <v>5019.1473999999998</v>
      </c>
      <c r="K115" s="222" t="s">
        <v>987</v>
      </c>
      <c r="L115" s="222">
        <v>1</v>
      </c>
      <c r="M115" s="222" t="s">
        <v>988</v>
      </c>
      <c r="N115" s="222">
        <v>1</v>
      </c>
      <c r="O115" s="222">
        <v>0</v>
      </c>
      <c r="P115" s="225">
        <v>54</v>
      </c>
      <c r="Q115" s="224">
        <v>0</v>
      </c>
      <c r="R115" s="222">
        <v>3.1</v>
      </c>
      <c r="S115" s="226" t="str">
        <f>IFERROR(_xlfn.XLOOKUP(R115,'1_Presupuesto'!$E:$E,'1_Presupuesto'!$D:$D),"")</f>
        <v>Homigón MO</v>
      </c>
    </row>
    <row r="116" spans="1:19" ht="15" customHeight="1" x14ac:dyDescent="0.35">
      <c r="A116" s="222" t="s">
        <v>989</v>
      </c>
      <c r="B116" s="222" t="s">
        <v>654</v>
      </c>
      <c r="C116" s="222" t="s">
        <v>640</v>
      </c>
      <c r="D116" s="222" t="s">
        <v>990</v>
      </c>
      <c r="E116" s="222" t="s">
        <v>991</v>
      </c>
      <c r="F116" s="222"/>
      <c r="G116" s="223">
        <v>1</v>
      </c>
      <c r="H116" s="222">
        <v>0</v>
      </c>
      <c r="I116" s="224">
        <v>68185.040999999997</v>
      </c>
      <c r="J116" s="224">
        <v>68185.040999999997</v>
      </c>
      <c r="K116" s="222" t="s">
        <v>992</v>
      </c>
      <c r="L116" s="222">
        <v>1</v>
      </c>
      <c r="M116" s="222" t="s">
        <v>993</v>
      </c>
      <c r="N116" s="222">
        <v>1</v>
      </c>
      <c r="O116" s="222">
        <v>0</v>
      </c>
      <c r="P116" s="225">
        <v>11</v>
      </c>
      <c r="Q116" s="224">
        <v>0</v>
      </c>
      <c r="R116" s="222">
        <v>3.11</v>
      </c>
      <c r="S116" s="226" t="str">
        <f>IFERROR(_xlfn.XLOOKUP(R116,'1_Presupuesto'!$E:$E,'1_Presupuesto'!$D:$D),"")</f>
        <v>Homigón MO</v>
      </c>
    </row>
    <row r="117" spans="1:19" ht="15" customHeight="1" x14ac:dyDescent="0.35">
      <c r="A117" s="222" t="s">
        <v>989</v>
      </c>
      <c r="B117" s="222" t="s">
        <v>639</v>
      </c>
      <c r="C117" s="222" t="s">
        <v>646</v>
      </c>
      <c r="D117" s="222" t="s">
        <v>723</v>
      </c>
      <c r="E117" s="222" t="s">
        <v>724</v>
      </c>
      <c r="F117" s="222" t="s">
        <v>643</v>
      </c>
      <c r="G117" s="223">
        <v>3.6292681600000001</v>
      </c>
      <c r="H117" s="222">
        <v>0</v>
      </c>
      <c r="I117" s="224">
        <v>75113.05</v>
      </c>
      <c r="J117" s="224">
        <v>272605.40076548798</v>
      </c>
      <c r="K117" s="222" t="s">
        <v>994</v>
      </c>
      <c r="L117" s="222">
        <v>1</v>
      </c>
      <c r="M117" s="222" t="s">
        <v>995</v>
      </c>
      <c r="N117" s="222">
        <v>1</v>
      </c>
      <c r="O117" s="222">
        <v>3.6292681600000001</v>
      </c>
      <c r="P117" s="225">
        <v>11</v>
      </c>
      <c r="Q117" s="224">
        <v>39.921949759999997</v>
      </c>
      <c r="R117" s="222">
        <v>3.11</v>
      </c>
      <c r="S117" s="226" t="str">
        <f>IFERROR(_xlfn.XLOOKUP(R117,'1_Presupuesto'!$E:$E,'1_Presupuesto'!$D:$D),"")</f>
        <v>Homigón MO</v>
      </c>
    </row>
    <row r="118" spans="1:19" ht="15" customHeight="1" x14ac:dyDescent="0.35">
      <c r="A118" s="222" t="s">
        <v>989</v>
      </c>
      <c r="B118" s="222" t="s">
        <v>639</v>
      </c>
      <c r="C118" s="222" t="s">
        <v>646</v>
      </c>
      <c r="D118" s="222" t="s">
        <v>683</v>
      </c>
      <c r="E118" s="222" t="s">
        <v>684</v>
      </c>
      <c r="F118" s="222" t="s">
        <v>643</v>
      </c>
      <c r="G118" s="223">
        <v>0.11707301000000001</v>
      </c>
      <c r="H118" s="222">
        <v>0</v>
      </c>
      <c r="I118" s="224">
        <v>65360.25</v>
      </c>
      <c r="J118" s="224">
        <v>7651.9212018525004</v>
      </c>
      <c r="K118" s="222" t="s">
        <v>994</v>
      </c>
      <c r="L118" s="222">
        <v>2</v>
      </c>
      <c r="M118" s="222" t="s">
        <v>996</v>
      </c>
      <c r="N118" s="222">
        <v>1</v>
      </c>
      <c r="O118" s="222">
        <v>0.11707301000000001</v>
      </c>
      <c r="P118" s="225">
        <v>11</v>
      </c>
      <c r="Q118" s="224">
        <v>1.28780311</v>
      </c>
      <c r="R118" s="222">
        <v>3.11</v>
      </c>
      <c r="S118" s="226" t="str">
        <f>IFERROR(_xlfn.XLOOKUP(R118,'1_Presupuesto'!$E:$E,'1_Presupuesto'!$D:$D),"")</f>
        <v>Homigón MO</v>
      </c>
    </row>
    <row r="119" spans="1:19" ht="15" customHeight="1" x14ac:dyDescent="0.35">
      <c r="A119" s="222" t="s">
        <v>989</v>
      </c>
      <c r="B119" s="222" t="s">
        <v>639</v>
      </c>
      <c r="C119" s="222" t="s">
        <v>646</v>
      </c>
      <c r="D119" s="222" t="s">
        <v>647</v>
      </c>
      <c r="E119" s="222" t="s">
        <v>648</v>
      </c>
      <c r="F119" s="222" t="s">
        <v>643</v>
      </c>
      <c r="G119" s="223">
        <v>5.8536999999999999E-2</v>
      </c>
      <c r="H119" s="222">
        <v>0</v>
      </c>
      <c r="I119" s="224">
        <v>49934.239999999998</v>
      </c>
      <c r="J119" s="224">
        <v>2923.0006068799999</v>
      </c>
      <c r="K119" s="222" t="s">
        <v>994</v>
      </c>
      <c r="L119" s="222">
        <v>3</v>
      </c>
      <c r="M119" s="222" t="s">
        <v>997</v>
      </c>
      <c r="N119" s="222">
        <v>1</v>
      </c>
      <c r="O119" s="222">
        <v>5.8536999999999999E-2</v>
      </c>
      <c r="P119" s="225">
        <v>11</v>
      </c>
      <c r="Q119" s="224">
        <v>0.64390700000000001</v>
      </c>
      <c r="R119" s="222">
        <v>3.11</v>
      </c>
      <c r="S119" s="226" t="str">
        <f>IFERROR(_xlfn.XLOOKUP(R119,'1_Presupuesto'!$E:$E,'1_Presupuesto'!$D:$D),"")</f>
        <v>Homigón MO</v>
      </c>
    </row>
    <row r="120" spans="1:19" ht="15" customHeight="1" x14ac:dyDescent="0.35">
      <c r="A120" s="222" t="s">
        <v>989</v>
      </c>
      <c r="B120" s="222" t="s">
        <v>13</v>
      </c>
      <c r="C120" s="222"/>
      <c r="D120" s="222" t="s">
        <v>998</v>
      </c>
      <c r="E120" s="222" t="s">
        <v>999</v>
      </c>
      <c r="F120" s="222"/>
      <c r="G120" s="223">
        <v>1</v>
      </c>
      <c r="H120" s="222">
        <v>0</v>
      </c>
      <c r="I120" s="224">
        <v>5270.4803000000002</v>
      </c>
      <c r="J120" s="224">
        <v>5270.4803000000002</v>
      </c>
      <c r="K120" s="222" t="s">
        <v>1000</v>
      </c>
      <c r="L120" s="222">
        <v>1</v>
      </c>
      <c r="M120" s="222" t="s">
        <v>1001</v>
      </c>
      <c r="N120" s="222">
        <v>1</v>
      </c>
      <c r="O120" s="222">
        <v>0</v>
      </c>
      <c r="P120" s="225">
        <v>11</v>
      </c>
      <c r="Q120" s="224">
        <v>0</v>
      </c>
      <c r="R120" s="222">
        <v>3.11</v>
      </c>
      <c r="S120" s="226" t="str">
        <f>IFERROR(_xlfn.XLOOKUP(R120,'1_Presupuesto'!$E:$E,'1_Presupuesto'!$D:$D),"")</f>
        <v>Homigón MO</v>
      </c>
    </row>
    <row r="121" spans="1:19" ht="15" customHeight="1" x14ac:dyDescent="0.35">
      <c r="A121" s="222" t="s">
        <v>1002</v>
      </c>
      <c r="B121" s="222" t="s">
        <v>654</v>
      </c>
      <c r="C121" s="222" t="s">
        <v>640</v>
      </c>
      <c r="D121" s="222" t="s">
        <v>964</v>
      </c>
      <c r="E121" s="222" t="s">
        <v>965</v>
      </c>
      <c r="F121" s="222"/>
      <c r="G121" s="223">
        <v>1</v>
      </c>
      <c r="H121" s="222">
        <v>0</v>
      </c>
      <c r="I121" s="224">
        <v>70843.445699999997</v>
      </c>
      <c r="J121" s="224">
        <v>70843.445699999997</v>
      </c>
      <c r="K121" s="222" t="s">
        <v>1003</v>
      </c>
      <c r="L121" s="222">
        <v>1</v>
      </c>
      <c r="M121" s="222" t="s">
        <v>1004</v>
      </c>
      <c r="N121" s="222">
        <v>1</v>
      </c>
      <c r="O121" s="222">
        <v>0</v>
      </c>
      <c r="P121" s="225">
        <v>3</v>
      </c>
      <c r="Q121" s="224">
        <v>0</v>
      </c>
      <c r="R121" s="222">
        <v>3.12</v>
      </c>
      <c r="S121" s="226" t="str">
        <f>IFERROR(_xlfn.XLOOKUP(R121,'1_Presupuesto'!$E:$E,'1_Presupuesto'!$D:$D),"")</f>
        <v>Homigón MO</v>
      </c>
    </row>
    <row r="122" spans="1:19" ht="15" customHeight="1" x14ac:dyDescent="0.35">
      <c r="A122" s="222" t="s">
        <v>1002</v>
      </c>
      <c r="B122" s="222" t="s">
        <v>639</v>
      </c>
      <c r="C122" s="222" t="s">
        <v>646</v>
      </c>
      <c r="D122" s="222" t="s">
        <v>723</v>
      </c>
      <c r="E122" s="222" t="s">
        <v>724</v>
      </c>
      <c r="F122" s="222" t="s">
        <v>643</v>
      </c>
      <c r="G122" s="223">
        <v>1.89395808</v>
      </c>
      <c r="H122" s="222">
        <v>0</v>
      </c>
      <c r="I122" s="224">
        <v>75113.05</v>
      </c>
      <c r="J122" s="224">
        <v>142260.96796094399</v>
      </c>
      <c r="K122" s="222" t="s">
        <v>1005</v>
      </c>
      <c r="L122" s="222">
        <v>1</v>
      </c>
      <c r="M122" s="222" t="s">
        <v>1006</v>
      </c>
      <c r="N122" s="222">
        <v>1</v>
      </c>
      <c r="O122" s="222">
        <v>1.89395808</v>
      </c>
      <c r="P122" s="225">
        <v>3</v>
      </c>
      <c r="Q122" s="224">
        <v>5.68187424</v>
      </c>
      <c r="R122" s="222">
        <v>3.12</v>
      </c>
      <c r="S122" s="226" t="str">
        <f>IFERROR(_xlfn.XLOOKUP(R122,'1_Presupuesto'!$E:$E,'1_Presupuesto'!$D:$D),"")</f>
        <v>Homigón MO</v>
      </c>
    </row>
    <row r="123" spans="1:19" ht="15" customHeight="1" x14ac:dyDescent="0.35">
      <c r="A123" s="222" t="s">
        <v>1002</v>
      </c>
      <c r="B123" s="222" t="s">
        <v>639</v>
      </c>
      <c r="C123" s="222" t="s">
        <v>646</v>
      </c>
      <c r="D123" s="222" t="s">
        <v>683</v>
      </c>
      <c r="E123" s="222" t="s">
        <v>684</v>
      </c>
      <c r="F123" s="222" t="s">
        <v>643</v>
      </c>
      <c r="G123" s="223">
        <v>2.4858201100000001</v>
      </c>
      <c r="H123" s="222">
        <v>0</v>
      </c>
      <c r="I123" s="224">
        <v>65360.25</v>
      </c>
      <c r="J123" s="224">
        <v>162473.82384462751</v>
      </c>
      <c r="K123" s="222" t="s">
        <v>1005</v>
      </c>
      <c r="L123" s="222">
        <v>2</v>
      </c>
      <c r="M123" s="222" t="s">
        <v>1007</v>
      </c>
      <c r="N123" s="222">
        <v>1</v>
      </c>
      <c r="O123" s="222">
        <v>2.4858201100000001</v>
      </c>
      <c r="P123" s="225">
        <v>3</v>
      </c>
      <c r="Q123" s="224">
        <v>7.45746033</v>
      </c>
      <c r="R123" s="222">
        <v>3.12</v>
      </c>
      <c r="S123" s="226" t="str">
        <f>IFERROR(_xlfn.XLOOKUP(R123,'1_Presupuesto'!$E:$E,'1_Presupuesto'!$D:$D),"")</f>
        <v>Homigón MO</v>
      </c>
    </row>
    <row r="124" spans="1:19" ht="15" customHeight="1" x14ac:dyDescent="0.35">
      <c r="A124" s="222" t="s">
        <v>1002</v>
      </c>
      <c r="B124" s="222" t="s">
        <v>639</v>
      </c>
      <c r="C124" s="222" t="s">
        <v>646</v>
      </c>
      <c r="D124" s="222" t="s">
        <v>647</v>
      </c>
      <c r="E124" s="222" t="s">
        <v>648</v>
      </c>
      <c r="F124" s="222" t="s">
        <v>643</v>
      </c>
      <c r="G124" s="223">
        <v>5.9186000000000002E-2</v>
      </c>
      <c r="H124" s="222">
        <v>0</v>
      </c>
      <c r="I124" s="224">
        <v>49934.239999999998</v>
      </c>
      <c r="J124" s="224">
        <v>2955.4079286400001</v>
      </c>
      <c r="K124" s="222" t="s">
        <v>1005</v>
      </c>
      <c r="L124" s="222">
        <v>3</v>
      </c>
      <c r="M124" s="222" t="s">
        <v>1008</v>
      </c>
      <c r="N124" s="222">
        <v>1</v>
      </c>
      <c r="O124" s="222">
        <v>5.9186000000000002E-2</v>
      </c>
      <c r="P124" s="225">
        <v>3</v>
      </c>
      <c r="Q124" s="224">
        <v>0.17755799999999999</v>
      </c>
      <c r="R124" s="222">
        <v>3.12</v>
      </c>
      <c r="S124" s="226" t="str">
        <f>IFERROR(_xlfn.XLOOKUP(R124,'1_Presupuesto'!$E:$E,'1_Presupuesto'!$D:$D),"")</f>
        <v>Homigón MO</v>
      </c>
    </row>
    <row r="125" spans="1:19" ht="15" customHeight="1" x14ac:dyDescent="0.35">
      <c r="A125" s="222" t="s">
        <v>1002</v>
      </c>
      <c r="B125" s="222" t="s">
        <v>13</v>
      </c>
      <c r="C125" s="222"/>
      <c r="D125" s="222" t="s">
        <v>1009</v>
      </c>
      <c r="E125" s="222" t="s">
        <v>1010</v>
      </c>
      <c r="F125" s="222"/>
      <c r="G125" s="223">
        <v>1</v>
      </c>
      <c r="H125" s="222">
        <v>0</v>
      </c>
      <c r="I125" s="224">
        <v>5678.0046000000002</v>
      </c>
      <c r="J125" s="224">
        <v>5678.0046000000002</v>
      </c>
      <c r="K125" s="222" t="s">
        <v>1011</v>
      </c>
      <c r="L125" s="222">
        <v>1</v>
      </c>
      <c r="M125" s="222" t="s">
        <v>1012</v>
      </c>
      <c r="N125" s="222">
        <v>1</v>
      </c>
      <c r="O125" s="222">
        <v>0</v>
      </c>
      <c r="P125" s="225">
        <v>3</v>
      </c>
      <c r="Q125" s="224">
        <v>0</v>
      </c>
      <c r="R125" s="222">
        <v>3.12</v>
      </c>
      <c r="S125" s="226" t="str">
        <f>IFERROR(_xlfn.XLOOKUP(R125,'1_Presupuesto'!$E:$E,'1_Presupuesto'!$D:$D),"")</f>
        <v>Homigón MO</v>
      </c>
    </row>
    <row r="126" spans="1:19" ht="15" customHeight="1" x14ac:dyDescent="0.35">
      <c r="A126" s="222" t="s">
        <v>1013</v>
      </c>
      <c r="B126" s="222" t="s">
        <v>654</v>
      </c>
      <c r="C126" s="222" t="s">
        <v>640</v>
      </c>
      <c r="D126" s="222" t="s">
        <v>1014</v>
      </c>
      <c r="E126" s="222" t="s">
        <v>1015</v>
      </c>
      <c r="F126" s="222"/>
      <c r="G126" s="223">
        <v>1</v>
      </c>
      <c r="H126" s="222">
        <v>0</v>
      </c>
      <c r="I126" s="224">
        <v>24772.727299999999</v>
      </c>
      <c r="J126" s="224">
        <v>24772.727299999999</v>
      </c>
      <c r="K126" s="222" t="s">
        <v>1016</v>
      </c>
      <c r="L126" s="222">
        <v>1</v>
      </c>
      <c r="M126" s="222" t="s">
        <v>1017</v>
      </c>
      <c r="N126" s="222">
        <v>1</v>
      </c>
      <c r="O126" s="222">
        <v>0</v>
      </c>
      <c r="P126" s="225">
        <v>240</v>
      </c>
      <c r="Q126" s="224">
        <v>0</v>
      </c>
      <c r="R126" s="222">
        <v>3.13</v>
      </c>
      <c r="S126" s="226" t="str">
        <f>IFERROR(_xlfn.XLOOKUP(R126,'1_Presupuesto'!$E:$E,'1_Presupuesto'!$D:$D),"")</f>
        <v>-</v>
      </c>
    </row>
    <row r="127" spans="1:19" ht="15" customHeight="1" x14ac:dyDescent="0.35">
      <c r="A127" s="222" t="s">
        <v>1018</v>
      </c>
      <c r="B127" s="222" t="s">
        <v>13</v>
      </c>
      <c r="C127" s="222"/>
      <c r="D127" s="222" t="s">
        <v>1019</v>
      </c>
      <c r="E127" s="222" t="s">
        <v>1020</v>
      </c>
      <c r="F127" s="222"/>
      <c r="G127" s="223">
        <v>1</v>
      </c>
      <c r="H127" s="222">
        <v>0</v>
      </c>
      <c r="I127" s="224">
        <v>8822750</v>
      </c>
      <c r="J127" s="224">
        <v>8822750</v>
      </c>
      <c r="K127" s="222" t="s">
        <v>1021</v>
      </c>
      <c r="L127" s="222">
        <v>1</v>
      </c>
      <c r="M127" s="222" t="s">
        <v>1022</v>
      </c>
      <c r="N127" s="222">
        <v>1</v>
      </c>
      <c r="O127" s="222">
        <v>0</v>
      </c>
      <c r="P127" s="225">
        <v>1</v>
      </c>
      <c r="Q127" s="224">
        <v>0</v>
      </c>
      <c r="R127" s="222">
        <v>3.14</v>
      </c>
      <c r="S127" s="226" t="str">
        <f>IFERROR(_xlfn.XLOOKUP(R127,'1_Presupuesto'!$E:$E,'1_Presupuesto'!$D:$D),"")</f>
        <v>-</v>
      </c>
    </row>
    <row r="128" spans="1:19" ht="15" customHeight="1" x14ac:dyDescent="0.35">
      <c r="A128" s="222" t="s">
        <v>1023</v>
      </c>
      <c r="B128" s="222" t="s">
        <v>654</v>
      </c>
      <c r="C128" s="222" t="s">
        <v>640</v>
      </c>
      <c r="D128" s="222" t="s">
        <v>1024</v>
      </c>
      <c r="E128" s="222" t="s">
        <v>65</v>
      </c>
      <c r="F128" s="222"/>
      <c r="G128" s="223">
        <v>1</v>
      </c>
      <c r="H128" s="222">
        <v>0</v>
      </c>
      <c r="I128" s="224">
        <v>123492.85709999999</v>
      </c>
      <c r="J128" s="224">
        <v>123492.85709999999</v>
      </c>
      <c r="K128" s="222" t="s">
        <v>1025</v>
      </c>
      <c r="L128" s="222">
        <v>1</v>
      </c>
      <c r="M128" s="222" t="s">
        <v>1026</v>
      </c>
      <c r="N128" s="222">
        <v>1</v>
      </c>
      <c r="O128" s="222">
        <v>0</v>
      </c>
      <c r="P128" s="225">
        <v>14</v>
      </c>
      <c r="Q128" s="224">
        <v>0</v>
      </c>
      <c r="R128" s="222">
        <v>3.15</v>
      </c>
      <c r="S128" s="226" t="str">
        <f>IFERROR(_xlfn.XLOOKUP(R128,'1_Presupuesto'!$E:$E,'1_Presupuesto'!$D:$D),"")</f>
        <v>-</v>
      </c>
    </row>
    <row r="129" spans="1:19" ht="15" customHeight="1" x14ac:dyDescent="0.35">
      <c r="A129" s="222" t="s">
        <v>1027</v>
      </c>
      <c r="B129" s="222" t="s">
        <v>654</v>
      </c>
      <c r="C129" s="222" t="s">
        <v>640</v>
      </c>
      <c r="D129" s="222" t="s">
        <v>1028</v>
      </c>
      <c r="E129" s="222" t="s">
        <v>67</v>
      </c>
      <c r="F129" s="222"/>
      <c r="G129" s="223">
        <v>1</v>
      </c>
      <c r="H129" s="222">
        <v>0</v>
      </c>
      <c r="I129" s="224">
        <v>55000</v>
      </c>
      <c r="J129" s="224">
        <v>55000</v>
      </c>
      <c r="K129" s="222" t="s">
        <v>1029</v>
      </c>
      <c r="L129" s="222">
        <v>1</v>
      </c>
      <c r="M129" s="222" t="s">
        <v>1030</v>
      </c>
      <c r="N129" s="222">
        <v>1</v>
      </c>
      <c r="O129" s="222">
        <v>0</v>
      </c>
      <c r="P129" s="225">
        <v>4</v>
      </c>
      <c r="Q129" s="224">
        <v>0</v>
      </c>
      <c r="R129" s="222">
        <v>3.16</v>
      </c>
      <c r="S129" s="226" t="str">
        <f>IFERROR(_xlfn.XLOOKUP(R129,'1_Presupuesto'!$E:$E,'1_Presupuesto'!$D:$D),"")</f>
        <v>-</v>
      </c>
    </row>
    <row r="130" spans="1:19" ht="15" customHeight="1" x14ac:dyDescent="0.35">
      <c r="A130" s="222" t="s">
        <v>1031</v>
      </c>
      <c r="B130" s="222" t="s">
        <v>654</v>
      </c>
      <c r="C130" s="222" t="s">
        <v>640</v>
      </c>
      <c r="D130" s="222" t="s">
        <v>1032</v>
      </c>
      <c r="E130" s="222" t="s">
        <v>85</v>
      </c>
      <c r="F130" s="222"/>
      <c r="G130" s="223">
        <v>4.301075E-2</v>
      </c>
      <c r="H130" s="222">
        <v>0</v>
      </c>
      <c r="I130" s="224">
        <v>80000</v>
      </c>
      <c r="J130" s="224">
        <v>3440.86</v>
      </c>
      <c r="K130" s="222" t="s">
        <v>1033</v>
      </c>
      <c r="L130" s="222">
        <v>1</v>
      </c>
      <c r="M130" s="222" t="s">
        <v>1034</v>
      </c>
      <c r="N130" s="222">
        <v>1</v>
      </c>
      <c r="O130" s="222">
        <v>0</v>
      </c>
      <c r="P130" s="225">
        <v>93</v>
      </c>
      <c r="Q130" s="224">
        <v>0</v>
      </c>
      <c r="R130" s="222">
        <v>3.17</v>
      </c>
      <c r="S130" s="226" t="str">
        <f>IFERROR(_xlfn.XLOOKUP(R130,'1_Presupuesto'!$E:$E,'1_Presupuesto'!$D:$D),"")</f>
        <v>Homigón MO</v>
      </c>
    </row>
    <row r="131" spans="1:19" ht="15" customHeight="1" x14ac:dyDescent="0.35">
      <c r="A131" s="222" t="s">
        <v>1031</v>
      </c>
      <c r="B131" s="222" t="s">
        <v>639</v>
      </c>
      <c r="C131" s="222" t="s">
        <v>646</v>
      </c>
      <c r="D131" s="222" t="s">
        <v>683</v>
      </c>
      <c r="E131" s="222" t="s">
        <v>684</v>
      </c>
      <c r="F131" s="222" t="s">
        <v>643</v>
      </c>
      <c r="G131" s="223">
        <v>8.6021509999999995E-2</v>
      </c>
      <c r="H131" s="222">
        <v>0</v>
      </c>
      <c r="I131" s="224">
        <v>65360.25</v>
      </c>
      <c r="J131" s="224">
        <v>5622.3873989774993</v>
      </c>
      <c r="K131" s="222" t="s">
        <v>1035</v>
      </c>
      <c r="L131" s="222">
        <v>1</v>
      </c>
      <c r="M131" s="222" t="s">
        <v>1036</v>
      </c>
      <c r="N131" s="222">
        <v>1</v>
      </c>
      <c r="O131" s="222">
        <v>8.6021509999999995E-2</v>
      </c>
      <c r="P131" s="225">
        <v>93</v>
      </c>
      <c r="Q131" s="224">
        <v>8.0000004300000001</v>
      </c>
      <c r="R131" s="222">
        <v>3.17</v>
      </c>
      <c r="S131" s="226" t="str">
        <f>IFERROR(_xlfn.XLOOKUP(R131,'1_Presupuesto'!$E:$E,'1_Presupuesto'!$D:$D),"")</f>
        <v>Homigón MO</v>
      </c>
    </row>
    <row r="132" spans="1:19" ht="15" customHeight="1" x14ac:dyDescent="0.35">
      <c r="A132" s="222" t="s">
        <v>1031</v>
      </c>
      <c r="B132" s="222" t="s">
        <v>639</v>
      </c>
      <c r="C132" s="222" t="s">
        <v>646</v>
      </c>
      <c r="D132" s="222" t="s">
        <v>647</v>
      </c>
      <c r="E132" s="222" t="s">
        <v>648</v>
      </c>
      <c r="F132" s="222" t="s">
        <v>643</v>
      </c>
      <c r="G132" s="223">
        <v>0.17204301</v>
      </c>
      <c r="H132" s="222">
        <v>0</v>
      </c>
      <c r="I132" s="224">
        <v>49934.239999999998</v>
      </c>
      <c r="J132" s="224">
        <v>8590.8369516623989</v>
      </c>
      <c r="K132" s="222" t="s">
        <v>1035</v>
      </c>
      <c r="L132" s="222">
        <v>2</v>
      </c>
      <c r="M132" s="222" t="s">
        <v>1037</v>
      </c>
      <c r="N132" s="222">
        <v>1</v>
      </c>
      <c r="O132" s="222">
        <v>0.17204301</v>
      </c>
      <c r="P132" s="225">
        <v>93</v>
      </c>
      <c r="Q132" s="224">
        <v>15.99999993</v>
      </c>
      <c r="R132" s="222">
        <v>3.17</v>
      </c>
      <c r="S132" s="226" t="str">
        <f>IFERROR(_xlfn.XLOOKUP(R132,'1_Presupuesto'!$E:$E,'1_Presupuesto'!$D:$D),"")</f>
        <v>Homigón MO</v>
      </c>
    </row>
    <row r="133" spans="1:19" ht="15" customHeight="1" x14ac:dyDescent="0.35">
      <c r="A133" s="222" t="s">
        <v>1031</v>
      </c>
      <c r="B133" s="222" t="s">
        <v>13</v>
      </c>
      <c r="C133" s="222"/>
      <c r="D133" s="222" t="s">
        <v>1038</v>
      </c>
      <c r="E133" s="222" t="s">
        <v>1039</v>
      </c>
      <c r="F133" s="222"/>
      <c r="G133" s="223">
        <v>1</v>
      </c>
      <c r="H133" s="222">
        <v>0</v>
      </c>
      <c r="I133" s="224">
        <v>289.00479999999999</v>
      </c>
      <c r="J133" s="224">
        <v>289.00479999999999</v>
      </c>
      <c r="K133" s="222" t="s">
        <v>1040</v>
      </c>
      <c r="L133" s="222">
        <v>1</v>
      </c>
      <c r="M133" s="222" t="s">
        <v>1041</v>
      </c>
      <c r="N133" s="222">
        <v>1</v>
      </c>
      <c r="O133" s="222">
        <v>0</v>
      </c>
      <c r="P133" s="225">
        <v>93</v>
      </c>
      <c r="Q133" s="224">
        <v>0</v>
      </c>
      <c r="R133" s="222">
        <v>3.17</v>
      </c>
      <c r="S133" s="226" t="str">
        <f>IFERROR(_xlfn.XLOOKUP(R133,'1_Presupuesto'!$E:$E,'1_Presupuesto'!$D:$D),"")</f>
        <v>Homigón MO</v>
      </c>
    </row>
    <row r="134" spans="1:19" ht="15" customHeight="1" x14ac:dyDescent="0.35">
      <c r="A134" s="222" t="s">
        <v>1031</v>
      </c>
      <c r="B134" s="222" t="s">
        <v>654</v>
      </c>
      <c r="C134" s="222" t="s">
        <v>655</v>
      </c>
      <c r="D134" s="222" t="s">
        <v>656</v>
      </c>
      <c r="E134" s="222" t="s">
        <v>657</v>
      </c>
      <c r="F134" s="222"/>
      <c r="G134" s="223">
        <v>1612.9034999999999</v>
      </c>
      <c r="H134" s="222">
        <v>0</v>
      </c>
      <c r="I134" s="224">
        <v>1</v>
      </c>
      <c r="J134" s="224">
        <v>1612.9034999999999</v>
      </c>
      <c r="K134" s="222" t="s">
        <v>1033</v>
      </c>
      <c r="L134" s="222">
        <v>2</v>
      </c>
      <c r="M134" s="222" t="s">
        <v>1042</v>
      </c>
      <c r="N134" s="222">
        <v>1</v>
      </c>
      <c r="O134" s="222">
        <v>0</v>
      </c>
      <c r="P134" s="225">
        <v>93</v>
      </c>
      <c r="Q134" s="224">
        <v>0</v>
      </c>
      <c r="R134" s="222">
        <v>3.17</v>
      </c>
      <c r="S134" s="226" t="str">
        <f>IFERROR(_xlfn.XLOOKUP(R134,'1_Presupuesto'!$E:$E,'1_Presupuesto'!$D:$D),"")</f>
        <v>Homigón MO</v>
      </c>
    </row>
    <row r="135" spans="1:19" ht="15" customHeight="1" x14ac:dyDescent="0.35">
      <c r="A135" s="222" t="s">
        <v>1043</v>
      </c>
      <c r="B135" s="222" t="s">
        <v>654</v>
      </c>
      <c r="C135" s="222" t="s">
        <v>719</v>
      </c>
      <c r="D135" s="222" t="s">
        <v>1044</v>
      </c>
      <c r="E135" s="222" t="s">
        <v>1045</v>
      </c>
      <c r="F135" s="222"/>
      <c r="G135" s="223">
        <v>14.99999991</v>
      </c>
      <c r="H135" s="222">
        <v>0.05</v>
      </c>
      <c r="I135" s="224">
        <v>292.32</v>
      </c>
      <c r="J135" s="224">
        <v>4604.03997237576</v>
      </c>
      <c r="K135" s="222" t="s">
        <v>1046</v>
      </c>
      <c r="L135" s="222">
        <v>1</v>
      </c>
      <c r="M135" s="222" t="s">
        <v>1047</v>
      </c>
      <c r="N135" s="222">
        <v>1</v>
      </c>
      <c r="O135" s="222">
        <v>0</v>
      </c>
      <c r="P135" s="225">
        <v>819</v>
      </c>
      <c r="Q135" s="224">
        <v>0</v>
      </c>
      <c r="R135" s="222">
        <v>4.01</v>
      </c>
      <c r="S135" s="226" t="str">
        <f>IFERROR(_xlfn.XLOOKUP(R135,'1_Presupuesto'!$E:$E,'1_Presupuesto'!$D:$D),"")</f>
        <v>Albañilería MO</v>
      </c>
    </row>
    <row r="136" spans="1:19" ht="15" customHeight="1" x14ac:dyDescent="0.35">
      <c r="A136" s="222" t="s">
        <v>1043</v>
      </c>
      <c r="B136" s="222" t="s">
        <v>654</v>
      </c>
      <c r="C136" s="222" t="s">
        <v>719</v>
      </c>
      <c r="D136" s="222" t="s">
        <v>1048</v>
      </c>
      <c r="E136" s="222" t="s">
        <v>1049</v>
      </c>
      <c r="F136" s="222"/>
      <c r="G136" s="223">
        <v>0.17</v>
      </c>
      <c r="H136" s="222">
        <v>0.1</v>
      </c>
      <c r="I136" s="224">
        <v>3611.22</v>
      </c>
      <c r="J136" s="224">
        <v>675.2981400000001</v>
      </c>
      <c r="K136" s="222" t="s">
        <v>1046</v>
      </c>
      <c r="L136" s="222">
        <v>2</v>
      </c>
      <c r="M136" s="222" t="s">
        <v>1050</v>
      </c>
      <c r="N136" s="222">
        <v>1</v>
      </c>
      <c r="O136" s="222">
        <v>0</v>
      </c>
      <c r="P136" s="225">
        <v>819</v>
      </c>
      <c r="Q136" s="224">
        <v>0</v>
      </c>
      <c r="R136" s="222">
        <v>4.01</v>
      </c>
      <c r="S136" s="226" t="str">
        <f>IFERROR(_xlfn.XLOOKUP(R136,'1_Presupuesto'!$E:$E,'1_Presupuesto'!$D:$D),"")</f>
        <v>Albañilería MO</v>
      </c>
    </row>
    <row r="137" spans="1:19" ht="15" customHeight="1" x14ac:dyDescent="0.35">
      <c r="A137" s="222" t="s">
        <v>1043</v>
      </c>
      <c r="B137" s="222" t="s">
        <v>654</v>
      </c>
      <c r="C137" s="222" t="s">
        <v>719</v>
      </c>
      <c r="D137" s="222" t="s">
        <v>1051</v>
      </c>
      <c r="E137" s="222" t="s">
        <v>1052</v>
      </c>
      <c r="F137" s="222"/>
      <c r="G137" s="223">
        <v>1.2E-2</v>
      </c>
      <c r="H137" s="222">
        <v>0.1</v>
      </c>
      <c r="I137" s="224">
        <v>31265.15</v>
      </c>
      <c r="J137" s="224">
        <v>412.69997999999998</v>
      </c>
      <c r="K137" s="222" t="s">
        <v>1046</v>
      </c>
      <c r="L137" s="222">
        <v>3</v>
      </c>
      <c r="M137" s="222" t="s">
        <v>1053</v>
      </c>
      <c r="N137" s="222">
        <v>1</v>
      </c>
      <c r="O137" s="222">
        <v>0</v>
      </c>
      <c r="P137" s="225">
        <v>819</v>
      </c>
      <c r="Q137" s="224">
        <v>0</v>
      </c>
      <c r="R137" s="222">
        <v>4.01</v>
      </c>
      <c r="S137" s="226" t="str">
        <f>IFERROR(_xlfn.XLOOKUP(R137,'1_Presupuesto'!$E:$E,'1_Presupuesto'!$D:$D),"")</f>
        <v>Albañilería MO</v>
      </c>
    </row>
    <row r="138" spans="1:19" ht="15" customHeight="1" x14ac:dyDescent="0.35">
      <c r="A138" s="222" t="s">
        <v>1043</v>
      </c>
      <c r="B138" s="222" t="s">
        <v>654</v>
      </c>
      <c r="C138" s="222" t="s">
        <v>719</v>
      </c>
      <c r="D138" s="222" t="s">
        <v>1054</v>
      </c>
      <c r="E138" s="222" t="s">
        <v>1055</v>
      </c>
      <c r="F138" s="222"/>
      <c r="G138" s="223">
        <v>0.1</v>
      </c>
      <c r="H138" s="222">
        <v>0.1</v>
      </c>
      <c r="I138" s="224">
        <v>3532.67</v>
      </c>
      <c r="J138" s="224">
        <v>388.59370000000013</v>
      </c>
      <c r="K138" s="222" t="s">
        <v>1046</v>
      </c>
      <c r="L138" s="222">
        <v>4</v>
      </c>
      <c r="M138" s="222" t="s">
        <v>1056</v>
      </c>
      <c r="N138" s="222">
        <v>1</v>
      </c>
      <c r="O138" s="222">
        <v>0</v>
      </c>
      <c r="P138" s="225">
        <v>819</v>
      </c>
      <c r="Q138" s="224">
        <v>0</v>
      </c>
      <c r="R138" s="222">
        <v>4.01</v>
      </c>
      <c r="S138" s="226" t="str">
        <f>IFERROR(_xlfn.XLOOKUP(R138,'1_Presupuesto'!$E:$E,'1_Presupuesto'!$D:$D),"")</f>
        <v>Albañilería MO</v>
      </c>
    </row>
    <row r="139" spans="1:19" ht="15" customHeight="1" x14ac:dyDescent="0.35">
      <c r="A139" s="222" t="s">
        <v>1043</v>
      </c>
      <c r="B139" s="222" t="s">
        <v>654</v>
      </c>
      <c r="C139" s="222" t="s">
        <v>719</v>
      </c>
      <c r="D139" s="222" t="s">
        <v>1057</v>
      </c>
      <c r="E139" s="222" t="s">
        <v>1058</v>
      </c>
      <c r="F139" s="222"/>
      <c r="G139" s="223">
        <v>0.05</v>
      </c>
      <c r="H139" s="222">
        <v>0.1</v>
      </c>
      <c r="I139" s="224">
        <v>7233.47</v>
      </c>
      <c r="J139" s="224">
        <v>397.8408500000001</v>
      </c>
      <c r="K139" s="222" t="s">
        <v>1046</v>
      </c>
      <c r="L139" s="222">
        <v>5</v>
      </c>
      <c r="M139" s="222" t="s">
        <v>1059</v>
      </c>
      <c r="N139" s="222">
        <v>1</v>
      </c>
      <c r="O139" s="222">
        <v>0</v>
      </c>
      <c r="P139" s="225">
        <v>819</v>
      </c>
      <c r="Q139" s="224">
        <v>0</v>
      </c>
      <c r="R139" s="222">
        <v>4.01</v>
      </c>
      <c r="S139" s="226" t="str">
        <f>IFERROR(_xlfn.XLOOKUP(R139,'1_Presupuesto'!$E:$E,'1_Presupuesto'!$D:$D),"")</f>
        <v>Albañilería MO</v>
      </c>
    </row>
    <row r="140" spans="1:19" ht="15" customHeight="1" x14ac:dyDescent="0.35">
      <c r="A140" s="222" t="s">
        <v>1043</v>
      </c>
      <c r="B140" s="222" t="s">
        <v>639</v>
      </c>
      <c r="C140" s="222" t="s">
        <v>646</v>
      </c>
      <c r="D140" s="222" t="s">
        <v>723</v>
      </c>
      <c r="E140" s="222" t="s">
        <v>724</v>
      </c>
      <c r="F140" s="222" t="s">
        <v>643</v>
      </c>
      <c r="G140" s="223">
        <v>6.6666669999999997E-2</v>
      </c>
      <c r="H140" s="222">
        <v>0</v>
      </c>
      <c r="I140" s="224">
        <v>75113.05</v>
      </c>
      <c r="J140" s="224">
        <v>5007.5369170434997</v>
      </c>
      <c r="K140" s="222" t="s">
        <v>1060</v>
      </c>
      <c r="L140" s="222">
        <v>1</v>
      </c>
      <c r="M140" s="222" t="s">
        <v>1061</v>
      </c>
      <c r="N140" s="222">
        <v>1</v>
      </c>
      <c r="O140" s="222">
        <v>6.6666669999999997E-2</v>
      </c>
      <c r="P140" s="225">
        <v>819</v>
      </c>
      <c r="Q140" s="224">
        <v>54.60000273</v>
      </c>
      <c r="R140" s="222">
        <v>4.01</v>
      </c>
      <c r="S140" s="226" t="str">
        <f>IFERROR(_xlfn.XLOOKUP(R140,'1_Presupuesto'!$E:$E,'1_Presupuesto'!$D:$D),"")</f>
        <v>Albañilería MO</v>
      </c>
    </row>
    <row r="141" spans="1:19" ht="15" customHeight="1" x14ac:dyDescent="0.35">
      <c r="A141" s="222" t="s">
        <v>1043</v>
      </c>
      <c r="B141" s="222" t="s">
        <v>639</v>
      </c>
      <c r="C141" s="222" t="s">
        <v>646</v>
      </c>
      <c r="D141" s="222" t="s">
        <v>647</v>
      </c>
      <c r="E141" s="222" t="s">
        <v>648</v>
      </c>
      <c r="F141" s="222" t="s">
        <v>643</v>
      </c>
      <c r="G141" s="223">
        <v>6.6666669999999997E-2</v>
      </c>
      <c r="H141" s="222">
        <v>0</v>
      </c>
      <c r="I141" s="224">
        <v>49934.239999999998</v>
      </c>
      <c r="J141" s="224">
        <v>3328.9494997808001</v>
      </c>
      <c r="K141" s="222" t="s">
        <v>1060</v>
      </c>
      <c r="L141" s="222">
        <v>2</v>
      </c>
      <c r="M141" s="222" t="s">
        <v>1062</v>
      </c>
      <c r="N141" s="222">
        <v>1</v>
      </c>
      <c r="O141" s="222">
        <v>6.6666669999999997E-2</v>
      </c>
      <c r="P141" s="225">
        <v>819</v>
      </c>
      <c r="Q141" s="224">
        <v>54.60000273</v>
      </c>
      <c r="R141" s="222">
        <v>4.01</v>
      </c>
      <c r="S141" s="226" t="str">
        <f>IFERROR(_xlfn.XLOOKUP(R141,'1_Presupuesto'!$E:$E,'1_Presupuesto'!$D:$D),"")</f>
        <v>Albañilería MO</v>
      </c>
    </row>
    <row r="142" spans="1:19" ht="15" customHeight="1" x14ac:dyDescent="0.35">
      <c r="A142" s="222" t="s">
        <v>1043</v>
      </c>
      <c r="B142" s="222" t="s">
        <v>13</v>
      </c>
      <c r="C142" s="222"/>
      <c r="D142" s="222" t="s">
        <v>1063</v>
      </c>
      <c r="E142" s="222" t="s">
        <v>1064</v>
      </c>
      <c r="F142" s="222"/>
      <c r="G142" s="223">
        <v>6.6666669999999997E-2</v>
      </c>
      <c r="H142" s="222">
        <v>0</v>
      </c>
      <c r="I142" s="224">
        <v>2227.2298000000001</v>
      </c>
      <c r="J142" s="224">
        <v>148.48199409076599</v>
      </c>
      <c r="K142" s="222" t="s">
        <v>1065</v>
      </c>
      <c r="L142" s="222">
        <v>1</v>
      </c>
      <c r="M142" s="222" t="s">
        <v>1066</v>
      </c>
      <c r="N142" s="222">
        <v>1</v>
      </c>
      <c r="O142" s="222">
        <v>0</v>
      </c>
      <c r="P142" s="225">
        <v>819</v>
      </c>
      <c r="Q142" s="224">
        <v>0</v>
      </c>
      <c r="R142" s="222">
        <v>4.01</v>
      </c>
      <c r="S142" s="226" t="str">
        <f>IFERROR(_xlfn.XLOOKUP(R142,'1_Presupuesto'!$E:$E,'1_Presupuesto'!$D:$D),"")</f>
        <v>Albañilería MO</v>
      </c>
    </row>
    <row r="143" spans="1:19" ht="15" customHeight="1" x14ac:dyDescent="0.35">
      <c r="A143" s="222" t="s">
        <v>1043</v>
      </c>
      <c r="B143" s="222" t="s">
        <v>13</v>
      </c>
      <c r="C143" s="222"/>
      <c r="D143" s="222" t="s">
        <v>1067</v>
      </c>
      <c r="E143" s="222" t="s">
        <v>1068</v>
      </c>
      <c r="F143" s="222"/>
      <c r="G143" s="223">
        <v>3.3333330000000001E-2</v>
      </c>
      <c r="H143" s="222">
        <v>0</v>
      </c>
      <c r="I143" s="224">
        <v>556.21879999999999</v>
      </c>
      <c r="J143" s="224">
        <v>18.540624812604001</v>
      </c>
      <c r="K143" s="222" t="s">
        <v>1065</v>
      </c>
      <c r="L143" s="222">
        <v>2</v>
      </c>
      <c r="M143" s="222" t="s">
        <v>1069</v>
      </c>
      <c r="N143" s="222">
        <v>1</v>
      </c>
      <c r="O143" s="222">
        <v>0</v>
      </c>
      <c r="P143" s="225">
        <v>819</v>
      </c>
      <c r="Q143" s="224">
        <v>0</v>
      </c>
      <c r="R143" s="222">
        <v>4.01</v>
      </c>
      <c r="S143" s="226" t="str">
        <f>IFERROR(_xlfn.XLOOKUP(R143,'1_Presupuesto'!$E:$E,'1_Presupuesto'!$D:$D),"")</f>
        <v>Albañilería MO</v>
      </c>
    </row>
    <row r="144" spans="1:19" ht="15" customHeight="1" x14ac:dyDescent="0.35">
      <c r="A144" s="222" t="s">
        <v>1043</v>
      </c>
      <c r="B144" s="222" t="s">
        <v>13</v>
      </c>
      <c r="C144" s="222"/>
      <c r="D144" s="222" t="s">
        <v>1070</v>
      </c>
      <c r="E144" s="222" t="s">
        <v>1071</v>
      </c>
      <c r="F144" s="222"/>
      <c r="G144" s="223">
        <v>6.6666669999999997E-2</v>
      </c>
      <c r="H144" s="222">
        <v>0</v>
      </c>
      <c r="I144" s="224">
        <v>932.18029999999999</v>
      </c>
      <c r="J144" s="224">
        <v>62.145356440600999</v>
      </c>
      <c r="K144" s="222" t="s">
        <v>1065</v>
      </c>
      <c r="L144" s="222">
        <v>3</v>
      </c>
      <c r="M144" s="222" t="s">
        <v>1072</v>
      </c>
      <c r="N144" s="222">
        <v>1</v>
      </c>
      <c r="O144" s="222">
        <v>0</v>
      </c>
      <c r="P144" s="225">
        <v>819</v>
      </c>
      <c r="Q144" s="224">
        <v>0</v>
      </c>
      <c r="R144" s="222">
        <v>4.01</v>
      </c>
      <c r="S144" s="226" t="str">
        <f>IFERROR(_xlfn.XLOOKUP(R144,'1_Presupuesto'!$E:$E,'1_Presupuesto'!$D:$D),"")</f>
        <v>Albañilería MO</v>
      </c>
    </row>
    <row r="145" spans="1:19" ht="15" customHeight="1" x14ac:dyDescent="0.35">
      <c r="A145" s="222" t="s">
        <v>1043</v>
      </c>
      <c r="B145" s="222" t="s">
        <v>654</v>
      </c>
      <c r="C145" s="222" t="s">
        <v>655</v>
      </c>
      <c r="D145" s="222" t="s">
        <v>656</v>
      </c>
      <c r="E145" s="222" t="s">
        <v>657</v>
      </c>
      <c r="F145" s="222"/>
      <c r="G145" s="223">
        <v>66.728300000000004</v>
      </c>
      <c r="H145" s="222">
        <v>0</v>
      </c>
      <c r="I145" s="224">
        <v>1</v>
      </c>
      <c r="J145" s="224">
        <v>66.728300000000004</v>
      </c>
      <c r="K145" s="222" t="s">
        <v>1046</v>
      </c>
      <c r="L145" s="222">
        <v>6</v>
      </c>
      <c r="M145" s="222" t="s">
        <v>1073</v>
      </c>
      <c r="N145" s="222">
        <v>1</v>
      </c>
      <c r="O145" s="222">
        <v>0</v>
      </c>
      <c r="P145" s="225">
        <v>819</v>
      </c>
      <c r="Q145" s="224">
        <v>0</v>
      </c>
      <c r="R145" s="222">
        <v>4.01</v>
      </c>
      <c r="S145" s="226" t="str">
        <f>IFERROR(_xlfn.XLOOKUP(R145,'1_Presupuesto'!$E:$E,'1_Presupuesto'!$D:$D),"")</f>
        <v>Albañilería MO</v>
      </c>
    </row>
    <row r="146" spans="1:19" ht="15" customHeight="1" x14ac:dyDescent="0.35">
      <c r="A146" s="222" t="s">
        <v>1074</v>
      </c>
      <c r="B146" s="222" t="s">
        <v>654</v>
      </c>
      <c r="C146" s="222" t="s">
        <v>719</v>
      </c>
      <c r="D146" s="222" t="s">
        <v>1075</v>
      </c>
      <c r="E146" s="222" t="s">
        <v>1076</v>
      </c>
      <c r="F146" s="222"/>
      <c r="G146" s="223">
        <v>14.99999994</v>
      </c>
      <c r="H146" s="222">
        <v>0.05</v>
      </c>
      <c r="I146" s="224">
        <v>563.22</v>
      </c>
      <c r="J146" s="224">
        <v>8870.7149645171412</v>
      </c>
      <c r="K146" s="222" t="s">
        <v>1077</v>
      </c>
      <c r="L146" s="222">
        <v>1</v>
      </c>
      <c r="M146" s="222" t="s">
        <v>1078</v>
      </c>
      <c r="N146" s="222">
        <v>1</v>
      </c>
      <c r="O146" s="222">
        <v>0</v>
      </c>
      <c r="P146" s="225">
        <v>612</v>
      </c>
      <c r="Q146" s="224">
        <v>0</v>
      </c>
      <c r="R146" s="222">
        <v>4.0199999999999996</v>
      </c>
      <c r="S146" s="226" t="str">
        <f>IFERROR(_xlfn.XLOOKUP(R146,'1_Presupuesto'!$E:$E,'1_Presupuesto'!$D:$D),"")</f>
        <v>Albañilería MO</v>
      </c>
    </row>
    <row r="147" spans="1:19" ht="15" customHeight="1" x14ac:dyDescent="0.35">
      <c r="A147" s="222" t="s">
        <v>1074</v>
      </c>
      <c r="B147" s="222" t="s">
        <v>654</v>
      </c>
      <c r="C147" s="222" t="s">
        <v>719</v>
      </c>
      <c r="D147" s="222" t="s">
        <v>1048</v>
      </c>
      <c r="E147" s="222" t="s">
        <v>1049</v>
      </c>
      <c r="F147" s="222"/>
      <c r="G147" s="223">
        <v>0.17</v>
      </c>
      <c r="H147" s="222">
        <v>0.1</v>
      </c>
      <c r="I147" s="224">
        <v>3611.22</v>
      </c>
      <c r="J147" s="224">
        <v>675.2981400000001</v>
      </c>
      <c r="K147" s="222" t="s">
        <v>1077</v>
      </c>
      <c r="L147" s="222">
        <v>2</v>
      </c>
      <c r="M147" s="222" t="s">
        <v>1079</v>
      </c>
      <c r="N147" s="222">
        <v>1</v>
      </c>
      <c r="O147" s="222">
        <v>0</v>
      </c>
      <c r="P147" s="225">
        <v>612</v>
      </c>
      <c r="Q147" s="224">
        <v>0</v>
      </c>
      <c r="R147" s="222">
        <v>4.0199999999999996</v>
      </c>
      <c r="S147" s="226" t="str">
        <f>IFERROR(_xlfn.XLOOKUP(R147,'1_Presupuesto'!$E:$E,'1_Presupuesto'!$D:$D),"")</f>
        <v>Albañilería MO</v>
      </c>
    </row>
    <row r="148" spans="1:19" ht="15" customHeight="1" x14ac:dyDescent="0.35">
      <c r="A148" s="222" t="s">
        <v>1074</v>
      </c>
      <c r="B148" s="222" t="s">
        <v>654</v>
      </c>
      <c r="C148" s="222" t="s">
        <v>719</v>
      </c>
      <c r="D148" s="222" t="s">
        <v>1054</v>
      </c>
      <c r="E148" s="222" t="s">
        <v>1055</v>
      </c>
      <c r="F148" s="222"/>
      <c r="G148" s="223">
        <v>0.15</v>
      </c>
      <c r="H148" s="222">
        <v>0.1</v>
      </c>
      <c r="I148" s="224">
        <v>3532.67</v>
      </c>
      <c r="J148" s="224">
        <v>582.89054999999996</v>
      </c>
      <c r="K148" s="222" t="s">
        <v>1077</v>
      </c>
      <c r="L148" s="222">
        <v>3</v>
      </c>
      <c r="M148" s="222" t="s">
        <v>1080</v>
      </c>
      <c r="N148" s="222">
        <v>1</v>
      </c>
      <c r="O148" s="222">
        <v>0</v>
      </c>
      <c r="P148" s="225">
        <v>612</v>
      </c>
      <c r="Q148" s="224">
        <v>0</v>
      </c>
      <c r="R148" s="222">
        <v>4.0199999999999996</v>
      </c>
      <c r="S148" s="226" t="str">
        <f>IFERROR(_xlfn.XLOOKUP(R148,'1_Presupuesto'!$E:$E,'1_Presupuesto'!$D:$D),"")</f>
        <v>Albañilería MO</v>
      </c>
    </row>
    <row r="149" spans="1:19" ht="15" customHeight="1" x14ac:dyDescent="0.35">
      <c r="A149" s="222" t="s">
        <v>1074</v>
      </c>
      <c r="B149" s="222" t="s">
        <v>654</v>
      </c>
      <c r="C149" s="222" t="s">
        <v>719</v>
      </c>
      <c r="D149" s="222" t="s">
        <v>1057</v>
      </c>
      <c r="E149" s="222" t="s">
        <v>1058</v>
      </c>
      <c r="F149" s="222"/>
      <c r="G149" s="223">
        <v>7.4999999999999997E-2</v>
      </c>
      <c r="H149" s="222">
        <v>0.1</v>
      </c>
      <c r="I149" s="224">
        <v>7233.47</v>
      </c>
      <c r="J149" s="224">
        <v>596.76127500000007</v>
      </c>
      <c r="K149" s="222" t="s">
        <v>1077</v>
      </c>
      <c r="L149" s="222">
        <v>4</v>
      </c>
      <c r="M149" s="222" t="s">
        <v>1081</v>
      </c>
      <c r="N149" s="222">
        <v>1</v>
      </c>
      <c r="O149" s="222">
        <v>0</v>
      </c>
      <c r="P149" s="225">
        <v>612</v>
      </c>
      <c r="Q149" s="224">
        <v>0</v>
      </c>
      <c r="R149" s="222">
        <v>4.0199999999999996</v>
      </c>
      <c r="S149" s="226" t="str">
        <f>IFERROR(_xlfn.XLOOKUP(R149,'1_Presupuesto'!$E:$E,'1_Presupuesto'!$D:$D),"")</f>
        <v>Albañilería MO</v>
      </c>
    </row>
    <row r="150" spans="1:19" ht="15" customHeight="1" x14ac:dyDescent="0.35">
      <c r="A150" s="222" t="s">
        <v>1074</v>
      </c>
      <c r="B150" s="222" t="s">
        <v>654</v>
      </c>
      <c r="C150" s="222" t="s">
        <v>719</v>
      </c>
      <c r="D150" s="222" t="s">
        <v>1051</v>
      </c>
      <c r="E150" s="222" t="s">
        <v>1052</v>
      </c>
      <c r="F150" s="222"/>
      <c r="G150" s="223">
        <v>1.7999999999999999E-2</v>
      </c>
      <c r="H150" s="222">
        <v>0.1</v>
      </c>
      <c r="I150" s="224">
        <v>31265.15</v>
      </c>
      <c r="J150" s="224">
        <v>619.04997000000003</v>
      </c>
      <c r="K150" s="222" t="s">
        <v>1077</v>
      </c>
      <c r="L150" s="222">
        <v>5</v>
      </c>
      <c r="M150" s="222" t="s">
        <v>1082</v>
      </c>
      <c r="N150" s="222">
        <v>1</v>
      </c>
      <c r="O150" s="222">
        <v>0</v>
      </c>
      <c r="P150" s="225">
        <v>612</v>
      </c>
      <c r="Q150" s="224">
        <v>0</v>
      </c>
      <c r="R150" s="222">
        <v>4.0199999999999996</v>
      </c>
      <c r="S150" s="226" t="str">
        <f>IFERROR(_xlfn.XLOOKUP(R150,'1_Presupuesto'!$E:$E,'1_Presupuesto'!$D:$D),"")</f>
        <v>Albañilería MO</v>
      </c>
    </row>
    <row r="151" spans="1:19" ht="15" customHeight="1" x14ac:dyDescent="0.35">
      <c r="A151" s="222" t="s">
        <v>1074</v>
      </c>
      <c r="B151" s="222" t="s">
        <v>639</v>
      </c>
      <c r="C151" s="222" t="s">
        <v>646</v>
      </c>
      <c r="D151" s="222" t="s">
        <v>723</v>
      </c>
      <c r="E151" s="222" t="s">
        <v>724</v>
      </c>
      <c r="F151" s="222" t="s">
        <v>643</v>
      </c>
      <c r="G151" s="223">
        <v>6.6666669999999997E-2</v>
      </c>
      <c r="H151" s="222">
        <v>0</v>
      </c>
      <c r="I151" s="224">
        <v>75113.05</v>
      </c>
      <c r="J151" s="224">
        <v>5007.5369170434997</v>
      </c>
      <c r="K151" s="222" t="s">
        <v>1083</v>
      </c>
      <c r="L151" s="222">
        <v>1</v>
      </c>
      <c r="M151" s="222" t="s">
        <v>1084</v>
      </c>
      <c r="N151" s="222">
        <v>1</v>
      </c>
      <c r="O151" s="222">
        <v>6.6666669999999997E-2</v>
      </c>
      <c r="P151" s="225">
        <v>612</v>
      </c>
      <c r="Q151" s="224">
        <v>40.800002040000003</v>
      </c>
      <c r="R151" s="222">
        <v>4.0199999999999996</v>
      </c>
      <c r="S151" s="226" t="str">
        <f>IFERROR(_xlfn.XLOOKUP(R151,'1_Presupuesto'!$E:$E,'1_Presupuesto'!$D:$D),"")</f>
        <v>Albañilería MO</v>
      </c>
    </row>
    <row r="152" spans="1:19" ht="15" customHeight="1" x14ac:dyDescent="0.35">
      <c r="A152" s="222" t="s">
        <v>1074</v>
      </c>
      <c r="B152" s="222" t="s">
        <v>639</v>
      </c>
      <c r="C152" s="222" t="s">
        <v>646</v>
      </c>
      <c r="D152" s="222" t="s">
        <v>647</v>
      </c>
      <c r="E152" s="222" t="s">
        <v>648</v>
      </c>
      <c r="F152" s="222" t="s">
        <v>643</v>
      </c>
      <c r="G152" s="223">
        <v>6.6666669999999997E-2</v>
      </c>
      <c r="H152" s="222">
        <v>0</v>
      </c>
      <c r="I152" s="224">
        <v>49934.239999999998</v>
      </c>
      <c r="J152" s="224">
        <v>3328.9494997808001</v>
      </c>
      <c r="K152" s="222" t="s">
        <v>1083</v>
      </c>
      <c r="L152" s="222">
        <v>2</v>
      </c>
      <c r="M152" s="222" t="s">
        <v>1085</v>
      </c>
      <c r="N152" s="222">
        <v>1</v>
      </c>
      <c r="O152" s="222">
        <v>6.6666669999999997E-2</v>
      </c>
      <c r="P152" s="225">
        <v>612</v>
      </c>
      <c r="Q152" s="224">
        <v>40.800002040000003</v>
      </c>
      <c r="R152" s="222">
        <v>4.0199999999999996</v>
      </c>
      <c r="S152" s="226" t="str">
        <f>IFERROR(_xlfn.XLOOKUP(R152,'1_Presupuesto'!$E:$E,'1_Presupuesto'!$D:$D),"")</f>
        <v>Albañilería MO</v>
      </c>
    </row>
    <row r="153" spans="1:19" ht="15" customHeight="1" x14ac:dyDescent="0.35">
      <c r="A153" s="222" t="s">
        <v>1074</v>
      </c>
      <c r="B153" s="222" t="s">
        <v>13</v>
      </c>
      <c r="C153" s="222"/>
      <c r="D153" s="222" t="s">
        <v>1063</v>
      </c>
      <c r="E153" s="222" t="s">
        <v>1064</v>
      </c>
      <c r="F153" s="222"/>
      <c r="G153" s="223">
        <v>6.6666669999999997E-2</v>
      </c>
      <c r="H153" s="222">
        <v>0</v>
      </c>
      <c r="I153" s="224">
        <v>2227.2298000000001</v>
      </c>
      <c r="J153" s="224">
        <v>148.48199409076599</v>
      </c>
      <c r="K153" s="222" t="s">
        <v>1086</v>
      </c>
      <c r="L153" s="222">
        <v>1</v>
      </c>
      <c r="M153" s="222" t="s">
        <v>1087</v>
      </c>
      <c r="N153" s="222">
        <v>1</v>
      </c>
      <c r="O153" s="222">
        <v>0</v>
      </c>
      <c r="P153" s="225">
        <v>612</v>
      </c>
      <c r="Q153" s="224">
        <v>0</v>
      </c>
      <c r="R153" s="222">
        <v>4.0199999999999996</v>
      </c>
      <c r="S153" s="226" t="str">
        <f>IFERROR(_xlfn.XLOOKUP(R153,'1_Presupuesto'!$E:$E,'1_Presupuesto'!$D:$D),"")</f>
        <v>Albañilería MO</v>
      </c>
    </row>
    <row r="154" spans="1:19" ht="15" customHeight="1" x14ac:dyDescent="0.35">
      <c r="A154" s="222" t="s">
        <v>1074</v>
      </c>
      <c r="B154" s="222" t="s">
        <v>13</v>
      </c>
      <c r="C154" s="222"/>
      <c r="D154" s="222" t="s">
        <v>1067</v>
      </c>
      <c r="E154" s="222" t="s">
        <v>1068</v>
      </c>
      <c r="F154" s="222"/>
      <c r="G154" s="223">
        <v>3.3333330000000001E-2</v>
      </c>
      <c r="H154" s="222">
        <v>0</v>
      </c>
      <c r="I154" s="224">
        <v>556.21879999999999</v>
      </c>
      <c r="J154" s="224">
        <v>18.540624812604001</v>
      </c>
      <c r="K154" s="222" t="s">
        <v>1086</v>
      </c>
      <c r="L154" s="222">
        <v>2</v>
      </c>
      <c r="M154" s="222" t="s">
        <v>1088</v>
      </c>
      <c r="N154" s="222">
        <v>1</v>
      </c>
      <c r="O154" s="222">
        <v>0</v>
      </c>
      <c r="P154" s="225">
        <v>612</v>
      </c>
      <c r="Q154" s="224">
        <v>0</v>
      </c>
      <c r="R154" s="222">
        <v>4.0199999999999996</v>
      </c>
      <c r="S154" s="226" t="str">
        <f>IFERROR(_xlfn.XLOOKUP(R154,'1_Presupuesto'!$E:$E,'1_Presupuesto'!$D:$D),"")</f>
        <v>Albañilería MO</v>
      </c>
    </row>
    <row r="155" spans="1:19" ht="15" customHeight="1" x14ac:dyDescent="0.35">
      <c r="A155" s="222" t="s">
        <v>1074</v>
      </c>
      <c r="B155" s="222" t="s">
        <v>13</v>
      </c>
      <c r="C155" s="222"/>
      <c r="D155" s="222" t="s">
        <v>1070</v>
      </c>
      <c r="E155" s="222" t="s">
        <v>1071</v>
      </c>
      <c r="F155" s="222"/>
      <c r="G155" s="223">
        <v>6.6666669999999997E-2</v>
      </c>
      <c r="H155" s="222">
        <v>0</v>
      </c>
      <c r="I155" s="224">
        <v>932.18029999999999</v>
      </c>
      <c r="J155" s="224">
        <v>62.145356440600999</v>
      </c>
      <c r="K155" s="222" t="s">
        <v>1086</v>
      </c>
      <c r="L155" s="222">
        <v>3</v>
      </c>
      <c r="M155" s="222" t="s">
        <v>1089</v>
      </c>
      <c r="N155" s="222">
        <v>1</v>
      </c>
      <c r="O155" s="222">
        <v>0</v>
      </c>
      <c r="P155" s="225">
        <v>612</v>
      </c>
      <c r="Q155" s="224">
        <v>0</v>
      </c>
      <c r="R155" s="222">
        <v>4.0199999999999996</v>
      </c>
      <c r="S155" s="226" t="str">
        <f>IFERROR(_xlfn.XLOOKUP(R155,'1_Presupuesto'!$E:$E,'1_Presupuesto'!$D:$D),"")</f>
        <v>Albañilería MO</v>
      </c>
    </row>
    <row r="156" spans="1:19" ht="15" customHeight="1" x14ac:dyDescent="0.35">
      <c r="A156" s="222" t="s">
        <v>1074</v>
      </c>
      <c r="B156" s="222" t="s">
        <v>654</v>
      </c>
      <c r="C156" s="222" t="s">
        <v>655</v>
      </c>
      <c r="D156" s="222" t="s">
        <v>656</v>
      </c>
      <c r="E156" s="222" t="s">
        <v>657</v>
      </c>
      <c r="F156" s="222"/>
      <c r="G156" s="223">
        <v>116.8506</v>
      </c>
      <c r="H156" s="222">
        <v>0</v>
      </c>
      <c r="I156" s="224">
        <v>1</v>
      </c>
      <c r="J156" s="224">
        <v>116.8506</v>
      </c>
      <c r="K156" s="222" t="s">
        <v>1077</v>
      </c>
      <c r="L156" s="222">
        <v>6</v>
      </c>
      <c r="M156" s="222" t="s">
        <v>1090</v>
      </c>
      <c r="N156" s="222">
        <v>1</v>
      </c>
      <c r="O156" s="222">
        <v>0</v>
      </c>
      <c r="P156" s="225">
        <v>612</v>
      </c>
      <c r="Q156" s="224">
        <v>0</v>
      </c>
      <c r="R156" s="222">
        <v>4.0199999999999996</v>
      </c>
      <c r="S156" s="226" t="str">
        <f>IFERROR(_xlfn.XLOOKUP(R156,'1_Presupuesto'!$E:$E,'1_Presupuesto'!$D:$D),"")</f>
        <v>Albañilería MO</v>
      </c>
    </row>
    <row r="157" spans="1:19" ht="15" customHeight="1" x14ac:dyDescent="0.35">
      <c r="A157" s="222" t="s">
        <v>1091</v>
      </c>
      <c r="B157" s="222" t="s">
        <v>654</v>
      </c>
      <c r="C157" s="222" t="s">
        <v>719</v>
      </c>
      <c r="D157" s="222" t="s">
        <v>1048</v>
      </c>
      <c r="E157" s="222" t="s">
        <v>1049</v>
      </c>
      <c r="F157" s="222"/>
      <c r="G157" s="223">
        <v>0.16826685</v>
      </c>
      <c r="H157" s="222">
        <v>0.1</v>
      </c>
      <c r="I157" s="224">
        <v>3611.22</v>
      </c>
      <c r="J157" s="224">
        <v>668.41347546269992</v>
      </c>
      <c r="K157" s="222" t="s">
        <v>1092</v>
      </c>
      <c r="L157" s="222">
        <v>1</v>
      </c>
      <c r="M157" s="222" t="s">
        <v>1093</v>
      </c>
      <c r="N157" s="222">
        <v>1</v>
      </c>
      <c r="O157" s="222">
        <v>0</v>
      </c>
      <c r="P157" s="225">
        <v>636</v>
      </c>
      <c r="Q157" s="224">
        <v>0</v>
      </c>
      <c r="R157" s="222">
        <v>4.03</v>
      </c>
      <c r="S157" s="226" t="str">
        <f>IFERROR(_xlfn.XLOOKUP(R157,'1_Presupuesto'!$E:$E,'1_Presupuesto'!$D:$D),"")</f>
        <v>Albañilería MO</v>
      </c>
    </row>
    <row r="158" spans="1:19" ht="15" customHeight="1" x14ac:dyDescent="0.35">
      <c r="A158" s="222" t="s">
        <v>1091</v>
      </c>
      <c r="B158" s="222" t="s">
        <v>654</v>
      </c>
      <c r="C158" s="222" t="s">
        <v>719</v>
      </c>
      <c r="D158" s="222" t="s">
        <v>1094</v>
      </c>
      <c r="E158" s="222" t="s">
        <v>1095</v>
      </c>
      <c r="F158" s="222"/>
      <c r="G158" s="223">
        <v>14.84707512</v>
      </c>
      <c r="H158" s="222">
        <v>0.05</v>
      </c>
      <c r="I158" s="224">
        <v>365.4</v>
      </c>
      <c r="J158" s="224">
        <v>5696.3773112904</v>
      </c>
      <c r="K158" s="222" t="s">
        <v>1092</v>
      </c>
      <c r="L158" s="222">
        <v>2</v>
      </c>
      <c r="M158" s="222" t="s">
        <v>1096</v>
      </c>
      <c r="N158" s="222">
        <v>1</v>
      </c>
      <c r="O158" s="222">
        <v>0</v>
      </c>
      <c r="P158" s="225">
        <v>636</v>
      </c>
      <c r="Q158" s="224">
        <v>0</v>
      </c>
      <c r="R158" s="222">
        <v>4.03</v>
      </c>
      <c r="S158" s="226" t="str">
        <f>IFERROR(_xlfn.XLOOKUP(R158,'1_Presupuesto'!$E:$E,'1_Presupuesto'!$D:$D),"")</f>
        <v>Albañilería MO</v>
      </c>
    </row>
    <row r="159" spans="1:19" ht="15" customHeight="1" x14ac:dyDescent="0.35">
      <c r="A159" s="222" t="s">
        <v>1091</v>
      </c>
      <c r="B159" s="222" t="s">
        <v>654</v>
      </c>
      <c r="C159" s="222" t="s">
        <v>719</v>
      </c>
      <c r="D159" s="222" t="s">
        <v>1054</v>
      </c>
      <c r="E159" s="222" t="s">
        <v>1055</v>
      </c>
      <c r="F159" s="222"/>
      <c r="G159" s="223">
        <v>0.14847075000000001</v>
      </c>
      <c r="H159" s="222">
        <v>0.1</v>
      </c>
      <c r="I159" s="224">
        <v>3532.67</v>
      </c>
      <c r="J159" s="224">
        <v>576.9479808427501</v>
      </c>
      <c r="K159" s="222" t="s">
        <v>1092</v>
      </c>
      <c r="L159" s="222">
        <v>3</v>
      </c>
      <c r="M159" s="222" t="s">
        <v>1097</v>
      </c>
      <c r="N159" s="222">
        <v>1</v>
      </c>
      <c r="O159" s="222">
        <v>0</v>
      </c>
      <c r="P159" s="225">
        <v>636</v>
      </c>
      <c r="Q159" s="224">
        <v>0</v>
      </c>
      <c r="R159" s="222">
        <v>4.03</v>
      </c>
      <c r="S159" s="226" t="str">
        <f>IFERROR(_xlfn.XLOOKUP(R159,'1_Presupuesto'!$E:$E,'1_Presupuesto'!$D:$D),"")</f>
        <v>Albañilería MO</v>
      </c>
    </row>
    <row r="160" spans="1:19" ht="15" customHeight="1" x14ac:dyDescent="0.35">
      <c r="A160" s="222" t="s">
        <v>1091</v>
      </c>
      <c r="B160" s="222" t="s">
        <v>654</v>
      </c>
      <c r="C160" s="222" t="s">
        <v>719</v>
      </c>
      <c r="D160" s="222" t="s">
        <v>1057</v>
      </c>
      <c r="E160" s="222" t="s">
        <v>1058</v>
      </c>
      <c r="F160" s="222"/>
      <c r="G160" s="223">
        <v>7.4235380000000004E-2</v>
      </c>
      <c r="H160" s="222">
        <v>0.1</v>
      </c>
      <c r="I160" s="224">
        <v>7233.47</v>
      </c>
      <c r="J160" s="224">
        <v>590.67733358546013</v>
      </c>
      <c r="K160" s="222" t="s">
        <v>1092</v>
      </c>
      <c r="L160" s="222">
        <v>4</v>
      </c>
      <c r="M160" s="222" t="s">
        <v>1098</v>
      </c>
      <c r="N160" s="222">
        <v>1</v>
      </c>
      <c r="O160" s="222">
        <v>0</v>
      </c>
      <c r="P160" s="225">
        <v>636</v>
      </c>
      <c r="Q160" s="224">
        <v>0</v>
      </c>
      <c r="R160" s="222">
        <v>4.03</v>
      </c>
      <c r="S160" s="226" t="str">
        <f>IFERROR(_xlfn.XLOOKUP(R160,'1_Presupuesto'!$E:$E,'1_Presupuesto'!$D:$D),"")</f>
        <v>Albañilería MO</v>
      </c>
    </row>
    <row r="161" spans="1:19" ht="15" customHeight="1" x14ac:dyDescent="0.35">
      <c r="A161" s="222" t="s">
        <v>1091</v>
      </c>
      <c r="B161" s="222" t="s">
        <v>654</v>
      </c>
      <c r="C161" s="222" t="s">
        <v>719</v>
      </c>
      <c r="D161" s="222" t="s">
        <v>1051</v>
      </c>
      <c r="E161" s="222" t="s">
        <v>1052</v>
      </c>
      <c r="F161" s="222"/>
      <c r="G161" s="223">
        <v>1.7816490000000001E-2</v>
      </c>
      <c r="H161" s="222">
        <v>0.1</v>
      </c>
      <c r="I161" s="224">
        <v>31265.15</v>
      </c>
      <c r="J161" s="224">
        <v>612.73875555585016</v>
      </c>
      <c r="K161" s="222" t="s">
        <v>1092</v>
      </c>
      <c r="L161" s="222">
        <v>5</v>
      </c>
      <c r="M161" s="222" t="s">
        <v>1099</v>
      </c>
      <c r="N161" s="222">
        <v>1</v>
      </c>
      <c r="O161" s="222">
        <v>0</v>
      </c>
      <c r="P161" s="225">
        <v>636</v>
      </c>
      <c r="Q161" s="224">
        <v>0</v>
      </c>
      <c r="R161" s="222">
        <v>4.03</v>
      </c>
      <c r="S161" s="226" t="str">
        <f>IFERROR(_xlfn.XLOOKUP(R161,'1_Presupuesto'!$E:$E,'1_Presupuesto'!$D:$D),"")</f>
        <v>Albañilería MO</v>
      </c>
    </row>
    <row r="162" spans="1:19" ht="15" customHeight="1" x14ac:dyDescent="0.35">
      <c r="A162" s="222" t="s">
        <v>1091</v>
      </c>
      <c r="B162" s="222" t="s">
        <v>639</v>
      </c>
      <c r="C162" s="222" t="s">
        <v>646</v>
      </c>
      <c r="D162" s="222" t="s">
        <v>723</v>
      </c>
      <c r="E162" s="222" t="s">
        <v>724</v>
      </c>
      <c r="F162" s="222" t="s">
        <v>643</v>
      </c>
      <c r="G162" s="223">
        <v>6.6666669999999997E-2</v>
      </c>
      <c r="H162" s="222">
        <v>0</v>
      </c>
      <c r="I162" s="224">
        <v>75113.05</v>
      </c>
      <c r="J162" s="224">
        <v>5007.5369170434997</v>
      </c>
      <c r="K162" s="222" t="s">
        <v>1100</v>
      </c>
      <c r="L162" s="222">
        <v>1</v>
      </c>
      <c r="M162" s="222" t="s">
        <v>1101</v>
      </c>
      <c r="N162" s="222">
        <v>1</v>
      </c>
      <c r="O162" s="222">
        <v>6.6666669999999997E-2</v>
      </c>
      <c r="P162" s="225">
        <v>636</v>
      </c>
      <c r="Q162" s="224">
        <v>42.400002120000003</v>
      </c>
      <c r="R162" s="222">
        <v>4.03</v>
      </c>
      <c r="S162" s="226" t="str">
        <f>IFERROR(_xlfn.XLOOKUP(R162,'1_Presupuesto'!$E:$E,'1_Presupuesto'!$D:$D),"")</f>
        <v>Albañilería MO</v>
      </c>
    </row>
    <row r="163" spans="1:19" ht="15" customHeight="1" x14ac:dyDescent="0.35">
      <c r="A163" s="222" t="s">
        <v>1091</v>
      </c>
      <c r="B163" s="222" t="s">
        <v>639</v>
      </c>
      <c r="C163" s="222" t="s">
        <v>646</v>
      </c>
      <c r="D163" s="222" t="s">
        <v>647</v>
      </c>
      <c r="E163" s="222" t="s">
        <v>648</v>
      </c>
      <c r="F163" s="222" t="s">
        <v>643</v>
      </c>
      <c r="G163" s="223">
        <v>6.6666669999999997E-2</v>
      </c>
      <c r="H163" s="222">
        <v>0</v>
      </c>
      <c r="I163" s="224">
        <v>49934.239999999998</v>
      </c>
      <c r="J163" s="224">
        <v>3328.9494997808001</v>
      </c>
      <c r="K163" s="222" t="s">
        <v>1100</v>
      </c>
      <c r="L163" s="222">
        <v>2</v>
      </c>
      <c r="M163" s="222" t="s">
        <v>1102</v>
      </c>
      <c r="N163" s="222">
        <v>1</v>
      </c>
      <c r="O163" s="222">
        <v>6.6666669999999997E-2</v>
      </c>
      <c r="P163" s="225">
        <v>636</v>
      </c>
      <c r="Q163" s="224">
        <v>42.400002120000003</v>
      </c>
      <c r="R163" s="222">
        <v>4.03</v>
      </c>
      <c r="S163" s="226" t="str">
        <f>IFERROR(_xlfn.XLOOKUP(R163,'1_Presupuesto'!$E:$E,'1_Presupuesto'!$D:$D),"")</f>
        <v>Albañilería MO</v>
      </c>
    </row>
    <row r="164" spans="1:19" ht="15" customHeight="1" x14ac:dyDescent="0.35">
      <c r="A164" s="222" t="s">
        <v>1091</v>
      </c>
      <c r="B164" s="222" t="s">
        <v>13</v>
      </c>
      <c r="C164" s="222"/>
      <c r="D164" s="222" t="s">
        <v>1063</v>
      </c>
      <c r="E164" s="222" t="s">
        <v>1064</v>
      </c>
      <c r="F164" s="222"/>
      <c r="G164" s="223">
        <v>6.6666669999999997E-2</v>
      </c>
      <c r="H164" s="222">
        <v>0</v>
      </c>
      <c r="I164" s="224">
        <v>2227.2298000000001</v>
      </c>
      <c r="J164" s="224">
        <v>148.48199409076599</v>
      </c>
      <c r="K164" s="222" t="s">
        <v>1103</v>
      </c>
      <c r="L164" s="222">
        <v>1</v>
      </c>
      <c r="M164" s="222" t="s">
        <v>1104</v>
      </c>
      <c r="N164" s="222">
        <v>1</v>
      </c>
      <c r="O164" s="222">
        <v>0</v>
      </c>
      <c r="P164" s="225">
        <v>636</v>
      </c>
      <c r="Q164" s="224">
        <v>0</v>
      </c>
      <c r="R164" s="222">
        <v>4.03</v>
      </c>
      <c r="S164" s="226" t="str">
        <f>IFERROR(_xlfn.XLOOKUP(R164,'1_Presupuesto'!$E:$E,'1_Presupuesto'!$D:$D),"")</f>
        <v>Albañilería MO</v>
      </c>
    </row>
    <row r="165" spans="1:19" ht="15" customHeight="1" x14ac:dyDescent="0.35">
      <c r="A165" s="222" t="s">
        <v>1091</v>
      </c>
      <c r="B165" s="222" t="s">
        <v>13</v>
      </c>
      <c r="C165" s="222"/>
      <c r="D165" s="222" t="s">
        <v>1067</v>
      </c>
      <c r="E165" s="222" t="s">
        <v>1068</v>
      </c>
      <c r="F165" s="222"/>
      <c r="G165" s="223">
        <v>3.3333330000000001E-2</v>
      </c>
      <c r="H165" s="222">
        <v>0</v>
      </c>
      <c r="I165" s="224">
        <v>556.21879999999999</v>
      </c>
      <c r="J165" s="224">
        <v>18.540624812604001</v>
      </c>
      <c r="K165" s="222" t="s">
        <v>1103</v>
      </c>
      <c r="L165" s="222">
        <v>2</v>
      </c>
      <c r="M165" s="222" t="s">
        <v>1105</v>
      </c>
      <c r="N165" s="222">
        <v>1</v>
      </c>
      <c r="O165" s="222">
        <v>0</v>
      </c>
      <c r="P165" s="225">
        <v>636</v>
      </c>
      <c r="Q165" s="224">
        <v>0</v>
      </c>
      <c r="R165" s="222">
        <v>4.03</v>
      </c>
      <c r="S165" s="226" t="str">
        <f>IFERROR(_xlfn.XLOOKUP(R165,'1_Presupuesto'!$E:$E,'1_Presupuesto'!$D:$D),"")</f>
        <v>Albañilería MO</v>
      </c>
    </row>
    <row r="166" spans="1:19" ht="15" customHeight="1" x14ac:dyDescent="0.35">
      <c r="A166" s="222" t="s">
        <v>1091</v>
      </c>
      <c r="B166" s="222" t="s">
        <v>13</v>
      </c>
      <c r="C166" s="222"/>
      <c r="D166" s="222" t="s">
        <v>1070</v>
      </c>
      <c r="E166" s="222" t="s">
        <v>1071</v>
      </c>
      <c r="F166" s="222"/>
      <c r="G166" s="223">
        <v>6.6666669999999997E-2</v>
      </c>
      <c r="H166" s="222">
        <v>0</v>
      </c>
      <c r="I166" s="224">
        <v>932.18029999999999</v>
      </c>
      <c r="J166" s="224">
        <v>62.145356440600999</v>
      </c>
      <c r="K166" s="222" t="s">
        <v>1103</v>
      </c>
      <c r="L166" s="222">
        <v>3</v>
      </c>
      <c r="M166" s="222" t="s">
        <v>1106</v>
      </c>
      <c r="N166" s="222">
        <v>1</v>
      </c>
      <c r="O166" s="222">
        <v>0</v>
      </c>
      <c r="P166" s="225">
        <v>636</v>
      </c>
      <c r="Q166" s="224">
        <v>0</v>
      </c>
      <c r="R166" s="222">
        <v>4.03</v>
      </c>
      <c r="S166" s="226" t="str">
        <f>IFERROR(_xlfn.XLOOKUP(R166,'1_Presupuesto'!$E:$E,'1_Presupuesto'!$D:$D),"")</f>
        <v>Albañilería MO</v>
      </c>
    </row>
    <row r="167" spans="1:19" ht="15" customHeight="1" x14ac:dyDescent="0.35">
      <c r="A167" s="222" t="s">
        <v>1091</v>
      </c>
      <c r="B167" s="222" t="s">
        <v>654</v>
      </c>
      <c r="C167" s="222" t="s">
        <v>655</v>
      </c>
      <c r="D167" s="222" t="s">
        <v>656</v>
      </c>
      <c r="E167" s="222" t="s">
        <v>657</v>
      </c>
      <c r="F167" s="222"/>
      <c r="G167" s="223">
        <v>83.895099999999999</v>
      </c>
      <c r="H167" s="222">
        <v>0</v>
      </c>
      <c r="I167" s="224">
        <v>1</v>
      </c>
      <c r="J167" s="224">
        <v>83.895099999999999</v>
      </c>
      <c r="K167" s="222" t="s">
        <v>1092</v>
      </c>
      <c r="L167" s="222">
        <v>6</v>
      </c>
      <c r="M167" s="222" t="s">
        <v>1107</v>
      </c>
      <c r="N167" s="222">
        <v>1</v>
      </c>
      <c r="O167" s="222">
        <v>0</v>
      </c>
      <c r="P167" s="225">
        <v>636</v>
      </c>
      <c r="Q167" s="224">
        <v>0</v>
      </c>
      <c r="R167" s="222">
        <v>4.03</v>
      </c>
      <c r="S167" s="226" t="str">
        <f>IFERROR(_xlfn.XLOOKUP(R167,'1_Presupuesto'!$E:$E,'1_Presupuesto'!$D:$D),"")</f>
        <v>Albañilería MO</v>
      </c>
    </row>
    <row r="168" spans="1:19" ht="15" customHeight="1" x14ac:dyDescent="0.35">
      <c r="A168" s="222" t="s">
        <v>1108</v>
      </c>
      <c r="B168" s="222" t="s">
        <v>654</v>
      </c>
      <c r="C168" s="222" t="s">
        <v>719</v>
      </c>
      <c r="D168" s="222" t="s">
        <v>1057</v>
      </c>
      <c r="E168" s="222" t="s">
        <v>1058</v>
      </c>
      <c r="F168" s="222"/>
      <c r="G168" s="223">
        <v>7.4999999999999997E-2</v>
      </c>
      <c r="H168" s="222">
        <v>0.1</v>
      </c>
      <c r="I168" s="224">
        <v>7233.47</v>
      </c>
      <c r="J168" s="224">
        <v>596.76127500000007</v>
      </c>
      <c r="K168" s="222" t="s">
        <v>1109</v>
      </c>
      <c r="L168" s="222">
        <v>1</v>
      </c>
      <c r="M168" s="222" t="s">
        <v>1110</v>
      </c>
      <c r="N168" s="222">
        <v>1</v>
      </c>
      <c r="O168" s="222">
        <v>0</v>
      </c>
      <c r="P168" s="225">
        <v>195</v>
      </c>
      <c r="Q168" s="224">
        <v>0</v>
      </c>
      <c r="R168" s="222">
        <v>4.04</v>
      </c>
      <c r="S168" s="226" t="str">
        <f>IFERROR(_xlfn.XLOOKUP(R168,'1_Presupuesto'!$E:$E,'1_Presupuesto'!$D:$D),"")</f>
        <v>Albañilería MO</v>
      </c>
    </row>
    <row r="169" spans="1:19" ht="15" customHeight="1" x14ac:dyDescent="0.35">
      <c r="A169" s="222" t="s">
        <v>1108</v>
      </c>
      <c r="B169" s="222" t="s">
        <v>654</v>
      </c>
      <c r="C169" s="222" t="s">
        <v>719</v>
      </c>
      <c r="D169" s="222" t="s">
        <v>1054</v>
      </c>
      <c r="E169" s="222" t="s">
        <v>1055</v>
      </c>
      <c r="F169" s="222"/>
      <c r="G169" s="223">
        <v>0.15</v>
      </c>
      <c r="H169" s="222">
        <v>0.1</v>
      </c>
      <c r="I169" s="224">
        <v>3532.67</v>
      </c>
      <c r="J169" s="224">
        <v>582.89054999999996</v>
      </c>
      <c r="K169" s="222" t="s">
        <v>1109</v>
      </c>
      <c r="L169" s="222">
        <v>2</v>
      </c>
      <c r="M169" s="222" t="s">
        <v>1111</v>
      </c>
      <c r="N169" s="222">
        <v>1</v>
      </c>
      <c r="O169" s="222">
        <v>0</v>
      </c>
      <c r="P169" s="225">
        <v>195</v>
      </c>
      <c r="Q169" s="224">
        <v>0</v>
      </c>
      <c r="R169" s="222">
        <v>4.04</v>
      </c>
      <c r="S169" s="226" t="str">
        <f>IFERROR(_xlfn.XLOOKUP(R169,'1_Presupuesto'!$E:$E,'1_Presupuesto'!$D:$D),"")</f>
        <v>Albañilería MO</v>
      </c>
    </row>
    <row r="170" spans="1:19" ht="15" customHeight="1" x14ac:dyDescent="0.35">
      <c r="A170" s="222" t="s">
        <v>1108</v>
      </c>
      <c r="B170" s="222" t="s">
        <v>654</v>
      </c>
      <c r="C170" s="222" t="s">
        <v>719</v>
      </c>
      <c r="D170" s="222" t="s">
        <v>1048</v>
      </c>
      <c r="E170" s="222" t="s">
        <v>1049</v>
      </c>
      <c r="F170" s="222"/>
      <c r="G170" s="223">
        <v>8.5000000000000006E-2</v>
      </c>
      <c r="H170" s="222">
        <v>0.1</v>
      </c>
      <c r="I170" s="224">
        <v>3611.22</v>
      </c>
      <c r="J170" s="224">
        <v>337.64907000000011</v>
      </c>
      <c r="K170" s="222" t="s">
        <v>1109</v>
      </c>
      <c r="L170" s="222">
        <v>3</v>
      </c>
      <c r="M170" s="222" t="s">
        <v>1112</v>
      </c>
      <c r="N170" s="222">
        <v>1</v>
      </c>
      <c r="O170" s="222">
        <v>0</v>
      </c>
      <c r="P170" s="225">
        <v>195</v>
      </c>
      <c r="Q170" s="224">
        <v>0</v>
      </c>
      <c r="R170" s="222">
        <v>4.04</v>
      </c>
      <c r="S170" s="226" t="str">
        <f>IFERROR(_xlfn.XLOOKUP(R170,'1_Presupuesto'!$E:$E,'1_Presupuesto'!$D:$D),"")</f>
        <v>Albañilería MO</v>
      </c>
    </row>
    <row r="171" spans="1:19" ht="15" customHeight="1" x14ac:dyDescent="0.35">
      <c r="A171" s="222" t="s">
        <v>1108</v>
      </c>
      <c r="B171" s="222" t="s">
        <v>654</v>
      </c>
      <c r="C171" s="222" t="s">
        <v>719</v>
      </c>
      <c r="D171" s="222" t="s">
        <v>1113</v>
      </c>
      <c r="E171" s="222" t="s">
        <v>1114</v>
      </c>
      <c r="F171" s="222"/>
      <c r="G171" s="223">
        <v>29.99999991</v>
      </c>
      <c r="H171" s="222">
        <v>0.05</v>
      </c>
      <c r="I171" s="224">
        <v>115.2</v>
      </c>
      <c r="J171" s="224">
        <v>3628.7999891136001</v>
      </c>
      <c r="K171" s="222" t="s">
        <v>1109</v>
      </c>
      <c r="L171" s="222">
        <v>4</v>
      </c>
      <c r="M171" s="222" t="s">
        <v>1115</v>
      </c>
      <c r="N171" s="222">
        <v>1</v>
      </c>
      <c r="O171" s="222">
        <v>0</v>
      </c>
      <c r="P171" s="225">
        <v>195</v>
      </c>
      <c r="Q171" s="224">
        <v>0</v>
      </c>
      <c r="R171" s="222">
        <v>4.04</v>
      </c>
      <c r="S171" s="226" t="str">
        <f>IFERROR(_xlfn.XLOOKUP(R171,'1_Presupuesto'!$E:$E,'1_Presupuesto'!$D:$D),"")</f>
        <v>Albañilería MO</v>
      </c>
    </row>
    <row r="172" spans="1:19" ht="15" customHeight="1" x14ac:dyDescent="0.35">
      <c r="A172" s="222" t="s">
        <v>1108</v>
      </c>
      <c r="B172" s="222" t="s">
        <v>654</v>
      </c>
      <c r="C172" s="222" t="s">
        <v>719</v>
      </c>
      <c r="D172" s="222" t="s">
        <v>1051</v>
      </c>
      <c r="E172" s="222" t="s">
        <v>1052</v>
      </c>
      <c r="F172" s="222"/>
      <c r="G172" s="223">
        <v>1.7500000000000002E-2</v>
      </c>
      <c r="H172" s="222">
        <v>0.1</v>
      </c>
      <c r="I172" s="224">
        <v>31265.15</v>
      </c>
      <c r="J172" s="224">
        <v>601.85413750000021</v>
      </c>
      <c r="K172" s="222" t="s">
        <v>1109</v>
      </c>
      <c r="L172" s="222">
        <v>5</v>
      </c>
      <c r="M172" s="222" t="s">
        <v>1116</v>
      </c>
      <c r="N172" s="222">
        <v>1</v>
      </c>
      <c r="O172" s="222">
        <v>0</v>
      </c>
      <c r="P172" s="225">
        <v>195</v>
      </c>
      <c r="Q172" s="224">
        <v>0</v>
      </c>
      <c r="R172" s="222">
        <v>4.04</v>
      </c>
      <c r="S172" s="226" t="str">
        <f>IFERROR(_xlfn.XLOOKUP(R172,'1_Presupuesto'!$E:$E,'1_Presupuesto'!$D:$D),"")</f>
        <v>Albañilería MO</v>
      </c>
    </row>
    <row r="173" spans="1:19" ht="15" customHeight="1" x14ac:dyDescent="0.35">
      <c r="A173" s="222" t="s">
        <v>1108</v>
      </c>
      <c r="B173" s="222" t="s">
        <v>639</v>
      </c>
      <c r="C173" s="222" t="s">
        <v>646</v>
      </c>
      <c r="D173" s="222" t="s">
        <v>723</v>
      </c>
      <c r="E173" s="222" t="s">
        <v>724</v>
      </c>
      <c r="F173" s="222" t="s">
        <v>643</v>
      </c>
      <c r="G173" s="223">
        <v>4.7619050000000003E-2</v>
      </c>
      <c r="H173" s="222">
        <v>0</v>
      </c>
      <c r="I173" s="224">
        <v>75113.05</v>
      </c>
      <c r="J173" s="224">
        <v>3576.8120836025</v>
      </c>
      <c r="K173" s="222" t="s">
        <v>1117</v>
      </c>
      <c r="L173" s="222">
        <v>1</v>
      </c>
      <c r="M173" s="222" t="s">
        <v>1118</v>
      </c>
      <c r="N173" s="222">
        <v>1</v>
      </c>
      <c r="O173" s="222">
        <v>4.7619050000000003E-2</v>
      </c>
      <c r="P173" s="225">
        <v>195</v>
      </c>
      <c r="Q173" s="224">
        <v>9.2857147500000004</v>
      </c>
      <c r="R173" s="222">
        <v>4.04</v>
      </c>
      <c r="S173" s="226" t="str">
        <f>IFERROR(_xlfn.XLOOKUP(R173,'1_Presupuesto'!$E:$E,'1_Presupuesto'!$D:$D),"")</f>
        <v>Albañilería MO</v>
      </c>
    </row>
    <row r="174" spans="1:19" ht="15" customHeight="1" x14ac:dyDescent="0.35">
      <c r="A174" s="222" t="s">
        <v>1108</v>
      </c>
      <c r="B174" s="222" t="s">
        <v>639</v>
      </c>
      <c r="C174" s="222" t="s">
        <v>646</v>
      </c>
      <c r="D174" s="222" t="s">
        <v>647</v>
      </c>
      <c r="E174" s="222" t="s">
        <v>648</v>
      </c>
      <c r="F174" s="222" t="s">
        <v>643</v>
      </c>
      <c r="G174" s="223">
        <v>4.7619050000000003E-2</v>
      </c>
      <c r="H174" s="222">
        <v>0</v>
      </c>
      <c r="I174" s="224">
        <v>49934.239999999998</v>
      </c>
      <c r="J174" s="224">
        <v>2377.8210712720002</v>
      </c>
      <c r="K174" s="222" t="s">
        <v>1117</v>
      </c>
      <c r="L174" s="222">
        <v>2</v>
      </c>
      <c r="M174" s="222" t="s">
        <v>1119</v>
      </c>
      <c r="N174" s="222">
        <v>1</v>
      </c>
      <c r="O174" s="222">
        <v>4.7619050000000003E-2</v>
      </c>
      <c r="P174" s="225">
        <v>195</v>
      </c>
      <c r="Q174" s="224">
        <v>9.2857147500000004</v>
      </c>
      <c r="R174" s="222">
        <v>4.04</v>
      </c>
      <c r="S174" s="226" t="str">
        <f>IFERROR(_xlfn.XLOOKUP(R174,'1_Presupuesto'!$E:$E,'1_Presupuesto'!$D:$D),"")</f>
        <v>Albañilería MO</v>
      </c>
    </row>
    <row r="175" spans="1:19" ht="15" customHeight="1" x14ac:dyDescent="0.35">
      <c r="A175" s="222" t="s">
        <v>1108</v>
      </c>
      <c r="B175" s="222" t="s">
        <v>13</v>
      </c>
      <c r="C175" s="222"/>
      <c r="D175" s="222" t="s">
        <v>1063</v>
      </c>
      <c r="E175" s="222" t="s">
        <v>1064</v>
      </c>
      <c r="F175" s="222"/>
      <c r="G175" s="223">
        <v>7.1428569999999997E-2</v>
      </c>
      <c r="H175" s="222">
        <v>0</v>
      </c>
      <c r="I175" s="224">
        <v>2227.2298000000001</v>
      </c>
      <c r="J175" s="224">
        <v>159.08783967538599</v>
      </c>
      <c r="K175" s="222" t="s">
        <v>1120</v>
      </c>
      <c r="L175" s="222">
        <v>1</v>
      </c>
      <c r="M175" s="222" t="s">
        <v>1121</v>
      </c>
      <c r="N175" s="222">
        <v>1</v>
      </c>
      <c r="O175" s="222">
        <v>0</v>
      </c>
      <c r="P175" s="225">
        <v>195</v>
      </c>
      <c r="Q175" s="224">
        <v>0</v>
      </c>
      <c r="R175" s="222">
        <v>4.04</v>
      </c>
      <c r="S175" s="226" t="str">
        <f>IFERROR(_xlfn.XLOOKUP(R175,'1_Presupuesto'!$E:$E,'1_Presupuesto'!$D:$D),"")</f>
        <v>Albañilería MO</v>
      </c>
    </row>
    <row r="176" spans="1:19" ht="15" customHeight="1" x14ac:dyDescent="0.35">
      <c r="A176" s="222" t="s">
        <v>1108</v>
      </c>
      <c r="B176" s="222" t="s">
        <v>13</v>
      </c>
      <c r="C176" s="222"/>
      <c r="D176" s="222" t="s">
        <v>1067</v>
      </c>
      <c r="E176" s="222" t="s">
        <v>1068</v>
      </c>
      <c r="F176" s="222"/>
      <c r="G176" s="223">
        <v>3.5714290000000003E-2</v>
      </c>
      <c r="H176" s="222">
        <v>0</v>
      </c>
      <c r="I176" s="224">
        <v>556.21879999999999</v>
      </c>
      <c r="J176" s="224">
        <v>19.864959526652001</v>
      </c>
      <c r="K176" s="222" t="s">
        <v>1120</v>
      </c>
      <c r="L176" s="222">
        <v>2</v>
      </c>
      <c r="M176" s="222" t="s">
        <v>1122</v>
      </c>
      <c r="N176" s="222">
        <v>1</v>
      </c>
      <c r="O176" s="222">
        <v>0</v>
      </c>
      <c r="P176" s="225">
        <v>195</v>
      </c>
      <c r="Q176" s="224">
        <v>0</v>
      </c>
      <c r="R176" s="222">
        <v>4.04</v>
      </c>
      <c r="S176" s="226" t="str">
        <f>IFERROR(_xlfn.XLOOKUP(R176,'1_Presupuesto'!$E:$E,'1_Presupuesto'!$D:$D),"")</f>
        <v>Albañilería MO</v>
      </c>
    </row>
    <row r="177" spans="1:19" ht="15" customHeight="1" x14ac:dyDescent="0.35">
      <c r="A177" s="222" t="s">
        <v>1108</v>
      </c>
      <c r="B177" s="222" t="s">
        <v>13</v>
      </c>
      <c r="C177" s="222"/>
      <c r="D177" s="222" t="s">
        <v>1070</v>
      </c>
      <c r="E177" s="222" t="s">
        <v>1071</v>
      </c>
      <c r="F177" s="222"/>
      <c r="G177" s="223">
        <v>7.1428569999999997E-2</v>
      </c>
      <c r="H177" s="222">
        <v>0</v>
      </c>
      <c r="I177" s="224">
        <v>932.18029999999999</v>
      </c>
      <c r="J177" s="224">
        <v>66.584305811170992</v>
      </c>
      <c r="K177" s="222" t="s">
        <v>1120</v>
      </c>
      <c r="L177" s="222">
        <v>3</v>
      </c>
      <c r="M177" s="222" t="s">
        <v>1123</v>
      </c>
      <c r="N177" s="222">
        <v>1</v>
      </c>
      <c r="O177" s="222">
        <v>0</v>
      </c>
      <c r="P177" s="225">
        <v>195</v>
      </c>
      <c r="Q177" s="224">
        <v>0</v>
      </c>
      <c r="R177" s="222">
        <v>4.04</v>
      </c>
      <c r="S177" s="226" t="str">
        <f>IFERROR(_xlfn.XLOOKUP(R177,'1_Presupuesto'!$E:$E,'1_Presupuesto'!$D:$D),"")</f>
        <v>Albañilería MO</v>
      </c>
    </row>
    <row r="178" spans="1:19" ht="15" customHeight="1" x14ac:dyDescent="0.35">
      <c r="A178" s="222" t="s">
        <v>1108</v>
      </c>
      <c r="B178" s="222" t="s">
        <v>654</v>
      </c>
      <c r="C178" s="222" t="s">
        <v>655</v>
      </c>
      <c r="D178" s="222" t="s">
        <v>656</v>
      </c>
      <c r="E178" s="222" t="s">
        <v>657</v>
      </c>
      <c r="F178" s="222"/>
      <c r="G178" s="223">
        <v>59.203899999999997</v>
      </c>
      <c r="H178" s="222">
        <v>0</v>
      </c>
      <c r="I178" s="224">
        <v>1</v>
      </c>
      <c r="J178" s="224">
        <v>59.203899999999997</v>
      </c>
      <c r="K178" s="222" t="s">
        <v>1109</v>
      </c>
      <c r="L178" s="222">
        <v>6</v>
      </c>
      <c r="M178" s="222" t="s">
        <v>1124</v>
      </c>
      <c r="N178" s="222">
        <v>1</v>
      </c>
      <c r="O178" s="222">
        <v>0</v>
      </c>
      <c r="P178" s="225">
        <v>195</v>
      </c>
      <c r="Q178" s="224">
        <v>0</v>
      </c>
      <c r="R178" s="222">
        <v>4.04</v>
      </c>
      <c r="S178" s="226" t="str">
        <f>IFERROR(_xlfn.XLOOKUP(R178,'1_Presupuesto'!$E:$E,'1_Presupuesto'!$D:$D),"")</f>
        <v>Albañilería MO</v>
      </c>
    </row>
    <row r="179" spans="1:19" ht="15" customHeight="1" x14ac:dyDescent="0.35">
      <c r="A179" s="222" t="s">
        <v>1125</v>
      </c>
      <c r="B179" s="222" t="s">
        <v>654</v>
      </c>
      <c r="C179" s="222" t="s">
        <v>719</v>
      </c>
      <c r="D179" s="222" t="s">
        <v>1057</v>
      </c>
      <c r="E179" s="222" t="s">
        <v>1058</v>
      </c>
      <c r="F179" s="222"/>
      <c r="G179" s="223">
        <v>0.22500000000000001</v>
      </c>
      <c r="H179" s="222">
        <v>0.1</v>
      </c>
      <c r="I179" s="224">
        <v>7233.47</v>
      </c>
      <c r="J179" s="224">
        <v>1790.283825</v>
      </c>
      <c r="K179" s="222" t="s">
        <v>1126</v>
      </c>
      <c r="L179" s="222">
        <v>1</v>
      </c>
      <c r="M179" s="222" t="s">
        <v>1127</v>
      </c>
      <c r="N179" s="222">
        <v>1</v>
      </c>
      <c r="O179" s="222">
        <v>0</v>
      </c>
      <c r="P179" s="225">
        <v>30.053999999999998</v>
      </c>
      <c r="Q179" s="224">
        <v>0</v>
      </c>
      <c r="R179" s="222">
        <v>4.05</v>
      </c>
      <c r="S179" s="226" t="str">
        <f>IFERROR(_xlfn.XLOOKUP(R179,'1_Presupuesto'!$E:$E,'1_Presupuesto'!$D:$D),"")</f>
        <v>Albañilería MO</v>
      </c>
    </row>
    <row r="180" spans="1:19" ht="15" customHeight="1" x14ac:dyDescent="0.35">
      <c r="A180" s="222" t="s">
        <v>1125</v>
      </c>
      <c r="B180" s="222" t="s">
        <v>654</v>
      </c>
      <c r="C180" s="222" t="s">
        <v>719</v>
      </c>
      <c r="D180" s="222" t="s">
        <v>1054</v>
      </c>
      <c r="E180" s="222" t="s">
        <v>1055</v>
      </c>
      <c r="F180" s="222"/>
      <c r="G180" s="223">
        <v>0.45</v>
      </c>
      <c r="H180" s="222">
        <v>0.1</v>
      </c>
      <c r="I180" s="224">
        <v>3532.67</v>
      </c>
      <c r="J180" s="224">
        <v>1748.67165</v>
      </c>
      <c r="K180" s="222" t="s">
        <v>1126</v>
      </c>
      <c r="L180" s="222">
        <v>2</v>
      </c>
      <c r="M180" s="222" t="s">
        <v>1128</v>
      </c>
      <c r="N180" s="222">
        <v>1</v>
      </c>
      <c r="O180" s="222">
        <v>0</v>
      </c>
      <c r="P180" s="225">
        <v>30.053999999999998</v>
      </c>
      <c r="Q180" s="224">
        <v>0</v>
      </c>
      <c r="R180" s="222">
        <v>4.05</v>
      </c>
      <c r="S180" s="226" t="str">
        <f>IFERROR(_xlfn.XLOOKUP(R180,'1_Presupuesto'!$E:$E,'1_Presupuesto'!$D:$D),"")</f>
        <v>Albañilería MO</v>
      </c>
    </row>
    <row r="181" spans="1:19" ht="15" customHeight="1" x14ac:dyDescent="0.35">
      <c r="A181" s="222" t="s">
        <v>1125</v>
      </c>
      <c r="B181" s="222" t="s">
        <v>654</v>
      </c>
      <c r="C181" s="222" t="s">
        <v>719</v>
      </c>
      <c r="D181" s="222" t="s">
        <v>1048</v>
      </c>
      <c r="E181" s="222" t="s">
        <v>1049</v>
      </c>
      <c r="F181" s="222"/>
      <c r="G181" s="223">
        <v>0.255</v>
      </c>
      <c r="H181" s="222">
        <v>0.1</v>
      </c>
      <c r="I181" s="224">
        <v>3611.22</v>
      </c>
      <c r="J181" s="224">
        <v>1012.94721</v>
      </c>
      <c r="K181" s="222" t="s">
        <v>1126</v>
      </c>
      <c r="L181" s="222">
        <v>3</v>
      </c>
      <c r="M181" s="222" t="s">
        <v>1129</v>
      </c>
      <c r="N181" s="222">
        <v>1</v>
      </c>
      <c r="O181" s="222">
        <v>0</v>
      </c>
      <c r="P181" s="225">
        <v>30.053999999999998</v>
      </c>
      <c r="Q181" s="224">
        <v>0</v>
      </c>
      <c r="R181" s="222">
        <v>4.05</v>
      </c>
      <c r="S181" s="226" t="str">
        <f>IFERROR(_xlfn.XLOOKUP(R181,'1_Presupuesto'!$E:$E,'1_Presupuesto'!$D:$D),"")</f>
        <v>Albañilería MO</v>
      </c>
    </row>
    <row r="182" spans="1:19" ht="15" customHeight="1" x14ac:dyDescent="0.35">
      <c r="A182" s="222" t="s">
        <v>1125</v>
      </c>
      <c r="B182" s="222" t="s">
        <v>654</v>
      </c>
      <c r="C182" s="222" t="s">
        <v>719</v>
      </c>
      <c r="D182" s="222" t="s">
        <v>1113</v>
      </c>
      <c r="E182" s="222" t="s">
        <v>1114</v>
      </c>
      <c r="F182" s="222"/>
      <c r="G182" s="223">
        <v>89.999999709999997</v>
      </c>
      <c r="H182" s="222">
        <v>0.05</v>
      </c>
      <c r="I182" s="224">
        <v>115.2</v>
      </c>
      <c r="J182" s="224">
        <v>10886.3999649216</v>
      </c>
      <c r="K182" s="222" t="s">
        <v>1126</v>
      </c>
      <c r="L182" s="222">
        <v>4</v>
      </c>
      <c r="M182" s="222" t="s">
        <v>1130</v>
      </c>
      <c r="N182" s="222">
        <v>1</v>
      </c>
      <c r="O182" s="222">
        <v>0</v>
      </c>
      <c r="P182" s="225">
        <v>30.053999999999998</v>
      </c>
      <c r="Q182" s="224">
        <v>0</v>
      </c>
      <c r="R182" s="222">
        <v>4.05</v>
      </c>
      <c r="S182" s="226" t="str">
        <f>IFERROR(_xlfn.XLOOKUP(R182,'1_Presupuesto'!$E:$E,'1_Presupuesto'!$D:$D),"")</f>
        <v>Albañilería MO</v>
      </c>
    </row>
    <row r="183" spans="1:19" ht="15" customHeight="1" x14ac:dyDescent="0.35">
      <c r="A183" s="222" t="s">
        <v>1125</v>
      </c>
      <c r="B183" s="222" t="s">
        <v>654</v>
      </c>
      <c r="C183" s="222" t="s">
        <v>719</v>
      </c>
      <c r="D183" s="222" t="s">
        <v>1051</v>
      </c>
      <c r="E183" s="222" t="s">
        <v>1052</v>
      </c>
      <c r="F183" s="222"/>
      <c r="G183" s="223">
        <v>5.2499999999999998E-2</v>
      </c>
      <c r="H183" s="222">
        <v>0.1</v>
      </c>
      <c r="I183" s="224">
        <v>31265.15</v>
      </c>
      <c r="J183" s="224">
        <v>1805.5624124999999</v>
      </c>
      <c r="K183" s="222" t="s">
        <v>1126</v>
      </c>
      <c r="L183" s="222">
        <v>5</v>
      </c>
      <c r="M183" s="222" t="s">
        <v>1131</v>
      </c>
      <c r="N183" s="222">
        <v>1</v>
      </c>
      <c r="O183" s="222">
        <v>0</v>
      </c>
      <c r="P183" s="225">
        <v>30.053999999999998</v>
      </c>
      <c r="Q183" s="224">
        <v>0</v>
      </c>
      <c r="R183" s="222">
        <v>4.05</v>
      </c>
      <c r="S183" s="226" t="str">
        <f>IFERROR(_xlfn.XLOOKUP(R183,'1_Presupuesto'!$E:$E,'1_Presupuesto'!$D:$D),"")</f>
        <v>Albañilería MO</v>
      </c>
    </row>
    <row r="184" spans="1:19" ht="15" customHeight="1" x14ac:dyDescent="0.35">
      <c r="A184" s="222" t="s">
        <v>1125</v>
      </c>
      <c r="B184" s="222" t="s">
        <v>639</v>
      </c>
      <c r="C184" s="222" t="s">
        <v>640</v>
      </c>
      <c r="D184" s="222" t="s">
        <v>1132</v>
      </c>
      <c r="E184" s="222" t="s">
        <v>1133</v>
      </c>
      <c r="F184" s="222" t="s">
        <v>643</v>
      </c>
      <c r="G184" s="223">
        <v>0.14285713999999999</v>
      </c>
      <c r="H184" s="222">
        <v>0</v>
      </c>
      <c r="I184" s="224">
        <v>75113.048200000005</v>
      </c>
      <c r="J184" s="224">
        <v>10730.435242534149</v>
      </c>
      <c r="K184" s="222" t="s">
        <v>1134</v>
      </c>
      <c r="L184" s="222">
        <v>1</v>
      </c>
      <c r="M184" s="222" t="s">
        <v>1135</v>
      </c>
      <c r="N184" s="222">
        <v>1</v>
      </c>
      <c r="O184" s="222">
        <v>0</v>
      </c>
      <c r="P184" s="225">
        <v>30.053999999999998</v>
      </c>
      <c r="Q184" s="224">
        <v>0</v>
      </c>
      <c r="R184" s="222">
        <v>4.05</v>
      </c>
      <c r="S184" s="226" t="str">
        <f>IFERROR(_xlfn.XLOOKUP(R184,'1_Presupuesto'!$E:$E,'1_Presupuesto'!$D:$D),"")</f>
        <v>Albañilería MO</v>
      </c>
    </row>
    <row r="185" spans="1:19" ht="15" customHeight="1" x14ac:dyDescent="0.35">
      <c r="A185" s="222" t="s">
        <v>1125</v>
      </c>
      <c r="B185" s="222" t="s">
        <v>639</v>
      </c>
      <c r="C185" s="222" t="s">
        <v>640</v>
      </c>
      <c r="D185" s="222" t="s">
        <v>1136</v>
      </c>
      <c r="E185" s="222" t="s">
        <v>1137</v>
      </c>
      <c r="F185" s="222" t="s">
        <v>643</v>
      </c>
      <c r="G185" s="223">
        <v>0.14285713999999999</v>
      </c>
      <c r="H185" s="222">
        <v>0</v>
      </c>
      <c r="I185" s="224">
        <v>49934.237200000003</v>
      </c>
      <c r="J185" s="224">
        <v>7133.4623144736079</v>
      </c>
      <c r="K185" s="222" t="s">
        <v>1134</v>
      </c>
      <c r="L185" s="222">
        <v>2</v>
      </c>
      <c r="M185" s="222" t="s">
        <v>1138</v>
      </c>
      <c r="N185" s="222">
        <v>1</v>
      </c>
      <c r="O185" s="222">
        <v>0</v>
      </c>
      <c r="P185" s="225">
        <v>30.053999999999998</v>
      </c>
      <c r="Q185" s="224">
        <v>0</v>
      </c>
      <c r="R185" s="222">
        <v>4.05</v>
      </c>
      <c r="S185" s="226" t="str">
        <f>IFERROR(_xlfn.XLOOKUP(R185,'1_Presupuesto'!$E:$E,'1_Presupuesto'!$D:$D),"")</f>
        <v>Albañilería MO</v>
      </c>
    </row>
    <row r="186" spans="1:19" ht="15" customHeight="1" x14ac:dyDescent="0.35">
      <c r="A186" s="222" t="s">
        <v>1125</v>
      </c>
      <c r="B186" s="222" t="s">
        <v>639</v>
      </c>
      <c r="C186" s="222" t="s">
        <v>646</v>
      </c>
      <c r="D186" s="222" t="s">
        <v>723</v>
      </c>
      <c r="E186" s="222" t="s">
        <v>724</v>
      </c>
      <c r="F186" s="222" t="s">
        <v>643</v>
      </c>
      <c r="G186" s="223">
        <v>0.14285713999999999</v>
      </c>
      <c r="H186" s="222">
        <v>0</v>
      </c>
      <c r="I186" s="224">
        <v>75113.05</v>
      </c>
      <c r="J186" s="224">
        <v>10730.435499677</v>
      </c>
      <c r="K186" s="222" t="s">
        <v>1134</v>
      </c>
      <c r="L186" s="222">
        <v>3</v>
      </c>
      <c r="M186" s="222" t="s">
        <v>1139</v>
      </c>
      <c r="N186" s="222">
        <v>1</v>
      </c>
      <c r="O186" s="222">
        <v>0.14285713999999999</v>
      </c>
      <c r="P186" s="225">
        <v>30.053999999999998</v>
      </c>
      <c r="Q186" s="224">
        <v>4.2934284900000002</v>
      </c>
      <c r="R186" s="222">
        <v>4.05</v>
      </c>
      <c r="S186" s="226" t="str">
        <f>IFERROR(_xlfn.XLOOKUP(R186,'1_Presupuesto'!$E:$E,'1_Presupuesto'!$D:$D),"")</f>
        <v>Albañilería MO</v>
      </c>
    </row>
    <row r="187" spans="1:19" ht="15" customHeight="1" x14ac:dyDescent="0.35">
      <c r="A187" s="222" t="s">
        <v>1125</v>
      </c>
      <c r="B187" s="222" t="s">
        <v>639</v>
      </c>
      <c r="C187" s="222" t="s">
        <v>646</v>
      </c>
      <c r="D187" s="222" t="s">
        <v>647</v>
      </c>
      <c r="E187" s="222" t="s">
        <v>648</v>
      </c>
      <c r="F187" s="222" t="s">
        <v>643</v>
      </c>
      <c r="G187" s="223">
        <v>0.14285713999999999</v>
      </c>
      <c r="H187" s="222">
        <v>0</v>
      </c>
      <c r="I187" s="224">
        <v>49934.239999999998</v>
      </c>
      <c r="J187" s="224">
        <v>7133.4627144735996</v>
      </c>
      <c r="K187" s="222" t="s">
        <v>1134</v>
      </c>
      <c r="L187" s="222">
        <v>4</v>
      </c>
      <c r="M187" s="222" t="s">
        <v>1140</v>
      </c>
      <c r="N187" s="222">
        <v>1</v>
      </c>
      <c r="O187" s="222">
        <v>0.14285713999999999</v>
      </c>
      <c r="P187" s="225">
        <v>30.053999999999998</v>
      </c>
      <c r="Q187" s="224">
        <v>4.2934284900000002</v>
      </c>
      <c r="R187" s="222">
        <v>4.05</v>
      </c>
      <c r="S187" s="226" t="str">
        <f>IFERROR(_xlfn.XLOOKUP(R187,'1_Presupuesto'!$E:$E,'1_Presupuesto'!$D:$D),"")</f>
        <v>Albañilería MO</v>
      </c>
    </row>
    <row r="188" spans="1:19" ht="15" customHeight="1" x14ac:dyDescent="0.35">
      <c r="A188" s="222" t="s">
        <v>1125</v>
      </c>
      <c r="B188" s="222" t="s">
        <v>13</v>
      </c>
      <c r="C188" s="222"/>
      <c r="D188" s="222" t="s">
        <v>1063</v>
      </c>
      <c r="E188" s="222" t="s">
        <v>1064</v>
      </c>
      <c r="F188" s="222"/>
      <c r="G188" s="223">
        <v>0.14285713999999999</v>
      </c>
      <c r="H188" s="222">
        <v>0</v>
      </c>
      <c r="I188" s="224">
        <v>2227.2298000000001</v>
      </c>
      <c r="J188" s="224">
        <v>318.17567935077199</v>
      </c>
      <c r="K188" s="222" t="s">
        <v>1141</v>
      </c>
      <c r="L188" s="222">
        <v>1</v>
      </c>
      <c r="M188" s="222" t="s">
        <v>1142</v>
      </c>
      <c r="N188" s="222">
        <v>1</v>
      </c>
      <c r="O188" s="222">
        <v>0</v>
      </c>
      <c r="P188" s="225">
        <v>30.053999999999998</v>
      </c>
      <c r="Q188" s="224">
        <v>0</v>
      </c>
      <c r="R188" s="222">
        <v>4.05</v>
      </c>
      <c r="S188" s="226" t="str">
        <f>IFERROR(_xlfn.XLOOKUP(R188,'1_Presupuesto'!$E:$E,'1_Presupuesto'!$D:$D),"")</f>
        <v>Albañilería MO</v>
      </c>
    </row>
    <row r="189" spans="1:19" ht="15" customHeight="1" x14ac:dyDescent="0.35">
      <c r="A189" s="222" t="s">
        <v>1125</v>
      </c>
      <c r="B189" s="222" t="s">
        <v>13</v>
      </c>
      <c r="C189" s="222"/>
      <c r="D189" s="222" t="s">
        <v>1067</v>
      </c>
      <c r="E189" s="222" t="s">
        <v>1068</v>
      </c>
      <c r="F189" s="222"/>
      <c r="G189" s="223">
        <v>7.1428569999999997E-2</v>
      </c>
      <c r="H189" s="222">
        <v>0</v>
      </c>
      <c r="I189" s="224">
        <v>556.21879999999999</v>
      </c>
      <c r="J189" s="224">
        <v>39.729913491115987</v>
      </c>
      <c r="K189" s="222" t="s">
        <v>1141</v>
      </c>
      <c r="L189" s="222">
        <v>2</v>
      </c>
      <c r="M189" s="222" t="s">
        <v>1143</v>
      </c>
      <c r="N189" s="222">
        <v>1</v>
      </c>
      <c r="O189" s="222">
        <v>0</v>
      </c>
      <c r="P189" s="225">
        <v>30.053999999999998</v>
      </c>
      <c r="Q189" s="224">
        <v>0</v>
      </c>
      <c r="R189" s="222">
        <v>4.05</v>
      </c>
      <c r="S189" s="226" t="str">
        <f>IFERROR(_xlfn.XLOOKUP(R189,'1_Presupuesto'!$E:$E,'1_Presupuesto'!$D:$D),"")</f>
        <v>Albañilería MO</v>
      </c>
    </row>
    <row r="190" spans="1:19" ht="15" customHeight="1" x14ac:dyDescent="0.35">
      <c r="A190" s="222" t="s">
        <v>1125</v>
      </c>
      <c r="B190" s="222" t="s">
        <v>13</v>
      </c>
      <c r="C190" s="222"/>
      <c r="D190" s="222" t="s">
        <v>1070</v>
      </c>
      <c r="E190" s="222" t="s">
        <v>1071</v>
      </c>
      <c r="F190" s="222"/>
      <c r="G190" s="223">
        <v>0.14285713999999999</v>
      </c>
      <c r="H190" s="222">
        <v>0</v>
      </c>
      <c r="I190" s="224">
        <v>932.18029999999999</v>
      </c>
      <c r="J190" s="224">
        <v>133.16861162234201</v>
      </c>
      <c r="K190" s="222" t="s">
        <v>1141</v>
      </c>
      <c r="L190" s="222">
        <v>3</v>
      </c>
      <c r="M190" s="222" t="s">
        <v>1144</v>
      </c>
      <c r="N190" s="222">
        <v>1</v>
      </c>
      <c r="O190" s="222">
        <v>0</v>
      </c>
      <c r="P190" s="225">
        <v>30.053999999999998</v>
      </c>
      <c r="Q190" s="224">
        <v>0</v>
      </c>
      <c r="R190" s="222">
        <v>4.05</v>
      </c>
      <c r="S190" s="226" t="str">
        <f>IFERROR(_xlfn.XLOOKUP(R190,'1_Presupuesto'!$E:$E,'1_Presupuesto'!$D:$D),"")</f>
        <v>Albañilería MO</v>
      </c>
    </row>
    <row r="191" spans="1:19" ht="15" customHeight="1" x14ac:dyDescent="0.35">
      <c r="A191" s="222" t="s">
        <v>1125</v>
      </c>
      <c r="B191" s="222" t="s">
        <v>654</v>
      </c>
      <c r="C191" s="222" t="s">
        <v>655</v>
      </c>
      <c r="D191" s="222" t="s">
        <v>656</v>
      </c>
      <c r="E191" s="222" t="s">
        <v>657</v>
      </c>
      <c r="F191" s="222"/>
      <c r="G191" s="223">
        <v>177.61179999999999</v>
      </c>
      <c r="H191" s="222">
        <v>0</v>
      </c>
      <c r="I191" s="224">
        <v>1</v>
      </c>
      <c r="J191" s="224">
        <v>177.61179999999999</v>
      </c>
      <c r="K191" s="222" t="s">
        <v>1126</v>
      </c>
      <c r="L191" s="222">
        <v>6</v>
      </c>
      <c r="M191" s="222" t="s">
        <v>1145</v>
      </c>
      <c r="N191" s="222">
        <v>1</v>
      </c>
      <c r="O191" s="222">
        <v>0</v>
      </c>
      <c r="P191" s="225">
        <v>30.053999999999998</v>
      </c>
      <c r="Q191" s="224">
        <v>0</v>
      </c>
      <c r="R191" s="222">
        <v>4.05</v>
      </c>
      <c r="S191" s="226" t="str">
        <f>IFERROR(_xlfn.XLOOKUP(R191,'1_Presupuesto'!$E:$E,'1_Presupuesto'!$D:$D),"")</f>
        <v>Albañilería MO</v>
      </c>
    </row>
    <row r="192" spans="1:19" ht="15" customHeight="1" x14ac:dyDescent="0.35">
      <c r="A192" s="222" t="s">
        <v>1146</v>
      </c>
      <c r="B192" s="222" t="s">
        <v>654</v>
      </c>
      <c r="C192" s="222" t="s">
        <v>719</v>
      </c>
      <c r="D192" s="222" t="s">
        <v>1147</v>
      </c>
      <c r="E192" s="222" t="s">
        <v>1148</v>
      </c>
      <c r="F192" s="222"/>
      <c r="G192" s="223">
        <v>25.000000060000001</v>
      </c>
      <c r="H192" s="222">
        <v>0.05</v>
      </c>
      <c r="I192" s="224">
        <v>919.8</v>
      </c>
      <c r="J192" s="224">
        <v>24144.7500579474</v>
      </c>
      <c r="K192" s="222" t="s">
        <v>1149</v>
      </c>
      <c r="L192" s="222">
        <v>1</v>
      </c>
      <c r="M192" s="222" t="s">
        <v>1150</v>
      </c>
      <c r="N192" s="222">
        <v>1</v>
      </c>
      <c r="O192" s="222">
        <v>0</v>
      </c>
      <c r="P192" s="225">
        <v>24</v>
      </c>
      <c r="Q192" s="224">
        <v>0</v>
      </c>
      <c r="R192" s="222">
        <v>4.0599999999999996</v>
      </c>
      <c r="S192" s="226" t="str">
        <f>IFERROR(_xlfn.XLOOKUP(R192,'1_Presupuesto'!$E:$E,'1_Presupuesto'!$D:$D),"")</f>
        <v>Albañilería MO</v>
      </c>
    </row>
    <row r="193" spans="1:19" ht="15" customHeight="1" x14ac:dyDescent="0.35">
      <c r="A193" s="222" t="s">
        <v>1146</v>
      </c>
      <c r="B193" s="222" t="s">
        <v>654</v>
      </c>
      <c r="C193" s="222" t="s">
        <v>719</v>
      </c>
      <c r="D193" s="222" t="s">
        <v>1048</v>
      </c>
      <c r="E193" s="222" t="s">
        <v>1049</v>
      </c>
      <c r="F193" s="222"/>
      <c r="G193" s="223">
        <v>0.34</v>
      </c>
      <c r="H193" s="222">
        <v>0.1</v>
      </c>
      <c r="I193" s="224">
        <v>3611.22</v>
      </c>
      <c r="J193" s="224">
        <v>1350.59628</v>
      </c>
      <c r="K193" s="222" t="s">
        <v>1149</v>
      </c>
      <c r="L193" s="222">
        <v>2</v>
      </c>
      <c r="M193" s="222" t="s">
        <v>1151</v>
      </c>
      <c r="N193" s="222">
        <v>1</v>
      </c>
      <c r="O193" s="222">
        <v>0</v>
      </c>
      <c r="P193" s="225">
        <v>24</v>
      </c>
      <c r="Q193" s="224">
        <v>0</v>
      </c>
      <c r="R193" s="222">
        <v>4.0599999999999996</v>
      </c>
      <c r="S193" s="226" t="str">
        <f>IFERROR(_xlfn.XLOOKUP(R193,'1_Presupuesto'!$E:$E,'1_Presupuesto'!$D:$D),"")</f>
        <v>Albañilería MO</v>
      </c>
    </row>
    <row r="194" spans="1:19" ht="15" customHeight="1" x14ac:dyDescent="0.35">
      <c r="A194" s="222" t="s">
        <v>1146</v>
      </c>
      <c r="B194" s="222" t="s">
        <v>654</v>
      </c>
      <c r="C194" s="222" t="s">
        <v>719</v>
      </c>
      <c r="D194" s="222" t="s">
        <v>1051</v>
      </c>
      <c r="E194" s="222" t="s">
        <v>1052</v>
      </c>
      <c r="F194" s="222"/>
      <c r="G194" s="223">
        <v>2.8799999999999999E-2</v>
      </c>
      <c r="H194" s="222">
        <v>0.1</v>
      </c>
      <c r="I194" s="224">
        <v>31265.15</v>
      </c>
      <c r="J194" s="224">
        <v>990.47995200000014</v>
      </c>
      <c r="K194" s="222" t="s">
        <v>1149</v>
      </c>
      <c r="L194" s="222">
        <v>3</v>
      </c>
      <c r="M194" s="222" t="s">
        <v>1152</v>
      </c>
      <c r="N194" s="222">
        <v>1</v>
      </c>
      <c r="O194" s="222">
        <v>0</v>
      </c>
      <c r="P194" s="225">
        <v>24</v>
      </c>
      <c r="Q194" s="224">
        <v>0</v>
      </c>
      <c r="R194" s="222">
        <v>4.0599999999999996</v>
      </c>
      <c r="S194" s="226" t="str">
        <f>IFERROR(_xlfn.XLOOKUP(R194,'1_Presupuesto'!$E:$E,'1_Presupuesto'!$D:$D),"")</f>
        <v>Albañilería MO</v>
      </c>
    </row>
    <row r="195" spans="1:19" ht="15" customHeight="1" x14ac:dyDescent="0.35">
      <c r="A195" s="222" t="s">
        <v>1146</v>
      </c>
      <c r="B195" s="222" t="s">
        <v>654</v>
      </c>
      <c r="C195" s="222" t="s">
        <v>719</v>
      </c>
      <c r="D195" s="222" t="s">
        <v>1054</v>
      </c>
      <c r="E195" s="222" t="s">
        <v>1055</v>
      </c>
      <c r="F195" s="222"/>
      <c r="G195" s="223">
        <v>0.24</v>
      </c>
      <c r="H195" s="222">
        <v>0.1</v>
      </c>
      <c r="I195" s="224">
        <v>3532.67</v>
      </c>
      <c r="J195" s="224">
        <v>932.62487999999996</v>
      </c>
      <c r="K195" s="222" t="s">
        <v>1149</v>
      </c>
      <c r="L195" s="222">
        <v>4</v>
      </c>
      <c r="M195" s="222" t="s">
        <v>1153</v>
      </c>
      <c r="N195" s="222">
        <v>1</v>
      </c>
      <c r="O195" s="222">
        <v>0</v>
      </c>
      <c r="P195" s="225">
        <v>24</v>
      </c>
      <c r="Q195" s="224">
        <v>0</v>
      </c>
      <c r="R195" s="222">
        <v>4.0599999999999996</v>
      </c>
      <c r="S195" s="226" t="str">
        <f>IFERROR(_xlfn.XLOOKUP(R195,'1_Presupuesto'!$E:$E,'1_Presupuesto'!$D:$D),"")</f>
        <v>Albañilería MO</v>
      </c>
    </row>
    <row r="196" spans="1:19" ht="15" customHeight="1" x14ac:dyDescent="0.35">
      <c r="A196" s="222" t="s">
        <v>1146</v>
      </c>
      <c r="B196" s="222" t="s">
        <v>654</v>
      </c>
      <c r="C196" s="222" t="s">
        <v>719</v>
      </c>
      <c r="D196" s="222" t="s">
        <v>1057</v>
      </c>
      <c r="E196" s="222" t="s">
        <v>1058</v>
      </c>
      <c r="F196" s="222"/>
      <c r="G196" s="223">
        <v>0.12479999999999999</v>
      </c>
      <c r="H196" s="222">
        <v>0.1</v>
      </c>
      <c r="I196" s="224">
        <v>7233.47</v>
      </c>
      <c r="J196" s="224">
        <v>993.01076160000002</v>
      </c>
      <c r="K196" s="222" t="s">
        <v>1149</v>
      </c>
      <c r="L196" s="222">
        <v>5</v>
      </c>
      <c r="M196" s="222" t="s">
        <v>1154</v>
      </c>
      <c r="N196" s="222">
        <v>1</v>
      </c>
      <c r="O196" s="222">
        <v>0</v>
      </c>
      <c r="P196" s="225">
        <v>24</v>
      </c>
      <c r="Q196" s="224">
        <v>0</v>
      </c>
      <c r="R196" s="222">
        <v>4.0599999999999996</v>
      </c>
      <c r="S196" s="226" t="str">
        <f>IFERROR(_xlfn.XLOOKUP(R196,'1_Presupuesto'!$E:$E,'1_Presupuesto'!$D:$D),"")</f>
        <v>Albañilería MO</v>
      </c>
    </row>
    <row r="197" spans="1:19" ht="15" customHeight="1" x14ac:dyDescent="0.35">
      <c r="A197" s="222" t="s">
        <v>1146</v>
      </c>
      <c r="B197" s="222" t="s">
        <v>639</v>
      </c>
      <c r="C197" s="222" t="s">
        <v>640</v>
      </c>
      <c r="D197" s="222" t="s">
        <v>1132</v>
      </c>
      <c r="E197" s="222" t="s">
        <v>1133</v>
      </c>
      <c r="F197" s="222" t="s">
        <v>643</v>
      </c>
      <c r="G197" s="223">
        <v>4.3478259999999998E-2</v>
      </c>
      <c r="H197" s="222">
        <v>0</v>
      </c>
      <c r="I197" s="224">
        <v>75113.048200000005</v>
      </c>
      <c r="J197" s="224">
        <v>3265.784639032132</v>
      </c>
      <c r="K197" s="222" t="s">
        <v>1155</v>
      </c>
      <c r="L197" s="222">
        <v>1</v>
      </c>
      <c r="M197" s="222" t="s">
        <v>1156</v>
      </c>
      <c r="N197" s="222">
        <v>1</v>
      </c>
      <c r="O197" s="222">
        <v>0</v>
      </c>
      <c r="P197" s="225">
        <v>24</v>
      </c>
      <c r="Q197" s="224">
        <v>0</v>
      </c>
      <c r="R197" s="222">
        <v>4.0599999999999996</v>
      </c>
      <c r="S197" s="226" t="str">
        <f>IFERROR(_xlfn.XLOOKUP(R197,'1_Presupuesto'!$E:$E,'1_Presupuesto'!$D:$D),"")</f>
        <v>Albañilería MO</v>
      </c>
    </row>
    <row r="198" spans="1:19" ht="15" customHeight="1" x14ac:dyDescent="0.35">
      <c r="A198" s="222" t="s">
        <v>1146</v>
      </c>
      <c r="B198" s="222" t="s">
        <v>639</v>
      </c>
      <c r="C198" s="222" t="s">
        <v>640</v>
      </c>
      <c r="D198" s="222" t="s">
        <v>1136</v>
      </c>
      <c r="E198" s="222" t="s">
        <v>1137</v>
      </c>
      <c r="F198" s="222" t="s">
        <v>643</v>
      </c>
      <c r="G198" s="223">
        <v>3.2608699999999997E-2</v>
      </c>
      <c r="H198" s="222">
        <v>0</v>
      </c>
      <c r="I198" s="224">
        <v>49934.237200000003</v>
      </c>
      <c r="J198" s="224">
        <v>1628.2905605836399</v>
      </c>
      <c r="K198" s="222" t="s">
        <v>1155</v>
      </c>
      <c r="L198" s="222">
        <v>2</v>
      </c>
      <c r="M198" s="222" t="s">
        <v>1157</v>
      </c>
      <c r="N198" s="222">
        <v>1</v>
      </c>
      <c r="O198" s="222">
        <v>0</v>
      </c>
      <c r="P198" s="225">
        <v>24</v>
      </c>
      <c r="Q198" s="224">
        <v>0</v>
      </c>
      <c r="R198" s="222">
        <v>4.0599999999999996</v>
      </c>
      <c r="S198" s="226" t="str">
        <f>IFERROR(_xlfn.XLOOKUP(R198,'1_Presupuesto'!$E:$E,'1_Presupuesto'!$D:$D),"")</f>
        <v>Albañilería MO</v>
      </c>
    </row>
    <row r="199" spans="1:19" ht="15" customHeight="1" x14ac:dyDescent="0.35">
      <c r="A199" s="222" t="s">
        <v>1146</v>
      </c>
      <c r="B199" s="222" t="s">
        <v>639</v>
      </c>
      <c r="C199" s="222" t="s">
        <v>646</v>
      </c>
      <c r="D199" s="222" t="s">
        <v>723</v>
      </c>
      <c r="E199" s="222" t="s">
        <v>724</v>
      </c>
      <c r="F199" s="222" t="s">
        <v>643</v>
      </c>
      <c r="G199" s="223">
        <v>8.6956519999999995E-2</v>
      </c>
      <c r="H199" s="222">
        <v>0</v>
      </c>
      <c r="I199" s="224">
        <v>75113.05</v>
      </c>
      <c r="J199" s="224">
        <v>6531.5694345860002</v>
      </c>
      <c r="K199" s="222" t="s">
        <v>1155</v>
      </c>
      <c r="L199" s="222">
        <v>3</v>
      </c>
      <c r="M199" s="222" t="s">
        <v>1158</v>
      </c>
      <c r="N199" s="222">
        <v>1</v>
      </c>
      <c r="O199" s="222">
        <v>8.6956519999999995E-2</v>
      </c>
      <c r="P199" s="225">
        <v>24</v>
      </c>
      <c r="Q199" s="224">
        <v>2.08695648</v>
      </c>
      <c r="R199" s="222">
        <v>4.0599999999999996</v>
      </c>
      <c r="S199" s="226" t="str">
        <f>IFERROR(_xlfn.XLOOKUP(R199,'1_Presupuesto'!$E:$E,'1_Presupuesto'!$D:$D),"")</f>
        <v>Albañilería MO</v>
      </c>
    </row>
    <row r="200" spans="1:19" ht="15" customHeight="1" x14ac:dyDescent="0.35">
      <c r="A200" s="222" t="s">
        <v>1146</v>
      </c>
      <c r="B200" s="222" t="s">
        <v>639</v>
      </c>
      <c r="C200" s="222" t="s">
        <v>646</v>
      </c>
      <c r="D200" s="222" t="s">
        <v>647</v>
      </c>
      <c r="E200" s="222" t="s">
        <v>648</v>
      </c>
      <c r="F200" s="222" t="s">
        <v>643</v>
      </c>
      <c r="G200" s="223">
        <v>6.521739E-2</v>
      </c>
      <c r="H200" s="222">
        <v>0</v>
      </c>
      <c r="I200" s="224">
        <v>49934.239999999998</v>
      </c>
      <c r="J200" s="224">
        <v>3256.5808044336</v>
      </c>
      <c r="K200" s="222" t="s">
        <v>1155</v>
      </c>
      <c r="L200" s="222">
        <v>4</v>
      </c>
      <c r="M200" s="222" t="s">
        <v>1159</v>
      </c>
      <c r="N200" s="222">
        <v>1</v>
      </c>
      <c r="O200" s="222">
        <v>6.521739E-2</v>
      </c>
      <c r="P200" s="225">
        <v>24</v>
      </c>
      <c r="Q200" s="224">
        <v>1.5652173599999999</v>
      </c>
      <c r="R200" s="222">
        <v>4.0599999999999996</v>
      </c>
      <c r="S200" s="226" t="str">
        <f>IFERROR(_xlfn.XLOOKUP(R200,'1_Presupuesto'!$E:$E,'1_Presupuesto'!$D:$D),"")</f>
        <v>Albañilería MO</v>
      </c>
    </row>
    <row r="201" spans="1:19" ht="15" customHeight="1" x14ac:dyDescent="0.35">
      <c r="A201" s="222" t="s">
        <v>1146</v>
      </c>
      <c r="B201" s="222" t="s">
        <v>13</v>
      </c>
      <c r="C201" s="222"/>
      <c r="D201" s="222" t="s">
        <v>1063</v>
      </c>
      <c r="E201" s="222" t="s">
        <v>1064</v>
      </c>
      <c r="F201" s="222"/>
      <c r="G201" s="223">
        <v>8.6956519999999995E-2</v>
      </c>
      <c r="H201" s="222">
        <v>0</v>
      </c>
      <c r="I201" s="224">
        <v>2227.2298000000001</v>
      </c>
      <c r="J201" s="224">
        <v>193.67215264829599</v>
      </c>
      <c r="K201" s="222" t="s">
        <v>1160</v>
      </c>
      <c r="L201" s="222">
        <v>1</v>
      </c>
      <c r="M201" s="222" t="s">
        <v>1161</v>
      </c>
      <c r="N201" s="222">
        <v>1</v>
      </c>
      <c r="O201" s="222">
        <v>0</v>
      </c>
      <c r="P201" s="225">
        <v>24</v>
      </c>
      <c r="Q201" s="224">
        <v>0</v>
      </c>
      <c r="R201" s="222">
        <v>4.0599999999999996</v>
      </c>
      <c r="S201" s="226" t="str">
        <f>IFERROR(_xlfn.XLOOKUP(R201,'1_Presupuesto'!$E:$E,'1_Presupuesto'!$D:$D),"")</f>
        <v>Albañilería MO</v>
      </c>
    </row>
    <row r="202" spans="1:19" ht="15" customHeight="1" x14ac:dyDescent="0.35">
      <c r="A202" s="222" t="s">
        <v>1146</v>
      </c>
      <c r="B202" s="222" t="s">
        <v>13</v>
      </c>
      <c r="C202" s="222"/>
      <c r="D202" s="222" t="s">
        <v>1067</v>
      </c>
      <c r="E202" s="222" t="s">
        <v>1068</v>
      </c>
      <c r="F202" s="222"/>
      <c r="G202" s="223">
        <v>4.3478259999999998E-2</v>
      </c>
      <c r="H202" s="222">
        <v>0</v>
      </c>
      <c r="I202" s="224">
        <v>556.21879999999999</v>
      </c>
      <c r="J202" s="224">
        <v>24.183425603288001</v>
      </c>
      <c r="K202" s="222" t="s">
        <v>1160</v>
      </c>
      <c r="L202" s="222">
        <v>2</v>
      </c>
      <c r="M202" s="222" t="s">
        <v>1162</v>
      </c>
      <c r="N202" s="222">
        <v>1</v>
      </c>
      <c r="O202" s="222">
        <v>0</v>
      </c>
      <c r="P202" s="225">
        <v>24</v>
      </c>
      <c r="Q202" s="224">
        <v>0</v>
      </c>
      <c r="R202" s="222">
        <v>4.0599999999999996</v>
      </c>
      <c r="S202" s="226" t="str">
        <f>IFERROR(_xlfn.XLOOKUP(R202,'1_Presupuesto'!$E:$E,'1_Presupuesto'!$D:$D),"")</f>
        <v>Albañilería MO</v>
      </c>
    </row>
    <row r="203" spans="1:19" ht="15" customHeight="1" x14ac:dyDescent="0.35">
      <c r="A203" s="222" t="s">
        <v>1146</v>
      </c>
      <c r="B203" s="222" t="s">
        <v>13</v>
      </c>
      <c r="C203" s="222"/>
      <c r="D203" s="222" t="s">
        <v>1070</v>
      </c>
      <c r="E203" s="222" t="s">
        <v>1071</v>
      </c>
      <c r="F203" s="222"/>
      <c r="G203" s="223">
        <v>8.6956519999999995E-2</v>
      </c>
      <c r="H203" s="222">
        <v>0</v>
      </c>
      <c r="I203" s="224">
        <v>932.18029999999999</v>
      </c>
      <c r="J203" s="224">
        <v>81.059154900555995</v>
      </c>
      <c r="K203" s="222" t="s">
        <v>1160</v>
      </c>
      <c r="L203" s="222">
        <v>3</v>
      </c>
      <c r="M203" s="222" t="s">
        <v>1163</v>
      </c>
      <c r="N203" s="222">
        <v>1</v>
      </c>
      <c r="O203" s="222">
        <v>0</v>
      </c>
      <c r="P203" s="225">
        <v>24</v>
      </c>
      <c r="Q203" s="224">
        <v>0</v>
      </c>
      <c r="R203" s="222">
        <v>4.0599999999999996</v>
      </c>
      <c r="S203" s="226" t="str">
        <f>IFERROR(_xlfn.XLOOKUP(R203,'1_Presupuesto'!$E:$E,'1_Presupuesto'!$D:$D),"")</f>
        <v>Albañilería MO</v>
      </c>
    </row>
    <row r="204" spans="1:19" ht="15" customHeight="1" x14ac:dyDescent="0.35">
      <c r="A204" s="222" t="s">
        <v>1146</v>
      </c>
      <c r="B204" s="222" t="s">
        <v>654</v>
      </c>
      <c r="C204" s="222" t="s">
        <v>655</v>
      </c>
      <c r="D204" s="222" t="s">
        <v>656</v>
      </c>
      <c r="E204" s="222" t="s">
        <v>657</v>
      </c>
      <c r="F204" s="222"/>
      <c r="G204" s="223">
        <v>292.63799999999998</v>
      </c>
      <c r="H204" s="222">
        <v>0</v>
      </c>
      <c r="I204" s="224">
        <v>1</v>
      </c>
      <c r="J204" s="224">
        <v>292.63799999999998</v>
      </c>
      <c r="K204" s="222" t="s">
        <v>1149</v>
      </c>
      <c r="L204" s="222">
        <v>6</v>
      </c>
      <c r="M204" s="222" t="s">
        <v>1164</v>
      </c>
      <c r="N204" s="222">
        <v>1</v>
      </c>
      <c r="O204" s="222">
        <v>0</v>
      </c>
      <c r="P204" s="225">
        <v>24</v>
      </c>
      <c r="Q204" s="224">
        <v>0</v>
      </c>
      <c r="R204" s="222">
        <v>4.0599999999999996</v>
      </c>
      <c r="S204" s="226" t="str">
        <f>IFERROR(_xlfn.XLOOKUP(R204,'1_Presupuesto'!$E:$E,'1_Presupuesto'!$D:$D),"")</f>
        <v>Albañilería MO</v>
      </c>
    </row>
    <row r="205" spans="1:19" ht="15" customHeight="1" x14ac:dyDescent="0.35">
      <c r="A205" s="222" t="s">
        <v>1165</v>
      </c>
      <c r="B205" s="222" t="s">
        <v>654</v>
      </c>
      <c r="C205" s="222" t="s">
        <v>640</v>
      </c>
      <c r="D205" s="222" t="s">
        <v>1166</v>
      </c>
      <c r="E205" s="222" t="s">
        <v>1167</v>
      </c>
      <c r="F205" s="222"/>
      <c r="G205" s="223">
        <v>9.8765430000000001E-2</v>
      </c>
      <c r="H205" s="222">
        <v>0</v>
      </c>
      <c r="I205" s="224">
        <v>50000</v>
      </c>
      <c r="J205" s="224">
        <v>4938.2714999999998</v>
      </c>
      <c r="K205" s="222" t="s">
        <v>1168</v>
      </c>
      <c r="L205" s="222">
        <v>1</v>
      </c>
      <c r="M205" s="222" t="s">
        <v>1169</v>
      </c>
      <c r="N205" s="222">
        <v>1</v>
      </c>
      <c r="O205" s="222">
        <v>0</v>
      </c>
      <c r="P205" s="225">
        <v>81</v>
      </c>
      <c r="Q205" s="224">
        <v>0</v>
      </c>
      <c r="R205" s="222">
        <v>4.07</v>
      </c>
      <c r="S205" s="226" t="str">
        <f>IFERROR(_xlfn.XLOOKUP(R205,'1_Presupuesto'!$E:$E,'1_Presupuesto'!$D:$D),"")</f>
        <v>Albañilería MO</v>
      </c>
    </row>
    <row r="206" spans="1:19" ht="15" customHeight="1" x14ac:dyDescent="0.35">
      <c r="A206" s="222" t="s">
        <v>1165</v>
      </c>
      <c r="B206" s="222" t="s">
        <v>654</v>
      </c>
      <c r="C206" s="222" t="s">
        <v>640</v>
      </c>
      <c r="D206" s="222" t="s">
        <v>1170</v>
      </c>
      <c r="E206" s="222" t="s">
        <v>1171</v>
      </c>
      <c r="F206" s="222"/>
      <c r="G206" s="223">
        <v>6.6543209900000004</v>
      </c>
      <c r="H206" s="222">
        <v>0</v>
      </c>
      <c r="I206" s="224">
        <v>1416.57</v>
      </c>
      <c r="J206" s="224">
        <v>9426.3114848043006</v>
      </c>
      <c r="K206" s="222" t="s">
        <v>1168</v>
      </c>
      <c r="L206" s="222">
        <v>2</v>
      </c>
      <c r="M206" s="222" t="s">
        <v>1172</v>
      </c>
      <c r="N206" s="222">
        <v>1</v>
      </c>
      <c r="O206" s="222">
        <v>0</v>
      </c>
      <c r="P206" s="225">
        <v>81</v>
      </c>
      <c r="Q206" s="224">
        <v>0</v>
      </c>
      <c r="R206" s="222">
        <v>4.07</v>
      </c>
      <c r="S206" s="226" t="str">
        <f>IFERROR(_xlfn.XLOOKUP(R206,'1_Presupuesto'!$E:$E,'1_Presupuesto'!$D:$D),"")</f>
        <v>Albañilería MO</v>
      </c>
    </row>
    <row r="207" spans="1:19" ht="15" customHeight="1" x14ac:dyDescent="0.35">
      <c r="A207" s="222" t="s">
        <v>1165</v>
      </c>
      <c r="B207" s="222" t="s">
        <v>654</v>
      </c>
      <c r="C207" s="222" t="s">
        <v>640</v>
      </c>
      <c r="D207" s="222" t="s">
        <v>856</v>
      </c>
      <c r="E207" s="222" t="s">
        <v>857</v>
      </c>
      <c r="F207" s="222"/>
      <c r="G207" s="223">
        <v>1.234568E-2</v>
      </c>
      <c r="H207" s="222">
        <v>0</v>
      </c>
      <c r="I207" s="224">
        <v>115100</v>
      </c>
      <c r="J207" s="224">
        <v>1420.987768</v>
      </c>
      <c r="K207" s="222" t="s">
        <v>1168</v>
      </c>
      <c r="L207" s="222">
        <v>3</v>
      </c>
      <c r="M207" s="222" t="s">
        <v>1173</v>
      </c>
      <c r="N207" s="222">
        <v>1</v>
      </c>
      <c r="O207" s="222">
        <v>0</v>
      </c>
      <c r="P207" s="225">
        <v>81</v>
      </c>
      <c r="Q207" s="224">
        <v>0</v>
      </c>
      <c r="R207" s="222">
        <v>4.07</v>
      </c>
      <c r="S207" s="226" t="str">
        <f>IFERROR(_xlfn.XLOOKUP(R207,'1_Presupuesto'!$E:$E,'1_Presupuesto'!$D:$D),"")</f>
        <v>Albañilería MO</v>
      </c>
    </row>
    <row r="208" spans="1:19" ht="15" customHeight="1" x14ac:dyDescent="0.35">
      <c r="A208" s="222" t="s">
        <v>1165</v>
      </c>
      <c r="B208" s="222" t="s">
        <v>639</v>
      </c>
      <c r="C208" s="222" t="s">
        <v>646</v>
      </c>
      <c r="D208" s="222" t="s">
        <v>683</v>
      </c>
      <c r="E208" s="222" t="s">
        <v>684</v>
      </c>
      <c r="F208" s="222" t="s">
        <v>643</v>
      </c>
      <c r="G208" s="223">
        <v>4.9382719999999998E-2</v>
      </c>
      <c r="H208" s="222">
        <v>0</v>
      </c>
      <c r="I208" s="224">
        <v>65360.25</v>
      </c>
      <c r="J208" s="224">
        <v>3227.6669248799999</v>
      </c>
      <c r="K208" s="222" t="s">
        <v>1174</v>
      </c>
      <c r="L208" s="222">
        <v>1</v>
      </c>
      <c r="M208" s="222" t="s">
        <v>1175</v>
      </c>
      <c r="N208" s="222">
        <v>1</v>
      </c>
      <c r="O208" s="222">
        <v>4.9382719999999998E-2</v>
      </c>
      <c r="P208" s="225">
        <v>81</v>
      </c>
      <c r="Q208" s="224">
        <v>4.0000003199999998</v>
      </c>
      <c r="R208" s="222">
        <v>4.07</v>
      </c>
      <c r="S208" s="226" t="str">
        <f>IFERROR(_xlfn.XLOOKUP(R208,'1_Presupuesto'!$E:$E,'1_Presupuesto'!$D:$D),"")</f>
        <v>Albañilería MO</v>
      </c>
    </row>
    <row r="209" spans="1:19" ht="15" customHeight="1" x14ac:dyDescent="0.35">
      <c r="A209" s="222" t="s">
        <v>1165</v>
      </c>
      <c r="B209" s="222" t="s">
        <v>639</v>
      </c>
      <c r="C209" s="222" t="s">
        <v>646</v>
      </c>
      <c r="D209" s="222" t="s">
        <v>647</v>
      </c>
      <c r="E209" s="222" t="s">
        <v>648</v>
      </c>
      <c r="F209" s="222" t="s">
        <v>643</v>
      </c>
      <c r="G209" s="223">
        <v>7.4074070000000006E-2</v>
      </c>
      <c r="H209" s="222">
        <v>0</v>
      </c>
      <c r="I209" s="224">
        <v>49934.239999999998</v>
      </c>
      <c r="J209" s="224">
        <v>3698.8323891568002</v>
      </c>
      <c r="K209" s="222" t="s">
        <v>1174</v>
      </c>
      <c r="L209" s="222">
        <v>2</v>
      </c>
      <c r="M209" s="222" t="s">
        <v>1176</v>
      </c>
      <c r="N209" s="222">
        <v>1</v>
      </c>
      <c r="O209" s="222">
        <v>7.4074070000000006E-2</v>
      </c>
      <c r="P209" s="225">
        <v>81</v>
      </c>
      <c r="Q209" s="224">
        <v>5.9999996700000002</v>
      </c>
      <c r="R209" s="222">
        <v>4.07</v>
      </c>
      <c r="S209" s="226" t="str">
        <f>IFERROR(_xlfn.XLOOKUP(R209,'1_Presupuesto'!$E:$E,'1_Presupuesto'!$D:$D),"")</f>
        <v>Albañilería MO</v>
      </c>
    </row>
    <row r="210" spans="1:19" ht="15" customHeight="1" x14ac:dyDescent="0.35">
      <c r="A210" s="222" t="s">
        <v>1165</v>
      </c>
      <c r="B210" s="222" t="s">
        <v>13</v>
      </c>
      <c r="C210" s="222"/>
      <c r="D210" s="222" t="s">
        <v>1177</v>
      </c>
      <c r="E210" s="222" t="s">
        <v>1178</v>
      </c>
      <c r="F210" s="222"/>
      <c r="G210" s="223">
        <v>1</v>
      </c>
      <c r="H210" s="222">
        <v>0</v>
      </c>
      <c r="I210" s="224">
        <v>364.35939999999999</v>
      </c>
      <c r="J210" s="224">
        <v>364.35939999999999</v>
      </c>
      <c r="K210" s="222" t="s">
        <v>1179</v>
      </c>
      <c r="L210" s="222">
        <v>1</v>
      </c>
      <c r="M210" s="222" t="s">
        <v>1180</v>
      </c>
      <c r="N210" s="222">
        <v>1</v>
      </c>
      <c r="O210" s="222">
        <v>0</v>
      </c>
      <c r="P210" s="225">
        <v>81</v>
      </c>
      <c r="Q210" s="224">
        <v>0</v>
      </c>
      <c r="R210" s="222">
        <v>4.07</v>
      </c>
      <c r="S210" s="226" t="str">
        <f>IFERROR(_xlfn.XLOOKUP(R210,'1_Presupuesto'!$E:$E,'1_Presupuesto'!$D:$D),"")</f>
        <v>Albañilería MO</v>
      </c>
    </row>
    <row r="211" spans="1:19" ht="15" customHeight="1" x14ac:dyDescent="0.35">
      <c r="A211" s="222" t="s">
        <v>1165</v>
      </c>
      <c r="B211" s="222" t="s">
        <v>654</v>
      </c>
      <c r="C211" s="222" t="s">
        <v>655</v>
      </c>
      <c r="D211" s="222" t="s">
        <v>656</v>
      </c>
      <c r="E211" s="222" t="s">
        <v>657</v>
      </c>
      <c r="F211" s="222"/>
      <c r="G211" s="223">
        <v>1578.5598</v>
      </c>
      <c r="H211" s="222">
        <v>0</v>
      </c>
      <c r="I211" s="224">
        <v>1</v>
      </c>
      <c r="J211" s="224">
        <v>1578.5598</v>
      </c>
      <c r="K211" s="222" t="s">
        <v>1168</v>
      </c>
      <c r="L211" s="222">
        <v>4</v>
      </c>
      <c r="M211" s="222" t="s">
        <v>1181</v>
      </c>
      <c r="N211" s="222">
        <v>1</v>
      </c>
      <c r="O211" s="222">
        <v>0</v>
      </c>
      <c r="P211" s="225">
        <v>81</v>
      </c>
      <c r="Q211" s="224">
        <v>0</v>
      </c>
      <c r="R211" s="222">
        <v>4.07</v>
      </c>
      <c r="S211" s="226" t="str">
        <f>IFERROR(_xlfn.XLOOKUP(R211,'1_Presupuesto'!$E:$E,'1_Presupuesto'!$D:$D),"")</f>
        <v>Albañilería MO</v>
      </c>
    </row>
    <row r="212" spans="1:19" ht="15" customHeight="1" x14ac:dyDescent="0.35">
      <c r="A212" s="222" t="s">
        <v>1182</v>
      </c>
      <c r="B212" s="222" t="s">
        <v>654</v>
      </c>
      <c r="C212" s="222" t="s">
        <v>640</v>
      </c>
      <c r="D212" s="222" t="s">
        <v>1183</v>
      </c>
      <c r="E212" s="222" t="s">
        <v>1184</v>
      </c>
      <c r="F212" s="222"/>
      <c r="G212" s="223">
        <v>1.002</v>
      </c>
      <c r="H212" s="222">
        <v>0</v>
      </c>
      <c r="I212" s="224">
        <v>125000</v>
      </c>
      <c r="J212" s="224">
        <v>125250</v>
      </c>
      <c r="K212" s="222" t="s">
        <v>1185</v>
      </c>
      <c r="L212" s="222">
        <v>1</v>
      </c>
      <c r="M212" s="222" t="s">
        <v>1186</v>
      </c>
      <c r="N212" s="222">
        <v>1</v>
      </c>
      <c r="O212" s="222">
        <v>0</v>
      </c>
      <c r="P212" s="225">
        <v>1</v>
      </c>
      <c r="Q212" s="224">
        <v>0</v>
      </c>
      <c r="R212" s="222">
        <v>4.08</v>
      </c>
      <c r="S212" s="226" t="str">
        <f>IFERROR(_xlfn.XLOOKUP(R212,'1_Presupuesto'!$E:$E,'1_Presupuesto'!$D:$D),"")</f>
        <v>Albañilería MO</v>
      </c>
    </row>
    <row r="213" spans="1:19" ht="15" customHeight="1" x14ac:dyDescent="0.35">
      <c r="A213" s="222" t="s">
        <v>1182</v>
      </c>
      <c r="B213" s="222" t="s">
        <v>654</v>
      </c>
      <c r="C213" s="222" t="s">
        <v>640</v>
      </c>
      <c r="D213" s="222" t="s">
        <v>1187</v>
      </c>
      <c r="E213" s="222" t="s">
        <v>701</v>
      </c>
      <c r="F213" s="222"/>
      <c r="G213" s="223">
        <v>3.0905670500000002</v>
      </c>
      <c r="H213" s="222">
        <v>0</v>
      </c>
      <c r="I213" s="224">
        <v>26322.68</v>
      </c>
      <c r="J213" s="224">
        <v>81352.007475694001</v>
      </c>
      <c r="K213" s="222" t="s">
        <v>1185</v>
      </c>
      <c r="L213" s="222">
        <v>2</v>
      </c>
      <c r="M213" s="222" t="s">
        <v>1188</v>
      </c>
      <c r="N213" s="222">
        <v>1</v>
      </c>
      <c r="O213" s="222">
        <v>0</v>
      </c>
      <c r="P213" s="225">
        <v>1</v>
      </c>
      <c r="Q213" s="224">
        <v>0</v>
      </c>
      <c r="R213" s="222">
        <v>4.08</v>
      </c>
      <c r="S213" s="226" t="str">
        <f>IFERROR(_xlfn.XLOOKUP(R213,'1_Presupuesto'!$E:$E,'1_Presupuesto'!$D:$D),"")</f>
        <v>Albañilería MO</v>
      </c>
    </row>
    <row r="214" spans="1:19" ht="15" customHeight="1" x14ac:dyDescent="0.35">
      <c r="A214" s="222" t="s">
        <v>1182</v>
      </c>
      <c r="B214" s="222" t="s">
        <v>654</v>
      </c>
      <c r="C214" s="222" t="s">
        <v>640</v>
      </c>
      <c r="D214" s="222" t="s">
        <v>1170</v>
      </c>
      <c r="E214" s="222" t="s">
        <v>1171</v>
      </c>
      <c r="F214" s="222"/>
      <c r="G214" s="223">
        <v>90.18</v>
      </c>
      <c r="H214" s="222">
        <v>0</v>
      </c>
      <c r="I214" s="224">
        <v>1416.57</v>
      </c>
      <c r="J214" s="224">
        <v>127746.28260000001</v>
      </c>
      <c r="K214" s="222" t="s">
        <v>1185</v>
      </c>
      <c r="L214" s="222">
        <v>3</v>
      </c>
      <c r="M214" s="222" t="s">
        <v>1189</v>
      </c>
      <c r="N214" s="222">
        <v>1</v>
      </c>
      <c r="O214" s="222">
        <v>0</v>
      </c>
      <c r="P214" s="225">
        <v>1</v>
      </c>
      <c r="Q214" s="224">
        <v>0</v>
      </c>
      <c r="R214" s="222">
        <v>4.08</v>
      </c>
      <c r="S214" s="226" t="str">
        <f>IFERROR(_xlfn.XLOOKUP(R214,'1_Presupuesto'!$E:$E,'1_Presupuesto'!$D:$D),"")</f>
        <v>Albañilería MO</v>
      </c>
    </row>
    <row r="215" spans="1:19" ht="15" customHeight="1" x14ac:dyDescent="0.35">
      <c r="A215" s="222" t="s">
        <v>1182</v>
      </c>
      <c r="B215" s="222" t="s">
        <v>654</v>
      </c>
      <c r="C215" s="222" t="s">
        <v>640</v>
      </c>
      <c r="D215" s="222" t="s">
        <v>1190</v>
      </c>
      <c r="E215" s="222" t="s">
        <v>1191</v>
      </c>
      <c r="F215" s="222"/>
      <c r="G215" s="223">
        <v>1</v>
      </c>
      <c r="H215" s="222">
        <v>0</v>
      </c>
      <c r="I215" s="224">
        <v>50000</v>
      </c>
      <c r="J215" s="224">
        <v>50000</v>
      </c>
      <c r="K215" s="222" t="s">
        <v>1185</v>
      </c>
      <c r="L215" s="222">
        <v>4</v>
      </c>
      <c r="M215" s="222" t="s">
        <v>1192</v>
      </c>
      <c r="N215" s="222">
        <v>1</v>
      </c>
      <c r="O215" s="222">
        <v>0</v>
      </c>
      <c r="P215" s="225">
        <v>1</v>
      </c>
      <c r="Q215" s="224">
        <v>0</v>
      </c>
      <c r="R215" s="222">
        <v>4.08</v>
      </c>
      <c r="S215" s="226" t="str">
        <f>IFERROR(_xlfn.XLOOKUP(R215,'1_Presupuesto'!$E:$E,'1_Presupuesto'!$D:$D),"")</f>
        <v>Albañilería MO</v>
      </c>
    </row>
    <row r="216" spans="1:19" ht="15" customHeight="1" x14ac:dyDescent="0.35">
      <c r="A216" s="222" t="s">
        <v>1182</v>
      </c>
      <c r="B216" s="222" t="s">
        <v>639</v>
      </c>
      <c r="C216" s="222" t="s">
        <v>646</v>
      </c>
      <c r="D216" s="222" t="s">
        <v>683</v>
      </c>
      <c r="E216" s="222" t="s">
        <v>684</v>
      </c>
      <c r="F216" s="222" t="s">
        <v>643</v>
      </c>
      <c r="G216" s="223">
        <v>5</v>
      </c>
      <c r="H216" s="222">
        <v>0</v>
      </c>
      <c r="I216" s="224">
        <v>65360.25</v>
      </c>
      <c r="J216" s="224">
        <v>326801.25</v>
      </c>
      <c r="K216" s="222" t="s">
        <v>1193</v>
      </c>
      <c r="L216" s="222">
        <v>1</v>
      </c>
      <c r="M216" s="222" t="s">
        <v>1194</v>
      </c>
      <c r="N216" s="222">
        <v>1</v>
      </c>
      <c r="O216" s="222">
        <v>5</v>
      </c>
      <c r="P216" s="225">
        <v>1</v>
      </c>
      <c r="Q216" s="224">
        <v>5</v>
      </c>
      <c r="R216" s="222">
        <v>4.08</v>
      </c>
      <c r="S216" s="226" t="str">
        <f>IFERROR(_xlfn.XLOOKUP(R216,'1_Presupuesto'!$E:$E,'1_Presupuesto'!$D:$D),"")</f>
        <v>Albañilería MO</v>
      </c>
    </row>
    <row r="217" spans="1:19" ht="15" customHeight="1" x14ac:dyDescent="0.35">
      <c r="A217" s="222" t="s">
        <v>1182</v>
      </c>
      <c r="B217" s="222" t="s">
        <v>639</v>
      </c>
      <c r="C217" s="222" t="s">
        <v>646</v>
      </c>
      <c r="D217" s="222" t="s">
        <v>647</v>
      </c>
      <c r="E217" s="222" t="s">
        <v>648</v>
      </c>
      <c r="F217" s="222" t="s">
        <v>643</v>
      </c>
      <c r="G217" s="223">
        <v>2</v>
      </c>
      <c r="H217" s="222">
        <v>0</v>
      </c>
      <c r="I217" s="224">
        <v>49934.239999999998</v>
      </c>
      <c r="J217" s="224">
        <v>99868.479999999996</v>
      </c>
      <c r="K217" s="222" t="s">
        <v>1193</v>
      </c>
      <c r="L217" s="222">
        <v>2</v>
      </c>
      <c r="M217" s="222" t="s">
        <v>1195</v>
      </c>
      <c r="N217" s="222">
        <v>1</v>
      </c>
      <c r="O217" s="222">
        <v>2</v>
      </c>
      <c r="P217" s="225">
        <v>1</v>
      </c>
      <c r="Q217" s="224">
        <v>2</v>
      </c>
      <c r="R217" s="222">
        <v>4.08</v>
      </c>
      <c r="S217" s="226" t="str">
        <f>IFERROR(_xlfn.XLOOKUP(R217,'1_Presupuesto'!$E:$E,'1_Presupuesto'!$D:$D),"")</f>
        <v>Albañilería MO</v>
      </c>
    </row>
    <row r="218" spans="1:19" ht="15" customHeight="1" x14ac:dyDescent="0.35">
      <c r="A218" s="222" t="s">
        <v>1182</v>
      </c>
      <c r="B218" s="222" t="s">
        <v>13</v>
      </c>
      <c r="C218" s="222"/>
      <c r="D218" s="222" t="s">
        <v>1196</v>
      </c>
      <c r="E218" s="222" t="s">
        <v>1197</v>
      </c>
      <c r="F218" s="222"/>
      <c r="G218" s="223">
        <v>1</v>
      </c>
      <c r="H218" s="222">
        <v>0</v>
      </c>
      <c r="I218" s="224">
        <v>13168.315000000001</v>
      </c>
      <c r="J218" s="224">
        <v>13168.315000000001</v>
      </c>
      <c r="K218" s="222" t="s">
        <v>1198</v>
      </c>
      <c r="L218" s="222">
        <v>1</v>
      </c>
      <c r="M218" s="222" t="s">
        <v>1199</v>
      </c>
      <c r="N218" s="222">
        <v>1</v>
      </c>
      <c r="O218" s="222">
        <v>0</v>
      </c>
      <c r="P218" s="225">
        <v>1</v>
      </c>
      <c r="Q218" s="224">
        <v>0</v>
      </c>
      <c r="R218" s="222">
        <v>4.08</v>
      </c>
      <c r="S218" s="226" t="str">
        <f>IFERROR(_xlfn.XLOOKUP(R218,'1_Presupuesto'!$E:$E,'1_Presupuesto'!$D:$D),"")</f>
        <v>Albañilería MO</v>
      </c>
    </row>
    <row r="219" spans="1:19" ht="15" customHeight="1" x14ac:dyDescent="0.35">
      <c r="A219" s="222" t="s">
        <v>1182</v>
      </c>
      <c r="B219" s="222" t="s">
        <v>654</v>
      </c>
      <c r="C219" s="222" t="s">
        <v>655</v>
      </c>
      <c r="D219" s="222" t="s">
        <v>656</v>
      </c>
      <c r="E219" s="222" t="s">
        <v>657</v>
      </c>
      <c r="F219" s="222"/>
      <c r="G219" s="223">
        <v>66869.657999999996</v>
      </c>
      <c r="H219" s="222">
        <v>0</v>
      </c>
      <c r="I219" s="224">
        <v>1</v>
      </c>
      <c r="J219" s="224">
        <v>66869.657999999996</v>
      </c>
      <c r="K219" s="222" t="s">
        <v>1185</v>
      </c>
      <c r="L219" s="222">
        <v>5</v>
      </c>
      <c r="M219" s="222" t="s">
        <v>1200</v>
      </c>
      <c r="N219" s="222">
        <v>1</v>
      </c>
      <c r="O219" s="222">
        <v>0</v>
      </c>
      <c r="P219" s="225">
        <v>1</v>
      </c>
      <c r="Q219" s="224">
        <v>0</v>
      </c>
      <c r="R219" s="222">
        <v>4.08</v>
      </c>
      <c r="S219" s="226" t="str">
        <f>IFERROR(_xlfn.XLOOKUP(R219,'1_Presupuesto'!$E:$E,'1_Presupuesto'!$D:$D),"")</f>
        <v>Albañilería MO</v>
      </c>
    </row>
    <row r="220" spans="1:19" ht="15" customHeight="1" x14ac:dyDescent="0.35">
      <c r="A220" s="222" t="s">
        <v>1201</v>
      </c>
      <c r="B220" s="222" t="s">
        <v>654</v>
      </c>
      <c r="C220" s="222" t="s">
        <v>719</v>
      </c>
      <c r="D220" s="222" t="s">
        <v>1202</v>
      </c>
      <c r="E220" s="222" t="s">
        <v>1203</v>
      </c>
      <c r="F220" s="222"/>
      <c r="G220" s="223">
        <v>2.7777779999999998E-2</v>
      </c>
      <c r="H220" s="222">
        <v>0.1</v>
      </c>
      <c r="I220" s="224">
        <v>32845.78</v>
      </c>
      <c r="J220" s="224">
        <v>1003.62113584524</v>
      </c>
      <c r="K220" s="222" t="s">
        <v>1204</v>
      </c>
      <c r="L220" s="222">
        <v>1</v>
      </c>
      <c r="M220" s="222" t="s">
        <v>1205</v>
      </c>
      <c r="N220" s="222">
        <v>1</v>
      </c>
      <c r="O220" s="222">
        <v>0</v>
      </c>
      <c r="P220" s="225">
        <v>139.05000000000001</v>
      </c>
      <c r="Q220" s="224">
        <v>0</v>
      </c>
      <c r="R220" s="222">
        <v>5.01</v>
      </c>
      <c r="S220" s="226" t="str">
        <f>IFERROR(_xlfn.XLOOKUP(R220,'1_Presupuesto'!$E:$E,'1_Presupuesto'!$D:$D),"")</f>
        <v>Albañilería MO</v>
      </c>
    </row>
    <row r="221" spans="1:19" ht="15" customHeight="1" x14ac:dyDescent="0.35">
      <c r="A221" s="222" t="s">
        <v>1201</v>
      </c>
      <c r="B221" s="222" t="s">
        <v>654</v>
      </c>
      <c r="C221" s="222" t="s">
        <v>719</v>
      </c>
      <c r="D221" s="222" t="s">
        <v>1206</v>
      </c>
      <c r="E221" s="222" t="s">
        <v>1207</v>
      </c>
      <c r="F221" s="222"/>
      <c r="G221" s="223">
        <v>0.1</v>
      </c>
      <c r="H221" s="222">
        <v>0.1</v>
      </c>
      <c r="I221" s="224">
        <v>70192.210000000006</v>
      </c>
      <c r="J221" s="224">
        <v>7721.1431000000021</v>
      </c>
      <c r="K221" s="222" t="s">
        <v>1204</v>
      </c>
      <c r="L221" s="222">
        <v>2</v>
      </c>
      <c r="M221" s="222" t="s">
        <v>1208</v>
      </c>
      <c r="N221" s="222">
        <v>1</v>
      </c>
      <c r="O221" s="222">
        <v>0</v>
      </c>
      <c r="P221" s="225">
        <v>139.05000000000001</v>
      </c>
      <c r="Q221" s="224">
        <v>0</v>
      </c>
      <c r="R221" s="222">
        <v>5.01</v>
      </c>
      <c r="S221" s="226" t="str">
        <f>IFERROR(_xlfn.XLOOKUP(R221,'1_Presupuesto'!$E:$E,'1_Presupuesto'!$D:$D),"")</f>
        <v>Albañilería MO</v>
      </c>
    </row>
    <row r="222" spans="1:19" ht="15" customHeight="1" x14ac:dyDescent="0.35">
      <c r="A222" s="222" t="s">
        <v>1201</v>
      </c>
      <c r="B222" s="222" t="s">
        <v>654</v>
      </c>
      <c r="C222" s="222" t="s">
        <v>719</v>
      </c>
      <c r="D222" s="222" t="s">
        <v>1209</v>
      </c>
      <c r="E222" s="222" t="s">
        <v>1210</v>
      </c>
      <c r="F222" s="222"/>
      <c r="G222" s="223">
        <v>0.01</v>
      </c>
      <c r="H222" s="222">
        <v>0.05</v>
      </c>
      <c r="I222" s="224">
        <v>7268.97</v>
      </c>
      <c r="J222" s="224">
        <v>76.324185</v>
      </c>
      <c r="K222" s="222" t="s">
        <v>1204</v>
      </c>
      <c r="L222" s="222">
        <v>3</v>
      </c>
      <c r="M222" s="222" t="s">
        <v>1211</v>
      </c>
      <c r="N222" s="222">
        <v>1</v>
      </c>
      <c r="O222" s="222">
        <v>0</v>
      </c>
      <c r="P222" s="225">
        <v>139.05000000000001</v>
      </c>
      <c r="Q222" s="224">
        <v>0</v>
      </c>
      <c r="R222" s="222">
        <v>5.01</v>
      </c>
      <c r="S222" s="226" t="str">
        <f>IFERROR(_xlfn.XLOOKUP(R222,'1_Presupuesto'!$E:$E,'1_Presupuesto'!$D:$D),"")</f>
        <v>Albañilería MO</v>
      </c>
    </row>
    <row r="223" spans="1:19" ht="15" customHeight="1" x14ac:dyDescent="0.35">
      <c r="A223" s="222" t="s">
        <v>1201</v>
      </c>
      <c r="B223" s="222" t="s">
        <v>654</v>
      </c>
      <c r="C223" s="222" t="s">
        <v>719</v>
      </c>
      <c r="D223" s="222" t="s">
        <v>1212</v>
      </c>
      <c r="E223" s="222" t="s">
        <v>1213</v>
      </c>
      <c r="F223" s="222"/>
      <c r="G223" s="223">
        <v>0.02</v>
      </c>
      <c r="H223" s="222">
        <v>0.05</v>
      </c>
      <c r="I223" s="224">
        <v>5452.63</v>
      </c>
      <c r="J223" s="224">
        <v>114.50523</v>
      </c>
      <c r="K223" s="222" t="s">
        <v>1204</v>
      </c>
      <c r="L223" s="222">
        <v>4</v>
      </c>
      <c r="M223" s="222" t="s">
        <v>1214</v>
      </c>
      <c r="N223" s="222">
        <v>1</v>
      </c>
      <c r="O223" s="222">
        <v>0</v>
      </c>
      <c r="P223" s="225">
        <v>139.05000000000001</v>
      </c>
      <c r="Q223" s="224">
        <v>0</v>
      </c>
      <c r="R223" s="222">
        <v>5.01</v>
      </c>
      <c r="S223" s="226" t="str">
        <f>IFERROR(_xlfn.XLOOKUP(R223,'1_Presupuesto'!$E:$E,'1_Presupuesto'!$D:$D),"")</f>
        <v>Albañilería MO</v>
      </c>
    </row>
    <row r="224" spans="1:19" ht="15" customHeight="1" x14ac:dyDescent="0.35">
      <c r="A224" s="222" t="s">
        <v>1201</v>
      </c>
      <c r="B224" s="222" t="s">
        <v>654</v>
      </c>
      <c r="C224" s="222" t="s">
        <v>719</v>
      </c>
      <c r="D224" s="222" t="s">
        <v>1215</v>
      </c>
      <c r="E224" s="222" t="s">
        <v>1216</v>
      </c>
      <c r="F224" s="222"/>
      <c r="G224" s="223">
        <v>0.01</v>
      </c>
      <c r="H224" s="222">
        <v>0.05</v>
      </c>
      <c r="I224" s="224">
        <v>29726.19</v>
      </c>
      <c r="J224" s="224">
        <v>312.12499500000001</v>
      </c>
      <c r="K224" s="222" t="s">
        <v>1204</v>
      </c>
      <c r="L224" s="222">
        <v>5</v>
      </c>
      <c r="M224" s="222" t="s">
        <v>1217</v>
      </c>
      <c r="N224" s="222">
        <v>1</v>
      </c>
      <c r="O224" s="222">
        <v>0</v>
      </c>
      <c r="P224" s="225">
        <v>139.05000000000001</v>
      </c>
      <c r="Q224" s="224">
        <v>0</v>
      </c>
      <c r="R224" s="222">
        <v>5.01</v>
      </c>
      <c r="S224" s="226" t="str">
        <f>IFERROR(_xlfn.XLOOKUP(R224,'1_Presupuesto'!$E:$E,'1_Presupuesto'!$D:$D),"")</f>
        <v>Albañilería MO</v>
      </c>
    </row>
    <row r="225" spans="1:19" ht="15" customHeight="1" x14ac:dyDescent="0.35">
      <c r="A225" s="222" t="s">
        <v>1201</v>
      </c>
      <c r="B225" s="222" t="s">
        <v>654</v>
      </c>
      <c r="C225" s="222" t="s">
        <v>719</v>
      </c>
      <c r="D225" s="222" t="s">
        <v>1218</v>
      </c>
      <c r="E225" s="222" t="s">
        <v>1219</v>
      </c>
      <c r="F225" s="222"/>
      <c r="G225" s="223">
        <v>0.02</v>
      </c>
      <c r="H225" s="222">
        <v>0.05</v>
      </c>
      <c r="I225" s="224">
        <v>784.06</v>
      </c>
      <c r="J225" s="224">
        <v>16.465260000000001</v>
      </c>
      <c r="K225" s="222" t="s">
        <v>1204</v>
      </c>
      <c r="L225" s="222">
        <v>6</v>
      </c>
      <c r="M225" s="222" t="s">
        <v>1220</v>
      </c>
      <c r="N225" s="222">
        <v>1</v>
      </c>
      <c r="O225" s="222">
        <v>0</v>
      </c>
      <c r="P225" s="225">
        <v>139.05000000000001</v>
      </c>
      <c r="Q225" s="224">
        <v>0</v>
      </c>
      <c r="R225" s="222">
        <v>5.01</v>
      </c>
      <c r="S225" s="226" t="str">
        <f>IFERROR(_xlfn.XLOOKUP(R225,'1_Presupuesto'!$E:$E,'1_Presupuesto'!$D:$D),"")</f>
        <v>Albañilería MO</v>
      </c>
    </row>
    <row r="226" spans="1:19" ht="15" customHeight="1" x14ac:dyDescent="0.35">
      <c r="A226" s="222" t="s">
        <v>1201</v>
      </c>
      <c r="B226" s="222" t="s">
        <v>654</v>
      </c>
      <c r="C226" s="222" t="s">
        <v>719</v>
      </c>
      <c r="D226" s="222" t="s">
        <v>1221</v>
      </c>
      <c r="E226" s="222" t="s">
        <v>1222</v>
      </c>
      <c r="F226" s="222"/>
      <c r="G226" s="223">
        <v>0.06</v>
      </c>
      <c r="H226" s="222">
        <v>0.05</v>
      </c>
      <c r="I226" s="224">
        <v>4842</v>
      </c>
      <c r="J226" s="224">
        <v>305.04599999999999</v>
      </c>
      <c r="K226" s="222" t="s">
        <v>1204</v>
      </c>
      <c r="L226" s="222">
        <v>7</v>
      </c>
      <c r="M226" s="222" t="s">
        <v>1223</v>
      </c>
      <c r="N226" s="222">
        <v>1</v>
      </c>
      <c r="O226" s="222">
        <v>0</v>
      </c>
      <c r="P226" s="225">
        <v>139.05000000000001</v>
      </c>
      <c r="Q226" s="224">
        <v>0</v>
      </c>
      <c r="R226" s="222">
        <v>5.01</v>
      </c>
      <c r="S226" s="226" t="str">
        <f>IFERROR(_xlfn.XLOOKUP(R226,'1_Presupuesto'!$E:$E,'1_Presupuesto'!$D:$D),"")</f>
        <v>Albañilería MO</v>
      </c>
    </row>
    <row r="227" spans="1:19" ht="15" customHeight="1" x14ac:dyDescent="0.35">
      <c r="A227" s="222" t="s">
        <v>1201</v>
      </c>
      <c r="B227" s="222" t="s">
        <v>654</v>
      </c>
      <c r="C227" s="222" t="s">
        <v>719</v>
      </c>
      <c r="D227" s="222" t="s">
        <v>1224</v>
      </c>
      <c r="E227" s="222" t="s">
        <v>1225</v>
      </c>
      <c r="F227" s="222"/>
      <c r="G227" s="223">
        <v>0.02</v>
      </c>
      <c r="H227" s="222">
        <v>0.05</v>
      </c>
      <c r="I227" s="224">
        <v>12396.6942</v>
      </c>
      <c r="J227" s="224">
        <v>260.33057819999999</v>
      </c>
      <c r="K227" s="222" t="s">
        <v>1204</v>
      </c>
      <c r="L227" s="222">
        <v>8</v>
      </c>
      <c r="M227" s="222" t="s">
        <v>1226</v>
      </c>
      <c r="N227" s="222">
        <v>1</v>
      </c>
      <c r="O227" s="222">
        <v>0</v>
      </c>
      <c r="P227" s="225">
        <v>139.05000000000001</v>
      </c>
      <c r="Q227" s="224">
        <v>0</v>
      </c>
      <c r="R227" s="222">
        <v>5.01</v>
      </c>
      <c r="S227" s="226" t="str">
        <f>IFERROR(_xlfn.XLOOKUP(R227,'1_Presupuesto'!$E:$E,'1_Presupuesto'!$D:$D),"")</f>
        <v>Albañilería MO</v>
      </c>
    </row>
    <row r="228" spans="1:19" ht="15" customHeight="1" x14ac:dyDescent="0.35">
      <c r="A228" s="222" t="s">
        <v>1201</v>
      </c>
      <c r="B228" s="222" t="s">
        <v>639</v>
      </c>
      <c r="C228" s="222" t="s">
        <v>640</v>
      </c>
      <c r="D228" s="222" t="s">
        <v>1136</v>
      </c>
      <c r="E228" s="222" t="s">
        <v>1137</v>
      </c>
      <c r="F228" s="222" t="s">
        <v>643</v>
      </c>
      <c r="G228" s="223">
        <v>0.02</v>
      </c>
      <c r="H228" s="222">
        <v>0</v>
      </c>
      <c r="I228" s="224">
        <v>49934.237200000003</v>
      </c>
      <c r="J228" s="224">
        <v>998.68474400000014</v>
      </c>
      <c r="K228" s="222" t="s">
        <v>1227</v>
      </c>
      <c r="L228" s="222">
        <v>1</v>
      </c>
      <c r="M228" s="222" t="s">
        <v>1228</v>
      </c>
      <c r="N228" s="222">
        <v>1</v>
      </c>
      <c r="O228" s="222">
        <v>0</v>
      </c>
      <c r="P228" s="225">
        <v>139.05000000000001</v>
      </c>
      <c r="Q228" s="224">
        <v>0</v>
      </c>
      <c r="R228" s="222">
        <v>5.01</v>
      </c>
      <c r="S228" s="226" t="str">
        <f>IFERROR(_xlfn.XLOOKUP(R228,'1_Presupuesto'!$E:$E,'1_Presupuesto'!$D:$D),"")</f>
        <v>Albañilería MO</v>
      </c>
    </row>
    <row r="229" spans="1:19" ht="15" customHeight="1" x14ac:dyDescent="0.35">
      <c r="A229" s="222" t="s">
        <v>1201</v>
      </c>
      <c r="B229" s="222" t="s">
        <v>639</v>
      </c>
      <c r="C229" s="222" t="s">
        <v>640</v>
      </c>
      <c r="D229" s="222" t="s">
        <v>1132</v>
      </c>
      <c r="E229" s="222" t="s">
        <v>1133</v>
      </c>
      <c r="F229" s="222" t="s">
        <v>643</v>
      </c>
      <c r="G229" s="223">
        <v>0.02</v>
      </c>
      <c r="H229" s="222">
        <v>0</v>
      </c>
      <c r="I229" s="224">
        <v>75113.048200000005</v>
      </c>
      <c r="J229" s="224">
        <v>1502.2609640000001</v>
      </c>
      <c r="K229" s="222" t="s">
        <v>1227</v>
      </c>
      <c r="L229" s="222">
        <v>2</v>
      </c>
      <c r="M229" s="222" t="s">
        <v>1229</v>
      </c>
      <c r="N229" s="222">
        <v>1</v>
      </c>
      <c r="O229" s="222">
        <v>0</v>
      </c>
      <c r="P229" s="225">
        <v>139.05000000000001</v>
      </c>
      <c r="Q229" s="224">
        <v>0</v>
      </c>
      <c r="R229" s="222">
        <v>5.01</v>
      </c>
      <c r="S229" s="226" t="str">
        <f>IFERROR(_xlfn.XLOOKUP(R229,'1_Presupuesto'!$E:$E,'1_Presupuesto'!$D:$D),"")</f>
        <v>Albañilería MO</v>
      </c>
    </row>
    <row r="230" spans="1:19" ht="15" customHeight="1" x14ac:dyDescent="0.35">
      <c r="A230" s="222" t="s">
        <v>1201</v>
      </c>
      <c r="B230" s="222" t="s">
        <v>639</v>
      </c>
      <c r="C230" s="222" t="s">
        <v>646</v>
      </c>
      <c r="D230" s="222" t="s">
        <v>647</v>
      </c>
      <c r="E230" s="222" t="s">
        <v>648</v>
      </c>
      <c r="F230" s="222" t="s">
        <v>643</v>
      </c>
      <c r="G230" s="223">
        <v>0.04</v>
      </c>
      <c r="H230" s="222">
        <v>0</v>
      </c>
      <c r="I230" s="224">
        <v>49934.239999999998</v>
      </c>
      <c r="J230" s="224">
        <v>1997.3696</v>
      </c>
      <c r="K230" s="222" t="s">
        <v>1227</v>
      </c>
      <c r="L230" s="222">
        <v>3</v>
      </c>
      <c r="M230" s="222" t="s">
        <v>1230</v>
      </c>
      <c r="N230" s="222">
        <v>1</v>
      </c>
      <c r="O230" s="222">
        <v>0.04</v>
      </c>
      <c r="P230" s="225">
        <v>139.05000000000001</v>
      </c>
      <c r="Q230" s="224">
        <v>5.5620000000000003</v>
      </c>
      <c r="R230" s="222">
        <v>5.01</v>
      </c>
      <c r="S230" s="226" t="str">
        <f>IFERROR(_xlfn.XLOOKUP(R230,'1_Presupuesto'!$E:$E,'1_Presupuesto'!$D:$D),"")</f>
        <v>Albañilería MO</v>
      </c>
    </row>
    <row r="231" spans="1:19" ht="15" customHeight="1" x14ac:dyDescent="0.35">
      <c r="A231" s="222" t="s">
        <v>1201</v>
      </c>
      <c r="B231" s="222" t="s">
        <v>639</v>
      </c>
      <c r="C231" s="222" t="s">
        <v>646</v>
      </c>
      <c r="D231" s="222" t="s">
        <v>723</v>
      </c>
      <c r="E231" s="222" t="s">
        <v>724</v>
      </c>
      <c r="F231" s="222" t="s">
        <v>643</v>
      </c>
      <c r="G231" s="223">
        <v>0.04</v>
      </c>
      <c r="H231" s="222">
        <v>0</v>
      </c>
      <c r="I231" s="224">
        <v>75113.05</v>
      </c>
      <c r="J231" s="224">
        <v>3004.5219999999999</v>
      </c>
      <c r="K231" s="222" t="s">
        <v>1227</v>
      </c>
      <c r="L231" s="222">
        <v>4</v>
      </c>
      <c r="M231" s="222" t="s">
        <v>1231</v>
      </c>
      <c r="N231" s="222">
        <v>1</v>
      </c>
      <c r="O231" s="222">
        <v>0.04</v>
      </c>
      <c r="P231" s="225">
        <v>139.05000000000001</v>
      </c>
      <c r="Q231" s="224">
        <v>5.5620000000000003</v>
      </c>
      <c r="R231" s="222">
        <v>5.01</v>
      </c>
      <c r="S231" s="226" t="str">
        <f>IFERROR(_xlfn.XLOOKUP(R231,'1_Presupuesto'!$E:$E,'1_Presupuesto'!$D:$D),"")</f>
        <v>Albañilería MO</v>
      </c>
    </row>
    <row r="232" spans="1:19" ht="15" customHeight="1" x14ac:dyDescent="0.35">
      <c r="A232" s="222" t="s">
        <v>1201</v>
      </c>
      <c r="B232" s="222" t="s">
        <v>13</v>
      </c>
      <c r="C232" s="222"/>
      <c r="D232" s="222" t="s">
        <v>1232</v>
      </c>
      <c r="E232" s="222" t="s">
        <v>1233</v>
      </c>
      <c r="F232" s="222"/>
      <c r="G232" s="223">
        <v>0.04</v>
      </c>
      <c r="H232" s="222">
        <v>0</v>
      </c>
      <c r="I232" s="224">
        <v>783.43359999999996</v>
      </c>
      <c r="J232" s="224">
        <v>31.337344000000002</v>
      </c>
      <c r="K232" s="222" t="s">
        <v>1234</v>
      </c>
      <c r="L232" s="222">
        <v>1</v>
      </c>
      <c r="M232" s="222" t="s">
        <v>1235</v>
      </c>
      <c r="N232" s="222">
        <v>1</v>
      </c>
      <c r="O232" s="222">
        <v>0</v>
      </c>
      <c r="P232" s="225">
        <v>139.05000000000001</v>
      </c>
      <c r="Q232" s="224">
        <v>0</v>
      </c>
      <c r="R232" s="222">
        <v>5.01</v>
      </c>
      <c r="S232" s="226" t="str">
        <f>IFERROR(_xlfn.XLOOKUP(R232,'1_Presupuesto'!$E:$E,'1_Presupuesto'!$D:$D),"")</f>
        <v>Albañilería MO</v>
      </c>
    </row>
    <row r="233" spans="1:19" ht="15" customHeight="1" x14ac:dyDescent="0.35">
      <c r="A233" s="222" t="s">
        <v>1236</v>
      </c>
      <c r="B233" s="222" t="s">
        <v>654</v>
      </c>
      <c r="C233" s="222" t="s">
        <v>719</v>
      </c>
      <c r="D233" s="222" t="s">
        <v>1051</v>
      </c>
      <c r="E233" s="222" t="s">
        <v>1052</v>
      </c>
      <c r="F233" s="222"/>
      <c r="G233" s="223">
        <v>6.0000000000000001E-3</v>
      </c>
      <c r="H233" s="222">
        <v>0.1</v>
      </c>
      <c r="I233" s="224">
        <v>31265.15</v>
      </c>
      <c r="J233" s="224">
        <v>206.34998999999999</v>
      </c>
      <c r="K233" s="222" t="s">
        <v>1237</v>
      </c>
      <c r="L233" s="222">
        <v>1</v>
      </c>
      <c r="M233" s="222" t="s">
        <v>1238</v>
      </c>
      <c r="N233" s="222">
        <v>1</v>
      </c>
      <c r="O233" s="222">
        <v>0</v>
      </c>
      <c r="P233" s="225">
        <v>300</v>
      </c>
      <c r="Q233" s="224">
        <v>0</v>
      </c>
      <c r="R233" s="222">
        <v>5.0199999999999996</v>
      </c>
      <c r="S233" s="226" t="str">
        <f>IFERROR(_xlfn.XLOOKUP(R233,'1_Presupuesto'!$E:$E,'1_Presupuesto'!$D:$D),"")</f>
        <v>Albañilería MO</v>
      </c>
    </row>
    <row r="234" spans="1:19" ht="15" customHeight="1" x14ac:dyDescent="0.35">
      <c r="A234" s="222" t="s">
        <v>1236</v>
      </c>
      <c r="B234" s="222" t="s">
        <v>654</v>
      </c>
      <c r="C234" s="222" t="s">
        <v>719</v>
      </c>
      <c r="D234" s="222" t="s">
        <v>1239</v>
      </c>
      <c r="E234" s="222" t="s">
        <v>1240</v>
      </c>
      <c r="F234" s="222"/>
      <c r="G234" s="223">
        <v>0.1</v>
      </c>
      <c r="H234" s="222">
        <v>0.05</v>
      </c>
      <c r="I234" s="224">
        <v>1162.7550000000001</v>
      </c>
      <c r="J234" s="224">
        <v>122.089275</v>
      </c>
      <c r="K234" s="222" t="s">
        <v>1237</v>
      </c>
      <c r="L234" s="222">
        <v>2</v>
      </c>
      <c r="M234" s="222" t="s">
        <v>1241</v>
      </c>
      <c r="N234" s="222">
        <v>1</v>
      </c>
      <c r="O234" s="222">
        <v>0</v>
      </c>
      <c r="P234" s="225">
        <v>300</v>
      </c>
      <c r="Q234" s="224">
        <v>0</v>
      </c>
      <c r="R234" s="222">
        <v>5.0199999999999996</v>
      </c>
      <c r="S234" s="226" t="str">
        <f>IFERROR(_xlfn.XLOOKUP(R234,'1_Presupuesto'!$E:$E,'1_Presupuesto'!$D:$D),"")</f>
        <v>Albañilería MO</v>
      </c>
    </row>
    <row r="235" spans="1:19" ht="15" customHeight="1" x14ac:dyDescent="0.35">
      <c r="A235" s="222" t="s">
        <v>1236</v>
      </c>
      <c r="B235" s="222" t="s">
        <v>654</v>
      </c>
      <c r="C235" s="222" t="s">
        <v>719</v>
      </c>
      <c r="D235" s="222" t="s">
        <v>1057</v>
      </c>
      <c r="E235" s="222" t="s">
        <v>1058</v>
      </c>
      <c r="F235" s="222"/>
      <c r="G235" s="223">
        <v>5.3999999999999999E-2</v>
      </c>
      <c r="H235" s="222">
        <v>0.1</v>
      </c>
      <c r="I235" s="224">
        <v>7233.47</v>
      </c>
      <c r="J235" s="224">
        <v>429.66811799999999</v>
      </c>
      <c r="K235" s="222" t="s">
        <v>1237</v>
      </c>
      <c r="L235" s="222">
        <v>3</v>
      </c>
      <c r="M235" s="222" t="s">
        <v>1242</v>
      </c>
      <c r="N235" s="222">
        <v>1</v>
      </c>
      <c r="O235" s="222">
        <v>0</v>
      </c>
      <c r="P235" s="225">
        <v>300</v>
      </c>
      <c r="Q235" s="224">
        <v>0</v>
      </c>
      <c r="R235" s="222">
        <v>5.0199999999999996</v>
      </c>
      <c r="S235" s="226" t="str">
        <f>IFERROR(_xlfn.XLOOKUP(R235,'1_Presupuesto'!$E:$E,'1_Presupuesto'!$D:$D),"")</f>
        <v>Albañilería MO</v>
      </c>
    </row>
    <row r="236" spans="1:19" ht="15" customHeight="1" x14ac:dyDescent="0.35">
      <c r="A236" s="222" t="s">
        <v>1236</v>
      </c>
      <c r="B236" s="222" t="s">
        <v>639</v>
      </c>
      <c r="C236" s="222" t="s">
        <v>646</v>
      </c>
      <c r="D236" s="222" t="s">
        <v>647</v>
      </c>
      <c r="E236" s="222" t="s">
        <v>648</v>
      </c>
      <c r="F236" s="222" t="s">
        <v>643</v>
      </c>
      <c r="G236" s="223">
        <v>1.428571E-2</v>
      </c>
      <c r="H236" s="222">
        <v>0</v>
      </c>
      <c r="I236" s="224">
        <v>49934.239999999998</v>
      </c>
      <c r="J236" s="224">
        <v>713.3460717104</v>
      </c>
      <c r="K236" s="222" t="s">
        <v>1243</v>
      </c>
      <c r="L236" s="222">
        <v>1</v>
      </c>
      <c r="M236" s="222" t="s">
        <v>1244</v>
      </c>
      <c r="N236" s="222">
        <v>1</v>
      </c>
      <c r="O236" s="222">
        <v>1.428571E-2</v>
      </c>
      <c r="P236" s="225">
        <v>300</v>
      </c>
      <c r="Q236" s="224">
        <v>4.2857130000000003</v>
      </c>
      <c r="R236" s="222">
        <v>5.0199999999999996</v>
      </c>
      <c r="S236" s="226" t="str">
        <f>IFERROR(_xlfn.XLOOKUP(R236,'1_Presupuesto'!$E:$E,'1_Presupuesto'!$D:$D),"")</f>
        <v>Albañilería MO</v>
      </c>
    </row>
    <row r="237" spans="1:19" ht="15" customHeight="1" x14ac:dyDescent="0.35">
      <c r="A237" s="222" t="s">
        <v>1236</v>
      </c>
      <c r="B237" s="222" t="s">
        <v>639</v>
      </c>
      <c r="C237" s="222" t="s">
        <v>646</v>
      </c>
      <c r="D237" s="222" t="s">
        <v>723</v>
      </c>
      <c r="E237" s="222" t="s">
        <v>724</v>
      </c>
      <c r="F237" s="222" t="s">
        <v>643</v>
      </c>
      <c r="G237" s="223">
        <v>3.5714290000000003E-2</v>
      </c>
      <c r="H237" s="222">
        <v>0</v>
      </c>
      <c r="I237" s="224">
        <v>75113.05</v>
      </c>
      <c r="J237" s="224">
        <v>2682.6092504845001</v>
      </c>
      <c r="K237" s="222" t="s">
        <v>1243</v>
      </c>
      <c r="L237" s="222">
        <v>2</v>
      </c>
      <c r="M237" s="222" t="s">
        <v>1245</v>
      </c>
      <c r="N237" s="222">
        <v>1</v>
      </c>
      <c r="O237" s="222">
        <v>3.5714290000000003E-2</v>
      </c>
      <c r="P237" s="225">
        <v>300</v>
      </c>
      <c r="Q237" s="224">
        <v>10.714287000000001</v>
      </c>
      <c r="R237" s="222">
        <v>5.0199999999999996</v>
      </c>
      <c r="S237" s="226" t="str">
        <f>IFERROR(_xlfn.XLOOKUP(R237,'1_Presupuesto'!$E:$E,'1_Presupuesto'!$D:$D),"")</f>
        <v>Albañilería MO</v>
      </c>
    </row>
    <row r="238" spans="1:19" ht="15" customHeight="1" x14ac:dyDescent="0.35">
      <c r="A238" s="222" t="s">
        <v>1236</v>
      </c>
      <c r="B238" s="222" t="s">
        <v>13</v>
      </c>
      <c r="C238" s="222"/>
      <c r="D238" s="222" t="s">
        <v>1067</v>
      </c>
      <c r="E238" s="222" t="s">
        <v>1068</v>
      </c>
      <c r="F238" s="222"/>
      <c r="G238" s="223">
        <v>1.7857140000000001E-2</v>
      </c>
      <c r="H238" s="222">
        <v>0</v>
      </c>
      <c r="I238" s="224">
        <v>556.21879999999999</v>
      </c>
      <c r="J238" s="224">
        <v>9.932476982232</v>
      </c>
      <c r="K238" s="222" t="s">
        <v>1246</v>
      </c>
      <c r="L238" s="222">
        <v>1</v>
      </c>
      <c r="M238" s="222" t="s">
        <v>1247</v>
      </c>
      <c r="N238" s="222">
        <v>1</v>
      </c>
      <c r="O238" s="222">
        <v>0</v>
      </c>
      <c r="P238" s="225">
        <v>300</v>
      </c>
      <c r="Q238" s="224">
        <v>0</v>
      </c>
      <c r="R238" s="222">
        <v>5.0199999999999996</v>
      </c>
      <c r="S238" s="226" t="str">
        <f>IFERROR(_xlfn.XLOOKUP(R238,'1_Presupuesto'!$E:$E,'1_Presupuesto'!$D:$D),"")</f>
        <v>Albañilería MO</v>
      </c>
    </row>
    <row r="239" spans="1:19" ht="15" customHeight="1" x14ac:dyDescent="0.35">
      <c r="A239" s="222" t="s">
        <v>1236</v>
      </c>
      <c r="B239" s="222" t="s">
        <v>13</v>
      </c>
      <c r="C239" s="222"/>
      <c r="D239" s="222" t="s">
        <v>1063</v>
      </c>
      <c r="E239" s="222" t="s">
        <v>1064</v>
      </c>
      <c r="F239" s="222"/>
      <c r="G239" s="223">
        <v>3.5714290000000003E-2</v>
      </c>
      <c r="H239" s="222">
        <v>0</v>
      </c>
      <c r="I239" s="224">
        <v>2227.2298000000001</v>
      </c>
      <c r="J239" s="224">
        <v>79.543930973842009</v>
      </c>
      <c r="K239" s="222" t="s">
        <v>1246</v>
      </c>
      <c r="L239" s="222">
        <v>2</v>
      </c>
      <c r="M239" s="222" t="s">
        <v>1248</v>
      </c>
      <c r="N239" s="222">
        <v>1</v>
      </c>
      <c r="O239" s="222">
        <v>0</v>
      </c>
      <c r="P239" s="225">
        <v>300</v>
      </c>
      <c r="Q239" s="224">
        <v>0</v>
      </c>
      <c r="R239" s="222">
        <v>5.0199999999999996</v>
      </c>
      <c r="S239" s="226" t="str">
        <f>IFERROR(_xlfn.XLOOKUP(R239,'1_Presupuesto'!$E:$E,'1_Presupuesto'!$D:$D),"")</f>
        <v>Albañilería MO</v>
      </c>
    </row>
    <row r="240" spans="1:19" ht="15" customHeight="1" x14ac:dyDescent="0.35">
      <c r="A240" s="222" t="s">
        <v>1236</v>
      </c>
      <c r="B240" s="222" t="s">
        <v>13</v>
      </c>
      <c r="C240" s="222"/>
      <c r="D240" s="222" t="s">
        <v>1070</v>
      </c>
      <c r="E240" s="222" t="s">
        <v>1071</v>
      </c>
      <c r="F240" s="222"/>
      <c r="G240" s="223">
        <v>3.5714290000000003E-2</v>
      </c>
      <c r="H240" s="222">
        <v>0</v>
      </c>
      <c r="I240" s="224">
        <v>932.18029999999999</v>
      </c>
      <c r="J240" s="224">
        <v>33.292157566486999</v>
      </c>
      <c r="K240" s="222" t="s">
        <v>1246</v>
      </c>
      <c r="L240" s="222">
        <v>3</v>
      </c>
      <c r="M240" s="222" t="s">
        <v>1249</v>
      </c>
      <c r="N240" s="222">
        <v>1</v>
      </c>
      <c r="O240" s="222">
        <v>0</v>
      </c>
      <c r="P240" s="225">
        <v>300</v>
      </c>
      <c r="Q240" s="224">
        <v>0</v>
      </c>
      <c r="R240" s="222">
        <v>5.0199999999999996</v>
      </c>
      <c r="S240" s="226" t="str">
        <f>IFERROR(_xlfn.XLOOKUP(R240,'1_Presupuesto'!$E:$E,'1_Presupuesto'!$D:$D),"")</f>
        <v>Albañilería MO</v>
      </c>
    </row>
    <row r="241" spans="1:19" ht="15" customHeight="1" x14ac:dyDescent="0.35">
      <c r="A241" s="222" t="s">
        <v>1250</v>
      </c>
      <c r="B241" s="222" t="s">
        <v>654</v>
      </c>
      <c r="C241" s="222" t="s">
        <v>719</v>
      </c>
      <c r="D241" s="222" t="s">
        <v>1051</v>
      </c>
      <c r="E241" s="222" t="s">
        <v>1052</v>
      </c>
      <c r="F241" s="222"/>
      <c r="G241" s="223">
        <v>6.0000000000000001E-3</v>
      </c>
      <c r="H241" s="222">
        <v>0.1</v>
      </c>
      <c r="I241" s="224">
        <v>31265.15</v>
      </c>
      <c r="J241" s="224">
        <v>206.34998999999999</v>
      </c>
      <c r="K241" s="222" t="s">
        <v>1251</v>
      </c>
      <c r="L241" s="222">
        <v>1</v>
      </c>
      <c r="M241" s="222" t="s">
        <v>1252</v>
      </c>
      <c r="N241" s="222">
        <v>1</v>
      </c>
      <c r="O241" s="222">
        <v>0</v>
      </c>
      <c r="P241" s="225">
        <v>48</v>
      </c>
      <c r="Q241" s="224">
        <v>0</v>
      </c>
      <c r="R241" s="222">
        <v>5.03</v>
      </c>
      <c r="S241" s="226" t="str">
        <f>IFERROR(_xlfn.XLOOKUP(R241,'1_Presupuesto'!$E:$E,'1_Presupuesto'!$D:$D),"")</f>
        <v>Albañilería MO</v>
      </c>
    </row>
    <row r="242" spans="1:19" ht="15" customHeight="1" x14ac:dyDescent="0.35">
      <c r="A242" s="222" t="s">
        <v>1250</v>
      </c>
      <c r="B242" s="222" t="s">
        <v>654</v>
      </c>
      <c r="C242" s="222" t="s">
        <v>719</v>
      </c>
      <c r="D242" s="222" t="s">
        <v>1239</v>
      </c>
      <c r="E242" s="222" t="s">
        <v>1240</v>
      </c>
      <c r="F242" s="222"/>
      <c r="G242" s="223">
        <v>0.1</v>
      </c>
      <c r="H242" s="222">
        <v>0.05</v>
      </c>
      <c r="I242" s="224">
        <v>1162.7550000000001</v>
      </c>
      <c r="J242" s="224">
        <v>122.089275</v>
      </c>
      <c r="K242" s="222" t="s">
        <v>1251</v>
      </c>
      <c r="L242" s="222">
        <v>2</v>
      </c>
      <c r="M242" s="222" t="s">
        <v>1253</v>
      </c>
      <c r="N242" s="222">
        <v>1</v>
      </c>
      <c r="O242" s="222">
        <v>0</v>
      </c>
      <c r="P242" s="225">
        <v>48</v>
      </c>
      <c r="Q242" s="224">
        <v>0</v>
      </c>
      <c r="R242" s="222">
        <v>5.03</v>
      </c>
      <c r="S242" s="226" t="str">
        <f>IFERROR(_xlfn.XLOOKUP(R242,'1_Presupuesto'!$E:$E,'1_Presupuesto'!$D:$D),"")</f>
        <v>Albañilería MO</v>
      </c>
    </row>
    <row r="243" spans="1:19" ht="15" customHeight="1" x14ac:dyDescent="0.35">
      <c r="A243" s="222" t="s">
        <v>1250</v>
      </c>
      <c r="B243" s="222" t="s">
        <v>654</v>
      </c>
      <c r="C243" s="222" t="s">
        <v>719</v>
      </c>
      <c r="D243" s="222" t="s">
        <v>1057</v>
      </c>
      <c r="E243" s="222" t="s">
        <v>1058</v>
      </c>
      <c r="F243" s="222"/>
      <c r="G243" s="223">
        <v>5.3999999999999999E-2</v>
      </c>
      <c r="H243" s="222">
        <v>0.1</v>
      </c>
      <c r="I243" s="224">
        <v>7233.47</v>
      </c>
      <c r="J243" s="224">
        <v>429.66811799999999</v>
      </c>
      <c r="K243" s="222" t="s">
        <v>1251</v>
      </c>
      <c r="L243" s="222">
        <v>3</v>
      </c>
      <c r="M243" s="222" t="s">
        <v>1254</v>
      </c>
      <c r="N243" s="222">
        <v>1</v>
      </c>
      <c r="O243" s="222">
        <v>0</v>
      </c>
      <c r="P243" s="225">
        <v>48</v>
      </c>
      <c r="Q243" s="224">
        <v>0</v>
      </c>
      <c r="R243" s="222">
        <v>5.03</v>
      </c>
      <c r="S243" s="226" t="str">
        <f>IFERROR(_xlfn.XLOOKUP(R243,'1_Presupuesto'!$E:$E,'1_Presupuesto'!$D:$D),"")</f>
        <v>Albañilería MO</v>
      </c>
    </row>
    <row r="244" spans="1:19" ht="15" customHeight="1" x14ac:dyDescent="0.35">
      <c r="A244" s="222" t="s">
        <v>1250</v>
      </c>
      <c r="B244" s="222" t="s">
        <v>639</v>
      </c>
      <c r="C244" s="222" t="s">
        <v>646</v>
      </c>
      <c r="D244" s="222" t="s">
        <v>647</v>
      </c>
      <c r="E244" s="222" t="s">
        <v>648</v>
      </c>
      <c r="F244" s="222" t="s">
        <v>643</v>
      </c>
      <c r="G244" s="223">
        <v>1.428571E-2</v>
      </c>
      <c r="H244" s="222">
        <v>0</v>
      </c>
      <c r="I244" s="224">
        <v>49934.239999999998</v>
      </c>
      <c r="J244" s="224">
        <v>713.3460717104</v>
      </c>
      <c r="K244" s="222" t="s">
        <v>1255</v>
      </c>
      <c r="L244" s="222">
        <v>1</v>
      </c>
      <c r="M244" s="222" t="s">
        <v>1256</v>
      </c>
      <c r="N244" s="222">
        <v>1</v>
      </c>
      <c r="O244" s="222">
        <v>1.428571E-2</v>
      </c>
      <c r="P244" s="225">
        <v>48</v>
      </c>
      <c r="Q244" s="224">
        <v>0.68571408</v>
      </c>
      <c r="R244" s="222">
        <v>5.03</v>
      </c>
      <c r="S244" s="226" t="str">
        <f>IFERROR(_xlfn.XLOOKUP(R244,'1_Presupuesto'!$E:$E,'1_Presupuesto'!$D:$D),"")</f>
        <v>Albañilería MO</v>
      </c>
    </row>
    <row r="245" spans="1:19" ht="15" customHeight="1" x14ac:dyDescent="0.35">
      <c r="A245" s="222" t="s">
        <v>1250</v>
      </c>
      <c r="B245" s="222" t="s">
        <v>639</v>
      </c>
      <c r="C245" s="222" t="s">
        <v>646</v>
      </c>
      <c r="D245" s="222" t="s">
        <v>723</v>
      </c>
      <c r="E245" s="222" t="s">
        <v>724</v>
      </c>
      <c r="F245" s="222" t="s">
        <v>643</v>
      </c>
      <c r="G245" s="223">
        <v>3.5714290000000003E-2</v>
      </c>
      <c r="H245" s="222">
        <v>0</v>
      </c>
      <c r="I245" s="224">
        <v>75113.05</v>
      </c>
      <c r="J245" s="224">
        <v>2682.6092504845001</v>
      </c>
      <c r="K245" s="222" t="s">
        <v>1255</v>
      </c>
      <c r="L245" s="222">
        <v>2</v>
      </c>
      <c r="M245" s="222" t="s">
        <v>1257</v>
      </c>
      <c r="N245" s="222">
        <v>1</v>
      </c>
      <c r="O245" s="222">
        <v>3.5714290000000003E-2</v>
      </c>
      <c r="P245" s="225">
        <v>48</v>
      </c>
      <c r="Q245" s="224">
        <v>1.71428592</v>
      </c>
      <c r="R245" s="222">
        <v>5.03</v>
      </c>
      <c r="S245" s="226" t="str">
        <f>IFERROR(_xlfn.XLOOKUP(R245,'1_Presupuesto'!$E:$E,'1_Presupuesto'!$D:$D),"")</f>
        <v>Albañilería MO</v>
      </c>
    </row>
    <row r="246" spans="1:19" ht="15" customHeight="1" x14ac:dyDescent="0.35">
      <c r="A246" s="222" t="s">
        <v>1250</v>
      </c>
      <c r="B246" s="222" t="s">
        <v>13</v>
      </c>
      <c r="C246" s="222"/>
      <c r="D246" s="222" t="s">
        <v>1067</v>
      </c>
      <c r="E246" s="222" t="s">
        <v>1068</v>
      </c>
      <c r="F246" s="222"/>
      <c r="G246" s="223">
        <v>1.7857140000000001E-2</v>
      </c>
      <c r="H246" s="222">
        <v>0</v>
      </c>
      <c r="I246" s="224">
        <v>556.21879999999999</v>
      </c>
      <c r="J246" s="224">
        <v>9.932476982232</v>
      </c>
      <c r="K246" s="222" t="s">
        <v>1258</v>
      </c>
      <c r="L246" s="222">
        <v>1</v>
      </c>
      <c r="M246" s="222" t="s">
        <v>1259</v>
      </c>
      <c r="N246" s="222">
        <v>1</v>
      </c>
      <c r="O246" s="222">
        <v>0</v>
      </c>
      <c r="P246" s="225">
        <v>48</v>
      </c>
      <c r="Q246" s="224">
        <v>0</v>
      </c>
      <c r="R246" s="222">
        <v>5.03</v>
      </c>
      <c r="S246" s="226" t="str">
        <f>IFERROR(_xlfn.XLOOKUP(R246,'1_Presupuesto'!$E:$E,'1_Presupuesto'!$D:$D),"")</f>
        <v>Albañilería MO</v>
      </c>
    </row>
    <row r="247" spans="1:19" ht="15" customHeight="1" x14ac:dyDescent="0.35">
      <c r="A247" s="222" t="s">
        <v>1250</v>
      </c>
      <c r="B247" s="222" t="s">
        <v>13</v>
      </c>
      <c r="C247" s="222"/>
      <c r="D247" s="222" t="s">
        <v>1063</v>
      </c>
      <c r="E247" s="222" t="s">
        <v>1064</v>
      </c>
      <c r="F247" s="222"/>
      <c r="G247" s="223">
        <v>3.5714290000000003E-2</v>
      </c>
      <c r="H247" s="222">
        <v>0</v>
      </c>
      <c r="I247" s="224">
        <v>2227.2298000000001</v>
      </c>
      <c r="J247" s="224">
        <v>79.543930973842009</v>
      </c>
      <c r="K247" s="222" t="s">
        <v>1258</v>
      </c>
      <c r="L247" s="222">
        <v>2</v>
      </c>
      <c r="M247" s="222" t="s">
        <v>1260</v>
      </c>
      <c r="N247" s="222">
        <v>1</v>
      </c>
      <c r="O247" s="222">
        <v>0</v>
      </c>
      <c r="P247" s="225">
        <v>48</v>
      </c>
      <c r="Q247" s="224">
        <v>0</v>
      </c>
      <c r="R247" s="222">
        <v>5.03</v>
      </c>
      <c r="S247" s="226" t="str">
        <f>IFERROR(_xlfn.XLOOKUP(R247,'1_Presupuesto'!$E:$E,'1_Presupuesto'!$D:$D),"")</f>
        <v>Albañilería MO</v>
      </c>
    </row>
    <row r="248" spans="1:19" ht="15" customHeight="1" x14ac:dyDescent="0.35">
      <c r="A248" s="222" t="s">
        <v>1250</v>
      </c>
      <c r="B248" s="222" t="s">
        <v>13</v>
      </c>
      <c r="C248" s="222"/>
      <c r="D248" s="222" t="s">
        <v>1070</v>
      </c>
      <c r="E248" s="222" t="s">
        <v>1071</v>
      </c>
      <c r="F248" s="222"/>
      <c r="G248" s="223">
        <v>3.5714290000000003E-2</v>
      </c>
      <c r="H248" s="222">
        <v>0</v>
      </c>
      <c r="I248" s="224">
        <v>932.18029999999999</v>
      </c>
      <c r="J248" s="224">
        <v>33.292157566486999</v>
      </c>
      <c r="K248" s="222" t="s">
        <v>1258</v>
      </c>
      <c r="L248" s="222">
        <v>3</v>
      </c>
      <c r="M248" s="222" t="s">
        <v>1261</v>
      </c>
      <c r="N248" s="222">
        <v>1</v>
      </c>
      <c r="O248" s="222">
        <v>0</v>
      </c>
      <c r="P248" s="225">
        <v>48</v>
      </c>
      <c r="Q248" s="224">
        <v>0</v>
      </c>
      <c r="R248" s="222">
        <v>5.03</v>
      </c>
      <c r="S248" s="226" t="str">
        <f>IFERROR(_xlfn.XLOOKUP(R248,'1_Presupuesto'!$E:$E,'1_Presupuesto'!$D:$D),"")</f>
        <v>Albañilería MO</v>
      </c>
    </row>
    <row r="249" spans="1:19" ht="15" customHeight="1" x14ac:dyDescent="0.35">
      <c r="A249" s="222" t="s">
        <v>1262</v>
      </c>
      <c r="B249" s="222" t="s">
        <v>654</v>
      </c>
      <c r="C249" s="222" t="s">
        <v>719</v>
      </c>
      <c r="D249" s="222" t="s">
        <v>1263</v>
      </c>
      <c r="E249" s="222" t="s">
        <v>1264</v>
      </c>
      <c r="F249" s="222"/>
      <c r="G249" s="223">
        <v>1</v>
      </c>
      <c r="H249" s="222">
        <v>0</v>
      </c>
      <c r="I249" s="224">
        <v>3502.8</v>
      </c>
      <c r="J249" s="224">
        <v>3502.8</v>
      </c>
      <c r="K249" s="222" t="s">
        <v>1265</v>
      </c>
      <c r="L249" s="222">
        <v>1</v>
      </c>
      <c r="M249" s="222" t="s">
        <v>1266</v>
      </c>
      <c r="N249" s="222">
        <v>1</v>
      </c>
      <c r="O249" s="222">
        <v>0</v>
      </c>
      <c r="P249" s="225">
        <v>262</v>
      </c>
      <c r="Q249" s="224">
        <v>0</v>
      </c>
      <c r="R249" s="222">
        <v>5.04</v>
      </c>
      <c r="S249" s="226" t="str">
        <f>IFERROR(_xlfn.XLOOKUP(R249,'1_Presupuesto'!$E:$E,'1_Presupuesto'!$D:$D),"")</f>
        <v>-</v>
      </c>
    </row>
    <row r="250" spans="1:19" ht="15" customHeight="1" x14ac:dyDescent="0.35">
      <c r="A250" s="222" t="s">
        <v>1267</v>
      </c>
      <c r="B250" s="222" t="s">
        <v>654</v>
      </c>
      <c r="C250" s="222" t="s">
        <v>719</v>
      </c>
      <c r="D250" s="222" t="s">
        <v>1202</v>
      </c>
      <c r="E250" s="222" t="s">
        <v>1203</v>
      </c>
      <c r="F250" s="222"/>
      <c r="G250" s="223">
        <v>2.7777779999999998E-2</v>
      </c>
      <c r="H250" s="222">
        <v>0.1</v>
      </c>
      <c r="I250" s="224">
        <v>32845.78</v>
      </c>
      <c r="J250" s="224">
        <v>1003.62113584524</v>
      </c>
      <c r="K250" s="222" t="s">
        <v>1268</v>
      </c>
      <c r="L250" s="222">
        <v>1</v>
      </c>
      <c r="M250" s="222" t="s">
        <v>1269</v>
      </c>
      <c r="N250" s="222">
        <v>1</v>
      </c>
      <c r="O250" s="222">
        <v>0</v>
      </c>
      <c r="P250" s="225">
        <v>510</v>
      </c>
      <c r="Q250" s="224">
        <v>0</v>
      </c>
      <c r="R250" s="222">
        <v>5.05</v>
      </c>
      <c r="S250" s="226" t="str">
        <f>IFERROR(_xlfn.XLOOKUP(R250,'1_Presupuesto'!$E:$E,'1_Presupuesto'!$D:$D),"")</f>
        <v>Albañilería MO</v>
      </c>
    </row>
    <row r="251" spans="1:19" ht="15" customHeight="1" x14ac:dyDescent="0.35">
      <c r="A251" s="222" t="s">
        <v>1267</v>
      </c>
      <c r="B251" s="222" t="s">
        <v>654</v>
      </c>
      <c r="C251" s="222" t="s">
        <v>719</v>
      </c>
      <c r="D251" s="222" t="s">
        <v>1209</v>
      </c>
      <c r="E251" s="222" t="s">
        <v>1210</v>
      </c>
      <c r="F251" s="222"/>
      <c r="G251" s="223">
        <v>0.01</v>
      </c>
      <c r="H251" s="222">
        <v>0.05</v>
      </c>
      <c r="I251" s="224">
        <v>7268.97</v>
      </c>
      <c r="J251" s="224">
        <v>76.324185</v>
      </c>
      <c r="K251" s="222" t="s">
        <v>1268</v>
      </c>
      <c r="L251" s="222">
        <v>2</v>
      </c>
      <c r="M251" s="222" t="s">
        <v>1270</v>
      </c>
      <c r="N251" s="222">
        <v>1</v>
      </c>
      <c r="O251" s="222">
        <v>0</v>
      </c>
      <c r="P251" s="225">
        <v>510</v>
      </c>
      <c r="Q251" s="224">
        <v>0</v>
      </c>
      <c r="R251" s="222">
        <v>5.05</v>
      </c>
      <c r="S251" s="226" t="str">
        <f>IFERROR(_xlfn.XLOOKUP(R251,'1_Presupuesto'!$E:$E,'1_Presupuesto'!$D:$D),"")</f>
        <v>Albañilería MO</v>
      </c>
    </row>
    <row r="252" spans="1:19" ht="15" customHeight="1" x14ac:dyDescent="0.35">
      <c r="A252" s="222" t="s">
        <v>1267</v>
      </c>
      <c r="B252" s="222" t="s">
        <v>654</v>
      </c>
      <c r="C252" s="222" t="s">
        <v>719</v>
      </c>
      <c r="D252" s="222" t="s">
        <v>1212</v>
      </c>
      <c r="E252" s="222" t="s">
        <v>1213</v>
      </c>
      <c r="F252" s="222"/>
      <c r="G252" s="223">
        <v>0.02</v>
      </c>
      <c r="H252" s="222">
        <v>0.05</v>
      </c>
      <c r="I252" s="224">
        <v>5452.63</v>
      </c>
      <c r="J252" s="224">
        <v>114.50523</v>
      </c>
      <c r="K252" s="222" t="s">
        <v>1268</v>
      </c>
      <c r="L252" s="222">
        <v>3</v>
      </c>
      <c r="M252" s="222" t="s">
        <v>1271</v>
      </c>
      <c r="N252" s="222">
        <v>1</v>
      </c>
      <c r="O252" s="222">
        <v>0</v>
      </c>
      <c r="P252" s="225">
        <v>510</v>
      </c>
      <c r="Q252" s="224">
        <v>0</v>
      </c>
      <c r="R252" s="222">
        <v>5.05</v>
      </c>
      <c r="S252" s="226" t="str">
        <f>IFERROR(_xlfn.XLOOKUP(R252,'1_Presupuesto'!$E:$E,'1_Presupuesto'!$D:$D),"")</f>
        <v>Albañilería MO</v>
      </c>
    </row>
    <row r="253" spans="1:19" ht="15" customHeight="1" x14ac:dyDescent="0.35">
      <c r="A253" s="222" t="s">
        <v>1267</v>
      </c>
      <c r="B253" s="222" t="s">
        <v>654</v>
      </c>
      <c r="C253" s="222" t="s">
        <v>719</v>
      </c>
      <c r="D253" s="222" t="s">
        <v>1215</v>
      </c>
      <c r="E253" s="222" t="s">
        <v>1216</v>
      </c>
      <c r="F253" s="222"/>
      <c r="G253" s="223">
        <v>2E-3</v>
      </c>
      <c r="H253" s="222">
        <v>0.05</v>
      </c>
      <c r="I253" s="224">
        <v>29726.19</v>
      </c>
      <c r="J253" s="224">
        <v>62.424999</v>
      </c>
      <c r="K253" s="222" t="s">
        <v>1268</v>
      </c>
      <c r="L253" s="222">
        <v>4</v>
      </c>
      <c r="M253" s="222" t="s">
        <v>1272</v>
      </c>
      <c r="N253" s="222">
        <v>1</v>
      </c>
      <c r="O253" s="222">
        <v>0</v>
      </c>
      <c r="P253" s="225">
        <v>510</v>
      </c>
      <c r="Q253" s="224">
        <v>0</v>
      </c>
      <c r="R253" s="222">
        <v>5.05</v>
      </c>
      <c r="S253" s="226" t="str">
        <f>IFERROR(_xlfn.XLOOKUP(R253,'1_Presupuesto'!$E:$E,'1_Presupuesto'!$D:$D),"")</f>
        <v>Albañilería MO</v>
      </c>
    </row>
    <row r="254" spans="1:19" ht="15" customHeight="1" x14ac:dyDescent="0.35">
      <c r="A254" s="222" t="s">
        <v>1267</v>
      </c>
      <c r="B254" s="222" t="s">
        <v>654</v>
      </c>
      <c r="C254" s="222" t="s">
        <v>719</v>
      </c>
      <c r="D254" s="222" t="s">
        <v>1218</v>
      </c>
      <c r="E254" s="222" t="s">
        <v>1219</v>
      </c>
      <c r="F254" s="222"/>
      <c r="G254" s="223">
        <v>0.02</v>
      </c>
      <c r="H254" s="222">
        <v>0.05</v>
      </c>
      <c r="I254" s="224">
        <v>784.06</v>
      </c>
      <c r="J254" s="224">
        <v>16.465260000000001</v>
      </c>
      <c r="K254" s="222" t="s">
        <v>1268</v>
      </c>
      <c r="L254" s="222">
        <v>5</v>
      </c>
      <c r="M254" s="222" t="s">
        <v>1273</v>
      </c>
      <c r="N254" s="222">
        <v>1</v>
      </c>
      <c r="O254" s="222">
        <v>0</v>
      </c>
      <c r="P254" s="225">
        <v>510</v>
      </c>
      <c r="Q254" s="224">
        <v>0</v>
      </c>
      <c r="R254" s="222">
        <v>5.05</v>
      </c>
      <c r="S254" s="226" t="str">
        <f>IFERROR(_xlfn.XLOOKUP(R254,'1_Presupuesto'!$E:$E,'1_Presupuesto'!$D:$D),"")</f>
        <v>Albañilería MO</v>
      </c>
    </row>
    <row r="255" spans="1:19" ht="15" customHeight="1" x14ac:dyDescent="0.35">
      <c r="A255" s="222" t="s">
        <v>1267</v>
      </c>
      <c r="B255" s="222" t="s">
        <v>639</v>
      </c>
      <c r="C255" s="222" t="s">
        <v>646</v>
      </c>
      <c r="D255" s="222" t="s">
        <v>647</v>
      </c>
      <c r="E255" s="222" t="s">
        <v>648</v>
      </c>
      <c r="F255" s="222" t="s">
        <v>643</v>
      </c>
      <c r="G255" s="223">
        <v>1.2500000000000001E-2</v>
      </c>
      <c r="H255" s="222">
        <v>0</v>
      </c>
      <c r="I255" s="224">
        <v>49934.239999999998</v>
      </c>
      <c r="J255" s="224">
        <v>624.178</v>
      </c>
      <c r="K255" s="222" t="s">
        <v>1274</v>
      </c>
      <c r="L255" s="222">
        <v>1</v>
      </c>
      <c r="M255" s="222" t="s">
        <v>1275</v>
      </c>
      <c r="N255" s="222">
        <v>1</v>
      </c>
      <c r="O255" s="222">
        <v>1.2500000000000001E-2</v>
      </c>
      <c r="P255" s="225">
        <v>510</v>
      </c>
      <c r="Q255" s="224">
        <v>6.375</v>
      </c>
      <c r="R255" s="222">
        <v>5.05</v>
      </c>
      <c r="S255" s="226" t="str">
        <f>IFERROR(_xlfn.XLOOKUP(R255,'1_Presupuesto'!$E:$E,'1_Presupuesto'!$D:$D),"")</f>
        <v>Albañilería MO</v>
      </c>
    </row>
    <row r="256" spans="1:19" ht="15" customHeight="1" x14ac:dyDescent="0.35">
      <c r="A256" s="222" t="s">
        <v>1267</v>
      </c>
      <c r="B256" s="222" t="s">
        <v>639</v>
      </c>
      <c r="C256" s="222" t="s">
        <v>646</v>
      </c>
      <c r="D256" s="222" t="s">
        <v>723</v>
      </c>
      <c r="E256" s="222" t="s">
        <v>724</v>
      </c>
      <c r="F256" s="222" t="s">
        <v>643</v>
      </c>
      <c r="G256" s="223">
        <v>1.2500000000000001E-2</v>
      </c>
      <c r="H256" s="222">
        <v>0</v>
      </c>
      <c r="I256" s="224">
        <v>75113.05</v>
      </c>
      <c r="J256" s="224">
        <v>938.91312500000004</v>
      </c>
      <c r="K256" s="222" t="s">
        <v>1274</v>
      </c>
      <c r="L256" s="222">
        <v>2</v>
      </c>
      <c r="M256" s="222" t="s">
        <v>1276</v>
      </c>
      <c r="N256" s="222">
        <v>1</v>
      </c>
      <c r="O256" s="222">
        <v>1.2500000000000001E-2</v>
      </c>
      <c r="P256" s="225">
        <v>510</v>
      </c>
      <c r="Q256" s="224">
        <v>6.375</v>
      </c>
      <c r="R256" s="222">
        <v>5.05</v>
      </c>
      <c r="S256" s="226" t="str">
        <f>IFERROR(_xlfn.XLOOKUP(R256,'1_Presupuesto'!$E:$E,'1_Presupuesto'!$D:$D),"")</f>
        <v>Albañilería MO</v>
      </c>
    </row>
    <row r="257" spans="1:19" ht="15" customHeight="1" x14ac:dyDescent="0.35">
      <c r="A257" s="222" t="s">
        <v>1267</v>
      </c>
      <c r="B257" s="222" t="s">
        <v>13</v>
      </c>
      <c r="C257" s="222"/>
      <c r="D257" s="222" t="s">
        <v>1232</v>
      </c>
      <c r="E257" s="222" t="s">
        <v>1233</v>
      </c>
      <c r="F257" s="222"/>
      <c r="G257" s="223">
        <v>1.2500000000000001E-2</v>
      </c>
      <c r="H257" s="222">
        <v>0</v>
      </c>
      <c r="I257" s="224">
        <v>783.43359999999996</v>
      </c>
      <c r="J257" s="224">
        <v>9.7929200000000005</v>
      </c>
      <c r="K257" s="222" t="s">
        <v>1277</v>
      </c>
      <c r="L257" s="222">
        <v>1</v>
      </c>
      <c r="M257" s="222" t="s">
        <v>1278</v>
      </c>
      <c r="N257" s="222">
        <v>1</v>
      </c>
      <c r="O257" s="222">
        <v>0</v>
      </c>
      <c r="P257" s="225">
        <v>510</v>
      </c>
      <c r="Q257" s="224">
        <v>0</v>
      </c>
      <c r="R257" s="222">
        <v>5.05</v>
      </c>
      <c r="S257" s="226" t="str">
        <f>IFERROR(_xlfn.XLOOKUP(R257,'1_Presupuesto'!$E:$E,'1_Presupuesto'!$D:$D),"")</f>
        <v>Albañilería MO</v>
      </c>
    </row>
    <row r="258" spans="1:19" ht="15" customHeight="1" x14ac:dyDescent="0.35">
      <c r="A258" s="222" t="s">
        <v>1279</v>
      </c>
      <c r="B258" s="222" t="s">
        <v>654</v>
      </c>
      <c r="C258" s="222" t="s">
        <v>719</v>
      </c>
      <c r="D258" s="222" t="s">
        <v>1202</v>
      </c>
      <c r="E258" s="222" t="s">
        <v>1203</v>
      </c>
      <c r="F258" s="222"/>
      <c r="G258" s="223">
        <v>2.7777779999999998E-2</v>
      </c>
      <c r="H258" s="222">
        <v>0.1</v>
      </c>
      <c r="I258" s="224">
        <v>32845.78</v>
      </c>
      <c r="J258" s="224">
        <v>1003.62113584524</v>
      </c>
      <c r="K258" s="222" t="s">
        <v>1280</v>
      </c>
      <c r="L258" s="222">
        <v>1</v>
      </c>
      <c r="M258" s="222" t="s">
        <v>1281</v>
      </c>
      <c r="N258" s="222">
        <v>1</v>
      </c>
      <c r="O258" s="222">
        <v>0</v>
      </c>
      <c r="P258" s="225">
        <v>510</v>
      </c>
      <c r="Q258" s="224">
        <v>0</v>
      </c>
      <c r="R258" s="222">
        <v>5.0599999999999996</v>
      </c>
      <c r="S258" s="226" t="str">
        <f>IFERROR(_xlfn.XLOOKUP(R258,'1_Presupuesto'!$E:$E,'1_Presupuesto'!$D:$D),"")</f>
        <v>Albañilería MO</v>
      </c>
    </row>
    <row r="259" spans="1:19" ht="15" customHeight="1" x14ac:dyDescent="0.35">
      <c r="A259" s="222" t="s">
        <v>1279</v>
      </c>
      <c r="B259" s="222" t="s">
        <v>654</v>
      </c>
      <c r="C259" s="222" t="s">
        <v>719</v>
      </c>
      <c r="D259" s="222" t="s">
        <v>1206</v>
      </c>
      <c r="E259" s="222" t="s">
        <v>1207</v>
      </c>
      <c r="F259" s="222"/>
      <c r="G259" s="223">
        <v>0.1</v>
      </c>
      <c r="H259" s="222">
        <v>0.1</v>
      </c>
      <c r="I259" s="224">
        <v>70192.210000000006</v>
      </c>
      <c r="J259" s="224">
        <v>7721.1431000000021</v>
      </c>
      <c r="K259" s="222" t="s">
        <v>1280</v>
      </c>
      <c r="L259" s="222">
        <v>2</v>
      </c>
      <c r="M259" s="222" t="s">
        <v>1282</v>
      </c>
      <c r="N259" s="222">
        <v>1</v>
      </c>
      <c r="O259" s="222">
        <v>0</v>
      </c>
      <c r="P259" s="225">
        <v>510</v>
      </c>
      <c r="Q259" s="224">
        <v>0</v>
      </c>
      <c r="R259" s="222">
        <v>5.0599999999999996</v>
      </c>
      <c r="S259" s="226" t="str">
        <f>IFERROR(_xlfn.XLOOKUP(R259,'1_Presupuesto'!$E:$E,'1_Presupuesto'!$D:$D),"")</f>
        <v>Albañilería MO</v>
      </c>
    </row>
    <row r="260" spans="1:19" ht="15" customHeight="1" x14ac:dyDescent="0.35">
      <c r="A260" s="222" t="s">
        <v>1279</v>
      </c>
      <c r="B260" s="222" t="s">
        <v>654</v>
      </c>
      <c r="C260" s="222" t="s">
        <v>719</v>
      </c>
      <c r="D260" s="222" t="s">
        <v>1209</v>
      </c>
      <c r="E260" s="222" t="s">
        <v>1210</v>
      </c>
      <c r="F260" s="222"/>
      <c r="G260" s="223">
        <v>0.01</v>
      </c>
      <c r="H260" s="222">
        <v>0.05</v>
      </c>
      <c r="I260" s="224">
        <v>7268.97</v>
      </c>
      <c r="J260" s="224">
        <v>76.324185</v>
      </c>
      <c r="K260" s="222" t="s">
        <v>1280</v>
      </c>
      <c r="L260" s="222">
        <v>3</v>
      </c>
      <c r="M260" s="222" t="s">
        <v>1283</v>
      </c>
      <c r="N260" s="222">
        <v>1</v>
      </c>
      <c r="O260" s="222">
        <v>0</v>
      </c>
      <c r="P260" s="225">
        <v>510</v>
      </c>
      <c r="Q260" s="224">
        <v>0</v>
      </c>
      <c r="R260" s="222">
        <v>5.0599999999999996</v>
      </c>
      <c r="S260" s="226" t="str">
        <f>IFERROR(_xlfn.XLOOKUP(R260,'1_Presupuesto'!$E:$E,'1_Presupuesto'!$D:$D),"")</f>
        <v>Albañilería MO</v>
      </c>
    </row>
    <row r="261" spans="1:19" ht="15" customHeight="1" x14ac:dyDescent="0.35">
      <c r="A261" s="222" t="s">
        <v>1279</v>
      </c>
      <c r="B261" s="222" t="s">
        <v>654</v>
      </c>
      <c r="C261" s="222" t="s">
        <v>719</v>
      </c>
      <c r="D261" s="222" t="s">
        <v>1212</v>
      </c>
      <c r="E261" s="222" t="s">
        <v>1213</v>
      </c>
      <c r="F261" s="222"/>
      <c r="G261" s="223">
        <v>0.02</v>
      </c>
      <c r="H261" s="222">
        <v>0.05</v>
      </c>
      <c r="I261" s="224">
        <v>5452.63</v>
      </c>
      <c r="J261" s="224">
        <v>114.50523</v>
      </c>
      <c r="K261" s="222" t="s">
        <v>1280</v>
      </c>
      <c r="L261" s="222">
        <v>4</v>
      </c>
      <c r="M261" s="222" t="s">
        <v>1284</v>
      </c>
      <c r="N261" s="222">
        <v>1</v>
      </c>
      <c r="O261" s="222">
        <v>0</v>
      </c>
      <c r="P261" s="225">
        <v>510</v>
      </c>
      <c r="Q261" s="224">
        <v>0</v>
      </c>
      <c r="R261" s="222">
        <v>5.0599999999999996</v>
      </c>
      <c r="S261" s="226" t="str">
        <f>IFERROR(_xlfn.XLOOKUP(R261,'1_Presupuesto'!$E:$E,'1_Presupuesto'!$D:$D),"")</f>
        <v>Albañilería MO</v>
      </c>
    </row>
    <row r="262" spans="1:19" ht="15" customHeight="1" x14ac:dyDescent="0.35">
      <c r="A262" s="222" t="s">
        <v>1279</v>
      </c>
      <c r="B262" s="222" t="s">
        <v>654</v>
      </c>
      <c r="C262" s="222" t="s">
        <v>719</v>
      </c>
      <c r="D262" s="222" t="s">
        <v>1215</v>
      </c>
      <c r="E262" s="222" t="s">
        <v>1216</v>
      </c>
      <c r="F262" s="222"/>
      <c r="G262" s="223">
        <v>0.01</v>
      </c>
      <c r="H262" s="222">
        <v>0.05</v>
      </c>
      <c r="I262" s="224">
        <v>29726.19</v>
      </c>
      <c r="J262" s="224">
        <v>312.12499500000001</v>
      </c>
      <c r="K262" s="222" t="s">
        <v>1280</v>
      </c>
      <c r="L262" s="222">
        <v>5</v>
      </c>
      <c r="M262" s="222" t="s">
        <v>1285</v>
      </c>
      <c r="N262" s="222">
        <v>1</v>
      </c>
      <c r="O262" s="222">
        <v>0</v>
      </c>
      <c r="P262" s="225">
        <v>510</v>
      </c>
      <c r="Q262" s="224">
        <v>0</v>
      </c>
      <c r="R262" s="222">
        <v>5.0599999999999996</v>
      </c>
      <c r="S262" s="226" t="str">
        <f>IFERROR(_xlfn.XLOOKUP(R262,'1_Presupuesto'!$E:$E,'1_Presupuesto'!$D:$D),"")</f>
        <v>Albañilería MO</v>
      </c>
    </row>
    <row r="263" spans="1:19" ht="15" customHeight="1" x14ac:dyDescent="0.35">
      <c r="A263" s="222" t="s">
        <v>1279</v>
      </c>
      <c r="B263" s="222" t="s">
        <v>654</v>
      </c>
      <c r="C263" s="222" t="s">
        <v>719</v>
      </c>
      <c r="D263" s="222" t="s">
        <v>1218</v>
      </c>
      <c r="E263" s="222" t="s">
        <v>1219</v>
      </c>
      <c r="F263" s="222"/>
      <c r="G263" s="223">
        <v>0.02</v>
      </c>
      <c r="H263" s="222">
        <v>0.05</v>
      </c>
      <c r="I263" s="224">
        <v>784.06</v>
      </c>
      <c r="J263" s="224">
        <v>16.465260000000001</v>
      </c>
      <c r="K263" s="222" t="s">
        <v>1280</v>
      </c>
      <c r="L263" s="222">
        <v>6</v>
      </c>
      <c r="M263" s="222" t="s">
        <v>1286</v>
      </c>
      <c r="N263" s="222">
        <v>1</v>
      </c>
      <c r="O263" s="222">
        <v>0</v>
      </c>
      <c r="P263" s="225">
        <v>510</v>
      </c>
      <c r="Q263" s="224">
        <v>0</v>
      </c>
      <c r="R263" s="222">
        <v>5.0599999999999996</v>
      </c>
      <c r="S263" s="226" t="str">
        <f>IFERROR(_xlfn.XLOOKUP(R263,'1_Presupuesto'!$E:$E,'1_Presupuesto'!$D:$D),"")</f>
        <v>Albañilería MO</v>
      </c>
    </row>
    <row r="264" spans="1:19" ht="15" customHeight="1" x14ac:dyDescent="0.35">
      <c r="A264" s="222" t="s">
        <v>1279</v>
      </c>
      <c r="B264" s="222" t="s">
        <v>654</v>
      </c>
      <c r="C264" s="222" t="s">
        <v>719</v>
      </c>
      <c r="D264" s="222" t="s">
        <v>1221</v>
      </c>
      <c r="E264" s="222" t="s">
        <v>1222</v>
      </c>
      <c r="F264" s="222"/>
      <c r="G264" s="223">
        <v>0.06</v>
      </c>
      <c r="H264" s="222">
        <v>0.05</v>
      </c>
      <c r="I264" s="224">
        <v>4842</v>
      </c>
      <c r="J264" s="224">
        <v>305.04599999999999</v>
      </c>
      <c r="K264" s="222" t="s">
        <v>1280</v>
      </c>
      <c r="L264" s="222">
        <v>7</v>
      </c>
      <c r="M264" s="222" t="s">
        <v>1287</v>
      </c>
      <c r="N264" s="222">
        <v>1</v>
      </c>
      <c r="O264" s="222">
        <v>0</v>
      </c>
      <c r="P264" s="225">
        <v>510</v>
      </c>
      <c r="Q264" s="224">
        <v>0</v>
      </c>
      <c r="R264" s="222">
        <v>5.0599999999999996</v>
      </c>
      <c r="S264" s="226" t="str">
        <f>IFERROR(_xlfn.XLOOKUP(R264,'1_Presupuesto'!$E:$E,'1_Presupuesto'!$D:$D),"")</f>
        <v>Albañilería MO</v>
      </c>
    </row>
    <row r="265" spans="1:19" ht="15" customHeight="1" x14ac:dyDescent="0.35">
      <c r="A265" s="222" t="s">
        <v>1279</v>
      </c>
      <c r="B265" s="222" t="s">
        <v>654</v>
      </c>
      <c r="C265" s="222" t="s">
        <v>719</v>
      </c>
      <c r="D265" s="222" t="s">
        <v>1224</v>
      </c>
      <c r="E265" s="222" t="s">
        <v>1225</v>
      </c>
      <c r="F265" s="222"/>
      <c r="G265" s="223">
        <v>0.02</v>
      </c>
      <c r="H265" s="222">
        <v>0.05</v>
      </c>
      <c r="I265" s="224">
        <v>12396.6942</v>
      </c>
      <c r="J265" s="224">
        <v>260.33057819999999</v>
      </c>
      <c r="K265" s="222" t="s">
        <v>1280</v>
      </c>
      <c r="L265" s="222">
        <v>8</v>
      </c>
      <c r="M265" s="222" t="s">
        <v>1288</v>
      </c>
      <c r="N265" s="222">
        <v>1</v>
      </c>
      <c r="O265" s="222">
        <v>0</v>
      </c>
      <c r="P265" s="225">
        <v>510</v>
      </c>
      <c r="Q265" s="224">
        <v>0</v>
      </c>
      <c r="R265" s="222">
        <v>5.0599999999999996</v>
      </c>
      <c r="S265" s="226" t="str">
        <f>IFERROR(_xlfn.XLOOKUP(R265,'1_Presupuesto'!$E:$E,'1_Presupuesto'!$D:$D),"")</f>
        <v>Albañilería MO</v>
      </c>
    </row>
    <row r="266" spans="1:19" ht="15" customHeight="1" x14ac:dyDescent="0.35">
      <c r="A266" s="222" t="s">
        <v>1279</v>
      </c>
      <c r="B266" s="222" t="s">
        <v>639</v>
      </c>
      <c r="C266" s="222" t="s">
        <v>640</v>
      </c>
      <c r="D266" s="222" t="s">
        <v>1136</v>
      </c>
      <c r="E266" s="222" t="s">
        <v>1137</v>
      </c>
      <c r="F266" s="222" t="s">
        <v>643</v>
      </c>
      <c r="G266" s="223">
        <v>0.02</v>
      </c>
      <c r="H266" s="222">
        <v>0</v>
      </c>
      <c r="I266" s="224">
        <v>49934.237200000003</v>
      </c>
      <c r="J266" s="224">
        <v>998.68474400000014</v>
      </c>
      <c r="K266" s="222" t="s">
        <v>1289</v>
      </c>
      <c r="L266" s="222">
        <v>1</v>
      </c>
      <c r="M266" s="222" t="s">
        <v>1290</v>
      </c>
      <c r="N266" s="222">
        <v>1</v>
      </c>
      <c r="O266" s="222">
        <v>0</v>
      </c>
      <c r="P266" s="225">
        <v>510</v>
      </c>
      <c r="Q266" s="224">
        <v>0</v>
      </c>
      <c r="R266" s="222">
        <v>5.0599999999999996</v>
      </c>
      <c r="S266" s="226" t="str">
        <f>IFERROR(_xlfn.XLOOKUP(R266,'1_Presupuesto'!$E:$E,'1_Presupuesto'!$D:$D),"")</f>
        <v>Albañilería MO</v>
      </c>
    </row>
    <row r="267" spans="1:19" ht="15" customHeight="1" x14ac:dyDescent="0.35">
      <c r="A267" s="222" t="s">
        <v>1279</v>
      </c>
      <c r="B267" s="222" t="s">
        <v>639</v>
      </c>
      <c r="C267" s="222" t="s">
        <v>640</v>
      </c>
      <c r="D267" s="222" t="s">
        <v>1132</v>
      </c>
      <c r="E267" s="222" t="s">
        <v>1133</v>
      </c>
      <c r="F267" s="222" t="s">
        <v>643</v>
      </c>
      <c r="G267" s="223">
        <v>0.02</v>
      </c>
      <c r="H267" s="222">
        <v>0</v>
      </c>
      <c r="I267" s="224">
        <v>75113.048200000005</v>
      </c>
      <c r="J267" s="224">
        <v>1502.2609640000001</v>
      </c>
      <c r="K267" s="222" t="s">
        <v>1289</v>
      </c>
      <c r="L267" s="222">
        <v>2</v>
      </c>
      <c r="M267" s="222" t="s">
        <v>1291</v>
      </c>
      <c r="N267" s="222">
        <v>1</v>
      </c>
      <c r="O267" s="222">
        <v>0</v>
      </c>
      <c r="P267" s="225">
        <v>510</v>
      </c>
      <c r="Q267" s="224">
        <v>0</v>
      </c>
      <c r="R267" s="222">
        <v>5.0599999999999996</v>
      </c>
      <c r="S267" s="226" t="str">
        <f>IFERROR(_xlfn.XLOOKUP(R267,'1_Presupuesto'!$E:$E,'1_Presupuesto'!$D:$D),"")</f>
        <v>Albañilería MO</v>
      </c>
    </row>
    <row r="268" spans="1:19" ht="15" customHeight="1" x14ac:dyDescent="0.35">
      <c r="A268" s="222" t="s">
        <v>1279</v>
      </c>
      <c r="B268" s="222" t="s">
        <v>639</v>
      </c>
      <c r="C268" s="222" t="s">
        <v>646</v>
      </c>
      <c r="D268" s="222" t="s">
        <v>647</v>
      </c>
      <c r="E268" s="222" t="s">
        <v>648</v>
      </c>
      <c r="F268" s="222" t="s">
        <v>643</v>
      </c>
      <c r="G268" s="223">
        <v>0.04</v>
      </c>
      <c r="H268" s="222">
        <v>0</v>
      </c>
      <c r="I268" s="224">
        <v>49934.239999999998</v>
      </c>
      <c r="J268" s="224">
        <v>1997.3696</v>
      </c>
      <c r="K268" s="222" t="s">
        <v>1289</v>
      </c>
      <c r="L268" s="222">
        <v>3</v>
      </c>
      <c r="M268" s="222" t="s">
        <v>1292</v>
      </c>
      <c r="N268" s="222">
        <v>1</v>
      </c>
      <c r="O268" s="222">
        <v>0.04</v>
      </c>
      <c r="P268" s="225">
        <v>510</v>
      </c>
      <c r="Q268" s="224">
        <v>20.399999999999999</v>
      </c>
      <c r="R268" s="222">
        <v>5.0599999999999996</v>
      </c>
      <c r="S268" s="226" t="str">
        <f>IFERROR(_xlfn.XLOOKUP(R268,'1_Presupuesto'!$E:$E,'1_Presupuesto'!$D:$D),"")</f>
        <v>Albañilería MO</v>
      </c>
    </row>
    <row r="269" spans="1:19" ht="15" customHeight="1" x14ac:dyDescent="0.35">
      <c r="A269" s="222" t="s">
        <v>1279</v>
      </c>
      <c r="B269" s="222" t="s">
        <v>639</v>
      </c>
      <c r="C269" s="222" t="s">
        <v>646</v>
      </c>
      <c r="D269" s="222" t="s">
        <v>723</v>
      </c>
      <c r="E269" s="222" t="s">
        <v>724</v>
      </c>
      <c r="F269" s="222" t="s">
        <v>643</v>
      </c>
      <c r="G269" s="223">
        <v>0.04</v>
      </c>
      <c r="H269" s="222">
        <v>0</v>
      </c>
      <c r="I269" s="224">
        <v>75113.05</v>
      </c>
      <c r="J269" s="224">
        <v>3004.5219999999999</v>
      </c>
      <c r="K269" s="222" t="s">
        <v>1289</v>
      </c>
      <c r="L269" s="222">
        <v>4</v>
      </c>
      <c r="M269" s="222" t="s">
        <v>1293</v>
      </c>
      <c r="N269" s="222">
        <v>1</v>
      </c>
      <c r="O269" s="222">
        <v>0.04</v>
      </c>
      <c r="P269" s="225">
        <v>510</v>
      </c>
      <c r="Q269" s="224">
        <v>20.399999999999999</v>
      </c>
      <c r="R269" s="222">
        <v>5.0599999999999996</v>
      </c>
      <c r="S269" s="226" t="str">
        <f>IFERROR(_xlfn.XLOOKUP(R269,'1_Presupuesto'!$E:$E,'1_Presupuesto'!$D:$D),"")</f>
        <v>Albañilería MO</v>
      </c>
    </row>
    <row r="270" spans="1:19" ht="15" customHeight="1" x14ac:dyDescent="0.35">
      <c r="A270" s="222" t="s">
        <v>1279</v>
      </c>
      <c r="B270" s="222" t="s">
        <v>13</v>
      </c>
      <c r="C270" s="222"/>
      <c r="D270" s="222" t="s">
        <v>1232</v>
      </c>
      <c r="E270" s="222" t="s">
        <v>1233</v>
      </c>
      <c r="F270" s="222"/>
      <c r="G270" s="223">
        <v>0.04</v>
      </c>
      <c r="H270" s="222">
        <v>0</v>
      </c>
      <c r="I270" s="224">
        <v>783.43359999999996</v>
      </c>
      <c r="J270" s="224">
        <v>31.337344000000002</v>
      </c>
      <c r="K270" s="222" t="s">
        <v>1294</v>
      </c>
      <c r="L270" s="222">
        <v>1</v>
      </c>
      <c r="M270" s="222" t="s">
        <v>1295</v>
      </c>
      <c r="N270" s="222">
        <v>1</v>
      </c>
      <c r="O270" s="222">
        <v>0</v>
      </c>
      <c r="P270" s="225">
        <v>510</v>
      </c>
      <c r="Q270" s="224">
        <v>0</v>
      </c>
      <c r="R270" s="222">
        <v>5.0599999999999996</v>
      </c>
      <c r="S270" s="226" t="str">
        <f>IFERROR(_xlfn.XLOOKUP(R270,'1_Presupuesto'!$E:$E,'1_Presupuesto'!$D:$D),"")</f>
        <v>Albañilería MO</v>
      </c>
    </row>
    <row r="271" spans="1:19" ht="15" customHeight="1" x14ac:dyDescent="0.35">
      <c r="A271" s="222" t="s">
        <v>1296</v>
      </c>
      <c r="B271" s="222" t="s">
        <v>639</v>
      </c>
      <c r="C271" s="222" t="s">
        <v>640</v>
      </c>
      <c r="D271" s="222" t="s">
        <v>1297</v>
      </c>
      <c r="E271" s="222" t="s">
        <v>107</v>
      </c>
      <c r="F271" s="222" t="s">
        <v>643</v>
      </c>
      <c r="G271" s="223">
        <v>1</v>
      </c>
      <c r="H271" s="222">
        <v>0</v>
      </c>
      <c r="I271" s="224">
        <v>13500000</v>
      </c>
      <c r="J271" s="224">
        <v>13500000</v>
      </c>
      <c r="K271" s="222" t="s">
        <v>1298</v>
      </c>
      <c r="L271" s="222">
        <v>1</v>
      </c>
      <c r="M271" s="222" t="s">
        <v>1299</v>
      </c>
      <c r="N271" s="222">
        <v>1</v>
      </c>
      <c r="O271" s="222">
        <v>0</v>
      </c>
      <c r="P271" s="225">
        <v>1</v>
      </c>
      <c r="Q271" s="224">
        <v>0</v>
      </c>
      <c r="R271" s="222">
        <v>5.07</v>
      </c>
      <c r="S271" s="226" t="str">
        <f>IFERROR(_xlfn.XLOOKUP(R271,'1_Presupuesto'!$E:$E,'1_Presupuesto'!$D:$D),"")</f>
        <v>-</v>
      </c>
    </row>
    <row r="272" spans="1:19" ht="15" customHeight="1" x14ac:dyDescent="0.35">
      <c r="A272" s="222" t="s">
        <v>1300</v>
      </c>
      <c r="B272" s="222" t="s">
        <v>654</v>
      </c>
      <c r="C272" s="222" t="s">
        <v>640</v>
      </c>
      <c r="D272" s="222" t="s">
        <v>1301</v>
      </c>
      <c r="E272" s="222" t="s">
        <v>1302</v>
      </c>
      <c r="F272" s="222"/>
      <c r="G272" s="223">
        <v>0.46666667000000001</v>
      </c>
      <c r="H272" s="222">
        <v>0</v>
      </c>
      <c r="I272" s="224">
        <v>16528.925599999999</v>
      </c>
      <c r="J272" s="224">
        <v>7713.4986684297519</v>
      </c>
      <c r="K272" s="222" t="s">
        <v>1303</v>
      </c>
      <c r="L272" s="222">
        <v>1</v>
      </c>
      <c r="M272" s="222" t="s">
        <v>1304</v>
      </c>
      <c r="N272" s="222">
        <v>1</v>
      </c>
      <c r="O272" s="222">
        <v>0</v>
      </c>
      <c r="P272" s="225">
        <v>60</v>
      </c>
      <c r="Q272" s="224">
        <v>0</v>
      </c>
      <c r="R272" s="222">
        <v>6.02</v>
      </c>
      <c r="S272" s="226" t="str">
        <f>IFERROR(_xlfn.XLOOKUP(R272,'1_Presupuesto'!$E:$E,'1_Presupuesto'!$D:$D),"")</f>
        <v>Albañilería MO</v>
      </c>
    </row>
    <row r="273" spans="1:19" ht="15" customHeight="1" x14ac:dyDescent="0.35">
      <c r="A273" s="222" t="s">
        <v>1300</v>
      </c>
      <c r="B273" s="222" t="s">
        <v>654</v>
      </c>
      <c r="C273" s="222" t="s">
        <v>640</v>
      </c>
      <c r="D273" s="222" t="s">
        <v>1305</v>
      </c>
      <c r="E273" s="222" t="s">
        <v>1306</v>
      </c>
      <c r="F273" s="222"/>
      <c r="G273" s="223">
        <v>0.2</v>
      </c>
      <c r="H273" s="222">
        <v>0</v>
      </c>
      <c r="I273" s="224">
        <v>24793.3884</v>
      </c>
      <c r="J273" s="224">
        <v>4958.6776800000007</v>
      </c>
      <c r="K273" s="222" t="s">
        <v>1303</v>
      </c>
      <c r="L273" s="222">
        <v>2</v>
      </c>
      <c r="M273" s="222" t="s">
        <v>1307</v>
      </c>
      <c r="N273" s="222">
        <v>1</v>
      </c>
      <c r="O273" s="222">
        <v>0</v>
      </c>
      <c r="P273" s="225">
        <v>60</v>
      </c>
      <c r="Q273" s="224">
        <v>0</v>
      </c>
      <c r="R273" s="222">
        <v>6.02</v>
      </c>
      <c r="S273" s="226" t="str">
        <f>IFERROR(_xlfn.XLOOKUP(R273,'1_Presupuesto'!$E:$E,'1_Presupuesto'!$D:$D),"")</f>
        <v>Albañilería MO</v>
      </c>
    </row>
    <row r="274" spans="1:19" ht="15" customHeight="1" x14ac:dyDescent="0.35">
      <c r="A274" s="222" t="s">
        <v>1300</v>
      </c>
      <c r="B274" s="222" t="s">
        <v>639</v>
      </c>
      <c r="C274" s="222" t="s">
        <v>646</v>
      </c>
      <c r="D274" s="222" t="s">
        <v>723</v>
      </c>
      <c r="E274" s="222" t="s">
        <v>724</v>
      </c>
      <c r="F274" s="222" t="s">
        <v>643</v>
      </c>
      <c r="G274" s="223">
        <v>3.3333330000000001E-2</v>
      </c>
      <c r="H274" s="222">
        <v>0</v>
      </c>
      <c r="I274" s="224">
        <v>75113.05</v>
      </c>
      <c r="J274" s="224">
        <v>2503.7680829565002</v>
      </c>
      <c r="K274" s="222" t="s">
        <v>1308</v>
      </c>
      <c r="L274" s="222">
        <v>1</v>
      </c>
      <c r="M274" s="222" t="s">
        <v>1309</v>
      </c>
      <c r="N274" s="222">
        <v>1</v>
      </c>
      <c r="O274" s="222">
        <v>3.3333330000000001E-2</v>
      </c>
      <c r="P274" s="225">
        <v>60</v>
      </c>
      <c r="Q274" s="224">
        <v>1.9999998000000001</v>
      </c>
      <c r="R274" s="222">
        <v>6.02</v>
      </c>
      <c r="S274" s="226" t="str">
        <f>IFERROR(_xlfn.XLOOKUP(R274,'1_Presupuesto'!$E:$E,'1_Presupuesto'!$D:$D),"")</f>
        <v>Albañilería MO</v>
      </c>
    </row>
    <row r="275" spans="1:19" ht="15" customHeight="1" x14ac:dyDescent="0.35">
      <c r="A275" s="222" t="s">
        <v>1300</v>
      </c>
      <c r="B275" s="222" t="s">
        <v>639</v>
      </c>
      <c r="C275" s="222" t="s">
        <v>646</v>
      </c>
      <c r="D275" s="222" t="s">
        <v>687</v>
      </c>
      <c r="E275" s="222" t="s">
        <v>688</v>
      </c>
      <c r="F275" s="222" t="s">
        <v>643</v>
      </c>
      <c r="G275" s="223">
        <v>3.3333330000000001E-2</v>
      </c>
      <c r="H275" s="222">
        <v>0</v>
      </c>
      <c r="I275" s="224">
        <v>54784.07</v>
      </c>
      <c r="J275" s="224">
        <v>1826.1354840531001</v>
      </c>
      <c r="K275" s="222" t="s">
        <v>1308</v>
      </c>
      <c r="L275" s="222">
        <v>2</v>
      </c>
      <c r="M275" s="222" t="s">
        <v>1310</v>
      </c>
      <c r="N275" s="222">
        <v>1</v>
      </c>
      <c r="O275" s="222">
        <v>3.3333330000000001E-2</v>
      </c>
      <c r="P275" s="225">
        <v>60</v>
      </c>
      <c r="Q275" s="224">
        <v>1.9999998000000001</v>
      </c>
      <c r="R275" s="222">
        <v>6.02</v>
      </c>
      <c r="S275" s="226" t="str">
        <f>IFERROR(_xlfn.XLOOKUP(R275,'1_Presupuesto'!$E:$E,'1_Presupuesto'!$D:$D),"")</f>
        <v>Albañilería MO</v>
      </c>
    </row>
    <row r="276" spans="1:19" ht="15" customHeight="1" x14ac:dyDescent="0.35">
      <c r="A276" s="222" t="s">
        <v>1300</v>
      </c>
      <c r="B276" s="222" t="s">
        <v>13</v>
      </c>
      <c r="C276" s="222"/>
      <c r="D276" s="222" t="s">
        <v>1311</v>
      </c>
      <c r="E276" s="222" t="s">
        <v>1312</v>
      </c>
      <c r="F276" s="222"/>
      <c r="G276" s="223">
        <v>1</v>
      </c>
      <c r="H276" s="222">
        <v>0</v>
      </c>
      <c r="I276" s="224">
        <v>14004.342500000001</v>
      </c>
      <c r="J276" s="224">
        <v>14004.342500000001</v>
      </c>
      <c r="K276" s="222" t="s">
        <v>1313</v>
      </c>
      <c r="L276" s="222">
        <v>1</v>
      </c>
      <c r="M276" s="222" t="s">
        <v>1314</v>
      </c>
      <c r="N276" s="222">
        <v>1</v>
      </c>
      <c r="O276" s="222">
        <v>0</v>
      </c>
      <c r="P276" s="225">
        <v>60</v>
      </c>
      <c r="Q276" s="224">
        <v>0</v>
      </c>
      <c r="R276" s="222">
        <v>6.02</v>
      </c>
      <c r="S276" s="226" t="str">
        <f>IFERROR(_xlfn.XLOOKUP(R276,'1_Presupuesto'!$E:$E,'1_Presupuesto'!$D:$D),"")</f>
        <v>Albañilería MO</v>
      </c>
    </row>
    <row r="277" spans="1:19" ht="15" customHeight="1" x14ac:dyDescent="0.35">
      <c r="A277" s="222" t="s">
        <v>1300</v>
      </c>
      <c r="B277" s="222" t="s">
        <v>654</v>
      </c>
      <c r="C277" s="222" t="s">
        <v>655</v>
      </c>
      <c r="D277" s="222" t="s">
        <v>656</v>
      </c>
      <c r="E277" s="222" t="s">
        <v>657</v>
      </c>
      <c r="F277" s="222"/>
      <c r="G277" s="223">
        <v>1267.2202</v>
      </c>
      <c r="H277" s="222">
        <v>0</v>
      </c>
      <c r="I277" s="224">
        <v>1</v>
      </c>
      <c r="J277" s="224">
        <v>1267.2202</v>
      </c>
      <c r="K277" s="222" t="s">
        <v>1303</v>
      </c>
      <c r="L277" s="222">
        <v>3</v>
      </c>
      <c r="M277" s="222" t="s">
        <v>1315</v>
      </c>
      <c r="N277" s="222">
        <v>1</v>
      </c>
      <c r="O277" s="222">
        <v>0</v>
      </c>
      <c r="P277" s="225">
        <v>60</v>
      </c>
      <c r="Q277" s="224">
        <v>0</v>
      </c>
      <c r="R277" s="222">
        <v>6.02</v>
      </c>
      <c r="S277" s="226" t="str">
        <f>IFERROR(_xlfn.XLOOKUP(R277,'1_Presupuesto'!$E:$E,'1_Presupuesto'!$D:$D),"")</f>
        <v>Albañilería MO</v>
      </c>
    </row>
    <row r="278" spans="1:19" ht="15" customHeight="1" x14ac:dyDescent="0.35">
      <c r="A278" s="222" t="s">
        <v>1316</v>
      </c>
      <c r="B278" s="222" t="s">
        <v>654</v>
      </c>
      <c r="C278" s="222" t="s">
        <v>719</v>
      </c>
      <c r="D278" s="222" t="s">
        <v>1051</v>
      </c>
      <c r="E278" s="222" t="s">
        <v>1052</v>
      </c>
      <c r="F278" s="222"/>
      <c r="G278" s="223">
        <v>2.5999999999999999E-2</v>
      </c>
      <c r="H278" s="222">
        <v>0.1</v>
      </c>
      <c r="I278" s="224">
        <v>31265.15</v>
      </c>
      <c r="J278" s="224">
        <v>894.18329000000006</v>
      </c>
      <c r="K278" s="222" t="s">
        <v>1317</v>
      </c>
      <c r="L278" s="222">
        <v>1</v>
      </c>
      <c r="M278" s="222" t="s">
        <v>1318</v>
      </c>
      <c r="N278" s="222">
        <v>1</v>
      </c>
      <c r="O278" s="222">
        <v>0</v>
      </c>
      <c r="P278" s="225">
        <v>678.25199999999995</v>
      </c>
      <c r="Q278" s="224">
        <v>0</v>
      </c>
      <c r="R278" s="222">
        <v>7.01</v>
      </c>
      <c r="S278" s="226" t="str">
        <f>IFERROR(_xlfn.XLOOKUP(R278,'1_Presupuesto'!$E:$E,'1_Presupuesto'!$D:$D),"")</f>
        <v>Albañilería MO</v>
      </c>
    </row>
    <row r="279" spans="1:19" ht="15" customHeight="1" x14ac:dyDescent="0.35">
      <c r="A279" s="222" t="s">
        <v>1316</v>
      </c>
      <c r="B279" s="222" t="s">
        <v>654</v>
      </c>
      <c r="C279" s="222" t="s">
        <v>719</v>
      </c>
      <c r="D279" s="222" t="s">
        <v>1239</v>
      </c>
      <c r="E279" s="222" t="s">
        <v>1240</v>
      </c>
      <c r="F279" s="222"/>
      <c r="G279" s="223">
        <v>0.1</v>
      </c>
      <c r="H279" s="222">
        <v>0.05</v>
      </c>
      <c r="I279" s="224">
        <v>1162.7550000000001</v>
      </c>
      <c r="J279" s="224">
        <v>122.089275</v>
      </c>
      <c r="K279" s="222" t="s">
        <v>1317</v>
      </c>
      <c r="L279" s="222">
        <v>2</v>
      </c>
      <c r="M279" s="222" t="s">
        <v>1319</v>
      </c>
      <c r="N279" s="222">
        <v>1</v>
      </c>
      <c r="O279" s="222">
        <v>0</v>
      </c>
      <c r="P279" s="225">
        <v>678.25199999999995</v>
      </c>
      <c r="Q279" s="224">
        <v>0</v>
      </c>
      <c r="R279" s="222">
        <v>7.01</v>
      </c>
      <c r="S279" s="226" t="str">
        <f>IFERROR(_xlfn.XLOOKUP(R279,'1_Presupuesto'!$E:$E,'1_Presupuesto'!$D:$D),"")</f>
        <v>Albañilería MO</v>
      </c>
    </row>
    <row r="280" spans="1:19" ht="15" customHeight="1" x14ac:dyDescent="0.35">
      <c r="A280" s="222" t="s">
        <v>1316</v>
      </c>
      <c r="B280" s="222" t="s">
        <v>654</v>
      </c>
      <c r="C280" s="222" t="s">
        <v>719</v>
      </c>
      <c r="D280" s="222" t="s">
        <v>1057</v>
      </c>
      <c r="E280" s="222" t="s">
        <v>1058</v>
      </c>
      <c r="F280" s="222"/>
      <c r="G280" s="223">
        <v>0.314</v>
      </c>
      <c r="H280" s="222">
        <v>0.1</v>
      </c>
      <c r="I280" s="224">
        <v>7233.47</v>
      </c>
      <c r="J280" s="224">
        <v>2498.4405379999998</v>
      </c>
      <c r="K280" s="222" t="s">
        <v>1317</v>
      </c>
      <c r="L280" s="222">
        <v>3</v>
      </c>
      <c r="M280" s="222" t="s">
        <v>1320</v>
      </c>
      <c r="N280" s="222">
        <v>1</v>
      </c>
      <c r="O280" s="222">
        <v>0</v>
      </c>
      <c r="P280" s="225">
        <v>678.25199999999995</v>
      </c>
      <c r="Q280" s="224">
        <v>0</v>
      </c>
      <c r="R280" s="222">
        <v>7.01</v>
      </c>
      <c r="S280" s="226" t="str">
        <f>IFERROR(_xlfn.XLOOKUP(R280,'1_Presupuesto'!$E:$E,'1_Presupuesto'!$D:$D),"")</f>
        <v>Albañilería MO</v>
      </c>
    </row>
    <row r="281" spans="1:19" ht="15" customHeight="1" x14ac:dyDescent="0.35">
      <c r="A281" s="222" t="s">
        <v>1316</v>
      </c>
      <c r="B281" s="222" t="s">
        <v>654</v>
      </c>
      <c r="C281" s="222" t="s">
        <v>719</v>
      </c>
      <c r="D281" s="222" t="s">
        <v>1054</v>
      </c>
      <c r="E281" s="222" t="s">
        <v>1055</v>
      </c>
      <c r="F281" s="222"/>
      <c r="G281" s="223">
        <v>0.06</v>
      </c>
      <c r="H281" s="222">
        <v>0.1</v>
      </c>
      <c r="I281" s="224">
        <v>3532.67</v>
      </c>
      <c r="J281" s="224">
        <v>233.15621999999999</v>
      </c>
      <c r="K281" s="222" t="s">
        <v>1317</v>
      </c>
      <c r="L281" s="222">
        <v>4</v>
      </c>
      <c r="M281" s="222" t="s">
        <v>1321</v>
      </c>
      <c r="N281" s="222">
        <v>1</v>
      </c>
      <c r="O281" s="222">
        <v>0</v>
      </c>
      <c r="P281" s="225">
        <v>678.25199999999995</v>
      </c>
      <c r="Q281" s="224">
        <v>0</v>
      </c>
      <c r="R281" s="222">
        <v>7.01</v>
      </c>
      <c r="S281" s="226" t="str">
        <f>IFERROR(_xlfn.XLOOKUP(R281,'1_Presupuesto'!$E:$E,'1_Presupuesto'!$D:$D),"")</f>
        <v>Albañilería MO</v>
      </c>
    </row>
    <row r="282" spans="1:19" ht="15" customHeight="1" x14ac:dyDescent="0.35">
      <c r="A282" s="222" t="s">
        <v>1316</v>
      </c>
      <c r="B282" s="222" t="s">
        <v>639</v>
      </c>
      <c r="C282" s="222" t="s">
        <v>646</v>
      </c>
      <c r="D282" s="222" t="s">
        <v>723</v>
      </c>
      <c r="E282" s="222" t="s">
        <v>724</v>
      </c>
      <c r="F282" s="222" t="s">
        <v>643</v>
      </c>
      <c r="G282" s="223">
        <v>8.6956519999999995E-2</v>
      </c>
      <c r="H282" s="222">
        <v>0</v>
      </c>
      <c r="I282" s="224">
        <v>75113.05</v>
      </c>
      <c r="J282" s="224">
        <v>6531.5694345860002</v>
      </c>
      <c r="K282" s="222" t="s">
        <v>1322</v>
      </c>
      <c r="L282" s="222">
        <v>1</v>
      </c>
      <c r="M282" s="222" t="s">
        <v>1323</v>
      </c>
      <c r="N282" s="222">
        <v>1</v>
      </c>
      <c r="O282" s="222">
        <v>8.6956519999999995E-2</v>
      </c>
      <c r="P282" s="225">
        <v>678.25199999999995</v>
      </c>
      <c r="Q282" s="224">
        <v>58.978433600000002</v>
      </c>
      <c r="R282" s="222">
        <v>7.01</v>
      </c>
      <c r="S282" s="226" t="str">
        <f>IFERROR(_xlfn.XLOOKUP(R282,'1_Presupuesto'!$E:$E,'1_Presupuesto'!$D:$D),"")</f>
        <v>Albañilería MO</v>
      </c>
    </row>
    <row r="283" spans="1:19" ht="15" customHeight="1" x14ac:dyDescent="0.35">
      <c r="A283" s="222" t="s">
        <v>1316</v>
      </c>
      <c r="B283" s="222" t="s">
        <v>639</v>
      </c>
      <c r="C283" s="222" t="s">
        <v>646</v>
      </c>
      <c r="D283" s="222" t="s">
        <v>647</v>
      </c>
      <c r="E283" s="222" t="s">
        <v>648</v>
      </c>
      <c r="F283" s="222" t="s">
        <v>643</v>
      </c>
      <c r="G283" s="223">
        <v>5.2173909999999997E-2</v>
      </c>
      <c r="H283" s="222">
        <v>0</v>
      </c>
      <c r="I283" s="224">
        <v>49934.239999999998</v>
      </c>
      <c r="J283" s="224">
        <v>2605.2645436784001</v>
      </c>
      <c r="K283" s="222" t="s">
        <v>1322</v>
      </c>
      <c r="L283" s="222">
        <v>2</v>
      </c>
      <c r="M283" s="222" t="s">
        <v>1324</v>
      </c>
      <c r="N283" s="222">
        <v>1</v>
      </c>
      <c r="O283" s="222">
        <v>5.2173909999999997E-2</v>
      </c>
      <c r="P283" s="225">
        <v>678.25199999999995</v>
      </c>
      <c r="Q283" s="224">
        <v>35.387058809999999</v>
      </c>
      <c r="R283" s="222">
        <v>7.01</v>
      </c>
      <c r="S283" s="226" t="str">
        <f>IFERROR(_xlfn.XLOOKUP(R283,'1_Presupuesto'!$E:$E,'1_Presupuesto'!$D:$D),"")</f>
        <v>Albañilería MO</v>
      </c>
    </row>
    <row r="284" spans="1:19" ht="15" customHeight="1" x14ac:dyDescent="0.35">
      <c r="A284" s="222" t="s">
        <v>1316</v>
      </c>
      <c r="B284" s="222" t="s">
        <v>13</v>
      </c>
      <c r="C284" s="222"/>
      <c r="D284" s="222" t="s">
        <v>1067</v>
      </c>
      <c r="E284" s="222" t="s">
        <v>1068</v>
      </c>
      <c r="F284" s="222"/>
      <c r="G284" s="223">
        <v>4.3478259999999998E-2</v>
      </c>
      <c r="H284" s="222">
        <v>0</v>
      </c>
      <c r="I284" s="224">
        <v>556.21879999999999</v>
      </c>
      <c r="J284" s="224">
        <v>24.183425603288001</v>
      </c>
      <c r="K284" s="222" t="s">
        <v>1325</v>
      </c>
      <c r="L284" s="222">
        <v>1</v>
      </c>
      <c r="M284" s="222" t="s">
        <v>1326</v>
      </c>
      <c r="N284" s="222">
        <v>1</v>
      </c>
      <c r="O284" s="222">
        <v>0</v>
      </c>
      <c r="P284" s="225">
        <v>678.25199999999995</v>
      </c>
      <c r="Q284" s="224">
        <v>0</v>
      </c>
      <c r="R284" s="222">
        <v>7.01</v>
      </c>
      <c r="S284" s="226" t="str">
        <f>IFERROR(_xlfn.XLOOKUP(R284,'1_Presupuesto'!$E:$E,'1_Presupuesto'!$D:$D),"")</f>
        <v>Albañilería MO</v>
      </c>
    </row>
    <row r="285" spans="1:19" ht="15" customHeight="1" x14ac:dyDescent="0.35">
      <c r="A285" s="222" t="s">
        <v>1316</v>
      </c>
      <c r="B285" s="222" t="s">
        <v>13</v>
      </c>
      <c r="C285" s="222"/>
      <c r="D285" s="222" t="s">
        <v>1063</v>
      </c>
      <c r="E285" s="222" t="s">
        <v>1064</v>
      </c>
      <c r="F285" s="222"/>
      <c r="G285" s="223">
        <v>8.6956519999999995E-2</v>
      </c>
      <c r="H285" s="222">
        <v>0</v>
      </c>
      <c r="I285" s="224">
        <v>2227.2298000000001</v>
      </c>
      <c r="J285" s="224">
        <v>193.67215264829599</v>
      </c>
      <c r="K285" s="222" t="s">
        <v>1325</v>
      </c>
      <c r="L285" s="222">
        <v>2</v>
      </c>
      <c r="M285" s="222" t="s">
        <v>1327</v>
      </c>
      <c r="N285" s="222">
        <v>1</v>
      </c>
      <c r="O285" s="222">
        <v>0</v>
      </c>
      <c r="P285" s="225">
        <v>678.25199999999995</v>
      </c>
      <c r="Q285" s="224">
        <v>0</v>
      </c>
      <c r="R285" s="222">
        <v>7.01</v>
      </c>
      <c r="S285" s="226" t="str">
        <f>IFERROR(_xlfn.XLOOKUP(R285,'1_Presupuesto'!$E:$E,'1_Presupuesto'!$D:$D),"")</f>
        <v>Albañilería MO</v>
      </c>
    </row>
    <row r="286" spans="1:19" ht="15" customHeight="1" x14ac:dyDescent="0.35">
      <c r="A286" s="222" t="s">
        <v>1316</v>
      </c>
      <c r="B286" s="222" t="s">
        <v>13</v>
      </c>
      <c r="C286" s="222"/>
      <c r="D286" s="222" t="s">
        <v>1070</v>
      </c>
      <c r="E286" s="222" t="s">
        <v>1071</v>
      </c>
      <c r="F286" s="222"/>
      <c r="G286" s="223">
        <v>8.6956519999999995E-2</v>
      </c>
      <c r="H286" s="222">
        <v>0</v>
      </c>
      <c r="I286" s="224">
        <v>932.18029999999999</v>
      </c>
      <c r="J286" s="224">
        <v>81.059154900555995</v>
      </c>
      <c r="K286" s="222" t="s">
        <v>1325</v>
      </c>
      <c r="L286" s="222">
        <v>3</v>
      </c>
      <c r="M286" s="222" t="s">
        <v>1328</v>
      </c>
      <c r="N286" s="222">
        <v>1</v>
      </c>
      <c r="O286" s="222">
        <v>0</v>
      </c>
      <c r="P286" s="225">
        <v>678.25199999999995</v>
      </c>
      <c r="Q286" s="224">
        <v>0</v>
      </c>
      <c r="R286" s="222">
        <v>7.01</v>
      </c>
      <c r="S286" s="226" t="str">
        <f>IFERROR(_xlfn.XLOOKUP(R286,'1_Presupuesto'!$E:$E,'1_Presupuesto'!$D:$D),"")</f>
        <v>Albañilería MO</v>
      </c>
    </row>
    <row r="287" spans="1:19" ht="15" customHeight="1" x14ac:dyDescent="0.35">
      <c r="A287" s="222" t="s">
        <v>1329</v>
      </c>
      <c r="B287" s="222" t="s">
        <v>654</v>
      </c>
      <c r="C287" s="222" t="s">
        <v>719</v>
      </c>
      <c r="D287" s="222" t="s">
        <v>1051</v>
      </c>
      <c r="E287" s="222" t="s">
        <v>1052</v>
      </c>
      <c r="F287" s="222"/>
      <c r="G287" s="223">
        <v>2.5999999999999999E-2</v>
      </c>
      <c r="H287" s="222">
        <v>0.1</v>
      </c>
      <c r="I287" s="224">
        <v>31265.15</v>
      </c>
      <c r="J287" s="224">
        <v>894.18329000000006</v>
      </c>
      <c r="K287" s="222" t="s">
        <v>1330</v>
      </c>
      <c r="L287" s="222">
        <v>1</v>
      </c>
      <c r="M287" s="222" t="s">
        <v>1331</v>
      </c>
      <c r="N287" s="222">
        <v>1</v>
      </c>
      <c r="O287" s="222">
        <v>0</v>
      </c>
      <c r="P287" s="225">
        <v>876.08119999999985</v>
      </c>
      <c r="Q287" s="224">
        <v>0</v>
      </c>
      <c r="R287" s="222">
        <v>7.02</v>
      </c>
      <c r="S287" s="226" t="str">
        <f>IFERROR(_xlfn.XLOOKUP(R287,'1_Presupuesto'!$E:$E,'1_Presupuesto'!$D:$D),"")</f>
        <v>Albañilería MO</v>
      </c>
    </row>
    <row r="288" spans="1:19" ht="15" customHeight="1" x14ac:dyDescent="0.35">
      <c r="A288" s="222" t="s">
        <v>1329</v>
      </c>
      <c r="B288" s="222" t="s">
        <v>654</v>
      </c>
      <c r="C288" s="222" t="s">
        <v>719</v>
      </c>
      <c r="D288" s="222" t="s">
        <v>1239</v>
      </c>
      <c r="E288" s="222" t="s">
        <v>1240</v>
      </c>
      <c r="F288" s="222"/>
      <c r="G288" s="223">
        <v>0.1</v>
      </c>
      <c r="H288" s="222">
        <v>0.05</v>
      </c>
      <c r="I288" s="224">
        <v>1162.7550000000001</v>
      </c>
      <c r="J288" s="224">
        <v>122.089275</v>
      </c>
      <c r="K288" s="222" t="s">
        <v>1330</v>
      </c>
      <c r="L288" s="222">
        <v>2</v>
      </c>
      <c r="M288" s="222" t="s">
        <v>1332</v>
      </c>
      <c r="N288" s="222">
        <v>1</v>
      </c>
      <c r="O288" s="222">
        <v>0</v>
      </c>
      <c r="P288" s="225">
        <v>876.08119999999985</v>
      </c>
      <c r="Q288" s="224">
        <v>0</v>
      </c>
      <c r="R288" s="222">
        <v>7.02</v>
      </c>
      <c r="S288" s="226" t="str">
        <f>IFERROR(_xlfn.XLOOKUP(R288,'1_Presupuesto'!$E:$E,'1_Presupuesto'!$D:$D),"")</f>
        <v>Albañilería MO</v>
      </c>
    </row>
    <row r="289" spans="1:19" ht="15" customHeight="1" x14ac:dyDescent="0.35">
      <c r="A289" s="222" t="s">
        <v>1329</v>
      </c>
      <c r="B289" s="222" t="s">
        <v>654</v>
      </c>
      <c r="C289" s="222" t="s">
        <v>719</v>
      </c>
      <c r="D289" s="222" t="s">
        <v>1057</v>
      </c>
      <c r="E289" s="222" t="s">
        <v>1058</v>
      </c>
      <c r="F289" s="222"/>
      <c r="G289" s="223">
        <v>0.314</v>
      </c>
      <c r="H289" s="222">
        <v>0.1</v>
      </c>
      <c r="I289" s="224">
        <v>7233.47</v>
      </c>
      <c r="J289" s="224">
        <v>2498.4405379999998</v>
      </c>
      <c r="K289" s="222" t="s">
        <v>1330</v>
      </c>
      <c r="L289" s="222">
        <v>3</v>
      </c>
      <c r="M289" s="222" t="s">
        <v>1333</v>
      </c>
      <c r="N289" s="222">
        <v>1</v>
      </c>
      <c r="O289" s="222">
        <v>0</v>
      </c>
      <c r="P289" s="225">
        <v>876.08119999999985</v>
      </c>
      <c r="Q289" s="224">
        <v>0</v>
      </c>
      <c r="R289" s="222">
        <v>7.02</v>
      </c>
      <c r="S289" s="226" t="str">
        <f>IFERROR(_xlfn.XLOOKUP(R289,'1_Presupuesto'!$E:$E,'1_Presupuesto'!$D:$D),"")</f>
        <v>Albañilería MO</v>
      </c>
    </row>
    <row r="290" spans="1:19" ht="15" customHeight="1" x14ac:dyDescent="0.35">
      <c r="A290" s="222" t="s">
        <v>1329</v>
      </c>
      <c r="B290" s="222" t="s">
        <v>654</v>
      </c>
      <c r="C290" s="222" t="s">
        <v>719</v>
      </c>
      <c r="D290" s="222" t="s">
        <v>1054</v>
      </c>
      <c r="E290" s="222" t="s">
        <v>1055</v>
      </c>
      <c r="F290" s="222"/>
      <c r="G290" s="223">
        <v>0.06</v>
      </c>
      <c r="H290" s="222">
        <v>0.1</v>
      </c>
      <c r="I290" s="224">
        <v>3532.67</v>
      </c>
      <c r="J290" s="224">
        <v>233.15621999999999</v>
      </c>
      <c r="K290" s="222" t="s">
        <v>1330</v>
      </c>
      <c r="L290" s="222">
        <v>4</v>
      </c>
      <c r="M290" s="222" t="s">
        <v>1334</v>
      </c>
      <c r="N290" s="222">
        <v>1</v>
      </c>
      <c r="O290" s="222">
        <v>0</v>
      </c>
      <c r="P290" s="225">
        <v>876.08119999999985</v>
      </c>
      <c r="Q290" s="224">
        <v>0</v>
      </c>
      <c r="R290" s="222">
        <v>7.02</v>
      </c>
      <c r="S290" s="226" t="str">
        <f>IFERROR(_xlfn.XLOOKUP(R290,'1_Presupuesto'!$E:$E,'1_Presupuesto'!$D:$D),"")</f>
        <v>Albañilería MO</v>
      </c>
    </row>
    <row r="291" spans="1:19" ht="15" customHeight="1" x14ac:dyDescent="0.35">
      <c r="A291" s="222" t="s">
        <v>1329</v>
      </c>
      <c r="B291" s="222" t="s">
        <v>639</v>
      </c>
      <c r="C291" s="222" t="s">
        <v>646</v>
      </c>
      <c r="D291" s="222" t="s">
        <v>723</v>
      </c>
      <c r="E291" s="222" t="s">
        <v>724</v>
      </c>
      <c r="F291" s="222" t="s">
        <v>643</v>
      </c>
      <c r="G291" s="223">
        <v>0.125</v>
      </c>
      <c r="H291" s="222">
        <v>0</v>
      </c>
      <c r="I291" s="224">
        <v>75113.05</v>
      </c>
      <c r="J291" s="224">
        <v>9389.1312500000004</v>
      </c>
      <c r="K291" s="222" t="s">
        <v>1335</v>
      </c>
      <c r="L291" s="222">
        <v>1</v>
      </c>
      <c r="M291" s="222" t="s">
        <v>1336</v>
      </c>
      <c r="N291" s="222">
        <v>1</v>
      </c>
      <c r="O291" s="222">
        <v>0.125</v>
      </c>
      <c r="P291" s="225">
        <v>876.08119999999985</v>
      </c>
      <c r="Q291" s="224">
        <v>109.51015</v>
      </c>
      <c r="R291" s="222">
        <v>7.02</v>
      </c>
      <c r="S291" s="226" t="str">
        <f>IFERROR(_xlfn.XLOOKUP(R291,'1_Presupuesto'!$E:$E,'1_Presupuesto'!$D:$D),"")</f>
        <v>Albañilería MO</v>
      </c>
    </row>
    <row r="292" spans="1:19" ht="15" customHeight="1" x14ac:dyDescent="0.35">
      <c r="A292" s="222" t="s">
        <v>1329</v>
      </c>
      <c r="B292" s="222" t="s">
        <v>639</v>
      </c>
      <c r="C292" s="222" t="s">
        <v>646</v>
      </c>
      <c r="D292" s="222" t="s">
        <v>647</v>
      </c>
      <c r="E292" s="222" t="s">
        <v>648</v>
      </c>
      <c r="F292" s="222" t="s">
        <v>643</v>
      </c>
      <c r="G292" s="223">
        <v>7.4999999999999997E-2</v>
      </c>
      <c r="H292" s="222">
        <v>0</v>
      </c>
      <c r="I292" s="224">
        <v>49934.239999999998</v>
      </c>
      <c r="J292" s="224">
        <v>3745.0680000000002</v>
      </c>
      <c r="K292" s="222" t="s">
        <v>1335</v>
      </c>
      <c r="L292" s="222">
        <v>2</v>
      </c>
      <c r="M292" s="222" t="s">
        <v>1337</v>
      </c>
      <c r="N292" s="222">
        <v>1</v>
      </c>
      <c r="O292" s="222">
        <v>7.4999999999999997E-2</v>
      </c>
      <c r="P292" s="225">
        <v>876.08119999999985</v>
      </c>
      <c r="Q292" s="224">
        <v>65.706090000000003</v>
      </c>
      <c r="R292" s="222">
        <v>7.02</v>
      </c>
      <c r="S292" s="226" t="str">
        <f>IFERROR(_xlfn.XLOOKUP(R292,'1_Presupuesto'!$E:$E,'1_Presupuesto'!$D:$D),"")</f>
        <v>Albañilería MO</v>
      </c>
    </row>
    <row r="293" spans="1:19" ht="15" customHeight="1" x14ac:dyDescent="0.35">
      <c r="A293" s="222" t="s">
        <v>1329</v>
      </c>
      <c r="B293" s="222" t="s">
        <v>13</v>
      </c>
      <c r="C293" s="222"/>
      <c r="D293" s="222" t="s">
        <v>1338</v>
      </c>
      <c r="E293" s="222" t="s">
        <v>1339</v>
      </c>
      <c r="F293" s="222"/>
      <c r="G293" s="223">
        <v>0.125</v>
      </c>
      <c r="H293" s="222">
        <v>0</v>
      </c>
      <c r="I293" s="224">
        <v>2971.8723</v>
      </c>
      <c r="J293" s="224">
        <v>371.4840375</v>
      </c>
      <c r="K293" s="222" t="s">
        <v>1340</v>
      </c>
      <c r="L293" s="222">
        <v>1</v>
      </c>
      <c r="M293" s="222" t="s">
        <v>1341</v>
      </c>
      <c r="N293" s="222">
        <v>1</v>
      </c>
      <c r="O293" s="222">
        <v>0</v>
      </c>
      <c r="P293" s="225">
        <v>876.08119999999985</v>
      </c>
      <c r="Q293" s="224">
        <v>0</v>
      </c>
      <c r="R293" s="222">
        <v>7.02</v>
      </c>
      <c r="S293" s="226" t="str">
        <f>IFERROR(_xlfn.XLOOKUP(R293,'1_Presupuesto'!$E:$E,'1_Presupuesto'!$D:$D),"")</f>
        <v>Albañilería MO</v>
      </c>
    </row>
    <row r="294" spans="1:19" ht="15" customHeight="1" x14ac:dyDescent="0.35">
      <c r="A294" s="222" t="s">
        <v>1329</v>
      </c>
      <c r="B294" s="222" t="s">
        <v>13</v>
      </c>
      <c r="C294" s="222"/>
      <c r="D294" s="222" t="s">
        <v>1063</v>
      </c>
      <c r="E294" s="222" t="s">
        <v>1064</v>
      </c>
      <c r="F294" s="222"/>
      <c r="G294" s="223">
        <v>0.125</v>
      </c>
      <c r="H294" s="222">
        <v>0</v>
      </c>
      <c r="I294" s="224">
        <v>2227.2298000000001</v>
      </c>
      <c r="J294" s="224">
        <v>278.40372500000001</v>
      </c>
      <c r="K294" s="222" t="s">
        <v>1340</v>
      </c>
      <c r="L294" s="222">
        <v>2</v>
      </c>
      <c r="M294" s="222" t="s">
        <v>1342</v>
      </c>
      <c r="N294" s="222">
        <v>1</v>
      </c>
      <c r="O294" s="222">
        <v>0</v>
      </c>
      <c r="P294" s="225">
        <v>876.08119999999985</v>
      </c>
      <c r="Q294" s="224">
        <v>0</v>
      </c>
      <c r="R294" s="222">
        <v>7.02</v>
      </c>
      <c r="S294" s="226" t="str">
        <f>IFERROR(_xlfn.XLOOKUP(R294,'1_Presupuesto'!$E:$E,'1_Presupuesto'!$D:$D),"")</f>
        <v>Albañilería MO</v>
      </c>
    </row>
    <row r="295" spans="1:19" ht="15" customHeight="1" x14ac:dyDescent="0.35">
      <c r="A295" s="222" t="s">
        <v>1329</v>
      </c>
      <c r="B295" s="222" t="s">
        <v>13</v>
      </c>
      <c r="C295" s="222"/>
      <c r="D295" s="222" t="s">
        <v>1070</v>
      </c>
      <c r="E295" s="222" t="s">
        <v>1071</v>
      </c>
      <c r="F295" s="222"/>
      <c r="G295" s="223">
        <v>0.125</v>
      </c>
      <c r="H295" s="222">
        <v>0</v>
      </c>
      <c r="I295" s="224">
        <v>932.18029999999999</v>
      </c>
      <c r="J295" s="224">
        <v>116.5225375</v>
      </c>
      <c r="K295" s="222" t="s">
        <v>1340</v>
      </c>
      <c r="L295" s="222">
        <v>3</v>
      </c>
      <c r="M295" s="222" t="s">
        <v>1343</v>
      </c>
      <c r="N295" s="222">
        <v>1</v>
      </c>
      <c r="O295" s="222">
        <v>0</v>
      </c>
      <c r="P295" s="225">
        <v>876.08119999999985</v>
      </c>
      <c r="Q295" s="224">
        <v>0</v>
      </c>
      <c r="R295" s="222">
        <v>7.02</v>
      </c>
      <c r="S295" s="226" t="str">
        <f>IFERROR(_xlfn.XLOOKUP(R295,'1_Presupuesto'!$E:$E,'1_Presupuesto'!$D:$D),"")</f>
        <v>Albañilería MO</v>
      </c>
    </row>
    <row r="296" spans="1:19" ht="15" customHeight="1" x14ac:dyDescent="0.35">
      <c r="A296" s="222" t="s">
        <v>1344</v>
      </c>
      <c r="B296" s="222" t="s">
        <v>639</v>
      </c>
      <c r="C296" s="222" t="s">
        <v>640</v>
      </c>
      <c r="D296" s="222" t="s">
        <v>1345</v>
      </c>
      <c r="E296" s="222" t="s">
        <v>113</v>
      </c>
      <c r="F296" s="222" t="s">
        <v>643</v>
      </c>
      <c r="G296" s="223">
        <v>1</v>
      </c>
      <c r="H296" s="222">
        <v>0</v>
      </c>
      <c r="I296" s="224">
        <v>8597.4064999999991</v>
      </c>
      <c r="J296" s="224">
        <v>8597.4064999999991</v>
      </c>
      <c r="K296" s="222" t="s">
        <v>1346</v>
      </c>
      <c r="L296" s="222">
        <v>1</v>
      </c>
      <c r="M296" s="222" t="s">
        <v>1347</v>
      </c>
      <c r="N296" s="222">
        <v>1</v>
      </c>
      <c r="O296" s="222">
        <v>0</v>
      </c>
      <c r="P296" s="225">
        <v>182</v>
      </c>
      <c r="Q296" s="224">
        <v>0</v>
      </c>
      <c r="R296" s="222">
        <v>7.03</v>
      </c>
      <c r="S296" s="226" t="str">
        <f>IFERROR(_xlfn.XLOOKUP(R296,'1_Presupuesto'!$E:$E,'1_Presupuesto'!$D:$D),"")</f>
        <v>-</v>
      </c>
    </row>
    <row r="297" spans="1:19" ht="15" customHeight="1" x14ac:dyDescent="0.35">
      <c r="A297" s="222" t="s">
        <v>1348</v>
      </c>
      <c r="B297" s="222" t="s">
        <v>654</v>
      </c>
      <c r="C297" s="222" t="s">
        <v>719</v>
      </c>
      <c r="D297" s="222" t="s">
        <v>1051</v>
      </c>
      <c r="E297" s="222" t="s">
        <v>1052</v>
      </c>
      <c r="F297" s="222"/>
      <c r="G297" s="223">
        <v>2.7E-2</v>
      </c>
      <c r="H297" s="222">
        <v>0.1</v>
      </c>
      <c r="I297" s="224">
        <v>31265.15</v>
      </c>
      <c r="J297" s="224">
        <v>928.57495500000005</v>
      </c>
      <c r="K297" s="222" t="s">
        <v>1349</v>
      </c>
      <c r="L297" s="222">
        <v>1</v>
      </c>
      <c r="M297" s="222" t="s">
        <v>1350</v>
      </c>
      <c r="N297" s="222">
        <v>1</v>
      </c>
      <c r="O297" s="222">
        <v>0</v>
      </c>
      <c r="P297" s="225">
        <v>995.85109999999997</v>
      </c>
      <c r="Q297" s="224">
        <v>0</v>
      </c>
      <c r="R297" s="222">
        <v>7.04</v>
      </c>
      <c r="S297" s="226" t="str">
        <f>IFERROR(_xlfn.XLOOKUP(R297,'1_Presupuesto'!$E:$E,'1_Presupuesto'!$D:$D),"")</f>
        <v>Albañilería MO</v>
      </c>
    </row>
    <row r="298" spans="1:19" ht="15" customHeight="1" x14ac:dyDescent="0.35">
      <c r="A298" s="222" t="s">
        <v>1348</v>
      </c>
      <c r="B298" s="222" t="s">
        <v>654</v>
      </c>
      <c r="C298" s="222" t="s">
        <v>719</v>
      </c>
      <c r="D298" s="222" t="s">
        <v>1054</v>
      </c>
      <c r="E298" s="222" t="s">
        <v>1055</v>
      </c>
      <c r="F298" s="222"/>
      <c r="G298" s="223">
        <v>0.14399999999999999</v>
      </c>
      <c r="H298" s="222">
        <v>0.1</v>
      </c>
      <c r="I298" s="224">
        <v>3532.67</v>
      </c>
      <c r="J298" s="224">
        <v>559.574928</v>
      </c>
      <c r="K298" s="222" t="s">
        <v>1349</v>
      </c>
      <c r="L298" s="222">
        <v>2</v>
      </c>
      <c r="M298" s="222" t="s">
        <v>1351</v>
      </c>
      <c r="N298" s="222">
        <v>1</v>
      </c>
      <c r="O298" s="222">
        <v>0</v>
      </c>
      <c r="P298" s="225">
        <v>995.85109999999997</v>
      </c>
      <c r="Q298" s="224">
        <v>0</v>
      </c>
      <c r="R298" s="222">
        <v>7.04</v>
      </c>
      <c r="S298" s="226" t="str">
        <f>IFERROR(_xlfn.XLOOKUP(R298,'1_Presupuesto'!$E:$E,'1_Presupuesto'!$D:$D),"")</f>
        <v>Albañilería MO</v>
      </c>
    </row>
    <row r="299" spans="1:19" ht="15" customHeight="1" x14ac:dyDescent="0.35">
      <c r="A299" s="222" t="s">
        <v>1348</v>
      </c>
      <c r="B299" s="222" t="s">
        <v>654</v>
      </c>
      <c r="C299" s="222" t="s">
        <v>719</v>
      </c>
      <c r="D299" s="222" t="s">
        <v>1057</v>
      </c>
      <c r="E299" s="222" t="s">
        <v>1058</v>
      </c>
      <c r="F299" s="222"/>
      <c r="G299" s="223">
        <v>4.5999999999999999E-2</v>
      </c>
      <c r="H299" s="222">
        <v>0.1</v>
      </c>
      <c r="I299" s="224">
        <v>7233.47</v>
      </c>
      <c r="J299" s="224">
        <v>366.01358199999999</v>
      </c>
      <c r="K299" s="222" t="s">
        <v>1349</v>
      </c>
      <c r="L299" s="222">
        <v>3</v>
      </c>
      <c r="M299" s="222" t="s">
        <v>1352</v>
      </c>
      <c r="N299" s="222">
        <v>1</v>
      </c>
      <c r="O299" s="222">
        <v>0</v>
      </c>
      <c r="P299" s="225">
        <v>995.85109999999997</v>
      </c>
      <c r="Q299" s="224">
        <v>0</v>
      </c>
      <c r="R299" s="222">
        <v>7.04</v>
      </c>
      <c r="S299" s="226" t="str">
        <f>IFERROR(_xlfn.XLOOKUP(R299,'1_Presupuesto'!$E:$E,'1_Presupuesto'!$D:$D),"")</f>
        <v>Albañilería MO</v>
      </c>
    </row>
    <row r="300" spans="1:19" ht="15" customHeight="1" x14ac:dyDescent="0.35">
      <c r="A300" s="222" t="s">
        <v>1348</v>
      </c>
      <c r="B300" s="222" t="s">
        <v>654</v>
      </c>
      <c r="C300" s="222" t="s">
        <v>719</v>
      </c>
      <c r="D300" s="222" t="s">
        <v>1353</v>
      </c>
      <c r="E300" s="222" t="s">
        <v>1354</v>
      </c>
      <c r="F300" s="222"/>
      <c r="G300" s="223">
        <v>6.4000000000000001E-2</v>
      </c>
      <c r="H300" s="222">
        <v>0.1</v>
      </c>
      <c r="I300" s="224">
        <v>10680.57</v>
      </c>
      <c r="J300" s="224">
        <v>751.91212800000005</v>
      </c>
      <c r="K300" s="222" t="s">
        <v>1349</v>
      </c>
      <c r="L300" s="222">
        <v>4</v>
      </c>
      <c r="M300" s="222" t="s">
        <v>1355</v>
      </c>
      <c r="N300" s="222">
        <v>1</v>
      </c>
      <c r="O300" s="222">
        <v>0</v>
      </c>
      <c r="P300" s="225">
        <v>995.85109999999997</v>
      </c>
      <c r="Q300" s="224">
        <v>0</v>
      </c>
      <c r="R300" s="222">
        <v>7.04</v>
      </c>
      <c r="S300" s="226" t="str">
        <f>IFERROR(_xlfn.XLOOKUP(R300,'1_Presupuesto'!$E:$E,'1_Presupuesto'!$D:$D),"")</f>
        <v>Albañilería MO</v>
      </c>
    </row>
    <row r="301" spans="1:19" ht="15" customHeight="1" x14ac:dyDescent="0.35">
      <c r="A301" s="222" t="s">
        <v>1348</v>
      </c>
      <c r="B301" s="222" t="s">
        <v>639</v>
      </c>
      <c r="C301" s="222" t="s">
        <v>646</v>
      </c>
      <c r="D301" s="222" t="s">
        <v>647</v>
      </c>
      <c r="E301" s="222" t="s">
        <v>648</v>
      </c>
      <c r="F301" s="222" t="s">
        <v>643</v>
      </c>
      <c r="G301" s="223">
        <v>0.10833333000000001</v>
      </c>
      <c r="H301" s="222">
        <v>0</v>
      </c>
      <c r="I301" s="224">
        <v>49934.239999999998</v>
      </c>
      <c r="J301" s="224">
        <v>5409.5425002191996</v>
      </c>
      <c r="K301" s="222" t="s">
        <v>1356</v>
      </c>
      <c r="L301" s="222">
        <v>1</v>
      </c>
      <c r="M301" s="222" t="s">
        <v>1357</v>
      </c>
      <c r="N301" s="222">
        <v>1</v>
      </c>
      <c r="O301" s="222">
        <v>0.10833333000000001</v>
      </c>
      <c r="P301" s="225">
        <v>995.85109999999997</v>
      </c>
      <c r="Q301" s="224">
        <v>107.88386585000001</v>
      </c>
      <c r="R301" s="222">
        <v>7.04</v>
      </c>
      <c r="S301" s="226" t="str">
        <f>IFERROR(_xlfn.XLOOKUP(R301,'1_Presupuesto'!$E:$E,'1_Presupuesto'!$D:$D),"")</f>
        <v>Albañilería MO</v>
      </c>
    </row>
    <row r="302" spans="1:19" ht="15" customHeight="1" x14ac:dyDescent="0.35">
      <c r="A302" s="222" t="s">
        <v>1348</v>
      </c>
      <c r="B302" s="222" t="s">
        <v>639</v>
      </c>
      <c r="C302" s="222" t="s">
        <v>646</v>
      </c>
      <c r="D302" s="222" t="s">
        <v>723</v>
      </c>
      <c r="E302" s="222" t="s">
        <v>724</v>
      </c>
      <c r="F302" s="222" t="s">
        <v>643</v>
      </c>
      <c r="G302" s="223">
        <v>0.16666666999999999</v>
      </c>
      <c r="H302" s="222">
        <v>0</v>
      </c>
      <c r="I302" s="224">
        <v>75113.05</v>
      </c>
      <c r="J302" s="224">
        <v>12518.841917043501</v>
      </c>
      <c r="K302" s="222" t="s">
        <v>1356</v>
      </c>
      <c r="L302" s="222">
        <v>2</v>
      </c>
      <c r="M302" s="222" t="s">
        <v>1358</v>
      </c>
      <c r="N302" s="222">
        <v>1</v>
      </c>
      <c r="O302" s="222">
        <v>0.16666666999999999</v>
      </c>
      <c r="P302" s="225">
        <v>995.85109999999997</v>
      </c>
      <c r="Q302" s="224">
        <v>165.97518665000001</v>
      </c>
      <c r="R302" s="222">
        <v>7.04</v>
      </c>
      <c r="S302" s="226" t="str">
        <f>IFERROR(_xlfn.XLOOKUP(R302,'1_Presupuesto'!$E:$E,'1_Presupuesto'!$D:$D),"")</f>
        <v>Albañilería MO</v>
      </c>
    </row>
    <row r="303" spans="1:19" ht="15" customHeight="1" x14ac:dyDescent="0.35">
      <c r="A303" s="222" t="s">
        <v>1348</v>
      </c>
      <c r="B303" s="222" t="s">
        <v>13</v>
      </c>
      <c r="C303" s="222"/>
      <c r="D303" s="222" t="s">
        <v>1067</v>
      </c>
      <c r="E303" s="222" t="s">
        <v>1068</v>
      </c>
      <c r="F303" s="222"/>
      <c r="G303" s="223">
        <v>8.3333329999999997E-2</v>
      </c>
      <c r="H303" s="222">
        <v>0</v>
      </c>
      <c r="I303" s="224">
        <v>556.21879999999999</v>
      </c>
      <c r="J303" s="224">
        <v>46.351564812604003</v>
      </c>
      <c r="K303" s="222" t="s">
        <v>1359</v>
      </c>
      <c r="L303" s="222">
        <v>1</v>
      </c>
      <c r="M303" s="222" t="s">
        <v>1360</v>
      </c>
      <c r="N303" s="222">
        <v>1</v>
      </c>
      <c r="O303" s="222">
        <v>0</v>
      </c>
      <c r="P303" s="225">
        <v>995.85109999999997</v>
      </c>
      <c r="Q303" s="224">
        <v>0</v>
      </c>
      <c r="R303" s="222">
        <v>7.04</v>
      </c>
      <c r="S303" s="226" t="str">
        <f>IFERROR(_xlfn.XLOOKUP(R303,'1_Presupuesto'!$E:$E,'1_Presupuesto'!$D:$D),"")</f>
        <v>Albañilería MO</v>
      </c>
    </row>
    <row r="304" spans="1:19" ht="15" customHeight="1" x14ac:dyDescent="0.35">
      <c r="A304" s="222" t="s">
        <v>1348</v>
      </c>
      <c r="B304" s="222" t="s">
        <v>13</v>
      </c>
      <c r="C304" s="222"/>
      <c r="D304" s="222" t="s">
        <v>1063</v>
      </c>
      <c r="E304" s="222" t="s">
        <v>1064</v>
      </c>
      <c r="F304" s="222"/>
      <c r="G304" s="223">
        <v>0.16666666999999999</v>
      </c>
      <c r="H304" s="222">
        <v>0</v>
      </c>
      <c r="I304" s="224">
        <v>2227.2298000000001</v>
      </c>
      <c r="J304" s="224">
        <v>371.20497409076597</v>
      </c>
      <c r="K304" s="222" t="s">
        <v>1359</v>
      </c>
      <c r="L304" s="222">
        <v>2</v>
      </c>
      <c r="M304" s="222" t="s">
        <v>1361</v>
      </c>
      <c r="N304" s="222">
        <v>1</v>
      </c>
      <c r="O304" s="222">
        <v>0</v>
      </c>
      <c r="P304" s="225">
        <v>995.85109999999997</v>
      </c>
      <c r="Q304" s="224">
        <v>0</v>
      </c>
      <c r="R304" s="222">
        <v>7.04</v>
      </c>
      <c r="S304" s="226" t="str">
        <f>IFERROR(_xlfn.XLOOKUP(R304,'1_Presupuesto'!$E:$E,'1_Presupuesto'!$D:$D),"")</f>
        <v>Albañilería MO</v>
      </c>
    </row>
    <row r="305" spans="1:19" ht="15" customHeight="1" x14ac:dyDescent="0.35">
      <c r="A305" s="222" t="s">
        <v>1348</v>
      </c>
      <c r="B305" s="222" t="s">
        <v>13</v>
      </c>
      <c r="C305" s="222"/>
      <c r="D305" s="222" t="s">
        <v>1070</v>
      </c>
      <c r="E305" s="222" t="s">
        <v>1071</v>
      </c>
      <c r="F305" s="222"/>
      <c r="G305" s="223">
        <v>0.16666666999999999</v>
      </c>
      <c r="H305" s="222">
        <v>0</v>
      </c>
      <c r="I305" s="224">
        <v>932.18029999999999</v>
      </c>
      <c r="J305" s="224">
        <v>155.363386440601</v>
      </c>
      <c r="K305" s="222" t="s">
        <v>1359</v>
      </c>
      <c r="L305" s="222">
        <v>3</v>
      </c>
      <c r="M305" s="222" t="s">
        <v>1362</v>
      </c>
      <c r="N305" s="222">
        <v>1</v>
      </c>
      <c r="O305" s="222">
        <v>0</v>
      </c>
      <c r="P305" s="225">
        <v>995.85109999999997</v>
      </c>
      <c r="Q305" s="224">
        <v>0</v>
      </c>
      <c r="R305" s="222">
        <v>7.04</v>
      </c>
      <c r="S305" s="226" t="str">
        <f>IFERROR(_xlfn.XLOOKUP(R305,'1_Presupuesto'!$E:$E,'1_Presupuesto'!$D:$D),"")</f>
        <v>Albañilería MO</v>
      </c>
    </row>
    <row r="306" spans="1:19" ht="15" customHeight="1" x14ac:dyDescent="0.35">
      <c r="A306" s="222" t="s">
        <v>1363</v>
      </c>
      <c r="B306" s="222" t="s">
        <v>654</v>
      </c>
      <c r="C306" s="222" t="s">
        <v>719</v>
      </c>
      <c r="D306" s="222" t="s">
        <v>1364</v>
      </c>
      <c r="E306" s="222" t="s">
        <v>1365</v>
      </c>
      <c r="F306" s="222"/>
      <c r="G306" s="223">
        <v>0.71414456000000004</v>
      </c>
      <c r="H306" s="222">
        <v>0</v>
      </c>
      <c r="I306" s="224">
        <v>6694.38</v>
      </c>
      <c r="J306" s="224">
        <v>4780.7550595728007</v>
      </c>
      <c r="K306" s="222" t="s">
        <v>1366</v>
      </c>
      <c r="L306" s="222">
        <v>1</v>
      </c>
      <c r="M306" s="222" t="s">
        <v>1367</v>
      </c>
      <c r="N306" s="222">
        <v>1</v>
      </c>
      <c r="O306" s="222">
        <v>0</v>
      </c>
      <c r="P306" s="225">
        <v>2514.8970000000008</v>
      </c>
      <c r="Q306" s="224">
        <v>0</v>
      </c>
      <c r="R306" s="222">
        <v>7.05</v>
      </c>
      <c r="S306" s="226" t="str">
        <f>IFERROR(_xlfn.XLOOKUP(R306,'1_Presupuesto'!$E:$E,'1_Presupuesto'!$D:$D),"")</f>
        <v>-</v>
      </c>
    </row>
    <row r="307" spans="1:19" ht="15" customHeight="1" x14ac:dyDescent="0.35">
      <c r="A307" s="222" t="s">
        <v>1363</v>
      </c>
      <c r="B307" s="222" t="s">
        <v>654</v>
      </c>
      <c r="C307" s="222" t="s">
        <v>719</v>
      </c>
      <c r="D307" s="222" t="s">
        <v>1368</v>
      </c>
      <c r="E307" s="222" t="s">
        <v>1369</v>
      </c>
      <c r="F307" s="222"/>
      <c r="G307" s="223">
        <v>1.59052E-3</v>
      </c>
      <c r="H307" s="222">
        <v>0</v>
      </c>
      <c r="I307" s="224">
        <v>124738</v>
      </c>
      <c r="J307" s="224">
        <v>198.39828376</v>
      </c>
      <c r="K307" s="222" t="s">
        <v>1366</v>
      </c>
      <c r="L307" s="222">
        <v>2</v>
      </c>
      <c r="M307" s="222" t="s">
        <v>1370</v>
      </c>
      <c r="N307" s="222">
        <v>1</v>
      </c>
      <c r="O307" s="222">
        <v>0</v>
      </c>
      <c r="P307" s="225">
        <v>2514.8970000000008</v>
      </c>
      <c r="Q307" s="224">
        <v>0</v>
      </c>
      <c r="R307" s="222">
        <v>7.05</v>
      </c>
      <c r="S307" s="226" t="str">
        <f>IFERROR(_xlfn.XLOOKUP(R307,'1_Presupuesto'!$E:$E,'1_Presupuesto'!$D:$D),"")</f>
        <v>-</v>
      </c>
    </row>
    <row r="308" spans="1:19" ht="15" customHeight="1" x14ac:dyDescent="0.35">
      <c r="A308" s="222" t="s">
        <v>1363</v>
      </c>
      <c r="B308" s="222" t="s">
        <v>654</v>
      </c>
      <c r="C308" s="222" t="s">
        <v>719</v>
      </c>
      <c r="D308" s="222" t="s">
        <v>1371</v>
      </c>
      <c r="E308" s="222" t="s">
        <v>1372</v>
      </c>
      <c r="F308" s="222"/>
      <c r="G308" s="223">
        <v>4.3739399999999998E-3</v>
      </c>
      <c r="H308" s="222">
        <v>0</v>
      </c>
      <c r="I308" s="224">
        <v>35708.400000000001</v>
      </c>
      <c r="J308" s="224">
        <v>156.186399096</v>
      </c>
      <c r="K308" s="222" t="s">
        <v>1366</v>
      </c>
      <c r="L308" s="222">
        <v>3</v>
      </c>
      <c r="M308" s="222" t="s">
        <v>1373</v>
      </c>
      <c r="N308" s="222">
        <v>1</v>
      </c>
      <c r="O308" s="222">
        <v>0</v>
      </c>
      <c r="P308" s="225">
        <v>2514.8970000000008</v>
      </c>
      <c r="Q308" s="224">
        <v>0</v>
      </c>
      <c r="R308" s="222">
        <v>7.05</v>
      </c>
      <c r="S308" s="226" t="str">
        <f>IFERROR(_xlfn.XLOOKUP(R308,'1_Presupuesto'!$E:$E,'1_Presupuesto'!$D:$D),"")</f>
        <v>-</v>
      </c>
    </row>
    <row r="309" spans="1:19" ht="15" customHeight="1" x14ac:dyDescent="0.35">
      <c r="A309" s="222" t="s">
        <v>1363</v>
      </c>
      <c r="B309" s="222" t="s">
        <v>639</v>
      </c>
      <c r="C309" s="222" t="s">
        <v>640</v>
      </c>
      <c r="D309" s="222" t="s">
        <v>1374</v>
      </c>
      <c r="E309" s="222" t="s">
        <v>1375</v>
      </c>
      <c r="F309" s="222" t="s">
        <v>643</v>
      </c>
      <c r="G309" s="223">
        <v>1</v>
      </c>
      <c r="H309" s="222">
        <v>0</v>
      </c>
      <c r="I309" s="224">
        <v>12817.951499999999</v>
      </c>
      <c r="J309" s="224">
        <v>12817.951499999999</v>
      </c>
      <c r="K309" s="222" t="s">
        <v>1376</v>
      </c>
      <c r="L309" s="222">
        <v>1</v>
      </c>
      <c r="M309" s="222" t="s">
        <v>1377</v>
      </c>
      <c r="N309" s="222">
        <v>1</v>
      </c>
      <c r="O309" s="222">
        <v>0</v>
      </c>
      <c r="P309" s="225">
        <v>2514.8970000000008</v>
      </c>
      <c r="Q309" s="224">
        <v>0</v>
      </c>
      <c r="R309" s="222">
        <v>7.05</v>
      </c>
      <c r="S309" s="226" t="str">
        <f>IFERROR(_xlfn.XLOOKUP(R309,'1_Presupuesto'!$E:$E,'1_Presupuesto'!$D:$D),"")</f>
        <v>-</v>
      </c>
    </row>
    <row r="310" spans="1:19" ht="15" customHeight="1" x14ac:dyDescent="0.35">
      <c r="A310" s="222" t="s">
        <v>1378</v>
      </c>
      <c r="B310" s="222" t="s">
        <v>639</v>
      </c>
      <c r="C310" s="222" t="s">
        <v>640</v>
      </c>
      <c r="D310" s="222" t="s">
        <v>1379</v>
      </c>
      <c r="E310" s="222" t="s">
        <v>1380</v>
      </c>
      <c r="F310" s="222" t="s">
        <v>643</v>
      </c>
      <c r="G310" s="223">
        <v>1</v>
      </c>
      <c r="H310" s="222">
        <v>0</v>
      </c>
      <c r="I310" s="224">
        <v>10160.5713</v>
      </c>
      <c r="J310" s="224">
        <v>10160.5713</v>
      </c>
      <c r="K310" s="222" t="s">
        <v>1381</v>
      </c>
      <c r="L310" s="222">
        <v>1</v>
      </c>
      <c r="M310" s="222" t="s">
        <v>1382</v>
      </c>
      <c r="N310" s="222">
        <v>1</v>
      </c>
      <c r="O310" s="222">
        <v>0</v>
      </c>
      <c r="P310" s="225">
        <v>509.9</v>
      </c>
      <c r="Q310" s="224">
        <v>0</v>
      </c>
      <c r="R310" s="222">
        <v>7.06</v>
      </c>
      <c r="S310" s="226" t="str">
        <f>IFERROR(_xlfn.XLOOKUP(R310,'1_Presupuesto'!$E:$E,'1_Presupuesto'!$D:$D),"")</f>
        <v>-</v>
      </c>
    </row>
    <row r="311" spans="1:19" ht="15" customHeight="1" x14ac:dyDescent="0.35">
      <c r="A311" s="222" t="s">
        <v>1383</v>
      </c>
      <c r="B311" s="222" t="s">
        <v>654</v>
      </c>
      <c r="C311" s="222" t="s">
        <v>719</v>
      </c>
      <c r="D311" s="222" t="s">
        <v>1384</v>
      </c>
      <c r="E311" s="222" t="s">
        <v>1385</v>
      </c>
      <c r="F311" s="222"/>
      <c r="G311" s="223">
        <v>1.0505050499999999</v>
      </c>
      <c r="H311" s="222">
        <v>0</v>
      </c>
      <c r="I311" s="224">
        <v>1159.2</v>
      </c>
      <c r="J311" s="224">
        <v>1217.7454539600001</v>
      </c>
      <c r="K311" s="222" t="s">
        <v>1386</v>
      </c>
      <c r="L311" s="222">
        <v>1</v>
      </c>
      <c r="M311" s="222" t="s">
        <v>1387</v>
      </c>
      <c r="N311" s="222">
        <v>1</v>
      </c>
      <c r="O311" s="222">
        <v>0</v>
      </c>
      <c r="P311" s="225">
        <v>198</v>
      </c>
      <c r="Q311" s="224">
        <v>0</v>
      </c>
      <c r="R311" s="222">
        <v>7.07</v>
      </c>
      <c r="S311" s="226" t="str">
        <f>IFERROR(_xlfn.XLOOKUP(R311,'1_Presupuesto'!$E:$E,'1_Presupuesto'!$D:$D),"")</f>
        <v>-</v>
      </c>
    </row>
    <row r="312" spans="1:19" ht="15" customHeight="1" x14ac:dyDescent="0.35">
      <c r="A312" s="222" t="s">
        <v>1383</v>
      </c>
      <c r="B312" s="222" t="s">
        <v>639</v>
      </c>
      <c r="C312" s="222" t="s">
        <v>640</v>
      </c>
      <c r="D312" s="222" t="s">
        <v>1388</v>
      </c>
      <c r="E312" s="222" t="s">
        <v>1389</v>
      </c>
      <c r="F312" s="222" t="s">
        <v>643</v>
      </c>
      <c r="G312" s="223">
        <v>1.0505050499999999</v>
      </c>
      <c r="H312" s="222">
        <v>0</v>
      </c>
      <c r="I312" s="224">
        <v>10160.5713</v>
      </c>
      <c r="J312" s="224">
        <v>10673.731461535061</v>
      </c>
      <c r="K312" s="222" t="s">
        <v>1390</v>
      </c>
      <c r="L312" s="222">
        <v>1</v>
      </c>
      <c r="M312" s="222" t="s">
        <v>1391</v>
      </c>
      <c r="N312" s="222">
        <v>1</v>
      </c>
      <c r="O312" s="222">
        <v>0</v>
      </c>
      <c r="P312" s="225">
        <v>198</v>
      </c>
      <c r="Q312" s="224">
        <v>0</v>
      </c>
      <c r="R312" s="222">
        <v>7.07</v>
      </c>
      <c r="S312" s="226" t="str">
        <f>IFERROR(_xlfn.XLOOKUP(R312,'1_Presupuesto'!$E:$E,'1_Presupuesto'!$D:$D),"")</f>
        <v>-</v>
      </c>
    </row>
    <row r="313" spans="1:19" ht="15" customHeight="1" x14ac:dyDescent="0.35">
      <c r="A313" s="222" t="s">
        <v>1392</v>
      </c>
      <c r="B313" s="222" t="s">
        <v>654</v>
      </c>
      <c r="C313" s="222" t="s">
        <v>719</v>
      </c>
      <c r="D313" s="222" t="s">
        <v>1051</v>
      </c>
      <c r="E313" s="222" t="s">
        <v>1052</v>
      </c>
      <c r="F313" s="222"/>
      <c r="G313" s="223">
        <v>2.5999999999999999E-2</v>
      </c>
      <c r="H313" s="222">
        <v>0.1</v>
      </c>
      <c r="I313" s="224">
        <v>31265.15</v>
      </c>
      <c r="J313" s="224">
        <v>894.18329000000006</v>
      </c>
      <c r="K313" s="222" t="s">
        <v>1393</v>
      </c>
      <c r="L313" s="222">
        <v>1</v>
      </c>
      <c r="M313" s="222" t="s">
        <v>1394</v>
      </c>
      <c r="N313" s="222">
        <v>1</v>
      </c>
      <c r="O313" s="222">
        <v>0</v>
      </c>
      <c r="P313" s="225">
        <v>670.322</v>
      </c>
      <c r="Q313" s="224">
        <v>0</v>
      </c>
      <c r="R313" s="222">
        <v>7.08</v>
      </c>
      <c r="S313" s="226" t="str">
        <f>IFERROR(_xlfn.XLOOKUP(R313,'1_Presupuesto'!$E:$E,'1_Presupuesto'!$D:$D),"")</f>
        <v>Albañilería MO</v>
      </c>
    </row>
    <row r="314" spans="1:19" ht="15" customHeight="1" x14ac:dyDescent="0.35">
      <c r="A314" s="222" t="s">
        <v>1392</v>
      </c>
      <c r="B314" s="222" t="s">
        <v>654</v>
      </c>
      <c r="C314" s="222" t="s">
        <v>719</v>
      </c>
      <c r="D314" s="222" t="s">
        <v>1239</v>
      </c>
      <c r="E314" s="222" t="s">
        <v>1240</v>
      </c>
      <c r="F314" s="222"/>
      <c r="G314" s="223">
        <v>0.1</v>
      </c>
      <c r="H314" s="222">
        <v>0.05</v>
      </c>
      <c r="I314" s="224">
        <v>1162.7550000000001</v>
      </c>
      <c r="J314" s="224">
        <v>122.089275</v>
      </c>
      <c r="K314" s="222" t="s">
        <v>1393</v>
      </c>
      <c r="L314" s="222">
        <v>2</v>
      </c>
      <c r="M314" s="222" t="s">
        <v>1395</v>
      </c>
      <c r="N314" s="222">
        <v>1</v>
      </c>
      <c r="O314" s="222">
        <v>0</v>
      </c>
      <c r="P314" s="225">
        <v>670.322</v>
      </c>
      <c r="Q314" s="224">
        <v>0</v>
      </c>
      <c r="R314" s="222">
        <v>7.08</v>
      </c>
      <c r="S314" s="226" t="str">
        <f>IFERROR(_xlfn.XLOOKUP(R314,'1_Presupuesto'!$E:$E,'1_Presupuesto'!$D:$D),"")</f>
        <v>Albañilería MO</v>
      </c>
    </row>
    <row r="315" spans="1:19" ht="15" customHeight="1" x14ac:dyDescent="0.35">
      <c r="A315" s="222" t="s">
        <v>1392</v>
      </c>
      <c r="B315" s="222" t="s">
        <v>654</v>
      </c>
      <c r="C315" s="222" t="s">
        <v>719</v>
      </c>
      <c r="D315" s="222" t="s">
        <v>1057</v>
      </c>
      <c r="E315" s="222" t="s">
        <v>1058</v>
      </c>
      <c r="F315" s="222"/>
      <c r="G315" s="223">
        <v>0.314</v>
      </c>
      <c r="H315" s="222">
        <v>0.1</v>
      </c>
      <c r="I315" s="224">
        <v>7233.47</v>
      </c>
      <c r="J315" s="224">
        <v>2498.4405379999998</v>
      </c>
      <c r="K315" s="222" t="s">
        <v>1393</v>
      </c>
      <c r="L315" s="222">
        <v>3</v>
      </c>
      <c r="M315" s="222" t="s">
        <v>1396</v>
      </c>
      <c r="N315" s="222">
        <v>1</v>
      </c>
      <c r="O315" s="222">
        <v>0</v>
      </c>
      <c r="P315" s="225">
        <v>670.322</v>
      </c>
      <c r="Q315" s="224">
        <v>0</v>
      </c>
      <c r="R315" s="222">
        <v>7.08</v>
      </c>
      <c r="S315" s="226" t="str">
        <f>IFERROR(_xlfn.XLOOKUP(R315,'1_Presupuesto'!$E:$E,'1_Presupuesto'!$D:$D),"")</f>
        <v>Albañilería MO</v>
      </c>
    </row>
    <row r="316" spans="1:19" ht="15" customHeight="1" x14ac:dyDescent="0.35">
      <c r="A316" s="222" t="s">
        <v>1392</v>
      </c>
      <c r="B316" s="222" t="s">
        <v>654</v>
      </c>
      <c r="C316" s="222" t="s">
        <v>719</v>
      </c>
      <c r="D316" s="222" t="s">
        <v>1054</v>
      </c>
      <c r="E316" s="222" t="s">
        <v>1055</v>
      </c>
      <c r="F316" s="222"/>
      <c r="G316" s="223">
        <v>0.06</v>
      </c>
      <c r="H316" s="222">
        <v>0.1</v>
      </c>
      <c r="I316" s="224">
        <v>3532.67</v>
      </c>
      <c r="J316" s="224">
        <v>233.15621999999999</v>
      </c>
      <c r="K316" s="222" t="s">
        <v>1393</v>
      </c>
      <c r="L316" s="222">
        <v>4</v>
      </c>
      <c r="M316" s="222" t="s">
        <v>1397</v>
      </c>
      <c r="N316" s="222">
        <v>1</v>
      </c>
      <c r="O316" s="222">
        <v>0</v>
      </c>
      <c r="P316" s="225">
        <v>670.322</v>
      </c>
      <c r="Q316" s="224">
        <v>0</v>
      </c>
      <c r="R316" s="222">
        <v>7.08</v>
      </c>
      <c r="S316" s="226" t="str">
        <f>IFERROR(_xlfn.XLOOKUP(R316,'1_Presupuesto'!$E:$E,'1_Presupuesto'!$D:$D),"")</f>
        <v>Albañilería MO</v>
      </c>
    </row>
    <row r="317" spans="1:19" ht="15" customHeight="1" x14ac:dyDescent="0.35">
      <c r="A317" s="222" t="s">
        <v>1392</v>
      </c>
      <c r="B317" s="222" t="s">
        <v>639</v>
      </c>
      <c r="C317" s="222" t="s">
        <v>646</v>
      </c>
      <c r="D317" s="222" t="s">
        <v>723</v>
      </c>
      <c r="E317" s="222" t="s">
        <v>724</v>
      </c>
      <c r="F317" s="222" t="s">
        <v>643</v>
      </c>
      <c r="G317" s="223">
        <v>8.6956519999999995E-2</v>
      </c>
      <c r="H317" s="222">
        <v>0</v>
      </c>
      <c r="I317" s="224">
        <v>75113.05</v>
      </c>
      <c r="J317" s="224">
        <v>6531.5694345860002</v>
      </c>
      <c r="K317" s="222" t="s">
        <v>1398</v>
      </c>
      <c r="L317" s="222">
        <v>1</v>
      </c>
      <c r="M317" s="222" t="s">
        <v>1399</v>
      </c>
      <c r="N317" s="222">
        <v>1</v>
      </c>
      <c r="O317" s="222">
        <v>8.6956519999999995E-2</v>
      </c>
      <c r="P317" s="225">
        <v>670.322</v>
      </c>
      <c r="Q317" s="224">
        <v>58.288868399999998</v>
      </c>
      <c r="R317" s="222">
        <v>7.08</v>
      </c>
      <c r="S317" s="226" t="str">
        <f>IFERROR(_xlfn.XLOOKUP(R317,'1_Presupuesto'!$E:$E,'1_Presupuesto'!$D:$D),"")</f>
        <v>Albañilería MO</v>
      </c>
    </row>
    <row r="318" spans="1:19" ht="15" customHeight="1" x14ac:dyDescent="0.35">
      <c r="A318" s="222" t="s">
        <v>1392</v>
      </c>
      <c r="B318" s="222" t="s">
        <v>639</v>
      </c>
      <c r="C318" s="222" t="s">
        <v>646</v>
      </c>
      <c r="D318" s="222" t="s">
        <v>647</v>
      </c>
      <c r="E318" s="222" t="s">
        <v>648</v>
      </c>
      <c r="F318" s="222" t="s">
        <v>643</v>
      </c>
      <c r="G318" s="223">
        <v>5.2173909999999997E-2</v>
      </c>
      <c r="H318" s="222">
        <v>0</v>
      </c>
      <c r="I318" s="224">
        <v>49934.239999999998</v>
      </c>
      <c r="J318" s="224">
        <v>2605.2645436784001</v>
      </c>
      <c r="K318" s="222" t="s">
        <v>1398</v>
      </c>
      <c r="L318" s="222">
        <v>2</v>
      </c>
      <c r="M318" s="222" t="s">
        <v>1400</v>
      </c>
      <c r="N318" s="222">
        <v>1</v>
      </c>
      <c r="O318" s="222">
        <v>5.2173909999999997E-2</v>
      </c>
      <c r="P318" s="225">
        <v>670.322</v>
      </c>
      <c r="Q318" s="224">
        <v>34.973319699999998</v>
      </c>
      <c r="R318" s="222">
        <v>7.08</v>
      </c>
      <c r="S318" s="226" t="str">
        <f>IFERROR(_xlfn.XLOOKUP(R318,'1_Presupuesto'!$E:$E,'1_Presupuesto'!$D:$D),"")</f>
        <v>Albañilería MO</v>
      </c>
    </row>
    <row r="319" spans="1:19" ht="15" customHeight="1" x14ac:dyDescent="0.35">
      <c r="A319" s="222" t="s">
        <v>1392</v>
      </c>
      <c r="B319" s="222" t="s">
        <v>13</v>
      </c>
      <c r="C319" s="222"/>
      <c r="D319" s="222" t="s">
        <v>1067</v>
      </c>
      <c r="E319" s="222" t="s">
        <v>1068</v>
      </c>
      <c r="F319" s="222"/>
      <c r="G319" s="223">
        <v>4.3478259999999998E-2</v>
      </c>
      <c r="H319" s="222">
        <v>0</v>
      </c>
      <c r="I319" s="224">
        <v>556.21879999999999</v>
      </c>
      <c r="J319" s="224">
        <v>24.183425603288001</v>
      </c>
      <c r="K319" s="222" t="s">
        <v>1401</v>
      </c>
      <c r="L319" s="222">
        <v>1</v>
      </c>
      <c r="M319" s="222" t="s">
        <v>1402</v>
      </c>
      <c r="N319" s="222">
        <v>1</v>
      </c>
      <c r="O319" s="222">
        <v>0</v>
      </c>
      <c r="P319" s="225">
        <v>670.322</v>
      </c>
      <c r="Q319" s="224">
        <v>0</v>
      </c>
      <c r="R319" s="222">
        <v>7.08</v>
      </c>
      <c r="S319" s="226" t="str">
        <f>IFERROR(_xlfn.XLOOKUP(R319,'1_Presupuesto'!$E:$E,'1_Presupuesto'!$D:$D),"")</f>
        <v>Albañilería MO</v>
      </c>
    </row>
    <row r="320" spans="1:19" ht="15" customHeight="1" x14ac:dyDescent="0.35">
      <c r="A320" s="222" t="s">
        <v>1392</v>
      </c>
      <c r="B320" s="222" t="s">
        <v>13</v>
      </c>
      <c r="C320" s="222"/>
      <c r="D320" s="222" t="s">
        <v>1063</v>
      </c>
      <c r="E320" s="222" t="s">
        <v>1064</v>
      </c>
      <c r="F320" s="222"/>
      <c r="G320" s="223">
        <v>8.6956519999999995E-2</v>
      </c>
      <c r="H320" s="222">
        <v>0</v>
      </c>
      <c r="I320" s="224">
        <v>2227.2298000000001</v>
      </c>
      <c r="J320" s="224">
        <v>193.67215264829599</v>
      </c>
      <c r="K320" s="222" t="s">
        <v>1401</v>
      </c>
      <c r="L320" s="222">
        <v>2</v>
      </c>
      <c r="M320" s="222" t="s">
        <v>1403</v>
      </c>
      <c r="N320" s="222">
        <v>1</v>
      </c>
      <c r="O320" s="222">
        <v>0</v>
      </c>
      <c r="P320" s="225">
        <v>670.322</v>
      </c>
      <c r="Q320" s="224">
        <v>0</v>
      </c>
      <c r="R320" s="222">
        <v>7.08</v>
      </c>
      <c r="S320" s="226" t="str">
        <f>IFERROR(_xlfn.XLOOKUP(R320,'1_Presupuesto'!$E:$E,'1_Presupuesto'!$D:$D),"")</f>
        <v>Albañilería MO</v>
      </c>
    </row>
    <row r="321" spans="1:19" ht="15" customHeight="1" x14ac:dyDescent="0.35">
      <c r="A321" s="222" t="s">
        <v>1392</v>
      </c>
      <c r="B321" s="222" t="s">
        <v>13</v>
      </c>
      <c r="C321" s="222"/>
      <c r="D321" s="222" t="s">
        <v>1070</v>
      </c>
      <c r="E321" s="222" t="s">
        <v>1071</v>
      </c>
      <c r="F321" s="222"/>
      <c r="G321" s="223">
        <v>8.6956519999999995E-2</v>
      </c>
      <c r="H321" s="222">
        <v>0</v>
      </c>
      <c r="I321" s="224">
        <v>932.18029999999999</v>
      </c>
      <c r="J321" s="224">
        <v>81.059154900555995</v>
      </c>
      <c r="K321" s="222" t="s">
        <v>1401</v>
      </c>
      <c r="L321" s="222">
        <v>3</v>
      </c>
      <c r="M321" s="222" t="s">
        <v>1404</v>
      </c>
      <c r="N321" s="222">
        <v>1</v>
      </c>
      <c r="O321" s="222">
        <v>0</v>
      </c>
      <c r="P321" s="225">
        <v>670.322</v>
      </c>
      <c r="Q321" s="224">
        <v>0</v>
      </c>
      <c r="R321" s="222">
        <v>7.08</v>
      </c>
      <c r="S321" s="226" t="str">
        <f>IFERROR(_xlfn.XLOOKUP(R321,'1_Presupuesto'!$E:$E,'1_Presupuesto'!$D:$D),"")</f>
        <v>Albañilería MO</v>
      </c>
    </row>
    <row r="322" spans="1:19" ht="15" customHeight="1" x14ac:dyDescent="0.35">
      <c r="A322" s="222" t="s">
        <v>1405</v>
      </c>
      <c r="B322" s="222" t="s">
        <v>654</v>
      </c>
      <c r="C322" s="222" t="s">
        <v>719</v>
      </c>
      <c r="D322" s="222" t="s">
        <v>1057</v>
      </c>
      <c r="E322" s="222" t="s">
        <v>1058</v>
      </c>
      <c r="F322" s="222"/>
      <c r="G322" s="223">
        <v>0.11219999999999999</v>
      </c>
      <c r="H322" s="222">
        <v>0.1</v>
      </c>
      <c r="I322" s="224">
        <v>7233.47</v>
      </c>
      <c r="J322" s="224">
        <v>892.75486740000008</v>
      </c>
      <c r="K322" s="222" t="s">
        <v>1406</v>
      </c>
      <c r="L322" s="222">
        <v>1</v>
      </c>
      <c r="M322" s="222" t="s">
        <v>1407</v>
      </c>
      <c r="N322" s="222">
        <v>1</v>
      </c>
      <c r="O322" s="222">
        <v>0</v>
      </c>
      <c r="P322" s="225">
        <v>104</v>
      </c>
      <c r="Q322" s="224">
        <v>0</v>
      </c>
      <c r="R322" s="222">
        <v>8.01</v>
      </c>
      <c r="S322" s="226" t="str">
        <f>IFERROR(_xlfn.XLOOKUP(R322,'1_Presupuesto'!$E:$E,'1_Presupuesto'!$D:$D),"")</f>
        <v>Albañilería MO</v>
      </c>
    </row>
    <row r="323" spans="1:19" ht="15" customHeight="1" x14ac:dyDescent="0.35">
      <c r="A323" s="222" t="s">
        <v>1405</v>
      </c>
      <c r="B323" s="222" t="s">
        <v>654</v>
      </c>
      <c r="C323" s="222" t="s">
        <v>719</v>
      </c>
      <c r="D323" s="222" t="s">
        <v>1054</v>
      </c>
      <c r="E323" s="222" t="s">
        <v>1055</v>
      </c>
      <c r="F323" s="222"/>
      <c r="G323" s="223">
        <v>0.48599999999999999</v>
      </c>
      <c r="H323" s="222">
        <v>0.1</v>
      </c>
      <c r="I323" s="224">
        <v>3532.67</v>
      </c>
      <c r="J323" s="224">
        <v>1888.565382</v>
      </c>
      <c r="K323" s="222" t="s">
        <v>1406</v>
      </c>
      <c r="L323" s="222">
        <v>2</v>
      </c>
      <c r="M323" s="222" t="s">
        <v>1408</v>
      </c>
      <c r="N323" s="222">
        <v>1</v>
      </c>
      <c r="O323" s="222">
        <v>0</v>
      </c>
      <c r="P323" s="225">
        <v>104</v>
      </c>
      <c r="Q323" s="224">
        <v>0</v>
      </c>
      <c r="R323" s="222">
        <v>8.01</v>
      </c>
      <c r="S323" s="226" t="str">
        <f>IFERROR(_xlfn.XLOOKUP(R323,'1_Presupuesto'!$E:$E,'1_Presupuesto'!$D:$D),"")</f>
        <v>Albañilería MO</v>
      </c>
    </row>
    <row r="324" spans="1:19" ht="15" customHeight="1" x14ac:dyDescent="0.35">
      <c r="A324" s="222" t="s">
        <v>1405</v>
      </c>
      <c r="B324" s="222" t="s">
        <v>654</v>
      </c>
      <c r="C324" s="222" t="s">
        <v>719</v>
      </c>
      <c r="D324" s="222" t="s">
        <v>1409</v>
      </c>
      <c r="E324" s="222" t="s">
        <v>1410</v>
      </c>
      <c r="F324" s="222"/>
      <c r="G324" s="223">
        <v>0.11550000000000001</v>
      </c>
      <c r="H324" s="222">
        <v>0.1</v>
      </c>
      <c r="I324" s="224">
        <v>34045.199999999997</v>
      </c>
      <c r="J324" s="224">
        <v>4325.4426599999997</v>
      </c>
      <c r="K324" s="222" t="s">
        <v>1406</v>
      </c>
      <c r="L324" s="222">
        <v>3</v>
      </c>
      <c r="M324" s="222" t="s">
        <v>1411</v>
      </c>
      <c r="N324" s="222">
        <v>1</v>
      </c>
      <c r="O324" s="222">
        <v>0</v>
      </c>
      <c r="P324" s="225">
        <v>104</v>
      </c>
      <c r="Q324" s="224">
        <v>0</v>
      </c>
      <c r="R324" s="222">
        <v>8.01</v>
      </c>
      <c r="S324" s="226" t="str">
        <f>IFERROR(_xlfn.XLOOKUP(R324,'1_Presupuesto'!$E:$E,'1_Presupuesto'!$D:$D),"")</f>
        <v>Albañilería MO</v>
      </c>
    </row>
    <row r="325" spans="1:19" ht="15" customHeight="1" x14ac:dyDescent="0.35">
      <c r="A325" s="222" t="s">
        <v>1405</v>
      </c>
      <c r="B325" s="222" t="s">
        <v>654</v>
      </c>
      <c r="C325" s="222" t="s">
        <v>719</v>
      </c>
      <c r="D325" s="222" t="s">
        <v>1051</v>
      </c>
      <c r="E325" s="222" t="s">
        <v>1052</v>
      </c>
      <c r="F325" s="222"/>
      <c r="G325" s="223">
        <v>7.7249999999999999E-2</v>
      </c>
      <c r="H325" s="222">
        <v>0.1</v>
      </c>
      <c r="I325" s="224">
        <v>31265.15</v>
      </c>
      <c r="J325" s="224">
        <v>2656.75612125</v>
      </c>
      <c r="K325" s="222" t="s">
        <v>1406</v>
      </c>
      <c r="L325" s="222">
        <v>4</v>
      </c>
      <c r="M325" s="222" t="s">
        <v>1412</v>
      </c>
      <c r="N325" s="222">
        <v>1</v>
      </c>
      <c r="O325" s="222">
        <v>0</v>
      </c>
      <c r="P325" s="225">
        <v>104</v>
      </c>
      <c r="Q325" s="224">
        <v>0</v>
      </c>
      <c r="R325" s="222">
        <v>8.01</v>
      </c>
      <c r="S325" s="226" t="str">
        <f>IFERROR(_xlfn.XLOOKUP(R325,'1_Presupuesto'!$E:$E,'1_Presupuesto'!$D:$D),"")</f>
        <v>Albañilería MO</v>
      </c>
    </row>
    <row r="326" spans="1:19" ht="15" customHeight="1" x14ac:dyDescent="0.35">
      <c r="A326" s="222" t="s">
        <v>1405</v>
      </c>
      <c r="B326" s="222" t="s">
        <v>639</v>
      </c>
      <c r="C326" s="222" t="s">
        <v>646</v>
      </c>
      <c r="D326" s="222" t="s">
        <v>647</v>
      </c>
      <c r="E326" s="222" t="s">
        <v>648</v>
      </c>
      <c r="F326" s="222" t="s">
        <v>643</v>
      </c>
      <c r="G326" s="223">
        <v>0.14285713999999999</v>
      </c>
      <c r="H326" s="222">
        <v>0</v>
      </c>
      <c r="I326" s="224">
        <v>49934.239999999998</v>
      </c>
      <c r="J326" s="224">
        <v>7133.4627144735996</v>
      </c>
      <c r="K326" s="222" t="s">
        <v>1413</v>
      </c>
      <c r="L326" s="222">
        <v>1</v>
      </c>
      <c r="M326" s="222" t="s">
        <v>1414</v>
      </c>
      <c r="N326" s="222">
        <v>1</v>
      </c>
      <c r="O326" s="222">
        <v>0.14285713999999999</v>
      </c>
      <c r="P326" s="225">
        <v>104</v>
      </c>
      <c r="Q326" s="224">
        <v>14.85714256</v>
      </c>
      <c r="R326" s="222">
        <v>8.01</v>
      </c>
      <c r="S326" s="226" t="str">
        <f>IFERROR(_xlfn.XLOOKUP(R326,'1_Presupuesto'!$E:$E,'1_Presupuesto'!$D:$D),"")</f>
        <v>Albañilería MO</v>
      </c>
    </row>
    <row r="327" spans="1:19" ht="15" customHeight="1" x14ac:dyDescent="0.35">
      <c r="A327" s="222" t="s">
        <v>1405</v>
      </c>
      <c r="B327" s="222" t="s">
        <v>639</v>
      </c>
      <c r="C327" s="222" t="s">
        <v>646</v>
      </c>
      <c r="D327" s="222" t="s">
        <v>723</v>
      </c>
      <c r="E327" s="222" t="s">
        <v>724</v>
      </c>
      <c r="F327" s="222" t="s">
        <v>643</v>
      </c>
      <c r="G327" s="223">
        <v>0.10714286000000001</v>
      </c>
      <c r="H327" s="222">
        <v>0</v>
      </c>
      <c r="I327" s="224">
        <v>75113.05</v>
      </c>
      <c r="J327" s="224">
        <v>8047.8270003230009</v>
      </c>
      <c r="K327" s="222" t="s">
        <v>1413</v>
      </c>
      <c r="L327" s="222">
        <v>2</v>
      </c>
      <c r="M327" s="222" t="s">
        <v>1415</v>
      </c>
      <c r="N327" s="222">
        <v>1</v>
      </c>
      <c r="O327" s="222">
        <v>0.10714286000000001</v>
      </c>
      <c r="P327" s="225">
        <v>104</v>
      </c>
      <c r="Q327" s="224">
        <v>11.14285744</v>
      </c>
      <c r="R327" s="222">
        <v>8.01</v>
      </c>
      <c r="S327" s="226" t="str">
        <f>IFERROR(_xlfn.XLOOKUP(R327,'1_Presupuesto'!$E:$E,'1_Presupuesto'!$D:$D),"")</f>
        <v>Albañilería MO</v>
      </c>
    </row>
    <row r="328" spans="1:19" ht="15" customHeight="1" x14ac:dyDescent="0.35">
      <c r="A328" s="222" t="s">
        <v>1405</v>
      </c>
      <c r="B328" s="222" t="s">
        <v>13</v>
      </c>
      <c r="C328" s="222"/>
      <c r="D328" s="222" t="s">
        <v>1070</v>
      </c>
      <c r="E328" s="222" t="s">
        <v>1071</v>
      </c>
      <c r="F328" s="222"/>
      <c r="G328" s="223">
        <v>0.14285713999999999</v>
      </c>
      <c r="H328" s="222">
        <v>0</v>
      </c>
      <c r="I328" s="224">
        <v>932.18029999999999</v>
      </c>
      <c r="J328" s="224">
        <v>133.16861162234201</v>
      </c>
      <c r="K328" s="222" t="s">
        <v>1416</v>
      </c>
      <c r="L328" s="222">
        <v>1</v>
      </c>
      <c r="M328" s="222" t="s">
        <v>1417</v>
      </c>
      <c r="N328" s="222">
        <v>1</v>
      </c>
      <c r="O328" s="222">
        <v>0</v>
      </c>
      <c r="P328" s="225">
        <v>104</v>
      </c>
      <c r="Q328" s="224">
        <v>0</v>
      </c>
      <c r="R328" s="222">
        <v>8.01</v>
      </c>
      <c r="S328" s="226" t="str">
        <f>IFERROR(_xlfn.XLOOKUP(R328,'1_Presupuesto'!$E:$E,'1_Presupuesto'!$D:$D),"")</f>
        <v>Albañilería MO</v>
      </c>
    </row>
    <row r="329" spans="1:19" ht="15" customHeight="1" x14ac:dyDescent="0.35">
      <c r="A329" s="222" t="s">
        <v>1405</v>
      </c>
      <c r="B329" s="222" t="s">
        <v>13</v>
      </c>
      <c r="C329" s="222"/>
      <c r="D329" s="222" t="s">
        <v>1063</v>
      </c>
      <c r="E329" s="222" t="s">
        <v>1064</v>
      </c>
      <c r="F329" s="222"/>
      <c r="G329" s="223">
        <v>0.14285713999999999</v>
      </c>
      <c r="H329" s="222">
        <v>0</v>
      </c>
      <c r="I329" s="224">
        <v>2227.2298000000001</v>
      </c>
      <c r="J329" s="224">
        <v>318.17567935077199</v>
      </c>
      <c r="K329" s="222" t="s">
        <v>1416</v>
      </c>
      <c r="L329" s="222">
        <v>2</v>
      </c>
      <c r="M329" s="222" t="s">
        <v>1418</v>
      </c>
      <c r="N329" s="222">
        <v>1</v>
      </c>
      <c r="O329" s="222">
        <v>0</v>
      </c>
      <c r="P329" s="225">
        <v>104</v>
      </c>
      <c r="Q329" s="224">
        <v>0</v>
      </c>
      <c r="R329" s="222">
        <v>8.01</v>
      </c>
      <c r="S329" s="226" t="str">
        <f>IFERROR(_xlfn.XLOOKUP(R329,'1_Presupuesto'!$E:$E,'1_Presupuesto'!$D:$D),"")</f>
        <v>Albañilería MO</v>
      </c>
    </row>
    <row r="330" spans="1:19" ht="15" customHeight="1" x14ac:dyDescent="0.35">
      <c r="A330" s="222" t="s">
        <v>1419</v>
      </c>
      <c r="B330" s="222" t="s">
        <v>654</v>
      </c>
      <c r="C330" s="222" t="s">
        <v>640</v>
      </c>
      <c r="D330" s="222" t="s">
        <v>1420</v>
      </c>
      <c r="E330" s="222" t="s">
        <v>123</v>
      </c>
      <c r="F330" s="222"/>
      <c r="G330" s="223">
        <v>1</v>
      </c>
      <c r="H330" s="222">
        <v>0</v>
      </c>
      <c r="I330" s="224">
        <v>500</v>
      </c>
      <c r="J330" s="224">
        <v>500</v>
      </c>
      <c r="K330" s="222" t="s">
        <v>1421</v>
      </c>
      <c r="L330" s="222">
        <v>1</v>
      </c>
      <c r="M330" s="222" t="s">
        <v>1422</v>
      </c>
      <c r="N330" s="222">
        <v>1</v>
      </c>
      <c r="O330" s="222">
        <v>0</v>
      </c>
      <c r="P330" s="225">
        <v>48</v>
      </c>
      <c r="Q330" s="224">
        <v>0</v>
      </c>
      <c r="R330" s="222">
        <v>8.02</v>
      </c>
      <c r="S330" s="226" t="str">
        <f>IFERROR(_xlfn.XLOOKUP(R330,'1_Presupuesto'!$E:$E,'1_Presupuesto'!$D:$D),"")</f>
        <v>Albañilería MO</v>
      </c>
    </row>
    <row r="331" spans="1:19" ht="15" customHeight="1" x14ac:dyDescent="0.35">
      <c r="A331" s="222" t="s">
        <v>1419</v>
      </c>
      <c r="B331" s="222" t="s">
        <v>654</v>
      </c>
      <c r="C331" s="222" t="s">
        <v>719</v>
      </c>
      <c r="D331" s="222" t="s">
        <v>1057</v>
      </c>
      <c r="E331" s="222" t="s">
        <v>1058</v>
      </c>
      <c r="F331" s="222"/>
      <c r="G331" s="223">
        <v>0.14960000000000001</v>
      </c>
      <c r="H331" s="222">
        <v>0.1</v>
      </c>
      <c r="I331" s="224">
        <v>7233.47</v>
      </c>
      <c r="J331" s="224">
        <v>1190.3398232</v>
      </c>
      <c r="K331" s="222" t="s">
        <v>1421</v>
      </c>
      <c r="L331" s="222">
        <v>2</v>
      </c>
      <c r="M331" s="222" t="s">
        <v>1423</v>
      </c>
      <c r="N331" s="222">
        <v>1</v>
      </c>
      <c r="O331" s="222">
        <v>0</v>
      </c>
      <c r="P331" s="225">
        <v>48</v>
      </c>
      <c r="Q331" s="224">
        <v>0</v>
      </c>
      <c r="R331" s="222">
        <v>8.02</v>
      </c>
      <c r="S331" s="226" t="str">
        <f>IFERROR(_xlfn.XLOOKUP(R331,'1_Presupuesto'!$E:$E,'1_Presupuesto'!$D:$D),"")</f>
        <v>Albañilería MO</v>
      </c>
    </row>
    <row r="332" spans="1:19" ht="15" customHeight="1" x14ac:dyDescent="0.35">
      <c r="A332" s="222" t="s">
        <v>1419</v>
      </c>
      <c r="B332" s="222" t="s">
        <v>654</v>
      </c>
      <c r="C332" s="222" t="s">
        <v>719</v>
      </c>
      <c r="D332" s="222" t="s">
        <v>1054</v>
      </c>
      <c r="E332" s="222" t="s">
        <v>1055</v>
      </c>
      <c r="F332" s="222"/>
      <c r="G332" s="223">
        <v>0.64800000000000002</v>
      </c>
      <c r="H332" s="222">
        <v>0.1</v>
      </c>
      <c r="I332" s="224">
        <v>3532.67</v>
      </c>
      <c r="J332" s="224">
        <v>2518.087176</v>
      </c>
      <c r="K332" s="222" t="s">
        <v>1421</v>
      </c>
      <c r="L332" s="222">
        <v>3</v>
      </c>
      <c r="M332" s="222" t="s">
        <v>1424</v>
      </c>
      <c r="N332" s="222">
        <v>1</v>
      </c>
      <c r="O332" s="222">
        <v>0</v>
      </c>
      <c r="P332" s="225">
        <v>48</v>
      </c>
      <c r="Q332" s="224">
        <v>0</v>
      </c>
      <c r="R332" s="222">
        <v>8.02</v>
      </c>
      <c r="S332" s="226" t="str">
        <f>IFERROR(_xlfn.XLOOKUP(R332,'1_Presupuesto'!$E:$E,'1_Presupuesto'!$D:$D),"")</f>
        <v>Albañilería MO</v>
      </c>
    </row>
    <row r="333" spans="1:19" ht="15" customHeight="1" x14ac:dyDescent="0.35">
      <c r="A333" s="222" t="s">
        <v>1419</v>
      </c>
      <c r="B333" s="222" t="s">
        <v>654</v>
      </c>
      <c r="C333" s="222" t="s">
        <v>719</v>
      </c>
      <c r="D333" s="222" t="s">
        <v>1409</v>
      </c>
      <c r="E333" s="222" t="s">
        <v>1410</v>
      </c>
      <c r="F333" s="222"/>
      <c r="G333" s="223">
        <v>0.154</v>
      </c>
      <c r="H333" s="222">
        <v>0.1</v>
      </c>
      <c r="I333" s="224">
        <v>34045.199999999997</v>
      </c>
      <c r="J333" s="224">
        <v>5767.2568799999999</v>
      </c>
      <c r="K333" s="222" t="s">
        <v>1421</v>
      </c>
      <c r="L333" s="222">
        <v>4</v>
      </c>
      <c r="M333" s="222" t="s">
        <v>1425</v>
      </c>
      <c r="N333" s="222">
        <v>1</v>
      </c>
      <c r="O333" s="222">
        <v>0</v>
      </c>
      <c r="P333" s="225">
        <v>48</v>
      </c>
      <c r="Q333" s="224">
        <v>0</v>
      </c>
      <c r="R333" s="222">
        <v>8.02</v>
      </c>
      <c r="S333" s="226" t="str">
        <f>IFERROR(_xlfn.XLOOKUP(R333,'1_Presupuesto'!$E:$E,'1_Presupuesto'!$D:$D),"")</f>
        <v>Albañilería MO</v>
      </c>
    </row>
    <row r="334" spans="1:19" ht="15" customHeight="1" x14ac:dyDescent="0.35">
      <c r="A334" s="222" t="s">
        <v>1419</v>
      </c>
      <c r="B334" s="222" t="s">
        <v>654</v>
      </c>
      <c r="C334" s="222" t="s">
        <v>719</v>
      </c>
      <c r="D334" s="222" t="s">
        <v>1051</v>
      </c>
      <c r="E334" s="222" t="s">
        <v>1052</v>
      </c>
      <c r="F334" s="222"/>
      <c r="G334" s="223">
        <v>0.10299999999999999</v>
      </c>
      <c r="H334" s="222">
        <v>0.1</v>
      </c>
      <c r="I334" s="224">
        <v>31265.15</v>
      </c>
      <c r="J334" s="224">
        <v>3542.3414950000001</v>
      </c>
      <c r="K334" s="222" t="s">
        <v>1421</v>
      </c>
      <c r="L334" s="222">
        <v>5</v>
      </c>
      <c r="M334" s="222" t="s">
        <v>1426</v>
      </c>
      <c r="N334" s="222">
        <v>1</v>
      </c>
      <c r="O334" s="222">
        <v>0</v>
      </c>
      <c r="P334" s="225">
        <v>48</v>
      </c>
      <c r="Q334" s="224">
        <v>0</v>
      </c>
      <c r="R334" s="222">
        <v>8.02</v>
      </c>
      <c r="S334" s="226" t="str">
        <f>IFERROR(_xlfn.XLOOKUP(R334,'1_Presupuesto'!$E:$E,'1_Presupuesto'!$D:$D),"")</f>
        <v>Albañilería MO</v>
      </c>
    </row>
    <row r="335" spans="1:19" ht="15" customHeight="1" x14ac:dyDescent="0.35">
      <c r="A335" s="222" t="s">
        <v>1419</v>
      </c>
      <c r="B335" s="222" t="s">
        <v>639</v>
      </c>
      <c r="C335" s="222" t="s">
        <v>640</v>
      </c>
      <c r="D335" s="222" t="s">
        <v>1427</v>
      </c>
      <c r="E335" s="222" t="s">
        <v>123</v>
      </c>
      <c r="F335" s="222" t="s">
        <v>643</v>
      </c>
      <c r="G335" s="223">
        <v>1</v>
      </c>
      <c r="H335" s="222">
        <v>0</v>
      </c>
      <c r="I335" s="224">
        <v>500</v>
      </c>
      <c r="J335" s="224">
        <v>500</v>
      </c>
      <c r="K335" s="222" t="s">
        <v>1428</v>
      </c>
      <c r="L335" s="222">
        <v>1</v>
      </c>
      <c r="M335" s="222" t="s">
        <v>1429</v>
      </c>
      <c r="N335" s="222">
        <v>1</v>
      </c>
      <c r="O335" s="222">
        <v>0</v>
      </c>
      <c r="P335" s="225">
        <v>48</v>
      </c>
      <c r="Q335" s="224">
        <v>0</v>
      </c>
      <c r="R335" s="222">
        <v>8.02</v>
      </c>
      <c r="S335" s="226" t="str">
        <f>IFERROR(_xlfn.XLOOKUP(R335,'1_Presupuesto'!$E:$E,'1_Presupuesto'!$D:$D),"")</f>
        <v>Albañilería MO</v>
      </c>
    </row>
    <row r="336" spans="1:19" ht="15" customHeight="1" x14ac:dyDescent="0.35">
      <c r="A336" s="222" t="s">
        <v>1419</v>
      </c>
      <c r="B336" s="222" t="s">
        <v>639</v>
      </c>
      <c r="C336" s="222" t="s">
        <v>646</v>
      </c>
      <c r="D336" s="222" t="s">
        <v>647</v>
      </c>
      <c r="E336" s="222" t="s">
        <v>648</v>
      </c>
      <c r="F336" s="222" t="s">
        <v>643</v>
      </c>
      <c r="G336" s="223">
        <v>0.14285713999999999</v>
      </c>
      <c r="H336" s="222">
        <v>0</v>
      </c>
      <c r="I336" s="224">
        <v>49934.239999999998</v>
      </c>
      <c r="J336" s="224">
        <v>7133.4627144735996</v>
      </c>
      <c r="K336" s="222" t="s">
        <v>1428</v>
      </c>
      <c r="L336" s="222">
        <v>2</v>
      </c>
      <c r="M336" s="222" t="s">
        <v>1430</v>
      </c>
      <c r="N336" s="222">
        <v>1</v>
      </c>
      <c r="O336" s="222">
        <v>0.14285713999999999</v>
      </c>
      <c r="P336" s="225">
        <v>48</v>
      </c>
      <c r="Q336" s="224">
        <v>6.8571427199999997</v>
      </c>
      <c r="R336" s="222">
        <v>8.02</v>
      </c>
      <c r="S336" s="226" t="str">
        <f>IFERROR(_xlfn.XLOOKUP(R336,'1_Presupuesto'!$E:$E,'1_Presupuesto'!$D:$D),"")</f>
        <v>Albañilería MO</v>
      </c>
    </row>
    <row r="337" spans="1:19" ht="15" customHeight="1" x14ac:dyDescent="0.35">
      <c r="A337" s="222" t="s">
        <v>1419</v>
      </c>
      <c r="B337" s="222" t="s">
        <v>639</v>
      </c>
      <c r="C337" s="222" t="s">
        <v>646</v>
      </c>
      <c r="D337" s="222" t="s">
        <v>723</v>
      </c>
      <c r="E337" s="222" t="s">
        <v>724</v>
      </c>
      <c r="F337" s="222" t="s">
        <v>643</v>
      </c>
      <c r="G337" s="223">
        <v>0.10714286000000001</v>
      </c>
      <c r="H337" s="222">
        <v>0</v>
      </c>
      <c r="I337" s="224">
        <v>75113.05</v>
      </c>
      <c r="J337" s="224">
        <v>8047.8270003230009</v>
      </c>
      <c r="K337" s="222" t="s">
        <v>1428</v>
      </c>
      <c r="L337" s="222">
        <v>3</v>
      </c>
      <c r="M337" s="222" t="s">
        <v>1431</v>
      </c>
      <c r="N337" s="222">
        <v>1</v>
      </c>
      <c r="O337" s="222">
        <v>0.10714286000000001</v>
      </c>
      <c r="P337" s="225">
        <v>48</v>
      </c>
      <c r="Q337" s="224">
        <v>5.1428572800000003</v>
      </c>
      <c r="R337" s="222">
        <v>8.02</v>
      </c>
      <c r="S337" s="226" t="str">
        <f>IFERROR(_xlfn.XLOOKUP(R337,'1_Presupuesto'!$E:$E,'1_Presupuesto'!$D:$D),"")</f>
        <v>Albañilería MO</v>
      </c>
    </row>
    <row r="338" spans="1:19" ht="15" customHeight="1" x14ac:dyDescent="0.35">
      <c r="A338" s="222" t="s">
        <v>1419</v>
      </c>
      <c r="B338" s="222" t="s">
        <v>13</v>
      </c>
      <c r="C338" s="222"/>
      <c r="D338" s="222" t="s">
        <v>1070</v>
      </c>
      <c r="E338" s="222" t="s">
        <v>1071</v>
      </c>
      <c r="F338" s="222"/>
      <c r="G338" s="223">
        <v>0.14285713999999999</v>
      </c>
      <c r="H338" s="222">
        <v>0</v>
      </c>
      <c r="I338" s="224">
        <v>932.18029999999999</v>
      </c>
      <c r="J338" s="224">
        <v>133.16861162234201</v>
      </c>
      <c r="K338" s="222" t="s">
        <v>1432</v>
      </c>
      <c r="L338" s="222">
        <v>1</v>
      </c>
      <c r="M338" s="222" t="s">
        <v>1433</v>
      </c>
      <c r="N338" s="222">
        <v>1</v>
      </c>
      <c r="O338" s="222">
        <v>0</v>
      </c>
      <c r="P338" s="225">
        <v>48</v>
      </c>
      <c r="Q338" s="224">
        <v>0</v>
      </c>
      <c r="R338" s="222">
        <v>8.02</v>
      </c>
      <c r="S338" s="226" t="str">
        <f>IFERROR(_xlfn.XLOOKUP(R338,'1_Presupuesto'!$E:$E,'1_Presupuesto'!$D:$D),"")</f>
        <v>Albañilería MO</v>
      </c>
    </row>
    <row r="339" spans="1:19" ht="15" customHeight="1" x14ac:dyDescent="0.35">
      <c r="A339" s="222" t="s">
        <v>1419</v>
      </c>
      <c r="B339" s="222" t="s">
        <v>13</v>
      </c>
      <c r="C339" s="222"/>
      <c r="D339" s="222" t="s">
        <v>1063</v>
      </c>
      <c r="E339" s="222" t="s">
        <v>1064</v>
      </c>
      <c r="F339" s="222"/>
      <c r="G339" s="223">
        <v>0.14285713999999999</v>
      </c>
      <c r="H339" s="222">
        <v>0</v>
      </c>
      <c r="I339" s="224">
        <v>2227.2298000000001</v>
      </c>
      <c r="J339" s="224">
        <v>318.17567935077199</v>
      </c>
      <c r="K339" s="222" t="s">
        <v>1432</v>
      </c>
      <c r="L339" s="222">
        <v>2</v>
      </c>
      <c r="M339" s="222" t="s">
        <v>1434</v>
      </c>
      <c r="N339" s="222">
        <v>1</v>
      </c>
      <c r="O339" s="222">
        <v>0</v>
      </c>
      <c r="P339" s="225">
        <v>48</v>
      </c>
      <c r="Q339" s="224">
        <v>0</v>
      </c>
      <c r="R339" s="222">
        <v>8.02</v>
      </c>
      <c r="S339" s="226" t="str">
        <f>IFERROR(_xlfn.XLOOKUP(R339,'1_Presupuesto'!$E:$E,'1_Presupuesto'!$D:$D),"")</f>
        <v>Albañilería MO</v>
      </c>
    </row>
    <row r="340" spans="1:19" ht="15" customHeight="1" x14ac:dyDescent="0.35">
      <c r="A340" s="222" t="s">
        <v>1435</v>
      </c>
      <c r="B340" s="222" t="s">
        <v>654</v>
      </c>
      <c r="C340" s="222" t="s">
        <v>719</v>
      </c>
      <c r="D340" s="222" t="s">
        <v>1057</v>
      </c>
      <c r="E340" s="222" t="s">
        <v>1058</v>
      </c>
      <c r="F340" s="222"/>
      <c r="G340" s="223">
        <v>0.13464000000000001</v>
      </c>
      <c r="H340" s="222">
        <v>0.1</v>
      </c>
      <c r="I340" s="224">
        <v>7233.47</v>
      </c>
      <c r="J340" s="224">
        <v>1071.30584088</v>
      </c>
      <c r="K340" s="222" t="s">
        <v>1436</v>
      </c>
      <c r="L340" s="222">
        <v>1</v>
      </c>
      <c r="M340" s="222" t="s">
        <v>1437</v>
      </c>
      <c r="N340" s="222">
        <v>1</v>
      </c>
      <c r="O340" s="222">
        <v>0</v>
      </c>
      <c r="P340" s="225">
        <v>235</v>
      </c>
      <c r="Q340" s="224">
        <v>0</v>
      </c>
      <c r="R340" s="222">
        <v>8.0299999999999994</v>
      </c>
      <c r="S340" s="226" t="str">
        <f>IFERROR(_xlfn.XLOOKUP(R340,'1_Presupuesto'!$E:$E,'1_Presupuesto'!$D:$D),"")</f>
        <v>Albañilería MO</v>
      </c>
    </row>
    <row r="341" spans="1:19" ht="15" customHeight="1" x14ac:dyDescent="0.35">
      <c r="A341" s="222" t="s">
        <v>1435</v>
      </c>
      <c r="B341" s="222" t="s">
        <v>654</v>
      </c>
      <c r="C341" s="222" t="s">
        <v>719</v>
      </c>
      <c r="D341" s="222" t="s">
        <v>1054</v>
      </c>
      <c r="E341" s="222" t="s">
        <v>1055</v>
      </c>
      <c r="F341" s="222"/>
      <c r="G341" s="223">
        <v>0.58320000000000005</v>
      </c>
      <c r="H341" s="222">
        <v>0.1</v>
      </c>
      <c r="I341" s="224">
        <v>3532.67</v>
      </c>
      <c r="J341" s="224">
        <v>2266.278458400001</v>
      </c>
      <c r="K341" s="222" t="s">
        <v>1436</v>
      </c>
      <c r="L341" s="222">
        <v>2</v>
      </c>
      <c r="M341" s="222" t="s">
        <v>1438</v>
      </c>
      <c r="N341" s="222">
        <v>1</v>
      </c>
      <c r="O341" s="222">
        <v>0</v>
      </c>
      <c r="P341" s="225">
        <v>235</v>
      </c>
      <c r="Q341" s="224">
        <v>0</v>
      </c>
      <c r="R341" s="222">
        <v>8.0299999999999994</v>
      </c>
      <c r="S341" s="226" t="str">
        <f>IFERROR(_xlfn.XLOOKUP(R341,'1_Presupuesto'!$E:$E,'1_Presupuesto'!$D:$D),"")</f>
        <v>Albañilería MO</v>
      </c>
    </row>
    <row r="342" spans="1:19" ht="15" customHeight="1" x14ac:dyDescent="0.35">
      <c r="A342" s="222" t="s">
        <v>1435</v>
      </c>
      <c r="B342" s="222" t="s">
        <v>654</v>
      </c>
      <c r="C342" s="222" t="s">
        <v>719</v>
      </c>
      <c r="D342" s="222" t="s">
        <v>1409</v>
      </c>
      <c r="E342" s="222" t="s">
        <v>1410</v>
      </c>
      <c r="F342" s="222"/>
      <c r="G342" s="223">
        <v>0.1386</v>
      </c>
      <c r="H342" s="222">
        <v>0.1</v>
      </c>
      <c r="I342" s="224">
        <v>34045.199999999997</v>
      </c>
      <c r="J342" s="224">
        <v>5190.5311920000004</v>
      </c>
      <c r="K342" s="222" t="s">
        <v>1436</v>
      </c>
      <c r="L342" s="222">
        <v>3</v>
      </c>
      <c r="M342" s="222" t="s">
        <v>1439</v>
      </c>
      <c r="N342" s="222">
        <v>1</v>
      </c>
      <c r="O342" s="222">
        <v>0</v>
      </c>
      <c r="P342" s="225">
        <v>235</v>
      </c>
      <c r="Q342" s="224">
        <v>0</v>
      </c>
      <c r="R342" s="222">
        <v>8.0299999999999994</v>
      </c>
      <c r="S342" s="226" t="str">
        <f>IFERROR(_xlfn.XLOOKUP(R342,'1_Presupuesto'!$E:$E,'1_Presupuesto'!$D:$D),"")</f>
        <v>Albañilería MO</v>
      </c>
    </row>
    <row r="343" spans="1:19" ht="15" customHeight="1" x14ac:dyDescent="0.35">
      <c r="A343" s="222" t="s">
        <v>1435</v>
      </c>
      <c r="B343" s="222" t="s">
        <v>654</v>
      </c>
      <c r="C343" s="222" t="s">
        <v>719</v>
      </c>
      <c r="D343" s="222" t="s">
        <v>1051</v>
      </c>
      <c r="E343" s="222" t="s">
        <v>1052</v>
      </c>
      <c r="F343" s="222"/>
      <c r="G343" s="223">
        <v>9.2700000000000005E-2</v>
      </c>
      <c r="H343" s="222">
        <v>0.1</v>
      </c>
      <c r="I343" s="224">
        <v>31265.15</v>
      </c>
      <c r="J343" s="224">
        <v>3188.107345500001</v>
      </c>
      <c r="K343" s="222" t="s">
        <v>1436</v>
      </c>
      <c r="L343" s="222">
        <v>4</v>
      </c>
      <c r="M343" s="222" t="s">
        <v>1440</v>
      </c>
      <c r="N343" s="222">
        <v>1</v>
      </c>
      <c r="O343" s="222">
        <v>0</v>
      </c>
      <c r="P343" s="225">
        <v>235</v>
      </c>
      <c r="Q343" s="224">
        <v>0</v>
      </c>
      <c r="R343" s="222">
        <v>8.0299999999999994</v>
      </c>
      <c r="S343" s="226" t="str">
        <f>IFERROR(_xlfn.XLOOKUP(R343,'1_Presupuesto'!$E:$E,'1_Presupuesto'!$D:$D),"")</f>
        <v>Albañilería MO</v>
      </c>
    </row>
    <row r="344" spans="1:19" ht="15" customHeight="1" x14ac:dyDescent="0.35">
      <c r="A344" s="222" t="s">
        <v>1435</v>
      </c>
      <c r="B344" s="222" t="s">
        <v>639</v>
      </c>
      <c r="C344" s="222" t="s">
        <v>646</v>
      </c>
      <c r="D344" s="222" t="s">
        <v>647</v>
      </c>
      <c r="E344" s="222" t="s">
        <v>648</v>
      </c>
      <c r="F344" s="222" t="s">
        <v>643</v>
      </c>
      <c r="G344" s="223">
        <v>0.12857142999999999</v>
      </c>
      <c r="H344" s="222">
        <v>0</v>
      </c>
      <c r="I344" s="224">
        <v>49934.239999999998</v>
      </c>
      <c r="J344" s="224">
        <v>6420.1166427631988</v>
      </c>
      <c r="K344" s="222" t="s">
        <v>1441</v>
      </c>
      <c r="L344" s="222">
        <v>1</v>
      </c>
      <c r="M344" s="222" t="s">
        <v>1442</v>
      </c>
      <c r="N344" s="222">
        <v>1</v>
      </c>
      <c r="O344" s="222">
        <v>0.12857142999999999</v>
      </c>
      <c r="P344" s="225">
        <v>235</v>
      </c>
      <c r="Q344" s="224">
        <v>30.214286049999998</v>
      </c>
      <c r="R344" s="222">
        <v>8.0299999999999994</v>
      </c>
      <c r="S344" s="226" t="str">
        <f>IFERROR(_xlfn.XLOOKUP(R344,'1_Presupuesto'!$E:$E,'1_Presupuesto'!$D:$D),"")</f>
        <v>Albañilería MO</v>
      </c>
    </row>
    <row r="345" spans="1:19" ht="15" customHeight="1" x14ac:dyDescent="0.35">
      <c r="A345" s="222" t="s">
        <v>1435</v>
      </c>
      <c r="B345" s="222" t="s">
        <v>639</v>
      </c>
      <c r="C345" s="222" t="s">
        <v>646</v>
      </c>
      <c r="D345" s="222" t="s">
        <v>723</v>
      </c>
      <c r="E345" s="222" t="s">
        <v>724</v>
      </c>
      <c r="F345" s="222" t="s">
        <v>643</v>
      </c>
      <c r="G345" s="223">
        <v>9.6428570000000005E-2</v>
      </c>
      <c r="H345" s="222">
        <v>0</v>
      </c>
      <c r="I345" s="224">
        <v>75113.05</v>
      </c>
      <c r="J345" s="224">
        <v>7243.0439998385009</v>
      </c>
      <c r="K345" s="222" t="s">
        <v>1441</v>
      </c>
      <c r="L345" s="222">
        <v>2</v>
      </c>
      <c r="M345" s="222" t="s">
        <v>1443</v>
      </c>
      <c r="N345" s="222">
        <v>1</v>
      </c>
      <c r="O345" s="222">
        <v>9.6428570000000005E-2</v>
      </c>
      <c r="P345" s="225">
        <v>235</v>
      </c>
      <c r="Q345" s="224">
        <v>22.660713950000002</v>
      </c>
      <c r="R345" s="222">
        <v>8.0299999999999994</v>
      </c>
      <c r="S345" s="226" t="str">
        <f>IFERROR(_xlfn.XLOOKUP(R345,'1_Presupuesto'!$E:$E,'1_Presupuesto'!$D:$D),"")</f>
        <v>Albañilería MO</v>
      </c>
    </row>
    <row r="346" spans="1:19" ht="15" customHeight="1" x14ac:dyDescent="0.35">
      <c r="A346" s="222" t="s">
        <v>1435</v>
      </c>
      <c r="B346" s="222" t="s">
        <v>13</v>
      </c>
      <c r="C346" s="222"/>
      <c r="D346" s="222" t="s">
        <v>1070</v>
      </c>
      <c r="E346" s="222" t="s">
        <v>1071</v>
      </c>
      <c r="F346" s="222"/>
      <c r="G346" s="223">
        <v>0.12857142999999999</v>
      </c>
      <c r="H346" s="222">
        <v>0</v>
      </c>
      <c r="I346" s="224">
        <v>932.18029999999999</v>
      </c>
      <c r="J346" s="224">
        <v>119.85175418882901</v>
      </c>
      <c r="K346" s="222" t="s">
        <v>1444</v>
      </c>
      <c r="L346" s="222">
        <v>1</v>
      </c>
      <c r="M346" s="222" t="s">
        <v>1445</v>
      </c>
      <c r="N346" s="222">
        <v>1</v>
      </c>
      <c r="O346" s="222">
        <v>0</v>
      </c>
      <c r="P346" s="225">
        <v>235</v>
      </c>
      <c r="Q346" s="224">
        <v>0</v>
      </c>
      <c r="R346" s="222">
        <v>8.0299999999999994</v>
      </c>
      <c r="S346" s="226" t="str">
        <f>IFERROR(_xlfn.XLOOKUP(R346,'1_Presupuesto'!$E:$E,'1_Presupuesto'!$D:$D),"")</f>
        <v>Albañilería MO</v>
      </c>
    </row>
    <row r="347" spans="1:19" ht="15" customHeight="1" x14ac:dyDescent="0.35">
      <c r="A347" s="222" t="s">
        <v>1435</v>
      </c>
      <c r="B347" s="222" t="s">
        <v>13</v>
      </c>
      <c r="C347" s="222"/>
      <c r="D347" s="222" t="s">
        <v>1063</v>
      </c>
      <c r="E347" s="222" t="s">
        <v>1064</v>
      </c>
      <c r="F347" s="222"/>
      <c r="G347" s="223">
        <v>0.12857142999999999</v>
      </c>
      <c r="H347" s="222">
        <v>0</v>
      </c>
      <c r="I347" s="224">
        <v>2227.2298000000001</v>
      </c>
      <c r="J347" s="224">
        <v>286.35812032461399</v>
      </c>
      <c r="K347" s="222" t="s">
        <v>1444</v>
      </c>
      <c r="L347" s="222">
        <v>2</v>
      </c>
      <c r="M347" s="222" t="s">
        <v>1446</v>
      </c>
      <c r="N347" s="222">
        <v>1</v>
      </c>
      <c r="O347" s="222">
        <v>0</v>
      </c>
      <c r="P347" s="225">
        <v>235</v>
      </c>
      <c r="Q347" s="224">
        <v>0</v>
      </c>
      <c r="R347" s="222">
        <v>8.0299999999999994</v>
      </c>
      <c r="S347" s="226" t="str">
        <f>IFERROR(_xlfn.XLOOKUP(R347,'1_Presupuesto'!$E:$E,'1_Presupuesto'!$D:$D),"")</f>
        <v>Albañilería MO</v>
      </c>
    </row>
    <row r="348" spans="1:19" ht="15" customHeight="1" x14ac:dyDescent="0.35">
      <c r="A348" s="222" t="s">
        <v>1447</v>
      </c>
      <c r="B348" s="222" t="s">
        <v>654</v>
      </c>
      <c r="C348" s="222" t="s">
        <v>719</v>
      </c>
      <c r="D348" s="222" t="s">
        <v>1051</v>
      </c>
      <c r="E348" s="222" t="s">
        <v>1052</v>
      </c>
      <c r="F348" s="222"/>
      <c r="G348" s="223">
        <v>5.9499999999999997E-2</v>
      </c>
      <c r="H348" s="222">
        <v>0.1</v>
      </c>
      <c r="I348" s="224">
        <v>31265.15</v>
      </c>
      <c r="J348" s="224">
        <v>2046.3040675</v>
      </c>
      <c r="K348" s="222" t="s">
        <v>1448</v>
      </c>
      <c r="L348" s="222">
        <v>1</v>
      </c>
      <c r="M348" s="222" t="s">
        <v>1449</v>
      </c>
      <c r="N348" s="222">
        <v>1</v>
      </c>
      <c r="O348" s="222">
        <v>0</v>
      </c>
      <c r="P348" s="225">
        <v>878</v>
      </c>
      <c r="Q348" s="224">
        <v>0</v>
      </c>
      <c r="R348" s="222">
        <v>8.0399999999999991</v>
      </c>
      <c r="S348" s="226" t="str">
        <f>IFERROR(_xlfn.XLOOKUP(R348,'1_Presupuesto'!$E:$E,'1_Presupuesto'!$D:$D),"")</f>
        <v>Albañilería MO</v>
      </c>
    </row>
    <row r="349" spans="1:19" ht="15" customHeight="1" x14ac:dyDescent="0.35">
      <c r="A349" s="222" t="s">
        <v>1447</v>
      </c>
      <c r="B349" s="222" t="s">
        <v>654</v>
      </c>
      <c r="C349" s="222" t="s">
        <v>719</v>
      </c>
      <c r="D349" s="222" t="s">
        <v>1057</v>
      </c>
      <c r="E349" s="222" t="s">
        <v>1058</v>
      </c>
      <c r="F349" s="222"/>
      <c r="G349" s="223">
        <v>0.42</v>
      </c>
      <c r="H349" s="222">
        <v>0.1</v>
      </c>
      <c r="I349" s="224">
        <v>7233.47</v>
      </c>
      <c r="J349" s="224">
        <v>3341.8631399999999</v>
      </c>
      <c r="K349" s="222" t="s">
        <v>1448</v>
      </c>
      <c r="L349" s="222">
        <v>2</v>
      </c>
      <c r="M349" s="222" t="s">
        <v>1450</v>
      </c>
      <c r="N349" s="222">
        <v>1</v>
      </c>
      <c r="O349" s="222">
        <v>0</v>
      </c>
      <c r="P349" s="225">
        <v>878</v>
      </c>
      <c r="Q349" s="224">
        <v>0</v>
      </c>
      <c r="R349" s="222">
        <v>8.0399999999999991</v>
      </c>
      <c r="S349" s="226" t="str">
        <f>IFERROR(_xlfn.XLOOKUP(R349,'1_Presupuesto'!$E:$E,'1_Presupuesto'!$D:$D),"")</f>
        <v>Albañilería MO</v>
      </c>
    </row>
    <row r="350" spans="1:19" ht="15" customHeight="1" x14ac:dyDescent="0.35">
      <c r="A350" s="222" t="s">
        <v>1447</v>
      </c>
      <c r="B350" s="222" t="s">
        <v>654</v>
      </c>
      <c r="C350" s="222" t="s">
        <v>719</v>
      </c>
      <c r="D350" s="222" t="s">
        <v>1054</v>
      </c>
      <c r="E350" s="222" t="s">
        <v>1055</v>
      </c>
      <c r="F350" s="222"/>
      <c r="G350" s="223">
        <v>0.14000000000000001</v>
      </c>
      <c r="H350" s="222">
        <v>0.1</v>
      </c>
      <c r="I350" s="224">
        <v>3532.67</v>
      </c>
      <c r="J350" s="224">
        <v>544.03118000000006</v>
      </c>
      <c r="K350" s="222" t="s">
        <v>1448</v>
      </c>
      <c r="L350" s="222">
        <v>3</v>
      </c>
      <c r="M350" s="222" t="s">
        <v>1451</v>
      </c>
      <c r="N350" s="222">
        <v>1</v>
      </c>
      <c r="O350" s="222">
        <v>0</v>
      </c>
      <c r="P350" s="225">
        <v>878</v>
      </c>
      <c r="Q350" s="224">
        <v>0</v>
      </c>
      <c r="R350" s="222">
        <v>8.0399999999999991</v>
      </c>
      <c r="S350" s="226" t="str">
        <f>IFERROR(_xlfn.XLOOKUP(R350,'1_Presupuesto'!$E:$E,'1_Presupuesto'!$D:$D),"")</f>
        <v>Albañilería MO</v>
      </c>
    </row>
    <row r="351" spans="1:19" ht="15" customHeight="1" x14ac:dyDescent="0.35">
      <c r="A351" s="222" t="s">
        <v>1447</v>
      </c>
      <c r="B351" s="222" t="s">
        <v>654</v>
      </c>
      <c r="C351" s="222" t="s">
        <v>719</v>
      </c>
      <c r="D351" s="222" t="s">
        <v>1452</v>
      </c>
      <c r="E351" s="222" t="s">
        <v>1453</v>
      </c>
      <c r="F351" s="222"/>
      <c r="G351" s="223">
        <v>2.4499999999999999E-3</v>
      </c>
      <c r="H351" s="222">
        <v>0.05</v>
      </c>
      <c r="I351" s="224">
        <v>194214.87599999999</v>
      </c>
      <c r="J351" s="224">
        <v>499.61776851000002</v>
      </c>
      <c r="K351" s="222" t="s">
        <v>1448</v>
      </c>
      <c r="L351" s="222">
        <v>4</v>
      </c>
      <c r="M351" s="222" t="s">
        <v>1454</v>
      </c>
      <c r="N351" s="222">
        <v>1</v>
      </c>
      <c r="O351" s="222">
        <v>0</v>
      </c>
      <c r="P351" s="225">
        <v>878</v>
      </c>
      <c r="Q351" s="224">
        <v>0</v>
      </c>
      <c r="R351" s="222">
        <v>8.0399999999999991</v>
      </c>
      <c r="S351" s="226" t="str">
        <f>IFERROR(_xlfn.XLOOKUP(R351,'1_Presupuesto'!$E:$E,'1_Presupuesto'!$D:$D),"")</f>
        <v>Albañilería MO</v>
      </c>
    </row>
    <row r="352" spans="1:19" ht="15" customHeight="1" x14ac:dyDescent="0.35">
      <c r="A352" s="222" t="s">
        <v>1447</v>
      </c>
      <c r="B352" s="222" t="s">
        <v>639</v>
      </c>
      <c r="C352" s="222" t="s">
        <v>646</v>
      </c>
      <c r="D352" s="222" t="s">
        <v>647</v>
      </c>
      <c r="E352" s="222" t="s">
        <v>648</v>
      </c>
      <c r="F352" s="222" t="s">
        <v>643</v>
      </c>
      <c r="G352" s="223">
        <v>8.5714289999999999E-2</v>
      </c>
      <c r="H352" s="222">
        <v>0</v>
      </c>
      <c r="I352" s="224">
        <v>49934.239999999998</v>
      </c>
      <c r="J352" s="224">
        <v>4280.0779282896001</v>
      </c>
      <c r="K352" s="222" t="s">
        <v>1455</v>
      </c>
      <c r="L352" s="222">
        <v>1</v>
      </c>
      <c r="M352" s="222" t="s">
        <v>1456</v>
      </c>
      <c r="N352" s="222">
        <v>1</v>
      </c>
      <c r="O352" s="222">
        <v>8.5714289999999999E-2</v>
      </c>
      <c r="P352" s="225">
        <v>878</v>
      </c>
      <c r="Q352" s="224">
        <v>75.25714662</v>
      </c>
      <c r="R352" s="222">
        <v>8.0399999999999991</v>
      </c>
      <c r="S352" s="226" t="str">
        <f>IFERROR(_xlfn.XLOOKUP(R352,'1_Presupuesto'!$E:$E,'1_Presupuesto'!$D:$D),"")</f>
        <v>Albañilería MO</v>
      </c>
    </row>
    <row r="353" spans="1:19" ht="15" customHeight="1" x14ac:dyDescent="0.35">
      <c r="A353" s="222" t="s">
        <v>1447</v>
      </c>
      <c r="B353" s="222" t="s">
        <v>639</v>
      </c>
      <c r="C353" s="222" t="s">
        <v>646</v>
      </c>
      <c r="D353" s="222" t="s">
        <v>723</v>
      </c>
      <c r="E353" s="222" t="s">
        <v>724</v>
      </c>
      <c r="F353" s="222" t="s">
        <v>643</v>
      </c>
      <c r="G353" s="223">
        <v>5.7142859999999997E-2</v>
      </c>
      <c r="H353" s="222">
        <v>0</v>
      </c>
      <c r="I353" s="224">
        <v>75113.05</v>
      </c>
      <c r="J353" s="224">
        <v>4292.1745003229998</v>
      </c>
      <c r="K353" s="222" t="s">
        <v>1455</v>
      </c>
      <c r="L353" s="222">
        <v>2</v>
      </c>
      <c r="M353" s="222" t="s">
        <v>1457</v>
      </c>
      <c r="N353" s="222">
        <v>1</v>
      </c>
      <c r="O353" s="222">
        <v>5.7142859999999997E-2</v>
      </c>
      <c r="P353" s="225">
        <v>878</v>
      </c>
      <c r="Q353" s="224">
        <v>50.171431079999998</v>
      </c>
      <c r="R353" s="222">
        <v>8.0399999999999991</v>
      </c>
      <c r="S353" s="226" t="str">
        <f>IFERROR(_xlfn.XLOOKUP(R353,'1_Presupuesto'!$E:$E,'1_Presupuesto'!$D:$D),"")</f>
        <v>Albañilería MO</v>
      </c>
    </row>
    <row r="354" spans="1:19" ht="15" customHeight="1" x14ac:dyDescent="0.35">
      <c r="A354" s="222" t="s">
        <v>1447</v>
      </c>
      <c r="B354" s="222" t="s">
        <v>13</v>
      </c>
      <c r="C354" s="222"/>
      <c r="D354" s="222" t="s">
        <v>1070</v>
      </c>
      <c r="E354" s="222" t="s">
        <v>1071</v>
      </c>
      <c r="F354" s="222"/>
      <c r="G354" s="223">
        <v>5.7142859999999997E-2</v>
      </c>
      <c r="H354" s="222">
        <v>0</v>
      </c>
      <c r="I354" s="224">
        <v>932.18029999999999</v>
      </c>
      <c r="J354" s="224">
        <v>53.267448377657999</v>
      </c>
      <c r="K354" s="222" t="s">
        <v>1458</v>
      </c>
      <c r="L354" s="222">
        <v>1</v>
      </c>
      <c r="M354" s="222" t="s">
        <v>1459</v>
      </c>
      <c r="N354" s="222">
        <v>1</v>
      </c>
      <c r="O354" s="222">
        <v>0</v>
      </c>
      <c r="P354" s="225">
        <v>878</v>
      </c>
      <c r="Q354" s="224">
        <v>0</v>
      </c>
      <c r="R354" s="222">
        <v>8.0399999999999991</v>
      </c>
      <c r="S354" s="226" t="str">
        <f>IFERROR(_xlfn.XLOOKUP(R354,'1_Presupuesto'!$E:$E,'1_Presupuesto'!$D:$D),"")</f>
        <v>Albañilería MO</v>
      </c>
    </row>
    <row r="355" spans="1:19" ht="15" customHeight="1" x14ac:dyDescent="0.35">
      <c r="A355" s="222" t="s">
        <v>1447</v>
      </c>
      <c r="B355" s="222" t="s">
        <v>13</v>
      </c>
      <c r="C355" s="222"/>
      <c r="D355" s="222" t="s">
        <v>1063</v>
      </c>
      <c r="E355" s="222" t="s">
        <v>1064</v>
      </c>
      <c r="F355" s="222"/>
      <c r="G355" s="223">
        <v>2.8571429999999998E-2</v>
      </c>
      <c r="H355" s="222">
        <v>0</v>
      </c>
      <c r="I355" s="224">
        <v>2227.2298000000001</v>
      </c>
      <c r="J355" s="224">
        <v>63.635140324613999</v>
      </c>
      <c r="K355" s="222" t="s">
        <v>1458</v>
      </c>
      <c r="L355" s="222">
        <v>2</v>
      </c>
      <c r="M355" s="222" t="s">
        <v>1460</v>
      </c>
      <c r="N355" s="222">
        <v>1</v>
      </c>
      <c r="O355" s="222">
        <v>0</v>
      </c>
      <c r="P355" s="225">
        <v>878</v>
      </c>
      <c r="Q355" s="224">
        <v>0</v>
      </c>
      <c r="R355" s="222">
        <v>8.0399999999999991</v>
      </c>
      <c r="S355" s="226" t="str">
        <f>IFERROR(_xlfn.XLOOKUP(R355,'1_Presupuesto'!$E:$E,'1_Presupuesto'!$D:$D),"")</f>
        <v>Albañilería MO</v>
      </c>
    </row>
    <row r="356" spans="1:19" ht="15" customHeight="1" x14ac:dyDescent="0.35">
      <c r="A356" s="222" t="s">
        <v>1461</v>
      </c>
      <c r="B356" s="222" t="s">
        <v>654</v>
      </c>
      <c r="C356" s="222" t="s">
        <v>719</v>
      </c>
      <c r="D356" s="222" t="s">
        <v>1057</v>
      </c>
      <c r="E356" s="222" t="s">
        <v>1058</v>
      </c>
      <c r="F356" s="222"/>
      <c r="G356" s="223">
        <v>0.27</v>
      </c>
      <c r="H356" s="222">
        <v>0.1</v>
      </c>
      <c r="I356" s="224">
        <v>7233.47</v>
      </c>
      <c r="J356" s="224">
        <v>2148.3405900000012</v>
      </c>
      <c r="K356" s="222" t="s">
        <v>1462</v>
      </c>
      <c r="L356" s="222">
        <v>1</v>
      </c>
      <c r="M356" s="222" t="s">
        <v>1463</v>
      </c>
      <c r="N356" s="222">
        <v>1</v>
      </c>
      <c r="O356" s="222">
        <v>0</v>
      </c>
      <c r="P356" s="225">
        <v>564</v>
      </c>
      <c r="Q356" s="224">
        <v>0</v>
      </c>
      <c r="R356" s="222">
        <v>8.0500000000000007</v>
      </c>
      <c r="S356" s="226" t="str">
        <f>IFERROR(_xlfn.XLOOKUP(R356,'1_Presupuesto'!$E:$E,'1_Presupuesto'!$D:$D),"")</f>
        <v>Albañilería MO</v>
      </c>
    </row>
    <row r="357" spans="1:19" ht="15" customHeight="1" x14ac:dyDescent="0.35">
      <c r="A357" s="222" t="s">
        <v>1461</v>
      </c>
      <c r="B357" s="222" t="s">
        <v>654</v>
      </c>
      <c r="C357" s="222" t="s">
        <v>719</v>
      </c>
      <c r="D357" s="222" t="s">
        <v>1051</v>
      </c>
      <c r="E357" s="222" t="s">
        <v>1052</v>
      </c>
      <c r="F357" s="222"/>
      <c r="G357" s="223">
        <v>0.03</v>
      </c>
      <c r="H357" s="222">
        <v>0.1</v>
      </c>
      <c r="I357" s="224">
        <v>31265.15</v>
      </c>
      <c r="J357" s="224">
        <v>1031.7499499999999</v>
      </c>
      <c r="K357" s="222" t="s">
        <v>1462</v>
      </c>
      <c r="L357" s="222">
        <v>2</v>
      </c>
      <c r="M357" s="222" t="s">
        <v>1464</v>
      </c>
      <c r="N357" s="222">
        <v>1</v>
      </c>
      <c r="O357" s="222">
        <v>0</v>
      </c>
      <c r="P357" s="225">
        <v>564</v>
      </c>
      <c r="Q357" s="224">
        <v>0</v>
      </c>
      <c r="R357" s="222">
        <v>8.0500000000000007</v>
      </c>
      <c r="S357" s="226" t="str">
        <f>IFERROR(_xlfn.XLOOKUP(R357,'1_Presupuesto'!$E:$E,'1_Presupuesto'!$D:$D),"")</f>
        <v>Albañilería MO</v>
      </c>
    </row>
    <row r="358" spans="1:19" ht="15" customHeight="1" x14ac:dyDescent="0.35">
      <c r="A358" s="222" t="s">
        <v>1461</v>
      </c>
      <c r="B358" s="222" t="s">
        <v>639</v>
      </c>
      <c r="C358" s="222" t="s">
        <v>646</v>
      </c>
      <c r="D358" s="222" t="s">
        <v>647</v>
      </c>
      <c r="E358" s="222" t="s">
        <v>648</v>
      </c>
      <c r="F358" s="222" t="s">
        <v>643</v>
      </c>
      <c r="G358" s="223">
        <v>0.03</v>
      </c>
      <c r="H358" s="222">
        <v>0</v>
      </c>
      <c r="I358" s="224">
        <v>49934.239999999998</v>
      </c>
      <c r="J358" s="224">
        <v>1498.0272</v>
      </c>
      <c r="K358" s="222" t="s">
        <v>1465</v>
      </c>
      <c r="L358" s="222">
        <v>1</v>
      </c>
      <c r="M358" s="222" t="s">
        <v>1466</v>
      </c>
      <c r="N358" s="222">
        <v>1</v>
      </c>
      <c r="O358" s="222">
        <v>0.03</v>
      </c>
      <c r="P358" s="225">
        <v>564</v>
      </c>
      <c r="Q358" s="224">
        <v>16.920000000000002</v>
      </c>
      <c r="R358" s="222">
        <v>8.0500000000000007</v>
      </c>
      <c r="S358" s="226" t="str">
        <f>IFERROR(_xlfn.XLOOKUP(R358,'1_Presupuesto'!$E:$E,'1_Presupuesto'!$D:$D),"")</f>
        <v>Albañilería MO</v>
      </c>
    </row>
    <row r="359" spans="1:19" ht="15" customHeight="1" x14ac:dyDescent="0.35">
      <c r="A359" s="222" t="s">
        <v>1461</v>
      </c>
      <c r="B359" s="222" t="s">
        <v>639</v>
      </c>
      <c r="C359" s="222" t="s">
        <v>646</v>
      </c>
      <c r="D359" s="222" t="s">
        <v>723</v>
      </c>
      <c r="E359" s="222" t="s">
        <v>724</v>
      </c>
      <c r="F359" s="222" t="s">
        <v>643</v>
      </c>
      <c r="G359" s="223">
        <v>6.6666669999999997E-2</v>
      </c>
      <c r="H359" s="222">
        <v>0</v>
      </c>
      <c r="I359" s="224">
        <v>75113.05</v>
      </c>
      <c r="J359" s="224">
        <v>5007.5369170434997</v>
      </c>
      <c r="K359" s="222" t="s">
        <v>1465</v>
      </c>
      <c r="L359" s="222">
        <v>2</v>
      </c>
      <c r="M359" s="222" t="s">
        <v>1467</v>
      </c>
      <c r="N359" s="222">
        <v>1</v>
      </c>
      <c r="O359" s="222">
        <v>6.6666669999999997E-2</v>
      </c>
      <c r="P359" s="225">
        <v>564</v>
      </c>
      <c r="Q359" s="224">
        <v>37.600001880000001</v>
      </c>
      <c r="R359" s="222">
        <v>8.0500000000000007</v>
      </c>
      <c r="S359" s="226" t="str">
        <f>IFERROR(_xlfn.XLOOKUP(R359,'1_Presupuesto'!$E:$E,'1_Presupuesto'!$D:$D),"")</f>
        <v>Albañilería MO</v>
      </c>
    </row>
    <row r="360" spans="1:19" ht="15" customHeight="1" x14ac:dyDescent="0.35">
      <c r="A360" s="222" t="s">
        <v>1461</v>
      </c>
      <c r="B360" s="222" t="s">
        <v>13</v>
      </c>
      <c r="C360" s="222"/>
      <c r="D360" s="222" t="s">
        <v>1070</v>
      </c>
      <c r="E360" s="222" t="s">
        <v>1071</v>
      </c>
      <c r="F360" s="222"/>
      <c r="G360" s="223">
        <v>6.6666669999999997E-2</v>
      </c>
      <c r="H360" s="222">
        <v>0</v>
      </c>
      <c r="I360" s="224">
        <v>932.18029999999999</v>
      </c>
      <c r="J360" s="224">
        <v>62.145356440600999</v>
      </c>
      <c r="K360" s="222" t="s">
        <v>1468</v>
      </c>
      <c r="L360" s="222">
        <v>1</v>
      </c>
      <c r="M360" s="222" t="s">
        <v>1469</v>
      </c>
      <c r="N360" s="222">
        <v>1</v>
      </c>
      <c r="O360" s="222">
        <v>0</v>
      </c>
      <c r="P360" s="225">
        <v>564</v>
      </c>
      <c r="Q360" s="224">
        <v>0</v>
      </c>
      <c r="R360" s="222">
        <v>8.0500000000000007</v>
      </c>
      <c r="S360" s="226" t="str">
        <f>IFERROR(_xlfn.XLOOKUP(R360,'1_Presupuesto'!$E:$E,'1_Presupuesto'!$D:$D),"")</f>
        <v>Albañilería MO</v>
      </c>
    </row>
    <row r="361" spans="1:19" ht="15" customHeight="1" x14ac:dyDescent="0.35">
      <c r="A361" s="222" t="s">
        <v>1461</v>
      </c>
      <c r="B361" s="222" t="s">
        <v>13</v>
      </c>
      <c r="C361" s="222"/>
      <c r="D361" s="222" t="s">
        <v>1063</v>
      </c>
      <c r="E361" s="222" t="s">
        <v>1064</v>
      </c>
      <c r="F361" s="222"/>
      <c r="G361" s="223">
        <v>6.6666669999999997E-2</v>
      </c>
      <c r="H361" s="222">
        <v>0</v>
      </c>
      <c r="I361" s="224">
        <v>2227.2298000000001</v>
      </c>
      <c r="J361" s="224">
        <v>148.48199409076599</v>
      </c>
      <c r="K361" s="222" t="s">
        <v>1468</v>
      </c>
      <c r="L361" s="222">
        <v>2</v>
      </c>
      <c r="M361" s="222" t="s">
        <v>1470</v>
      </c>
      <c r="N361" s="222">
        <v>1</v>
      </c>
      <c r="O361" s="222">
        <v>0</v>
      </c>
      <c r="P361" s="225">
        <v>564</v>
      </c>
      <c r="Q361" s="224">
        <v>0</v>
      </c>
      <c r="R361" s="222">
        <v>8.0500000000000007</v>
      </c>
      <c r="S361" s="226" t="str">
        <f>IFERROR(_xlfn.XLOOKUP(R361,'1_Presupuesto'!$E:$E,'1_Presupuesto'!$D:$D),"")</f>
        <v>Albañilería MO</v>
      </c>
    </row>
    <row r="362" spans="1:19" ht="15" customHeight="1" x14ac:dyDescent="0.35">
      <c r="A362" s="222" t="s">
        <v>1471</v>
      </c>
      <c r="B362" s="222" t="s">
        <v>654</v>
      </c>
      <c r="C362" s="222" t="s">
        <v>719</v>
      </c>
      <c r="D362" s="222" t="s">
        <v>1057</v>
      </c>
      <c r="E362" s="222" t="s">
        <v>1058</v>
      </c>
      <c r="F362" s="222"/>
      <c r="G362" s="223">
        <v>0.27</v>
      </c>
      <c r="H362" s="222">
        <v>0.1</v>
      </c>
      <c r="I362" s="224">
        <v>7233.47</v>
      </c>
      <c r="J362" s="224">
        <v>2148.3405900000012</v>
      </c>
      <c r="K362" s="222" t="s">
        <v>1472</v>
      </c>
      <c r="L362" s="222">
        <v>1</v>
      </c>
      <c r="M362" s="222" t="s">
        <v>1473</v>
      </c>
      <c r="N362" s="222">
        <v>1</v>
      </c>
      <c r="O362" s="222">
        <v>0</v>
      </c>
      <c r="P362" s="225">
        <v>438</v>
      </c>
      <c r="Q362" s="224">
        <v>0</v>
      </c>
      <c r="R362" s="222">
        <v>8.06</v>
      </c>
      <c r="S362" s="226" t="str">
        <f>IFERROR(_xlfn.XLOOKUP(R362,'1_Presupuesto'!$E:$E,'1_Presupuesto'!$D:$D),"")</f>
        <v>Albañilería MO</v>
      </c>
    </row>
    <row r="363" spans="1:19" ht="15" customHeight="1" x14ac:dyDescent="0.35">
      <c r="A363" s="222" t="s">
        <v>1471</v>
      </c>
      <c r="B363" s="222" t="s">
        <v>654</v>
      </c>
      <c r="C363" s="222" t="s">
        <v>719</v>
      </c>
      <c r="D363" s="222" t="s">
        <v>1051</v>
      </c>
      <c r="E363" s="222" t="s">
        <v>1052</v>
      </c>
      <c r="F363" s="222"/>
      <c r="G363" s="223">
        <v>0.03</v>
      </c>
      <c r="H363" s="222">
        <v>0.1</v>
      </c>
      <c r="I363" s="224">
        <v>31265.15</v>
      </c>
      <c r="J363" s="224">
        <v>1031.7499499999999</v>
      </c>
      <c r="K363" s="222" t="s">
        <v>1472</v>
      </c>
      <c r="L363" s="222">
        <v>2</v>
      </c>
      <c r="M363" s="222" t="s">
        <v>1474</v>
      </c>
      <c r="N363" s="222">
        <v>1</v>
      </c>
      <c r="O363" s="222">
        <v>0</v>
      </c>
      <c r="P363" s="225">
        <v>438</v>
      </c>
      <c r="Q363" s="224">
        <v>0</v>
      </c>
      <c r="R363" s="222">
        <v>8.06</v>
      </c>
      <c r="S363" s="226" t="str">
        <f>IFERROR(_xlfn.XLOOKUP(R363,'1_Presupuesto'!$E:$E,'1_Presupuesto'!$D:$D),"")</f>
        <v>Albañilería MO</v>
      </c>
    </row>
    <row r="364" spans="1:19" ht="15" customHeight="1" x14ac:dyDescent="0.35">
      <c r="A364" s="222" t="s">
        <v>1471</v>
      </c>
      <c r="B364" s="222" t="s">
        <v>639</v>
      </c>
      <c r="C364" s="222" t="s">
        <v>646</v>
      </c>
      <c r="D364" s="222" t="s">
        <v>647</v>
      </c>
      <c r="E364" s="222" t="s">
        <v>648</v>
      </c>
      <c r="F364" s="222" t="s">
        <v>643</v>
      </c>
      <c r="G364" s="223">
        <v>0.03</v>
      </c>
      <c r="H364" s="222">
        <v>0</v>
      </c>
      <c r="I364" s="224">
        <v>49934.239999999998</v>
      </c>
      <c r="J364" s="224">
        <v>1498.0272</v>
      </c>
      <c r="K364" s="222" t="s">
        <v>1475</v>
      </c>
      <c r="L364" s="222">
        <v>1</v>
      </c>
      <c r="M364" s="222" t="s">
        <v>1476</v>
      </c>
      <c r="N364" s="222">
        <v>1</v>
      </c>
      <c r="O364" s="222">
        <v>0.03</v>
      </c>
      <c r="P364" s="225">
        <v>438</v>
      </c>
      <c r="Q364" s="224">
        <v>13.14</v>
      </c>
      <c r="R364" s="222">
        <v>8.06</v>
      </c>
      <c r="S364" s="226" t="str">
        <f>IFERROR(_xlfn.XLOOKUP(R364,'1_Presupuesto'!$E:$E,'1_Presupuesto'!$D:$D),"")</f>
        <v>Albañilería MO</v>
      </c>
    </row>
    <row r="365" spans="1:19" ht="15" customHeight="1" x14ac:dyDescent="0.35">
      <c r="A365" s="222" t="s">
        <v>1471</v>
      </c>
      <c r="B365" s="222" t="s">
        <v>639</v>
      </c>
      <c r="C365" s="222" t="s">
        <v>646</v>
      </c>
      <c r="D365" s="222" t="s">
        <v>723</v>
      </c>
      <c r="E365" s="222" t="s">
        <v>724</v>
      </c>
      <c r="F365" s="222" t="s">
        <v>643</v>
      </c>
      <c r="G365" s="223">
        <v>6.6666669999999997E-2</v>
      </c>
      <c r="H365" s="222">
        <v>0</v>
      </c>
      <c r="I365" s="224">
        <v>75113.05</v>
      </c>
      <c r="J365" s="224">
        <v>5007.5369170434997</v>
      </c>
      <c r="K365" s="222" t="s">
        <v>1475</v>
      </c>
      <c r="L365" s="222">
        <v>2</v>
      </c>
      <c r="M365" s="222" t="s">
        <v>1477</v>
      </c>
      <c r="N365" s="222">
        <v>1</v>
      </c>
      <c r="O365" s="222">
        <v>6.6666669999999997E-2</v>
      </c>
      <c r="P365" s="225">
        <v>438</v>
      </c>
      <c r="Q365" s="224">
        <v>29.200001459999999</v>
      </c>
      <c r="R365" s="222">
        <v>8.06</v>
      </c>
      <c r="S365" s="226" t="str">
        <f>IFERROR(_xlfn.XLOOKUP(R365,'1_Presupuesto'!$E:$E,'1_Presupuesto'!$D:$D),"")</f>
        <v>Albañilería MO</v>
      </c>
    </row>
    <row r="366" spans="1:19" ht="15" customHeight="1" x14ac:dyDescent="0.35">
      <c r="A366" s="222" t="s">
        <v>1471</v>
      </c>
      <c r="B366" s="222" t="s">
        <v>13</v>
      </c>
      <c r="C366" s="222"/>
      <c r="D366" s="222" t="s">
        <v>1070</v>
      </c>
      <c r="E366" s="222" t="s">
        <v>1071</v>
      </c>
      <c r="F366" s="222"/>
      <c r="G366" s="223">
        <v>6.6666669999999997E-2</v>
      </c>
      <c r="H366" s="222">
        <v>0</v>
      </c>
      <c r="I366" s="224">
        <v>932.18029999999999</v>
      </c>
      <c r="J366" s="224">
        <v>62.145356440600999</v>
      </c>
      <c r="K366" s="222" t="s">
        <v>1478</v>
      </c>
      <c r="L366" s="222">
        <v>1</v>
      </c>
      <c r="M366" s="222" t="s">
        <v>1479</v>
      </c>
      <c r="N366" s="222">
        <v>1</v>
      </c>
      <c r="O366" s="222">
        <v>0</v>
      </c>
      <c r="P366" s="225">
        <v>438</v>
      </c>
      <c r="Q366" s="224">
        <v>0</v>
      </c>
      <c r="R366" s="222">
        <v>8.06</v>
      </c>
      <c r="S366" s="226" t="str">
        <f>IFERROR(_xlfn.XLOOKUP(R366,'1_Presupuesto'!$E:$E,'1_Presupuesto'!$D:$D),"")</f>
        <v>Albañilería MO</v>
      </c>
    </row>
    <row r="367" spans="1:19" ht="15" customHeight="1" x14ac:dyDescent="0.35">
      <c r="A367" s="222" t="s">
        <v>1471</v>
      </c>
      <c r="B367" s="222" t="s">
        <v>13</v>
      </c>
      <c r="C367" s="222"/>
      <c r="D367" s="222" t="s">
        <v>1063</v>
      </c>
      <c r="E367" s="222" t="s">
        <v>1064</v>
      </c>
      <c r="F367" s="222"/>
      <c r="G367" s="223">
        <v>6.6666669999999997E-2</v>
      </c>
      <c r="H367" s="222">
        <v>0</v>
      </c>
      <c r="I367" s="224">
        <v>2227.2298000000001</v>
      </c>
      <c r="J367" s="224">
        <v>148.48199409076599</v>
      </c>
      <c r="K367" s="222" t="s">
        <v>1478</v>
      </c>
      <c r="L367" s="222">
        <v>2</v>
      </c>
      <c r="M367" s="222" t="s">
        <v>1480</v>
      </c>
      <c r="N367" s="222">
        <v>1</v>
      </c>
      <c r="O367" s="222">
        <v>0</v>
      </c>
      <c r="P367" s="225">
        <v>438</v>
      </c>
      <c r="Q367" s="224">
        <v>0</v>
      </c>
      <c r="R367" s="222">
        <v>8.06</v>
      </c>
      <c r="S367" s="226" t="str">
        <f>IFERROR(_xlfn.XLOOKUP(R367,'1_Presupuesto'!$E:$E,'1_Presupuesto'!$D:$D),"")</f>
        <v>Albañilería MO</v>
      </c>
    </row>
    <row r="368" spans="1:19" ht="15" customHeight="1" x14ac:dyDescent="0.35">
      <c r="A368" s="222" t="s">
        <v>1481</v>
      </c>
      <c r="B368" s="222" t="s">
        <v>654</v>
      </c>
      <c r="C368" s="222" t="s">
        <v>640</v>
      </c>
      <c r="D368" s="222" t="s">
        <v>1183</v>
      </c>
      <c r="E368" s="222" t="s">
        <v>1184</v>
      </c>
      <c r="F368" s="222"/>
      <c r="G368" s="223">
        <v>7</v>
      </c>
      <c r="H368" s="222">
        <v>0</v>
      </c>
      <c r="I368" s="224">
        <v>125000</v>
      </c>
      <c r="J368" s="224">
        <v>875000</v>
      </c>
      <c r="K368" s="222" t="s">
        <v>1482</v>
      </c>
      <c r="L368" s="222">
        <v>1</v>
      </c>
      <c r="M368" s="222" t="s">
        <v>1483</v>
      </c>
      <c r="N368" s="222">
        <v>1</v>
      </c>
      <c r="O368" s="222">
        <v>0</v>
      </c>
      <c r="P368" s="225">
        <v>1</v>
      </c>
      <c r="Q368" s="224">
        <v>0</v>
      </c>
      <c r="R368" s="222">
        <v>8.07</v>
      </c>
      <c r="S368" s="226" t="str">
        <f>IFERROR(_xlfn.XLOOKUP(R368,'1_Presupuesto'!$E:$E,'1_Presupuesto'!$D:$D),"")</f>
        <v>Albañilería MO</v>
      </c>
    </row>
    <row r="369" spans="1:19" ht="15" customHeight="1" x14ac:dyDescent="0.35">
      <c r="A369" s="222" t="s">
        <v>1481</v>
      </c>
      <c r="B369" s="222" t="s">
        <v>654</v>
      </c>
      <c r="C369" s="222" t="s">
        <v>640</v>
      </c>
      <c r="D369" s="222" t="s">
        <v>1484</v>
      </c>
      <c r="E369" s="222" t="s">
        <v>1485</v>
      </c>
      <c r="F369" s="222"/>
      <c r="G369" s="223">
        <v>55</v>
      </c>
      <c r="H369" s="222">
        <v>0</v>
      </c>
      <c r="I369" s="224">
        <v>3180.0904999999998</v>
      </c>
      <c r="J369" s="224">
        <v>174904.97750000001</v>
      </c>
      <c r="K369" s="222" t="s">
        <v>1482</v>
      </c>
      <c r="L369" s="222">
        <v>2</v>
      </c>
      <c r="M369" s="222" t="s">
        <v>1486</v>
      </c>
      <c r="N369" s="222">
        <v>1</v>
      </c>
      <c r="O369" s="222">
        <v>0</v>
      </c>
      <c r="P369" s="225">
        <v>1</v>
      </c>
      <c r="Q369" s="224">
        <v>0</v>
      </c>
      <c r="R369" s="222">
        <v>8.07</v>
      </c>
      <c r="S369" s="226" t="str">
        <f>IFERROR(_xlfn.XLOOKUP(R369,'1_Presupuesto'!$E:$E,'1_Presupuesto'!$D:$D),"")</f>
        <v>Albañilería MO</v>
      </c>
    </row>
    <row r="370" spans="1:19" ht="15" customHeight="1" x14ac:dyDescent="0.35">
      <c r="A370" s="222" t="s">
        <v>1481</v>
      </c>
      <c r="B370" s="222" t="s">
        <v>654</v>
      </c>
      <c r="C370" s="222" t="s">
        <v>640</v>
      </c>
      <c r="D370" s="222" t="s">
        <v>1187</v>
      </c>
      <c r="E370" s="222" t="s">
        <v>701</v>
      </c>
      <c r="F370" s="222"/>
      <c r="G370" s="223">
        <v>1</v>
      </c>
      <c r="H370" s="222">
        <v>0</v>
      </c>
      <c r="I370" s="224">
        <v>26322.68</v>
      </c>
      <c r="J370" s="224">
        <v>26322.68</v>
      </c>
      <c r="K370" s="222" t="s">
        <v>1482</v>
      </c>
      <c r="L370" s="222">
        <v>3</v>
      </c>
      <c r="M370" s="222" t="s">
        <v>1487</v>
      </c>
      <c r="N370" s="222">
        <v>1</v>
      </c>
      <c r="O370" s="222">
        <v>0</v>
      </c>
      <c r="P370" s="225">
        <v>1</v>
      </c>
      <c r="Q370" s="224">
        <v>0</v>
      </c>
      <c r="R370" s="222">
        <v>8.07</v>
      </c>
      <c r="S370" s="226" t="str">
        <f>IFERROR(_xlfn.XLOOKUP(R370,'1_Presupuesto'!$E:$E,'1_Presupuesto'!$D:$D),"")</f>
        <v>Albañilería MO</v>
      </c>
    </row>
    <row r="371" spans="1:19" ht="15" customHeight="1" x14ac:dyDescent="0.35">
      <c r="A371" s="222" t="s">
        <v>1481</v>
      </c>
      <c r="B371" s="222" t="s">
        <v>639</v>
      </c>
      <c r="C371" s="222" t="s">
        <v>646</v>
      </c>
      <c r="D371" s="222" t="s">
        <v>683</v>
      </c>
      <c r="E371" s="222" t="s">
        <v>684</v>
      </c>
      <c r="F371" s="222" t="s">
        <v>643</v>
      </c>
      <c r="G371" s="223">
        <v>5</v>
      </c>
      <c r="H371" s="222">
        <v>0</v>
      </c>
      <c r="I371" s="224">
        <v>65360.25</v>
      </c>
      <c r="J371" s="224">
        <v>326801.25</v>
      </c>
      <c r="K371" s="222" t="s">
        <v>1488</v>
      </c>
      <c r="L371" s="222">
        <v>1</v>
      </c>
      <c r="M371" s="222" t="s">
        <v>1489</v>
      </c>
      <c r="N371" s="222">
        <v>1</v>
      </c>
      <c r="O371" s="222">
        <v>5</v>
      </c>
      <c r="P371" s="225">
        <v>1</v>
      </c>
      <c r="Q371" s="224">
        <v>5</v>
      </c>
      <c r="R371" s="222">
        <v>8.07</v>
      </c>
      <c r="S371" s="226" t="str">
        <f>IFERROR(_xlfn.XLOOKUP(R371,'1_Presupuesto'!$E:$E,'1_Presupuesto'!$D:$D),"")</f>
        <v>Albañilería MO</v>
      </c>
    </row>
    <row r="372" spans="1:19" ht="15" customHeight="1" x14ac:dyDescent="0.35">
      <c r="A372" s="222" t="s">
        <v>1481</v>
      </c>
      <c r="B372" s="222" t="s">
        <v>639</v>
      </c>
      <c r="C372" s="222" t="s">
        <v>646</v>
      </c>
      <c r="D372" s="222" t="s">
        <v>647</v>
      </c>
      <c r="E372" s="222" t="s">
        <v>648</v>
      </c>
      <c r="F372" s="222" t="s">
        <v>643</v>
      </c>
      <c r="G372" s="223">
        <v>10</v>
      </c>
      <c r="H372" s="222">
        <v>0</v>
      </c>
      <c r="I372" s="224">
        <v>49934.239999999998</v>
      </c>
      <c r="J372" s="224">
        <v>499342.4</v>
      </c>
      <c r="K372" s="222" t="s">
        <v>1488</v>
      </c>
      <c r="L372" s="222">
        <v>2</v>
      </c>
      <c r="M372" s="222" t="s">
        <v>1490</v>
      </c>
      <c r="N372" s="222">
        <v>1</v>
      </c>
      <c r="O372" s="222">
        <v>10</v>
      </c>
      <c r="P372" s="225">
        <v>1</v>
      </c>
      <c r="Q372" s="224">
        <v>10</v>
      </c>
      <c r="R372" s="222">
        <v>8.07</v>
      </c>
      <c r="S372" s="226" t="str">
        <f>IFERROR(_xlfn.XLOOKUP(R372,'1_Presupuesto'!$E:$E,'1_Presupuesto'!$D:$D),"")</f>
        <v>Albañilería MO</v>
      </c>
    </row>
    <row r="373" spans="1:19" ht="15" customHeight="1" x14ac:dyDescent="0.35">
      <c r="A373" s="222" t="s">
        <v>1481</v>
      </c>
      <c r="B373" s="222" t="s">
        <v>13</v>
      </c>
      <c r="C373" s="222"/>
      <c r="D373" s="222" t="s">
        <v>1491</v>
      </c>
      <c r="E373" s="222" t="s">
        <v>1492</v>
      </c>
      <c r="F373" s="222"/>
      <c r="G373" s="223">
        <v>1</v>
      </c>
      <c r="H373" s="222">
        <v>0</v>
      </c>
      <c r="I373" s="224">
        <v>28535.569100000001</v>
      </c>
      <c r="J373" s="224">
        <v>28535.569100000001</v>
      </c>
      <c r="K373" s="222" t="s">
        <v>1493</v>
      </c>
      <c r="L373" s="222">
        <v>1</v>
      </c>
      <c r="M373" s="222" t="s">
        <v>1494</v>
      </c>
      <c r="N373" s="222">
        <v>1</v>
      </c>
      <c r="O373" s="222">
        <v>0</v>
      </c>
      <c r="P373" s="225">
        <v>1</v>
      </c>
      <c r="Q373" s="224">
        <v>0</v>
      </c>
      <c r="R373" s="222">
        <v>8.07</v>
      </c>
      <c r="S373" s="226" t="str">
        <f>IFERROR(_xlfn.XLOOKUP(R373,'1_Presupuesto'!$E:$E,'1_Presupuesto'!$D:$D),"")</f>
        <v>Albañilería MO</v>
      </c>
    </row>
    <row r="374" spans="1:19" ht="15" customHeight="1" x14ac:dyDescent="0.35">
      <c r="A374" s="222" t="s">
        <v>1495</v>
      </c>
      <c r="B374" s="222" t="s">
        <v>654</v>
      </c>
      <c r="C374" s="222" t="s">
        <v>640</v>
      </c>
      <c r="D374" s="222" t="s">
        <v>1183</v>
      </c>
      <c r="E374" s="222" t="s">
        <v>1184</v>
      </c>
      <c r="F374" s="222"/>
      <c r="G374" s="223">
        <v>1.056</v>
      </c>
      <c r="H374" s="222">
        <v>0</v>
      </c>
      <c r="I374" s="224">
        <v>125000</v>
      </c>
      <c r="J374" s="224">
        <v>132000</v>
      </c>
      <c r="K374" s="222" t="s">
        <v>1496</v>
      </c>
      <c r="L374" s="222">
        <v>1</v>
      </c>
      <c r="M374" s="222" t="s">
        <v>1497</v>
      </c>
      <c r="N374" s="222">
        <v>1</v>
      </c>
      <c r="O374" s="222">
        <v>0</v>
      </c>
      <c r="P374" s="225">
        <v>1</v>
      </c>
      <c r="Q374" s="224">
        <v>0</v>
      </c>
      <c r="R374" s="222">
        <v>8.08</v>
      </c>
      <c r="S374" s="226" t="str">
        <f>IFERROR(_xlfn.XLOOKUP(R374,'1_Presupuesto'!$E:$E,'1_Presupuesto'!$D:$D),"")</f>
        <v>Albañilería MO</v>
      </c>
    </row>
    <row r="375" spans="1:19" ht="15" customHeight="1" x14ac:dyDescent="0.35">
      <c r="A375" s="222" t="s">
        <v>1495</v>
      </c>
      <c r="B375" s="222" t="s">
        <v>654</v>
      </c>
      <c r="C375" s="222" t="s">
        <v>640</v>
      </c>
      <c r="D375" s="222" t="s">
        <v>1484</v>
      </c>
      <c r="E375" s="222" t="s">
        <v>1485</v>
      </c>
      <c r="F375" s="222"/>
      <c r="G375" s="223">
        <v>17.84</v>
      </c>
      <c r="H375" s="222">
        <v>0</v>
      </c>
      <c r="I375" s="224">
        <v>3180.0904999999998</v>
      </c>
      <c r="J375" s="224">
        <v>56732.814519999993</v>
      </c>
      <c r="K375" s="222" t="s">
        <v>1496</v>
      </c>
      <c r="L375" s="222">
        <v>2</v>
      </c>
      <c r="M375" s="222" t="s">
        <v>1498</v>
      </c>
      <c r="N375" s="222">
        <v>1</v>
      </c>
      <c r="O375" s="222">
        <v>0</v>
      </c>
      <c r="P375" s="225">
        <v>1</v>
      </c>
      <c r="Q375" s="224">
        <v>0</v>
      </c>
      <c r="R375" s="222">
        <v>8.08</v>
      </c>
      <c r="S375" s="226" t="str">
        <f>IFERROR(_xlfn.XLOOKUP(R375,'1_Presupuesto'!$E:$E,'1_Presupuesto'!$D:$D),"")</f>
        <v>Albañilería MO</v>
      </c>
    </row>
    <row r="376" spans="1:19" ht="15" customHeight="1" x14ac:dyDescent="0.35">
      <c r="A376" s="222" t="s">
        <v>1495</v>
      </c>
      <c r="B376" s="222" t="s">
        <v>654</v>
      </c>
      <c r="C376" s="222" t="s">
        <v>640</v>
      </c>
      <c r="D376" s="222" t="s">
        <v>1187</v>
      </c>
      <c r="E376" s="222" t="s">
        <v>701</v>
      </c>
      <c r="F376" s="222"/>
      <c r="G376" s="223">
        <v>1</v>
      </c>
      <c r="H376" s="222">
        <v>0</v>
      </c>
      <c r="I376" s="224">
        <v>26322.68</v>
      </c>
      <c r="J376" s="224">
        <v>26322.68</v>
      </c>
      <c r="K376" s="222" t="s">
        <v>1496</v>
      </c>
      <c r="L376" s="222">
        <v>3</v>
      </c>
      <c r="M376" s="222" t="s">
        <v>1499</v>
      </c>
      <c r="N376" s="222">
        <v>1</v>
      </c>
      <c r="O376" s="222">
        <v>0</v>
      </c>
      <c r="P376" s="225">
        <v>1</v>
      </c>
      <c r="Q376" s="224">
        <v>0</v>
      </c>
      <c r="R376" s="222">
        <v>8.08</v>
      </c>
      <c r="S376" s="226" t="str">
        <f>IFERROR(_xlfn.XLOOKUP(R376,'1_Presupuesto'!$E:$E,'1_Presupuesto'!$D:$D),"")</f>
        <v>Albañilería MO</v>
      </c>
    </row>
    <row r="377" spans="1:19" ht="15" customHeight="1" x14ac:dyDescent="0.35">
      <c r="A377" s="222" t="s">
        <v>1495</v>
      </c>
      <c r="B377" s="222" t="s">
        <v>639</v>
      </c>
      <c r="C377" s="222" t="s">
        <v>646</v>
      </c>
      <c r="D377" s="222" t="s">
        <v>683</v>
      </c>
      <c r="E377" s="222" t="s">
        <v>684</v>
      </c>
      <c r="F377" s="222" t="s">
        <v>643</v>
      </c>
      <c r="G377" s="223">
        <v>1</v>
      </c>
      <c r="H377" s="222">
        <v>0</v>
      </c>
      <c r="I377" s="224">
        <v>65360.25</v>
      </c>
      <c r="J377" s="224">
        <v>65360.25</v>
      </c>
      <c r="K377" s="222" t="s">
        <v>1500</v>
      </c>
      <c r="L377" s="222">
        <v>1</v>
      </c>
      <c r="M377" s="222" t="s">
        <v>1501</v>
      </c>
      <c r="N377" s="222">
        <v>1</v>
      </c>
      <c r="O377" s="222">
        <v>1</v>
      </c>
      <c r="P377" s="225">
        <v>1</v>
      </c>
      <c r="Q377" s="224">
        <v>1</v>
      </c>
      <c r="R377" s="222">
        <v>8.08</v>
      </c>
      <c r="S377" s="226" t="str">
        <f>IFERROR(_xlfn.XLOOKUP(R377,'1_Presupuesto'!$E:$E,'1_Presupuesto'!$D:$D),"")</f>
        <v>Albañilería MO</v>
      </c>
    </row>
    <row r="378" spans="1:19" ht="15" customHeight="1" x14ac:dyDescent="0.35">
      <c r="A378" s="222" t="s">
        <v>1495</v>
      </c>
      <c r="B378" s="222" t="s">
        <v>639</v>
      </c>
      <c r="C378" s="222" t="s">
        <v>646</v>
      </c>
      <c r="D378" s="222" t="s">
        <v>647</v>
      </c>
      <c r="E378" s="222" t="s">
        <v>648</v>
      </c>
      <c r="F378" s="222" t="s">
        <v>643</v>
      </c>
      <c r="G378" s="223">
        <v>2</v>
      </c>
      <c r="H378" s="222">
        <v>0</v>
      </c>
      <c r="I378" s="224">
        <v>49934.239999999998</v>
      </c>
      <c r="J378" s="224">
        <v>99868.479999999996</v>
      </c>
      <c r="K378" s="222" t="s">
        <v>1500</v>
      </c>
      <c r="L378" s="222">
        <v>2</v>
      </c>
      <c r="M378" s="222" t="s">
        <v>1502</v>
      </c>
      <c r="N378" s="222">
        <v>1</v>
      </c>
      <c r="O378" s="222">
        <v>2</v>
      </c>
      <c r="P378" s="225">
        <v>1</v>
      </c>
      <c r="Q378" s="224">
        <v>2</v>
      </c>
      <c r="R378" s="222">
        <v>8.08</v>
      </c>
      <c r="S378" s="226" t="str">
        <f>IFERROR(_xlfn.XLOOKUP(R378,'1_Presupuesto'!$E:$E,'1_Presupuesto'!$D:$D),"")</f>
        <v>Albañilería MO</v>
      </c>
    </row>
    <row r="379" spans="1:19" ht="15" customHeight="1" x14ac:dyDescent="0.35">
      <c r="A379" s="222" t="s">
        <v>1495</v>
      </c>
      <c r="B379" s="222" t="s">
        <v>13</v>
      </c>
      <c r="C379" s="222"/>
      <c r="D379" s="222" t="s">
        <v>1503</v>
      </c>
      <c r="E379" s="222" t="s">
        <v>1504</v>
      </c>
      <c r="F379" s="222"/>
      <c r="G379" s="223">
        <v>1</v>
      </c>
      <c r="H379" s="222">
        <v>0</v>
      </c>
      <c r="I379" s="224">
        <v>5704.2632999999996</v>
      </c>
      <c r="J379" s="224">
        <v>5704.2632999999996</v>
      </c>
      <c r="K379" s="222" t="s">
        <v>1505</v>
      </c>
      <c r="L379" s="222">
        <v>1</v>
      </c>
      <c r="M379" s="222" t="s">
        <v>1506</v>
      </c>
      <c r="N379" s="222">
        <v>1</v>
      </c>
      <c r="O379" s="222">
        <v>0</v>
      </c>
      <c r="P379" s="225">
        <v>1</v>
      </c>
      <c r="Q379" s="224">
        <v>0</v>
      </c>
      <c r="R379" s="222">
        <v>8.08</v>
      </c>
      <c r="S379" s="226" t="str">
        <f>IFERROR(_xlfn.XLOOKUP(R379,'1_Presupuesto'!$E:$E,'1_Presupuesto'!$D:$D),"")</f>
        <v>Albañilería MO</v>
      </c>
    </row>
    <row r="380" spans="1:19" ht="15" customHeight="1" x14ac:dyDescent="0.35">
      <c r="A380" s="222" t="s">
        <v>1507</v>
      </c>
      <c r="B380" s="222" t="s">
        <v>654</v>
      </c>
      <c r="C380" s="222" t="s">
        <v>719</v>
      </c>
      <c r="D380" s="222" t="s">
        <v>1508</v>
      </c>
      <c r="E380" s="222" t="s">
        <v>1509</v>
      </c>
      <c r="F380" s="222"/>
      <c r="G380" s="223">
        <v>53.328000000000003</v>
      </c>
      <c r="H380" s="222">
        <v>0</v>
      </c>
      <c r="I380" s="224">
        <v>3816.1086</v>
      </c>
      <c r="J380" s="224">
        <v>203505.43942079999</v>
      </c>
      <c r="K380" s="222" t="s">
        <v>1510</v>
      </c>
      <c r="L380" s="222">
        <v>1</v>
      </c>
      <c r="M380" s="222" t="s">
        <v>1511</v>
      </c>
      <c r="N380" s="222">
        <v>1</v>
      </c>
      <c r="O380" s="222">
        <v>0</v>
      </c>
      <c r="P380" s="225">
        <v>1</v>
      </c>
      <c r="Q380" s="224">
        <v>0</v>
      </c>
      <c r="R380" s="222">
        <v>9.01</v>
      </c>
      <c r="S380" s="226" t="str">
        <f>IFERROR(_xlfn.XLOOKUP(R380,'1_Presupuesto'!$E:$E,'1_Presupuesto'!$D:$D),"")</f>
        <v>Albañilería MO</v>
      </c>
    </row>
    <row r="381" spans="1:19" ht="15" customHeight="1" x14ac:dyDescent="0.35">
      <c r="A381" s="222" t="s">
        <v>1507</v>
      </c>
      <c r="B381" s="222" t="s">
        <v>639</v>
      </c>
      <c r="C381" s="222" t="s">
        <v>646</v>
      </c>
      <c r="D381" s="222" t="s">
        <v>683</v>
      </c>
      <c r="E381" s="222" t="s">
        <v>684</v>
      </c>
      <c r="F381" s="222" t="s">
        <v>643</v>
      </c>
      <c r="G381" s="223">
        <v>12</v>
      </c>
      <c r="H381" s="222">
        <v>0</v>
      </c>
      <c r="I381" s="224">
        <v>65360.25</v>
      </c>
      <c r="J381" s="224">
        <v>784323</v>
      </c>
      <c r="K381" s="222" t="s">
        <v>1512</v>
      </c>
      <c r="L381" s="222">
        <v>1</v>
      </c>
      <c r="M381" s="222" t="s">
        <v>1513</v>
      </c>
      <c r="N381" s="222">
        <v>1</v>
      </c>
      <c r="O381" s="222">
        <v>12</v>
      </c>
      <c r="P381" s="225">
        <v>1</v>
      </c>
      <c r="Q381" s="224">
        <v>12</v>
      </c>
      <c r="R381" s="222">
        <v>9.01</v>
      </c>
      <c r="S381" s="226" t="str">
        <f>IFERROR(_xlfn.XLOOKUP(R381,'1_Presupuesto'!$E:$E,'1_Presupuesto'!$D:$D),"")</f>
        <v>Albañilería MO</v>
      </c>
    </row>
    <row r="382" spans="1:19" ht="15" customHeight="1" x14ac:dyDescent="0.35">
      <c r="A382" s="222" t="s">
        <v>1507</v>
      </c>
      <c r="B382" s="222" t="s">
        <v>639</v>
      </c>
      <c r="C382" s="222" t="s">
        <v>646</v>
      </c>
      <c r="D382" s="222" t="s">
        <v>647</v>
      </c>
      <c r="E382" s="222" t="s">
        <v>648</v>
      </c>
      <c r="F382" s="222" t="s">
        <v>643</v>
      </c>
      <c r="G382" s="223">
        <v>12</v>
      </c>
      <c r="H382" s="222">
        <v>0</v>
      </c>
      <c r="I382" s="224">
        <v>49934.239999999998</v>
      </c>
      <c r="J382" s="224">
        <v>599210.88</v>
      </c>
      <c r="K382" s="222" t="s">
        <v>1512</v>
      </c>
      <c r="L382" s="222">
        <v>2</v>
      </c>
      <c r="M382" s="222" t="s">
        <v>1514</v>
      </c>
      <c r="N382" s="222">
        <v>1</v>
      </c>
      <c r="O382" s="222">
        <v>12</v>
      </c>
      <c r="P382" s="225">
        <v>1</v>
      </c>
      <c r="Q382" s="224">
        <v>12</v>
      </c>
      <c r="R382" s="222">
        <v>9.01</v>
      </c>
      <c r="S382" s="226" t="str">
        <f>IFERROR(_xlfn.XLOOKUP(R382,'1_Presupuesto'!$E:$E,'1_Presupuesto'!$D:$D),"")</f>
        <v>Albañilería MO</v>
      </c>
    </row>
    <row r="383" spans="1:19" ht="15" customHeight="1" x14ac:dyDescent="0.35">
      <c r="A383" s="222" t="s">
        <v>1507</v>
      </c>
      <c r="B383" s="222" t="s">
        <v>13</v>
      </c>
      <c r="C383" s="222"/>
      <c r="D383" s="222" t="s">
        <v>1515</v>
      </c>
      <c r="E383" s="222" t="s">
        <v>1516</v>
      </c>
      <c r="F383" s="222"/>
      <c r="G383" s="223">
        <v>1</v>
      </c>
      <c r="H383" s="222">
        <v>0</v>
      </c>
      <c r="I383" s="224">
        <v>23805.589</v>
      </c>
      <c r="J383" s="224">
        <v>23805.589</v>
      </c>
      <c r="K383" s="222" t="s">
        <v>1517</v>
      </c>
      <c r="L383" s="222">
        <v>1</v>
      </c>
      <c r="M383" s="222" t="s">
        <v>1518</v>
      </c>
      <c r="N383" s="222">
        <v>1</v>
      </c>
      <c r="O383" s="222">
        <v>0</v>
      </c>
      <c r="P383" s="225">
        <v>1</v>
      </c>
      <c r="Q383" s="224">
        <v>0</v>
      </c>
      <c r="R383" s="222">
        <v>9.01</v>
      </c>
      <c r="S383" s="226" t="str">
        <f>IFERROR(_xlfn.XLOOKUP(R383,'1_Presupuesto'!$E:$E,'1_Presupuesto'!$D:$D),"")</f>
        <v>Albañilería MO</v>
      </c>
    </row>
    <row r="384" spans="1:19" ht="15" customHeight="1" x14ac:dyDescent="0.35">
      <c r="A384" s="222" t="s">
        <v>1519</v>
      </c>
      <c r="B384" s="222" t="s">
        <v>654</v>
      </c>
      <c r="C384" s="222" t="s">
        <v>640</v>
      </c>
      <c r="D384" s="222" t="s">
        <v>1520</v>
      </c>
      <c r="E384" s="222" t="s">
        <v>1521</v>
      </c>
      <c r="F384" s="222"/>
      <c r="G384" s="223">
        <v>0.18852458999999999</v>
      </c>
      <c r="H384" s="222">
        <v>0</v>
      </c>
      <c r="I384" s="224">
        <v>10464.9835</v>
      </c>
      <c r="J384" s="224">
        <v>1972.9067236942651</v>
      </c>
      <c r="K384" s="222" t="s">
        <v>1522</v>
      </c>
      <c r="L384" s="222">
        <v>1</v>
      </c>
      <c r="M384" s="222" t="s">
        <v>1523</v>
      </c>
      <c r="N384" s="222">
        <v>1</v>
      </c>
      <c r="O384" s="222">
        <v>0</v>
      </c>
      <c r="P384" s="225">
        <v>122</v>
      </c>
      <c r="Q384" s="224">
        <v>0</v>
      </c>
      <c r="R384" s="222">
        <v>9.02</v>
      </c>
      <c r="S384" s="226" t="str">
        <f>IFERROR(_xlfn.XLOOKUP(R384,'1_Presupuesto'!$E:$E,'1_Presupuesto'!$D:$D),"")</f>
        <v>Albañilería MO</v>
      </c>
    </row>
    <row r="385" spans="1:19" ht="15" customHeight="1" x14ac:dyDescent="0.35">
      <c r="A385" s="222" t="s">
        <v>1519</v>
      </c>
      <c r="B385" s="222" t="s">
        <v>654</v>
      </c>
      <c r="C385" s="222" t="s">
        <v>640</v>
      </c>
      <c r="D385" s="222" t="s">
        <v>1524</v>
      </c>
      <c r="E385" s="222" t="s">
        <v>1525</v>
      </c>
      <c r="F385" s="222"/>
      <c r="G385" s="223">
        <v>1.6393439999999999E-2</v>
      </c>
      <c r="H385" s="222">
        <v>0</v>
      </c>
      <c r="I385" s="224">
        <v>12396.6942</v>
      </c>
      <c r="J385" s="224">
        <v>203.224462566048</v>
      </c>
      <c r="K385" s="222" t="s">
        <v>1522</v>
      </c>
      <c r="L385" s="222">
        <v>2</v>
      </c>
      <c r="M385" s="222" t="s">
        <v>1526</v>
      </c>
      <c r="N385" s="222">
        <v>1</v>
      </c>
      <c r="O385" s="222">
        <v>0</v>
      </c>
      <c r="P385" s="225">
        <v>122</v>
      </c>
      <c r="Q385" s="224">
        <v>0</v>
      </c>
      <c r="R385" s="222">
        <v>9.02</v>
      </c>
      <c r="S385" s="226" t="str">
        <f>IFERROR(_xlfn.XLOOKUP(R385,'1_Presupuesto'!$E:$E,'1_Presupuesto'!$D:$D),"")</f>
        <v>Albañilería MO</v>
      </c>
    </row>
    <row r="386" spans="1:19" ht="15" customHeight="1" x14ac:dyDescent="0.35">
      <c r="A386" s="222" t="s">
        <v>1519</v>
      </c>
      <c r="B386" s="222" t="s">
        <v>654</v>
      </c>
      <c r="C386" s="222" t="s">
        <v>640</v>
      </c>
      <c r="D386" s="222" t="s">
        <v>1527</v>
      </c>
      <c r="E386" s="222" t="s">
        <v>1528</v>
      </c>
      <c r="F386" s="222"/>
      <c r="G386" s="223">
        <v>4.0983609999999997E-2</v>
      </c>
      <c r="H386" s="222">
        <v>0</v>
      </c>
      <c r="I386" s="224">
        <v>6611.5702000000001</v>
      </c>
      <c r="J386" s="224">
        <v>270.96601456442198</v>
      </c>
      <c r="K386" s="222" t="s">
        <v>1522</v>
      </c>
      <c r="L386" s="222">
        <v>3</v>
      </c>
      <c r="M386" s="222" t="s">
        <v>1529</v>
      </c>
      <c r="N386" s="222">
        <v>1</v>
      </c>
      <c r="O386" s="222">
        <v>0</v>
      </c>
      <c r="P386" s="225">
        <v>122</v>
      </c>
      <c r="Q386" s="224">
        <v>0</v>
      </c>
      <c r="R386" s="222">
        <v>9.02</v>
      </c>
      <c r="S386" s="226" t="str">
        <f>IFERROR(_xlfn.XLOOKUP(R386,'1_Presupuesto'!$E:$E,'1_Presupuesto'!$D:$D),"")</f>
        <v>Albañilería MO</v>
      </c>
    </row>
    <row r="387" spans="1:19" ht="15" customHeight="1" x14ac:dyDescent="0.35">
      <c r="A387" s="222" t="s">
        <v>1519</v>
      </c>
      <c r="B387" s="222" t="s">
        <v>639</v>
      </c>
      <c r="C387" s="222" t="s">
        <v>646</v>
      </c>
      <c r="D387" s="222" t="s">
        <v>723</v>
      </c>
      <c r="E387" s="222" t="s">
        <v>724</v>
      </c>
      <c r="F387" s="222" t="s">
        <v>643</v>
      </c>
      <c r="G387" s="223">
        <v>9.8360660000000003E-2</v>
      </c>
      <c r="H387" s="222">
        <v>0</v>
      </c>
      <c r="I387" s="224">
        <v>75113.05</v>
      </c>
      <c r="J387" s="224">
        <v>7388.1691726130002</v>
      </c>
      <c r="K387" s="222" t="s">
        <v>1530</v>
      </c>
      <c r="L387" s="222">
        <v>1</v>
      </c>
      <c r="M387" s="222" t="s">
        <v>1531</v>
      </c>
      <c r="N387" s="222">
        <v>1</v>
      </c>
      <c r="O387" s="222">
        <v>9.8360660000000003E-2</v>
      </c>
      <c r="P387" s="225">
        <v>122</v>
      </c>
      <c r="Q387" s="224">
        <v>12.00000052</v>
      </c>
      <c r="R387" s="222">
        <v>9.02</v>
      </c>
      <c r="S387" s="226" t="str">
        <f>IFERROR(_xlfn.XLOOKUP(R387,'1_Presupuesto'!$E:$E,'1_Presupuesto'!$D:$D),"")</f>
        <v>Albañilería MO</v>
      </c>
    </row>
    <row r="388" spans="1:19" ht="15" customHeight="1" x14ac:dyDescent="0.35">
      <c r="A388" s="222" t="s">
        <v>1519</v>
      </c>
      <c r="B388" s="222" t="s">
        <v>639</v>
      </c>
      <c r="C388" s="222" t="s">
        <v>646</v>
      </c>
      <c r="D388" s="222" t="s">
        <v>647</v>
      </c>
      <c r="E388" s="222" t="s">
        <v>648</v>
      </c>
      <c r="F388" s="222" t="s">
        <v>643</v>
      </c>
      <c r="G388" s="223">
        <v>9.8360660000000003E-2</v>
      </c>
      <c r="H388" s="222">
        <v>0</v>
      </c>
      <c r="I388" s="224">
        <v>49934.239999999998</v>
      </c>
      <c r="J388" s="224">
        <v>4911.5648029984004</v>
      </c>
      <c r="K388" s="222" t="s">
        <v>1530</v>
      </c>
      <c r="L388" s="222">
        <v>2</v>
      </c>
      <c r="M388" s="222" t="s">
        <v>1532</v>
      </c>
      <c r="N388" s="222">
        <v>1</v>
      </c>
      <c r="O388" s="222">
        <v>9.8360660000000003E-2</v>
      </c>
      <c r="P388" s="225">
        <v>122</v>
      </c>
      <c r="Q388" s="224">
        <v>12.00000052</v>
      </c>
      <c r="R388" s="222">
        <v>9.02</v>
      </c>
      <c r="S388" s="226" t="str">
        <f>IFERROR(_xlfn.XLOOKUP(R388,'1_Presupuesto'!$E:$E,'1_Presupuesto'!$D:$D),"")</f>
        <v>Albañilería MO</v>
      </c>
    </row>
    <row r="389" spans="1:19" ht="15" customHeight="1" x14ac:dyDescent="0.35">
      <c r="A389" s="222" t="s">
        <v>1519</v>
      </c>
      <c r="B389" s="222" t="s">
        <v>13</v>
      </c>
      <c r="C389" s="222"/>
      <c r="D389" s="222" t="s">
        <v>1533</v>
      </c>
      <c r="E389" s="222" t="s">
        <v>1534</v>
      </c>
      <c r="F389" s="222"/>
      <c r="G389" s="223">
        <v>1</v>
      </c>
      <c r="H389" s="222">
        <v>0</v>
      </c>
      <c r="I389" s="224">
        <v>221.20249999999999</v>
      </c>
      <c r="J389" s="224">
        <v>221.20249999999999</v>
      </c>
      <c r="K389" s="222" t="s">
        <v>1535</v>
      </c>
      <c r="L389" s="222">
        <v>1</v>
      </c>
      <c r="M389" s="222" t="s">
        <v>1536</v>
      </c>
      <c r="N389" s="222">
        <v>1</v>
      </c>
      <c r="O389" s="222">
        <v>0</v>
      </c>
      <c r="P389" s="225">
        <v>122</v>
      </c>
      <c r="Q389" s="224">
        <v>0</v>
      </c>
      <c r="R389" s="222">
        <v>9.02</v>
      </c>
      <c r="S389" s="226" t="str">
        <f>IFERROR(_xlfn.XLOOKUP(R389,'1_Presupuesto'!$E:$E,'1_Presupuesto'!$D:$D),"")</f>
        <v>Albañilería MO</v>
      </c>
    </row>
    <row r="390" spans="1:19" ht="15" customHeight="1" x14ac:dyDescent="0.35">
      <c r="A390" s="222" t="s">
        <v>1537</v>
      </c>
      <c r="B390" s="222" t="s">
        <v>654</v>
      </c>
      <c r="C390" s="222" t="s">
        <v>719</v>
      </c>
      <c r="D390" s="222" t="s">
        <v>1051</v>
      </c>
      <c r="E390" s="222" t="s">
        <v>1052</v>
      </c>
      <c r="F390" s="222"/>
      <c r="G390" s="223">
        <v>6.0000000000000001E-3</v>
      </c>
      <c r="H390" s="222">
        <v>0.1</v>
      </c>
      <c r="I390" s="224">
        <v>31265.15</v>
      </c>
      <c r="J390" s="224">
        <v>206.34998999999999</v>
      </c>
      <c r="K390" s="222" t="s">
        <v>1538</v>
      </c>
      <c r="L390" s="222">
        <v>1</v>
      </c>
      <c r="M390" s="222" t="s">
        <v>1539</v>
      </c>
      <c r="N390" s="222">
        <v>1</v>
      </c>
      <c r="O390" s="222">
        <v>0</v>
      </c>
      <c r="P390" s="225">
        <v>155</v>
      </c>
      <c r="Q390" s="224">
        <v>0</v>
      </c>
      <c r="R390" s="222">
        <v>9.0299999999999994</v>
      </c>
      <c r="S390" s="226" t="str">
        <f>IFERROR(_xlfn.XLOOKUP(R390,'1_Presupuesto'!$E:$E,'1_Presupuesto'!$D:$D),"")</f>
        <v>Albañilería MO</v>
      </c>
    </row>
    <row r="391" spans="1:19" ht="15" customHeight="1" x14ac:dyDescent="0.35">
      <c r="A391" s="222" t="s">
        <v>1537</v>
      </c>
      <c r="B391" s="222" t="s">
        <v>654</v>
      </c>
      <c r="C391" s="222" t="s">
        <v>719</v>
      </c>
      <c r="D391" s="222" t="s">
        <v>1239</v>
      </c>
      <c r="E391" s="222" t="s">
        <v>1240</v>
      </c>
      <c r="F391" s="222"/>
      <c r="G391" s="223">
        <v>0.1</v>
      </c>
      <c r="H391" s="222">
        <v>0.05</v>
      </c>
      <c r="I391" s="224">
        <v>1162.7550000000001</v>
      </c>
      <c r="J391" s="224">
        <v>122.089275</v>
      </c>
      <c r="K391" s="222" t="s">
        <v>1538</v>
      </c>
      <c r="L391" s="222">
        <v>2</v>
      </c>
      <c r="M391" s="222" t="s">
        <v>1540</v>
      </c>
      <c r="N391" s="222">
        <v>1</v>
      </c>
      <c r="O391" s="222">
        <v>0</v>
      </c>
      <c r="P391" s="225">
        <v>155</v>
      </c>
      <c r="Q391" s="224">
        <v>0</v>
      </c>
      <c r="R391" s="222">
        <v>9.0299999999999994</v>
      </c>
      <c r="S391" s="226" t="str">
        <f>IFERROR(_xlfn.XLOOKUP(R391,'1_Presupuesto'!$E:$E,'1_Presupuesto'!$D:$D),"")</f>
        <v>Albañilería MO</v>
      </c>
    </row>
    <row r="392" spans="1:19" ht="15" customHeight="1" x14ac:dyDescent="0.35">
      <c r="A392" s="222" t="s">
        <v>1537</v>
      </c>
      <c r="B392" s="222" t="s">
        <v>654</v>
      </c>
      <c r="C392" s="222" t="s">
        <v>719</v>
      </c>
      <c r="D392" s="222" t="s">
        <v>1057</v>
      </c>
      <c r="E392" s="222" t="s">
        <v>1058</v>
      </c>
      <c r="F392" s="222"/>
      <c r="G392" s="223">
        <v>5.3999999999999999E-2</v>
      </c>
      <c r="H392" s="222">
        <v>0.1</v>
      </c>
      <c r="I392" s="224">
        <v>7233.47</v>
      </c>
      <c r="J392" s="224">
        <v>429.66811799999999</v>
      </c>
      <c r="K392" s="222" t="s">
        <v>1538</v>
      </c>
      <c r="L392" s="222">
        <v>3</v>
      </c>
      <c r="M392" s="222" t="s">
        <v>1541</v>
      </c>
      <c r="N392" s="222">
        <v>1</v>
      </c>
      <c r="O392" s="222">
        <v>0</v>
      </c>
      <c r="P392" s="225">
        <v>155</v>
      </c>
      <c r="Q392" s="224">
        <v>0</v>
      </c>
      <c r="R392" s="222">
        <v>9.0299999999999994</v>
      </c>
      <c r="S392" s="226" t="str">
        <f>IFERROR(_xlfn.XLOOKUP(R392,'1_Presupuesto'!$E:$E,'1_Presupuesto'!$D:$D),"")</f>
        <v>Albañilería MO</v>
      </c>
    </row>
    <row r="393" spans="1:19" ht="15" customHeight="1" x14ac:dyDescent="0.35">
      <c r="A393" s="222" t="s">
        <v>1537</v>
      </c>
      <c r="B393" s="222" t="s">
        <v>639</v>
      </c>
      <c r="C393" s="222" t="s">
        <v>646</v>
      </c>
      <c r="D393" s="222" t="s">
        <v>647</v>
      </c>
      <c r="E393" s="222" t="s">
        <v>648</v>
      </c>
      <c r="F393" s="222" t="s">
        <v>643</v>
      </c>
      <c r="G393" s="223">
        <v>1.428571E-2</v>
      </c>
      <c r="H393" s="222">
        <v>0</v>
      </c>
      <c r="I393" s="224">
        <v>49934.239999999998</v>
      </c>
      <c r="J393" s="224">
        <v>713.3460717104</v>
      </c>
      <c r="K393" s="222" t="s">
        <v>1542</v>
      </c>
      <c r="L393" s="222">
        <v>1</v>
      </c>
      <c r="M393" s="222" t="s">
        <v>1543</v>
      </c>
      <c r="N393" s="222">
        <v>1</v>
      </c>
      <c r="O393" s="222">
        <v>1.428571E-2</v>
      </c>
      <c r="P393" s="225">
        <v>155</v>
      </c>
      <c r="Q393" s="224">
        <v>2.21428505</v>
      </c>
      <c r="R393" s="222">
        <v>9.0299999999999994</v>
      </c>
      <c r="S393" s="226" t="str">
        <f>IFERROR(_xlfn.XLOOKUP(R393,'1_Presupuesto'!$E:$E,'1_Presupuesto'!$D:$D),"")</f>
        <v>Albañilería MO</v>
      </c>
    </row>
    <row r="394" spans="1:19" ht="15" customHeight="1" x14ac:dyDescent="0.35">
      <c r="A394" s="222" t="s">
        <v>1537</v>
      </c>
      <c r="B394" s="222" t="s">
        <v>639</v>
      </c>
      <c r="C394" s="222" t="s">
        <v>646</v>
      </c>
      <c r="D394" s="222" t="s">
        <v>723</v>
      </c>
      <c r="E394" s="222" t="s">
        <v>724</v>
      </c>
      <c r="F394" s="222" t="s">
        <v>643</v>
      </c>
      <c r="G394" s="223">
        <v>3.5714290000000003E-2</v>
      </c>
      <c r="H394" s="222">
        <v>0</v>
      </c>
      <c r="I394" s="224">
        <v>75113.05</v>
      </c>
      <c r="J394" s="224">
        <v>2682.6092504845001</v>
      </c>
      <c r="K394" s="222" t="s">
        <v>1542</v>
      </c>
      <c r="L394" s="222">
        <v>2</v>
      </c>
      <c r="M394" s="222" t="s">
        <v>1544</v>
      </c>
      <c r="N394" s="222">
        <v>1</v>
      </c>
      <c r="O394" s="222">
        <v>3.5714290000000003E-2</v>
      </c>
      <c r="P394" s="225">
        <v>155</v>
      </c>
      <c r="Q394" s="224">
        <v>5.53571495</v>
      </c>
      <c r="R394" s="222">
        <v>9.0299999999999994</v>
      </c>
      <c r="S394" s="226" t="str">
        <f>IFERROR(_xlfn.XLOOKUP(R394,'1_Presupuesto'!$E:$E,'1_Presupuesto'!$D:$D),"")</f>
        <v>Albañilería MO</v>
      </c>
    </row>
    <row r="395" spans="1:19" ht="15" customHeight="1" x14ac:dyDescent="0.35">
      <c r="A395" s="222" t="s">
        <v>1537</v>
      </c>
      <c r="B395" s="222" t="s">
        <v>13</v>
      </c>
      <c r="C395" s="222"/>
      <c r="D395" s="222" t="s">
        <v>1067</v>
      </c>
      <c r="E395" s="222" t="s">
        <v>1068</v>
      </c>
      <c r="F395" s="222"/>
      <c r="G395" s="223">
        <v>1.7857140000000001E-2</v>
      </c>
      <c r="H395" s="222">
        <v>0</v>
      </c>
      <c r="I395" s="224">
        <v>556.21879999999999</v>
      </c>
      <c r="J395" s="224">
        <v>9.932476982232</v>
      </c>
      <c r="K395" s="222" t="s">
        <v>1545</v>
      </c>
      <c r="L395" s="222">
        <v>1</v>
      </c>
      <c r="M395" s="222" t="s">
        <v>1546</v>
      </c>
      <c r="N395" s="222">
        <v>1</v>
      </c>
      <c r="O395" s="222">
        <v>0</v>
      </c>
      <c r="P395" s="225">
        <v>155</v>
      </c>
      <c r="Q395" s="224">
        <v>0</v>
      </c>
      <c r="R395" s="222">
        <v>9.0299999999999994</v>
      </c>
      <c r="S395" s="226" t="str">
        <f>IFERROR(_xlfn.XLOOKUP(R395,'1_Presupuesto'!$E:$E,'1_Presupuesto'!$D:$D),"")</f>
        <v>Albañilería MO</v>
      </c>
    </row>
    <row r="396" spans="1:19" ht="15" customHeight="1" x14ac:dyDescent="0.35">
      <c r="A396" s="222" t="s">
        <v>1537</v>
      </c>
      <c r="B396" s="222" t="s">
        <v>13</v>
      </c>
      <c r="C396" s="222"/>
      <c r="D396" s="222" t="s">
        <v>1063</v>
      </c>
      <c r="E396" s="222" t="s">
        <v>1064</v>
      </c>
      <c r="F396" s="222"/>
      <c r="G396" s="223">
        <v>3.5714290000000003E-2</v>
      </c>
      <c r="H396" s="222">
        <v>0</v>
      </c>
      <c r="I396" s="224">
        <v>2227.2298000000001</v>
      </c>
      <c r="J396" s="224">
        <v>79.543930973842009</v>
      </c>
      <c r="K396" s="222" t="s">
        <v>1545</v>
      </c>
      <c r="L396" s="222">
        <v>2</v>
      </c>
      <c r="M396" s="222" t="s">
        <v>1547</v>
      </c>
      <c r="N396" s="222">
        <v>1</v>
      </c>
      <c r="O396" s="222">
        <v>0</v>
      </c>
      <c r="P396" s="225">
        <v>155</v>
      </c>
      <c r="Q396" s="224">
        <v>0</v>
      </c>
      <c r="R396" s="222">
        <v>9.0299999999999994</v>
      </c>
      <c r="S396" s="226" t="str">
        <f>IFERROR(_xlfn.XLOOKUP(R396,'1_Presupuesto'!$E:$E,'1_Presupuesto'!$D:$D),"")</f>
        <v>Albañilería MO</v>
      </c>
    </row>
    <row r="397" spans="1:19" ht="15" customHeight="1" x14ac:dyDescent="0.35">
      <c r="A397" s="222" t="s">
        <v>1537</v>
      </c>
      <c r="B397" s="222" t="s">
        <v>13</v>
      </c>
      <c r="C397" s="222"/>
      <c r="D397" s="222" t="s">
        <v>1070</v>
      </c>
      <c r="E397" s="222" t="s">
        <v>1071</v>
      </c>
      <c r="F397" s="222"/>
      <c r="G397" s="223">
        <v>3.5714290000000003E-2</v>
      </c>
      <c r="H397" s="222">
        <v>0</v>
      </c>
      <c r="I397" s="224">
        <v>932.18029999999999</v>
      </c>
      <c r="J397" s="224">
        <v>33.292157566486999</v>
      </c>
      <c r="K397" s="222" t="s">
        <v>1545</v>
      </c>
      <c r="L397" s="222">
        <v>3</v>
      </c>
      <c r="M397" s="222" t="s">
        <v>1548</v>
      </c>
      <c r="N397" s="222">
        <v>1</v>
      </c>
      <c r="O397" s="222">
        <v>0</v>
      </c>
      <c r="P397" s="225">
        <v>155</v>
      </c>
      <c r="Q397" s="224">
        <v>0</v>
      </c>
      <c r="R397" s="222">
        <v>9.0299999999999994</v>
      </c>
      <c r="S397" s="226" t="str">
        <f>IFERROR(_xlfn.XLOOKUP(R397,'1_Presupuesto'!$E:$E,'1_Presupuesto'!$D:$D),"")</f>
        <v>Albañilería MO</v>
      </c>
    </row>
    <row r="398" spans="1:19" ht="15" customHeight="1" x14ac:dyDescent="0.35">
      <c r="A398" s="222" t="s">
        <v>1549</v>
      </c>
      <c r="B398" s="222" t="s">
        <v>654</v>
      </c>
      <c r="C398" s="222" t="s">
        <v>640</v>
      </c>
      <c r="D398" s="222" t="s">
        <v>1550</v>
      </c>
      <c r="E398" s="222" t="s">
        <v>1551</v>
      </c>
      <c r="F398" s="222"/>
      <c r="G398" s="223">
        <v>0.12820513</v>
      </c>
      <c r="H398" s="222">
        <v>0</v>
      </c>
      <c r="I398" s="224">
        <v>46060.371899999998</v>
      </c>
      <c r="J398" s="224">
        <v>5905.175967287847</v>
      </c>
      <c r="K398" s="222" t="s">
        <v>1552</v>
      </c>
      <c r="L398" s="222">
        <v>1</v>
      </c>
      <c r="M398" s="222" t="s">
        <v>1553</v>
      </c>
      <c r="N398" s="222">
        <v>1</v>
      </c>
      <c r="O398" s="222">
        <v>0</v>
      </c>
      <c r="P398" s="225">
        <v>31.2</v>
      </c>
      <c r="Q398" s="224">
        <v>0</v>
      </c>
      <c r="R398" s="222">
        <v>9.0399999999999991</v>
      </c>
      <c r="S398" s="226" t="str">
        <f>IFERROR(_xlfn.XLOOKUP(R398,'1_Presupuesto'!$E:$E,'1_Presupuesto'!$D:$D),"")</f>
        <v>Albañilería MO</v>
      </c>
    </row>
    <row r="399" spans="1:19" ht="15" customHeight="1" x14ac:dyDescent="0.35">
      <c r="A399" s="222" t="s">
        <v>1549</v>
      </c>
      <c r="B399" s="222" t="s">
        <v>639</v>
      </c>
      <c r="C399" s="222" t="s">
        <v>646</v>
      </c>
      <c r="D399" s="222" t="s">
        <v>683</v>
      </c>
      <c r="E399" s="222" t="s">
        <v>684</v>
      </c>
      <c r="F399" s="222" t="s">
        <v>643</v>
      </c>
      <c r="G399" s="223">
        <v>6.4102560000000003E-2</v>
      </c>
      <c r="H399" s="222">
        <v>0</v>
      </c>
      <c r="I399" s="224">
        <v>65360.25</v>
      </c>
      <c r="J399" s="224">
        <v>4189.7593472400004</v>
      </c>
      <c r="K399" s="222" t="s">
        <v>1554</v>
      </c>
      <c r="L399" s="222">
        <v>1</v>
      </c>
      <c r="M399" s="222" t="s">
        <v>1555</v>
      </c>
      <c r="N399" s="222">
        <v>1</v>
      </c>
      <c r="O399" s="222">
        <v>6.4102560000000003E-2</v>
      </c>
      <c r="P399" s="225">
        <v>31.2</v>
      </c>
      <c r="Q399" s="224">
        <v>1.9999998699999999</v>
      </c>
      <c r="R399" s="222">
        <v>9.0399999999999991</v>
      </c>
      <c r="S399" s="226" t="str">
        <f>IFERROR(_xlfn.XLOOKUP(R399,'1_Presupuesto'!$E:$E,'1_Presupuesto'!$D:$D),"")</f>
        <v>Albañilería MO</v>
      </c>
    </row>
    <row r="400" spans="1:19" ht="15" customHeight="1" x14ac:dyDescent="0.35">
      <c r="A400" s="222" t="s">
        <v>1549</v>
      </c>
      <c r="B400" s="222" t="s">
        <v>639</v>
      </c>
      <c r="C400" s="222" t="s">
        <v>646</v>
      </c>
      <c r="D400" s="222" t="s">
        <v>647</v>
      </c>
      <c r="E400" s="222" t="s">
        <v>648</v>
      </c>
      <c r="F400" s="222" t="s">
        <v>643</v>
      </c>
      <c r="G400" s="223">
        <v>0.12820513</v>
      </c>
      <c r="H400" s="222">
        <v>0</v>
      </c>
      <c r="I400" s="224">
        <v>49934.239999999998</v>
      </c>
      <c r="J400" s="224">
        <v>6401.8257306511996</v>
      </c>
      <c r="K400" s="222" t="s">
        <v>1554</v>
      </c>
      <c r="L400" s="222">
        <v>2</v>
      </c>
      <c r="M400" s="222" t="s">
        <v>1556</v>
      </c>
      <c r="N400" s="222">
        <v>1</v>
      </c>
      <c r="O400" s="222">
        <v>0.12820513</v>
      </c>
      <c r="P400" s="225">
        <v>31.2</v>
      </c>
      <c r="Q400" s="224">
        <v>4.0000000599999996</v>
      </c>
      <c r="R400" s="222">
        <v>9.0399999999999991</v>
      </c>
      <c r="S400" s="226" t="str">
        <f>IFERROR(_xlfn.XLOOKUP(R400,'1_Presupuesto'!$E:$E,'1_Presupuesto'!$D:$D),"")</f>
        <v>Albañilería MO</v>
      </c>
    </row>
    <row r="401" spans="1:19" ht="15" customHeight="1" x14ac:dyDescent="0.35">
      <c r="A401" s="222" t="s">
        <v>1549</v>
      </c>
      <c r="B401" s="222" t="s">
        <v>13</v>
      </c>
      <c r="C401" s="222"/>
      <c r="D401" s="222" t="s">
        <v>1557</v>
      </c>
      <c r="E401" s="222" t="s">
        <v>1558</v>
      </c>
      <c r="F401" s="222"/>
      <c r="G401" s="223">
        <v>1</v>
      </c>
      <c r="H401" s="222">
        <v>0</v>
      </c>
      <c r="I401" s="224">
        <v>265.1669</v>
      </c>
      <c r="J401" s="224">
        <v>265.1669</v>
      </c>
      <c r="K401" s="222" t="s">
        <v>1559</v>
      </c>
      <c r="L401" s="222">
        <v>1</v>
      </c>
      <c r="M401" s="222" t="s">
        <v>1560</v>
      </c>
      <c r="N401" s="222">
        <v>1</v>
      </c>
      <c r="O401" s="222">
        <v>0</v>
      </c>
      <c r="P401" s="225">
        <v>31.2</v>
      </c>
      <c r="Q401" s="224">
        <v>0</v>
      </c>
      <c r="R401" s="222">
        <v>9.0399999999999991</v>
      </c>
      <c r="S401" s="226" t="str">
        <f>IFERROR(_xlfn.XLOOKUP(R401,'1_Presupuesto'!$E:$E,'1_Presupuesto'!$D:$D),"")</f>
        <v>Albañilería MO</v>
      </c>
    </row>
    <row r="402" spans="1:19" ht="15" customHeight="1" x14ac:dyDescent="0.35">
      <c r="A402" s="222" t="s">
        <v>1549</v>
      </c>
      <c r="B402" s="222" t="s">
        <v>654</v>
      </c>
      <c r="C402" s="222" t="s">
        <v>655</v>
      </c>
      <c r="D402" s="222" t="s">
        <v>656</v>
      </c>
      <c r="E402" s="222" t="s">
        <v>657</v>
      </c>
      <c r="F402" s="222"/>
      <c r="G402" s="223">
        <v>1181.0358000000001</v>
      </c>
      <c r="H402" s="222">
        <v>0</v>
      </c>
      <c r="I402" s="224">
        <v>1</v>
      </c>
      <c r="J402" s="224">
        <v>1181.0358000000001</v>
      </c>
      <c r="K402" s="222" t="s">
        <v>1552</v>
      </c>
      <c r="L402" s="222">
        <v>2</v>
      </c>
      <c r="M402" s="222" t="s">
        <v>1561</v>
      </c>
      <c r="N402" s="222">
        <v>1</v>
      </c>
      <c r="O402" s="222">
        <v>0</v>
      </c>
      <c r="P402" s="225">
        <v>31.2</v>
      </c>
      <c r="Q402" s="224">
        <v>0</v>
      </c>
      <c r="R402" s="222">
        <v>9.0399999999999991</v>
      </c>
      <c r="S402" s="226" t="str">
        <f>IFERROR(_xlfn.XLOOKUP(R402,'1_Presupuesto'!$E:$E,'1_Presupuesto'!$D:$D),"")</f>
        <v>Albañilería MO</v>
      </c>
    </row>
    <row r="403" spans="1:19" ht="15" customHeight="1" x14ac:dyDescent="0.35">
      <c r="A403" s="222" t="s">
        <v>1562</v>
      </c>
      <c r="B403" s="222" t="s">
        <v>654</v>
      </c>
      <c r="C403" s="222" t="s">
        <v>640</v>
      </c>
      <c r="D403" s="222" t="s">
        <v>1563</v>
      </c>
      <c r="E403" s="222" t="s">
        <v>137</v>
      </c>
      <c r="F403" s="222"/>
      <c r="G403" s="223">
        <v>1</v>
      </c>
      <c r="H403" s="222">
        <v>0</v>
      </c>
      <c r="I403" s="224">
        <v>700000</v>
      </c>
      <c r="J403" s="224">
        <v>700000</v>
      </c>
      <c r="K403" s="222" t="s">
        <v>1564</v>
      </c>
      <c r="L403" s="222">
        <v>1</v>
      </c>
      <c r="M403" s="222" t="s">
        <v>1565</v>
      </c>
      <c r="N403" s="222">
        <v>1</v>
      </c>
      <c r="O403" s="222">
        <v>0</v>
      </c>
      <c r="P403" s="225">
        <v>1</v>
      </c>
      <c r="Q403" s="224">
        <v>0</v>
      </c>
      <c r="R403" s="222">
        <v>10.02</v>
      </c>
      <c r="S403" s="226" t="str">
        <f>IFERROR(_xlfn.XLOOKUP(R403,'1_Presupuesto'!$E:$E,'1_Presupuesto'!$D:$D),"")</f>
        <v>-</v>
      </c>
    </row>
    <row r="404" spans="1:19" ht="15" customHeight="1" x14ac:dyDescent="0.35">
      <c r="A404" s="222" t="s">
        <v>1562</v>
      </c>
      <c r="B404" s="222" t="s">
        <v>639</v>
      </c>
      <c r="C404" s="222" t="s">
        <v>640</v>
      </c>
      <c r="D404" s="222" t="s">
        <v>1566</v>
      </c>
      <c r="E404" s="222" t="s">
        <v>137</v>
      </c>
      <c r="F404" s="222" t="s">
        <v>643</v>
      </c>
      <c r="G404" s="223">
        <v>1</v>
      </c>
      <c r="H404" s="222">
        <v>0</v>
      </c>
      <c r="I404" s="224">
        <v>1050000</v>
      </c>
      <c r="J404" s="224">
        <v>1050000</v>
      </c>
      <c r="K404" s="222" t="s">
        <v>1567</v>
      </c>
      <c r="L404" s="222">
        <v>1</v>
      </c>
      <c r="M404" s="222" t="s">
        <v>1568</v>
      </c>
      <c r="N404" s="222">
        <v>1</v>
      </c>
      <c r="O404" s="222">
        <v>0</v>
      </c>
      <c r="P404" s="225">
        <v>1</v>
      </c>
      <c r="Q404" s="224">
        <v>0</v>
      </c>
      <c r="R404" s="222">
        <v>10.02</v>
      </c>
      <c r="S404" s="226" t="str">
        <f>IFERROR(_xlfn.XLOOKUP(R404,'1_Presupuesto'!$E:$E,'1_Presupuesto'!$D:$D),"")</f>
        <v>-</v>
      </c>
    </row>
    <row r="405" spans="1:19" ht="15" customHeight="1" x14ac:dyDescent="0.35">
      <c r="A405" s="222" t="s">
        <v>1569</v>
      </c>
      <c r="B405" s="222" t="s">
        <v>654</v>
      </c>
      <c r="C405" s="222" t="s">
        <v>640</v>
      </c>
      <c r="D405" s="222" t="s">
        <v>1570</v>
      </c>
      <c r="E405" s="222" t="s">
        <v>1571</v>
      </c>
      <c r="F405" s="222"/>
      <c r="G405" s="223">
        <v>1</v>
      </c>
      <c r="H405" s="222">
        <v>0</v>
      </c>
      <c r="I405" s="224">
        <v>225038.87599999999</v>
      </c>
      <c r="J405" s="224">
        <v>225038.87599999999</v>
      </c>
      <c r="K405" s="222" t="s">
        <v>1572</v>
      </c>
      <c r="L405" s="222">
        <v>1</v>
      </c>
      <c r="M405" s="222" t="s">
        <v>1573</v>
      </c>
      <c r="N405" s="222">
        <v>1</v>
      </c>
      <c r="O405" s="222">
        <v>0</v>
      </c>
      <c r="P405" s="225">
        <v>7</v>
      </c>
      <c r="Q405" s="224">
        <v>0</v>
      </c>
      <c r="R405" s="222">
        <v>10.039999999999999</v>
      </c>
      <c r="S405" s="226" t="str">
        <f>IFERROR(_xlfn.XLOOKUP(R405,'1_Presupuesto'!$E:$E,'1_Presupuesto'!$D:$D),"")</f>
        <v>-</v>
      </c>
    </row>
    <row r="406" spans="1:19" ht="15" customHeight="1" x14ac:dyDescent="0.35">
      <c r="A406" s="222" t="s">
        <v>1569</v>
      </c>
      <c r="B406" s="222" t="s">
        <v>639</v>
      </c>
      <c r="C406" s="222" t="s">
        <v>640</v>
      </c>
      <c r="D406" s="222" t="s">
        <v>1574</v>
      </c>
      <c r="E406" s="222" t="s">
        <v>1571</v>
      </c>
      <c r="F406" s="222" t="s">
        <v>643</v>
      </c>
      <c r="G406" s="223">
        <v>1</v>
      </c>
      <c r="H406" s="222">
        <v>0</v>
      </c>
      <c r="I406" s="224">
        <v>55670.194300000003</v>
      </c>
      <c r="J406" s="224">
        <v>55670.194300000003</v>
      </c>
      <c r="K406" s="222" t="s">
        <v>1575</v>
      </c>
      <c r="L406" s="222">
        <v>1</v>
      </c>
      <c r="M406" s="222" t="s">
        <v>1576</v>
      </c>
      <c r="N406" s="222">
        <v>1</v>
      </c>
      <c r="O406" s="222">
        <v>0</v>
      </c>
      <c r="P406" s="225">
        <v>7</v>
      </c>
      <c r="Q406" s="224">
        <v>0</v>
      </c>
      <c r="R406" s="222">
        <v>10.039999999999999</v>
      </c>
      <c r="S406" s="226" t="str">
        <f>IFERROR(_xlfn.XLOOKUP(R406,'1_Presupuesto'!$E:$E,'1_Presupuesto'!$D:$D),"")</f>
        <v>-</v>
      </c>
    </row>
    <row r="407" spans="1:19" ht="15" customHeight="1" x14ac:dyDescent="0.35">
      <c r="A407" s="222" t="s">
        <v>1577</v>
      </c>
      <c r="B407" s="222" t="s">
        <v>654</v>
      </c>
      <c r="C407" s="222" t="s">
        <v>719</v>
      </c>
      <c r="D407" s="222" t="s">
        <v>1578</v>
      </c>
      <c r="E407" s="222" t="s">
        <v>1579</v>
      </c>
      <c r="F407" s="222"/>
      <c r="G407" s="223">
        <v>0.2</v>
      </c>
      <c r="H407" s="222">
        <v>0.2</v>
      </c>
      <c r="I407" s="224">
        <v>21494.592000000001</v>
      </c>
      <c r="J407" s="224">
        <v>5158.70208</v>
      </c>
      <c r="K407" s="222" t="s">
        <v>1580</v>
      </c>
      <c r="L407" s="222">
        <v>1</v>
      </c>
      <c r="M407" s="222" t="s">
        <v>1581</v>
      </c>
      <c r="N407" s="222">
        <v>1</v>
      </c>
      <c r="O407" s="222">
        <v>0</v>
      </c>
      <c r="P407" s="225">
        <v>30</v>
      </c>
      <c r="Q407" s="224">
        <v>0</v>
      </c>
      <c r="R407" s="222">
        <v>11.01</v>
      </c>
      <c r="S407" s="226" t="str">
        <f>IFERROR(_xlfn.XLOOKUP(R407,'1_Presupuesto'!$E:$E,'1_Presupuesto'!$D:$D),"")</f>
        <v>Revestimiento MO</v>
      </c>
    </row>
    <row r="408" spans="1:19" ht="15" customHeight="1" x14ac:dyDescent="0.35">
      <c r="A408" s="222" t="s">
        <v>1577</v>
      </c>
      <c r="B408" s="222" t="s">
        <v>654</v>
      </c>
      <c r="C408" s="222" t="s">
        <v>719</v>
      </c>
      <c r="D408" s="222" t="s">
        <v>1582</v>
      </c>
      <c r="E408" s="222" t="s">
        <v>1583</v>
      </c>
      <c r="F408" s="222"/>
      <c r="G408" s="223">
        <v>0.2</v>
      </c>
      <c r="H408" s="222">
        <v>0.05</v>
      </c>
      <c r="I408" s="224">
        <v>2930.36</v>
      </c>
      <c r="J408" s="224">
        <v>615.37560000000008</v>
      </c>
      <c r="K408" s="222" t="s">
        <v>1580</v>
      </c>
      <c r="L408" s="222">
        <v>2</v>
      </c>
      <c r="M408" s="222" t="s">
        <v>1584</v>
      </c>
      <c r="N408" s="222">
        <v>1</v>
      </c>
      <c r="O408" s="222">
        <v>0</v>
      </c>
      <c r="P408" s="225">
        <v>30</v>
      </c>
      <c r="Q408" s="224">
        <v>0</v>
      </c>
      <c r="R408" s="222">
        <v>11.01</v>
      </c>
      <c r="S408" s="226" t="str">
        <f>IFERROR(_xlfn.XLOOKUP(R408,'1_Presupuesto'!$E:$E,'1_Presupuesto'!$D:$D),"")</f>
        <v>Revestimiento MO</v>
      </c>
    </row>
    <row r="409" spans="1:19" ht="15" customHeight="1" x14ac:dyDescent="0.35">
      <c r="A409" s="222" t="s">
        <v>1577</v>
      </c>
      <c r="B409" s="222" t="s">
        <v>654</v>
      </c>
      <c r="C409" s="222" t="s">
        <v>719</v>
      </c>
      <c r="D409" s="222" t="s">
        <v>1585</v>
      </c>
      <c r="E409" s="222" t="s">
        <v>1586</v>
      </c>
      <c r="F409" s="222"/>
      <c r="G409" s="223">
        <v>4.0000000000000001E-3</v>
      </c>
      <c r="H409" s="222">
        <v>0.05</v>
      </c>
      <c r="I409" s="224">
        <v>21453.297500000001</v>
      </c>
      <c r="J409" s="224">
        <v>90.10384950000001</v>
      </c>
      <c r="K409" s="222" t="s">
        <v>1580</v>
      </c>
      <c r="L409" s="222">
        <v>3</v>
      </c>
      <c r="M409" s="222" t="s">
        <v>1587</v>
      </c>
      <c r="N409" s="222">
        <v>1</v>
      </c>
      <c r="O409" s="222">
        <v>0</v>
      </c>
      <c r="P409" s="225">
        <v>30</v>
      </c>
      <c r="Q409" s="224">
        <v>0</v>
      </c>
      <c r="R409" s="222">
        <v>11.01</v>
      </c>
      <c r="S409" s="226" t="str">
        <f>IFERROR(_xlfn.XLOOKUP(R409,'1_Presupuesto'!$E:$E,'1_Presupuesto'!$D:$D),"")</f>
        <v>Revestimiento MO</v>
      </c>
    </row>
    <row r="410" spans="1:19" ht="15" customHeight="1" x14ac:dyDescent="0.35">
      <c r="A410" s="222" t="s">
        <v>1577</v>
      </c>
      <c r="B410" s="222" t="s">
        <v>654</v>
      </c>
      <c r="C410" s="222" t="s">
        <v>719</v>
      </c>
      <c r="D410" s="222" t="s">
        <v>1588</v>
      </c>
      <c r="E410" s="222" t="s">
        <v>1589</v>
      </c>
      <c r="F410" s="222"/>
      <c r="G410" s="223">
        <v>0.04</v>
      </c>
      <c r="H410" s="222">
        <v>0.05</v>
      </c>
      <c r="I410" s="224">
        <v>32805.983500000002</v>
      </c>
      <c r="J410" s="224">
        <v>1377.8513069999999</v>
      </c>
      <c r="K410" s="222" t="s">
        <v>1580</v>
      </c>
      <c r="L410" s="222">
        <v>4</v>
      </c>
      <c r="M410" s="222" t="s">
        <v>1590</v>
      </c>
      <c r="N410" s="222">
        <v>1</v>
      </c>
      <c r="O410" s="222">
        <v>0</v>
      </c>
      <c r="P410" s="225">
        <v>30</v>
      </c>
      <c r="Q410" s="224">
        <v>0</v>
      </c>
      <c r="R410" s="222">
        <v>11.01</v>
      </c>
      <c r="S410" s="226" t="str">
        <f>IFERROR(_xlfn.XLOOKUP(R410,'1_Presupuesto'!$E:$E,'1_Presupuesto'!$D:$D),"")</f>
        <v>Revestimiento MO</v>
      </c>
    </row>
    <row r="411" spans="1:19" ht="15" customHeight="1" x14ac:dyDescent="0.35">
      <c r="A411" s="222" t="s">
        <v>1577</v>
      </c>
      <c r="B411" s="222" t="s">
        <v>654</v>
      </c>
      <c r="C411" s="222" t="s">
        <v>719</v>
      </c>
      <c r="D411" s="222" t="s">
        <v>1218</v>
      </c>
      <c r="E411" s="222" t="s">
        <v>1219</v>
      </c>
      <c r="F411" s="222"/>
      <c r="G411" s="223">
        <v>0.01</v>
      </c>
      <c r="H411" s="222">
        <v>0.03</v>
      </c>
      <c r="I411" s="224">
        <v>784.06</v>
      </c>
      <c r="J411" s="224">
        <v>8.0758179999999999</v>
      </c>
      <c r="K411" s="222" t="s">
        <v>1580</v>
      </c>
      <c r="L411" s="222">
        <v>5</v>
      </c>
      <c r="M411" s="222" t="s">
        <v>1591</v>
      </c>
      <c r="N411" s="222">
        <v>1</v>
      </c>
      <c r="O411" s="222">
        <v>0</v>
      </c>
      <c r="P411" s="225">
        <v>30</v>
      </c>
      <c r="Q411" s="224">
        <v>0</v>
      </c>
      <c r="R411" s="222">
        <v>11.01</v>
      </c>
      <c r="S411" s="226" t="str">
        <f>IFERROR(_xlfn.XLOOKUP(R411,'1_Presupuesto'!$E:$E,'1_Presupuesto'!$D:$D),"")</f>
        <v>Revestimiento MO</v>
      </c>
    </row>
    <row r="412" spans="1:19" ht="15" customHeight="1" x14ac:dyDescent="0.35">
      <c r="A412" s="222" t="s">
        <v>1577</v>
      </c>
      <c r="B412" s="222" t="s">
        <v>639</v>
      </c>
      <c r="C412" s="222" t="s">
        <v>646</v>
      </c>
      <c r="D412" s="222" t="s">
        <v>687</v>
      </c>
      <c r="E412" s="222" t="s">
        <v>688</v>
      </c>
      <c r="F412" s="222" t="s">
        <v>643</v>
      </c>
      <c r="G412" s="223">
        <v>7.6923080000000005E-2</v>
      </c>
      <c r="H412" s="222">
        <v>0</v>
      </c>
      <c r="I412" s="224">
        <v>54784.07</v>
      </c>
      <c r="J412" s="224">
        <v>4214.1593993356</v>
      </c>
      <c r="K412" s="222" t="s">
        <v>1592</v>
      </c>
      <c r="L412" s="222">
        <v>1</v>
      </c>
      <c r="M412" s="222" t="s">
        <v>1593</v>
      </c>
      <c r="N412" s="222">
        <v>1</v>
      </c>
      <c r="O412" s="222">
        <v>7.6923080000000005E-2</v>
      </c>
      <c r="P412" s="225">
        <v>30</v>
      </c>
      <c r="Q412" s="224">
        <v>2.3076924000000001</v>
      </c>
      <c r="R412" s="222">
        <v>11.01</v>
      </c>
      <c r="S412" s="226" t="str">
        <f>IFERROR(_xlfn.XLOOKUP(R412,'1_Presupuesto'!$E:$E,'1_Presupuesto'!$D:$D),"")</f>
        <v>Revestimiento MO</v>
      </c>
    </row>
    <row r="413" spans="1:19" ht="15" customHeight="1" x14ac:dyDescent="0.35">
      <c r="A413" s="222" t="s">
        <v>1577</v>
      </c>
      <c r="B413" s="222" t="s">
        <v>639</v>
      </c>
      <c r="C413" s="222" t="s">
        <v>646</v>
      </c>
      <c r="D413" s="222" t="s">
        <v>723</v>
      </c>
      <c r="E413" s="222" t="s">
        <v>724</v>
      </c>
      <c r="F413" s="222" t="s">
        <v>643</v>
      </c>
      <c r="G413" s="223">
        <v>7.6923080000000005E-2</v>
      </c>
      <c r="H413" s="222">
        <v>0</v>
      </c>
      <c r="I413" s="224">
        <v>75113.05</v>
      </c>
      <c r="J413" s="224">
        <v>5777.9271541940007</v>
      </c>
      <c r="K413" s="222" t="s">
        <v>1592</v>
      </c>
      <c r="L413" s="222">
        <v>2</v>
      </c>
      <c r="M413" s="222" t="s">
        <v>1594</v>
      </c>
      <c r="N413" s="222">
        <v>1</v>
      </c>
      <c r="O413" s="222">
        <v>7.6923080000000005E-2</v>
      </c>
      <c r="P413" s="225">
        <v>30</v>
      </c>
      <c r="Q413" s="224">
        <v>2.3076924000000001</v>
      </c>
      <c r="R413" s="222">
        <v>11.01</v>
      </c>
      <c r="S413" s="226" t="str">
        <f>IFERROR(_xlfn.XLOOKUP(R413,'1_Presupuesto'!$E:$E,'1_Presupuesto'!$D:$D),"")</f>
        <v>Revestimiento MO</v>
      </c>
    </row>
    <row r="414" spans="1:19" ht="15" customHeight="1" x14ac:dyDescent="0.35">
      <c r="A414" s="222" t="s">
        <v>1577</v>
      </c>
      <c r="B414" s="222" t="s">
        <v>13</v>
      </c>
      <c r="C414" s="222"/>
      <c r="D414" s="222" t="s">
        <v>1595</v>
      </c>
      <c r="E414" s="222" t="s">
        <v>1596</v>
      </c>
      <c r="F414" s="222"/>
      <c r="G414" s="223">
        <v>7.6923080000000005E-2</v>
      </c>
      <c r="H414" s="222">
        <v>0</v>
      </c>
      <c r="I414" s="224">
        <v>2568.0682999999999</v>
      </c>
      <c r="J414" s="224">
        <v>197.54372328636401</v>
      </c>
      <c r="K414" s="222" t="s">
        <v>1597</v>
      </c>
      <c r="L414" s="222">
        <v>1</v>
      </c>
      <c r="M414" s="222" t="s">
        <v>1598</v>
      </c>
      <c r="N414" s="222">
        <v>1</v>
      </c>
      <c r="O414" s="222">
        <v>0</v>
      </c>
      <c r="P414" s="225">
        <v>30</v>
      </c>
      <c r="Q414" s="224">
        <v>0</v>
      </c>
      <c r="R414" s="222">
        <v>11.01</v>
      </c>
      <c r="S414" s="226" t="str">
        <f>IFERROR(_xlfn.XLOOKUP(R414,'1_Presupuesto'!$E:$E,'1_Presupuesto'!$D:$D),"")</f>
        <v>Revestimiento MO</v>
      </c>
    </row>
    <row r="415" spans="1:19" ht="15" customHeight="1" x14ac:dyDescent="0.35">
      <c r="A415" s="222" t="s">
        <v>1577</v>
      </c>
      <c r="B415" s="222" t="s">
        <v>13</v>
      </c>
      <c r="C415" s="222"/>
      <c r="D415" s="222" t="s">
        <v>1599</v>
      </c>
      <c r="E415" s="222" t="s">
        <v>1600</v>
      </c>
      <c r="F415" s="222"/>
      <c r="G415" s="223">
        <v>7.6923080000000005E-2</v>
      </c>
      <c r="H415" s="222">
        <v>0</v>
      </c>
      <c r="I415" s="224">
        <v>290.60739999999998</v>
      </c>
      <c r="J415" s="224">
        <v>22.354416278792002</v>
      </c>
      <c r="K415" s="222" t="s">
        <v>1597</v>
      </c>
      <c r="L415" s="222">
        <v>2</v>
      </c>
      <c r="M415" s="222" t="s">
        <v>1601</v>
      </c>
      <c r="N415" s="222">
        <v>1</v>
      </c>
      <c r="O415" s="222">
        <v>0</v>
      </c>
      <c r="P415" s="225">
        <v>30</v>
      </c>
      <c r="Q415" s="224">
        <v>0</v>
      </c>
      <c r="R415" s="222">
        <v>11.01</v>
      </c>
      <c r="S415" s="226" t="str">
        <f>IFERROR(_xlfn.XLOOKUP(R415,'1_Presupuesto'!$E:$E,'1_Presupuesto'!$D:$D),"")</f>
        <v>Revestimiento MO</v>
      </c>
    </row>
    <row r="416" spans="1:19" ht="15" customHeight="1" x14ac:dyDescent="0.35">
      <c r="A416" s="222" t="s">
        <v>1602</v>
      </c>
      <c r="B416" s="222" t="s">
        <v>654</v>
      </c>
      <c r="C416" s="222" t="s">
        <v>719</v>
      </c>
      <c r="D416" s="222" t="s">
        <v>1578</v>
      </c>
      <c r="E416" s="222" t="s">
        <v>1579</v>
      </c>
      <c r="F416" s="222"/>
      <c r="G416" s="223">
        <v>0.2</v>
      </c>
      <c r="H416" s="222">
        <v>0.2</v>
      </c>
      <c r="I416" s="224">
        <v>21494.592000000001</v>
      </c>
      <c r="J416" s="224">
        <v>5158.70208</v>
      </c>
      <c r="K416" s="222" t="s">
        <v>1603</v>
      </c>
      <c r="L416" s="222">
        <v>1</v>
      </c>
      <c r="M416" s="222" t="s">
        <v>1604</v>
      </c>
      <c r="N416" s="222">
        <v>1</v>
      </c>
      <c r="O416" s="222">
        <v>0</v>
      </c>
      <c r="P416" s="225">
        <v>185</v>
      </c>
      <c r="Q416" s="224">
        <v>0</v>
      </c>
      <c r="R416" s="222">
        <v>11.02</v>
      </c>
      <c r="S416" s="226" t="str">
        <f>IFERROR(_xlfn.XLOOKUP(R416,'1_Presupuesto'!$E:$E,'1_Presupuesto'!$D:$D),"")</f>
        <v>Revestimiento MO</v>
      </c>
    </row>
    <row r="417" spans="1:19" ht="15" customHeight="1" x14ac:dyDescent="0.35">
      <c r="A417" s="222" t="s">
        <v>1602</v>
      </c>
      <c r="B417" s="222" t="s">
        <v>654</v>
      </c>
      <c r="C417" s="222" t="s">
        <v>719</v>
      </c>
      <c r="D417" s="222" t="s">
        <v>1582</v>
      </c>
      <c r="E417" s="222" t="s">
        <v>1583</v>
      </c>
      <c r="F417" s="222"/>
      <c r="G417" s="223">
        <v>0.2</v>
      </c>
      <c r="H417" s="222">
        <v>0.05</v>
      </c>
      <c r="I417" s="224">
        <v>2930.36</v>
      </c>
      <c r="J417" s="224">
        <v>615.37560000000008</v>
      </c>
      <c r="K417" s="222" t="s">
        <v>1603</v>
      </c>
      <c r="L417" s="222">
        <v>2</v>
      </c>
      <c r="M417" s="222" t="s">
        <v>1605</v>
      </c>
      <c r="N417" s="222">
        <v>1</v>
      </c>
      <c r="O417" s="222">
        <v>0</v>
      </c>
      <c r="P417" s="225">
        <v>185</v>
      </c>
      <c r="Q417" s="224">
        <v>0</v>
      </c>
      <c r="R417" s="222">
        <v>11.02</v>
      </c>
      <c r="S417" s="226" t="str">
        <f>IFERROR(_xlfn.XLOOKUP(R417,'1_Presupuesto'!$E:$E,'1_Presupuesto'!$D:$D),"")</f>
        <v>Revestimiento MO</v>
      </c>
    </row>
    <row r="418" spans="1:19" ht="15" customHeight="1" x14ac:dyDescent="0.35">
      <c r="A418" s="222" t="s">
        <v>1602</v>
      </c>
      <c r="B418" s="222" t="s">
        <v>654</v>
      </c>
      <c r="C418" s="222" t="s">
        <v>719</v>
      </c>
      <c r="D418" s="222" t="s">
        <v>1585</v>
      </c>
      <c r="E418" s="222" t="s">
        <v>1586</v>
      </c>
      <c r="F418" s="222"/>
      <c r="G418" s="223">
        <v>4.0000000000000001E-3</v>
      </c>
      <c r="H418" s="222">
        <v>0.05</v>
      </c>
      <c r="I418" s="224">
        <v>21453.297500000001</v>
      </c>
      <c r="J418" s="224">
        <v>90.10384950000001</v>
      </c>
      <c r="K418" s="222" t="s">
        <v>1603</v>
      </c>
      <c r="L418" s="222">
        <v>3</v>
      </c>
      <c r="M418" s="222" t="s">
        <v>1606</v>
      </c>
      <c r="N418" s="222">
        <v>1</v>
      </c>
      <c r="O418" s="222">
        <v>0</v>
      </c>
      <c r="P418" s="225">
        <v>185</v>
      </c>
      <c r="Q418" s="224">
        <v>0</v>
      </c>
      <c r="R418" s="222">
        <v>11.02</v>
      </c>
      <c r="S418" s="226" t="str">
        <f>IFERROR(_xlfn.XLOOKUP(R418,'1_Presupuesto'!$E:$E,'1_Presupuesto'!$D:$D),"")</f>
        <v>Revestimiento MO</v>
      </c>
    </row>
    <row r="419" spans="1:19" ht="15" customHeight="1" x14ac:dyDescent="0.35">
      <c r="A419" s="222" t="s">
        <v>1602</v>
      </c>
      <c r="B419" s="222" t="s">
        <v>654</v>
      </c>
      <c r="C419" s="222" t="s">
        <v>719</v>
      </c>
      <c r="D419" s="222" t="s">
        <v>1588</v>
      </c>
      <c r="E419" s="222" t="s">
        <v>1589</v>
      </c>
      <c r="F419" s="222"/>
      <c r="G419" s="223">
        <v>0.04</v>
      </c>
      <c r="H419" s="222">
        <v>0.05</v>
      </c>
      <c r="I419" s="224">
        <v>32805.983500000002</v>
      </c>
      <c r="J419" s="224">
        <v>1377.8513069999999</v>
      </c>
      <c r="K419" s="222" t="s">
        <v>1603</v>
      </c>
      <c r="L419" s="222">
        <v>4</v>
      </c>
      <c r="M419" s="222" t="s">
        <v>1607</v>
      </c>
      <c r="N419" s="222">
        <v>1</v>
      </c>
      <c r="O419" s="222">
        <v>0</v>
      </c>
      <c r="P419" s="225">
        <v>185</v>
      </c>
      <c r="Q419" s="224">
        <v>0</v>
      </c>
      <c r="R419" s="222">
        <v>11.02</v>
      </c>
      <c r="S419" s="226" t="str">
        <f>IFERROR(_xlfn.XLOOKUP(R419,'1_Presupuesto'!$E:$E,'1_Presupuesto'!$D:$D),"")</f>
        <v>Revestimiento MO</v>
      </c>
    </row>
    <row r="420" spans="1:19" ht="15" customHeight="1" x14ac:dyDescent="0.35">
      <c r="A420" s="222" t="s">
        <v>1602</v>
      </c>
      <c r="B420" s="222" t="s">
        <v>654</v>
      </c>
      <c r="C420" s="222" t="s">
        <v>719</v>
      </c>
      <c r="D420" s="222" t="s">
        <v>1218</v>
      </c>
      <c r="E420" s="222" t="s">
        <v>1219</v>
      </c>
      <c r="F420" s="222"/>
      <c r="G420" s="223">
        <v>0.01</v>
      </c>
      <c r="H420" s="222">
        <v>0.03</v>
      </c>
      <c r="I420" s="224">
        <v>784.06</v>
      </c>
      <c r="J420" s="224">
        <v>8.0758179999999999</v>
      </c>
      <c r="K420" s="222" t="s">
        <v>1603</v>
      </c>
      <c r="L420" s="222">
        <v>5</v>
      </c>
      <c r="M420" s="222" t="s">
        <v>1608</v>
      </c>
      <c r="N420" s="222">
        <v>1</v>
      </c>
      <c r="O420" s="222">
        <v>0</v>
      </c>
      <c r="P420" s="225">
        <v>185</v>
      </c>
      <c r="Q420" s="224">
        <v>0</v>
      </c>
      <c r="R420" s="222">
        <v>11.02</v>
      </c>
      <c r="S420" s="226" t="str">
        <f>IFERROR(_xlfn.XLOOKUP(R420,'1_Presupuesto'!$E:$E,'1_Presupuesto'!$D:$D),"")</f>
        <v>Revestimiento MO</v>
      </c>
    </row>
    <row r="421" spans="1:19" ht="15" customHeight="1" x14ac:dyDescent="0.35">
      <c r="A421" s="222" t="s">
        <v>1602</v>
      </c>
      <c r="B421" s="222" t="s">
        <v>639</v>
      </c>
      <c r="C421" s="222" t="s">
        <v>646</v>
      </c>
      <c r="D421" s="222" t="s">
        <v>687</v>
      </c>
      <c r="E421" s="222" t="s">
        <v>688</v>
      </c>
      <c r="F421" s="222" t="s">
        <v>643</v>
      </c>
      <c r="G421" s="223">
        <v>7.6923080000000005E-2</v>
      </c>
      <c r="H421" s="222">
        <v>0</v>
      </c>
      <c r="I421" s="224">
        <v>54784.07</v>
      </c>
      <c r="J421" s="224">
        <v>4214.1593993356</v>
      </c>
      <c r="K421" s="222" t="s">
        <v>1609</v>
      </c>
      <c r="L421" s="222">
        <v>1</v>
      </c>
      <c r="M421" s="222" t="s">
        <v>1610</v>
      </c>
      <c r="N421" s="222">
        <v>1</v>
      </c>
      <c r="O421" s="222">
        <v>7.6923080000000005E-2</v>
      </c>
      <c r="P421" s="225">
        <v>185</v>
      </c>
      <c r="Q421" s="224">
        <v>14.230769799999999</v>
      </c>
      <c r="R421" s="222">
        <v>11.02</v>
      </c>
      <c r="S421" s="226" t="str">
        <f>IFERROR(_xlfn.XLOOKUP(R421,'1_Presupuesto'!$E:$E,'1_Presupuesto'!$D:$D),"")</f>
        <v>Revestimiento MO</v>
      </c>
    </row>
    <row r="422" spans="1:19" ht="15" customHeight="1" x14ac:dyDescent="0.35">
      <c r="A422" s="222" t="s">
        <v>1602</v>
      </c>
      <c r="B422" s="222" t="s">
        <v>639</v>
      </c>
      <c r="C422" s="222" t="s">
        <v>646</v>
      </c>
      <c r="D422" s="222" t="s">
        <v>723</v>
      </c>
      <c r="E422" s="222" t="s">
        <v>724</v>
      </c>
      <c r="F422" s="222" t="s">
        <v>643</v>
      </c>
      <c r="G422" s="223">
        <v>7.6923080000000005E-2</v>
      </c>
      <c r="H422" s="222">
        <v>0</v>
      </c>
      <c r="I422" s="224">
        <v>75113.05</v>
      </c>
      <c r="J422" s="224">
        <v>5777.9271541940007</v>
      </c>
      <c r="K422" s="222" t="s">
        <v>1609</v>
      </c>
      <c r="L422" s="222">
        <v>2</v>
      </c>
      <c r="M422" s="222" t="s">
        <v>1611</v>
      </c>
      <c r="N422" s="222">
        <v>1</v>
      </c>
      <c r="O422" s="222">
        <v>7.6923080000000005E-2</v>
      </c>
      <c r="P422" s="225">
        <v>185</v>
      </c>
      <c r="Q422" s="224">
        <v>14.230769799999999</v>
      </c>
      <c r="R422" s="222">
        <v>11.02</v>
      </c>
      <c r="S422" s="226" t="str">
        <f>IFERROR(_xlfn.XLOOKUP(R422,'1_Presupuesto'!$E:$E,'1_Presupuesto'!$D:$D),"")</f>
        <v>Revestimiento MO</v>
      </c>
    </row>
    <row r="423" spans="1:19" ht="15" customHeight="1" x14ac:dyDescent="0.35">
      <c r="A423" s="222" t="s">
        <v>1602</v>
      </c>
      <c r="B423" s="222" t="s">
        <v>13</v>
      </c>
      <c r="C423" s="222"/>
      <c r="D423" s="222" t="s">
        <v>1595</v>
      </c>
      <c r="E423" s="222" t="s">
        <v>1596</v>
      </c>
      <c r="F423" s="222"/>
      <c r="G423" s="223">
        <v>7.6923080000000005E-2</v>
      </c>
      <c r="H423" s="222">
        <v>0</v>
      </c>
      <c r="I423" s="224">
        <v>2568.0682999999999</v>
      </c>
      <c r="J423" s="224">
        <v>197.54372328636401</v>
      </c>
      <c r="K423" s="222" t="s">
        <v>1612</v>
      </c>
      <c r="L423" s="222">
        <v>1</v>
      </c>
      <c r="M423" s="222" t="s">
        <v>1613</v>
      </c>
      <c r="N423" s="222">
        <v>1</v>
      </c>
      <c r="O423" s="222">
        <v>0</v>
      </c>
      <c r="P423" s="225">
        <v>185</v>
      </c>
      <c r="Q423" s="224">
        <v>0</v>
      </c>
      <c r="R423" s="222">
        <v>11.02</v>
      </c>
      <c r="S423" s="226" t="str">
        <f>IFERROR(_xlfn.XLOOKUP(R423,'1_Presupuesto'!$E:$E,'1_Presupuesto'!$D:$D),"")</f>
        <v>Revestimiento MO</v>
      </c>
    </row>
    <row r="424" spans="1:19" ht="15" customHeight="1" x14ac:dyDescent="0.35">
      <c r="A424" s="222" t="s">
        <v>1602</v>
      </c>
      <c r="B424" s="222" t="s">
        <v>13</v>
      </c>
      <c r="C424" s="222"/>
      <c r="D424" s="222" t="s">
        <v>1599</v>
      </c>
      <c r="E424" s="222" t="s">
        <v>1600</v>
      </c>
      <c r="F424" s="222"/>
      <c r="G424" s="223">
        <v>7.6923080000000005E-2</v>
      </c>
      <c r="H424" s="222">
        <v>0</v>
      </c>
      <c r="I424" s="224">
        <v>290.60739999999998</v>
      </c>
      <c r="J424" s="224">
        <v>22.354416278792002</v>
      </c>
      <c r="K424" s="222" t="s">
        <v>1612</v>
      </c>
      <c r="L424" s="222">
        <v>2</v>
      </c>
      <c r="M424" s="222" t="s">
        <v>1614</v>
      </c>
      <c r="N424" s="222">
        <v>1</v>
      </c>
      <c r="O424" s="222">
        <v>0</v>
      </c>
      <c r="P424" s="225">
        <v>185</v>
      </c>
      <c r="Q424" s="224">
        <v>0</v>
      </c>
      <c r="R424" s="222">
        <v>11.02</v>
      </c>
      <c r="S424" s="226" t="str">
        <f>IFERROR(_xlfn.XLOOKUP(R424,'1_Presupuesto'!$E:$E,'1_Presupuesto'!$D:$D),"")</f>
        <v>Revestimiento MO</v>
      </c>
    </row>
    <row r="425" spans="1:19" ht="15" customHeight="1" x14ac:dyDescent="0.35">
      <c r="A425" s="222" t="s">
        <v>1615</v>
      </c>
      <c r="B425" s="222" t="s">
        <v>654</v>
      </c>
      <c r="C425" s="222" t="s">
        <v>719</v>
      </c>
      <c r="D425" s="222" t="s">
        <v>1578</v>
      </c>
      <c r="E425" s="222" t="s">
        <v>1579</v>
      </c>
      <c r="F425" s="222"/>
      <c r="G425" s="223">
        <v>0.2</v>
      </c>
      <c r="H425" s="222">
        <v>0.2</v>
      </c>
      <c r="I425" s="224">
        <v>21494.592000000001</v>
      </c>
      <c r="J425" s="224">
        <v>5158.70208</v>
      </c>
      <c r="K425" s="222" t="s">
        <v>1616</v>
      </c>
      <c r="L425" s="222">
        <v>1</v>
      </c>
      <c r="M425" s="222" t="s">
        <v>1617</v>
      </c>
      <c r="N425" s="222">
        <v>1</v>
      </c>
      <c r="O425" s="222">
        <v>0</v>
      </c>
      <c r="P425" s="225">
        <v>942</v>
      </c>
      <c r="Q425" s="224">
        <v>0</v>
      </c>
      <c r="R425" s="222">
        <v>11.03</v>
      </c>
      <c r="S425" s="226" t="str">
        <f>IFERROR(_xlfn.XLOOKUP(R425,'1_Presupuesto'!$E:$E,'1_Presupuesto'!$D:$D),"")</f>
        <v>Revestimiento MO</v>
      </c>
    </row>
    <row r="426" spans="1:19" ht="15" customHeight="1" x14ac:dyDescent="0.35">
      <c r="A426" s="222" t="s">
        <v>1615</v>
      </c>
      <c r="B426" s="222" t="s">
        <v>654</v>
      </c>
      <c r="C426" s="222" t="s">
        <v>719</v>
      </c>
      <c r="D426" s="222" t="s">
        <v>1582</v>
      </c>
      <c r="E426" s="222" t="s">
        <v>1583</v>
      </c>
      <c r="F426" s="222"/>
      <c r="G426" s="223">
        <v>0.2</v>
      </c>
      <c r="H426" s="222">
        <v>0.05</v>
      </c>
      <c r="I426" s="224">
        <v>2930.36</v>
      </c>
      <c r="J426" s="224">
        <v>615.37560000000008</v>
      </c>
      <c r="K426" s="222" t="s">
        <v>1616</v>
      </c>
      <c r="L426" s="222">
        <v>2</v>
      </c>
      <c r="M426" s="222" t="s">
        <v>1618</v>
      </c>
      <c r="N426" s="222">
        <v>1</v>
      </c>
      <c r="O426" s="222">
        <v>0</v>
      </c>
      <c r="P426" s="225">
        <v>942</v>
      </c>
      <c r="Q426" s="224">
        <v>0</v>
      </c>
      <c r="R426" s="222">
        <v>11.03</v>
      </c>
      <c r="S426" s="226" t="str">
        <f>IFERROR(_xlfn.XLOOKUP(R426,'1_Presupuesto'!$E:$E,'1_Presupuesto'!$D:$D),"")</f>
        <v>Revestimiento MO</v>
      </c>
    </row>
    <row r="427" spans="1:19" ht="15" customHeight="1" x14ac:dyDescent="0.35">
      <c r="A427" s="222" t="s">
        <v>1615</v>
      </c>
      <c r="B427" s="222" t="s">
        <v>654</v>
      </c>
      <c r="C427" s="222" t="s">
        <v>719</v>
      </c>
      <c r="D427" s="222" t="s">
        <v>1585</v>
      </c>
      <c r="E427" s="222" t="s">
        <v>1586</v>
      </c>
      <c r="F427" s="222"/>
      <c r="G427" s="223">
        <v>4.0000000000000001E-3</v>
      </c>
      <c r="H427" s="222">
        <v>0.05</v>
      </c>
      <c r="I427" s="224">
        <v>21453.297500000001</v>
      </c>
      <c r="J427" s="224">
        <v>90.10384950000001</v>
      </c>
      <c r="K427" s="222" t="s">
        <v>1616</v>
      </c>
      <c r="L427" s="222">
        <v>3</v>
      </c>
      <c r="M427" s="222" t="s">
        <v>1619</v>
      </c>
      <c r="N427" s="222">
        <v>1</v>
      </c>
      <c r="O427" s="222">
        <v>0</v>
      </c>
      <c r="P427" s="225">
        <v>942</v>
      </c>
      <c r="Q427" s="224">
        <v>0</v>
      </c>
      <c r="R427" s="222">
        <v>11.03</v>
      </c>
      <c r="S427" s="226" t="str">
        <f>IFERROR(_xlfn.XLOOKUP(R427,'1_Presupuesto'!$E:$E,'1_Presupuesto'!$D:$D),"")</f>
        <v>Revestimiento MO</v>
      </c>
    </row>
    <row r="428" spans="1:19" ht="15" customHeight="1" x14ac:dyDescent="0.35">
      <c r="A428" s="222" t="s">
        <v>1615</v>
      </c>
      <c r="B428" s="222" t="s">
        <v>654</v>
      </c>
      <c r="C428" s="222" t="s">
        <v>719</v>
      </c>
      <c r="D428" s="222" t="s">
        <v>1588</v>
      </c>
      <c r="E428" s="222" t="s">
        <v>1589</v>
      </c>
      <c r="F428" s="222"/>
      <c r="G428" s="223">
        <v>0.04</v>
      </c>
      <c r="H428" s="222">
        <v>0.05</v>
      </c>
      <c r="I428" s="224">
        <v>32805.983500000002</v>
      </c>
      <c r="J428" s="224">
        <v>1377.8513069999999</v>
      </c>
      <c r="K428" s="222" t="s">
        <v>1616</v>
      </c>
      <c r="L428" s="222">
        <v>4</v>
      </c>
      <c r="M428" s="222" t="s">
        <v>1620</v>
      </c>
      <c r="N428" s="222">
        <v>1</v>
      </c>
      <c r="O428" s="222">
        <v>0</v>
      </c>
      <c r="P428" s="225">
        <v>942</v>
      </c>
      <c r="Q428" s="224">
        <v>0</v>
      </c>
      <c r="R428" s="222">
        <v>11.03</v>
      </c>
      <c r="S428" s="226" t="str">
        <f>IFERROR(_xlfn.XLOOKUP(R428,'1_Presupuesto'!$E:$E,'1_Presupuesto'!$D:$D),"")</f>
        <v>Revestimiento MO</v>
      </c>
    </row>
    <row r="429" spans="1:19" ht="15" customHeight="1" x14ac:dyDescent="0.35">
      <c r="A429" s="222" t="s">
        <v>1615</v>
      </c>
      <c r="B429" s="222" t="s">
        <v>654</v>
      </c>
      <c r="C429" s="222" t="s">
        <v>719</v>
      </c>
      <c r="D429" s="222" t="s">
        <v>1218</v>
      </c>
      <c r="E429" s="222" t="s">
        <v>1219</v>
      </c>
      <c r="F429" s="222"/>
      <c r="G429" s="223">
        <v>0.01</v>
      </c>
      <c r="H429" s="222">
        <v>0.03</v>
      </c>
      <c r="I429" s="224">
        <v>784.06</v>
      </c>
      <c r="J429" s="224">
        <v>8.0758179999999999</v>
      </c>
      <c r="K429" s="222" t="s">
        <v>1616</v>
      </c>
      <c r="L429" s="222">
        <v>5</v>
      </c>
      <c r="M429" s="222" t="s">
        <v>1621</v>
      </c>
      <c r="N429" s="222">
        <v>1</v>
      </c>
      <c r="O429" s="222">
        <v>0</v>
      </c>
      <c r="P429" s="225">
        <v>942</v>
      </c>
      <c r="Q429" s="224">
        <v>0</v>
      </c>
      <c r="R429" s="222">
        <v>11.03</v>
      </c>
      <c r="S429" s="226" t="str">
        <f>IFERROR(_xlfn.XLOOKUP(R429,'1_Presupuesto'!$E:$E,'1_Presupuesto'!$D:$D),"")</f>
        <v>Revestimiento MO</v>
      </c>
    </row>
    <row r="430" spans="1:19" ht="15" customHeight="1" x14ac:dyDescent="0.35">
      <c r="A430" s="222" t="s">
        <v>1615</v>
      </c>
      <c r="B430" s="222" t="s">
        <v>639</v>
      </c>
      <c r="C430" s="222" t="s">
        <v>646</v>
      </c>
      <c r="D430" s="222" t="s">
        <v>687</v>
      </c>
      <c r="E430" s="222" t="s">
        <v>688</v>
      </c>
      <c r="F430" s="222" t="s">
        <v>643</v>
      </c>
      <c r="G430" s="223">
        <v>7.6923080000000005E-2</v>
      </c>
      <c r="H430" s="222">
        <v>0</v>
      </c>
      <c r="I430" s="224">
        <v>54784.07</v>
      </c>
      <c r="J430" s="224">
        <v>4214.1593993356</v>
      </c>
      <c r="K430" s="222" t="s">
        <v>1622</v>
      </c>
      <c r="L430" s="222">
        <v>1</v>
      </c>
      <c r="M430" s="222" t="s">
        <v>1623</v>
      </c>
      <c r="N430" s="222">
        <v>1</v>
      </c>
      <c r="O430" s="222">
        <v>7.6923080000000005E-2</v>
      </c>
      <c r="P430" s="225">
        <v>942</v>
      </c>
      <c r="Q430" s="224">
        <v>72.461541359999998</v>
      </c>
      <c r="R430" s="222">
        <v>11.03</v>
      </c>
      <c r="S430" s="226" t="str">
        <f>IFERROR(_xlfn.XLOOKUP(R430,'1_Presupuesto'!$E:$E,'1_Presupuesto'!$D:$D),"")</f>
        <v>Revestimiento MO</v>
      </c>
    </row>
    <row r="431" spans="1:19" ht="15" customHeight="1" x14ac:dyDescent="0.35">
      <c r="A431" s="222" t="s">
        <v>1615</v>
      </c>
      <c r="B431" s="222" t="s">
        <v>639</v>
      </c>
      <c r="C431" s="222" t="s">
        <v>646</v>
      </c>
      <c r="D431" s="222" t="s">
        <v>723</v>
      </c>
      <c r="E431" s="222" t="s">
        <v>724</v>
      </c>
      <c r="F431" s="222" t="s">
        <v>643</v>
      </c>
      <c r="G431" s="223">
        <v>7.6923080000000005E-2</v>
      </c>
      <c r="H431" s="222">
        <v>0</v>
      </c>
      <c r="I431" s="224">
        <v>75113.05</v>
      </c>
      <c r="J431" s="224">
        <v>5777.9271541940007</v>
      </c>
      <c r="K431" s="222" t="s">
        <v>1622</v>
      </c>
      <c r="L431" s="222">
        <v>2</v>
      </c>
      <c r="M431" s="222" t="s">
        <v>1624</v>
      </c>
      <c r="N431" s="222">
        <v>1</v>
      </c>
      <c r="O431" s="222">
        <v>7.6923080000000005E-2</v>
      </c>
      <c r="P431" s="225">
        <v>942</v>
      </c>
      <c r="Q431" s="224">
        <v>72.461541359999998</v>
      </c>
      <c r="R431" s="222">
        <v>11.03</v>
      </c>
      <c r="S431" s="226" t="str">
        <f>IFERROR(_xlfn.XLOOKUP(R431,'1_Presupuesto'!$E:$E,'1_Presupuesto'!$D:$D),"")</f>
        <v>Revestimiento MO</v>
      </c>
    </row>
    <row r="432" spans="1:19" ht="15" customHeight="1" x14ac:dyDescent="0.35">
      <c r="A432" s="222" t="s">
        <v>1615</v>
      </c>
      <c r="B432" s="222" t="s">
        <v>13</v>
      </c>
      <c r="C432" s="222"/>
      <c r="D432" s="222" t="s">
        <v>1595</v>
      </c>
      <c r="E432" s="222" t="s">
        <v>1596</v>
      </c>
      <c r="F432" s="222"/>
      <c r="G432" s="223">
        <v>7.6923080000000005E-2</v>
      </c>
      <c r="H432" s="222">
        <v>0</v>
      </c>
      <c r="I432" s="224">
        <v>2568.0682999999999</v>
      </c>
      <c r="J432" s="224">
        <v>197.54372328636401</v>
      </c>
      <c r="K432" s="222" t="s">
        <v>1625</v>
      </c>
      <c r="L432" s="222">
        <v>1</v>
      </c>
      <c r="M432" s="222" t="s">
        <v>1626</v>
      </c>
      <c r="N432" s="222">
        <v>1</v>
      </c>
      <c r="O432" s="222">
        <v>0</v>
      </c>
      <c r="P432" s="225">
        <v>942</v>
      </c>
      <c r="Q432" s="224">
        <v>0</v>
      </c>
      <c r="R432" s="222">
        <v>11.03</v>
      </c>
      <c r="S432" s="226" t="str">
        <f>IFERROR(_xlfn.XLOOKUP(R432,'1_Presupuesto'!$E:$E,'1_Presupuesto'!$D:$D),"")</f>
        <v>Revestimiento MO</v>
      </c>
    </row>
    <row r="433" spans="1:19" ht="15" customHeight="1" x14ac:dyDescent="0.35">
      <c r="A433" s="222" t="s">
        <v>1615</v>
      </c>
      <c r="B433" s="222" t="s">
        <v>13</v>
      </c>
      <c r="C433" s="222"/>
      <c r="D433" s="222" t="s">
        <v>1599</v>
      </c>
      <c r="E433" s="222" t="s">
        <v>1600</v>
      </c>
      <c r="F433" s="222"/>
      <c r="G433" s="223">
        <v>7.6923080000000005E-2</v>
      </c>
      <c r="H433" s="222">
        <v>0</v>
      </c>
      <c r="I433" s="224">
        <v>290.60739999999998</v>
      </c>
      <c r="J433" s="224">
        <v>22.354416278792002</v>
      </c>
      <c r="K433" s="222" t="s">
        <v>1625</v>
      </c>
      <c r="L433" s="222">
        <v>2</v>
      </c>
      <c r="M433" s="222" t="s">
        <v>1627</v>
      </c>
      <c r="N433" s="222">
        <v>1</v>
      </c>
      <c r="O433" s="222">
        <v>0</v>
      </c>
      <c r="P433" s="225">
        <v>942</v>
      </c>
      <c r="Q433" s="224">
        <v>0</v>
      </c>
      <c r="R433" s="222">
        <v>11.03</v>
      </c>
      <c r="S433" s="226" t="str">
        <f>IFERROR(_xlfn.XLOOKUP(R433,'1_Presupuesto'!$E:$E,'1_Presupuesto'!$D:$D),"")</f>
        <v>Revestimiento MO</v>
      </c>
    </row>
    <row r="434" spans="1:19" ht="15" customHeight="1" x14ac:dyDescent="0.35">
      <c r="A434" s="222" t="s">
        <v>1628</v>
      </c>
      <c r="B434" s="222" t="s">
        <v>654</v>
      </c>
      <c r="C434" s="222" t="s">
        <v>719</v>
      </c>
      <c r="D434" s="222" t="s">
        <v>1578</v>
      </c>
      <c r="E434" s="222" t="s">
        <v>1579</v>
      </c>
      <c r="F434" s="222"/>
      <c r="G434" s="223">
        <v>0.2</v>
      </c>
      <c r="H434" s="222">
        <v>0.2</v>
      </c>
      <c r="I434" s="224">
        <v>21494.592000000001</v>
      </c>
      <c r="J434" s="224">
        <v>5158.70208</v>
      </c>
      <c r="K434" s="222" t="s">
        <v>1629</v>
      </c>
      <c r="L434" s="222">
        <v>1</v>
      </c>
      <c r="M434" s="222" t="s">
        <v>1630</v>
      </c>
      <c r="N434" s="222">
        <v>1</v>
      </c>
      <c r="O434" s="222">
        <v>0</v>
      </c>
      <c r="P434" s="225">
        <v>110</v>
      </c>
      <c r="Q434" s="224">
        <v>0</v>
      </c>
      <c r="R434" s="222">
        <v>11.04</v>
      </c>
      <c r="S434" s="226" t="str">
        <f>IFERROR(_xlfn.XLOOKUP(R434,'1_Presupuesto'!$E:$E,'1_Presupuesto'!$D:$D),"")</f>
        <v>Revestimiento MO</v>
      </c>
    </row>
    <row r="435" spans="1:19" ht="15" customHeight="1" x14ac:dyDescent="0.35">
      <c r="A435" s="222" t="s">
        <v>1628</v>
      </c>
      <c r="B435" s="222" t="s">
        <v>654</v>
      </c>
      <c r="C435" s="222" t="s">
        <v>719</v>
      </c>
      <c r="D435" s="222" t="s">
        <v>1582</v>
      </c>
      <c r="E435" s="222" t="s">
        <v>1583</v>
      </c>
      <c r="F435" s="222"/>
      <c r="G435" s="223">
        <v>0.2</v>
      </c>
      <c r="H435" s="222">
        <v>0.05</v>
      </c>
      <c r="I435" s="224">
        <v>2930.36</v>
      </c>
      <c r="J435" s="224">
        <v>615.37560000000008</v>
      </c>
      <c r="K435" s="222" t="s">
        <v>1629</v>
      </c>
      <c r="L435" s="222">
        <v>2</v>
      </c>
      <c r="M435" s="222" t="s">
        <v>1631</v>
      </c>
      <c r="N435" s="222">
        <v>1</v>
      </c>
      <c r="O435" s="222">
        <v>0</v>
      </c>
      <c r="P435" s="225">
        <v>110</v>
      </c>
      <c r="Q435" s="224">
        <v>0</v>
      </c>
      <c r="R435" s="222">
        <v>11.04</v>
      </c>
      <c r="S435" s="226" t="str">
        <f>IFERROR(_xlfn.XLOOKUP(R435,'1_Presupuesto'!$E:$E,'1_Presupuesto'!$D:$D),"")</f>
        <v>Revestimiento MO</v>
      </c>
    </row>
    <row r="436" spans="1:19" ht="15" customHeight="1" x14ac:dyDescent="0.35">
      <c r="A436" s="222" t="s">
        <v>1628</v>
      </c>
      <c r="B436" s="222" t="s">
        <v>654</v>
      </c>
      <c r="C436" s="222" t="s">
        <v>719</v>
      </c>
      <c r="D436" s="222" t="s">
        <v>1585</v>
      </c>
      <c r="E436" s="222" t="s">
        <v>1586</v>
      </c>
      <c r="F436" s="222"/>
      <c r="G436" s="223">
        <v>4.0000000000000001E-3</v>
      </c>
      <c r="H436" s="222">
        <v>0.05</v>
      </c>
      <c r="I436" s="224">
        <v>21453.297500000001</v>
      </c>
      <c r="J436" s="224">
        <v>90.10384950000001</v>
      </c>
      <c r="K436" s="222" t="s">
        <v>1629</v>
      </c>
      <c r="L436" s="222">
        <v>3</v>
      </c>
      <c r="M436" s="222" t="s">
        <v>1632</v>
      </c>
      <c r="N436" s="222">
        <v>1</v>
      </c>
      <c r="O436" s="222">
        <v>0</v>
      </c>
      <c r="P436" s="225">
        <v>110</v>
      </c>
      <c r="Q436" s="224">
        <v>0</v>
      </c>
      <c r="R436" s="222">
        <v>11.04</v>
      </c>
      <c r="S436" s="226" t="str">
        <f>IFERROR(_xlfn.XLOOKUP(R436,'1_Presupuesto'!$E:$E,'1_Presupuesto'!$D:$D),"")</f>
        <v>Revestimiento MO</v>
      </c>
    </row>
    <row r="437" spans="1:19" ht="15" customHeight="1" x14ac:dyDescent="0.35">
      <c r="A437" s="222" t="s">
        <v>1628</v>
      </c>
      <c r="B437" s="222" t="s">
        <v>654</v>
      </c>
      <c r="C437" s="222" t="s">
        <v>719</v>
      </c>
      <c r="D437" s="222" t="s">
        <v>1588</v>
      </c>
      <c r="E437" s="222" t="s">
        <v>1589</v>
      </c>
      <c r="F437" s="222"/>
      <c r="G437" s="223">
        <v>0.04</v>
      </c>
      <c r="H437" s="222">
        <v>0.05</v>
      </c>
      <c r="I437" s="224">
        <v>32805.983500000002</v>
      </c>
      <c r="J437" s="224">
        <v>1377.8513069999999</v>
      </c>
      <c r="K437" s="222" t="s">
        <v>1629</v>
      </c>
      <c r="L437" s="222">
        <v>4</v>
      </c>
      <c r="M437" s="222" t="s">
        <v>1633</v>
      </c>
      <c r="N437" s="222">
        <v>1</v>
      </c>
      <c r="O437" s="222">
        <v>0</v>
      </c>
      <c r="P437" s="225">
        <v>110</v>
      </c>
      <c r="Q437" s="224">
        <v>0</v>
      </c>
      <c r="R437" s="222">
        <v>11.04</v>
      </c>
      <c r="S437" s="226" t="str">
        <f>IFERROR(_xlfn.XLOOKUP(R437,'1_Presupuesto'!$E:$E,'1_Presupuesto'!$D:$D),"")</f>
        <v>Revestimiento MO</v>
      </c>
    </row>
    <row r="438" spans="1:19" ht="15" customHeight="1" x14ac:dyDescent="0.35">
      <c r="A438" s="222" t="s">
        <v>1628</v>
      </c>
      <c r="B438" s="222" t="s">
        <v>654</v>
      </c>
      <c r="C438" s="222" t="s">
        <v>719</v>
      </c>
      <c r="D438" s="222" t="s">
        <v>1218</v>
      </c>
      <c r="E438" s="222" t="s">
        <v>1219</v>
      </c>
      <c r="F438" s="222"/>
      <c r="G438" s="223">
        <v>0.01</v>
      </c>
      <c r="H438" s="222">
        <v>0.03</v>
      </c>
      <c r="I438" s="224">
        <v>784.06</v>
      </c>
      <c r="J438" s="224">
        <v>8.0758179999999999</v>
      </c>
      <c r="K438" s="222" t="s">
        <v>1629</v>
      </c>
      <c r="L438" s="222">
        <v>5</v>
      </c>
      <c r="M438" s="222" t="s">
        <v>1634</v>
      </c>
      <c r="N438" s="222">
        <v>1</v>
      </c>
      <c r="O438" s="222">
        <v>0</v>
      </c>
      <c r="P438" s="225">
        <v>110</v>
      </c>
      <c r="Q438" s="224">
        <v>0</v>
      </c>
      <c r="R438" s="222">
        <v>11.04</v>
      </c>
      <c r="S438" s="226" t="str">
        <f>IFERROR(_xlfn.XLOOKUP(R438,'1_Presupuesto'!$E:$E,'1_Presupuesto'!$D:$D),"")</f>
        <v>Revestimiento MO</v>
      </c>
    </row>
    <row r="439" spans="1:19" ht="15" customHeight="1" x14ac:dyDescent="0.35">
      <c r="A439" s="222" t="s">
        <v>1628</v>
      </c>
      <c r="B439" s="222" t="s">
        <v>639</v>
      </c>
      <c r="C439" s="222" t="s">
        <v>646</v>
      </c>
      <c r="D439" s="222" t="s">
        <v>687</v>
      </c>
      <c r="E439" s="222" t="s">
        <v>688</v>
      </c>
      <c r="F439" s="222" t="s">
        <v>643</v>
      </c>
      <c r="G439" s="223">
        <v>0.1</v>
      </c>
      <c r="H439" s="222">
        <v>0</v>
      </c>
      <c r="I439" s="224">
        <v>54784.07</v>
      </c>
      <c r="J439" s="224">
        <v>5478.4070000000002</v>
      </c>
      <c r="K439" s="222" t="s">
        <v>1635</v>
      </c>
      <c r="L439" s="222">
        <v>1</v>
      </c>
      <c r="M439" s="222" t="s">
        <v>1636</v>
      </c>
      <c r="N439" s="222">
        <v>1</v>
      </c>
      <c r="O439" s="222">
        <v>0.1</v>
      </c>
      <c r="P439" s="225">
        <v>110</v>
      </c>
      <c r="Q439" s="224">
        <v>11</v>
      </c>
      <c r="R439" s="222">
        <v>11.04</v>
      </c>
      <c r="S439" s="226" t="str">
        <f>IFERROR(_xlfn.XLOOKUP(R439,'1_Presupuesto'!$E:$E,'1_Presupuesto'!$D:$D),"")</f>
        <v>Revestimiento MO</v>
      </c>
    </row>
    <row r="440" spans="1:19" ht="15" customHeight="1" x14ac:dyDescent="0.35">
      <c r="A440" s="222" t="s">
        <v>1628</v>
      </c>
      <c r="B440" s="222" t="s">
        <v>639</v>
      </c>
      <c r="C440" s="222" t="s">
        <v>646</v>
      </c>
      <c r="D440" s="222" t="s">
        <v>723</v>
      </c>
      <c r="E440" s="222" t="s">
        <v>724</v>
      </c>
      <c r="F440" s="222" t="s">
        <v>643</v>
      </c>
      <c r="G440" s="223">
        <v>0.1</v>
      </c>
      <c r="H440" s="222">
        <v>0</v>
      </c>
      <c r="I440" s="224">
        <v>75113.05</v>
      </c>
      <c r="J440" s="224">
        <v>7511.3050000000003</v>
      </c>
      <c r="K440" s="222" t="s">
        <v>1635</v>
      </c>
      <c r="L440" s="222">
        <v>2</v>
      </c>
      <c r="M440" s="222" t="s">
        <v>1637</v>
      </c>
      <c r="N440" s="222">
        <v>1</v>
      </c>
      <c r="O440" s="222">
        <v>0.1</v>
      </c>
      <c r="P440" s="225">
        <v>110</v>
      </c>
      <c r="Q440" s="224">
        <v>11</v>
      </c>
      <c r="R440" s="222">
        <v>11.04</v>
      </c>
      <c r="S440" s="226" t="str">
        <f>IFERROR(_xlfn.XLOOKUP(R440,'1_Presupuesto'!$E:$E,'1_Presupuesto'!$D:$D),"")</f>
        <v>Revestimiento MO</v>
      </c>
    </row>
    <row r="441" spans="1:19" ht="15" customHeight="1" x14ac:dyDescent="0.35">
      <c r="A441" s="222" t="s">
        <v>1628</v>
      </c>
      <c r="B441" s="222" t="s">
        <v>13</v>
      </c>
      <c r="C441" s="222"/>
      <c r="D441" s="222" t="s">
        <v>1595</v>
      </c>
      <c r="E441" s="222" t="s">
        <v>1596</v>
      </c>
      <c r="F441" s="222"/>
      <c r="G441" s="223">
        <v>0.1</v>
      </c>
      <c r="H441" s="222">
        <v>0</v>
      </c>
      <c r="I441" s="224">
        <v>2568.0682999999999</v>
      </c>
      <c r="J441" s="224">
        <v>256.80682999999999</v>
      </c>
      <c r="K441" s="222" t="s">
        <v>1638</v>
      </c>
      <c r="L441" s="222">
        <v>1</v>
      </c>
      <c r="M441" s="222" t="s">
        <v>1639</v>
      </c>
      <c r="N441" s="222">
        <v>1</v>
      </c>
      <c r="O441" s="222">
        <v>0</v>
      </c>
      <c r="P441" s="225">
        <v>110</v>
      </c>
      <c r="Q441" s="224">
        <v>0</v>
      </c>
      <c r="R441" s="222">
        <v>11.04</v>
      </c>
      <c r="S441" s="226" t="str">
        <f>IFERROR(_xlfn.XLOOKUP(R441,'1_Presupuesto'!$E:$E,'1_Presupuesto'!$D:$D),"")</f>
        <v>Revestimiento MO</v>
      </c>
    </row>
    <row r="442" spans="1:19" ht="15" customHeight="1" x14ac:dyDescent="0.35">
      <c r="A442" s="222" t="s">
        <v>1628</v>
      </c>
      <c r="B442" s="222" t="s">
        <v>13</v>
      </c>
      <c r="C442" s="222"/>
      <c r="D442" s="222" t="s">
        <v>1599</v>
      </c>
      <c r="E442" s="222" t="s">
        <v>1600</v>
      </c>
      <c r="F442" s="222"/>
      <c r="G442" s="223">
        <v>0.1</v>
      </c>
      <c r="H442" s="222">
        <v>0</v>
      </c>
      <c r="I442" s="224">
        <v>290.60739999999998</v>
      </c>
      <c r="J442" s="224">
        <v>29.060739999999999</v>
      </c>
      <c r="K442" s="222" t="s">
        <v>1638</v>
      </c>
      <c r="L442" s="222">
        <v>2</v>
      </c>
      <c r="M442" s="222" t="s">
        <v>1640</v>
      </c>
      <c r="N442" s="222">
        <v>1</v>
      </c>
      <c r="O442" s="222">
        <v>0</v>
      </c>
      <c r="P442" s="225">
        <v>110</v>
      </c>
      <c r="Q442" s="224">
        <v>0</v>
      </c>
      <c r="R442" s="222">
        <v>11.04</v>
      </c>
      <c r="S442" s="226" t="str">
        <f>IFERROR(_xlfn.XLOOKUP(R442,'1_Presupuesto'!$E:$E,'1_Presupuesto'!$D:$D),"")</f>
        <v>Revestimiento MO</v>
      </c>
    </row>
    <row r="443" spans="1:19" ht="15" customHeight="1" x14ac:dyDescent="0.35">
      <c r="A443" s="222" t="s">
        <v>1641</v>
      </c>
      <c r="B443" s="222" t="s">
        <v>654</v>
      </c>
      <c r="C443" s="222" t="s">
        <v>719</v>
      </c>
      <c r="D443" s="222" t="s">
        <v>1057</v>
      </c>
      <c r="E443" s="222" t="s">
        <v>1058</v>
      </c>
      <c r="F443" s="222"/>
      <c r="G443" s="223">
        <v>0.32400000000000001</v>
      </c>
      <c r="H443" s="222">
        <v>0.1</v>
      </c>
      <c r="I443" s="224">
        <v>7233.47</v>
      </c>
      <c r="J443" s="224">
        <v>2578.0087079999998</v>
      </c>
      <c r="K443" s="222" t="s">
        <v>1642</v>
      </c>
      <c r="L443" s="222">
        <v>1</v>
      </c>
      <c r="M443" s="222" t="s">
        <v>1643</v>
      </c>
      <c r="N443" s="222">
        <v>1</v>
      </c>
      <c r="O443" s="222">
        <v>0</v>
      </c>
      <c r="P443" s="225">
        <v>128</v>
      </c>
      <c r="Q443" s="224">
        <v>0</v>
      </c>
      <c r="R443" s="222">
        <v>11.05</v>
      </c>
      <c r="S443" s="226" t="str">
        <f>IFERROR(_xlfn.XLOOKUP(R443,'1_Presupuesto'!$E:$E,'1_Presupuesto'!$D:$D),"")</f>
        <v>Revestimiento MO</v>
      </c>
    </row>
    <row r="444" spans="1:19" ht="15" customHeight="1" x14ac:dyDescent="0.35">
      <c r="A444" s="222" t="s">
        <v>1641</v>
      </c>
      <c r="B444" s="222" t="s">
        <v>654</v>
      </c>
      <c r="C444" s="222" t="s">
        <v>719</v>
      </c>
      <c r="D444" s="222" t="s">
        <v>1051</v>
      </c>
      <c r="E444" s="222" t="s">
        <v>1052</v>
      </c>
      <c r="F444" s="222"/>
      <c r="G444" s="223">
        <v>3.5999999999999997E-2</v>
      </c>
      <c r="H444" s="222">
        <v>0.1</v>
      </c>
      <c r="I444" s="224">
        <v>31265.15</v>
      </c>
      <c r="J444" s="224">
        <v>1238.0999400000001</v>
      </c>
      <c r="K444" s="222" t="s">
        <v>1642</v>
      </c>
      <c r="L444" s="222">
        <v>2</v>
      </c>
      <c r="M444" s="222" t="s">
        <v>1644</v>
      </c>
      <c r="N444" s="222">
        <v>1</v>
      </c>
      <c r="O444" s="222">
        <v>0</v>
      </c>
      <c r="P444" s="225">
        <v>128</v>
      </c>
      <c r="Q444" s="224">
        <v>0</v>
      </c>
      <c r="R444" s="222">
        <v>11.05</v>
      </c>
      <c r="S444" s="226" t="str">
        <f>IFERROR(_xlfn.XLOOKUP(R444,'1_Presupuesto'!$E:$E,'1_Presupuesto'!$D:$D),"")</f>
        <v>Revestimiento MO</v>
      </c>
    </row>
    <row r="445" spans="1:19" ht="15" customHeight="1" x14ac:dyDescent="0.35">
      <c r="A445" s="222" t="s">
        <v>1641</v>
      </c>
      <c r="B445" s="222" t="s">
        <v>639</v>
      </c>
      <c r="C445" s="222" t="s">
        <v>646</v>
      </c>
      <c r="D445" s="222" t="s">
        <v>647</v>
      </c>
      <c r="E445" s="222" t="s">
        <v>648</v>
      </c>
      <c r="F445" s="222" t="s">
        <v>643</v>
      </c>
      <c r="G445" s="223">
        <v>4.3478259999999998E-2</v>
      </c>
      <c r="H445" s="222">
        <v>0</v>
      </c>
      <c r="I445" s="224">
        <v>49934.239999999998</v>
      </c>
      <c r="J445" s="224">
        <v>2171.0538696223998</v>
      </c>
      <c r="K445" s="222" t="s">
        <v>1645</v>
      </c>
      <c r="L445" s="222">
        <v>1</v>
      </c>
      <c r="M445" s="222" t="s">
        <v>1646</v>
      </c>
      <c r="N445" s="222">
        <v>1</v>
      </c>
      <c r="O445" s="222">
        <v>4.3478259999999998E-2</v>
      </c>
      <c r="P445" s="225">
        <v>128</v>
      </c>
      <c r="Q445" s="224">
        <v>5.5652172799999997</v>
      </c>
      <c r="R445" s="222">
        <v>11.05</v>
      </c>
      <c r="S445" s="226" t="str">
        <f>IFERROR(_xlfn.XLOOKUP(R445,'1_Presupuesto'!$E:$E,'1_Presupuesto'!$D:$D),"")</f>
        <v>Revestimiento MO</v>
      </c>
    </row>
    <row r="446" spans="1:19" ht="15" customHeight="1" x14ac:dyDescent="0.35">
      <c r="A446" s="222" t="s">
        <v>1641</v>
      </c>
      <c r="B446" s="222" t="s">
        <v>639</v>
      </c>
      <c r="C446" s="222" t="s">
        <v>646</v>
      </c>
      <c r="D446" s="222" t="s">
        <v>723</v>
      </c>
      <c r="E446" s="222" t="s">
        <v>724</v>
      </c>
      <c r="F446" s="222" t="s">
        <v>643</v>
      </c>
      <c r="G446" s="223">
        <v>8.6956519999999995E-2</v>
      </c>
      <c r="H446" s="222">
        <v>0</v>
      </c>
      <c r="I446" s="224">
        <v>75113.05</v>
      </c>
      <c r="J446" s="224">
        <v>6531.5694345860002</v>
      </c>
      <c r="K446" s="222" t="s">
        <v>1645</v>
      </c>
      <c r="L446" s="222">
        <v>2</v>
      </c>
      <c r="M446" s="222" t="s">
        <v>1647</v>
      </c>
      <c r="N446" s="222">
        <v>1</v>
      </c>
      <c r="O446" s="222">
        <v>8.6956519999999995E-2</v>
      </c>
      <c r="P446" s="225">
        <v>128</v>
      </c>
      <c r="Q446" s="224">
        <v>11.130434559999999</v>
      </c>
      <c r="R446" s="222">
        <v>11.05</v>
      </c>
      <c r="S446" s="226" t="str">
        <f>IFERROR(_xlfn.XLOOKUP(R446,'1_Presupuesto'!$E:$E,'1_Presupuesto'!$D:$D),"")</f>
        <v>Revestimiento MO</v>
      </c>
    </row>
    <row r="447" spans="1:19" ht="15" customHeight="1" x14ac:dyDescent="0.35">
      <c r="A447" s="222" t="s">
        <v>1641</v>
      </c>
      <c r="B447" s="222" t="s">
        <v>13</v>
      </c>
      <c r="C447" s="222"/>
      <c r="D447" s="222" t="s">
        <v>1070</v>
      </c>
      <c r="E447" s="222" t="s">
        <v>1071</v>
      </c>
      <c r="F447" s="222"/>
      <c r="G447" s="223">
        <v>8.6956519999999995E-2</v>
      </c>
      <c r="H447" s="222">
        <v>0</v>
      </c>
      <c r="I447" s="224">
        <v>932.18029999999999</v>
      </c>
      <c r="J447" s="224">
        <v>81.059154900555995</v>
      </c>
      <c r="K447" s="222" t="s">
        <v>1648</v>
      </c>
      <c r="L447" s="222">
        <v>1</v>
      </c>
      <c r="M447" s="222" t="s">
        <v>1649</v>
      </c>
      <c r="N447" s="222">
        <v>1</v>
      </c>
      <c r="O447" s="222">
        <v>0</v>
      </c>
      <c r="P447" s="225">
        <v>128</v>
      </c>
      <c r="Q447" s="224">
        <v>0</v>
      </c>
      <c r="R447" s="222">
        <v>11.05</v>
      </c>
      <c r="S447" s="226" t="str">
        <f>IFERROR(_xlfn.XLOOKUP(R447,'1_Presupuesto'!$E:$E,'1_Presupuesto'!$D:$D),"")</f>
        <v>Revestimiento MO</v>
      </c>
    </row>
    <row r="448" spans="1:19" ht="15" customHeight="1" x14ac:dyDescent="0.35">
      <c r="A448" s="222" t="s">
        <v>1641</v>
      </c>
      <c r="B448" s="222" t="s">
        <v>13</v>
      </c>
      <c r="C448" s="222"/>
      <c r="D448" s="222" t="s">
        <v>1063</v>
      </c>
      <c r="E448" s="222" t="s">
        <v>1064</v>
      </c>
      <c r="F448" s="222"/>
      <c r="G448" s="223">
        <v>8.6956519999999995E-2</v>
      </c>
      <c r="H448" s="222">
        <v>0</v>
      </c>
      <c r="I448" s="224">
        <v>2227.2298000000001</v>
      </c>
      <c r="J448" s="224">
        <v>193.67215264829599</v>
      </c>
      <c r="K448" s="222" t="s">
        <v>1648</v>
      </c>
      <c r="L448" s="222">
        <v>2</v>
      </c>
      <c r="M448" s="222" t="s">
        <v>1650</v>
      </c>
      <c r="N448" s="222">
        <v>1</v>
      </c>
      <c r="O448" s="222">
        <v>0</v>
      </c>
      <c r="P448" s="225">
        <v>128</v>
      </c>
      <c r="Q448" s="224">
        <v>0</v>
      </c>
      <c r="R448" s="222">
        <v>11.05</v>
      </c>
      <c r="S448" s="226" t="str">
        <f>IFERROR(_xlfn.XLOOKUP(R448,'1_Presupuesto'!$E:$E,'1_Presupuesto'!$D:$D),"")</f>
        <v>Revestimiento MO</v>
      </c>
    </row>
    <row r="449" spans="1:19" ht="15" customHeight="1" x14ac:dyDescent="0.35">
      <c r="A449" s="222" t="s">
        <v>1651</v>
      </c>
      <c r="B449" s="222" t="s">
        <v>654</v>
      </c>
      <c r="C449" s="222" t="s">
        <v>719</v>
      </c>
      <c r="D449" s="222" t="s">
        <v>1578</v>
      </c>
      <c r="E449" s="222" t="s">
        <v>1579</v>
      </c>
      <c r="F449" s="222"/>
      <c r="G449" s="223">
        <v>0.2</v>
      </c>
      <c r="H449" s="222">
        <v>0.2</v>
      </c>
      <c r="I449" s="224">
        <v>21494.592000000001</v>
      </c>
      <c r="J449" s="224">
        <v>5158.70208</v>
      </c>
      <c r="K449" s="222" t="s">
        <v>1652</v>
      </c>
      <c r="L449" s="222">
        <v>1</v>
      </c>
      <c r="M449" s="222" t="s">
        <v>1653</v>
      </c>
      <c r="N449" s="222">
        <v>1</v>
      </c>
      <c r="O449" s="222">
        <v>0</v>
      </c>
      <c r="P449" s="225">
        <v>48</v>
      </c>
      <c r="Q449" s="224">
        <v>0</v>
      </c>
      <c r="R449" s="222">
        <v>11.06</v>
      </c>
      <c r="S449" s="226" t="str">
        <f>IFERROR(_xlfn.XLOOKUP(R449,'1_Presupuesto'!$E:$E,'1_Presupuesto'!$D:$D),"")</f>
        <v>Revestimiento MO</v>
      </c>
    </row>
    <row r="450" spans="1:19" ht="15" customHeight="1" x14ac:dyDescent="0.35">
      <c r="A450" s="222" t="s">
        <v>1651</v>
      </c>
      <c r="B450" s="222" t="s">
        <v>654</v>
      </c>
      <c r="C450" s="222" t="s">
        <v>719</v>
      </c>
      <c r="D450" s="222" t="s">
        <v>1582</v>
      </c>
      <c r="E450" s="222" t="s">
        <v>1583</v>
      </c>
      <c r="F450" s="222"/>
      <c r="G450" s="223">
        <v>0.2</v>
      </c>
      <c r="H450" s="222">
        <v>0.05</v>
      </c>
      <c r="I450" s="224">
        <v>2930.36</v>
      </c>
      <c r="J450" s="224">
        <v>615.37560000000008</v>
      </c>
      <c r="K450" s="222" t="s">
        <v>1652</v>
      </c>
      <c r="L450" s="222">
        <v>2</v>
      </c>
      <c r="M450" s="222" t="s">
        <v>1654</v>
      </c>
      <c r="N450" s="222">
        <v>1</v>
      </c>
      <c r="O450" s="222">
        <v>0</v>
      </c>
      <c r="P450" s="225">
        <v>48</v>
      </c>
      <c r="Q450" s="224">
        <v>0</v>
      </c>
      <c r="R450" s="222">
        <v>11.06</v>
      </c>
      <c r="S450" s="226" t="str">
        <f>IFERROR(_xlfn.XLOOKUP(R450,'1_Presupuesto'!$E:$E,'1_Presupuesto'!$D:$D),"")</f>
        <v>Revestimiento MO</v>
      </c>
    </row>
    <row r="451" spans="1:19" ht="15" customHeight="1" x14ac:dyDescent="0.35">
      <c r="A451" s="222" t="s">
        <v>1651</v>
      </c>
      <c r="B451" s="222" t="s">
        <v>654</v>
      </c>
      <c r="C451" s="222" t="s">
        <v>719</v>
      </c>
      <c r="D451" s="222" t="s">
        <v>1585</v>
      </c>
      <c r="E451" s="222" t="s">
        <v>1586</v>
      </c>
      <c r="F451" s="222"/>
      <c r="G451" s="223">
        <v>4.0000000000000001E-3</v>
      </c>
      <c r="H451" s="222">
        <v>0.05</v>
      </c>
      <c r="I451" s="224">
        <v>21453.297500000001</v>
      </c>
      <c r="J451" s="224">
        <v>90.10384950000001</v>
      </c>
      <c r="K451" s="222" t="s">
        <v>1652</v>
      </c>
      <c r="L451" s="222">
        <v>3</v>
      </c>
      <c r="M451" s="222" t="s">
        <v>1655</v>
      </c>
      <c r="N451" s="222">
        <v>1</v>
      </c>
      <c r="O451" s="222">
        <v>0</v>
      </c>
      <c r="P451" s="225">
        <v>48</v>
      </c>
      <c r="Q451" s="224">
        <v>0</v>
      </c>
      <c r="R451" s="222">
        <v>11.06</v>
      </c>
      <c r="S451" s="226" t="str">
        <f>IFERROR(_xlfn.XLOOKUP(R451,'1_Presupuesto'!$E:$E,'1_Presupuesto'!$D:$D),"")</f>
        <v>Revestimiento MO</v>
      </c>
    </row>
    <row r="452" spans="1:19" ht="15" customHeight="1" x14ac:dyDescent="0.35">
      <c r="A452" s="222" t="s">
        <v>1651</v>
      </c>
      <c r="B452" s="222" t="s">
        <v>654</v>
      </c>
      <c r="C452" s="222" t="s">
        <v>719</v>
      </c>
      <c r="D452" s="222" t="s">
        <v>1588</v>
      </c>
      <c r="E452" s="222" t="s">
        <v>1589</v>
      </c>
      <c r="F452" s="222"/>
      <c r="G452" s="223">
        <v>0.04</v>
      </c>
      <c r="H452" s="222">
        <v>0.05</v>
      </c>
      <c r="I452" s="224">
        <v>32805.983500000002</v>
      </c>
      <c r="J452" s="224">
        <v>1377.8513069999999</v>
      </c>
      <c r="K452" s="222" t="s">
        <v>1652</v>
      </c>
      <c r="L452" s="222">
        <v>4</v>
      </c>
      <c r="M452" s="222" t="s">
        <v>1656</v>
      </c>
      <c r="N452" s="222">
        <v>1</v>
      </c>
      <c r="O452" s="222">
        <v>0</v>
      </c>
      <c r="P452" s="225">
        <v>48</v>
      </c>
      <c r="Q452" s="224">
        <v>0</v>
      </c>
      <c r="R452" s="222">
        <v>11.06</v>
      </c>
      <c r="S452" s="226" t="str">
        <f>IFERROR(_xlfn.XLOOKUP(R452,'1_Presupuesto'!$E:$E,'1_Presupuesto'!$D:$D),"")</f>
        <v>Revestimiento MO</v>
      </c>
    </row>
    <row r="453" spans="1:19" ht="15" customHeight="1" x14ac:dyDescent="0.35">
      <c r="A453" s="222" t="s">
        <v>1651</v>
      </c>
      <c r="B453" s="222" t="s">
        <v>654</v>
      </c>
      <c r="C453" s="222" t="s">
        <v>719</v>
      </c>
      <c r="D453" s="222" t="s">
        <v>1218</v>
      </c>
      <c r="E453" s="222" t="s">
        <v>1219</v>
      </c>
      <c r="F453" s="222"/>
      <c r="G453" s="223">
        <v>0.01</v>
      </c>
      <c r="H453" s="222">
        <v>0.03</v>
      </c>
      <c r="I453" s="224">
        <v>784.06</v>
      </c>
      <c r="J453" s="224">
        <v>8.0758179999999999</v>
      </c>
      <c r="K453" s="222" t="s">
        <v>1652</v>
      </c>
      <c r="L453" s="222">
        <v>5</v>
      </c>
      <c r="M453" s="222" t="s">
        <v>1657</v>
      </c>
      <c r="N453" s="222">
        <v>1</v>
      </c>
      <c r="O453" s="222">
        <v>0</v>
      </c>
      <c r="P453" s="225">
        <v>48</v>
      </c>
      <c r="Q453" s="224">
        <v>0</v>
      </c>
      <c r="R453" s="222">
        <v>11.06</v>
      </c>
      <c r="S453" s="226" t="str">
        <f>IFERROR(_xlfn.XLOOKUP(R453,'1_Presupuesto'!$E:$E,'1_Presupuesto'!$D:$D),"")</f>
        <v>Revestimiento MO</v>
      </c>
    </row>
    <row r="454" spans="1:19" ht="15" customHeight="1" x14ac:dyDescent="0.35">
      <c r="A454" s="222" t="s">
        <v>1651</v>
      </c>
      <c r="B454" s="222" t="s">
        <v>639</v>
      </c>
      <c r="C454" s="222" t="s">
        <v>646</v>
      </c>
      <c r="D454" s="222" t="s">
        <v>687</v>
      </c>
      <c r="E454" s="222" t="s">
        <v>688</v>
      </c>
      <c r="F454" s="222" t="s">
        <v>643</v>
      </c>
      <c r="G454" s="223">
        <v>7.6923080000000005E-2</v>
      </c>
      <c r="H454" s="222">
        <v>0</v>
      </c>
      <c r="I454" s="224">
        <v>54784.07</v>
      </c>
      <c r="J454" s="224">
        <v>4214.1593993356</v>
      </c>
      <c r="K454" s="222" t="s">
        <v>1658</v>
      </c>
      <c r="L454" s="222">
        <v>1</v>
      </c>
      <c r="M454" s="222" t="s">
        <v>1659</v>
      </c>
      <c r="N454" s="222">
        <v>1</v>
      </c>
      <c r="O454" s="222">
        <v>7.6923080000000005E-2</v>
      </c>
      <c r="P454" s="225">
        <v>48</v>
      </c>
      <c r="Q454" s="224">
        <v>3.6923078399999998</v>
      </c>
      <c r="R454" s="222">
        <v>11.06</v>
      </c>
      <c r="S454" s="226" t="str">
        <f>IFERROR(_xlfn.XLOOKUP(R454,'1_Presupuesto'!$E:$E,'1_Presupuesto'!$D:$D),"")</f>
        <v>Revestimiento MO</v>
      </c>
    </row>
    <row r="455" spans="1:19" ht="15" customHeight="1" x14ac:dyDescent="0.35">
      <c r="A455" s="222" t="s">
        <v>1651</v>
      </c>
      <c r="B455" s="222" t="s">
        <v>639</v>
      </c>
      <c r="C455" s="222" t="s">
        <v>646</v>
      </c>
      <c r="D455" s="222" t="s">
        <v>723</v>
      </c>
      <c r="E455" s="222" t="s">
        <v>724</v>
      </c>
      <c r="F455" s="222" t="s">
        <v>643</v>
      </c>
      <c r="G455" s="223">
        <v>7.6923080000000005E-2</v>
      </c>
      <c r="H455" s="222">
        <v>0</v>
      </c>
      <c r="I455" s="224">
        <v>75113.05</v>
      </c>
      <c r="J455" s="224">
        <v>5777.9271541940007</v>
      </c>
      <c r="K455" s="222" t="s">
        <v>1658</v>
      </c>
      <c r="L455" s="222">
        <v>2</v>
      </c>
      <c r="M455" s="222" t="s">
        <v>1660</v>
      </c>
      <c r="N455" s="222">
        <v>1</v>
      </c>
      <c r="O455" s="222">
        <v>7.6923080000000005E-2</v>
      </c>
      <c r="P455" s="225">
        <v>48</v>
      </c>
      <c r="Q455" s="224">
        <v>3.6923078399999998</v>
      </c>
      <c r="R455" s="222">
        <v>11.06</v>
      </c>
      <c r="S455" s="226" t="str">
        <f>IFERROR(_xlfn.XLOOKUP(R455,'1_Presupuesto'!$E:$E,'1_Presupuesto'!$D:$D),"")</f>
        <v>Revestimiento MO</v>
      </c>
    </row>
    <row r="456" spans="1:19" ht="15" customHeight="1" x14ac:dyDescent="0.35">
      <c r="A456" s="222" t="s">
        <v>1651</v>
      </c>
      <c r="B456" s="222" t="s">
        <v>13</v>
      </c>
      <c r="C456" s="222"/>
      <c r="D456" s="222" t="s">
        <v>1595</v>
      </c>
      <c r="E456" s="222" t="s">
        <v>1596</v>
      </c>
      <c r="F456" s="222"/>
      <c r="G456" s="223">
        <v>7.6923080000000005E-2</v>
      </c>
      <c r="H456" s="222">
        <v>0</v>
      </c>
      <c r="I456" s="224">
        <v>2568.0682999999999</v>
      </c>
      <c r="J456" s="224">
        <v>197.54372328636401</v>
      </c>
      <c r="K456" s="222" t="s">
        <v>1661</v>
      </c>
      <c r="L456" s="222">
        <v>1</v>
      </c>
      <c r="M456" s="222" t="s">
        <v>1662</v>
      </c>
      <c r="N456" s="222">
        <v>1</v>
      </c>
      <c r="O456" s="222">
        <v>0</v>
      </c>
      <c r="P456" s="225">
        <v>48</v>
      </c>
      <c r="Q456" s="224">
        <v>0</v>
      </c>
      <c r="R456" s="222">
        <v>11.06</v>
      </c>
      <c r="S456" s="226" t="str">
        <f>IFERROR(_xlfn.XLOOKUP(R456,'1_Presupuesto'!$E:$E,'1_Presupuesto'!$D:$D),"")</f>
        <v>Revestimiento MO</v>
      </c>
    </row>
    <row r="457" spans="1:19" ht="15" customHeight="1" x14ac:dyDescent="0.35">
      <c r="A457" s="222" t="s">
        <v>1651</v>
      </c>
      <c r="B457" s="222" t="s">
        <v>13</v>
      </c>
      <c r="C457" s="222"/>
      <c r="D457" s="222" t="s">
        <v>1599</v>
      </c>
      <c r="E457" s="222" t="s">
        <v>1600</v>
      </c>
      <c r="F457" s="222"/>
      <c r="G457" s="223">
        <v>7.6923080000000005E-2</v>
      </c>
      <c r="H457" s="222">
        <v>0</v>
      </c>
      <c r="I457" s="224">
        <v>290.60739999999998</v>
      </c>
      <c r="J457" s="224">
        <v>22.354416278792002</v>
      </c>
      <c r="K457" s="222" t="s">
        <v>1661</v>
      </c>
      <c r="L457" s="222">
        <v>2</v>
      </c>
      <c r="M457" s="222" t="s">
        <v>1663</v>
      </c>
      <c r="N457" s="222">
        <v>1</v>
      </c>
      <c r="O457" s="222">
        <v>0</v>
      </c>
      <c r="P457" s="225">
        <v>48</v>
      </c>
      <c r="Q457" s="224">
        <v>0</v>
      </c>
      <c r="R457" s="222">
        <v>11.06</v>
      </c>
      <c r="S457" s="226" t="str">
        <f>IFERROR(_xlfn.XLOOKUP(R457,'1_Presupuesto'!$E:$E,'1_Presupuesto'!$D:$D),"")</f>
        <v>Revestimiento MO</v>
      </c>
    </row>
    <row r="458" spans="1:19" ht="15" customHeight="1" x14ac:dyDescent="0.35">
      <c r="A458" s="222" t="s">
        <v>1664</v>
      </c>
      <c r="B458" s="222" t="s">
        <v>654</v>
      </c>
      <c r="C458" s="222" t="s">
        <v>640</v>
      </c>
      <c r="D458" s="222" t="s">
        <v>1183</v>
      </c>
      <c r="E458" s="222" t="s">
        <v>1184</v>
      </c>
      <c r="F458" s="222"/>
      <c r="G458" s="223">
        <v>0.21238937999999999</v>
      </c>
      <c r="H458" s="222">
        <v>0</v>
      </c>
      <c r="I458" s="224">
        <v>125000</v>
      </c>
      <c r="J458" s="224">
        <v>26548.672500000001</v>
      </c>
      <c r="K458" s="222" t="s">
        <v>1665</v>
      </c>
      <c r="L458" s="222">
        <v>1</v>
      </c>
      <c r="M458" s="222" t="s">
        <v>1666</v>
      </c>
      <c r="N458" s="222">
        <v>1</v>
      </c>
      <c r="O458" s="222">
        <v>0</v>
      </c>
      <c r="P458" s="225">
        <v>226</v>
      </c>
      <c r="Q458" s="224">
        <v>0</v>
      </c>
      <c r="R458" s="222">
        <v>11.07</v>
      </c>
      <c r="S458" s="226" t="str">
        <f>IFERROR(_xlfn.XLOOKUP(R458,'1_Presupuesto'!$E:$E,'1_Presupuesto'!$D:$D),"")</f>
        <v>Revestimiento MO</v>
      </c>
    </row>
    <row r="459" spans="1:19" ht="15" customHeight="1" x14ac:dyDescent="0.35">
      <c r="A459" s="222" t="s">
        <v>1664</v>
      </c>
      <c r="B459" s="222" t="s">
        <v>654</v>
      </c>
      <c r="C459" s="222" t="s">
        <v>640</v>
      </c>
      <c r="D459" s="222" t="s">
        <v>1667</v>
      </c>
      <c r="E459" s="222" t="s">
        <v>864</v>
      </c>
      <c r="F459" s="222"/>
      <c r="G459" s="223">
        <v>4.4247799999999997E-3</v>
      </c>
      <c r="H459" s="222">
        <v>0</v>
      </c>
      <c r="I459" s="224">
        <v>533000</v>
      </c>
      <c r="J459" s="224">
        <v>2358.4077400000001</v>
      </c>
      <c r="K459" s="222" t="s">
        <v>1665</v>
      </c>
      <c r="L459" s="222">
        <v>2</v>
      </c>
      <c r="M459" s="222" t="s">
        <v>1668</v>
      </c>
      <c r="N459" s="222">
        <v>1</v>
      </c>
      <c r="O459" s="222">
        <v>0</v>
      </c>
      <c r="P459" s="225">
        <v>226</v>
      </c>
      <c r="Q459" s="224">
        <v>0</v>
      </c>
      <c r="R459" s="222">
        <v>11.07</v>
      </c>
      <c r="S459" s="226" t="str">
        <f>IFERROR(_xlfn.XLOOKUP(R459,'1_Presupuesto'!$E:$E,'1_Presupuesto'!$D:$D),"")</f>
        <v>Revestimiento MO</v>
      </c>
    </row>
    <row r="460" spans="1:19" ht="15" customHeight="1" x14ac:dyDescent="0.35">
      <c r="A460" s="222" t="s">
        <v>1664</v>
      </c>
      <c r="B460" s="222" t="s">
        <v>654</v>
      </c>
      <c r="C460" s="222" t="s">
        <v>640</v>
      </c>
      <c r="D460" s="222" t="s">
        <v>860</v>
      </c>
      <c r="E460" s="222" t="s">
        <v>861</v>
      </c>
      <c r="F460" s="222"/>
      <c r="G460" s="223">
        <v>0.21238937999999999</v>
      </c>
      <c r="H460" s="222">
        <v>0</v>
      </c>
      <c r="I460" s="224">
        <v>5330</v>
      </c>
      <c r="J460" s="224">
        <v>1132.0353954</v>
      </c>
      <c r="K460" s="222" t="s">
        <v>1665</v>
      </c>
      <c r="L460" s="222">
        <v>3</v>
      </c>
      <c r="M460" s="222" t="s">
        <v>1669</v>
      </c>
      <c r="N460" s="222">
        <v>1</v>
      </c>
      <c r="O460" s="222">
        <v>0</v>
      </c>
      <c r="P460" s="225">
        <v>226</v>
      </c>
      <c r="Q460" s="224">
        <v>0</v>
      </c>
      <c r="R460" s="222">
        <v>11.07</v>
      </c>
      <c r="S460" s="226" t="str">
        <f>IFERROR(_xlfn.XLOOKUP(R460,'1_Presupuesto'!$E:$E,'1_Presupuesto'!$D:$D),"")</f>
        <v>Revestimiento MO</v>
      </c>
    </row>
    <row r="461" spans="1:19" ht="15" customHeight="1" x14ac:dyDescent="0.35">
      <c r="A461" s="222" t="s">
        <v>1664</v>
      </c>
      <c r="B461" s="222" t="s">
        <v>654</v>
      </c>
      <c r="C461" s="222" t="s">
        <v>640</v>
      </c>
      <c r="D461" s="222" t="s">
        <v>1670</v>
      </c>
      <c r="E461" s="222" t="s">
        <v>1671</v>
      </c>
      <c r="F461" s="222"/>
      <c r="G461" s="223">
        <v>7.5221239999999995E-2</v>
      </c>
      <c r="H461" s="222">
        <v>0</v>
      </c>
      <c r="I461" s="224">
        <v>75473.119999999995</v>
      </c>
      <c r="J461" s="224">
        <v>5677.1816730687997</v>
      </c>
      <c r="K461" s="222" t="s">
        <v>1665</v>
      </c>
      <c r="L461" s="222">
        <v>4</v>
      </c>
      <c r="M461" s="222" t="s">
        <v>1672</v>
      </c>
      <c r="N461" s="222">
        <v>1</v>
      </c>
      <c r="O461" s="222">
        <v>0</v>
      </c>
      <c r="P461" s="225">
        <v>226</v>
      </c>
      <c r="Q461" s="224">
        <v>0</v>
      </c>
      <c r="R461" s="222">
        <v>11.07</v>
      </c>
      <c r="S461" s="226" t="str">
        <f>IFERROR(_xlfn.XLOOKUP(R461,'1_Presupuesto'!$E:$E,'1_Presupuesto'!$D:$D),"")</f>
        <v>Revestimiento MO</v>
      </c>
    </row>
    <row r="462" spans="1:19" ht="15" customHeight="1" x14ac:dyDescent="0.35">
      <c r="A462" s="222" t="s">
        <v>1664</v>
      </c>
      <c r="B462" s="222" t="s">
        <v>654</v>
      </c>
      <c r="C462" s="222" t="s">
        <v>640</v>
      </c>
      <c r="D462" s="222" t="s">
        <v>1673</v>
      </c>
      <c r="E462" s="222" t="s">
        <v>1674</v>
      </c>
      <c r="F462" s="222"/>
      <c r="G462" s="223">
        <v>0.20353982000000001</v>
      </c>
      <c r="H462" s="222">
        <v>0</v>
      </c>
      <c r="I462" s="224">
        <v>25000</v>
      </c>
      <c r="J462" s="224">
        <v>5088.4955</v>
      </c>
      <c r="K462" s="222" t="s">
        <v>1665</v>
      </c>
      <c r="L462" s="222">
        <v>5</v>
      </c>
      <c r="M462" s="222" t="s">
        <v>1675</v>
      </c>
      <c r="N462" s="222">
        <v>1</v>
      </c>
      <c r="O462" s="222">
        <v>0</v>
      </c>
      <c r="P462" s="225">
        <v>226</v>
      </c>
      <c r="Q462" s="224">
        <v>0</v>
      </c>
      <c r="R462" s="222">
        <v>11.07</v>
      </c>
      <c r="S462" s="226" t="str">
        <f>IFERROR(_xlfn.XLOOKUP(R462,'1_Presupuesto'!$E:$E,'1_Presupuesto'!$D:$D),"")</f>
        <v>Revestimiento MO</v>
      </c>
    </row>
    <row r="463" spans="1:19" ht="15" customHeight="1" x14ac:dyDescent="0.35">
      <c r="A463" s="222" t="s">
        <v>1664</v>
      </c>
      <c r="B463" s="222" t="s">
        <v>639</v>
      </c>
      <c r="C463" s="222" t="s">
        <v>640</v>
      </c>
      <c r="D463" s="222" t="s">
        <v>1676</v>
      </c>
      <c r="E463" s="222" t="s">
        <v>1677</v>
      </c>
      <c r="F463" s="222" t="s">
        <v>643</v>
      </c>
      <c r="G463" s="223">
        <v>4.4247799999999997E-3</v>
      </c>
      <c r="H463" s="222">
        <v>0</v>
      </c>
      <c r="I463" s="224">
        <v>240000</v>
      </c>
      <c r="J463" s="224">
        <v>1061.9472000000001</v>
      </c>
      <c r="K463" s="222" t="s">
        <v>1678</v>
      </c>
      <c r="L463" s="222">
        <v>1</v>
      </c>
      <c r="M463" s="222" t="s">
        <v>1679</v>
      </c>
      <c r="N463" s="222">
        <v>1</v>
      </c>
      <c r="O463" s="222">
        <v>0</v>
      </c>
      <c r="P463" s="225">
        <v>226</v>
      </c>
      <c r="Q463" s="224">
        <v>0</v>
      </c>
      <c r="R463" s="222">
        <v>11.07</v>
      </c>
      <c r="S463" s="226" t="str">
        <f>IFERROR(_xlfn.XLOOKUP(R463,'1_Presupuesto'!$E:$E,'1_Presupuesto'!$D:$D),"")</f>
        <v>Revestimiento MO</v>
      </c>
    </row>
    <row r="464" spans="1:19" ht="15" customHeight="1" x14ac:dyDescent="0.35">
      <c r="A464" s="222" t="s">
        <v>1664</v>
      </c>
      <c r="B464" s="222" t="s">
        <v>639</v>
      </c>
      <c r="C464" s="222" t="s">
        <v>640</v>
      </c>
      <c r="D464" s="222" t="s">
        <v>1680</v>
      </c>
      <c r="E464" s="222" t="s">
        <v>1681</v>
      </c>
      <c r="F464" s="222" t="s">
        <v>643</v>
      </c>
      <c r="G464" s="223">
        <v>4.4247799999999997E-3</v>
      </c>
      <c r="H464" s="222">
        <v>0</v>
      </c>
      <c r="I464" s="224">
        <v>135000</v>
      </c>
      <c r="J464" s="224">
        <v>597.34529999999995</v>
      </c>
      <c r="K464" s="222" t="s">
        <v>1678</v>
      </c>
      <c r="L464" s="222">
        <v>2</v>
      </c>
      <c r="M464" s="222" t="s">
        <v>1682</v>
      </c>
      <c r="N464" s="222">
        <v>1</v>
      </c>
      <c r="O464" s="222">
        <v>0</v>
      </c>
      <c r="P464" s="225">
        <v>226</v>
      </c>
      <c r="Q464" s="224">
        <v>0</v>
      </c>
      <c r="R464" s="222">
        <v>11.07</v>
      </c>
      <c r="S464" s="226" t="str">
        <f>IFERROR(_xlfn.XLOOKUP(R464,'1_Presupuesto'!$E:$E,'1_Presupuesto'!$D:$D),"")</f>
        <v>Revestimiento MO</v>
      </c>
    </row>
    <row r="465" spans="1:19" ht="15" customHeight="1" x14ac:dyDescent="0.35">
      <c r="A465" s="222" t="s">
        <v>1664</v>
      </c>
      <c r="B465" s="222" t="s">
        <v>654</v>
      </c>
      <c r="C465" s="222" t="s">
        <v>640</v>
      </c>
      <c r="D465" s="222" t="s">
        <v>1683</v>
      </c>
      <c r="E465" s="222" t="s">
        <v>1684</v>
      </c>
      <c r="F465" s="222"/>
      <c r="G465" s="223">
        <v>4.4247999999999998E-4</v>
      </c>
      <c r="H465" s="222">
        <v>0</v>
      </c>
      <c r="I465" s="224">
        <v>8071883.04</v>
      </c>
      <c r="J465" s="224">
        <v>3571.6468075391999</v>
      </c>
      <c r="K465" s="222" t="s">
        <v>1665</v>
      </c>
      <c r="L465" s="222">
        <v>6</v>
      </c>
      <c r="M465" s="222" t="s">
        <v>1685</v>
      </c>
      <c r="N465" s="222">
        <v>1</v>
      </c>
      <c r="O465" s="222">
        <v>0</v>
      </c>
      <c r="P465" s="225">
        <v>226</v>
      </c>
      <c r="Q465" s="224">
        <v>0</v>
      </c>
      <c r="R465" s="222">
        <v>11.07</v>
      </c>
      <c r="S465" s="226" t="str">
        <f>IFERROR(_xlfn.XLOOKUP(R465,'1_Presupuesto'!$E:$E,'1_Presupuesto'!$D:$D),"")</f>
        <v>Revestimiento MO</v>
      </c>
    </row>
    <row r="466" spans="1:19" ht="15" customHeight="1" x14ac:dyDescent="0.35">
      <c r="A466" s="222" t="s">
        <v>1664</v>
      </c>
      <c r="B466" s="222" t="s">
        <v>639</v>
      </c>
      <c r="C466" s="222" t="s">
        <v>646</v>
      </c>
      <c r="D466" s="222" t="s">
        <v>723</v>
      </c>
      <c r="E466" s="222" t="s">
        <v>724</v>
      </c>
      <c r="F466" s="222" t="s">
        <v>643</v>
      </c>
      <c r="G466" s="223">
        <v>4.8672569999999998E-2</v>
      </c>
      <c r="H466" s="222">
        <v>0</v>
      </c>
      <c r="I466" s="224">
        <v>75113.05</v>
      </c>
      <c r="J466" s="224">
        <v>3655.9451840385</v>
      </c>
      <c r="K466" s="222" t="s">
        <v>1678</v>
      </c>
      <c r="L466" s="222">
        <v>3</v>
      </c>
      <c r="M466" s="222" t="s">
        <v>1686</v>
      </c>
      <c r="N466" s="222">
        <v>1</v>
      </c>
      <c r="O466" s="222">
        <v>4.8672569999999998E-2</v>
      </c>
      <c r="P466" s="225">
        <v>226</v>
      </c>
      <c r="Q466" s="224">
        <v>11.00000082</v>
      </c>
      <c r="R466" s="222">
        <v>11.07</v>
      </c>
      <c r="S466" s="226" t="str">
        <f>IFERROR(_xlfn.XLOOKUP(R466,'1_Presupuesto'!$E:$E,'1_Presupuesto'!$D:$D),"")</f>
        <v>Revestimiento MO</v>
      </c>
    </row>
    <row r="467" spans="1:19" ht="15" customHeight="1" x14ac:dyDescent="0.35">
      <c r="A467" s="222" t="s">
        <v>1664</v>
      </c>
      <c r="B467" s="222" t="s">
        <v>639</v>
      </c>
      <c r="C467" s="222" t="s">
        <v>646</v>
      </c>
      <c r="D467" s="222" t="s">
        <v>683</v>
      </c>
      <c r="E467" s="222" t="s">
        <v>684</v>
      </c>
      <c r="F467" s="222" t="s">
        <v>643</v>
      </c>
      <c r="G467" s="223">
        <v>5.7522129999999998E-2</v>
      </c>
      <c r="H467" s="222">
        <v>0</v>
      </c>
      <c r="I467" s="224">
        <v>65360.25</v>
      </c>
      <c r="J467" s="224">
        <v>3759.6607973324999</v>
      </c>
      <c r="K467" s="222" t="s">
        <v>1678</v>
      </c>
      <c r="L467" s="222">
        <v>4</v>
      </c>
      <c r="M467" s="222" t="s">
        <v>1687</v>
      </c>
      <c r="N467" s="222">
        <v>1</v>
      </c>
      <c r="O467" s="222">
        <v>5.7522129999999998E-2</v>
      </c>
      <c r="P467" s="225">
        <v>226</v>
      </c>
      <c r="Q467" s="224">
        <v>13.00000138</v>
      </c>
      <c r="R467" s="222">
        <v>11.07</v>
      </c>
      <c r="S467" s="226" t="str">
        <f>IFERROR(_xlfn.XLOOKUP(R467,'1_Presupuesto'!$E:$E,'1_Presupuesto'!$D:$D),"")</f>
        <v>Revestimiento MO</v>
      </c>
    </row>
    <row r="468" spans="1:19" ht="15" customHeight="1" x14ac:dyDescent="0.35">
      <c r="A468" s="222" t="s">
        <v>1664</v>
      </c>
      <c r="B468" s="222" t="s">
        <v>639</v>
      </c>
      <c r="C468" s="222" t="s">
        <v>646</v>
      </c>
      <c r="D468" s="222" t="s">
        <v>647</v>
      </c>
      <c r="E468" s="222" t="s">
        <v>648</v>
      </c>
      <c r="F468" s="222" t="s">
        <v>643</v>
      </c>
      <c r="G468" s="223">
        <v>7.9646030000000007E-2</v>
      </c>
      <c r="H468" s="222">
        <v>0</v>
      </c>
      <c r="I468" s="224">
        <v>49934.239999999998</v>
      </c>
      <c r="J468" s="224">
        <v>3977.0639770672001</v>
      </c>
      <c r="K468" s="222" t="s">
        <v>1678</v>
      </c>
      <c r="L468" s="222">
        <v>5</v>
      </c>
      <c r="M468" s="222" t="s">
        <v>1688</v>
      </c>
      <c r="N468" s="222">
        <v>1</v>
      </c>
      <c r="O468" s="222">
        <v>7.9646030000000007E-2</v>
      </c>
      <c r="P468" s="225">
        <v>226</v>
      </c>
      <c r="Q468" s="224">
        <v>18.000002779999999</v>
      </c>
      <c r="R468" s="222">
        <v>11.07</v>
      </c>
      <c r="S468" s="226" t="str">
        <f>IFERROR(_xlfn.XLOOKUP(R468,'1_Presupuesto'!$E:$E,'1_Presupuesto'!$D:$D),"")</f>
        <v>Revestimiento MO</v>
      </c>
    </row>
    <row r="469" spans="1:19" ht="15" customHeight="1" x14ac:dyDescent="0.35">
      <c r="A469" s="222" t="s">
        <v>1664</v>
      </c>
      <c r="B469" s="222" t="s">
        <v>639</v>
      </c>
      <c r="C469" s="222" t="s">
        <v>646</v>
      </c>
      <c r="D469" s="222" t="s">
        <v>687</v>
      </c>
      <c r="E469" s="222" t="s">
        <v>688</v>
      </c>
      <c r="F469" s="222" t="s">
        <v>643</v>
      </c>
      <c r="G469" s="223">
        <v>8.8495599999999994E-3</v>
      </c>
      <c r="H469" s="222">
        <v>0</v>
      </c>
      <c r="I469" s="224">
        <v>54784.07</v>
      </c>
      <c r="J469" s="224">
        <v>484.81491450919998</v>
      </c>
      <c r="K469" s="222" t="s">
        <v>1678</v>
      </c>
      <c r="L469" s="222">
        <v>6</v>
      </c>
      <c r="M469" s="222" t="s">
        <v>1689</v>
      </c>
      <c r="N469" s="222">
        <v>1</v>
      </c>
      <c r="O469" s="222">
        <v>8.8495599999999994E-3</v>
      </c>
      <c r="P469" s="225">
        <v>226</v>
      </c>
      <c r="Q469" s="224">
        <v>2.0000005600000001</v>
      </c>
      <c r="R469" s="222">
        <v>11.07</v>
      </c>
      <c r="S469" s="226" t="str">
        <f>IFERROR(_xlfn.XLOOKUP(R469,'1_Presupuesto'!$E:$E,'1_Presupuesto'!$D:$D),"")</f>
        <v>Revestimiento MO</v>
      </c>
    </row>
    <row r="470" spans="1:19" ht="15" customHeight="1" x14ac:dyDescent="0.35">
      <c r="A470" s="222" t="s">
        <v>1664</v>
      </c>
      <c r="B470" s="222" t="s">
        <v>13</v>
      </c>
      <c r="C470" s="222"/>
      <c r="D470" s="222" t="s">
        <v>1690</v>
      </c>
      <c r="E470" s="222" t="s">
        <v>1691</v>
      </c>
      <c r="F470" s="222"/>
      <c r="G470" s="223">
        <v>1</v>
      </c>
      <c r="H470" s="222">
        <v>0</v>
      </c>
      <c r="I470" s="224">
        <v>868.69799999999998</v>
      </c>
      <c r="J470" s="224">
        <v>868.69799999999998</v>
      </c>
      <c r="K470" s="222" t="s">
        <v>1692</v>
      </c>
      <c r="L470" s="222">
        <v>1</v>
      </c>
      <c r="M470" s="222" t="s">
        <v>1693</v>
      </c>
      <c r="N470" s="222">
        <v>1</v>
      </c>
      <c r="O470" s="222">
        <v>0</v>
      </c>
      <c r="P470" s="225">
        <v>226</v>
      </c>
      <c r="Q470" s="224">
        <v>0</v>
      </c>
      <c r="R470" s="222">
        <v>11.07</v>
      </c>
      <c r="S470" s="226" t="str">
        <f>IFERROR(_xlfn.XLOOKUP(R470,'1_Presupuesto'!$E:$E,'1_Presupuesto'!$D:$D),"")</f>
        <v>Revestimiento MO</v>
      </c>
    </row>
    <row r="471" spans="1:19" ht="15" customHeight="1" x14ac:dyDescent="0.35">
      <c r="A471" s="222" t="s">
        <v>1694</v>
      </c>
      <c r="B471" s="222" t="s">
        <v>654</v>
      </c>
      <c r="C471" s="222" t="s">
        <v>640</v>
      </c>
      <c r="D471" s="222" t="s">
        <v>1695</v>
      </c>
      <c r="E471" s="222" t="s">
        <v>1696</v>
      </c>
      <c r="F471" s="222"/>
      <c r="G471" s="223">
        <v>1</v>
      </c>
      <c r="H471" s="222">
        <v>0</v>
      </c>
      <c r="I471" s="224">
        <v>1652.8925999999999</v>
      </c>
      <c r="J471" s="224">
        <v>1652.8925999999999</v>
      </c>
      <c r="K471" s="222" t="s">
        <v>1697</v>
      </c>
      <c r="L471" s="222">
        <v>1</v>
      </c>
      <c r="M471" s="222" t="s">
        <v>1698</v>
      </c>
      <c r="N471" s="222">
        <v>1</v>
      </c>
      <c r="O471" s="222">
        <v>0</v>
      </c>
      <c r="P471" s="225">
        <v>779</v>
      </c>
      <c r="Q471" s="224">
        <v>0</v>
      </c>
      <c r="R471" s="222">
        <v>12.01</v>
      </c>
      <c r="S471" s="226" t="str">
        <f>IFERROR(_xlfn.XLOOKUP(R471,'1_Presupuesto'!$E:$E,'1_Presupuesto'!$D:$D),"")</f>
        <v>Revestimiento MO</v>
      </c>
    </row>
    <row r="472" spans="1:19" ht="15" customHeight="1" x14ac:dyDescent="0.35">
      <c r="A472" s="222" t="s">
        <v>1694</v>
      </c>
      <c r="B472" s="222" t="s">
        <v>654</v>
      </c>
      <c r="C472" s="222" t="s">
        <v>640</v>
      </c>
      <c r="D472" s="222" t="s">
        <v>1699</v>
      </c>
      <c r="E472" s="222" t="s">
        <v>1306</v>
      </c>
      <c r="F472" s="222"/>
      <c r="G472" s="223">
        <v>0.2</v>
      </c>
      <c r="H472" s="222">
        <v>0</v>
      </c>
      <c r="I472" s="224">
        <v>7396.6941999999999</v>
      </c>
      <c r="J472" s="224">
        <v>1479.3388399999999</v>
      </c>
      <c r="K472" s="222" t="s">
        <v>1697</v>
      </c>
      <c r="L472" s="222">
        <v>2</v>
      </c>
      <c r="M472" s="222" t="s">
        <v>1700</v>
      </c>
      <c r="N472" s="222">
        <v>1</v>
      </c>
      <c r="O472" s="222">
        <v>0</v>
      </c>
      <c r="P472" s="225">
        <v>779</v>
      </c>
      <c r="Q472" s="224">
        <v>0</v>
      </c>
      <c r="R472" s="222">
        <v>12.01</v>
      </c>
      <c r="S472" s="226" t="str">
        <f>IFERROR(_xlfn.XLOOKUP(R472,'1_Presupuesto'!$E:$E,'1_Presupuesto'!$D:$D),"")</f>
        <v>Revestimiento MO</v>
      </c>
    </row>
    <row r="473" spans="1:19" ht="15" customHeight="1" x14ac:dyDescent="0.35">
      <c r="A473" s="222" t="s">
        <v>1694</v>
      </c>
      <c r="B473" s="222" t="s">
        <v>639</v>
      </c>
      <c r="C473" s="222" t="s">
        <v>646</v>
      </c>
      <c r="D473" s="222" t="s">
        <v>683</v>
      </c>
      <c r="E473" s="222" t="s">
        <v>684</v>
      </c>
      <c r="F473" s="222" t="s">
        <v>643</v>
      </c>
      <c r="G473" s="223">
        <v>4.107831E-2</v>
      </c>
      <c r="H473" s="222">
        <v>0</v>
      </c>
      <c r="I473" s="224">
        <v>65360.25</v>
      </c>
      <c r="J473" s="224">
        <v>2684.8886111775</v>
      </c>
      <c r="K473" s="222" t="s">
        <v>1701</v>
      </c>
      <c r="L473" s="222">
        <v>1</v>
      </c>
      <c r="M473" s="222" t="s">
        <v>1702</v>
      </c>
      <c r="N473" s="222">
        <v>1</v>
      </c>
      <c r="O473" s="222">
        <v>4.107831E-2</v>
      </c>
      <c r="P473" s="225">
        <v>779</v>
      </c>
      <c r="Q473" s="224">
        <v>32.000003489999997</v>
      </c>
      <c r="R473" s="222">
        <v>12.01</v>
      </c>
      <c r="S473" s="226" t="str">
        <f>IFERROR(_xlfn.XLOOKUP(R473,'1_Presupuesto'!$E:$E,'1_Presupuesto'!$D:$D),"")</f>
        <v>Revestimiento MO</v>
      </c>
    </row>
    <row r="474" spans="1:19" ht="15" customHeight="1" x14ac:dyDescent="0.35">
      <c r="A474" s="222" t="s">
        <v>1694</v>
      </c>
      <c r="B474" s="222" t="s">
        <v>13</v>
      </c>
      <c r="C474" s="222"/>
      <c r="D474" s="222" t="s">
        <v>1703</v>
      </c>
      <c r="E474" s="222" t="s">
        <v>1704</v>
      </c>
      <c r="F474" s="222"/>
      <c r="G474" s="223">
        <v>1</v>
      </c>
      <c r="H474" s="222">
        <v>0</v>
      </c>
      <c r="I474" s="224">
        <v>87.256799999999998</v>
      </c>
      <c r="J474" s="224">
        <v>87.256799999999998</v>
      </c>
      <c r="K474" s="222" t="s">
        <v>1705</v>
      </c>
      <c r="L474" s="222">
        <v>1</v>
      </c>
      <c r="M474" s="222" t="s">
        <v>1706</v>
      </c>
      <c r="N474" s="222">
        <v>1</v>
      </c>
      <c r="O474" s="222">
        <v>0</v>
      </c>
      <c r="P474" s="225">
        <v>779</v>
      </c>
      <c r="Q474" s="224">
        <v>0</v>
      </c>
      <c r="R474" s="222">
        <v>12.01</v>
      </c>
      <c r="S474" s="226" t="str">
        <f>IFERROR(_xlfn.XLOOKUP(R474,'1_Presupuesto'!$E:$E,'1_Presupuesto'!$D:$D),"")</f>
        <v>Revestimiento MO</v>
      </c>
    </row>
    <row r="475" spans="1:19" ht="15" customHeight="1" x14ac:dyDescent="0.35">
      <c r="A475" s="222" t="s">
        <v>1707</v>
      </c>
      <c r="B475" s="222" t="s">
        <v>654</v>
      </c>
      <c r="C475" s="222" t="s">
        <v>719</v>
      </c>
      <c r="D475" s="222" t="s">
        <v>1051</v>
      </c>
      <c r="E475" s="222" t="s">
        <v>1052</v>
      </c>
      <c r="F475" s="222"/>
      <c r="G475" s="223">
        <v>6.0000000000000001E-3</v>
      </c>
      <c r="H475" s="222">
        <v>0.1</v>
      </c>
      <c r="I475" s="224">
        <v>31265.15</v>
      </c>
      <c r="J475" s="224">
        <v>206.34998999999999</v>
      </c>
      <c r="K475" s="222" t="s">
        <v>1708</v>
      </c>
      <c r="L475" s="222">
        <v>1</v>
      </c>
      <c r="M475" s="222" t="s">
        <v>1709</v>
      </c>
      <c r="N475" s="222">
        <v>1</v>
      </c>
      <c r="O475" s="222">
        <v>0</v>
      </c>
      <c r="P475" s="225">
        <v>155</v>
      </c>
      <c r="Q475" s="224">
        <v>0</v>
      </c>
      <c r="R475" s="222">
        <v>12.02</v>
      </c>
      <c r="S475" s="226" t="str">
        <f>IFERROR(_xlfn.XLOOKUP(R475,'1_Presupuesto'!$E:$E,'1_Presupuesto'!$D:$D),"")</f>
        <v>Revestimiento MO</v>
      </c>
    </row>
    <row r="476" spans="1:19" ht="15" customHeight="1" x14ac:dyDescent="0.35">
      <c r="A476" s="222" t="s">
        <v>1707</v>
      </c>
      <c r="B476" s="222" t="s">
        <v>654</v>
      </c>
      <c r="C476" s="222" t="s">
        <v>719</v>
      </c>
      <c r="D476" s="222" t="s">
        <v>1239</v>
      </c>
      <c r="E476" s="222" t="s">
        <v>1240</v>
      </c>
      <c r="F476" s="222"/>
      <c r="G476" s="223">
        <v>0.1</v>
      </c>
      <c r="H476" s="222">
        <v>0.05</v>
      </c>
      <c r="I476" s="224">
        <v>1162.7550000000001</v>
      </c>
      <c r="J476" s="224">
        <v>122.089275</v>
      </c>
      <c r="K476" s="222" t="s">
        <v>1708</v>
      </c>
      <c r="L476" s="222">
        <v>2</v>
      </c>
      <c r="M476" s="222" t="s">
        <v>1710</v>
      </c>
      <c r="N476" s="222">
        <v>1</v>
      </c>
      <c r="O476" s="222">
        <v>0</v>
      </c>
      <c r="P476" s="225">
        <v>155</v>
      </c>
      <c r="Q476" s="224">
        <v>0</v>
      </c>
      <c r="R476" s="222">
        <v>12.02</v>
      </c>
      <c r="S476" s="226" t="str">
        <f>IFERROR(_xlfn.XLOOKUP(R476,'1_Presupuesto'!$E:$E,'1_Presupuesto'!$D:$D),"")</f>
        <v>Revestimiento MO</v>
      </c>
    </row>
    <row r="477" spans="1:19" ht="15" customHeight="1" x14ac:dyDescent="0.35">
      <c r="A477" s="222" t="s">
        <v>1707</v>
      </c>
      <c r="B477" s="222" t="s">
        <v>654</v>
      </c>
      <c r="C477" s="222" t="s">
        <v>719</v>
      </c>
      <c r="D477" s="222" t="s">
        <v>1057</v>
      </c>
      <c r="E477" s="222" t="s">
        <v>1058</v>
      </c>
      <c r="F477" s="222"/>
      <c r="G477" s="223">
        <v>5.3999999999999999E-2</v>
      </c>
      <c r="H477" s="222">
        <v>0.1</v>
      </c>
      <c r="I477" s="224">
        <v>7233.47</v>
      </c>
      <c r="J477" s="224">
        <v>429.66811799999999</v>
      </c>
      <c r="K477" s="222" t="s">
        <v>1708</v>
      </c>
      <c r="L477" s="222">
        <v>3</v>
      </c>
      <c r="M477" s="222" t="s">
        <v>1711</v>
      </c>
      <c r="N477" s="222">
        <v>1</v>
      </c>
      <c r="O477" s="222">
        <v>0</v>
      </c>
      <c r="P477" s="225">
        <v>155</v>
      </c>
      <c r="Q477" s="224">
        <v>0</v>
      </c>
      <c r="R477" s="222">
        <v>12.02</v>
      </c>
      <c r="S477" s="226" t="str">
        <f>IFERROR(_xlfn.XLOOKUP(R477,'1_Presupuesto'!$E:$E,'1_Presupuesto'!$D:$D),"")</f>
        <v>Revestimiento MO</v>
      </c>
    </row>
    <row r="478" spans="1:19" ht="15" customHeight="1" x14ac:dyDescent="0.35">
      <c r="A478" s="222" t="s">
        <v>1707</v>
      </c>
      <c r="B478" s="222" t="s">
        <v>639</v>
      </c>
      <c r="C478" s="222" t="s">
        <v>646</v>
      </c>
      <c r="D478" s="222" t="s">
        <v>647</v>
      </c>
      <c r="E478" s="222" t="s">
        <v>648</v>
      </c>
      <c r="F478" s="222" t="s">
        <v>643</v>
      </c>
      <c r="G478" s="223">
        <v>1.428571E-2</v>
      </c>
      <c r="H478" s="222">
        <v>0</v>
      </c>
      <c r="I478" s="224">
        <v>49934.239999999998</v>
      </c>
      <c r="J478" s="224">
        <v>713.3460717104</v>
      </c>
      <c r="K478" s="222" t="s">
        <v>1712</v>
      </c>
      <c r="L478" s="222">
        <v>1</v>
      </c>
      <c r="M478" s="222" t="s">
        <v>1713</v>
      </c>
      <c r="N478" s="222">
        <v>1</v>
      </c>
      <c r="O478" s="222">
        <v>1.428571E-2</v>
      </c>
      <c r="P478" s="225">
        <v>155</v>
      </c>
      <c r="Q478" s="224">
        <v>2.21428505</v>
      </c>
      <c r="R478" s="222">
        <v>12.02</v>
      </c>
      <c r="S478" s="226" t="str">
        <f>IFERROR(_xlfn.XLOOKUP(R478,'1_Presupuesto'!$E:$E,'1_Presupuesto'!$D:$D),"")</f>
        <v>Revestimiento MO</v>
      </c>
    </row>
    <row r="479" spans="1:19" ht="15" customHeight="1" x14ac:dyDescent="0.35">
      <c r="A479" s="222" t="s">
        <v>1707</v>
      </c>
      <c r="B479" s="222" t="s">
        <v>639</v>
      </c>
      <c r="C479" s="222" t="s">
        <v>646</v>
      </c>
      <c r="D479" s="222" t="s">
        <v>723</v>
      </c>
      <c r="E479" s="222" t="s">
        <v>724</v>
      </c>
      <c r="F479" s="222" t="s">
        <v>643</v>
      </c>
      <c r="G479" s="223">
        <v>3.5714290000000003E-2</v>
      </c>
      <c r="H479" s="222">
        <v>0</v>
      </c>
      <c r="I479" s="224">
        <v>75113.05</v>
      </c>
      <c r="J479" s="224">
        <v>2682.6092504845001</v>
      </c>
      <c r="K479" s="222" t="s">
        <v>1712</v>
      </c>
      <c r="L479" s="222">
        <v>2</v>
      </c>
      <c r="M479" s="222" t="s">
        <v>1714</v>
      </c>
      <c r="N479" s="222">
        <v>1</v>
      </c>
      <c r="O479" s="222">
        <v>3.5714290000000003E-2</v>
      </c>
      <c r="P479" s="225">
        <v>155</v>
      </c>
      <c r="Q479" s="224">
        <v>5.53571495</v>
      </c>
      <c r="R479" s="222">
        <v>12.02</v>
      </c>
      <c r="S479" s="226" t="str">
        <f>IFERROR(_xlfn.XLOOKUP(R479,'1_Presupuesto'!$E:$E,'1_Presupuesto'!$D:$D),"")</f>
        <v>Revestimiento MO</v>
      </c>
    </row>
    <row r="480" spans="1:19" ht="15" customHeight="1" x14ac:dyDescent="0.35">
      <c r="A480" s="222" t="s">
        <v>1707</v>
      </c>
      <c r="B480" s="222" t="s">
        <v>13</v>
      </c>
      <c r="C480" s="222"/>
      <c r="D480" s="222" t="s">
        <v>1067</v>
      </c>
      <c r="E480" s="222" t="s">
        <v>1068</v>
      </c>
      <c r="F480" s="222"/>
      <c r="G480" s="223">
        <v>1.7857140000000001E-2</v>
      </c>
      <c r="H480" s="222">
        <v>0</v>
      </c>
      <c r="I480" s="224">
        <v>556.21879999999999</v>
      </c>
      <c r="J480" s="224">
        <v>9.932476982232</v>
      </c>
      <c r="K480" s="222" t="s">
        <v>1715</v>
      </c>
      <c r="L480" s="222">
        <v>1</v>
      </c>
      <c r="M480" s="222" t="s">
        <v>1716</v>
      </c>
      <c r="N480" s="222">
        <v>1</v>
      </c>
      <c r="O480" s="222">
        <v>0</v>
      </c>
      <c r="P480" s="225">
        <v>155</v>
      </c>
      <c r="Q480" s="224">
        <v>0</v>
      </c>
      <c r="R480" s="222">
        <v>12.02</v>
      </c>
      <c r="S480" s="226" t="str">
        <f>IFERROR(_xlfn.XLOOKUP(R480,'1_Presupuesto'!$E:$E,'1_Presupuesto'!$D:$D),"")</f>
        <v>Revestimiento MO</v>
      </c>
    </row>
    <row r="481" spans="1:19" ht="15" customHeight="1" x14ac:dyDescent="0.35">
      <c r="A481" s="222" t="s">
        <v>1707</v>
      </c>
      <c r="B481" s="222" t="s">
        <v>13</v>
      </c>
      <c r="C481" s="222"/>
      <c r="D481" s="222" t="s">
        <v>1063</v>
      </c>
      <c r="E481" s="222" t="s">
        <v>1064</v>
      </c>
      <c r="F481" s="222"/>
      <c r="G481" s="223">
        <v>3.5714290000000003E-2</v>
      </c>
      <c r="H481" s="222">
        <v>0</v>
      </c>
      <c r="I481" s="224">
        <v>2227.2298000000001</v>
      </c>
      <c r="J481" s="224">
        <v>79.543930973842009</v>
      </c>
      <c r="K481" s="222" t="s">
        <v>1715</v>
      </c>
      <c r="L481" s="222">
        <v>2</v>
      </c>
      <c r="M481" s="222" t="s">
        <v>1717</v>
      </c>
      <c r="N481" s="222">
        <v>1</v>
      </c>
      <c r="O481" s="222">
        <v>0</v>
      </c>
      <c r="P481" s="225">
        <v>155</v>
      </c>
      <c r="Q481" s="224">
        <v>0</v>
      </c>
      <c r="R481" s="222">
        <v>12.02</v>
      </c>
      <c r="S481" s="226" t="str">
        <f>IFERROR(_xlfn.XLOOKUP(R481,'1_Presupuesto'!$E:$E,'1_Presupuesto'!$D:$D),"")</f>
        <v>Revestimiento MO</v>
      </c>
    </row>
    <row r="482" spans="1:19" ht="15" customHeight="1" x14ac:dyDescent="0.35">
      <c r="A482" s="222" t="s">
        <v>1707</v>
      </c>
      <c r="B482" s="222" t="s">
        <v>13</v>
      </c>
      <c r="C482" s="222"/>
      <c r="D482" s="222" t="s">
        <v>1070</v>
      </c>
      <c r="E482" s="222" t="s">
        <v>1071</v>
      </c>
      <c r="F482" s="222"/>
      <c r="G482" s="223">
        <v>3.5714290000000003E-2</v>
      </c>
      <c r="H482" s="222">
        <v>0</v>
      </c>
      <c r="I482" s="224">
        <v>932.18029999999999</v>
      </c>
      <c r="J482" s="224">
        <v>33.292157566486999</v>
      </c>
      <c r="K482" s="222" t="s">
        <v>1715</v>
      </c>
      <c r="L482" s="222">
        <v>3</v>
      </c>
      <c r="M482" s="222" t="s">
        <v>1718</v>
      </c>
      <c r="N482" s="222">
        <v>1</v>
      </c>
      <c r="O482" s="222">
        <v>0</v>
      </c>
      <c r="P482" s="225">
        <v>155</v>
      </c>
      <c r="Q482" s="224">
        <v>0</v>
      </c>
      <c r="R482" s="222">
        <v>12.02</v>
      </c>
      <c r="S482" s="226" t="str">
        <f>IFERROR(_xlfn.XLOOKUP(R482,'1_Presupuesto'!$E:$E,'1_Presupuesto'!$D:$D),"")</f>
        <v>Revestimiento MO</v>
      </c>
    </row>
    <row r="483" spans="1:19" ht="15" customHeight="1" x14ac:dyDescent="0.35">
      <c r="A483" s="222" t="s">
        <v>1719</v>
      </c>
      <c r="B483" s="222" t="s">
        <v>654</v>
      </c>
      <c r="C483" s="222" t="s">
        <v>719</v>
      </c>
      <c r="D483" s="222" t="s">
        <v>1578</v>
      </c>
      <c r="E483" s="222" t="s">
        <v>1579</v>
      </c>
      <c r="F483" s="222"/>
      <c r="G483" s="223">
        <v>0.04</v>
      </c>
      <c r="H483" s="222">
        <v>0.2</v>
      </c>
      <c r="I483" s="224">
        <v>21494.592000000001</v>
      </c>
      <c r="J483" s="224">
        <v>1031.7404160000001</v>
      </c>
      <c r="K483" s="222" t="s">
        <v>1720</v>
      </c>
      <c r="L483" s="222">
        <v>1</v>
      </c>
      <c r="M483" s="222" t="s">
        <v>1721</v>
      </c>
      <c r="N483" s="222">
        <v>1</v>
      </c>
      <c r="O483" s="222">
        <v>0</v>
      </c>
      <c r="P483" s="225">
        <v>37</v>
      </c>
      <c r="Q483" s="224">
        <v>0</v>
      </c>
      <c r="R483" s="222">
        <v>12.03</v>
      </c>
      <c r="S483" s="226" t="str">
        <f>IFERROR(_xlfn.XLOOKUP(R483,'1_Presupuesto'!$E:$E,'1_Presupuesto'!$D:$D),"")</f>
        <v>Revestimiento MO</v>
      </c>
    </row>
    <row r="484" spans="1:19" ht="15" customHeight="1" x14ac:dyDescent="0.35">
      <c r="A484" s="222" t="s">
        <v>1719</v>
      </c>
      <c r="B484" s="222" t="s">
        <v>654</v>
      </c>
      <c r="C484" s="222" t="s">
        <v>719</v>
      </c>
      <c r="D484" s="222" t="s">
        <v>1582</v>
      </c>
      <c r="E484" s="222" t="s">
        <v>1583</v>
      </c>
      <c r="F484" s="222"/>
      <c r="G484" s="223">
        <v>0.04</v>
      </c>
      <c r="H484" s="222">
        <v>0.05</v>
      </c>
      <c r="I484" s="224">
        <v>2930.36</v>
      </c>
      <c r="J484" s="224">
        <v>123.07512</v>
      </c>
      <c r="K484" s="222" t="s">
        <v>1720</v>
      </c>
      <c r="L484" s="222">
        <v>2</v>
      </c>
      <c r="M484" s="222" t="s">
        <v>1722</v>
      </c>
      <c r="N484" s="222">
        <v>1</v>
      </c>
      <c r="O484" s="222">
        <v>0</v>
      </c>
      <c r="P484" s="225">
        <v>37</v>
      </c>
      <c r="Q484" s="224">
        <v>0</v>
      </c>
      <c r="R484" s="222">
        <v>12.03</v>
      </c>
      <c r="S484" s="226" t="str">
        <f>IFERROR(_xlfn.XLOOKUP(R484,'1_Presupuesto'!$E:$E,'1_Presupuesto'!$D:$D),"")</f>
        <v>Revestimiento MO</v>
      </c>
    </row>
    <row r="485" spans="1:19" ht="15" customHeight="1" x14ac:dyDescent="0.35">
      <c r="A485" s="222" t="s">
        <v>1719</v>
      </c>
      <c r="B485" s="222" t="s">
        <v>654</v>
      </c>
      <c r="C485" s="222" t="s">
        <v>719</v>
      </c>
      <c r="D485" s="222" t="s">
        <v>1585</v>
      </c>
      <c r="E485" s="222" t="s">
        <v>1586</v>
      </c>
      <c r="F485" s="222"/>
      <c r="G485" s="223">
        <v>1E-3</v>
      </c>
      <c r="H485" s="222">
        <v>0.05</v>
      </c>
      <c r="I485" s="224">
        <v>21453.297500000001</v>
      </c>
      <c r="J485" s="224">
        <v>22.525962374999999</v>
      </c>
      <c r="K485" s="222" t="s">
        <v>1720</v>
      </c>
      <c r="L485" s="222">
        <v>3</v>
      </c>
      <c r="M485" s="222" t="s">
        <v>1723</v>
      </c>
      <c r="N485" s="222">
        <v>1</v>
      </c>
      <c r="O485" s="222">
        <v>0</v>
      </c>
      <c r="P485" s="225">
        <v>37</v>
      </c>
      <c r="Q485" s="224">
        <v>0</v>
      </c>
      <c r="R485" s="222">
        <v>12.03</v>
      </c>
      <c r="S485" s="226" t="str">
        <f>IFERROR(_xlfn.XLOOKUP(R485,'1_Presupuesto'!$E:$E,'1_Presupuesto'!$D:$D),"")</f>
        <v>Revestimiento MO</v>
      </c>
    </row>
    <row r="486" spans="1:19" ht="15" customHeight="1" x14ac:dyDescent="0.35">
      <c r="A486" s="222" t="s">
        <v>1719</v>
      </c>
      <c r="B486" s="222" t="s">
        <v>654</v>
      </c>
      <c r="C486" s="222" t="s">
        <v>719</v>
      </c>
      <c r="D486" s="222" t="s">
        <v>1218</v>
      </c>
      <c r="E486" s="222" t="s">
        <v>1219</v>
      </c>
      <c r="F486" s="222"/>
      <c r="G486" s="223">
        <v>0.01</v>
      </c>
      <c r="H486" s="222">
        <v>0.03</v>
      </c>
      <c r="I486" s="224">
        <v>784.06</v>
      </c>
      <c r="J486" s="224">
        <v>8.0758179999999999</v>
      </c>
      <c r="K486" s="222" t="s">
        <v>1720</v>
      </c>
      <c r="L486" s="222">
        <v>4</v>
      </c>
      <c r="M486" s="222" t="s">
        <v>1724</v>
      </c>
      <c r="N486" s="222">
        <v>1</v>
      </c>
      <c r="O486" s="222">
        <v>0</v>
      </c>
      <c r="P486" s="225">
        <v>37</v>
      </c>
      <c r="Q486" s="224">
        <v>0</v>
      </c>
      <c r="R486" s="222">
        <v>12.03</v>
      </c>
      <c r="S486" s="226" t="str">
        <f>IFERROR(_xlfn.XLOOKUP(R486,'1_Presupuesto'!$E:$E,'1_Presupuesto'!$D:$D),"")</f>
        <v>Revestimiento MO</v>
      </c>
    </row>
    <row r="487" spans="1:19" ht="15" customHeight="1" x14ac:dyDescent="0.35">
      <c r="A487" s="222" t="s">
        <v>1719</v>
      </c>
      <c r="B487" s="222" t="s">
        <v>639</v>
      </c>
      <c r="C487" s="222" t="s">
        <v>646</v>
      </c>
      <c r="D487" s="222" t="s">
        <v>687</v>
      </c>
      <c r="E487" s="222" t="s">
        <v>688</v>
      </c>
      <c r="F487" s="222" t="s">
        <v>643</v>
      </c>
      <c r="G487" s="223">
        <v>3.3333330000000001E-2</v>
      </c>
      <c r="H487" s="222">
        <v>0</v>
      </c>
      <c r="I487" s="224">
        <v>54784.07</v>
      </c>
      <c r="J487" s="224">
        <v>1826.1354840531001</v>
      </c>
      <c r="K487" s="222" t="s">
        <v>1725</v>
      </c>
      <c r="L487" s="222">
        <v>1</v>
      </c>
      <c r="M487" s="222" t="s">
        <v>1726</v>
      </c>
      <c r="N487" s="222">
        <v>1</v>
      </c>
      <c r="O487" s="222">
        <v>3.3333330000000001E-2</v>
      </c>
      <c r="P487" s="225">
        <v>37</v>
      </c>
      <c r="Q487" s="224">
        <v>1.2333332100000001</v>
      </c>
      <c r="R487" s="222">
        <v>12.03</v>
      </c>
      <c r="S487" s="226" t="str">
        <f>IFERROR(_xlfn.XLOOKUP(R487,'1_Presupuesto'!$E:$E,'1_Presupuesto'!$D:$D),"")</f>
        <v>Revestimiento MO</v>
      </c>
    </row>
    <row r="488" spans="1:19" ht="15" customHeight="1" x14ac:dyDescent="0.35">
      <c r="A488" s="222" t="s">
        <v>1719</v>
      </c>
      <c r="B488" s="222" t="s">
        <v>639</v>
      </c>
      <c r="C488" s="222" t="s">
        <v>646</v>
      </c>
      <c r="D488" s="222" t="s">
        <v>723</v>
      </c>
      <c r="E488" s="222" t="s">
        <v>724</v>
      </c>
      <c r="F488" s="222" t="s">
        <v>643</v>
      </c>
      <c r="G488" s="223">
        <v>3.3333330000000001E-2</v>
      </c>
      <c r="H488" s="222">
        <v>0</v>
      </c>
      <c r="I488" s="224">
        <v>75113.05</v>
      </c>
      <c r="J488" s="224">
        <v>2503.7680829565002</v>
      </c>
      <c r="K488" s="222" t="s">
        <v>1725</v>
      </c>
      <c r="L488" s="222">
        <v>2</v>
      </c>
      <c r="M488" s="222" t="s">
        <v>1727</v>
      </c>
      <c r="N488" s="222">
        <v>1</v>
      </c>
      <c r="O488" s="222">
        <v>3.3333330000000001E-2</v>
      </c>
      <c r="P488" s="225">
        <v>37</v>
      </c>
      <c r="Q488" s="224">
        <v>1.2333332100000001</v>
      </c>
      <c r="R488" s="222">
        <v>12.03</v>
      </c>
      <c r="S488" s="226" t="str">
        <f>IFERROR(_xlfn.XLOOKUP(R488,'1_Presupuesto'!$E:$E,'1_Presupuesto'!$D:$D),"")</f>
        <v>Revestimiento MO</v>
      </c>
    </row>
    <row r="489" spans="1:19" ht="15" customHeight="1" x14ac:dyDescent="0.35">
      <c r="A489" s="222" t="s">
        <v>1719</v>
      </c>
      <c r="B489" s="222" t="s">
        <v>13</v>
      </c>
      <c r="C489" s="222"/>
      <c r="D489" s="222" t="s">
        <v>1595</v>
      </c>
      <c r="E489" s="222" t="s">
        <v>1596</v>
      </c>
      <c r="F489" s="222"/>
      <c r="G489" s="223">
        <v>3.3333330000000001E-2</v>
      </c>
      <c r="H489" s="222">
        <v>0</v>
      </c>
      <c r="I489" s="224">
        <v>2568.0682999999999</v>
      </c>
      <c r="J489" s="224">
        <v>85.602268106438999</v>
      </c>
      <c r="K489" s="222" t="s">
        <v>1728</v>
      </c>
      <c r="L489" s="222">
        <v>1</v>
      </c>
      <c r="M489" s="222" t="s">
        <v>1729</v>
      </c>
      <c r="N489" s="222">
        <v>1</v>
      </c>
      <c r="O489" s="222">
        <v>0</v>
      </c>
      <c r="P489" s="225">
        <v>37</v>
      </c>
      <c r="Q489" s="224">
        <v>0</v>
      </c>
      <c r="R489" s="222">
        <v>12.03</v>
      </c>
      <c r="S489" s="226" t="str">
        <f>IFERROR(_xlfn.XLOOKUP(R489,'1_Presupuesto'!$E:$E,'1_Presupuesto'!$D:$D),"")</f>
        <v>Revestimiento MO</v>
      </c>
    </row>
    <row r="490" spans="1:19" ht="15" customHeight="1" x14ac:dyDescent="0.35">
      <c r="A490" s="222" t="s">
        <v>1719</v>
      </c>
      <c r="B490" s="222" t="s">
        <v>13</v>
      </c>
      <c r="C490" s="222"/>
      <c r="D490" s="222" t="s">
        <v>1599</v>
      </c>
      <c r="E490" s="222" t="s">
        <v>1600</v>
      </c>
      <c r="F490" s="222"/>
      <c r="G490" s="223">
        <v>3.3333330000000001E-2</v>
      </c>
      <c r="H490" s="222">
        <v>0</v>
      </c>
      <c r="I490" s="224">
        <v>290.60739999999998</v>
      </c>
      <c r="J490" s="224">
        <v>9.6869123646419997</v>
      </c>
      <c r="K490" s="222" t="s">
        <v>1728</v>
      </c>
      <c r="L490" s="222">
        <v>2</v>
      </c>
      <c r="M490" s="222" t="s">
        <v>1730</v>
      </c>
      <c r="N490" s="222">
        <v>1</v>
      </c>
      <c r="O490" s="222">
        <v>0</v>
      </c>
      <c r="P490" s="225">
        <v>37</v>
      </c>
      <c r="Q490" s="224">
        <v>0</v>
      </c>
      <c r="R490" s="222">
        <v>12.03</v>
      </c>
      <c r="S490" s="226" t="str">
        <f>IFERROR(_xlfn.XLOOKUP(R490,'1_Presupuesto'!$E:$E,'1_Presupuesto'!$D:$D),"")</f>
        <v>Revestimiento MO</v>
      </c>
    </row>
    <row r="491" spans="1:19" ht="15" customHeight="1" x14ac:dyDescent="0.35">
      <c r="A491" s="222" t="s">
        <v>1731</v>
      </c>
      <c r="B491" s="222" t="s">
        <v>654</v>
      </c>
      <c r="C491" s="222" t="s">
        <v>719</v>
      </c>
      <c r="D491" s="222" t="s">
        <v>1578</v>
      </c>
      <c r="E491" s="222" t="s">
        <v>1579</v>
      </c>
      <c r="F491" s="222"/>
      <c r="G491" s="223">
        <v>0.04</v>
      </c>
      <c r="H491" s="222">
        <v>0.2</v>
      </c>
      <c r="I491" s="224">
        <v>21494.592000000001</v>
      </c>
      <c r="J491" s="224">
        <v>1031.7404160000001</v>
      </c>
      <c r="K491" s="222" t="s">
        <v>1732</v>
      </c>
      <c r="L491" s="222">
        <v>1</v>
      </c>
      <c r="M491" s="222" t="s">
        <v>1733</v>
      </c>
      <c r="N491" s="222">
        <v>1</v>
      </c>
      <c r="O491" s="222">
        <v>0</v>
      </c>
      <c r="P491" s="225">
        <v>433</v>
      </c>
      <c r="Q491" s="224">
        <v>0</v>
      </c>
      <c r="R491" s="222">
        <v>12.04</v>
      </c>
      <c r="S491" s="226" t="str">
        <f>IFERROR(_xlfn.XLOOKUP(R491,'1_Presupuesto'!$E:$E,'1_Presupuesto'!$D:$D),"")</f>
        <v>Revestimiento MO</v>
      </c>
    </row>
    <row r="492" spans="1:19" ht="15" customHeight="1" x14ac:dyDescent="0.35">
      <c r="A492" s="222" t="s">
        <v>1731</v>
      </c>
      <c r="B492" s="222" t="s">
        <v>654</v>
      </c>
      <c r="C492" s="222" t="s">
        <v>719</v>
      </c>
      <c r="D492" s="222" t="s">
        <v>1582</v>
      </c>
      <c r="E492" s="222" t="s">
        <v>1583</v>
      </c>
      <c r="F492" s="222"/>
      <c r="G492" s="223">
        <v>0.04</v>
      </c>
      <c r="H492" s="222">
        <v>0.05</v>
      </c>
      <c r="I492" s="224">
        <v>2930.36</v>
      </c>
      <c r="J492" s="224">
        <v>123.07512</v>
      </c>
      <c r="K492" s="222" t="s">
        <v>1732</v>
      </c>
      <c r="L492" s="222">
        <v>2</v>
      </c>
      <c r="M492" s="222" t="s">
        <v>1734</v>
      </c>
      <c r="N492" s="222">
        <v>1</v>
      </c>
      <c r="O492" s="222">
        <v>0</v>
      </c>
      <c r="P492" s="225">
        <v>433</v>
      </c>
      <c r="Q492" s="224">
        <v>0</v>
      </c>
      <c r="R492" s="222">
        <v>12.04</v>
      </c>
      <c r="S492" s="226" t="str">
        <f>IFERROR(_xlfn.XLOOKUP(R492,'1_Presupuesto'!$E:$E,'1_Presupuesto'!$D:$D),"")</f>
        <v>Revestimiento MO</v>
      </c>
    </row>
    <row r="493" spans="1:19" ht="15" customHeight="1" x14ac:dyDescent="0.35">
      <c r="A493" s="222" t="s">
        <v>1731</v>
      </c>
      <c r="B493" s="222" t="s">
        <v>654</v>
      </c>
      <c r="C493" s="222" t="s">
        <v>719</v>
      </c>
      <c r="D493" s="222" t="s">
        <v>1585</v>
      </c>
      <c r="E493" s="222" t="s">
        <v>1586</v>
      </c>
      <c r="F493" s="222"/>
      <c r="G493" s="223">
        <v>1E-3</v>
      </c>
      <c r="H493" s="222">
        <v>0.05</v>
      </c>
      <c r="I493" s="224">
        <v>21453.297500000001</v>
      </c>
      <c r="J493" s="224">
        <v>22.525962374999999</v>
      </c>
      <c r="K493" s="222" t="s">
        <v>1732</v>
      </c>
      <c r="L493" s="222">
        <v>3</v>
      </c>
      <c r="M493" s="222" t="s">
        <v>1735</v>
      </c>
      <c r="N493" s="222">
        <v>1</v>
      </c>
      <c r="O493" s="222">
        <v>0</v>
      </c>
      <c r="P493" s="225">
        <v>433</v>
      </c>
      <c r="Q493" s="224">
        <v>0</v>
      </c>
      <c r="R493" s="222">
        <v>12.04</v>
      </c>
      <c r="S493" s="226" t="str">
        <f>IFERROR(_xlfn.XLOOKUP(R493,'1_Presupuesto'!$E:$E,'1_Presupuesto'!$D:$D),"")</f>
        <v>Revestimiento MO</v>
      </c>
    </row>
    <row r="494" spans="1:19" ht="15" customHeight="1" x14ac:dyDescent="0.35">
      <c r="A494" s="222" t="s">
        <v>1731</v>
      </c>
      <c r="B494" s="222" t="s">
        <v>654</v>
      </c>
      <c r="C494" s="222" t="s">
        <v>719</v>
      </c>
      <c r="D494" s="222" t="s">
        <v>1218</v>
      </c>
      <c r="E494" s="222" t="s">
        <v>1219</v>
      </c>
      <c r="F494" s="222"/>
      <c r="G494" s="223">
        <v>0.01</v>
      </c>
      <c r="H494" s="222">
        <v>0.03</v>
      </c>
      <c r="I494" s="224">
        <v>784.06</v>
      </c>
      <c r="J494" s="224">
        <v>8.0758179999999999</v>
      </c>
      <c r="K494" s="222" t="s">
        <v>1732</v>
      </c>
      <c r="L494" s="222">
        <v>4</v>
      </c>
      <c r="M494" s="222" t="s">
        <v>1736</v>
      </c>
      <c r="N494" s="222">
        <v>1</v>
      </c>
      <c r="O494" s="222">
        <v>0</v>
      </c>
      <c r="P494" s="225">
        <v>433</v>
      </c>
      <c r="Q494" s="224">
        <v>0</v>
      </c>
      <c r="R494" s="222">
        <v>12.04</v>
      </c>
      <c r="S494" s="226" t="str">
        <f>IFERROR(_xlfn.XLOOKUP(R494,'1_Presupuesto'!$E:$E,'1_Presupuesto'!$D:$D),"")</f>
        <v>Revestimiento MO</v>
      </c>
    </row>
    <row r="495" spans="1:19" ht="15" customHeight="1" x14ac:dyDescent="0.35">
      <c r="A495" s="222" t="s">
        <v>1731</v>
      </c>
      <c r="B495" s="222" t="s">
        <v>639</v>
      </c>
      <c r="C495" s="222" t="s">
        <v>646</v>
      </c>
      <c r="D495" s="222" t="s">
        <v>687</v>
      </c>
      <c r="E495" s="222" t="s">
        <v>688</v>
      </c>
      <c r="F495" s="222" t="s">
        <v>643</v>
      </c>
      <c r="G495" s="223">
        <v>3.3333330000000001E-2</v>
      </c>
      <c r="H495" s="222">
        <v>0</v>
      </c>
      <c r="I495" s="224">
        <v>54784.07</v>
      </c>
      <c r="J495" s="224">
        <v>1826.1354840531001</v>
      </c>
      <c r="K495" s="222" t="s">
        <v>1737</v>
      </c>
      <c r="L495" s="222">
        <v>1</v>
      </c>
      <c r="M495" s="222" t="s">
        <v>1738</v>
      </c>
      <c r="N495" s="222">
        <v>1</v>
      </c>
      <c r="O495" s="222">
        <v>3.3333330000000001E-2</v>
      </c>
      <c r="P495" s="225">
        <v>433</v>
      </c>
      <c r="Q495" s="224">
        <v>14.43333189</v>
      </c>
      <c r="R495" s="222">
        <v>12.04</v>
      </c>
      <c r="S495" s="226" t="str">
        <f>IFERROR(_xlfn.XLOOKUP(R495,'1_Presupuesto'!$E:$E,'1_Presupuesto'!$D:$D),"")</f>
        <v>Revestimiento MO</v>
      </c>
    </row>
    <row r="496" spans="1:19" ht="15" customHeight="1" x14ac:dyDescent="0.35">
      <c r="A496" s="222" t="s">
        <v>1731</v>
      </c>
      <c r="B496" s="222" t="s">
        <v>639</v>
      </c>
      <c r="C496" s="222" t="s">
        <v>646</v>
      </c>
      <c r="D496" s="222" t="s">
        <v>723</v>
      </c>
      <c r="E496" s="222" t="s">
        <v>724</v>
      </c>
      <c r="F496" s="222" t="s">
        <v>643</v>
      </c>
      <c r="G496" s="223">
        <v>3.3333330000000001E-2</v>
      </c>
      <c r="H496" s="222">
        <v>0</v>
      </c>
      <c r="I496" s="224">
        <v>75113.05</v>
      </c>
      <c r="J496" s="224">
        <v>2503.7680829565002</v>
      </c>
      <c r="K496" s="222" t="s">
        <v>1737</v>
      </c>
      <c r="L496" s="222">
        <v>2</v>
      </c>
      <c r="M496" s="222" t="s">
        <v>1739</v>
      </c>
      <c r="N496" s="222">
        <v>1</v>
      </c>
      <c r="O496" s="222">
        <v>3.3333330000000001E-2</v>
      </c>
      <c r="P496" s="225">
        <v>433</v>
      </c>
      <c r="Q496" s="224">
        <v>14.43333189</v>
      </c>
      <c r="R496" s="222">
        <v>12.04</v>
      </c>
      <c r="S496" s="226" t="str">
        <f>IFERROR(_xlfn.XLOOKUP(R496,'1_Presupuesto'!$E:$E,'1_Presupuesto'!$D:$D),"")</f>
        <v>Revestimiento MO</v>
      </c>
    </row>
    <row r="497" spans="1:19" ht="15" customHeight="1" x14ac:dyDescent="0.35">
      <c r="A497" s="222" t="s">
        <v>1731</v>
      </c>
      <c r="B497" s="222" t="s">
        <v>13</v>
      </c>
      <c r="C497" s="222"/>
      <c r="D497" s="222" t="s">
        <v>1595</v>
      </c>
      <c r="E497" s="222" t="s">
        <v>1596</v>
      </c>
      <c r="F497" s="222"/>
      <c r="G497" s="223">
        <v>3.3333330000000001E-2</v>
      </c>
      <c r="H497" s="222">
        <v>0</v>
      </c>
      <c r="I497" s="224">
        <v>2568.0682999999999</v>
      </c>
      <c r="J497" s="224">
        <v>85.602268106438999</v>
      </c>
      <c r="K497" s="222" t="s">
        <v>1740</v>
      </c>
      <c r="L497" s="222">
        <v>1</v>
      </c>
      <c r="M497" s="222" t="s">
        <v>1741</v>
      </c>
      <c r="N497" s="222">
        <v>1</v>
      </c>
      <c r="O497" s="222">
        <v>0</v>
      </c>
      <c r="P497" s="225">
        <v>433</v>
      </c>
      <c r="Q497" s="224">
        <v>0</v>
      </c>
      <c r="R497" s="222">
        <v>12.04</v>
      </c>
      <c r="S497" s="226" t="str">
        <f>IFERROR(_xlfn.XLOOKUP(R497,'1_Presupuesto'!$E:$E,'1_Presupuesto'!$D:$D),"")</f>
        <v>Revestimiento MO</v>
      </c>
    </row>
    <row r="498" spans="1:19" ht="15" customHeight="1" x14ac:dyDescent="0.35">
      <c r="A498" s="222" t="s">
        <v>1731</v>
      </c>
      <c r="B498" s="222" t="s">
        <v>13</v>
      </c>
      <c r="C498" s="222"/>
      <c r="D498" s="222" t="s">
        <v>1599</v>
      </c>
      <c r="E498" s="222" t="s">
        <v>1600</v>
      </c>
      <c r="F498" s="222"/>
      <c r="G498" s="223">
        <v>3.3333330000000001E-2</v>
      </c>
      <c r="H498" s="222">
        <v>0</v>
      </c>
      <c r="I498" s="224">
        <v>290.60739999999998</v>
      </c>
      <c r="J498" s="224">
        <v>9.6869123646419997</v>
      </c>
      <c r="K498" s="222" t="s">
        <v>1740</v>
      </c>
      <c r="L498" s="222">
        <v>2</v>
      </c>
      <c r="M498" s="222" t="s">
        <v>1742</v>
      </c>
      <c r="N498" s="222">
        <v>1</v>
      </c>
      <c r="O498" s="222">
        <v>0</v>
      </c>
      <c r="P498" s="225">
        <v>433</v>
      </c>
      <c r="Q498" s="224">
        <v>0</v>
      </c>
      <c r="R498" s="222">
        <v>12.04</v>
      </c>
      <c r="S498" s="226" t="str">
        <f>IFERROR(_xlfn.XLOOKUP(R498,'1_Presupuesto'!$E:$E,'1_Presupuesto'!$D:$D),"")</f>
        <v>Revestimiento MO</v>
      </c>
    </row>
    <row r="499" spans="1:19" ht="15" customHeight="1" x14ac:dyDescent="0.35">
      <c r="A499" s="222" t="s">
        <v>1743</v>
      </c>
      <c r="B499" s="222" t="s">
        <v>654</v>
      </c>
      <c r="C499" s="222" t="s">
        <v>719</v>
      </c>
      <c r="D499" s="222" t="s">
        <v>1578</v>
      </c>
      <c r="E499" s="222" t="s">
        <v>1579</v>
      </c>
      <c r="F499" s="222"/>
      <c r="G499" s="223">
        <v>0.04</v>
      </c>
      <c r="H499" s="222">
        <v>0.2</v>
      </c>
      <c r="I499" s="224">
        <v>21494.592000000001</v>
      </c>
      <c r="J499" s="224">
        <v>1031.7404160000001</v>
      </c>
      <c r="K499" s="222" t="s">
        <v>1744</v>
      </c>
      <c r="L499" s="222">
        <v>1</v>
      </c>
      <c r="M499" s="222" t="s">
        <v>1745</v>
      </c>
      <c r="N499" s="222">
        <v>1</v>
      </c>
      <c r="O499" s="222">
        <v>0</v>
      </c>
      <c r="P499" s="225">
        <v>155</v>
      </c>
      <c r="Q499" s="224">
        <v>0</v>
      </c>
      <c r="R499" s="222">
        <v>12.05</v>
      </c>
      <c r="S499" s="226" t="str">
        <f>IFERROR(_xlfn.XLOOKUP(R499,'1_Presupuesto'!$E:$E,'1_Presupuesto'!$D:$D),"")</f>
        <v>Revestimiento MO</v>
      </c>
    </row>
    <row r="500" spans="1:19" ht="15" customHeight="1" x14ac:dyDescent="0.35">
      <c r="A500" s="222" t="s">
        <v>1743</v>
      </c>
      <c r="B500" s="222" t="s">
        <v>654</v>
      </c>
      <c r="C500" s="222" t="s">
        <v>719</v>
      </c>
      <c r="D500" s="222" t="s">
        <v>1582</v>
      </c>
      <c r="E500" s="222" t="s">
        <v>1583</v>
      </c>
      <c r="F500" s="222"/>
      <c r="G500" s="223">
        <v>0.04</v>
      </c>
      <c r="H500" s="222">
        <v>0.05</v>
      </c>
      <c r="I500" s="224">
        <v>2930.36</v>
      </c>
      <c r="J500" s="224">
        <v>123.07512</v>
      </c>
      <c r="K500" s="222" t="s">
        <v>1744</v>
      </c>
      <c r="L500" s="222">
        <v>2</v>
      </c>
      <c r="M500" s="222" t="s">
        <v>1746</v>
      </c>
      <c r="N500" s="222">
        <v>1</v>
      </c>
      <c r="O500" s="222">
        <v>0</v>
      </c>
      <c r="P500" s="225">
        <v>155</v>
      </c>
      <c r="Q500" s="224">
        <v>0</v>
      </c>
      <c r="R500" s="222">
        <v>12.05</v>
      </c>
      <c r="S500" s="226" t="str">
        <f>IFERROR(_xlfn.XLOOKUP(R500,'1_Presupuesto'!$E:$E,'1_Presupuesto'!$D:$D),"")</f>
        <v>Revestimiento MO</v>
      </c>
    </row>
    <row r="501" spans="1:19" ht="15" customHeight="1" x14ac:dyDescent="0.35">
      <c r="A501" s="222" t="s">
        <v>1743</v>
      </c>
      <c r="B501" s="222" t="s">
        <v>654</v>
      </c>
      <c r="C501" s="222" t="s">
        <v>719</v>
      </c>
      <c r="D501" s="222" t="s">
        <v>1585</v>
      </c>
      <c r="E501" s="222" t="s">
        <v>1586</v>
      </c>
      <c r="F501" s="222"/>
      <c r="G501" s="223">
        <v>1E-3</v>
      </c>
      <c r="H501" s="222">
        <v>0.05</v>
      </c>
      <c r="I501" s="224">
        <v>21453.297500000001</v>
      </c>
      <c r="J501" s="224">
        <v>22.525962374999999</v>
      </c>
      <c r="K501" s="222" t="s">
        <v>1744</v>
      </c>
      <c r="L501" s="222">
        <v>3</v>
      </c>
      <c r="M501" s="222" t="s">
        <v>1747</v>
      </c>
      <c r="N501" s="222">
        <v>1</v>
      </c>
      <c r="O501" s="222">
        <v>0</v>
      </c>
      <c r="P501" s="225">
        <v>155</v>
      </c>
      <c r="Q501" s="224">
        <v>0</v>
      </c>
      <c r="R501" s="222">
        <v>12.05</v>
      </c>
      <c r="S501" s="226" t="str">
        <f>IFERROR(_xlfn.XLOOKUP(R501,'1_Presupuesto'!$E:$E,'1_Presupuesto'!$D:$D),"")</f>
        <v>Revestimiento MO</v>
      </c>
    </row>
    <row r="502" spans="1:19" ht="15" customHeight="1" x14ac:dyDescent="0.35">
      <c r="A502" s="222" t="s">
        <v>1743</v>
      </c>
      <c r="B502" s="222" t="s">
        <v>654</v>
      </c>
      <c r="C502" s="222" t="s">
        <v>719</v>
      </c>
      <c r="D502" s="222" t="s">
        <v>1218</v>
      </c>
      <c r="E502" s="222" t="s">
        <v>1219</v>
      </c>
      <c r="F502" s="222"/>
      <c r="G502" s="223">
        <v>0.01</v>
      </c>
      <c r="H502" s="222">
        <v>0.03</v>
      </c>
      <c r="I502" s="224">
        <v>784.06</v>
      </c>
      <c r="J502" s="224">
        <v>8.0758179999999999</v>
      </c>
      <c r="K502" s="222" t="s">
        <v>1744</v>
      </c>
      <c r="L502" s="222">
        <v>4</v>
      </c>
      <c r="M502" s="222" t="s">
        <v>1748</v>
      </c>
      <c r="N502" s="222">
        <v>1</v>
      </c>
      <c r="O502" s="222">
        <v>0</v>
      </c>
      <c r="P502" s="225">
        <v>155</v>
      </c>
      <c r="Q502" s="224">
        <v>0</v>
      </c>
      <c r="R502" s="222">
        <v>12.05</v>
      </c>
      <c r="S502" s="226" t="str">
        <f>IFERROR(_xlfn.XLOOKUP(R502,'1_Presupuesto'!$E:$E,'1_Presupuesto'!$D:$D),"")</f>
        <v>Revestimiento MO</v>
      </c>
    </row>
    <row r="503" spans="1:19" ht="15" customHeight="1" x14ac:dyDescent="0.35">
      <c r="A503" s="222" t="s">
        <v>1743</v>
      </c>
      <c r="B503" s="222" t="s">
        <v>639</v>
      </c>
      <c r="C503" s="222" t="s">
        <v>646</v>
      </c>
      <c r="D503" s="222" t="s">
        <v>687</v>
      </c>
      <c r="E503" s="222" t="s">
        <v>688</v>
      </c>
      <c r="F503" s="222" t="s">
        <v>643</v>
      </c>
      <c r="G503" s="223">
        <v>3.3333330000000001E-2</v>
      </c>
      <c r="H503" s="222">
        <v>0</v>
      </c>
      <c r="I503" s="224">
        <v>54784.07</v>
      </c>
      <c r="J503" s="224">
        <v>1826.1354840531001</v>
      </c>
      <c r="K503" s="222" t="s">
        <v>1749</v>
      </c>
      <c r="L503" s="222">
        <v>1</v>
      </c>
      <c r="M503" s="222" t="s">
        <v>1750</v>
      </c>
      <c r="N503" s="222">
        <v>1</v>
      </c>
      <c r="O503" s="222">
        <v>3.3333330000000001E-2</v>
      </c>
      <c r="P503" s="225">
        <v>155</v>
      </c>
      <c r="Q503" s="224">
        <v>5.1666661500000002</v>
      </c>
      <c r="R503" s="222">
        <v>12.05</v>
      </c>
      <c r="S503" s="226" t="str">
        <f>IFERROR(_xlfn.XLOOKUP(R503,'1_Presupuesto'!$E:$E,'1_Presupuesto'!$D:$D),"")</f>
        <v>Revestimiento MO</v>
      </c>
    </row>
    <row r="504" spans="1:19" ht="15" customHeight="1" x14ac:dyDescent="0.35">
      <c r="A504" s="222" t="s">
        <v>1743</v>
      </c>
      <c r="B504" s="222" t="s">
        <v>639</v>
      </c>
      <c r="C504" s="222" t="s">
        <v>646</v>
      </c>
      <c r="D504" s="222" t="s">
        <v>723</v>
      </c>
      <c r="E504" s="222" t="s">
        <v>724</v>
      </c>
      <c r="F504" s="222" t="s">
        <v>643</v>
      </c>
      <c r="G504" s="223">
        <v>3.3333330000000001E-2</v>
      </c>
      <c r="H504" s="222">
        <v>0</v>
      </c>
      <c r="I504" s="224">
        <v>75113.05</v>
      </c>
      <c r="J504" s="224">
        <v>2503.7680829565002</v>
      </c>
      <c r="K504" s="222" t="s">
        <v>1749</v>
      </c>
      <c r="L504" s="222">
        <v>2</v>
      </c>
      <c r="M504" s="222" t="s">
        <v>1751</v>
      </c>
      <c r="N504" s="222">
        <v>1</v>
      </c>
      <c r="O504" s="222">
        <v>3.3333330000000001E-2</v>
      </c>
      <c r="P504" s="225">
        <v>155</v>
      </c>
      <c r="Q504" s="224">
        <v>5.1666661500000002</v>
      </c>
      <c r="R504" s="222">
        <v>12.05</v>
      </c>
      <c r="S504" s="226" t="str">
        <f>IFERROR(_xlfn.XLOOKUP(R504,'1_Presupuesto'!$E:$E,'1_Presupuesto'!$D:$D),"")</f>
        <v>Revestimiento MO</v>
      </c>
    </row>
    <row r="505" spans="1:19" ht="15" customHeight="1" x14ac:dyDescent="0.35">
      <c r="A505" s="222" t="s">
        <v>1743</v>
      </c>
      <c r="B505" s="222" t="s">
        <v>13</v>
      </c>
      <c r="C505" s="222"/>
      <c r="D505" s="222" t="s">
        <v>1595</v>
      </c>
      <c r="E505" s="222" t="s">
        <v>1596</v>
      </c>
      <c r="F505" s="222"/>
      <c r="G505" s="223">
        <v>3.3333330000000001E-2</v>
      </c>
      <c r="H505" s="222">
        <v>0</v>
      </c>
      <c r="I505" s="224">
        <v>2568.0682999999999</v>
      </c>
      <c r="J505" s="224">
        <v>85.602268106438999</v>
      </c>
      <c r="K505" s="222" t="s">
        <v>1752</v>
      </c>
      <c r="L505" s="222">
        <v>1</v>
      </c>
      <c r="M505" s="222" t="s">
        <v>1753</v>
      </c>
      <c r="N505" s="222">
        <v>1</v>
      </c>
      <c r="O505" s="222">
        <v>0</v>
      </c>
      <c r="P505" s="225">
        <v>155</v>
      </c>
      <c r="Q505" s="224">
        <v>0</v>
      </c>
      <c r="R505" s="222">
        <v>12.05</v>
      </c>
      <c r="S505" s="226" t="str">
        <f>IFERROR(_xlfn.XLOOKUP(R505,'1_Presupuesto'!$E:$E,'1_Presupuesto'!$D:$D),"")</f>
        <v>Revestimiento MO</v>
      </c>
    </row>
    <row r="506" spans="1:19" ht="15" customHeight="1" x14ac:dyDescent="0.35">
      <c r="A506" s="222" t="s">
        <v>1743</v>
      </c>
      <c r="B506" s="222" t="s">
        <v>13</v>
      </c>
      <c r="C506" s="222"/>
      <c r="D506" s="222" t="s">
        <v>1599</v>
      </c>
      <c r="E506" s="222" t="s">
        <v>1600</v>
      </c>
      <c r="F506" s="222"/>
      <c r="G506" s="223">
        <v>3.3333330000000001E-2</v>
      </c>
      <c r="H506" s="222">
        <v>0</v>
      </c>
      <c r="I506" s="224">
        <v>290.60739999999998</v>
      </c>
      <c r="J506" s="224">
        <v>9.6869123646419997</v>
      </c>
      <c r="K506" s="222" t="s">
        <v>1752</v>
      </c>
      <c r="L506" s="222">
        <v>2</v>
      </c>
      <c r="M506" s="222" t="s">
        <v>1754</v>
      </c>
      <c r="N506" s="222">
        <v>1</v>
      </c>
      <c r="O506" s="222">
        <v>0</v>
      </c>
      <c r="P506" s="225">
        <v>155</v>
      </c>
      <c r="Q506" s="224">
        <v>0</v>
      </c>
      <c r="R506" s="222">
        <v>12.05</v>
      </c>
      <c r="S506" s="226" t="str">
        <f>IFERROR(_xlfn.XLOOKUP(R506,'1_Presupuesto'!$E:$E,'1_Presupuesto'!$D:$D),"")</f>
        <v>Revestimiento MO</v>
      </c>
    </row>
    <row r="507" spans="1:19" ht="15" customHeight="1" x14ac:dyDescent="0.35">
      <c r="A507" s="222" t="s">
        <v>1755</v>
      </c>
      <c r="B507" s="222" t="s">
        <v>654</v>
      </c>
      <c r="C507" s="222" t="s">
        <v>719</v>
      </c>
      <c r="D507" s="222" t="s">
        <v>1578</v>
      </c>
      <c r="E507" s="222" t="s">
        <v>1579</v>
      </c>
      <c r="F507" s="222"/>
      <c r="G507" s="223">
        <v>0.2</v>
      </c>
      <c r="H507" s="222">
        <v>0.2</v>
      </c>
      <c r="I507" s="224">
        <v>21494.592000000001</v>
      </c>
      <c r="J507" s="224">
        <v>5158.70208</v>
      </c>
      <c r="K507" s="222" t="s">
        <v>1756</v>
      </c>
      <c r="L507" s="222">
        <v>1</v>
      </c>
      <c r="M507" s="222" t="s">
        <v>1757</v>
      </c>
      <c r="N507" s="222">
        <v>1</v>
      </c>
      <c r="O507" s="222">
        <v>0</v>
      </c>
      <c r="P507" s="225">
        <v>511</v>
      </c>
      <c r="Q507" s="224">
        <v>0</v>
      </c>
      <c r="R507" s="222">
        <v>13.01</v>
      </c>
      <c r="S507" s="226" t="str">
        <f>IFERROR(_xlfn.XLOOKUP(R507,'1_Presupuesto'!$E:$E,'1_Presupuesto'!$D:$D),"")</f>
        <v>Revestimiento MO</v>
      </c>
    </row>
    <row r="508" spans="1:19" ht="15" customHeight="1" x14ac:dyDescent="0.35">
      <c r="A508" s="222" t="s">
        <v>1755</v>
      </c>
      <c r="B508" s="222" t="s">
        <v>654</v>
      </c>
      <c r="C508" s="222" t="s">
        <v>719</v>
      </c>
      <c r="D508" s="222" t="s">
        <v>1582</v>
      </c>
      <c r="E508" s="222" t="s">
        <v>1583</v>
      </c>
      <c r="F508" s="222"/>
      <c r="G508" s="223">
        <v>0.2</v>
      </c>
      <c r="H508" s="222">
        <v>0.05</v>
      </c>
      <c r="I508" s="224">
        <v>2930.36</v>
      </c>
      <c r="J508" s="224">
        <v>615.37560000000008</v>
      </c>
      <c r="K508" s="222" t="s">
        <v>1756</v>
      </c>
      <c r="L508" s="222">
        <v>2</v>
      </c>
      <c r="M508" s="222" t="s">
        <v>1758</v>
      </c>
      <c r="N508" s="222">
        <v>1</v>
      </c>
      <c r="O508" s="222">
        <v>0</v>
      </c>
      <c r="P508" s="225">
        <v>511</v>
      </c>
      <c r="Q508" s="224">
        <v>0</v>
      </c>
      <c r="R508" s="222">
        <v>13.01</v>
      </c>
      <c r="S508" s="226" t="str">
        <f>IFERROR(_xlfn.XLOOKUP(R508,'1_Presupuesto'!$E:$E,'1_Presupuesto'!$D:$D),"")</f>
        <v>Revestimiento MO</v>
      </c>
    </row>
    <row r="509" spans="1:19" ht="15" customHeight="1" x14ac:dyDescent="0.35">
      <c r="A509" s="222" t="s">
        <v>1755</v>
      </c>
      <c r="B509" s="222" t="s">
        <v>654</v>
      </c>
      <c r="C509" s="222" t="s">
        <v>719</v>
      </c>
      <c r="D509" s="222" t="s">
        <v>1585</v>
      </c>
      <c r="E509" s="222" t="s">
        <v>1586</v>
      </c>
      <c r="F509" s="222"/>
      <c r="G509" s="223">
        <v>4.0000000000000001E-3</v>
      </c>
      <c r="H509" s="222">
        <v>0.05</v>
      </c>
      <c r="I509" s="224">
        <v>21453.297500000001</v>
      </c>
      <c r="J509" s="224">
        <v>90.10384950000001</v>
      </c>
      <c r="K509" s="222" t="s">
        <v>1756</v>
      </c>
      <c r="L509" s="222">
        <v>3</v>
      </c>
      <c r="M509" s="222" t="s">
        <v>1759</v>
      </c>
      <c r="N509" s="222">
        <v>1</v>
      </c>
      <c r="O509" s="222">
        <v>0</v>
      </c>
      <c r="P509" s="225">
        <v>511</v>
      </c>
      <c r="Q509" s="224">
        <v>0</v>
      </c>
      <c r="R509" s="222">
        <v>13.01</v>
      </c>
      <c r="S509" s="226" t="str">
        <f>IFERROR(_xlfn.XLOOKUP(R509,'1_Presupuesto'!$E:$E,'1_Presupuesto'!$D:$D),"")</f>
        <v>Revestimiento MO</v>
      </c>
    </row>
    <row r="510" spans="1:19" ht="15" customHeight="1" x14ac:dyDescent="0.35">
      <c r="A510" s="222" t="s">
        <v>1755</v>
      </c>
      <c r="B510" s="222" t="s">
        <v>654</v>
      </c>
      <c r="C510" s="222" t="s">
        <v>719</v>
      </c>
      <c r="D510" s="222" t="s">
        <v>1588</v>
      </c>
      <c r="E510" s="222" t="s">
        <v>1589</v>
      </c>
      <c r="F510" s="222"/>
      <c r="G510" s="223">
        <v>0.04</v>
      </c>
      <c r="H510" s="222">
        <v>0.05</v>
      </c>
      <c r="I510" s="224">
        <v>32805.983500000002</v>
      </c>
      <c r="J510" s="224">
        <v>1377.8513069999999</v>
      </c>
      <c r="K510" s="222" t="s">
        <v>1756</v>
      </c>
      <c r="L510" s="222">
        <v>4</v>
      </c>
      <c r="M510" s="222" t="s">
        <v>1760</v>
      </c>
      <c r="N510" s="222">
        <v>1</v>
      </c>
      <c r="O510" s="222">
        <v>0</v>
      </c>
      <c r="P510" s="225">
        <v>511</v>
      </c>
      <c r="Q510" s="224">
        <v>0</v>
      </c>
      <c r="R510" s="222">
        <v>13.01</v>
      </c>
      <c r="S510" s="226" t="str">
        <f>IFERROR(_xlfn.XLOOKUP(R510,'1_Presupuesto'!$E:$E,'1_Presupuesto'!$D:$D),"")</f>
        <v>Revestimiento MO</v>
      </c>
    </row>
    <row r="511" spans="1:19" ht="15" customHeight="1" x14ac:dyDescent="0.35">
      <c r="A511" s="222" t="s">
        <v>1755</v>
      </c>
      <c r="B511" s="222" t="s">
        <v>654</v>
      </c>
      <c r="C511" s="222" t="s">
        <v>719</v>
      </c>
      <c r="D511" s="222" t="s">
        <v>1218</v>
      </c>
      <c r="E511" s="222" t="s">
        <v>1219</v>
      </c>
      <c r="F511" s="222"/>
      <c r="G511" s="223">
        <v>0.01</v>
      </c>
      <c r="H511" s="222">
        <v>0.03</v>
      </c>
      <c r="I511" s="224">
        <v>784.06</v>
      </c>
      <c r="J511" s="224">
        <v>8.0758179999999999</v>
      </c>
      <c r="K511" s="222" t="s">
        <v>1756</v>
      </c>
      <c r="L511" s="222">
        <v>5</v>
      </c>
      <c r="M511" s="222" t="s">
        <v>1761</v>
      </c>
      <c r="N511" s="222">
        <v>1</v>
      </c>
      <c r="O511" s="222">
        <v>0</v>
      </c>
      <c r="P511" s="225">
        <v>511</v>
      </c>
      <c r="Q511" s="224">
        <v>0</v>
      </c>
      <c r="R511" s="222">
        <v>13.01</v>
      </c>
      <c r="S511" s="226" t="str">
        <f>IFERROR(_xlfn.XLOOKUP(R511,'1_Presupuesto'!$E:$E,'1_Presupuesto'!$D:$D),"")</f>
        <v>Revestimiento MO</v>
      </c>
    </row>
    <row r="512" spans="1:19" ht="15" customHeight="1" x14ac:dyDescent="0.35">
      <c r="A512" s="222" t="s">
        <v>1755</v>
      </c>
      <c r="B512" s="222" t="s">
        <v>639</v>
      </c>
      <c r="C512" s="222" t="s">
        <v>646</v>
      </c>
      <c r="D512" s="222" t="s">
        <v>687</v>
      </c>
      <c r="E512" s="222" t="s">
        <v>688</v>
      </c>
      <c r="F512" s="222" t="s">
        <v>643</v>
      </c>
      <c r="G512" s="223">
        <v>0.1</v>
      </c>
      <c r="H512" s="222">
        <v>0</v>
      </c>
      <c r="I512" s="224">
        <v>54784.07</v>
      </c>
      <c r="J512" s="224">
        <v>5478.4070000000002</v>
      </c>
      <c r="K512" s="222" t="s">
        <v>1762</v>
      </c>
      <c r="L512" s="222">
        <v>1</v>
      </c>
      <c r="M512" s="222" t="s">
        <v>1763</v>
      </c>
      <c r="N512" s="222">
        <v>1</v>
      </c>
      <c r="O512" s="222">
        <v>0.1</v>
      </c>
      <c r="P512" s="225">
        <v>511</v>
      </c>
      <c r="Q512" s="224">
        <v>51.1</v>
      </c>
      <c r="R512" s="222">
        <v>13.01</v>
      </c>
      <c r="S512" s="226" t="str">
        <f>IFERROR(_xlfn.XLOOKUP(R512,'1_Presupuesto'!$E:$E,'1_Presupuesto'!$D:$D),"")</f>
        <v>Revestimiento MO</v>
      </c>
    </row>
    <row r="513" spans="1:19" ht="15" customHeight="1" x14ac:dyDescent="0.35">
      <c r="A513" s="222" t="s">
        <v>1755</v>
      </c>
      <c r="B513" s="222" t="s">
        <v>639</v>
      </c>
      <c r="C513" s="222" t="s">
        <v>646</v>
      </c>
      <c r="D513" s="222" t="s">
        <v>723</v>
      </c>
      <c r="E513" s="222" t="s">
        <v>724</v>
      </c>
      <c r="F513" s="222" t="s">
        <v>643</v>
      </c>
      <c r="G513" s="223">
        <v>0.1</v>
      </c>
      <c r="H513" s="222">
        <v>0</v>
      </c>
      <c r="I513" s="224">
        <v>75113.05</v>
      </c>
      <c r="J513" s="224">
        <v>7511.3050000000003</v>
      </c>
      <c r="K513" s="222" t="s">
        <v>1762</v>
      </c>
      <c r="L513" s="222">
        <v>2</v>
      </c>
      <c r="M513" s="222" t="s">
        <v>1764</v>
      </c>
      <c r="N513" s="222">
        <v>1</v>
      </c>
      <c r="O513" s="222">
        <v>0.1</v>
      </c>
      <c r="P513" s="225">
        <v>511</v>
      </c>
      <c r="Q513" s="224">
        <v>51.1</v>
      </c>
      <c r="R513" s="222">
        <v>13.01</v>
      </c>
      <c r="S513" s="226" t="str">
        <f>IFERROR(_xlfn.XLOOKUP(R513,'1_Presupuesto'!$E:$E,'1_Presupuesto'!$D:$D),"")</f>
        <v>Revestimiento MO</v>
      </c>
    </row>
    <row r="514" spans="1:19" ht="15" customHeight="1" x14ac:dyDescent="0.35">
      <c r="A514" s="222" t="s">
        <v>1755</v>
      </c>
      <c r="B514" s="222" t="s">
        <v>13</v>
      </c>
      <c r="C514" s="222"/>
      <c r="D514" s="222" t="s">
        <v>1595</v>
      </c>
      <c r="E514" s="222" t="s">
        <v>1596</v>
      </c>
      <c r="F514" s="222"/>
      <c r="G514" s="223">
        <v>0.1</v>
      </c>
      <c r="H514" s="222">
        <v>0</v>
      </c>
      <c r="I514" s="224">
        <v>2568.0682999999999</v>
      </c>
      <c r="J514" s="224">
        <v>256.80682999999999</v>
      </c>
      <c r="K514" s="222" t="s">
        <v>1765</v>
      </c>
      <c r="L514" s="222">
        <v>1</v>
      </c>
      <c r="M514" s="222" t="s">
        <v>1766</v>
      </c>
      <c r="N514" s="222">
        <v>1</v>
      </c>
      <c r="O514" s="222">
        <v>0</v>
      </c>
      <c r="P514" s="225">
        <v>511</v>
      </c>
      <c r="Q514" s="224">
        <v>0</v>
      </c>
      <c r="R514" s="222">
        <v>13.01</v>
      </c>
      <c r="S514" s="226" t="str">
        <f>IFERROR(_xlfn.XLOOKUP(R514,'1_Presupuesto'!$E:$E,'1_Presupuesto'!$D:$D),"")</f>
        <v>Revestimiento MO</v>
      </c>
    </row>
    <row r="515" spans="1:19" ht="15" customHeight="1" x14ac:dyDescent="0.35">
      <c r="A515" s="222" t="s">
        <v>1755</v>
      </c>
      <c r="B515" s="222" t="s">
        <v>13</v>
      </c>
      <c r="C515" s="222"/>
      <c r="D515" s="222" t="s">
        <v>1599</v>
      </c>
      <c r="E515" s="222" t="s">
        <v>1600</v>
      </c>
      <c r="F515" s="222"/>
      <c r="G515" s="223">
        <v>0.1</v>
      </c>
      <c r="H515" s="222">
        <v>0</v>
      </c>
      <c r="I515" s="224">
        <v>290.60739999999998</v>
      </c>
      <c r="J515" s="224">
        <v>29.060739999999999</v>
      </c>
      <c r="K515" s="222" t="s">
        <v>1765</v>
      </c>
      <c r="L515" s="222">
        <v>2</v>
      </c>
      <c r="M515" s="222" t="s">
        <v>1767</v>
      </c>
      <c r="N515" s="222">
        <v>1</v>
      </c>
      <c r="O515" s="222">
        <v>0</v>
      </c>
      <c r="P515" s="225">
        <v>511</v>
      </c>
      <c r="Q515" s="224">
        <v>0</v>
      </c>
      <c r="R515" s="222">
        <v>13.01</v>
      </c>
      <c r="S515" s="226" t="str">
        <f>IFERROR(_xlfn.XLOOKUP(R515,'1_Presupuesto'!$E:$E,'1_Presupuesto'!$D:$D),"")</f>
        <v>Revestimiento MO</v>
      </c>
    </row>
    <row r="516" spans="1:19" ht="15" customHeight="1" x14ac:dyDescent="0.35">
      <c r="A516" s="222" t="s">
        <v>1768</v>
      </c>
      <c r="B516" s="222" t="s">
        <v>654</v>
      </c>
      <c r="C516" s="222" t="s">
        <v>719</v>
      </c>
      <c r="D516" s="222" t="s">
        <v>1578</v>
      </c>
      <c r="E516" s="222" t="s">
        <v>1579</v>
      </c>
      <c r="F516" s="222"/>
      <c r="G516" s="223">
        <v>0.2</v>
      </c>
      <c r="H516" s="222">
        <v>0.2</v>
      </c>
      <c r="I516" s="224">
        <v>21494.592000000001</v>
      </c>
      <c r="J516" s="224">
        <v>5158.70208</v>
      </c>
      <c r="K516" s="222" t="s">
        <v>1769</v>
      </c>
      <c r="L516" s="222">
        <v>1</v>
      </c>
      <c r="M516" s="222" t="s">
        <v>1770</v>
      </c>
      <c r="N516" s="222">
        <v>1</v>
      </c>
      <c r="O516" s="222">
        <v>0</v>
      </c>
      <c r="P516" s="225">
        <v>40</v>
      </c>
      <c r="Q516" s="224">
        <v>0</v>
      </c>
      <c r="R516" s="222">
        <v>13.02</v>
      </c>
      <c r="S516" s="226" t="str">
        <f>IFERROR(_xlfn.XLOOKUP(R516,'1_Presupuesto'!$E:$E,'1_Presupuesto'!$D:$D),"")</f>
        <v>Revestimiento MO</v>
      </c>
    </row>
    <row r="517" spans="1:19" ht="15" customHeight="1" x14ac:dyDescent="0.35">
      <c r="A517" s="222" t="s">
        <v>1768</v>
      </c>
      <c r="B517" s="222" t="s">
        <v>654</v>
      </c>
      <c r="C517" s="222" t="s">
        <v>719</v>
      </c>
      <c r="D517" s="222" t="s">
        <v>1582</v>
      </c>
      <c r="E517" s="222" t="s">
        <v>1583</v>
      </c>
      <c r="F517" s="222"/>
      <c r="G517" s="223">
        <v>0.2</v>
      </c>
      <c r="H517" s="222">
        <v>0.05</v>
      </c>
      <c r="I517" s="224">
        <v>2930.36</v>
      </c>
      <c r="J517" s="224">
        <v>615.37560000000008</v>
      </c>
      <c r="K517" s="222" t="s">
        <v>1769</v>
      </c>
      <c r="L517" s="222">
        <v>2</v>
      </c>
      <c r="M517" s="222" t="s">
        <v>1771</v>
      </c>
      <c r="N517" s="222">
        <v>1</v>
      </c>
      <c r="O517" s="222">
        <v>0</v>
      </c>
      <c r="P517" s="225">
        <v>40</v>
      </c>
      <c r="Q517" s="224">
        <v>0</v>
      </c>
      <c r="R517" s="222">
        <v>13.02</v>
      </c>
      <c r="S517" s="226" t="str">
        <f>IFERROR(_xlfn.XLOOKUP(R517,'1_Presupuesto'!$E:$E,'1_Presupuesto'!$D:$D),"")</f>
        <v>Revestimiento MO</v>
      </c>
    </row>
    <row r="518" spans="1:19" ht="15" customHeight="1" x14ac:dyDescent="0.35">
      <c r="A518" s="222" t="s">
        <v>1768</v>
      </c>
      <c r="B518" s="222" t="s">
        <v>654</v>
      </c>
      <c r="C518" s="222" t="s">
        <v>719</v>
      </c>
      <c r="D518" s="222" t="s">
        <v>1585</v>
      </c>
      <c r="E518" s="222" t="s">
        <v>1586</v>
      </c>
      <c r="F518" s="222"/>
      <c r="G518" s="223">
        <v>4.0000000000000001E-3</v>
      </c>
      <c r="H518" s="222">
        <v>0.05</v>
      </c>
      <c r="I518" s="224">
        <v>21453.297500000001</v>
      </c>
      <c r="J518" s="224">
        <v>90.10384950000001</v>
      </c>
      <c r="K518" s="222" t="s">
        <v>1769</v>
      </c>
      <c r="L518" s="222">
        <v>3</v>
      </c>
      <c r="M518" s="222" t="s">
        <v>1772</v>
      </c>
      <c r="N518" s="222">
        <v>1</v>
      </c>
      <c r="O518" s="222">
        <v>0</v>
      </c>
      <c r="P518" s="225">
        <v>40</v>
      </c>
      <c r="Q518" s="224">
        <v>0</v>
      </c>
      <c r="R518" s="222">
        <v>13.02</v>
      </c>
      <c r="S518" s="226" t="str">
        <f>IFERROR(_xlfn.XLOOKUP(R518,'1_Presupuesto'!$E:$E,'1_Presupuesto'!$D:$D),"")</f>
        <v>Revestimiento MO</v>
      </c>
    </row>
    <row r="519" spans="1:19" ht="15" customHeight="1" x14ac:dyDescent="0.35">
      <c r="A519" s="222" t="s">
        <v>1768</v>
      </c>
      <c r="B519" s="222" t="s">
        <v>654</v>
      </c>
      <c r="C519" s="222" t="s">
        <v>719</v>
      </c>
      <c r="D519" s="222" t="s">
        <v>1588</v>
      </c>
      <c r="E519" s="222" t="s">
        <v>1589</v>
      </c>
      <c r="F519" s="222"/>
      <c r="G519" s="223">
        <v>0.04</v>
      </c>
      <c r="H519" s="222">
        <v>0.05</v>
      </c>
      <c r="I519" s="224">
        <v>32805.983500000002</v>
      </c>
      <c r="J519" s="224">
        <v>1377.8513069999999</v>
      </c>
      <c r="K519" s="222" t="s">
        <v>1769</v>
      </c>
      <c r="L519" s="222">
        <v>4</v>
      </c>
      <c r="M519" s="222" t="s">
        <v>1773</v>
      </c>
      <c r="N519" s="222">
        <v>1</v>
      </c>
      <c r="O519" s="222">
        <v>0</v>
      </c>
      <c r="P519" s="225">
        <v>40</v>
      </c>
      <c r="Q519" s="224">
        <v>0</v>
      </c>
      <c r="R519" s="222">
        <v>13.02</v>
      </c>
      <c r="S519" s="226" t="str">
        <f>IFERROR(_xlfn.XLOOKUP(R519,'1_Presupuesto'!$E:$E,'1_Presupuesto'!$D:$D),"")</f>
        <v>Revestimiento MO</v>
      </c>
    </row>
    <row r="520" spans="1:19" ht="15" customHeight="1" x14ac:dyDescent="0.35">
      <c r="A520" s="222" t="s">
        <v>1768</v>
      </c>
      <c r="B520" s="222" t="s">
        <v>654</v>
      </c>
      <c r="C520" s="222" t="s">
        <v>719</v>
      </c>
      <c r="D520" s="222" t="s">
        <v>1218</v>
      </c>
      <c r="E520" s="222" t="s">
        <v>1219</v>
      </c>
      <c r="F520" s="222"/>
      <c r="G520" s="223">
        <v>0.01</v>
      </c>
      <c r="H520" s="222">
        <v>0.03</v>
      </c>
      <c r="I520" s="224">
        <v>784.06</v>
      </c>
      <c r="J520" s="224">
        <v>8.0758179999999999</v>
      </c>
      <c r="K520" s="222" t="s">
        <v>1769</v>
      </c>
      <c r="L520" s="222">
        <v>5</v>
      </c>
      <c r="M520" s="222" t="s">
        <v>1774</v>
      </c>
      <c r="N520" s="222">
        <v>1</v>
      </c>
      <c r="O520" s="222">
        <v>0</v>
      </c>
      <c r="P520" s="225">
        <v>40</v>
      </c>
      <c r="Q520" s="224">
        <v>0</v>
      </c>
      <c r="R520" s="222">
        <v>13.02</v>
      </c>
      <c r="S520" s="226" t="str">
        <f>IFERROR(_xlfn.XLOOKUP(R520,'1_Presupuesto'!$E:$E,'1_Presupuesto'!$D:$D),"")</f>
        <v>Revestimiento MO</v>
      </c>
    </row>
    <row r="521" spans="1:19" ht="15" customHeight="1" x14ac:dyDescent="0.35">
      <c r="A521" s="222" t="s">
        <v>1768</v>
      </c>
      <c r="B521" s="222" t="s">
        <v>639</v>
      </c>
      <c r="C521" s="222" t="s">
        <v>646</v>
      </c>
      <c r="D521" s="222" t="s">
        <v>687</v>
      </c>
      <c r="E521" s="222" t="s">
        <v>688</v>
      </c>
      <c r="F521" s="222" t="s">
        <v>643</v>
      </c>
      <c r="G521" s="223">
        <v>0.1</v>
      </c>
      <c r="H521" s="222">
        <v>0</v>
      </c>
      <c r="I521" s="224">
        <v>54784.07</v>
      </c>
      <c r="J521" s="224">
        <v>5478.4070000000002</v>
      </c>
      <c r="K521" s="222" t="s">
        <v>1775</v>
      </c>
      <c r="L521" s="222">
        <v>1</v>
      </c>
      <c r="M521" s="222" t="s">
        <v>1776</v>
      </c>
      <c r="N521" s="222">
        <v>1</v>
      </c>
      <c r="O521" s="222">
        <v>0.1</v>
      </c>
      <c r="P521" s="225">
        <v>40</v>
      </c>
      <c r="Q521" s="224">
        <v>4</v>
      </c>
      <c r="R521" s="222">
        <v>13.02</v>
      </c>
      <c r="S521" s="226" t="str">
        <f>IFERROR(_xlfn.XLOOKUP(R521,'1_Presupuesto'!$E:$E,'1_Presupuesto'!$D:$D),"")</f>
        <v>Revestimiento MO</v>
      </c>
    </row>
    <row r="522" spans="1:19" ht="15" customHeight="1" x14ac:dyDescent="0.35">
      <c r="A522" s="222" t="s">
        <v>1768</v>
      </c>
      <c r="B522" s="222" t="s">
        <v>639</v>
      </c>
      <c r="C522" s="222" t="s">
        <v>646</v>
      </c>
      <c r="D522" s="222" t="s">
        <v>723</v>
      </c>
      <c r="E522" s="222" t="s">
        <v>724</v>
      </c>
      <c r="F522" s="222" t="s">
        <v>643</v>
      </c>
      <c r="G522" s="223">
        <v>0.1</v>
      </c>
      <c r="H522" s="222">
        <v>0</v>
      </c>
      <c r="I522" s="224">
        <v>75113.05</v>
      </c>
      <c r="J522" s="224">
        <v>7511.3050000000003</v>
      </c>
      <c r="K522" s="222" t="s">
        <v>1775</v>
      </c>
      <c r="L522" s="222">
        <v>2</v>
      </c>
      <c r="M522" s="222" t="s">
        <v>1777</v>
      </c>
      <c r="N522" s="222">
        <v>1</v>
      </c>
      <c r="O522" s="222">
        <v>0.1</v>
      </c>
      <c r="P522" s="225">
        <v>40</v>
      </c>
      <c r="Q522" s="224">
        <v>4</v>
      </c>
      <c r="R522" s="222">
        <v>13.02</v>
      </c>
      <c r="S522" s="226" t="str">
        <f>IFERROR(_xlfn.XLOOKUP(R522,'1_Presupuesto'!$E:$E,'1_Presupuesto'!$D:$D),"")</f>
        <v>Revestimiento MO</v>
      </c>
    </row>
    <row r="523" spans="1:19" ht="15" customHeight="1" x14ac:dyDescent="0.35">
      <c r="A523" s="222" t="s">
        <v>1768</v>
      </c>
      <c r="B523" s="222" t="s">
        <v>13</v>
      </c>
      <c r="C523" s="222"/>
      <c r="D523" s="222" t="s">
        <v>1595</v>
      </c>
      <c r="E523" s="222" t="s">
        <v>1596</v>
      </c>
      <c r="F523" s="222"/>
      <c r="G523" s="223">
        <v>0.1</v>
      </c>
      <c r="H523" s="222">
        <v>0</v>
      </c>
      <c r="I523" s="224">
        <v>2568.0682999999999</v>
      </c>
      <c r="J523" s="224">
        <v>256.80682999999999</v>
      </c>
      <c r="K523" s="222" t="s">
        <v>1778</v>
      </c>
      <c r="L523" s="222">
        <v>1</v>
      </c>
      <c r="M523" s="222" t="s">
        <v>1779</v>
      </c>
      <c r="N523" s="222">
        <v>1</v>
      </c>
      <c r="O523" s="222">
        <v>0</v>
      </c>
      <c r="P523" s="225">
        <v>40</v>
      </c>
      <c r="Q523" s="224">
        <v>0</v>
      </c>
      <c r="R523" s="222">
        <v>13.02</v>
      </c>
      <c r="S523" s="226" t="str">
        <f>IFERROR(_xlfn.XLOOKUP(R523,'1_Presupuesto'!$E:$E,'1_Presupuesto'!$D:$D),"")</f>
        <v>Revestimiento MO</v>
      </c>
    </row>
    <row r="524" spans="1:19" ht="15" customHeight="1" x14ac:dyDescent="0.35">
      <c r="A524" s="222" t="s">
        <v>1768</v>
      </c>
      <c r="B524" s="222" t="s">
        <v>13</v>
      </c>
      <c r="C524" s="222"/>
      <c r="D524" s="222" t="s">
        <v>1599</v>
      </c>
      <c r="E524" s="222" t="s">
        <v>1600</v>
      </c>
      <c r="F524" s="222"/>
      <c r="G524" s="223">
        <v>0.1</v>
      </c>
      <c r="H524" s="222">
        <v>0</v>
      </c>
      <c r="I524" s="224">
        <v>290.60739999999998</v>
      </c>
      <c r="J524" s="224">
        <v>29.060739999999999</v>
      </c>
      <c r="K524" s="222" t="s">
        <v>1778</v>
      </c>
      <c r="L524" s="222">
        <v>2</v>
      </c>
      <c r="M524" s="222" t="s">
        <v>1780</v>
      </c>
      <c r="N524" s="222">
        <v>1</v>
      </c>
      <c r="O524" s="222">
        <v>0</v>
      </c>
      <c r="P524" s="225">
        <v>40</v>
      </c>
      <c r="Q524" s="224">
        <v>0</v>
      </c>
      <c r="R524" s="222">
        <v>13.02</v>
      </c>
      <c r="S524" s="226" t="str">
        <f>IFERROR(_xlfn.XLOOKUP(R524,'1_Presupuesto'!$E:$E,'1_Presupuesto'!$D:$D),"")</f>
        <v>Revestimiento MO</v>
      </c>
    </row>
    <row r="525" spans="1:19" ht="15" customHeight="1" x14ac:dyDescent="0.35">
      <c r="A525" s="222" t="s">
        <v>1781</v>
      </c>
      <c r="B525" s="222" t="s">
        <v>654</v>
      </c>
      <c r="C525" s="222" t="s">
        <v>719</v>
      </c>
      <c r="D525" s="222" t="s">
        <v>1578</v>
      </c>
      <c r="E525" s="222" t="s">
        <v>1579</v>
      </c>
      <c r="F525" s="222"/>
      <c r="G525" s="223">
        <v>0.2</v>
      </c>
      <c r="H525" s="222">
        <v>0.2</v>
      </c>
      <c r="I525" s="224">
        <v>21494.592000000001</v>
      </c>
      <c r="J525" s="224">
        <v>5158.70208</v>
      </c>
      <c r="K525" s="222" t="s">
        <v>1782</v>
      </c>
      <c r="L525" s="222">
        <v>1</v>
      </c>
      <c r="M525" s="222" t="s">
        <v>1783</v>
      </c>
      <c r="N525" s="222">
        <v>1</v>
      </c>
      <c r="O525" s="222">
        <v>0</v>
      </c>
      <c r="P525" s="225">
        <v>147.601</v>
      </c>
      <c r="Q525" s="224">
        <v>0</v>
      </c>
      <c r="R525" s="222">
        <v>13.03</v>
      </c>
      <c r="S525" s="226" t="str">
        <f>IFERROR(_xlfn.XLOOKUP(R525,'1_Presupuesto'!$E:$E,'1_Presupuesto'!$D:$D),"")</f>
        <v>Revestimiento MO</v>
      </c>
    </row>
    <row r="526" spans="1:19" ht="15" customHeight="1" x14ac:dyDescent="0.35">
      <c r="A526" s="222" t="s">
        <v>1781</v>
      </c>
      <c r="B526" s="222" t="s">
        <v>654</v>
      </c>
      <c r="C526" s="222" t="s">
        <v>719</v>
      </c>
      <c r="D526" s="222" t="s">
        <v>1582</v>
      </c>
      <c r="E526" s="222" t="s">
        <v>1583</v>
      </c>
      <c r="F526" s="222"/>
      <c r="G526" s="223">
        <v>0.2</v>
      </c>
      <c r="H526" s="222">
        <v>0.05</v>
      </c>
      <c r="I526" s="224">
        <v>2930.36</v>
      </c>
      <c r="J526" s="224">
        <v>615.37560000000008</v>
      </c>
      <c r="K526" s="222" t="s">
        <v>1782</v>
      </c>
      <c r="L526" s="222">
        <v>2</v>
      </c>
      <c r="M526" s="222" t="s">
        <v>1784</v>
      </c>
      <c r="N526" s="222">
        <v>1</v>
      </c>
      <c r="O526" s="222">
        <v>0</v>
      </c>
      <c r="P526" s="225">
        <v>147.601</v>
      </c>
      <c r="Q526" s="224">
        <v>0</v>
      </c>
      <c r="R526" s="222">
        <v>13.03</v>
      </c>
      <c r="S526" s="226" t="str">
        <f>IFERROR(_xlfn.XLOOKUP(R526,'1_Presupuesto'!$E:$E,'1_Presupuesto'!$D:$D),"")</f>
        <v>Revestimiento MO</v>
      </c>
    </row>
    <row r="527" spans="1:19" ht="15" customHeight="1" x14ac:dyDescent="0.35">
      <c r="A527" s="222" t="s">
        <v>1781</v>
      </c>
      <c r="B527" s="222" t="s">
        <v>654</v>
      </c>
      <c r="C527" s="222" t="s">
        <v>719</v>
      </c>
      <c r="D527" s="222" t="s">
        <v>1585</v>
      </c>
      <c r="E527" s="222" t="s">
        <v>1586</v>
      </c>
      <c r="F527" s="222"/>
      <c r="G527" s="223">
        <v>4.0000000000000001E-3</v>
      </c>
      <c r="H527" s="222">
        <v>0.05</v>
      </c>
      <c r="I527" s="224">
        <v>21453.297500000001</v>
      </c>
      <c r="J527" s="224">
        <v>90.10384950000001</v>
      </c>
      <c r="K527" s="222" t="s">
        <v>1782</v>
      </c>
      <c r="L527" s="222">
        <v>3</v>
      </c>
      <c r="M527" s="222" t="s">
        <v>1785</v>
      </c>
      <c r="N527" s="222">
        <v>1</v>
      </c>
      <c r="O527" s="222">
        <v>0</v>
      </c>
      <c r="P527" s="225">
        <v>147.601</v>
      </c>
      <c r="Q527" s="224">
        <v>0</v>
      </c>
      <c r="R527" s="222">
        <v>13.03</v>
      </c>
      <c r="S527" s="226" t="str">
        <f>IFERROR(_xlfn.XLOOKUP(R527,'1_Presupuesto'!$E:$E,'1_Presupuesto'!$D:$D),"")</f>
        <v>Revestimiento MO</v>
      </c>
    </row>
    <row r="528" spans="1:19" ht="15" customHeight="1" x14ac:dyDescent="0.35">
      <c r="A528" s="222" t="s">
        <v>1781</v>
      </c>
      <c r="B528" s="222" t="s">
        <v>654</v>
      </c>
      <c r="C528" s="222" t="s">
        <v>719</v>
      </c>
      <c r="D528" s="222" t="s">
        <v>1588</v>
      </c>
      <c r="E528" s="222" t="s">
        <v>1589</v>
      </c>
      <c r="F528" s="222"/>
      <c r="G528" s="223">
        <v>0.04</v>
      </c>
      <c r="H528" s="222">
        <v>0.05</v>
      </c>
      <c r="I528" s="224">
        <v>32805.983500000002</v>
      </c>
      <c r="J528" s="224">
        <v>1377.8513069999999</v>
      </c>
      <c r="K528" s="222" t="s">
        <v>1782</v>
      </c>
      <c r="L528" s="222">
        <v>4</v>
      </c>
      <c r="M528" s="222" t="s">
        <v>1786</v>
      </c>
      <c r="N528" s="222">
        <v>1</v>
      </c>
      <c r="O528" s="222">
        <v>0</v>
      </c>
      <c r="P528" s="225">
        <v>147.601</v>
      </c>
      <c r="Q528" s="224">
        <v>0</v>
      </c>
      <c r="R528" s="222">
        <v>13.03</v>
      </c>
      <c r="S528" s="226" t="str">
        <f>IFERROR(_xlfn.XLOOKUP(R528,'1_Presupuesto'!$E:$E,'1_Presupuesto'!$D:$D),"")</f>
        <v>Revestimiento MO</v>
      </c>
    </row>
    <row r="529" spans="1:19" ht="15" customHeight="1" x14ac:dyDescent="0.35">
      <c r="A529" s="222" t="s">
        <v>1781</v>
      </c>
      <c r="B529" s="222" t="s">
        <v>654</v>
      </c>
      <c r="C529" s="222" t="s">
        <v>719</v>
      </c>
      <c r="D529" s="222" t="s">
        <v>1218</v>
      </c>
      <c r="E529" s="222" t="s">
        <v>1219</v>
      </c>
      <c r="F529" s="222"/>
      <c r="G529" s="223">
        <v>0.01</v>
      </c>
      <c r="H529" s="222">
        <v>0.03</v>
      </c>
      <c r="I529" s="224">
        <v>784.06</v>
      </c>
      <c r="J529" s="224">
        <v>8.0758179999999999</v>
      </c>
      <c r="K529" s="222" t="s">
        <v>1782</v>
      </c>
      <c r="L529" s="222">
        <v>5</v>
      </c>
      <c r="M529" s="222" t="s">
        <v>1787</v>
      </c>
      <c r="N529" s="222">
        <v>1</v>
      </c>
      <c r="O529" s="222">
        <v>0</v>
      </c>
      <c r="P529" s="225">
        <v>147.601</v>
      </c>
      <c r="Q529" s="224">
        <v>0</v>
      </c>
      <c r="R529" s="222">
        <v>13.03</v>
      </c>
      <c r="S529" s="226" t="str">
        <f>IFERROR(_xlfn.XLOOKUP(R529,'1_Presupuesto'!$E:$E,'1_Presupuesto'!$D:$D),"")</f>
        <v>Revestimiento MO</v>
      </c>
    </row>
    <row r="530" spans="1:19" ht="15" customHeight="1" x14ac:dyDescent="0.35">
      <c r="A530" s="222" t="s">
        <v>1781</v>
      </c>
      <c r="B530" s="222" t="s">
        <v>639</v>
      </c>
      <c r="C530" s="222" t="s">
        <v>640</v>
      </c>
      <c r="D530" s="222" t="s">
        <v>1788</v>
      </c>
      <c r="E530" s="222" t="s">
        <v>1789</v>
      </c>
      <c r="F530" s="222" t="s">
        <v>643</v>
      </c>
      <c r="G530" s="223">
        <v>2.5000000000000001E-2</v>
      </c>
      <c r="H530" s="222">
        <v>0</v>
      </c>
      <c r="I530" s="224">
        <v>54784.071799999998</v>
      </c>
      <c r="J530" s="224">
        <v>1369.601795</v>
      </c>
      <c r="K530" s="222" t="s">
        <v>1790</v>
      </c>
      <c r="L530" s="222">
        <v>1</v>
      </c>
      <c r="M530" s="222" t="s">
        <v>1791</v>
      </c>
      <c r="N530" s="222">
        <v>1</v>
      </c>
      <c r="O530" s="222">
        <v>0</v>
      </c>
      <c r="P530" s="225">
        <v>147.601</v>
      </c>
      <c r="Q530" s="224">
        <v>0</v>
      </c>
      <c r="R530" s="222">
        <v>13.03</v>
      </c>
      <c r="S530" s="226" t="str">
        <f>IFERROR(_xlfn.XLOOKUP(R530,'1_Presupuesto'!$E:$E,'1_Presupuesto'!$D:$D),"")</f>
        <v>Revestimiento MO</v>
      </c>
    </row>
    <row r="531" spans="1:19" ht="15" customHeight="1" x14ac:dyDescent="0.35">
      <c r="A531" s="222" t="s">
        <v>1781</v>
      </c>
      <c r="B531" s="222" t="s">
        <v>639</v>
      </c>
      <c r="C531" s="222" t="s">
        <v>640</v>
      </c>
      <c r="D531" s="222" t="s">
        <v>1792</v>
      </c>
      <c r="E531" s="222" t="s">
        <v>1793</v>
      </c>
      <c r="F531" s="222" t="s">
        <v>643</v>
      </c>
      <c r="G531" s="223">
        <v>2.5000000000000001E-2</v>
      </c>
      <c r="H531" s="222">
        <v>0</v>
      </c>
      <c r="I531" s="224">
        <v>75113.048200000005</v>
      </c>
      <c r="J531" s="224">
        <v>1877.8262050000001</v>
      </c>
      <c r="K531" s="222" t="s">
        <v>1790</v>
      </c>
      <c r="L531" s="222">
        <v>2</v>
      </c>
      <c r="M531" s="222" t="s">
        <v>1794</v>
      </c>
      <c r="N531" s="222">
        <v>1</v>
      </c>
      <c r="O531" s="222">
        <v>0</v>
      </c>
      <c r="P531" s="225">
        <v>147.601</v>
      </c>
      <c r="Q531" s="224">
        <v>0</v>
      </c>
      <c r="R531" s="222">
        <v>13.03</v>
      </c>
      <c r="S531" s="226" t="str">
        <f>IFERROR(_xlfn.XLOOKUP(R531,'1_Presupuesto'!$E:$E,'1_Presupuesto'!$D:$D),"")</f>
        <v>Revestimiento MO</v>
      </c>
    </row>
    <row r="532" spans="1:19" ht="15" customHeight="1" x14ac:dyDescent="0.35">
      <c r="A532" s="222" t="s">
        <v>1781</v>
      </c>
      <c r="B532" s="222" t="s">
        <v>639</v>
      </c>
      <c r="C532" s="222" t="s">
        <v>646</v>
      </c>
      <c r="D532" s="222" t="s">
        <v>687</v>
      </c>
      <c r="E532" s="222" t="s">
        <v>688</v>
      </c>
      <c r="F532" s="222" t="s">
        <v>643</v>
      </c>
      <c r="G532" s="223">
        <v>0.1</v>
      </c>
      <c r="H532" s="222">
        <v>0</v>
      </c>
      <c r="I532" s="224">
        <v>54784.07</v>
      </c>
      <c r="J532" s="224">
        <v>5478.4070000000002</v>
      </c>
      <c r="K532" s="222" t="s">
        <v>1790</v>
      </c>
      <c r="L532" s="222">
        <v>3</v>
      </c>
      <c r="M532" s="222" t="s">
        <v>1795</v>
      </c>
      <c r="N532" s="222">
        <v>1</v>
      </c>
      <c r="O532" s="222">
        <v>0.1</v>
      </c>
      <c r="P532" s="225">
        <v>147.601</v>
      </c>
      <c r="Q532" s="224">
        <v>14.7601</v>
      </c>
      <c r="R532" s="222">
        <v>13.03</v>
      </c>
      <c r="S532" s="226" t="str">
        <f>IFERROR(_xlfn.XLOOKUP(R532,'1_Presupuesto'!$E:$E,'1_Presupuesto'!$D:$D),"")</f>
        <v>Revestimiento MO</v>
      </c>
    </row>
    <row r="533" spans="1:19" ht="15" customHeight="1" x14ac:dyDescent="0.35">
      <c r="A533" s="222" t="s">
        <v>1781</v>
      </c>
      <c r="B533" s="222" t="s">
        <v>639</v>
      </c>
      <c r="C533" s="222" t="s">
        <v>646</v>
      </c>
      <c r="D533" s="222" t="s">
        <v>723</v>
      </c>
      <c r="E533" s="222" t="s">
        <v>724</v>
      </c>
      <c r="F533" s="222" t="s">
        <v>643</v>
      </c>
      <c r="G533" s="223">
        <v>0.1</v>
      </c>
      <c r="H533" s="222">
        <v>0</v>
      </c>
      <c r="I533" s="224">
        <v>75113.05</v>
      </c>
      <c r="J533" s="224">
        <v>7511.3050000000003</v>
      </c>
      <c r="K533" s="222" t="s">
        <v>1790</v>
      </c>
      <c r="L533" s="222">
        <v>4</v>
      </c>
      <c r="M533" s="222" t="s">
        <v>1796</v>
      </c>
      <c r="N533" s="222">
        <v>1</v>
      </c>
      <c r="O533" s="222">
        <v>0.1</v>
      </c>
      <c r="P533" s="225">
        <v>147.601</v>
      </c>
      <c r="Q533" s="224">
        <v>14.7601</v>
      </c>
      <c r="R533" s="222">
        <v>13.03</v>
      </c>
      <c r="S533" s="226" t="str">
        <f>IFERROR(_xlfn.XLOOKUP(R533,'1_Presupuesto'!$E:$E,'1_Presupuesto'!$D:$D),"")</f>
        <v>Revestimiento MO</v>
      </c>
    </row>
    <row r="534" spans="1:19" ht="15" customHeight="1" x14ac:dyDescent="0.35">
      <c r="A534" s="222" t="s">
        <v>1781</v>
      </c>
      <c r="B534" s="222" t="s">
        <v>13</v>
      </c>
      <c r="C534" s="222"/>
      <c r="D534" s="222" t="s">
        <v>1595</v>
      </c>
      <c r="E534" s="222" t="s">
        <v>1596</v>
      </c>
      <c r="F534" s="222"/>
      <c r="G534" s="223">
        <v>0.1</v>
      </c>
      <c r="H534" s="222">
        <v>0</v>
      </c>
      <c r="I534" s="224">
        <v>2568.0682999999999</v>
      </c>
      <c r="J534" s="224">
        <v>256.80682999999999</v>
      </c>
      <c r="K534" s="222" t="s">
        <v>1797</v>
      </c>
      <c r="L534" s="222">
        <v>1</v>
      </c>
      <c r="M534" s="222" t="s">
        <v>1798</v>
      </c>
      <c r="N534" s="222">
        <v>1</v>
      </c>
      <c r="O534" s="222">
        <v>0</v>
      </c>
      <c r="P534" s="225">
        <v>147.601</v>
      </c>
      <c r="Q534" s="224">
        <v>0</v>
      </c>
      <c r="R534" s="222">
        <v>13.03</v>
      </c>
      <c r="S534" s="226" t="str">
        <f>IFERROR(_xlfn.XLOOKUP(R534,'1_Presupuesto'!$E:$E,'1_Presupuesto'!$D:$D),"")</f>
        <v>Revestimiento MO</v>
      </c>
    </row>
    <row r="535" spans="1:19" ht="15" customHeight="1" x14ac:dyDescent="0.35">
      <c r="A535" s="222" t="s">
        <v>1781</v>
      </c>
      <c r="B535" s="222" t="s">
        <v>13</v>
      </c>
      <c r="C535" s="222"/>
      <c r="D535" s="222" t="s">
        <v>1599</v>
      </c>
      <c r="E535" s="222" t="s">
        <v>1600</v>
      </c>
      <c r="F535" s="222"/>
      <c r="G535" s="223">
        <v>0.1</v>
      </c>
      <c r="H535" s="222">
        <v>0</v>
      </c>
      <c r="I535" s="224">
        <v>290.60739999999998</v>
      </c>
      <c r="J535" s="224">
        <v>29.060739999999999</v>
      </c>
      <c r="K535" s="222" t="s">
        <v>1797</v>
      </c>
      <c r="L535" s="222">
        <v>2</v>
      </c>
      <c r="M535" s="222" t="s">
        <v>1799</v>
      </c>
      <c r="N535" s="222">
        <v>1</v>
      </c>
      <c r="O535" s="222">
        <v>0</v>
      </c>
      <c r="P535" s="225">
        <v>147.601</v>
      </c>
      <c r="Q535" s="224">
        <v>0</v>
      </c>
      <c r="R535" s="222">
        <v>13.03</v>
      </c>
      <c r="S535" s="226" t="str">
        <f>IFERROR(_xlfn.XLOOKUP(R535,'1_Presupuesto'!$E:$E,'1_Presupuesto'!$D:$D),"")</f>
        <v>Revestimiento MO</v>
      </c>
    </row>
    <row r="536" spans="1:19" ht="15" customHeight="1" x14ac:dyDescent="0.35">
      <c r="A536" s="222" t="s">
        <v>1800</v>
      </c>
      <c r="B536" s="222" t="s">
        <v>654</v>
      </c>
      <c r="C536" s="222" t="s">
        <v>719</v>
      </c>
      <c r="D536" s="222" t="s">
        <v>1801</v>
      </c>
      <c r="E536" s="222" t="s">
        <v>1802</v>
      </c>
      <c r="F536" s="222"/>
      <c r="G536" s="223">
        <v>1</v>
      </c>
      <c r="H536" s="222">
        <v>0</v>
      </c>
      <c r="I536" s="224">
        <v>15666.9421</v>
      </c>
      <c r="J536" s="224">
        <v>15666.9421</v>
      </c>
      <c r="K536" s="222" t="s">
        <v>1803</v>
      </c>
      <c r="L536" s="222">
        <v>1</v>
      </c>
      <c r="M536" s="222" t="s">
        <v>1804</v>
      </c>
      <c r="N536" s="222">
        <v>1</v>
      </c>
      <c r="O536" s="222">
        <v>0</v>
      </c>
      <c r="P536" s="225">
        <v>41</v>
      </c>
      <c r="Q536" s="224">
        <v>0</v>
      </c>
      <c r="R536" s="222">
        <v>13.04</v>
      </c>
      <c r="S536" s="226" t="str">
        <f>IFERROR(_xlfn.XLOOKUP(R536,'1_Presupuesto'!$E:$E,'1_Presupuesto'!$D:$D),"")</f>
        <v>-</v>
      </c>
    </row>
    <row r="537" spans="1:19" ht="15" customHeight="1" x14ac:dyDescent="0.35">
      <c r="A537" s="222" t="s">
        <v>1805</v>
      </c>
      <c r="B537" s="222" t="s">
        <v>654</v>
      </c>
      <c r="C537" s="222" t="s">
        <v>719</v>
      </c>
      <c r="D537" s="222" t="s">
        <v>1806</v>
      </c>
      <c r="E537" s="222" t="s">
        <v>1807</v>
      </c>
      <c r="F537" s="222"/>
      <c r="G537" s="223">
        <v>0.50769226999999995</v>
      </c>
      <c r="H537" s="222">
        <v>0.1</v>
      </c>
      <c r="I537" s="224">
        <v>2077.152</v>
      </c>
      <c r="J537" s="224">
        <v>1160.009415416544</v>
      </c>
      <c r="K537" s="222" t="s">
        <v>1808</v>
      </c>
      <c r="L537" s="222">
        <v>1</v>
      </c>
      <c r="M537" s="222" t="s">
        <v>1809</v>
      </c>
      <c r="N537" s="222">
        <v>1</v>
      </c>
      <c r="O537" s="222">
        <v>0</v>
      </c>
      <c r="P537" s="225">
        <v>334.91520000000003</v>
      </c>
      <c r="Q537" s="224">
        <v>0</v>
      </c>
      <c r="R537" s="222">
        <v>14.01</v>
      </c>
      <c r="S537" s="226" t="str">
        <f>IFERROR(_xlfn.XLOOKUP(R537,'1_Presupuesto'!$E:$E,'1_Presupuesto'!$D:$D),"")</f>
        <v>-</v>
      </c>
    </row>
    <row r="538" spans="1:19" ht="15" customHeight="1" x14ac:dyDescent="0.35">
      <c r="A538" s="222" t="s">
        <v>1805</v>
      </c>
      <c r="B538" s="222" t="s">
        <v>654</v>
      </c>
      <c r="C538" s="222" t="s">
        <v>719</v>
      </c>
      <c r="D538" s="222" t="s">
        <v>1810</v>
      </c>
      <c r="E538" s="222" t="s">
        <v>1811</v>
      </c>
      <c r="F538" s="222"/>
      <c r="G538" s="223">
        <v>1.2307691300000001</v>
      </c>
      <c r="H538" s="222">
        <v>0.1</v>
      </c>
      <c r="I538" s="224">
        <v>2310.5940000000001</v>
      </c>
      <c r="J538" s="224">
        <v>3128.188543879543</v>
      </c>
      <c r="K538" s="222" t="s">
        <v>1808</v>
      </c>
      <c r="L538" s="222">
        <v>2</v>
      </c>
      <c r="M538" s="222" t="s">
        <v>1812</v>
      </c>
      <c r="N538" s="222">
        <v>1</v>
      </c>
      <c r="O538" s="222">
        <v>0</v>
      </c>
      <c r="P538" s="225">
        <v>334.91520000000003</v>
      </c>
      <c r="Q538" s="224">
        <v>0</v>
      </c>
      <c r="R538" s="222">
        <v>14.01</v>
      </c>
      <c r="S538" s="226" t="str">
        <f>IFERROR(_xlfn.XLOOKUP(R538,'1_Presupuesto'!$E:$E,'1_Presupuesto'!$D:$D),"")</f>
        <v>-</v>
      </c>
    </row>
    <row r="539" spans="1:19" ht="15" customHeight="1" x14ac:dyDescent="0.35">
      <c r="A539" s="222" t="s">
        <v>1805</v>
      </c>
      <c r="B539" s="222" t="s">
        <v>654</v>
      </c>
      <c r="C539" s="222" t="s">
        <v>719</v>
      </c>
      <c r="D539" s="222" t="s">
        <v>1813</v>
      </c>
      <c r="E539" s="222" t="s">
        <v>1814</v>
      </c>
      <c r="F539" s="222"/>
      <c r="G539" s="223">
        <v>15.999998679999999</v>
      </c>
      <c r="H539" s="222">
        <v>0.05</v>
      </c>
      <c r="I539" s="224">
        <v>6.9505999999999997</v>
      </c>
      <c r="J539" s="224">
        <v>116.7700703664684</v>
      </c>
      <c r="K539" s="222" t="s">
        <v>1808</v>
      </c>
      <c r="L539" s="222">
        <v>3</v>
      </c>
      <c r="M539" s="222" t="s">
        <v>1815</v>
      </c>
      <c r="N539" s="222">
        <v>1</v>
      </c>
      <c r="O539" s="222">
        <v>0</v>
      </c>
      <c r="P539" s="225">
        <v>334.91520000000003</v>
      </c>
      <c r="Q539" s="224">
        <v>0</v>
      </c>
      <c r="R539" s="222">
        <v>14.01</v>
      </c>
      <c r="S539" s="226" t="str">
        <f>IFERROR(_xlfn.XLOOKUP(R539,'1_Presupuesto'!$E:$E,'1_Presupuesto'!$D:$D),"")</f>
        <v>-</v>
      </c>
    </row>
    <row r="540" spans="1:19" ht="15" customHeight="1" x14ac:dyDescent="0.35">
      <c r="A540" s="222" t="s">
        <v>1805</v>
      </c>
      <c r="B540" s="222" t="s">
        <v>654</v>
      </c>
      <c r="C540" s="222" t="s">
        <v>719</v>
      </c>
      <c r="D540" s="222" t="s">
        <v>1816</v>
      </c>
      <c r="E540" s="222" t="s">
        <v>1817</v>
      </c>
      <c r="F540" s="222"/>
      <c r="G540" s="223">
        <v>17.999998510000001</v>
      </c>
      <c r="H540" s="222">
        <v>0.05</v>
      </c>
      <c r="I540" s="224">
        <v>6.6471</v>
      </c>
      <c r="J540" s="224">
        <v>125.6301796006121</v>
      </c>
      <c r="K540" s="222" t="s">
        <v>1808</v>
      </c>
      <c r="L540" s="222">
        <v>4</v>
      </c>
      <c r="M540" s="222" t="s">
        <v>1818</v>
      </c>
      <c r="N540" s="222">
        <v>1</v>
      </c>
      <c r="O540" s="222">
        <v>0</v>
      </c>
      <c r="P540" s="225">
        <v>334.91520000000003</v>
      </c>
      <c r="Q540" s="224">
        <v>0</v>
      </c>
      <c r="R540" s="222">
        <v>14.01</v>
      </c>
      <c r="S540" s="226" t="str">
        <f>IFERROR(_xlfn.XLOOKUP(R540,'1_Presupuesto'!$E:$E,'1_Presupuesto'!$D:$D),"")</f>
        <v>-</v>
      </c>
    </row>
    <row r="541" spans="1:19" ht="15" customHeight="1" x14ac:dyDescent="0.35">
      <c r="A541" s="222" t="s">
        <v>1805</v>
      </c>
      <c r="B541" s="222" t="s">
        <v>654</v>
      </c>
      <c r="C541" s="222" t="s">
        <v>719</v>
      </c>
      <c r="D541" s="222" t="s">
        <v>1819</v>
      </c>
      <c r="E541" s="222" t="s">
        <v>1820</v>
      </c>
      <c r="F541" s="222"/>
      <c r="G541" s="223">
        <v>5.9999995100000003</v>
      </c>
      <c r="H541" s="222">
        <v>0.05</v>
      </c>
      <c r="I541" s="224">
        <v>39.519799999999996</v>
      </c>
      <c r="J541" s="224">
        <v>248.97471966706291</v>
      </c>
      <c r="K541" s="222" t="s">
        <v>1808</v>
      </c>
      <c r="L541" s="222">
        <v>5</v>
      </c>
      <c r="M541" s="222" t="s">
        <v>1821</v>
      </c>
      <c r="N541" s="222">
        <v>1</v>
      </c>
      <c r="O541" s="222">
        <v>0</v>
      </c>
      <c r="P541" s="225">
        <v>334.91520000000003</v>
      </c>
      <c r="Q541" s="224">
        <v>0</v>
      </c>
      <c r="R541" s="222">
        <v>14.01</v>
      </c>
      <c r="S541" s="226" t="str">
        <f>IFERROR(_xlfn.XLOOKUP(R541,'1_Presupuesto'!$E:$E,'1_Presupuesto'!$D:$D),"")</f>
        <v>-</v>
      </c>
    </row>
    <row r="542" spans="1:19" ht="15" customHeight="1" x14ac:dyDescent="0.35">
      <c r="A542" s="222" t="s">
        <v>1805</v>
      </c>
      <c r="B542" s="222" t="s">
        <v>654</v>
      </c>
      <c r="C542" s="222" t="s">
        <v>719</v>
      </c>
      <c r="D542" s="222" t="s">
        <v>1822</v>
      </c>
      <c r="E542" s="222" t="s">
        <v>1823</v>
      </c>
      <c r="F542" s="222"/>
      <c r="G542" s="223">
        <v>1.8333329999999998E-2</v>
      </c>
      <c r="H542" s="222">
        <v>0.05</v>
      </c>
      <c r="I542" s="224">
        <v>3855.22</v>
      </c>
      <c r="J542" s="224">
        <v>74.21297150673</v>
      </c>
      <c r="K542" s="222" t="s">
        <v>1808</v>
      </c>
      <c r="L542" s="222">
        <v>6</v>
      </c>
      <c r="M542" s="222" t="s">
        <v>1824</v>
      </c>
      <c r="N542" s="222">
        <v>1</v>
      </c>
      <c r="O542" s="222">
        <v>0</v>
      </c>
      <c r="P542" s="225">
        <v>334.91520000000003</v>
      </c>
      <c r="Q542" s="224">
        <v>0</v>
      </c>
      <c r="R542" s="222">
        <v>14.01</v>
      </c>
      <c r="S542" s="226" t="str">
        <f>IFERROR(_xlfn.XLOOKUP(R542,'1_Presupuesto'!$E:$E,'1_Presupuesto'!$D:$D),"")</f>
        <v>-</v>
      </c>
    </row>
    <row r="543" spans="1:19" ht="15" customHeight="1" x14ac:dyDescent="0.35">
      <c r="A543" s="222" t="s">
        <v>1805</v>
      </c>
      <c r="B543" s="222" t="s">
        <v>654</v>
      </c>
      <c r="C543" s="222" t="s">
        <v>719</v>
      </c>
      <c r="D543" s="222" t="s">
        <v>1825</v>
      </c>
      <c r="E543" s="222" t="s">
        <v>1826</v>
      </c>
      <c r="F543" s="222"/>
      <c r="G543" s="223">
        <v>2.8125000000000001E-2</v>
      </c>
      <c r="H543" s="222">
        <v>0.05</v>
      </c>
      <c r="I543" s="224">
        <v>27038.112300000001</v>
      </c>
      <c r="J543" s="224">
        <v>798.46925385937504</v>
      </c>
      <c r="K543" s="222" t="s">
        <v>1808</v>
      </c>
      <c r="L543" s="222">
        <v>7</v>
      </c>
      <c r="M543" s="222" t="s">
        <v>1827</v>
      </c>
      <c r="N543" s="222">
        <v>1</v>
      </c>
      <c r="O543" s="222">
        <v>0</v>
      </c>
      <c r="P543" s="225">
        <v>334.91520000000003</v>
      </c>
      <c r="Q543" s="224">
        <v>0</v>
      </c>
      <c r="R543" s="222">
        <v>14.01</v>
      </c>
      <c r="S543" s="226" t="str">
        <f>IFERROR(_xlfn.XLOOKUP(R543,'1_Presupuesto'!$E:$E,'1_Presupuesto'!$D:$D),"")</f>
        <v>-</v>
      </c>
    </row>
    <row r="544" spans="1:19" ht="15" customHeight="1" x14ac:dyDescent="0.35">
      <c r="A544" s="222" t="s">
        <v>1805</v>
      </c>
      <c r="B544" s="222" t="s">
        <v>654</v>
      </c>
      <c r="C544" s="222" t="s">
        <v>719</v>
      </c>
      <c r="D544" s="222" t="s">
        <v>1828</v>
      </c>
      <c r="E544" s="222" t="s">
        <v>1829</v>
      </c>
      <c r="F544" s="222"/>
      <c r="G544" s="223">
        <v>0.35999997</v>
      </c>
      <c r="H544" s="222">
        <v>0.1</v>
      </c>
      <c r="I544" s="224">
        <v>9356.76</v>
      </c>
      <c r="J544" s="224">
        <v>3705.27665122692</v>
      </c>
      <c r="K544" s="222" t="s">
        <v>1808</v>
      </c>
      <c r="L544" s="222">
        <v>8</v>
      </c>
      <c r="M544" s="222" t="s">
        <v>1830</v>
      </c>
      <c r="N544" s="222">
        <v>1</v>
      </c>
      <c r="O544" s="222">
        <v>0</v>
      </c>
      <c r="P544" s="225">
        <v>334.91520000000003</v>
      </c>
      <c r="Q544" s="224">
        <v>0</v>
      </c>
      <c r="R544" s="222">
        <v>14.01</v>
      </c>
      <c r="S544" s="226" t="str">
        <f>IFERROR(_xlfn.XLOOKUP(R544,'1_Presupuesto'!$E:$E,'1_Presupuesto'!$D:$D),"")</f>
        <v>-</v>
      </c>
    </row>
    <row r="545" spans="1:19" ht="15" customHeight="1" x14ac:dyDescent="0.35">
      <c r="A545" s="222" t="s">
        <v>1805</v>
      </c>
      <c r="B545" s="222" t="s">
        <v>639</v>
      </c>
      <c r="C545" s="222" t="s">
        <v>640</v>
      </c>
      <c r="D545" s="222" t="s">
        <v>1831</v>
      </c>
      <c r="E545" s="222" t="s">
        <v>1832</v>
      </c>
      <c r="F545" s="222" t="s">
        <v>643</v>
      </c>
      <c r="G545" s="223">
        <v>0.10526315999999999</v>
      </c>
      <c r="H545" s="222">
        <v>0</v>
      </c>
      <c r="I545" s="224">
        <v>75113.048200000005</v>
      </c>
      <c r="J545" s="224">
        <v>7906.636810764312</v>
      </c>
      <c r="K545" s="222" t="s">
        <v>1833</v>
      </c>
      <c r="L545" s="222">
        <v>1</v>
      </c>
      <c r="M545" s="222" t="s">
        <v>1834</v>
      </c>
      <c r="N545" s="222">
        <v>1</v>
      </c>
      <c r="O545" s="222">
        <v>0</v>
      </c>
      <c r="P545" s="225">
        <v>334.91520000000003</v>
      </c>
      <c r="Q545" s="224">
        <v>0</v>
      </c>
      <c r="R545" s="222">
        <v>14.01</v>
      </c>
      <c r="S545" s="226" t="str">
        <f>IFERROR(_xlfn.XLOOKUP(R545,'1_Presupuesto'!$E:$E,'1_Presupuesto'!$D:$D),"")</f>
        <v>-</v>
      </c>
    </row>
    <row r="546" spans="1:19" ht="15" customHeight="1" x14ac:dyDescent="0.35">
      <c r="A546" s="222" t="s">
        <v>1805</v>
      </c>
      <c r="B546" s="222" t="s">
        <v>639</v>
      </c>
      <c r="C546" s="222" t="s">
        <v>640</v>
      </c>
      <c r="D546" s="222" t="s">
        <v>1835</v>
      </c>
      <c r="E546" s="222" t="s">
        <v>1836</v>
      </c>
      <c r="F546" s="222" t="s">
        <v>643</v>
      </c>
      <c r="G546" s="223">
        <v>0.10526315999999999</v>
      </c>
      <c r="H546" s="222">
        <v>0</v>
      </c>
      <c r="I546" s="224">
        <v>54784.071799999998</v>
      </c>
      <c r="J546" s="224">
        <v>5766.7445153348872</v>
      </c>
      <c r="K546" s="222" t="s">
        <v>1833</v>
      </c>
      <c r="L546" s="222">
        <v>2</v>
      </c>
      <c r="M546" s="222" t="s">
        <v>1837</v>
      </c>
      <c r="N546" s="222">
        <v>1</v>
      </c>
      <c r="O546" s="222">
        <v>0</v>
      </c>
      <c r="P546" s="225">
        <v>334.91520000000003</v>
      </c>
      <c r="Q546" s="224">
        <v>0</v>
      </c>
      <c r="R546" s="222">
        <v>14.01</v>
      </c>
      <c r="S546" s="226" t="str">
        <f>IFERROR(_xlfn.XLOOKUP(R546,'1_Presupuesto'!$E:$E,'1_Presupuesto'!$D:$D),"")</f>
        <v>-</v>
      </c>
    </row>
    <row r="547" spans="1:19" ht="15" customHeight="1" x14ac:dyDescent="0.35">
      <c r="A547" s="222" t="s">
        <v>1805</v>
      </c>
      <c r="B547" s="222" t="s">
        <v>13</v>
      </c>
      <c r="C547" s="222"/>
      <c r="D547" s="222" t="s">
        <v>1838</v>
      </c>
      <c r="E547" s="222" t="s">
        <v>1839</v>
      </c>
      <c r="F547" s="222"/>
      <c r="G547" s="223">
        <v>0.10526315999999999</v>
      </c>
      <c r="H547" s="222">
        <v>0</v>
      </c>
      <c r="I547" s="224">
        <v>136.52590000000001</v>
      </c>
      <c r="J547" s="224">
        <v>14.371147655844</v>
      </c>
      <c r="K547" s="222" t="s">
        <v>1840</v>
      </c>
      <c r="L547" s="222">
        <v>1</v>
      </c>
      <c r="M547" s="222" t="s">
        <v>1841</v>
      </c>
      <c r="N547" s="222">
        <v>1</v>
      </c>
      <c r="O547" s="222">
        <v>0</v>
      </c>
      <c r="P547" s="225">
        <v>334.91520000000003</v>
      </c>
      <c r="Q547" s="224">
        <v>0</v>
      </c>
      <c r="R547" s="222">
        <v>14.01</v>
      </c>
      <c r="S547" s="226" t="str">
        <f>IFERROR(_xlfn.XLOOKUP(R547,'1_Presupuesto'!$E:$E,'1_Presupuesto'!$D:$D),"")</f>
        <v>-</v>
      </c>
    </row>
    <row r="548" spans="1:19" ht="15" customHeight="1" x14ac:dyDescent="0.35">
      <c r="A548" s="222" t="s">
        <v>1805</v>
      </c>
      <c r="B548" s="222" t="s">
        <v>13</v>
      </c>
      <c r="C548" s="222"/>
      <c r="D548" s="222" t="s">
        <v>1842</v>
      </c>
      <c r="E548" s="222" t="s">
        <v>1843</v>
      </c>
      <c r="F548" s="222"/>
      <c r="G548" s="223">
        <v>0.10526315999999999</v>
      </c>
      <c r="H548" s="222">
        <v>0</v>
      </c>
      <c r="I548" s="224">
        <v>2303.2865000000002</v>
      </c>
      <c r="J548" s="224">
        <v>242.45121537534001</v>
      </c>
      <c r="K548" s="222" t="s">
        <v>1840</v>
      </c>
      <c r="L548" s="222">
        <v>2</v>
      </c>
      <c r="M548" s="222" t="s">
        <v>1844</v>
      </c>
      <c r="N548" s="222">
        <v>1</v>
      </c>
      <c r="O548" s="222">
        <v>0</v>
      </c>
      <c r="P548" s="225">
        <v>334.91520000000003</v>
      </c>
      <c r="Q548" s="224">
        <v>0</v>
      </c>
      <c r="R548" s="222">
        <v>14.01</v>
      </c>
      <c r="S548" s="226" t="str">
        <f>IFERROR(_xlfn.XLOOKUP(R548,'1_Presupuesto'!$E:$E,'1_Presupuesto'!$D:$D),"")</f>
        <v>-</v>
      </c>
    </row>
    <row r="549" spans="1:19" ht="15" customHeight="1" x14ac:dyDescent="0.35">
      <c r="A549" s="222" t="s">
        <v>1845</v>
      </c>
      <c r="B549" s="222" t="s">
        <v>654</v>
      </c>
      <c r="C549" s="222" t="s">
        <v>719</v>
      </c>
      <c r="D549" s="222" t="s">
        <v>1846</v>
      </c>
      <c r="E549" s="222" t="s">
        <v>1847</v>
      </c>
      <c r="F549" s="222"/>
      <c r="G549" s="223">
        <v>0.50769228</v>
      </c>
      <c r="H549" s="222">
        <v>0.1</v>
      </c>
      <c r="I549" s="224">
        <v>2834.6579999999999</v>
      </c>
      <c r="J549" s="224">
        <v>1583.0473813442641</v>
      </c>
      <c r="K549" s="222" t="s">
        <v>1848</v>
      </c>
      <c r="L549" s="222">
        <v>1</v>
      </c>
      <c r="M549" s="222" t="s">
        <v>1849</v>
      </c>
      <c r="N549" s="222">
        <v>1</v>
      </c>
      <c r="O549" s="222">
        <v>0</v>
      </c>
      <c r="P549" s="225">
        <v>280.3913</v>
      </c>
      <c r="Q549" s="224">
        <v>0</v>
      </c>
      <c r="R549" s="222">
        <v>14.02</v>
      </c>
      <c r="S549" s="226" t="str">
        <f>IFERROR(_xlfn.XLOOKUP(R549,'1_Presupuesto'!$E:$E,'1_Presupuesto'!$D:$D),"")</f>
        <v>-</v>
      </c>
    </row>
    <row r="550" spans="1:19" ht="15" customHeight="1" x14ac:dyDescent="0.35">
      <c r="A550" s="222" t="s">
        <v>1845</v>
      </c>
      <c r="B550" s="222" t="s">
        <v>654</v>
      </c>
      <c r="C550" s="222" t="s">
        <v>719</v>
      </c>
      <c r="D550" s="222" t="s">
        <v>1850</v>
      </c>
      <c r="E550" s="222" t="s">
        <v>1851</v>
      </c>
      <c r="F550" s="222"/>
      <c r="G550" s="223">
        <v>1.2307691599999999</v>
      </c>
      <c r="H550" s="222">
        <v>0.1</v>
      </c>
      <c r="I550" s="224">
        <v>3082.4459999999999</v>
      </c>
      <c r="J550" s="224">
        <v>4173.1574215818964</v>
      </c>
      <c r="K550" s="222" t="s">
        <v>1848</v>
      </c>
      <c r="L550" s="222">
        <v>2</v>
      </c>
      <c r="M550" s="222" t="s">
        <v>1852</v>
      </c>
      <c r="N550" s="222">
        <v>1</v>
      </c>
      <c r="O550" s="222">
        <v>0</v>
      </c>
      <c r="P550" s="225">
        <v>280.3913</v>
      </c>
      <c r="Q550" s="224">
        <v>0</v>
      </c>
      <c r="R550" s="222">
        <v>14.02</v>
      </c>
      <c r="S550" s="226" t="str">
        <f>IFERROR(_xlfn.XLOOKUP(R550,'1_Presupuesto'!$E:$E,'1_Presupuesto'!$D:$D),"")</f>
        <v>-</v>
      </c>
    </row>
    <row r="551" spans="1:19" ht="15" customHeight="1" x14ac:dyDescent="0.35">
      <c r="A551" s="222" t="s">
        <v>1845</v>
      </c>
      <c r="B551" s="222" t="s">
        <v>654</v>
      </c>
      <c r="C551" s="222" t="s">
        <v>719</v>
      </c>
      <c r="D551" s="222" t="s">
        <v>1813</v>
      </c>
      <c r="E551" s="222" t="s">
        <v>1814</v>
      </c>
      <c r="F551" s="222"/>
      <c r="G551" s="223">
        <v>15.99999905</v>
      </c>
      <c r="H551" s="222">
        <v>0.05</v>
      </c>
      <c r="I551" s="224">
        <v>6.9505999999999997</v>
      </c>
      <c r="J551" s="224">
        <v>116.7700730667765</v>
      </c>
      <c r="K551" s="222" t="s">
        <v>1848</v>
      </c>
      <c r="L551" s="222">
        <v>3</v>
      </c>
      <c r="M551" s="222" t="s">
        <v>1853</v>
      </c>
      <c r="N551" s="222">
        <v>1</v>
      </c>
      <c r="O551" s="222">
        <v>0</v>
      </c>
      <c r="P551" s="225">
        <v>280.3913</v>
      </c>
      <c r="Q551" s="224">
        <v>0</v>
      </c>
      <c r="R551" s="222">
        <v>14.02</v>
      </c>
      <c r="S551" s="226" t="str">
        <f>IFERROR(_xlfn.XLOOKUP(R551,'1_Presupuesto'!$E:$E,'1_Presupuesto'!$D:$D),"")</f>
        <v>-</v>
      </c>
    </row>
    <row r="552" spans="1:19" ht="15" customHeight="1" x14ac:dyDescent="0.35">
      <c r="A552" s="222" t="s">
        <v>1845</v>
      </c>
      <c r="B552" s="222" t="s">
        <v>654</v>
      </c>
      <c r="C552" s="222" t="s">
        <v>719</v>
      </c>
      <c r="D552" s="222" t="s">
        <v>1816</v>
      </c>
      <c r="E552" s="222" t="s">
        <v>1817</v>
      </c>
      <c r="F552" s="222"/>
      <c r="G552" s="223">
        <v>17.99999893</v>
      </c>
      <c r="H552" s="222">
        <v>0.05</v>
      </c>
      <c r="I552" s="224">
        <v>6.6471</v>
      </c>
      <c r="J552" s="224">
        <v>125.63018253198319</v>
      </c>
      <c r="K552" s="222" t="s">
        <v>1848</v>
      </c>
      <c r="L552" s="222">
        <v>4</v>
      </c>
      <c r="M552" s="222" t="s">
        <v>1854</v>
      </c>
      <c r="N552" s="222">
        <v>1</v>
      </c>
      <c r="O552" s="222">
        <v>0</v>
      </c>
      <c r="P552" s="225">
        <v>280.3913</v>
      </c>
      <c r="Q552" s="224">
        <v>0</v>
      </c>
      <c r="R552" s="222">
        <v>14.02</v>
      </c>
      <c r="S552" s="226" t="str">
        <f>IFERROR(_xlfn.XLOOKUP(R552,'1_Presupuesto'!$E:$E,'1_Presupuesto'!$D:$D),"")</f>
        <v>-</v>
      </c>
    </row>
    <row r="553" spans="1:19" ht="15" customHeight="1" x14ac:dyDescent="0.35">
      <c r="A553" s="222" t="s">
        <v>1845</v>
      </c>
      <c r="B553" s="222" t="s">
        <v>654</v>
      </c>
      <c r="C553" s="222" t="s">
        <v>719</v>
      </c>
      <c r="D553" s="222" t="s">
        <v>1819</v>
      </c>
      <c r="E553" s="222" t="s">
        <v>1820</v>
      </c>
      <c r="F553" s="222"/>
      <c r="G553" s="223">
        <v>5.9999996400000004</v>
      </c>
      <c r="H553" s="222">
        <v>0.05</v>
      </c>
      <c r="I553" s="224">
        <v>39.519799999999996</v>
      </c>
      <c r="J553" s="224">
        <v>248.97472506151561</v>
      </c>
      <c r="K553" s="222" t="s">
        <v>1848</v>
      </c>
      <c r="L553" s="222">
        <v>5</v>
      </c>
      <c r="M553" s="222" t="s">
        <v>1855</v>
      </c>
      <c r="N553" s="222">
        <v>1</v>
      </c>
      <c r="O553" s="222">
        <v>0</v>
      </c>
      <c r="P553" s="225">
        <v>280.3913</v>
      </c>
      <c r="Q553" s="224">
        <v>0</v>
      </c>
      <c r="R553" s="222">
        <v>14.02</v>
      </c>
      <c r="S553" s="226" t="str">
        <f>IFERROR(_xlfn.XLOOKUP(R553,'1_Presupuesto'!$E:$E,'1_Presupuesto'!$D:$D),"")</f>
        <v>-</v>
      </c>
    </row>
    <row r="554" spans="1:19" ht="15" customHeight="1" x14ac:dyDescent="0.35">
      <c r="A554" s="222" t="s">
        <v>1845</v>
      </c>
      <c r="B554" s="222" t="s">
        <v>654</v>
      </c>
      <c r="C554" s="222" t="s">
        <v>719</v>
      </c>
      <c r="D554" s="222" t="s">
        <v>1822</v>
      </c>
      <c r="E554" s="222" t="s">
        <v>1823</v>
      </c>
      <c r="F554" s="222"/>
      <c r="G554" s="223">
        <v>1.8333329999999998E-2</v>
      </c>
      <c r="H554" s="222">
        <v>0.05</v>
      </c>
      <c r="I554" s="224">
        <v>3855.22</v>
      </c>
      <c r="J554" s="224">
        <v>74.21297150673</v>
      </c>
      <c r="K554" s="222" t="s">
        <v>1848</v>
      </c>
      <c r="L554" s="222">
        <v>6</v>
      </c>
      <c r="M554" s="222" t="s">
        <v>1856</v>
      </c>
      <c r="N554" s="222">
        <v>1</v>
      </c>
      <c r="O554" s="222">
        <v>0</v>
      </c>
      <c r="P554" s="225">
        <v>280.3913</v>
      </c>
      <c r="Q554" s="224">
        <v>0</v>
      </c>
      <c r="R554" s="222">
        <v>14.02</v>
      </c>
      <c r="S554" s="226" t="str">
        <f>IFERROR(_xlfn.XLOOKUP(R554,'1_Presupuesto'!$E:$E,'1_Presupuesto'!$D:$D),"")</f>
        <v>-</v>
      </c>
    </row>
    <row r="555" spans="1:19" ht="15" customHeight="1" x14ac:dyDescent="0.35">
      <c r="A555" s="222" t="s">
        <v>1845</v>
      </c>
      <c r="B555" s="222" t="s">
        <v>654</v>
      </c>
      <c r="C555" s="222" t="s">
        <v>719</v>
      </c>
      <c r="D555" s="222" t="s">
        <v>1825</v>
      </c>
      <c r="E555" s="222" t="s">
        <v>1826</v>
      </c>
      <c r="F555" s="222"/>
      <c r="G555" s="223">
        <v>2.8125000000000001E-2</v>
      </c>
      <c r="H555" s="222">
        <v>0.05</v>
      </c>
      <c r="I555" s="224">
        <v>27038.112300000001</v>
      </c>
      <c r="J555" s="224">
        <v>798.46925385937504</v>
      </c>
      <c r="K555" s="222" t="s">
        <v>1848</v>
      </c>
      <c r="L555" s="222">
        <v>7</v>
      </c>
      <c r="M555" s="222" t="s">
        <v>1857</v>
      </c>
      <c r="N555" s="222">
        <v>1</v>
      </c>
      <c r="O555" s="222">
        <v>0</v>
      </c>
      <c r="P555" s="225">
        <v>280.3913</v>
      </c>
      <c r="Q555" s="224">
        <v>0</v>
      </c>
      <c r="R555" s="222">
        <v>14.02</v>
      </c>
      <c r="S555" s="226" t="str">
        <f>IFERROR(_xlfn.XLOOKUP(R555,'1_Presupuesto'!$E:$E,'1_Presupuesto'!$D:$D),"")</f>
        <v>-</v>
      </c>
    </row>
    <row r="556" spans="1:19" ht="15" customHeight="1" x14ac:dyDescent="0.35">
      <c r="A556" s="222" t="s">
        <v>1845</v>
      </c>
      <c r="B556" s="222" t="s">
        <v>654</v>
      </c>
      <c r="C556" s="222" t="s">
        <v>719</v>
      </c>
      <c r="D556" s="222" t="s">
        <v>1858</v>
      </c>
      <c r="E556" s="222" t="s">
        <v>1859</v>
      </c>
      <c r="F556" s="222"/>
      <c r="G556" s="223">
        <v>0.35999998</v>
      </c>
      <c r="H556" s="222">
        <v>0.1</v>
      </c>
      <c r="I556" s="224">
        <v>15085.98</v>
      </c>
      <c r="J556" s="224">
        <v>5974.0477481084399</v>
      </c>
      <c r="K556" s="222" t="s">
        <v>1848</v>
      </c>
      <c r="L556" s="222">
        <v>8</v>
      </c>
      <c r="M556" s="222" t="s">
        <v>1860</v>
      </c>
      <c r="N556" s="222">
        <v>1</v>
      </c>
      <c r="O556" s="222">
        <v>0</v>
      </c>
      <c r="P556" s="225">
        <v>280.3913</v>
      </c>
      <c r="Q556" s="224">
        <v>0</v>
      </c>
      <c r="R556" s="222">
        <v>14.02</v>
      </c>
      <c r="S556" s="226" t="str">
        <f>IFERROR(_xlfn.XLOOKUP(R556,'1_Presupuesto'!$E:$E,'1_Presupuesto'!$D:$D),"")</f>
        <v>-</v>
      </c>
    </row>
    <row r="557" spans="1:19" ht="15" customHeight="1" x14ac:dyDescent="0.35">
      <c r="A557" s="222" t="s">
        <v>1845</v>
      </c>
      <c r="B557" s="222" t="s">
        <v>639</v>
      </c>
      <c r="C557" s="222" t="s">
        <v>640</v>
      </c>
      <c r="D557" s="222" t="s">
        <v>1831</v>
      </c>
      <c r="E557" s="222" t="s">
        <v>1832</v>
      </c>
      <c r="F557" s="222" t="s">
        <v>643</v>
      </c>
      <c r="G557" s="223">
        <v>0.10526315999999999</v>
      </c>
      <c r="H557" s="222">
        <v>0</v>
      </c>
      <c r="I557" s="224">
        <v>75113.048200000005</v>
      </c>
      <c r="J557" s="224">
        <v>7906.636810764312</v>
      </c>
      <c r="K557" s="222" t="s">
        <v>1861</v>
      </c>
      <c r="L557" s="222">
        <v>1</v>
      </c>
      <c r="M557" s="222" t="s">
        <v>1862</v>
      </c>
      <c r="N557" s="222">
        <v>1</v>
      </c>
      <c r="O557" s="222">
        <v>0</v>
      </c>
      <c r="P557" s="225">
        <v>280.3913</v>
      </c>
      <c r="Q557" s="224">
        <v>0</v>
      </c>
      <c r="R557" s="222">
        <v>14.02</v>
      </c>
      <c r="S557" s="226" t="str">
        <f>IFERROR(_xlfn.XLOOKUP(R557,'1_Presupuesto'!$E:$E,'1_Presupuesto'!$D:$D),"")</f>
        <v>-</v>
      </c>
    </row>
    <row r="558" spans="1:19" ht="15" customHeight="1" x14ac:dyDescent="0.35">
      <c r="A558" s="222" t="s">
        <v>1845</v>
      </c>
      <c r="B558" s="222" t="s">
        <v>639</v>
      </c>
      <c r="C558" s="222" t="s">
        <v>640</v>
      </c>
      <c r="D558" s="222" t="s">
        <v>1835</v>
      </c>
      <c r="E558" s="222" t="s">
        <v>1836</v>
      </c>
      <c r="F558" s="222" t="s">
        <v>643</v>
      </c>
      <c r="G558" s="223">
        <v>0.10526315999999999</v>
      </c>
      <c r="H558" s="222">
        <v>0</v>
      </c>
      <c r="I558" s="224">
        <v>54784.071799999998</v>
      </c>
      <c r="J558" s="224">
        <v>5766.7445153348872</v>
      </c>
      <c r="K558" s="222" t="s">
        <v>1861</v>
      </c>
      <c r="L558" s="222">
        <v>2</v>
      </c>
      <c r="M558" s="222" t="s">
        <v>1863</v>
      </c>
      <c r="N558" s="222">
        <v>1</v>
      </c>
      <c r="O558" s="222">
        <v>0</v>
      </c>
      <c r="P558" s="225">
        <v>280.3913</v>
      </c>
      <c r="Q558" s="224">
        <v>0</v>
      </c>
      <c r="R558" s="222">
        <v>14.02</v>
      </c>
      <c r="S558" s="226" t="str">
        <f>IFERROR(_xlfn.XLOOKUP(R558,'1_Presupuesto'!$E:$E,'1_Presupuesto'!$D:$D),"")</f>
        <v>-</v>
      </c>
    </row>
    <row r="559" spans="1:19" ht="15" customHeight="1" x14ac:dyDescent="0.35">
      <c r="A559" s="222" t="s">
        <v>1845</v>
      </c>
      <c r="B559" s="222" t="s">
        <v>13</v>
      </c>
      <c r="C559" s="222"/>
      <c r="D559" s="222" t="s">
        <v>1838</v>
      </c>
      <c r="E559" s="222" t="s">
        <v>1839</v>
      </c>
      <c r="F559" s="222"/>
      <c r="G559" s="223">
        <v>0.10526315999999999</v>
      </c>
      <c r="H559" s="222">
        <v>0</v>
      </c>
      <c r="I559" s="224">
        <v>136.52590000000001</v>
      </c>
      <c r="J559" s="224">
        <v>14.371147655844</v>
      </c>
      <c r="K559" s="222" t="s">
        <v>1864</v>
      </c>
      <c r="L559" s="222">
        <v>1</v>
      </c>
      <c r="M559" s="222" t="s">
        <v>1865</v>
      </c>
      <c r="N559" s="222">
        <v>1</v>
      </c>
      <c r="O559" s="222">
        <v>0</v>
      </c>
      <c r="P559" s="225">
        <v>280.3913</v>
      </c>
      <c r="Q559" s="224">
        <v>0</v>
      </c>
      <c r="R559" s="222">
        <v>14.02</v>
      </c>
      <c r="S559" s="226" t="str">
        <f>IFERROR(_xlfn.XLOOKUP(R559,'1_Presupuesto'!$E:$E,'1_Presupuesto'!$D:$D),"")</f>
        <v>-</v>
      </c>
    </row>
    <row r="560" spans="1:19" ht="15" customHeight="1" x14ac:dyDescent="0.35">
      <c r="A560" s="222" t="s">
        <v>1845</v>
      </c>
      <c r="B560" s="222" t="s">
        <v>13</v>
      </c>
      <c r="C560" s="222"/>
      <c r="D560" s="222" t="s">
        <v>1842</v>
      </c>
      <c r="E560" s="222" t="s">
        <v>1843</v>
      </c>
      <c r="F560" s="222"/>
      <c r="G560" s="223">
        <v>0.10526315999999999</v>
      </c>
      <c r="H560" s="222">
        <v>0</v>
      </c>
      <c r="I560" s="224">
        <v>2303.2865000000002</v>
      </c>
      <c r="J560" s="224">
        <v>242.45121537534001</v>
      </c>
      <c r="K560" s="222" t="s">
        <v>1864</v>
      </c>
      <c r="L560" s="222">
        <v>2</v>
      </c>
      <c r="M560" s="222" t="s">
        <v>1866</v>
      </c>
      <c r="N560" s="222">
        <v>1</v>
      </c>
      <c r="O560" s="222">
        <v>0</v>
      </c>
      <c r="P560" s="225">
        <v>280.3913</v>
      </c>
      <c r="Q560" s="224">
        <v>0</v>
      </c>
      <c r="R560" s="222">
        <v>14.02</v>
      </c>
      <c r="S560" s="226" t="str">
        <f>IFERROR(_xlfn.XLOOKUP(R560,'1_Presupuesto'!$E:$E,'1_Presupuesto'!$D:$D),"")</f>
        <v>-</v>
      </c>
    </row>
    <row r="561" spans="1:19" ht="15" customHeight="1" x14ac:dyDescent="0.35">
      <c r="A561" s="222" t="s">
        <v>1867</v>
      </c>
      <c r="B561" s="222" t="s">
        <v>654</v>
      </c>
      <c r="C561" s="222" t="s">
        <v>719</v>
      </c>
      <c r="D561" s="222" t="s">
        <v>1806</v>
      </c>
      <c r="E561" s="222" t="s">
        <v>1807</v>
      </c>
      <c r="F561" s="222"/>
      <c r="G561" s="223">
        <v>0.50769226999999995</v>
      </c>
      <c r="H561" s="222">
        <v>0.1</v>
      </c>
      <c r="I561" s="224">
        <v>2077.152</v>
      </c>
      <c r="J561" s="224">
        <v>1160.009415416544</v>
      </c>
      <c r="K561" s="222" t="s">
        <v>1868</v>
      </c>
      <c r="L561" s="222">
        <v>1</v>
      </c>
      <c r="M561" s="222" t="s">
        <v>1869</v>
      </c>
      <c r="N561" s="222">
        <v>1</v>
      </c>
      <c r="O561" s="222">
        <v>0</v>
      </c>
      <c r="P561" s="225">
        <v>60.8</v>
      </c>
      <c r="Q561" s="224">
        <v>0</v>
      </c>
      <c r="R561" s="222">
        <v>14.03</v>
      </c>
      <c r="S561" s="226" t="str">
        <f>IFERROR(_xlfn.XLOOKUP(R561,'1_Presupuesto'!$E:$E,'1_Presupuesto'!$D:$D),"")</f>
        <v>-</v>
      </c>
    </row>
    <row r="562" spans="1:19" ht="15" customHeight="1" x14ac:dyDescent="0.35">
      <c r="A562" s="222" t="s">
        <v>1867</v>
      </c>
      <c r="B562" s="222" t="s">
        <v>654</v>
      </c>
      <c r="C562" s="222" t="s">
        <v>719</v>
      </c>
      <c r="D562" s="222" t="s">
        <v>1810</v>
      </c>
      <c r="E562" s="222" t="s">
        <v>1811</v>
      </c>
      <c r="F562" s="222"/>
      <c r="G562" s="223">
        <v>1.2307691300000001</v>
      </c>
      <c r="H562" s="222">
        <v>0.1</v>
      </c>
      <c r="I562" s="224">
        <v>2310.5940000000001</v>
      </c>
      <c r="J562" s="224">
        <v>3128.188543879543</v>
      </c>
      <c r="K562" s="222" t="s">
        <v>1868</v>
      </c>
      <c r="L562" s="222">
        <v>2</v>
      </c>
      <c r="M562" s="222" t="s">
        <v>1870</v>
      </c>
      <c r="N562" s="222">
        <v>1</v>
      </c>
      <c r="O562" s="222">
        <v>0</v>
      </c>
      <c r="P562" s="225">
        <v>60.8</v>
      </c>
      <c r="Q562" s="224">
        <v>0</v>
      </c>
      <c r="R562" s="222">
        <v>14.03</v>
      </c>
      <c r="S562" s="226" t="str">
        <f>IFERROR(_xlfn.XLOOKUP(R562,'1_Presupuesto'!$E:$E,'1_Presupuesto'!$D:$D),"")</f>
        <v>-</v>
      </c>
    </row>
    <row r="563" spans="1:19" ht="15" customHeight="1" x14ac:dyDescent="0.35">
      <c r="A563" s="222" t="s">
        <v>1867</v>
      </c>
      <c r="B563" s="222" t="s">
        <v>654</v>
      </c>
      <c r="C563" s="222" t="s">
        <v>719</v>
      </c>
      <c r="D563" s="222" t="s">
        <v>1813</v>
      </c>
      <c r="E563" s="222" t="s">
        <v>1814</v>
      </c>
      <c r="F563" s="222"/>
      <c r="G563" s="223">
        <v>15.999998679999999</v>
      </c>
      <c r="H563" s="222">
        <v>0.05</v>
      </c>
      <c r="I563" s="224">
        <v>6.9505999999999997</v>
      </c>
      <c r="J563" s="224">
        <v>116.7700703664684</v>
      </c>
      <c r="K563" s="222" t="s">
        <v>1868</v>
      </c>
      <c r="L563" s="222">
        <v>3</v>
      </c>
      <c r="M563" s="222" t="s">
        <v>1871</v>
      </c>
      <c r="N563" s="222">
        <v>1</v>
      </c>
      <c r="O563" s="222">
        <v>0</v>
      </c>
      <c r="P563" s="225">
        <v>60.8</v>
      </c>
      <c r="Q563" s="224">
        <v>0</v>
      </c>
      <c r="R563" s="222">
        <v>14.03</v>
      </c>
      <c r="S563" s="226" t="str">
        <f>IFERROR(_xlfn.XLOOKUP(R563,'1_Presupuesto'!$E:$E,'1_Presupuesto'!$D:$D),"")</f>
        <v>-</v>
      </c>
    </row>
    <row r="564" spans="1:19" ht="15" customHeight="1" x14ac:dyDescent="0.35">
      <c r="A564" s="222" t="s">
        <v>1867</v>
      </c>
      <c r="B564" s="222" t="s">
        <v>654</v>
      </c>
      <c r="C564" s="222" t="s">
        <v>719</v>
      </c>
      <c r="D564" s="222" t="s">
        <v>1816</v>
      </c>
      <c r="E564" s="222" t="s">
        <v>1817</v>
      </c>
      <c r="F564" s="222"/>
      <c r="G564" s="223">
        <v>17.999998510000001</v>
      </c>
      <c r="H564" s="222">
        <v>0.05</v>
      </c>
      <c r="I564" s="224">
        <v>6.6471</v>
      </c>
      <c r="J564" s="224">
        <v>125.6301796006121</v>
      </c>
      <c r="K564" s="222" t="s">
        <v>1868</v>
      </c>
      <c r="L564" s="222">
        <v>4</v>
      </c>
      <c r="M564" s="222" t="s">
        <v>1872</v>
      </c>
      <c r="N564" s="222">
        <v>1</v>
      </c>
      <c r="O564" s="222">
        <v>0</v>
      </c>
      <c r="P564" s="225">
        <v>60.8</v>
      </c>
      <c r="Q564" s="224">
        <v>0</v>
      </c>
      <c r="R564" s="222">
        <v>14.03</v>
      </c>
      <c r="S564" s="226" t="str">
        <f>IFERROR(_xlfn.XLOOKUP(R564,'1_Presupuesto'!$E:$E,'1_Presupuesto'!$D:$D),"")</f>
        <v>-</v>
      </c>
    </row>
    <row r="565" spans="1:19" ht="15" customHeight="1" x14ac:dyDescent="0.35">
      <c r="A565" s="222" t="s">
        <v>1867</v>
      </c>
      <c r="B565" s="222" t="s">
        <v>654</v>
      </c>
      <c r="C565" s="222" t="s">
        <v>719</v>
      </c>
      <c r="D565" s="222" t="s">
        <v>1819</v>
      </c>
      <c r="E565" s="222" t="s">
        <v>1820</v>
      </c>
      <c r="F565" s="222"/>
      <c r="G565" s="223">
        <v>5.9999995100000003</v>
      </c>
      <c r="H565" s="222">
        <v>0.05</v>
      </c>
      <c r="I565" s="224">
        <v>39.519799999999996</v>
      </c>
      <c r="J565" s="224">
        <v>248.97471966706291</v>
      </c>
      <c r="K565" s="222" t="s">
        <v>1868</v>
      </c>
      <c r="L565" s="222">
        <v>5</v>
      </c>
      <c r="M565" s="222" t="s">
        <v>1873</v>
      </c>
      <c r="N565" s="222">
        <v>1</v>
      </c>
      <c r="O565" s="222">
        <v>0</v>
      </c>
      <c r="P565" s="225">
        <v>60.8</v>
      </c>
      <c r="Q565" s="224">
        <v>0</v>
      </c>
      <c r="R565" s="222">
        <v>14.03</v>
      </c>
      <c r="S565" s="226" t="str">
        <f>IFERROR(_xlfn.XLOOKUP(R565,'1_Presupuesto'!$E:$E,'1_Presupuesto'!$D:$D),"")</f>
        <v>-</v>
      </c>
    </row>
    <row r="566" spans="1:19" ht="15" customHeight="1" x14ac:dyDescent="0.35">
      <c r="A566" s="222" t="s">
        <v>1867</v>
      </c>
      <c r="B566" s="222" t="s">
        <v>654</v>
      </c>
      <c r="C566" s="222" t="s">
        <v>719</v>
      </c>
      <c r="D566" s="222" t="s">
        <v>1822</v>
      </c>
      <c r="E566" s="222" t="s">
        <v>1823</v>
      </c>
      <c r="F566" s="222"/>
      <c r="G566" s="223">
        <v>1.8333329999999998E-2</v>
      </c>
      <c r="H566" s="222">
        <v>0.05</v>
      </c>
      <c r="I566" s="224">
        <v>3855.22</v>
      </c>
      <c r="J566" s="224">
        <v>74.21297150673</v>
      </c>
      <c r="K566" s="222" t="s">
        <v>1868</v>
      </c>
      <c r="L566" s="222">
        <v>6</v>
      </c>
      <c r="M566" s="222" t="s">
        <v>1874</v>
      </c>
      <c r="N566" s="222">
        <v>1</v>
      </c>
      <c r="O566" s="222">
        <v>0</v>
      </c>
      <c r="P566" s="225">
        <v>60.8</v>
      </c>
      <c r="Q566" s="224">
        <v>0</v>
      </c>
      <c r="R566" s="222">
        <v>14.03</v>
      </c>
      <c r="S566" s="226" t="str">
        <f>IFERROR(_xlfn.XLOOKUP(R566,'1_Presupuesto'!$E:$E,'1_Presupuesto'!$D:$D),"")</f>
        <v>-</v>
      </c>
    </row>
    <row r="567" spans="1:19" ht="15" customHeight="1" x14ac:dyDescent="0.35">
      <c r="A567" s="222" t="s">
        <v>1867</v>
      </c>
      <c r="B567" s="222" t="s">
        <v>654</v>
      </c>
      <c r="C567" s="222" t="s">
        <v>719</v>
      </c>
      <c r="D567" s="222" t="s">
        <v>1825</v>
      </c>
      <c r="E567" s="222" t="s">
        <v>1826</v>
      </c>
      <c r="F567" s="222"/>
      <c r="G567" s="223">
        <v>2.8125000000000001E-2</v>
      </c>
      <c r="H567" s="222">
        <v>0.05</v>
      </c>
      <c r="I567" s="224">
        <v>27038.112300000001</v>
      </c>
      <c r="J567" s="224">
        <v>798.46925385937504</v>
      </c>
      <c r="K567" s="222" t="s">
        <v>1868</v>
      </c>
      <c r="L567" s="222">
        <v>7</v>
      </c>
      <c r="M567" s="222" t="s">
        <v>1875</v>
      </c>
      <c r="N567" s="222">
        <v>1</v>
      </c>
      <c r="O567" s="222">
        <v>0</v>
      </c>
      <c r="P567" s="225">
        <v>60.8</v>
      </c>
      <c r="Q567" s="224">
        <v>0</v>
      </c>
      <c r="R567" s="222">
        <v>14.03</v>
      </c>
      <c r="S567" s="226" t="str">
        <f>IFERROR(_xlfn.XLOOKUP(R567,'1_Presupuesto'!$E:$E,'1_Presupuesto'!$D:$D),"")</f>
        <v>-</v>
      </c>
    </row>
    <row r="568" spans="1:19" ht="15" customHeight="1" x14ac:dyDescent="0.35">
      <c r="A568" s="222" t="s">
        <v>1867</v>
      </c>
      <c r="B568" s="222" t="s">
        <v>654</v>
      </c>
      <c r="C568" s="222" t="s">
        <v>719</v>
      </c>
      <c r="D568" s="222" t="s">
        <v>1828</v>
      </c>
      <c r="E568" s="222" t="s">
        <v>1829</v>
      </c>
      <c r="F568" s="222"/>
      <c r="G568" s="223">
        <v>0.35999997</v>
      </c>
      <c r="H568" s="222">
        <v>0.1</v>
      </c>
      <c r="I568" s="224">
        <v>9356.76</v>
      </c>
      <c r="J568" s="224">
        <v>3705.27665122692</v>
      </c>
      <c r="K568" s="222" t="s">
        <v>1868</v>
      </c>
      <c r="L568" s="222">
        <v>8</v>
      </c>
      <c r="M568" s="222" t="s">
        <v>1876</v>
      </c>
      <c r="N568" s="222">
        <v>1</v>
      </c>
      <c r="O568" s="222">
        <v>0</v>
      </c>
      <c r="P568" s="225">
        <v>60.8</v>
      </c>
      <c r="Q568" s="224">
        <v>0</v>
      </c>
      <c r="R568" s="222">
        <v>14.03</v>
      </c>
      <c r="S568" s="226" t="str">
        <f>IFERROR(_xlfn.XLOOKUP(R568,'1_Presupuesto'!$E:$E,'1_Presupuesto'!$D:$D),"")</f>
        <v>-</v>
      </c>
    </row>
    <row r="569" spans="1:19" ht="15" customHeight="1" x14ac:dyDescent="0.35">
      <c r="A569" s="222" t="s">
        <v>1867</v>
      </c>
      <c r="B569" s="222" t="s">
        <v>639</v>
      </c>
      <c r="C569" s="222" t="s">
        <v>640</v>
      </c>
      <c r="D569" s="222" t="s">
        <v>1831</v>
      </c>
      <c r="E569" s="222" t="s">
        <v>1832</v>
      </c>
      <c r="F569" s="222" t="s">
        <v>643</v>
      </c>
      <c r="G569" s="223">
        <v>0.10526315999999999</v>
      </c>
      <c r="H569" s="222">
        <v>0</v>
      </c>
      <c r="I569" s="224">
        <v>75113.048200000005</v>
      </c>
      <c r="J569" s="224">
        <v>7906.636810764312</v>
      </c>
      <c r="K569" s="222" t="s">
        <v>1877</v>
      </c>
      <c r="L569" s="222">
        <v>1</v>
      </c>
      <c r="M569" s="222" t="s">
        <v>1878</v>
      </c>
      <c r="N569" s="222">
        <v>1</v>
      </c>
      <c r="O569" s="222">
        <v>0</v>
      </c>
      <c r="P569" s="225">
        <v>60.8</v>
      </c>
      <c r="Q569" s="224">
        <v>0</v>
      </c>
      <c r="R569" s="222">
        <v>14.03</v>
      </c>
      <c r="S569" s="226" t="str">
        <f>IFERROR(_xlfn.XLOOKUP(R569,'1_Presupuesto'!$E:$E,'1_Presupuesto'!$D:$D),"")</f>
        <v>-</v>
      </c>
    </row>
    <row r="570" spans="1:19" ht="15" customHeight="1" x14ac:dyDescent="0.35">
      <c r="A570" s="222" t="s">
        <v>1867</v>
      </c>
      <c r="B570" s="222" t="s">
        <v>639</v>
      </c>
      <c r="C570" s="222" t="s">
        <v>640</v>
      </c>
      <c r="D570" s="222" t="s">
        <v>1835</v>
      </c>
      <c r="E570" s="222" t="s">
        <v>1836</v>
      </c>
      <c r="F570" s="222" t="s">
        <v>643</v>
      </c>
      <c r="G570" s="223">
        <v>0.10526315999999999</v>
      </c>
      <c r="H570" s="222">
        <v>0</v>
      </c>
      <c r="I570" s="224">
        <v>54784.071799999998</v>
      </c>
      <c r="J570" s="224">
        <v>5766.7445153348872</v>
      </c>
      <c r="K570" s="222" t="s">
        <v>1877</v>
      </c>
      <c r="L570" s="222">
        <v>2</v>
      </c>
      <c r="M570" s="222" t="s">
        <v>1879</v>
      </c>
      <c r="N570" s="222">
        <v>1</v>
      </c>
      <c r="O570" s="222">
        <v>0</v>
      </c>
      <c r="P570" s="225">
        <v>60.8</v>
      </c>
      <c r="Q570" s="224">
        <v>0</v>
      </c>
      <c r="R570" s="222">
        <v>14.03</v>
      </c>
      <c r="S570" s="226" t="str">
        <f>IFERROR(_xlfn.XLOOKUP(R570,'1_Presupuesto'!$E:$E,'1_Presupuesto'!$D:$D),"")</f>
        <v>-</v>
      </c>
    </row>
    <row r="571" spans="1:19" ht="15" customHeight="1" x14ac:dyDescent="0.35">
      <c r="A571" s="222" t="s">
        <v>1867</v>
      </c>
      <c r="B571" s="222" t="s">
        <v>13</v>
      </c>
      <c r="C571" s="222"/>
      <c r="D571" s="222" t="s">
        <v>1838</v>
      </c>
      <c r="E571" s="222" t="s">
        <v>1839</v>
      </c>
      <c r="F571" s="222"/>
      <c r="G571" s="223">
        <v>0.10526315999999999</v>
      </c>
      <c r="H571" s="222">
        <v>0</v>
      </c>
      <c r="I571" s="224">
        <v>136.52590000000001</v>
      </c>
      <c r="J571" s="224">
        <v>14.371147655844</v>
      </c>
      <c r="K571" s="222" t="s">
        <v>1880</v>
      </c>
      <c r="L571" s="222">
        <v>1</v>
      </c>
      <c r="M571" s="222" t="s">
        <v>1881</v>
      </c>
      <c r="N571" s="222">
        <v>1</v>
      </c>
      <c r="O571" s="222">
        <v>0</v>
      </c>
      <c r="P571" s="225">
        <v>60.8</v>
      </c>
      <c r="Q571" s="224">
        <v>0</v>
      </c>
      <c r="R571" s="222">
        <v>14.03</v>
      </c>
      <c r="S571" s="226" t="str">
        <f>IFERROR(_xlfn.XLOOKUP(R571,'1_Presupuesto'!$E:$E,'1_Presupuesto'!$D:$D),"")</f>
        <v>-</v>
      </c>
    </row>
    <row r="572" spans="1:19" ht="15" customHeight="1" x14ac:dyDescent="0.35">
      <c r="A572" s="222" t="s">
        <v>1867</v>
      </c>
      <c r="B572" s="222" t="s">
        <v>13</v>
      </c>
      <c r="C572" s="222"/>
      <c r="D572" s="222" t="s">
        <v>1842</v>
      </c>
      <c r="E572" s="222" t="s">
        <v>1843</v>
      </c>
      <c r="F572" s="222"/>
      <c r="G572" s="223">
        <v>0.10526315999999999</v>
      </c>
      <c r="H572" s="222">
        <v>0</v>
      </c>
      <c r="I572" s="224">
        <v>2303.2865000000002</v>
      </c>
      <c r="J572" s="224">
        <v>242.45121537534001</v>
      </c>
      <c r="K572" s="222" t="s">
        <v>1880</v>
      </c>
      <c r="L572" s="222">
        <v>2</v>
      </c>
      <c r="M572" s="222" t="s">
        <v>1882</v>
      </c>
      <c r="N572" s="222">
        <v>1</v>
      </c>
      <c r="O572" s="222">
        <v>0</v>
      </c>
      <c r="P572" s="225">
        <v>60.8</v>
      </c>
      <c r="Q572" s="224">
        <v>0</v>
      </c>
      <c r="R572" s="222">
        <v>14.03</v>
      </c>
      <c r="S572" s="226" t="str">
        <f>IFERROR(_xlfn.XLOOKUP(R572,'1_Presupuesto'!$E:$E,'1_Presupuesto'!$D:$D),"")</f>
        <v>-</v>
      </c>
    </row>
    <row r="573" spans="1:19" ht="15" customHeight="1" x14ac:dyDescent="0.35">
      <c r="A573" s="222" t="s">
        <v>1883</v>
      </c>
      <c r="B573" s="222" t="s">
        <v>654</v>
      </c>
      <c r="C573" s="222" t="s">
        <v>719</v>
      </c>
      <c r="D573" s="222" t="s">
        <v>1884</v>
      </c>
      <c r="E573" s="222" t="s">
        <v>1885</v>
      </c>
      <c r="F573" s="222"/>
      <c r="G573" s="223">
        <v>0.39000002</v>
      </c>
      <c r="H573" s="222">
        <v>0.1</v>
      </c>
      <c r="I573" s="224">
        <v>2499.6799999999998</v>
      </c>
      <c r="J573" s="224">
        <v>1072.3627749929601</v>
      </c>
      <c r="K573" s="222" t="s">
        <v>1886</v>
      </c>
      <c r="L573" s="222">
        <v>1</v>
      </c>
      <c r="M573" s="222" t="s">
        <v>1887</v>
      </c>
      <c r="N573" s="222">
        <v>1</v>
      </c>
      <c r="O573" s="222">
        <v>0</v>
      </c>
      <c r="P573" s="225">
        <v>1058.3800000000001</v>
      </c>
      <c r="Q573" s="224">
        <v>0</v>
      </c>
      <c r="R573" s="222">
        <v>14.04</v>
      </c>
      <c r="S573" s="226" t="str">
        <f>IFERROR(_xlfn.XLOOKUP(R573,'1_Presupuesto'!$E:$E,'1_Presupuesto'!$D:$D),"")</f>
        <v>-</v>
      </c>
    </row>
    <row r="574" spans="1:19" ht="15" customHeight="1" x14ac:dyDescent="0.35">
      <c r="A574" s="222" t="s">
        <v>1883</v>
      </c>
      <c r="B574" s="222" t="s">
        <v>654</v>
      </c>
      <c r="C574" s="222" t="s">
        <v>719</v>
      </c>
      <c r="D574" s="222" t="s">
        <v>1816</v>
      </c>
      <c r="E574" s="222" t="s">
        <v>1817</v>
      </c>
      <c r="F574" s="222"/>
      <c r="G574" s="223">
        <v>3.0000001599999999</v>
      </c>
      <c r="H574" s="222">
        <v>0.05</v>
      </c>
      <c r="I574" s="224">
        <v>6.6471</v>
      </c>
      <c r="J574" s="224">
        <v>20.9383661167128</v>
      </c>
      <c r="K574" s="222" t="s">
        <v>1886</v>
      </c>
      <c r="L574" s="222">
        <v>2</v>
      </c>
      <c r="M574" s="222" t="s">
        <v>1888</v>
      </c>
      <c r="N574" s="222">
        <v>1</v>
      </c>
      <c r="O574" s="222">
        <v>0</v>
      </c>
      <c r="P574" s="225">
        <v>1058.3800000000001</v>
      </c>
      <c r="Q574" s="224">
        <v>0</v>
      </c>
      <c r="R574" s="222">
        <v>14.04</v>
      </c>
      <c r="S574" s="226" t="str">
        <f>IFERROR(_xlfn.XLOOKUP(R574,'1_Presupuesto'!$E:$E,'1_Presupuesto'!$D:$D),"")</f>
        <v>-</v>
      </c>
    </row>
    <row r="575" spans="1:19" ht="15" customHeight="1" x14ac:dyDescent="0.35">
      <c r="A575" s="222" t="s">
        <v>1883</v>
      </c>
      <c r="B575" s="222" t="s">
        <v>639</v>
      </c>
      <c r="C575" s="222" t="s">
        <v>640</v>
      </c>
      <c r="D575" s="222" t="s">
        <v>1831</v>
      </c>
      <c r="E575" s="222" t="s">
        <v>1832</v>
      </c>
      <c r="F575" s="222" t="s">
        <v>643</v>
      </c>
      <c r="G575" s="223">
        <v>6.6666669999999997E-2</v>
      </c>
      <c r="H575" s="222">
        <v>0</v>
      </c>
      <c r="I575" s="224">
        <v>75113.048200000005</v>
      </c>
      <c r="J575" s="224">
        <v>5007.5367970434954</v>
      </c>
      <c r="K575" s="222" t="s">
        <v>1889</v>
      </c>
      <c r="L575" s="222">
        <v>1</v>
      </c>
      <c r="M575" s="222" t="s">
        <v>1890</v>
      </c>
      <c r="N575" s="222">
        <v>1</v>
      </c>
      <c r="O575" s="222">
        <v>0</v>
      </c>
      <c r="P575" s="225">
        <v>1058.3800000000001</v>
      </c>
      <c r="Q575" s="224">
        <v>0</v>
      </c>
      <c r="R575" s="222">
        <v>14.04</v>
      </c>
      <c r="S575" s="226" t="str">
        <f>IFERROR(_xlfn.XLOOKUP(R575,'1_Presupuesto'!$E:$E,'1_Presupuesto'!$D:$D),"")</f>
        <v>-</v>
      </c>
    </row>
    <row r="576" spans="1:19" ht="15" customHeight="1" x14ac:dyDescent="0.35">
      <c r="A576" s="222" t="s">
        <v>1883</v>
      </c>
      <c r="B576" s="222" t="s">
        <v>13</v>
      </c>
      <c r="C576" s="222"/>
      <c r="D576" s="222" t="s">
        <v>1838</v>
      </c>
      <c r="E576" s="222" t="s">
        <v>1839</v>
      </c>
      <c r="F576" s="222"/>
      <c r="G576" s="223">
        <v>6.6666669999999997E-2</v>
      </c>
      <c r="H576" s="222">
        <v>0</v>
      </c>
      <c r="I576" s="224">
        <v>136.52590000000001</v>
      </c>
      <c r="J576" s="224">
        <v>9.1017271217530009</v>
      </c>
      <c r="K576" s="222" t="s">
        <v>1891</v>
      </c>
      <c r="L576" s="222">
        <v>1</v>
      </c>
      <c r="M576" s="222" t="s">
        <v>1892</v>
      </c>
      <c r="N576" s="222">
        <v>1</v>
      </c>
      <c r="O576" s="222">
        <v>0</v>
      </c>
      <c r="P576" s="225">
        <v>1058.3800000000001</v>
      </c>
      <c r="Q576" s="224">
        <v>0</v>
      </c>
      <c r="R576" s="222">
        <v>14.04</v>
      </c>
      <c r="S576" s="226" t="str">
        <f>IFERROR(_xlfn.XLOOKUP(R576,'1_Presupuesto'!$E:$E,'1_Presupuesto'!$D:$D),"")</f>
        <v>-</v>
      </c>
    </row>
    <row r="577" spans="1:19" ht="15" customHeight="1" x14ac:dyDescent="0.35">
      <c r="A577" s="222" t="s">
        <v>1883</v>
      </c>
      <c r="B577" s="222" t="s">
        <v>13</v>
      </c>
      <c r="C577" s="222"/>
      <c r="D577" s="222" t="s">
        <v>1842</v>
      </c>
      <c r="E577" s="222" t="s">
        <v>1843</v>
      </c>
      <c r="F577" s="222"/>
      <c r="G577" s="223">
        <v>6.6666669999999997E-2</v>
      </c>
      <c r="H577" s="222">
        <v>0</v>
      </c>
      <c r="I577" s="224">
        <v>2303.2865000000002</v>
      </c>
      <c r="J577" s="224">
        <v>153.55244101095499</v>
      </c>
      <c r="K577" s="222" t="s">
        <v>1891</v>
      </c>
      <c r="L577" s="222">
        <v>2</v>
      </c>
      <c r="M577" s="222" t="s">
        <v>1893</v>
      </c>
      <c r="N577" s="222">
        <v>1</v>
      </c>
      <c r="O577" s="222">
        <v>0</v>
      </c>
      <c r="P577" s="225">
        <v>1058.3800000000001</v>
      </c>
      <c r="Q577" s="224">
        <v>0</v>
      </c>
      <c r="R577" s="222">
        <v>14.04</v>
      </c>
      <c r="S577" s="226" t="str">
        <f>IFERROR(_xlfn.XLOOKUP(R577,'1_Presupuesto'!$E:$E,'1_Presupuesto'!$D:$D),"")</f>
        <v>-</v>
      </c>
    </row>
    <row r="578" spans="1:19" ht="15" customHeight="1" x14ac:dyDescent="0.35">
      <c r="A578" s="222" t="s">
        <v>1894</v>
      </c>
      <c r="B578" s="222" t="s">
        <v>654</v>
      </c>
      <c r="C578" s="222" t="s">
        <v>719</v>
      </c>
      <c r="D578" s="222" t="s">
        <v>1364</v>
      </c>
      <c r="E578" s="222" t="s">
        <v>1365</v>
      </c>
      <c r="F578" s="222"/>
      <c r="G578" s="223">
        <v>0.71411256999999995</v>
      </c>
      <c r="H578" s="222">
        <v>0</v>
      </c>
      <c r="I578" s="224">
        <v>6694.38</v>
      </c>
      <c r="J578" s="224">
        <v>4780.5409063565994</v>
      </c>
      <c r="K578" s="222" t="s">
        <v>1895</v>
      </c>
      <c r="L578" s="222">
        <v>1</v>
      </c>
      <c r="M578" s="222" t="s">
        <v>1896</v>
      </c>
      <c r="N578" s="222">
        <v>1</v>
      </c>
      <c r="O578" s="222">
        <v>0</v>
      </c>
      <c r="P578" s="225">
        <v>504.12220000000002</v>
      </c>
      <c r="Q578" s="224">
        <v>0</v>
      </c>
      <c r="R578" s="222">
        <v>14.05</v>
      </c>
      <c r="S578" s="226" t="str">
        <f>IFERROR(_xlfn.XLOOKUP(R578,'1_Presupuesto'!$E:$E,'1_Presupuesto'!$D:$D),"")</f>
        <v>-</v>
      </c>
    </row>
    <row r="579" spans="1:19" ht="15" customHeight="1" x14ac:dyDescent="0.35">
      <c r="A579" s="222" t="s">
        <v>1894</v>
      </c>
      <c r="B579" s="222" t="s">
        <v>654</v>
      </c>
      <c r="C579" s="222" t="s">
        <v>719</v>
      </c>
      <c r="D579" s="222" t="s">
        <v>1368</v>
      </c>
      <c r="E579" s="222" t="s">
        <v>1369</v>
      </c>
      <c r="F579" s="222"/>
      <c r="G579" s="223">
        <v>7.9345800000000001E-3</v>
      </c>
      <c r="H579" s="222">
        <v>0</v>
      </c>
      <c r="I579" s="224">
        <v>124738</v>
      </c>
      <c r="J579" s="224">
        <v>989.74364004000006</v>
      </c>
      <c r="K579" s="222" t="s">
        <v>1895</v>
      </c>
      <c r="L579" s="222">
        <v>2</v>
      </c>
      <c r="M579" s="222" t="s">
        <v>1897</v>
      </c>
      <c r="N579" s="222">
        <v>1</v>
      </c>
      <c r="O579" s="222">
        <v>0</v>
      </c>
      <c r="P579" s="225">
        <v>504.12220000000002</v>
      </c>
      <c r="Q579" s="224">
        <v>0</v>
      </c>
      <c r="R579" s="222">
        <v>14.05</v>
      </c>
      <c r="S579" s="226" t="str">
        <f>IFERROR(_xlfn.XLOOKUP(R579,'1_Presupuesto'!$E:$E,'1_Presupuesto'!$D:$D),"")</f>
        <v>-</v>
      </c>
    </row>
    <row r="580" spans="1:19" ht="15" customHeight="1" x14ac:dyDescent="0.35">
      <c r="A580" s="222" t="s">
        <v>1894</v>
      </c>
      <c r="B580" s="222" t="s">
        <v>639</v>
      </c>
      <c r="C580" s="222" t="s">
        <v>640</v>
      </c>
      <c r="D580" s="222" t="s">
        <v>1374</v>
      </c>
      <c r="E580" s="222" t="s">
        <v>1375</v>
      </c>
      <c r="F580" s="222" t="s">
        <v>643</v>
      </c>
      <c r="G580" s="223">
        <v>1</v>
      </c>
      <c r="H580" s="222">
        <v>0</v>
      </c>
      <c r="I580" s="224">
        <v>12817.951499999999</v>
      </c>
      <c r="J580" s="224">
        <v>12817.951499999999</v>
      </c>
      <c r="K580" s="222" t="s">
        <v>1898</v>
      </c>
      <c r="L580" s="222">
        <v>1</v>
      </c>
      <c r="M580" s="222" t="s">
        <v>1899</v>
      </c>
      <c r="N580" s="222">
        <v>1</v>
      </c>
      <c r="O580" s="222">
        <v>0</v>
      </c>
      <c r="P580" s="225">
        <v>504.12220000000002</v>
      </c>
      <c r="Q580" s="224">
        <v>0</v>
      </c>
      <c r="R580" s="222">
        <v>14.05</v>
      </c>
      <c r="S580" s="226" t="str">
        <f>IFERROR(_xlfn.XLOOKUP(R580,'1_Presupuesto'!$E:$E,'1_Presupuesto'!$D:$D),"")</f>
        <v>-</v>
      </c>
    </row>
    <row r="581" spans="1:19" ht="15" customHeight="1" x14ac:dyDescent="0.35">
      <c r="A581" s="222" t="s">
        <v>1900</v>
      </c>
      <c r="B581" s="222" t="s">
        <v>639</v>
      </c>
      <c r="C581" s="222" t="s">
        <v>640</v>
      </c>
      <c r="D581" s="222" t="s">
        <v>1379</v>
      </c>
      <c r="E581" s="222" t="s">
        <v>1380</v>
      </c>
      <c r="F581" s="222" t="s">
        <v>643</v>
      </c>
      <c r="G581" s="223">
        <v>1</v>
      </c>
      <c r="H581" s="222">
        <v>0</v>
      </c>
      <c r="I581" s="224">
        <v>10160.5713</v>
      </c>
      <c r="J581" s="224">
        <v>10160.5713</v>
      </c>
      <c r="K581" s="222" t="s">
        <v>1901</v>
      </c>
      <c r="L581" s="222">
        <v>1</v>
      </c>
      <c r="M581" s="222" t="s">
        <v>1902</v>
      </c>
      <c r="N581" s="222">
        <v>1</v>
      </c>
      <c r="O581" s="222">
        <v>0</v>
      </c>
      <c r="P581" s="225">
        <v>555.99</v>
      </c>
      <c r="Q581" s="224">
        <v>0</v>
      </c>
      <c r="R581" s="222">
        <v>14.06</v>
      </c>
      <c r="S581" s="226" t="str">
        <f>IFERROR(_xlfn.XLOOKUP(R581,'1_Presupuesto'!$E:$E,'1_Presupuesto'!$D:$D),"")</f>
        <v>-</v>
      </c>
    </row>
    <row r="582" spans="1:19" ht="15" customHeight="1" x14ac:dyDescent="0.35">
      <c r="A582" s="222" t="s">
        <v>1903</v>
      </c>
      <c r="B582" s="222" t="s">
        <v>654</v>
      </c>
      <c r="C582" s="222" t="s">
        <v>640</v>
      </c>
      <c r="D582" s="222" t="s">
        <v>1904</v>
      </c>
      <c r="E582" s="222" t="s">
        <v>721</v>
      </c>
      <c r="F582" s="222"/>
      <c r="G582" s="223">
        <v>2.3305800000000001E-3</v>
      </c>
      <c r="H582" s="222">
        <v>0</v>
      </c>
      <c r="I582" s="224">
        <v>150000</v>
      </c>
      <c r="J582" s="224">
        <v>349.58699999999999</v>
      </c>
      <c r="K582" s="222" t="s">
        <v>1905</v>
      </c>
      <c r="L582" s="222">
        <v>1</v>
      </c>
      <c r="M582" s="222" t="s">
        <v>1906</v>
      </c>
      <c r="N582" s="222">
        <v>1</v>
      </c>
      <c r="O582" s="222">
        <v>0</v>
      </c>
      <c r="P582" s="225">
        <v>429.07780000000002</v>
      </c>
      <c r="Q582" s="224">
        <v>0</v>
      </c>
      <c r="R582" s="222">
        <v>14.07</v>
      </c>
      <c r="S582" s="226" t="str">
        <f>IFERROR(_xlfn.XLOOKUP(R582,'1_Presupuesto'!$E:$E,'1_Presupuesto'!$D:$D),"")</f>
        <v>Albañilería MO</v>
      </c>
    </row>
    <row r="583" spans="1:19" ht="15" customHeight="1" x14ac:dyDescent="0.35">
      <c r="A583" s="222" t="s">
        <v>1903</v>
      </c>
      <c r="B583" s="222" t="s">
        <v>654</v>
      </c>
      <c r="C583" s="222" t="s">
        <v>719</v>
      </c>
      <c r="D583" s="222" t="s">
        <v>1904</v>
      </c>
      <c r="E583" s="222" t="s">
        <v>721</v>
      </c>
      <c r="F583" s="222"/>
      <c r="G583" s="223">
        <v>2.3305800000000001E-3</v>
      </c>
      <c r="H583" s="222">
        <v>0</v>
      </c>
      <c r="I583" s="224">
        <v>150000</v>
      </c>
      <c r="J583" s="224">
        <v>349.58699999999999</v>
      </c>
      <c r="K583" s="222" t="s">
        <v>1905</v>
      </c>
      <c r="L583" s="222">
        <v>2</v>
      </c>
      <c r="M583" s="222" t="s">
        <v>1907</v>
      </c>
      <c r="N583" s="222">
        <v>1</v>
      </c>
      <c r="O583" s="222">
        <v>0</v>
      </c>
      <c r="P583" s="225">
        <v>429.07780000000002</v>
      </c>
      <c r="Q583" s="224">
        <v>0</v>
      </c>
      <c r="R583" s="222">
        <v>14.07</v>
      </c>
      <c r="S583" s="226" t="str">
        <f>IFERROR(_xlfn.XLOOKUP(R583,'1_Presupuesto'!$E:$E,'1_Presupuesto'!$D:$D),"")</f>
        <v>Albañilería MO</v>
      </c>
    </row>
    <row r="584" spans="1:19" ht="15" customHeight="1" x14ac:dyDescent="0.35">
      <c r="A584" s="222" t="s">
        <v>1903</v>
      </c>
      <c r="B584" s="222" t="s">
        <v>639</v>
      </c>
      <c r="C584" s="222" t="s">
        <v>646</v>
      </c>
      <c r="D584" s="222" t="s">
        <v>723</v>
      </c>
      <c r="E584" s="222" t="s">
        <v>724</v>
      </c>
      <c r="F584" s="222" t="s">
        <v>643</v>
      </c>
      <c r="G584" s="223">
        <v>2.3305800000000002E-2</v>
      </c>
      <c r="H584" s="222">
        <v>0</v>
      </c>
      <c r="I584" s="224">
        <v>75113.05</v>
      </c>
      <c r="J584" s="224">
        <v>1750.5697206899999</v>
      </c>
      <c r="K584" s="222" t="s">
        <v>1908</v>
      </c>
      <c r="L584" s="222">
        <v>1</v>
      </c>
      <c r="M584" s="222" t="s">
        <v>1909</v>
      </c>
      <c r="N584" s="222">
        <v>1</v>
      </c>
      <c r="O584" s="222">
        <v>2.3305800000000002E-2</v>
      </c>
      <c r="P584" s="225">
        <v>429.07780000000002</v>
      </c>
      <c r="Q584" s="224">
        <v>10.00000139</v>
      </c>
      <c r="R584" s="222">
        <v>14.07</v>
      </c>
      <c r="S584" s="226" t="str">
        <f>IFERROR(_xlfn.XLOOKUP(R584,'1_Presupuesto'!$E:$E,'1_Presupuesto'!$D:$D),"")</f>
        <v>Albañilería MO</v>
      </c>
    </row>
    <row r="585" spans="1:19" ht="15" customHeight="1" x14ac:dyDescent="0.35">
      <c r="A585" s="222" t="s">
        <v>1903</v>
      </c>
      <c r="B585" s="222" t="s">
        <v>639</v>
      </c>
      <c r="C585" s="222" t="s">
        <v>646</v>
      </c>
      <c r="D585" s="222" t="s">
        <v>647</v>
      </c>
      <c r="E585" s="222" t="s">
        <v>648</v>
      </c>
      <c r="F585" s="222" t="s">
        <v>643</v>
      </c>
      <c r="G585" s="223">
        <v>2.3305800000000002E-2</v>
      </c>
      <c r="H585" s="222">
        <v>0</v>
      </c>
      <c r="I585" s="224">
        <v>49934.239999999998</v>
      </c>
      <c r="J585" s="224">
        <v>1163.757410592</v>
      </c>
      <c r="K585" s="222" t="s">
        <v>1908</v>
      </c>
      <c r="L585" s="222">
        <v>2</v>
      </c>
      <c r="M585" s="222" t="s">
        <v>1910</v>
      </c>
      <c r="N585" s="222">
        <v>1</v>
      </c>
      <c r="O585" s="222">
        <v>2.3305800000000002E-2</v>
      </c>
      <c r="P585" s="225">
        <v>429.07780000000002</v>
      </c>
      <c r="Q585" s="224">
        <v>10.00000139</v>
      </c>
      <c r="R585" s="222">
        <v>14.07</v>
      </c>
      <c r="S585" s="226" t="str">
        <f>IFERROR(_xlfn.XLOOKUP(R585,'1_Presupuesto'!$E:$E,'1_Presupuesto'!$D:$D),"")</f>
        <v>Albañilería MO</v>
      </c>
    </row>
    <row r="586" spans="1:19" ht="15" customHeight="1" x14ac:dyDescent="0.35">
      <c r="A586" s="222" t="s">
        <v>1903</v>
      </c>
      <c r="B586" s="222" t="s">
        <v>13</v>
      </c>
      <c r="C586" s="222"/>
      <c r="D586" s="222" t="s">
        <v>1911</v>
      </c>
      <c r="E586" s="222" t="s">
        <v>1912</v>
      </c>
      <c r="F586" s="222"/>
      <c r="G586" s="223">
        <v>1</v>
      </c>
      <c r="H586" s="222">
        <v>0</v>
      </c>
      <c r="I586" s="224">
        <v>54.202500000000001</v>
      </c>
      <c r="J586" s="224">
        <v>54.202500000000001</v>
      </c>
      <c r="K586" s="222" t="s">
        <v>1913</v>
      </c>
      <c r="L586" s="222">
        <v>1</v>
      </c>
      <c r="M586" s="222" t="s">
        <v>1914</v>
      </c>
      <c r="N586" s="222">
        <v>1</v>
      </c>
      <c r="O586" s="222">
        <v>0</v>
      </c>
      <c r="P586" s="225">
        <v>429.07780000000002</v>
      </c>
      <c r="Q586" s="224">
        <v>0</v>
      </c>
      <c r="R586" s="222">
        <v>14.07</v>
      </c>
      <c r="S586" s="226" t="str">
        <f>IFERROR(_xlfn.XLOOKUP(R586,'1_Presupuesto'!$E:$E,'1_Presupuesto'!$D:$D),"")</f>
        <v>Albañilería MO</v>
      </c>
    </row>
    <row r="587" spans="1:19" ht="15" customHeight="1" x14ac:dyDescent="0.35">
      <c r="A587" s="222" t="s">
        <v>1915</v>
      </c>
      <c r="B587" s="222" t="s">
        <v>654</v>
      </c>
      <c r="C587" s="222" t="s">
        <v>719</v>
      </c>
      <c r="D587" s="222" t="s">
        <v>1051</v>
      </c>
      <c r="E587" s="222" t="s">
        <v>1052</v>
      </c>
      <c r="F587" s="222"/>
      <c r="G587" s="223">
        <v>3.5999999999999997E-2</v>
      </c>
      <c r="H587" s="222">
        <v>0.1</v>
      </c>
      <c r="I587" s="224">
        <v>31265.15</v>
      </c>
      <c r="J587" s="224">
        <v>1238.0999400000001</v>
      </c>
      <c r="K587" s="222" t="s">
        <v>1916</v>
      </c>
      <c r="L587" s="222">
        <v>1</v>
      </c>
      <c r="M587" s="222" t="s">
        <v>1917</v>
      </c>
      <c r="N587" s="222">
        <v>1</v>
      </c>
      <c r="O587" s="222">
        <v>0</v>
      </c>
      <c r="P587" s="225">
        <v>47</v>
      </c>
      <c r="Q587" s="224">
        <v>0</v>
      </c>
      <c r="R587" s="222">
        <v>17.010000000000002</v>
      </c>
      <c r="S587" s="226" t="str">
        <f>IFERROR(_xlfn.XLOOKUP(R587,'1_Presupuesto'!$E:$E,'1_Presupuesto'!$D:$D),"")</f>
        <v>Albañilería MO</v>
      </c>
    </row>
    <row r="588" spans="1:19" ht="15" customHeight="1" x14ac:dyDescent="0.35">
      <c r="A588" s="222" t="s">
        <v>1915</v>
      </c>
      <c r="B588" s="222" t="s">
        <v>654</v>
      </c>
      <c r="C588" s="222" t="s">
        <v>719</v>
      </c>
      <c r="D588" s="222" t="s">
        <v>1057</v>
      </c>
      <c r="E588" s="222" t="s">
        <v>1058</v>
      </c>
      <c r="F588" s="222"/>
      <c r="G588" s="223">
        <v>0.32400000000000001</v>
      </c>
      <c r="H588" s="222">
        <v>0.1</v>
      </c>
      <c r="I588" s="224">
        <v>7233.47</v>
      </c>
      <c r="J588" s="224">
        <v>2578.0087079999998</v>
      </c>
      <c r="K588" s="222" t="s">
        <v>1916</v>
      </c>
      <c r="L588" s="222">
        <v>2</v>
      </c>
      <c r="M588" s="222" t="s">
        <v>1918</v>
      </c>
      <c r="N588" s="222">
        <v>1</v>
      </c>
      <c r="O588" s="222">
        <v>0</v>
      </c>
      <c r="P588" s="225">
        <v>47</v>
      </c>
      <c r="Q588" s="224">
        <v>0</v>
      </c>
      <c r="R588" s="222">
        <v>17.010000000000002</v>
      </c>
      <c r="S588" s="226" t="str">
        <f>IFERROR(_xlfn.XLOOKUP(R588,'1_Presupuesto'!$E:$E,'1_Presupuesto'!$D:$D),"")</f>
        <v>Albañilería MO</v>
      </c>
    </row>
    <row r="589" spans="1:19" ht="15" customHeight="1" x14ac:dyDescent="0.35">
      <c r="A589" s="222" t="s">
        <v>1915</v>
      </c>
      <c r="B589" s="222" t="s">
        <v>639</v>
      </c>
      <c r="C589" s="222" t="s">
        <v>646</v>
      </c>
      <c r="D589" s="222" t="s">
        <v>647</v>
      </c>
      <c r="E589" s="222" t="s">
        <v>648</v>
      </c>
      <c r="F589" s="222" t="s">
        <v>643</v>
      </c>
      <c r="G589" s="223">
        <v>0.375</v>
      </c>
      <c r="H589" s="222">
        <v>0</v>
      </c>
      <c r="I589" s="224">
        <v>49934.239999999998</v>
      </c>
      <c r="J589" s="224">
        <v>18725.34</v>
      </c>
      <c r="K589" s="222" t="s">
        <v>1919</v>
      </c>
      <c r="L589" s="222">
        <v>1</v>
      </c>
      <c r="M589" s="222" t="s">
        <v>1920</v>
      </c>
      <c r="N589" s="222">
        <v>1</v>
      </c>
      <c r="O589" s="222">
        <v>0.375</v>
      </c>
      <c r="P589" s="225">
        <v>47</v>
      </c>
      <c r="Q589" s="224">
        <v>17.625</v>
      </c>
      <c r="R589" s="222">
        <v>17.010000000000002</v>
      </c>
      <c r="S589" s="226" t="str">
        <f>IFERROR(_xlfn.XLOOKUP(R589,'1_Presupuesto'!$E:$E,'1_Presupuesto'!$D:$D),"")</f>
        <v>Albañilería MO</v>
      </c>
    </row>
    <row r="590" spans="1:19" ht="15" customHeight="1" x14ac:dyDescent="0.35">
      <c r="A590" s="222" t="s">
        <v>1915</v>
      </c>
      <c r="B590" s="222" t="s">
        <v>639</v>
      </c>
      <c r="C590" s="222" t="s">
        <v>646</v>
      </c>
      <c r="D590" s="222" t="s">
        <v>723</v>
      </c>
      <c r="E590" s="222" t="s">
        <v>724</v>
      </c>
      <c r="F590" s="222" t="s">
        <v>643</v>
      </c>
      <c r="G590" s="223">
        <v>0.375</v>
      </c>
      <c r="H590" s="222">
        <v>0</v>
      </c>
      <c r="I590" s="224">
        <v>75113.05</v>
      </c>
      <c r="J590" s="224">
        <v>28167.393749999999</v>
      </c>
      <c r="K590" s="222" t="s">
        <v>1919</v>
      </c>
      <c r="L590" s="222">
        <v>2</v>
      </c>
      <c r="M590" s="222" t="s">
        <v>1921</v>
      </c>
      <c r="N590" s="222">
        <v>1</v>
      </c>
      <c r="O590" s="222">
        <v>0.375</v>
      </c>
      <c r="P590" s="225">
        <v>47</v>
      </c>
      <c r="Q590" s="224">
        <v>17.625</v>
      </c>
      <c r="R590" s="222">
        <v>17.010000000000002</v>
      </c>
      <c r="S590" s="226" t="str">
        <f>IFERROR(_xlfn.XLOOKUP(R590,'1_Presupuesto'!$E:$E,'1_Presupuesto'!$D:$D),"")</f>
        <v>Albañilería MO</v>
      </c>
    </row>
    <row r="591" spans="1:19" ht="15" customHeight="1" x14ac:dyDescent="0.35">
      <c r="A591" s="222" t="s">
        <v>1915</v>
      </c>
      <c r="B591" s="222" t="s">
        <v>13</v>
      </c>
      <c r="C591" s="222"/>
      <c r="D591" s="222" t="s">
        <v>1063</v>
      </c>
      <c r="E591" s="222" t="s">
        <v>1064</v>
      </c>
      <c r="F591" s="222"/>
      <c r="G591" s="223">
        <v>0.125</v>
      </c>
      <c r="H591" s="222">
        <v>0</v>
      </c>
      <c r="I591" s="224">
        <v>2227.2298000000001</v>
      </c>
      <c r="J591" s="224">
        <v>278.40372500000001</v>
      </c>
      <c r="K591" s="222" t="s">
        <v>1922</v>
      </c>
      <c r="L591" s="222">
        <v>1</v>
      </c>
      <c r="M591" s="222" t="s">
        <v>1923</v>
      </c>
      <c r="N591" s="222">
        <v>1</v>
      </c>
      <c r="O591" s="222">
        <v>0</v>
      </c>
      <c r="P591" s="225">
        <v>47</v>
      </c>
      <c r="Q591" s="224">
        <v>0</v>
      </c>
      <c r="R591" s="222">
        <v>17.010000000000002</v>
      </c>
      <c r="S591" s="226" t="str">
        <f>IFERROR(_xlfn.XLOOKUP(R591,'1_Presupuesto'!$E:$E,'1_Presupuesto'!$D:$D),"")</f>
        <v>Albañilería MO</v>
      </c>
    </row>
    <row r="592" spans="1:19" ht="15" customHeight="1" x14ac:dyDescent="0.35">
      <c r="A592" s="222" t="s">
        <v>1915</v>
      </c>
      <c r="B592" s="222" t="s">
        <v>13</v>
      </c>
      <c r="C592" s="222"/>
      <c r="D592" s="222" t="s">
        <v>1070</v>
      </c>
      <c r="E592" s="222" t="s">
        <v>1071</v>
      </c>
      <c r="F592" s="222"/>
      <c r="G592" s="223">
        <v>0.125</v>
      </c>
      <c r="H592" s="222">
        <v>0</v>
      </c>
      <c r="I592" s="224">
        <v>932.18029999999999</v>
      </c>
      <c r="J592" s="224">
        <v>116.5225375</v>
      </c>
      <c r="K592" s="222" t="s">
        <v>1922</v>
      </c>
      <c r="L592" s="222">
        <v>2</v>
      </c>
      <c r="M592" s="222" t="s">
        <v>1924</v>
      </c>
      <c r="N592" s="222">
        <v>1</v>
      </c>
      <c r="O592" s="222">
        <v>0</v>
      </c>
      <c r="P592" s="225">
        <v>47</v>
      </c>
      <c r="Q592" s="224">
        <v>0</v>
      </c>
      <c r="R592" s="222">
        <v>17.010000000000002</v>
      </c>
      <c r="S592" s="226" t="str">
        <f>IFERROR(_xlfn.XLOOKUP(R592,'1_Presupuesto'!$E:$E,'1_Presupuesto'!$D:$D),"")</f>
        <v>Albañilería MO</v>
      </c>
    </row>
    <row r="593" spans="1:19" ht="15" customHeight="1" x14ac:dyDescent="0.35">
      <c r="A593" s="222" t="s">
        <v>1925</v>
      </c>
      <c r="B593" s="222" t="s">
        <v>654</v>
      </c>
      <c r="C593" s="222" t="s">
        <v>719</v>
      </c>
      <c r="D593" s="222" t="s">
        <v>1051</v>
      </c>
      <c r="E593" s="222" t="s">
        <v>1052</v>
      </c>
      <c r="F593" s="222"/>
      <c r="G593" s="223">
        <v>3.5999999999999997E-2</v>
      </c>
      <c r="H593" s="222">
        <v>0.1</v>
      </c>
      <c r="I593" s="224">
        <v>31265.15</v>
      </c>
      <c r="J593" s="224">
        <v>1238.0999400000001</v>
      </c>
      <c r="K593" s="222" t="s">
        <v>1926</v>
      </c>
      <c r="L593" s="222">
        <v>1</v>
      </c>
      <c r="M593" s="222" t="s">
        <v>1927</v>
      </c>
      <c r="N593" s="222">
        <v>1</v>
      </c>
      <c r="O593" s="222">
        <v>0</v>
      </c>
      <c r="P593" s="225">
        <v>23</v>
      </c>
      <c r="Q593" s="224">
        <v>0</v>
      </c>
      <c r="R593" s="222">
        <v>17.02</v>
      </c>
      <c r="S593" s="226" t="str">
        <f>IFERROR(_xlfn.XLOOKUP(R593,'1_Presupuesto'!$E:$E,'1_Presupuesto'!$D:$D),"")</f>
        <v>Albañilería MO</v>
      </c>
    </row>
    <row r="594" spans="1:19" ht="15" customHeight="1" x14ac:dyDescent="0.35">
      <c r="A594" s="222" t="s">
        <v>1925</v>
      </c>
      <c r="B594" s="222" t="s">
        <v>654</v>
      </c>
      <c r="C594" s="222" t="s">
        <v>719</v>
      </c>
      <c r="D594" s="222" t="s">
        <v>1057</v>
      </c>
      <c r="E594" s="222" t="s">
        <v>1058</v>
      </c>
      <c r="F594" s="222"/>
      <c r="G594" s="223">
        <v>0.32400000000000001</v>
      </c>
      <c r="H594" s="222">
        <v>0.1</v>
      </c>
      <c r="I594" s="224">
        <v>7233.47</v>
      </c>
      <c r="J594" s="224">
        <v>2578.0087079999998</v>
      </c>
      <c r="K594" s="222" t="s">
        <v>1926</v>
      </c>
      <c r="L594" s="222">
        <v>2</v>
      </c>
      <c r="M594" s="222" t="s">
        <v>1928</v>
      </c>
      <c r="N594" s="222">
        <v>1</v>
      </c>
      <c r="O594" s="222">
        <v>0</v>
      </c>
      <c r="P594" s="225">
        <v>23</v>
      </c>
      <c r="Q594" s="224">
        <v>0</v>
      </c>
      <c r="R594" s="222">
        <v>17.02</v>
      </c>
      <c r="S594" s="226" t="str">
        <f>IFERROR(_xlfn.XLOOKUP(R594,'1_Presupuesto'!$E:$E,'1_Presupuesto'!$D:$D),"")</f>
        <v>Albañilería MO</v>
      </c>
    </row>
    <row r="595" spans="1:19" ht="15" customHeight="1" x14ac:dyDescent="0.35">
      <c r="A595" s="222" t="s">
        <v>1925</v>
      </c>
      <c r="B595" s="222" t="s">
        <v>639</v>
      </c>
      <c r="C595" s="222" t="s">
        <v>646</v>
      </c>
      <c r="D595" s="222" t="s">
        <v>647</v>
      </c>
      <c r="E595" s="222" t="s">
        <v>648</v>
      </c>
      <c r="F595" s="222" t="s">
        <v>643</v>
      </c>
      <c r="G595" s="223">
        <v>0.375</v>
      </c>
      <c r="H595" s="222">
        <v>0</v>
      </c>
      <c r="I595" s="224">
        <v>49934.239999999998</v>
      </c>
      <c r="J595" s="224">
        <v>18725.34</v>
      </c>
      <c r="K595" s="222" t="s">
        <v>1929</v>
      </c>
      <c r="L595" s="222">
        <v>1</v>
      </c>
      <c r="M595" s="222" t="s">
        <v>1930</v>
      </c>
      <c r="N595" s="222">
        <v>1</v>
      </c>
      <c r="O595" s="222">
        <v>0.375</v>
      </c>
      <c r="P595" s="225">
        <v>23</v>
      </c>
      <c r="Q595" s="224">
        <v>8.625</v>
      </c>
      <c r="R595" s="222">
        <v>17.02</v>
      </c>
      <c r="S595" s="226" t="str">
        <f>IFERROR(_xlfn.XLOOKUP(R595,'1_Presupuesto'!$E:$E,'1_Presupuesto'!$D:$D),"")</f>
        <v>Albañilería MO</v>
      </c>
    </row>
    <row r="596" spans="1:19" ht="15" customHeight="1" x14ac:dyDescent="0.35">
      <c r="A596" s="222" t="s">
        <v>1925</v>
      </c>
      <c r="B596" s="222" t="s">
        <v>639</v>
      </c>
      <c r="C596" s="222" t="s">
        <v>646</v>
      </c>
      <c r="D596" s="222" t="s">
        <v>723</v>
      </c>
      <c r="E596" s="222" t="s">
        <v>724</v>
      </c>
      <c r="F596" s="222" t="s">
        <v>643</v>
      </c>
      <c r="G596" s="223">
        <v>0.375</v>
      </c>
      <c r="H596" s="222">
        <v>0</v>
      </c>
      <c r="I596" s="224">
        <v>75113.05</v>
      </c>
      <c r="J596" s="224">
        <v>28167.393749999999</v>
      </c>
      <c r="K596" s="222" t="s">
        <v>1929</v>
      </c>
      <c r="L596" s="222">
        <v>2</v>
      </c>
      <c r="M596" s="222" t="s">
        <v>1931</v>
      </c>
      <c r="N596" s="222">
        <v>1</v>
      </c>
      <c r="O596" s="222">
        <v>0.375</v>
      </c>
      <c r="P596" s="225">
        <v>23</v>
      </c>
      <c r="Q596" s="224">
        <v>8.625</v>
      </c>
      <c r="R596" s="222">
        <v>17.02</v>
      </c>
      <c r="S596" s="226" t="str">
        <f>IFERROR(_xlfn.XLOOKUP(R596,'1_Presupuesto'!$E:$E,'1_Presupuesto'!$D:$D),"")</f>
        <v>Albañilería MO</v>
      </c>
    </row>
    <row r="597" spans="1:19" ht="15" customHeight="1" x14ac:dyDescent="0.35">
      <c r="A597" s="222" t="s">
        <v>1925</v>
      </c>
      <c r="B597" s="222" t="s">
        <v>13</v>
      </c>
      <c r="C597" s="222"/>
      <c r="D597" s="222" t="s">
        <v>1063</v>
      </c>
      <c r="E597" s="222" t="s">
        <v>1064</v>
      </c>
      <c r="F597" s="222"/>
      <c r="G597" s="223">
        <v>0.125</v>
      </c>
      <c r="H597" s="222">
        <v>0</v>
      </c>
      <c r="I597" s="224">
        <v>2227.2298000000001</v>
      </c>
      <c r="J597" s="224">
        <v>278.40372500000001</v>
      </c>
      <c r="K597" s="222" t="s">
        <v>1932</v>
      </c>
      <c r="L597" s="222">
        <v>1</v>
      </c>
      <c r="M597" s="222" t="s">
        <v>1933</v>
      </c>
      <c r="N597" s="222">
        <v>1</v>
      </c>
      <c r="O597" s="222">
        <v>0</v>
      </c>
      <c r="P597" s="225">
        <v>23</v>
      </c>
      <c r="Q597" s="224">
        <v>0</v>
      </c>
      <c r="R597" s="222">
        <v>17.02</v>
      </c>
      <c r="S597" s="226" t="str">
        <f>IFERROR(_xlfn.XLOOKUP(R597,'1_Presupuesto'!$E:$E,'1_Presupuesto'!$D:$D),"")</f>
        <v>Albañilería MO</v>
      </c>
    </row>
    <row r="598" spans="1:19" ht="15" customHeight="1" x14ac:dyDescent="0.35">
      <c r="A598" s="222" t="s">
        <v>1925</v>
      </c>
      <c r="B598" s="222" t="s">
        <v>13</v>
      </c>
      <c r="C598" s="222"/>
      <c r="D598" s="222" t="s">
        <v>1070</v>
      </c>
      <c r="E598" s="222" t="s">
        <v>1071</v>
      </c>
      <c r="F598" s="222"/>
      <c r="G598" s="223">
        <v>0.125</v>
      </c>
      <c r="H598" s="222">
        <v>0</v>
      </c>
      <c r="I598" s="224">
        <v>932.18029999999999</v>
      </c>
      <c r="J598" s="224">
        <v>116.5225375</v>
      </c>
      <c r="K598" s="222" t="s">
        <v>1932</v>
      </c>
      <c r="L598" s="222">
        <v>2</v>
      </c>
      <c r="M598" s="222" t="s">
        <v>1934</v>
      </c>
      <c r="N598" s="222">
        <v>1</v>
      </c>
      <c r="O598" s="222">
        <v>0</v>
      </c>
      <c r="P598" s="225">
        <v>23</v>
      </c>
      <c r="Q598" s="224">
        <v>0</v>
      </c>
      <c r="R598" s="222">
        <v>17.02</v>
      </c>
      <c r="S598" s="226" t="str">
        <f>IFERROR(_xlfn.XLOOKUP(R598,'1_Presupuesto'!$E:$E,'1_Presupuesto'!$D:$D),"")</f>
        <v>Albañilería MO</v>
      </c>
    </row>
    <row r="599" spans="1:19" ht="15" customHeight="1" x14ac:dyDescent="0.35">
      <c r="A599" s="222" t="s">
        <v>1935</v>
      </c>
      <c r="B599" s="222" t="s">
        <v>654</v>
      </c>
      <c r="C599" s="222" t="s">
        <v>719</v>
      </c>
      <c r="D599" s="222" t="s">
        <v>1051</v>
      </c>
      <c r="E599" s="222" t="s">
        <v>1052</v>
      </c>
      <c r="F599" s="222"/>
      <c r="G599" s="223">
        <v>1.38E-2</v>
      </c>
      <c r="H599" s="222">
        <v>0.05</v>
      </c>
      <c r="I599" s="224">
        <v>31265.15</v>
      </c>
      <c r="J599" s="224">
        <v>453.03202349999998</v>
      </c>
      <c r="K599" s="222" t="s">
        <v>1936</v>
      </c>
      <c r="L599" s="222">
        <v>1</v>
      </c>
      <c r="M599" s="222" t="s">
        <v>1937</v>
      </c>
      <c r="N599" s="222">
        <v>1</v>
      </c>
      <c r="O599" s="222">
        <v>0</v>
      </c>
      <c r="P599" s="225">
        <v>51</v>
      </c>
      <c r="Q599" s="224">
        <v>0</v>
      </c>
      <c r="R599" s="222">
        <v>17.03</v>
      </c>
      <c r="S599" s="226" t="str">
        <f>IFERROR(_xlfn.XLOOKUP(R599,'1_Presupuesto'!$E:$E,'1_Presupuesto'!$D:$D),"")</f>
        <v>Albañilería MO</v>
      </c>
    </row>
    <row r="600" spans="1:19" ht="15" customHeight="1" x14ac:dyDescent="0.35">
      <c r="A600" s="222" t="s">
        <v>1935</v>
      </c>
      <c r="B600" s="222" t="s">
        <v>654</v>
      </c>
      <c r="C600" s="222" t="s">
        <v>719</v>
      </c>
      <c r="D600" s="222" t="s">
        <v>1057</v>
      </c>
      <c r="E600" s="222" t="s">
        <v>1058</v>
      </c>
      <c r="F600" s="222"/>
      <c r="G600" s="223">
        <v>0.1242</v>
      </c>
      <c r="H600" s="222">
        <v>0.05</v>
      </c>
      <c r="I600" s="224">
        <v>7233.47</v>
      </c>
      <c r="J600" s="224">
        <v>943.31682270000022</v>
      </c>
      <c r="K600" s="222" t="s">
        <v>1936</v>
      </c>
      <c r="L600" s="222">
        <v>2</v>
      </c>
      <c r="M600" s="222" t="s">
        <v>1938</v>
      </c>
      <c r="N600" s="222">
        <v>1</v>
      </c>
      <c r="O600" s="222">
        <v>0</v>
      </c>
      <c r="P600" s="225">
        <v>51</v>
      </c>
      <c r="Q600" s="224">
        <v>0</v>
      </c>
      <c r="R600" s="222">
        <v>17.03</v>
      </c>
      <c r="S600" s="226" t="str">
        <f>IFERROR(_xlfn.XLOOKUP(R600,'1_Presupuesto'!$E:$E,'1_Presupuesto'!$D:$D),"")</f>
        <v>Albañilería MO</v>
      </c>
    </row>
    <row r="601" spans="1:19" ht="15" customHeight="1" x14ac:dyDescent="0.35">
      <c r="A601" s="222" t="s">
        <v>1935</v>
      </c>
      <c r="B601" s="222" t="s">
        <v>639</v>
      </c>
      <c r="C601" s="222" t="s">
        <v>646</v>
      </c>
      <c r="D601" s="222" t="s">
        <v>647</v>
      </c>
      <c r="E601" s="222" t="s">
        <v>648</v>
      </c>
      <c r="F601" s="222" t="s">
        <v>643</v>
      </c>
      <c r="G601" s="223">
        <v>0.25</v>
      </c>
      <c r="H601" s="222">
        <v>0</v>
      </c>
      <c r="I601" s="224">
        <v>49934.239999999998</v>
      </c>
      <c r="J601" s="224">
        <v>12483.56</v>
      </c>
      <c r="K601" s="222" t="s">
        <v>1939</v>
      </c>
      <c r="L601" s="222">
        <v>1</v>
      </c>
      <c r="M601" s="222" t="s">
        <v>1940</v>
      </c>
      <c r="N601" s="222">
        <v>1</v>
      </c>
      <c r="O601" s="222">
        <v>0.25</v>
      </c>
      <c r="P601" s="225">
        <v>51</v>
      </c>
      <c r="Q601" s="224">
        <v>12.75</v>
      </c>
      <c r="R601" s="222">
        <v>17.03</v>
      </c>
      <c r="S601" s="226" t="str">
        <f>IFERROR(_xlfn.XLOOKUP(R601,'1_Presupuesto'!$E:$E,'1_Presupuesto'!$D:$D),"")</f>
        <v>Albañilería MO</v>
      </c>
    </row>
    <row r="602" spans="1:19" ht="15" customHeight="1" x14ac:dyDescent="0.35">
      <c r="A602" s="222" t="s">
        <v>1935</v>
      </c>
      <c r="B602" s="222" t="s">
        <v>639</v>
      </c>
      <c r="C602" s="222" t="s">
        <v>646</v>
      </c>
      <c r="D602" s="222" t="s">
        <v>723</v>
      </c>
      <c r="E602" s="222" t="s">
        <v>724</v>
      </c>
      <c r="F602" s="222" t="s">
        <v>643</v>
      </c>
      <c r="G602" s="223">
        <v>0.25</v>
      </c>
      <c r="H602" s="222">
        <v>0</v>
      </c>
      <c r="I602" s="224">
        <v>75113.05</v>
      </c>
      <c r="J602" s="224">
        <v>18778.262500000001</v>
      </c>
      <c r="K602" s="222" t="s">
        <v>1939</v>
      </c>
      <c r="L602" s="222">
        <v>2</v>
      </c>
      <c r="M602" s="222" t="s">
        <v>1941</v>
      </c>
      <c r="N602" s="222">
        <v>1</v>
      </c>
      <c r="O602" s="222">
        <v>0.25</v>
      </c>
      <c r="P602" s="225">
        <v>51</v>
      </c>
      <c r="Q602" s="224">
        <v>12.75</v>
      </c>
      <c r="R602" s="222">
        <v>17.03</v>
      </c>
      <c r="S602" s="226" t="str">
        <f>IFERROR(_xlfn.XLOOKUP(R602,'1_Presupuesto'!$E:$E,'1_Presupuesto'!$D:$D),"")</f>
        <v>Albañilería MO</v>
      </c>
    </row>
    <row r="603" spans="1:19" ht="15" customHeight="1" x14ac:dyDescent="0.35">
      <c r="A603" s="222" t="s">
        <v>1935</v>
      </c>
      <c r="B603" s="222" t="s">
        <v>13</v>
      </c>
      <c r="C603" s="222"/>
      <c r="D603" s="222" t="s">
        <v>1063</v>
      </c>
      <c r="E603" s="222" t="s">
        <v>1064</v>
      </c>
      <c r="F603" s="222"/>
      <c r="G603" s="223">
        <v>6.25E-2</v>
      </c>
      <c r="H603" s="222">
        <v>0</v>
      </c>
      <c r="I603" s="224">
        <v>2227.2298000000001</v>
      </c>
      <c r="J603" s="224">
        <v>139.2018625</v>
      </c>
      <c r="K603" s="222" t="s">
        <v>1942</v>
      </c>
      <c r="L603" s="222">
        <v>1</v>
      </c>
      <c r="M603" s="222" t="s">
        <v>1943</v>
      </c>
      <c r="N603" s="222">
        <v>1</v>
      </c>
      <c r="O603" s="222">
        <v>0</v>
      </c>
      <c r="P603" s="225">
        <v>51</v>
      </c>
      <c r="Q603" s="224">
        <v>0</v>
      </c>
      <c r="R603" s="222">
        <v>17.03</v>
      </c>
      <c r="S603" s="226" t="str">
        <f>IFERROR(_xlfn.XLOOKUP(R603,'1_Presupuesto'!$E:$E,'1_Presupuesto'!$D:$D),"")</f>
        <v>Albañilería MO</v>
      </c>
    </row>
    <row r="604" spans="1:19" ht="15" customHeight="1" x14ac:dyDescent="0.35">
      <c r="A604" s="222" t="s">
        <v>1935</v>
      </c>
      <c r="B604" s="222" t="s">
        <v>13</v>
      </c>
      <c r="C604" s="222"/>
      <c r="D604" s="222" t="s">
        <v>1070</v>
      </c>
      <c r="E604" s="222" t="s">
        <v>1071</v>
      </c>
      <c r="F604" s="222"/>
      <c r="G604" s="223">
        <v>6.25E-2</v>
      </c>
      <c r="H604" s="222">
        <v>0</v>
      </c>
      <c r="I604" s="224">
        <v>932.18029999999999</v>
      </c>
      <c r="J604" s="224">
        <v>58.261268749999999</v>
      </c>
      <c r="K604" s="222" t="s">
        <v>1942</v>
      </c>
      <c r="L604" s="222">
        <v>2</v>
      </c>
      <c r="M604" s="222" t="s">
        <v>1944</v>
      </c>
      <c r="N604" s="222">
        <v>1</v>
      </c>
      <c r="O604" s="222">
        <v>0</v>
      </c>
      <c r="P604" s="225">
        <v>51</v>
      </c>
      <c r="Q604" s="224">
        <v>0</v>
      </c>
      <c r="R604" s="222">
        <v>17.03</v>
      </c>
      <c r="S604" s="226" t="str">
        <f>IFERROR(_xlfn.XLOOKUP(R604,'1_Presupuesto'!$E:$E,'1_Presupuesto'!$D:$D),"")</f>
        <v>Albañilería MO</v>
      </c>
    </row>
    <row r="605" spans="1:19" ht="15" customHeight="1" x14ac:dyDescent="0.35">
      <c r="A605" s="222" t="s">
        <v>1945</v>
      </c>
      <c r="B605" s="222" t="s">
        <v>654</v>
      </c>
      <c r="C605" s="222" t="s">
        <v>719</v>
      </c>
      <c r="D605" s="222" t="s">
        <v>1051</v>
      </c>
      <c r="E605" s="222" t="s">
        <v>1052</v>
      </c>
      <c r="F605" s="222"/>
      <c r="G605" s="223">
        <v>3.5999999999999997E-2</v>
      </c>
      <c r="H605" s="222">
        <v>0.1</v>
      </c>
      <c r="I605" s="224">
        <v>31265.15</v>
      </c>
      <c r="J605" s="224">
        <v>1238.0999400000001</v>
      </c>
      <c r="K605" s="222" t="s">
        <v>1946</v>
      </c>
      <c r="L605" s="222">
        <v>1</v>
      </c>
      <c r="M605" s="222" t="s">
        <v>1947</v>
      </c>
      <c r="N605" s="222">
        <v>1</v>
      </c>
      <c r="O605" s="222">
        <v>0</v>
      </c>
      <c r="P605" s="225">
        <v>7</v>
      </c>
      <c r="Q605" s="224">
        <v>0</v>
      </c>
      <c r="R605" s="222">
        <v>17.04</v>
      </c>
      <c r="S605" s="226" t="str">
        <f>IFERROR(_xlfn.XLOOKUP(R605,'1_Presupuesto'!$E:$E,'1_Presupuesto'!$D:$D),"")</f>
        <v>Albañilería MO</v>
      </c>
    </row>
    <row r="606" spans="1:19" ht="15" customHeight="1" x14ac:dyDescent="0.35">
      <c r="A606" s="222" t="s">
        <v>1945</v>
      </c>
      <c r="B606" s="222" t="s">
        <v>654</v>
      </c>
      <c r="C606" s="222" t="s">
        <v>719</v>
      </c>
      <c r="D606" s="222" t="s">
        <v>1057</v>
      </c>
      <c r="E606" s="222" t="s">
        <v>1058</v>
      </c>
      <c r="F606" s="222"/>
      <c r="G606" s="223">
        <v>0.32400000000000001</v>
      </c>
      <c r="H606" s="222">
        <v>0.1</v>
      </c>
      <c r="I606" s="224">
        <v>7233.47</v>
      </c>
      <c r="J606" s="224">
        <v>2578.0087079999998</v>
      </c>
      <c r="K606" s="222" t="s">
        <v>1946</v>
      </c>
      <c r="L606" s="222">
        <v>2</v>
      </c>
      <c r="M606" s="222" t="s">
        <v>1948</v>
      </c>
      <c r="N606" s="222">
        <v>1</v>
      </c>
      <c r="O606" s="222">
        <v>0</v>
      </c>
      <c r="P606" s="225">
        <v>7</v>
      </c>
      <c r="Q606" s="224">
        <v>0</v>
      </c>
      <c r="R606" s="222">
        <v>17.04</v>
      </c>
      <c r="S606" s="226" t="str">
        <f>IFERROR(_xlfn.XLOOKUP(R606,'1_Presupuesto'!$E:$E,'1_Presupuesto'!$D:$D),"")</f>
        <v>Albañilería MO</v>
      </c>
    </row>
    <row r="607" spans="1:19" ht="15" customHeight="1" x14ac:dyDescent="0.35">
      <c r="A607" s="222" t="s">
        <v>1945</v>
      </c>
      <c r="B607" s="222" t="s">
        <v>639</v>
      </c>
      <c r="C607" s="222" t="s">
        <v>640</v>
      </c>
      <c r="D607" s="222" t="s">
        <v>1136</v>
      </c>
      <c r="E607" s="222" t="s">
        <v>1137</v>
      </c>
      <c r="F607" s="222" t="s">
        <v>643</v>
      </c>
      <c r="G607" s="223">
        <v>0.1875</v>
      </c>
      <c r="H607" s="222">
        <v>0</v>
      </c>
      <c r="I607" s="224">
        <v>49934.237200000003</v>
      </c>
      <c r="J607" s="224">
        <v>9362.6694750000006</v>
      </c>
      <c r="K607" s="222" t="s">
        <v>1949</v>
      </c>
      <c r="L607" s="222">
        <v>1</v>
      </c>
      <c r="M607" s="222" t="s">
        <v>1950</v>
      </c>
      <c r="N607" s="222">
        <v>1</v>
      </c>
      <c r="O607" s="222">
        <v>0</v>
      </c>
      <c r="P607" s="225">
        <v>7</v>
      </c>
      <c r="Q607" s="224">
        <v>0</v>
      </c>
      <c r="R607" s="222">
        <v>17.04</v>
      </c>
      <c r="S607" s="226" t="str">
        <f>IFERROR(_xlfn.XLOOKUP(R607,'1_Presupuesto'!$E:$E,'1_Presupuesto'!$D:$D),"")</f>
        <v>Albañilería MO</v>
      </c>
    </row>
    <row r="608" spans="1:19" ht="15" customHeight="1" x14ac:dyDescent="0.35">
      <c r="A608" s="222" t="s">
        <v>1945</v>
      </c>
      <c r="B608" s="222" t="s">
        <v>639</v>
      </c>
      <c r="C608" s="222" t="s">
        <v>640</v>
      </c>
      <c r="D608" s="222" t="s">
        <v>1132</v>
      </c>
      <c r="E608" s="222" t="s">
        <v>1133</v>
      </c>
      <c r="F608" s="222" t="s">
        <v>643</v>
      </c>
      <c r="G608" s="223">
        <v>0.1875</v>
      </c>
      <c r="H608" s="222">
        <v>0</v>
      </c>
      <c r="I608" s="224">
        <v>75113.048200000005</v>
      </c>
      <c r="J608" s="224">
        <v>14083.6965375</v>
      </c>
      <c r="K608" s="222" t="s">
        <v>1949</v>
      </c>
      <c r="L608" s="222">
        <v>2</v>
      </c>
      <c r="M608" s="222" t="s">
        <v>1951</v>
      </c>
      <c r="N608" s="222">
        <v>1</v>
      </c>
      <c r="O608" s="222">
        <v>0</v>
      </c>
      <c r="P608" s="225">
        <v>7</v>
      </c>
      <c r="Q608" s="224">
        <v>0</v>
      </c>
      <c r="R608" s="222">
        <v>17.04</v>
      </c>
      <c r="S608" s="226" t="str">
        <f>IFERROR(_xlfn.XLOOKUP(R608,'1_Presupuesto'!$E:$E,'1_Presupuesto'!$D:$D),"")</f>
        <v>Albañilería MO</v>
      </c>
    </row>
    <row r="609" spans="1:19" ht="15" customHeight="1" x14ac:dyDescent="0.35">
      <c r="A609" s="222" t="s">
        <v>1945</v>
      </c>
      <c r="B609" s="222" t="s">
        <v>639</v>
      </c>
      <c r="C609" s="222" t="s">
        <v>646</v>
      </c>
      <c r="D609" s="222" t="s">
        <v>647</v>
      </c>
      <c r="E609" s="222" t="s">
        <v>648</v>
      </c>
      <c r="F609" s="222" t="s">
        <v>643</v>
      </c>
      <c r="G609" s="223">
        <v>0.375</v>
      </c>
      <c r="H609" s="222">
        <v>0</v>
      </c>
      <c r="I609" s="224">
        <v>49934.239999999998</v>
      </c>
      <c r="J609" s="224">
        <v>18725.34</v>
      </c>
      <c r="K609" s="222" t="s">
        <v>1949</v>
      </c>
      <c r="L609" s="222">
        <v>3</v>
      </c>
      <c r="M609" s="222" t="s">
        <v>1952</v>
      </c>
      <c r="N609" s="222">
        <v>1</v>
      </c>
      <c r="O609" s="222">
        <v>0.375</v>
      </c>
      <c r="P609" s="225">
        <v>7</v>
      </c>
      <c r="Q609" s="224">
        <v>2.625</v>
      </c>
      <c r="R609" s="222">
        <v>17.04</v>
      </c>
      <c r="S609" s="226" t="str">
        <f>IFERROR(_xlfn.XLOOKUP(R609,'1_Presupuesto'!$E:$E,'1_Presupuesto'!$D:$D),"")</f>
        <v>Albañilería MO</v>
      </c>
    </row>
    <row r="610" spans="1:19" ht="15" customHeight="1" x14ac:dyDescent="0.35">
      <c r="A610" s="222" t="s">
        <v>1945</v>
      </c>
      <c r="B610" s="222" t="s">
        <v>639</v>
      </c>
      <c r="C610" s="222" t="s">
        <v>646</v>
      </c>
      <c r="D610" s="222" t="s">
        <v>723</v>
      </c>
      <c r="E610" s="222" t="s">
        <v>724</v>
      </c>
      <c r="F610" s="222" t="s">
        <v>643</v>
      </c>
      <c r="G610" s="223">
        <v>0.375</v>
      </c>
      <c r="H610" s="222">
        <v>0</v>
      </c>
      <c r="I610" s="224">
        <v>75113.05</v>
      </c>
      <c r="J610" s="224">
        <v>28167.393749999999</v>
      </c>
      <c r="K610" s="222" t="s">
        <v>1949</v>
      </c>
      <c r="L610" s="222">
        <v>4</v>
      </c>
      <c r="M610" s="222" t="s">
        <v>1953</v>
      </c>
      <c r="N610" s="222">
        <v>1</v>
      </c>
      <c r="O610" s="222">
        <v>0.375</v>
      </c>
      <c r="P610" s="225">
        <v>7</v>
      </c>
      <c r="Q610" s="224">
        <v>2.625</v>
      </c>
      <c r="R610" s="222">
        <v>17.04</v>
      </c>
      <c r="S610" s="226" t="str">
        <f>IFERROR(_xlfn.XLOOKUP(R610,'1_Presupuesto'!$E:$E,'1_Presupuesto'!$D:$D),"")</f>
        <v>Albañilería MO</v>
      </c>
    </row>
    <row r="611" spans="1:19" ht="15" customHeight="1" x14ac:dyDescent="0.35">
      <c r="A611" s="222" t="s">
        <v>1945</v>
      </c>
      <c r="B611" s="222" t="s">
        <v>13</v>
      </c>
      <c r="C611" s="222"/>
      <c r="D611" s="222" t="s">
        <v>1954</v>
      </c>
      <c r="E611" s="222" t="s">
        <v>1955</v>
      </c>
      <c r="F611" s="222"/>
      <c r="G611" s="223">
        <v>1</v>
      </c>
      <c r="H611" s="222">
        <v>0</v>
      </c>
      <c r="I611" s="224">
        <v>394.92630000000003</v>
      </c>
      <c r="J611" s="224">
        <v>394.92630000000003</v>
      </c>
      <c r="K611" s="222" t="s">
        <v>1956</v>
      </c>
      <c r="L611" s="222">
        <v>1</v>
      </c>
      <c r="M611" s="222" t="s">
        <v>1957</v>
      </c>
      <c r="N611" s="222">
        <v>1</v>
      </c>
      <c r="O611" s="222">
        <v>0</v>
      </c>
      <c r="P611" s="225">
        <v>7</v>
      </c>
      <c r="Q611" s="224">
        <v>0</v>
      </c>
      <c r="R611" s="222">
        <v>17.04</v>
      </c>
      <c r="S611" s="226" t="str">
        <f>IFERROR(_xlfn.XLOOKUP(R611,'1_Presupuesto'!$E:$E,'1_Presupuesto'!$D:$D),"")</f>
        <v>Albañilería MO</v>
      </c>
    </row>
    <row r="612" spans="1:19" ht="15" customHeight="1" x14ac:dyDescent="0.35">
      <c r="A612" s="222" t="s">
        <v>1958</v>
      </c>
      <c r="B612" s="222" t="s">
        <v>654</v>
      </c>
      <c r="C612" s="222" t="s">
        <v>719</v>
      </c>
      <c r="D612" s="222" t="s">
        <v>1959</v>
      </c>
      <c r="E612" s="222" t="s">
        <v>1960</v>
      </c>
      <c r="F612" s="222"/>
      <c r="G612" s="223">
        <v>4.0000001100000002</v>
      </c>
      <c r="H612" s="222">
        <v>0.1</v>
      </c>
      <c r="I612" s="224">
        <v>635.55999999999995</v>
      </c>
      <c r="J612" s="224">
        <v>2796.464076902761</v>
      </c>
      <c r="K612" s="222" t="s">
        <v>1961</v>
      </c>
      <c r="L612" s="222">
        <v>1</v>
      </c>
      <c r="M612" s="222" t="s">
        <v>1962</v>
      </c>
      <c r="N612" s="222">
        <v>1</v>
      </c>
      <c r="O612" s="222">
        <v>0</v>
      </c>
      <c r="P612" s="225">
        <v>392</v>
      </c>
      <c r="Q612" s="224">
        <v>0</v>
      </c>
      <c r="R612" s="222">
        <v>18.010000000000002</v>
      </c>
      <c r="S612" s="226" t="str">
        <f>IFERROR(_xlfn.XLOOKUP(R612,'1_Presupuesto'!$E:$E,'1_Presupuesto'!$D:$D),"")</f>
        <v>-</v>
      </c>
    </row>
    <row r="613" spans="1:19" ht="15" customHeight="1" x14ac:dyDescent="0.35">
      <c r="A613" s="222" t="s">
        <v>1958</v>
      </c>
      <c r="B613" s="222" t="s">
        <v>654</v>
      </c>
      <c r="C613" s="222" t="s">
        <v>719</v>
      </c>
      <c r="D613" s="222" t="s">
        <v>1963</v>
      </c>
      <c r="E613" s="222" t="s">
        <v>1964</v>
      </c>
      <c r="F613" s="222"/>
      <c r="G613" s="223">
        <v>3.00000008</v>
      </c>
      <c r="H613" s="222">
        <v>0.1</v>
      </c>
      <c r="I613" s="224">
        <v>254.06100000000001</v>
      </c>
      <c r="J613" s="224">
        <v>838.40132235736803</v>
      </c>
      <c r="K613" s="222" t="s">
        <v>1961</v>
      </c>
      <c r="L613" s="222">
        <v>2</v>
      </c>
      <c r="M613" s="222" t="s">
        <v>1965</v>
      </c>
      <c r="N613" s="222">
        <v>1</v>
      </c>
      <c r="O613" s="222">
        <v>0</v>
      </c>
      <c r="P613" s="225">
        <v>392</v>
      </c>
      <c r="Q613" s="224">
        <v>0</v>
      </c>
      <c r="R613" s="222">
        <v>18.010000000000002</v>
      </c>
      <c r="S613" s="226" t="str">
        <f>IFERROR(_xlfn.XLOOKUP(R613,'1_Presupuesto'!$E:$E,'1_Presupuesto'!$D:$D),"")</f>
        <v>-</v>
      </c>
    </row>
    <row r="614" spans="1:19" ht="15" customHeight="1" x14ac:dyDescent="0.35">
      <c r="A614" s="222" t="s">
        <v>1958</v>
      </c>
      <c r="B614" s="222" t="s">
        <v>654</v>
      </c>
      <c r="C614" s="222" t="s">
        <v>719</v>
      </c>
      <c r="D614" s="222" t="s">
        <v>1966</v>
      </c>
      <c r="E614" s="222" t="s">
        <v>1967</v>
      </c>
      <c r="F614" s="222"/>
      <c r="G614" s="223">
        <v>2.0000000500000001</v>
      </c>
      <c r="H614" s="222">
        <v>0.1</v>
      </c>
      <c r="I614" s="224">
        <v>166.38300000000001</v>
      </c>
      <c r="J614" s="224">
        <v>366.04260915106511</v>
      </c>
      <c r="K614" s="222" t="s">
        <v>1961</v>
      </c>
      <c r="L614" s="222">
        <v>3</v>
      </c>
      <c r="M614" s="222" t="s">
        <v>1968</v>
      </c>
      <c r="N614" s="222">
        <v>1</v>
      </c>
      <c r="O614" s="222">
        <v>0</v>
      </c>
      <c r="P614" s="225">
        <v>392</v>
      </c>
      <c r="Q614" s="224">
        <v>0</v>
      </c>
      <c r="R614" s="222">
        <v>18.010000000000002</v>
      </c>
      <c r="S614" s="226" t="str">
        <f>IFERROR(_xlfn.XLOOKUP(R614,'1_Presupuesto'!$E:$E,'1_Presupuesto'!$D:$D),"")</f>
        <v>-</v>
      </c>
    </row>
    <row r="615" spans="1:19" ht="15" customHeight="1" x14ac:dyDescent="0.35">
      <c r="A615" s="222" t="s">
        <v>1958</v>
      </c>
      <c r="B615" s="222" t="s">
        <v>654</v>
      </c>
      <c r="C615" s="222" t="s">
        <v>719</v>
      </c>
      <c r="D615" s="222" t="s">
        <v>1969</v>
      </c>
      <c r="E615" s="222" t="s">
        <v>1970</v>
      </c>
      <c r="F615" s="222"/>
      <c r="G615" s="223">
        <v>5.0000001300000001</v>
      </c>
      <c r="H615" s="222">
        <v>0.1</v>
      </c>
      <c r="I615" s="224">
        <v>284.8</v>
      </c>
      <c r="J615" s="224">
        <v>1566.4000407264</v>
      </c>
      <c r="K615" s="222" t="s">
        <v>1961</v>
      </c>
      <c r="L615" s="222">
        <v>4</v>
      </c>
      <c r="M615" s="222" t="s">
        <v>1971</v>
      </c>
      <c r="N615" s="222">
        <v>1</v>
      </c>
      <c r="O615" s="222">
        <v>0</v>
      </c>
      <c r="P615" s="225">
        <v>392</v>
      </c>
      <c r="Q615" s="224">
        <v>0</v>
      </c>
      <c r="R615" s="222">
        <v>18.010000000000002</v>
      </c>
      <c r="S615" s="226" t="str">
        <f>IFERROR(_xlfn.XLOOKUP(R615,'1_Presupuesto'!$E:$E,'1_Presupuesto'!$D:$D),"")</f>
        <v>-</v>
      </c>
    </row>
    <row r="616" spans="1:19" ht="15" customHeight="1" x14ac:dyDescent="0.35">
      <c r="A616" s="222" t="s">
        <v>1958</v>
      </c>
      <c r="B616" s="222" t="s">
        <v>654</v>
      </c>
      <c r="C616" s="222" t="s">
        <v>719</v>
      </c>
      <c r="D616" s="222" t="s">
        <v>1972</v>
      </c>
      <c r="E616" s="222" t="s">
        <v>1973</v>
      </c>
      <c r="F616" s="222"/>
      <c r="G616" s="223">
        <v>5.0000001300000001</v>
      </c>
      <c r="H616" s="222">
        <v>0.1</v>
      </c>
      <c r="I616" s="224">
        <v>458.38339999999999</v>
      </c>
      <c r="J616" s="224">
        <v>2521.1087655488268</v>
      </c>
      <c r="K616" s="222" t="s">
        <v>1961</v>
      </c>
      <c r="L616" s="222">
        <v>5</v>
      </c>
      <c r="M616" s="222" t="s">
        <v>1974</v>
      </c>
      <c r="N616" s="222">
        <v>1</v>
      </c>
      <c r="O616" s="222">
        <v>0</v>
      </c>
      <c r="P616" s="225">
        <v>392</v>
      </c>
      <c r="Q616" s="224">
        <v>0</v>
      </c>
      <c r="R616" s="222">
        <v>18.010000000000002</v>
      </c>
      <c r="S616" s="226" t="str">
        <f>IFERROR(_xlfn.XLOOKUP(R616,'1_Presupuesto'!$E:$E,'1_Presupuesto'!$D:$D),"")</f>
        <v>-</v>
      </c>
    </row>
    <row r="617" spans="1:19" ht="15" customHeight="1" x14ac:dyDescent="0.35">
      <c r="A617" s="222" t="s">
        <v>1958</v>
      </c>
      <c r="B617" s="222" t="s">
        <v>654</v>
      </c>
      <c r="C617" s="222" t="s">
        <v>719</v>
      </c>
      <c r="D617" s="222" t="s">
        <v>1975</v>
      </c>
      <c r="E617" s="222" t="s">
        <v>1976</v>
      </c>
      <c r="F617" s="222"/>
      <c r="G617" s="223">
        <v>5.0000001300000001</v>
      </c>
      <c r="H617" s="222">
        <v>0.1</v>
      </c>
      <c r="I617" s="224">
        <v>458.38339999999999</v>
      </c>
      <c r="J617" s="224">
        <v>2521.1087655488268</v>
      </c>
      <c r="K617" s="222" t="s">
        <v>1961</v>
      </c>
      <c r="L617" s="222">
        <v>6</v>
      </c>
      <c r="M617" s="222" t="s">
        <v>1977</v>
      </c>
      <c r="N617" s="222">
        <v>1</v>
      </c>
      <c r="O617" s="222">
        <v>0</v>
      </c>
      <c r="P617" s="225">
        <v>392</v>
      </c>
      <c r="Q617" s="224">
        <v>0</v>
      </c>
      <c r="R617" s="222">
        <v>18.010000000000002</v>
      </c>
      <c r="S617" s="226" t="str">
        <f>IFERROR(_xlfn.XLOOKUP(R617,'1_Presupuesto'!$E:$E,'1_Presupuesto'!$D:$D),"")</f>
        <v>-</v>
      </c>
    </row>
    <row r="618" spans="1:19" ht="15" customHeight="1" x14ac:dyDescent="0.35">
      <c r="A618" s="222" t="s">
        <v>1958</v>
      </c>
      <c r="B618" s="222" t="s">
        <v>654</v>
      </c>
      <c r="C618" s="222" t="s">
        <v>719</v>
      </c>
      <c r="D618" s="222" t="s">
        <v>1978</v>
      </c>
      <c r="E618" s="222" t="s">
        <v>1979</v>
      </c>
      <c r="F618" s="222"/>
      <c r="G618" s="223">
        <v>0.50000001000000005</v>
      </c>
      <c r="H618" s="222">
        <v>0.05</v>
      </c>
      <c r="I618" s="224">
        <v>182.178</v>
      </c>
      <c r="J618" s="224">
        <v>95.643451912869011</v>
      </c>
      <c r="K618" s="222" t="s">
        <v>1961</v>
      </c>
      <c r="L618" s="222">
        <v>7</v>
      </c>
      <c r="M618" s="222" t="s">
        <v>1980</v>
      </c>
      <c r="N618" s="222">
        <v>1</v>
      </c>
      <c r="O618" s="222">
        <v>0</v>
      </c>
      <c r="P618" s="225">
        <v>392</v>
      </c>
      <c r="Q618" s="224">
        <v>0</v>
      </c>
      <c r="R618" s="222">
        <v>18.010000000000002</v>
      </c>
      <c r="S618" s="226" t="str">
        <f>IFERROR(_xlfn.XLOOKUP(R618,'1_Presupuesto'!$E:$E,'1_Presupuesto'!$D:$D),"")</f>
        <v>-</v>
      </c>
    </row>
    <row r="619" spans="1:19" ht="15" customHeight="1" x14ac:dyDescent="0.35">
      <c r="A619" s="222" t="s">
        <v>1958</v>
      </c>
      <c r="B619" s="222" t="s">
        <v>654</v>
      </c>
      <c r="C619" s="222" t="s">
        <v>719</v>
      </c>
      <c r="D619" s="222" t="s">
        <v>1981</v>
      </c>
      <c r="E619" s="222" t="s">
        <v>1982</v>
      </c>
      <c r="F619" s="222"/>
      <c r="G619" s="223">
        <v>1.00000003</v>
      </c>
      <c r="H619" s="222">
        <v>0.05</v>
      </c>
      <c r="I619" s="224">
        <v>182.178</v>
      </c>
      <c r="J619" s="224">
        <v>191.286905738607</v>
      </c>
      <c r="K619" s="222" t="s">
        <v>1961</v>
      </c>
      <c r="L619" s="222">
        <v>8</v>
      </c>
      <c r="M619" s="222" t="s">
        <v>1983</v>
      </c>
      <c r="N619" s="222">
        <v>1</v>
      </c>
      <c r="O619" s="222">
        <v>0</v>
      </c>
      <c r="P619" s="225">
        <v>392</v>
      </c>
      <c r="Q619" s="224">
        <v>0</v>
      </c>
      <c r="R619" s="222">
        <v>18.010000000000002</v>
      </c>
      <c r="S619" s="226" t="str">
        <f>IFERROR(_xlfn.XLOOKUP(R619,'1_Presupuesto'!$E:$E,'1_Presupuesto'!$D:$D),"")</f>
        <v>-</v>
      </c>
    </row>
    <row r="620" spans="1:19" ht="15" customHeight="1" x14ac:dyDescent="0.35">
      <c r="A620" s="222" t="s">
        <v>1958</v>
      </c>
      <c r="B620" s="222" t="s">
        <v>639</v>
      </c>
      <c r="C620" s="222" t="s">
        <v>640</v>
      </c>
      <c r="D620" s="222" t="s">
        <v>1984</v>
      </c>
      <c r="E620" s="222" t="s">
        <v>1985</v>
      </c>
      <c r="F620" s="222" t="s">
        <v>643</v>
      </c>
      <c r="G620" s="223">
        <v>1</v>
      </c>
      <c r="H620" s="222">
        <v>0</v>
      </c>
      <c r="I620" s="224">
        <v>32886.699999999997</v>
      </c>
      <c r="J620" s="224">
        <v>32886.699999999997</v>
      </c>
      <c r="K620" s="222" t="s">
        <v>1986</v>
      </c>
      <c r="L620" s="222">
        <v>1</v>
      </c>
      <c r="M620" s="222" t="s">
        <v>1987</v>
      </c>
      <c r="N620" s="222">
        <v>1</v>
      </c>
      <c r="O620" s="222">
        <v>0</v>
      </c>
      <c r="P620" s="225">
        <v>392</v>
      </c>
      <c r="Q620" s="224">
        <v>0</v>
      </c>
      <c r="R620" s="222">
        <v>18.010000000000002</v>
      </c>
      <c r="S620" s="226" t="str">
        <f>IFERROR(_xlfn.XLOOKUP(R620,'1_Presupuesto'!$E:$E,'1_Presupuesto'!$D:$D),"")</f>
        <v>-</v>
      </c>
    </row>
    <row r="621" spans="1:19" ht="15" customHeight="1" x14ac:dyDescent="0.35">
      <c r="A621" s="222" t="s">
        <v>1958</v>
      </c>
      <c r="B621" s="222" t="s">
        <v>13</v>
      </c>
      <c r="C621" s="222"/>
      <c r="D621" s="222" t="s">
        <v>1988</v>
      </c>
      <c r="E621" s="222" t="s">
        <v>1989</v>
      </c>
      <c r="F621" s="222"/>
      <c r="G621" s="223">
        <v>0.30769231000000002</v>
      </c>
      <c r="H621" s="222">
        <v>0</v>
      </c>
      <c r="I621" s="224">
        <v>4930.4793</v>
      </c>
      <c r="J621" s="224">
        <v>1517.0705652241829</v>
      </c>
      <c r="K621" s="222" t="s">
        <v>1990</v>
      </c>
      <c r="L621" s="222">
        <v>1</v>
      </c>
      <c r="M621" s="222" t="s">
        <v>1991</v>
      </c>
      <c r="N621" s="222">
        <v>1</v>
      </c>
      <c r="O621" s="222">
        <v>0</v>
      </c>
      <c r="P621" s="225">
        <v>392</v>
      </c>
      <c r="Q621" s="224">
        <v>0</v>
      </c>
      <c r="R621" s="222">
        <v>18.010000000000002</v>
      </c>
      <c r="S621" s="226" t="str">
        <f>IFERROR(_xlfn.XLOOKUP(R621,'1_Presupuesto'!$E:$E,'1_Presupuesto'!$D:$D),"")</f>
        <v>-</v>
      </c>
    </row>
    <row r="622" spans="1:19" ht="15" customHeight="1" x14ac:dyDescent="0.35">
      <c r="A622" s="222" t="s">
        <v>1958</v>
      </c>
      <c r="B622" s="222" t="s">
        <v>13</v>
      </c>
      <c r="C622" s="222"/>
      <c r="D622" s="222" t="s">
        <v>1067</v>
      </c>
      <c r="E622" s="222" t="s">
        <v>1068</v>
      </c>
      <c r="F622" s="222"/>
      <c r="G622" s="223">
        <v>0.15384614999999999</v>
      </c>
      <c r="H622" s="222">
        <v>0</v>
      </c>
      <c r="I622" s="224">
        <v>556.21879999999999</v>
      </c>
      <c r="J622" s="224">
        <v>85.572120937619985</v>
      </c>
      <c r="K622" s="222" t="s">
        <v>1990</v>
      </c>
      <c r="L622" s="222">
        <v>2</v>
      </c>
      <c r="M622" s="222" t="s">
        <v>1992</v>
      </c>
      <c r="N622" s="222">
        <v>1</v>
      </c>
      <c r="O622" s="222">
        <v>0</v>
      </c>
      <c r="P622" s="225">
        <v>392</v>
      </c>
      <c r="Q622" s="224">
        <v>0</v>
      </c>
      <c r="R622" s="222">
        <v>18.010000000000002</v>
      </c>
      <c r="S622" s="226" t="str">
        <f>IFERROR(_xlfn.XLOOKUP(R622,'1_Presupuesto'!$E:$E,'1_Presupuesto'!$D:$D),"")</f>
        <v>-</v>
      </c>
    </row>
    <row r="623" spans="1:19" ht="15" customHeight="1" x14ac:dyDescent="0.35">
      <c r="A623" s="222" t="s">
        <v>1958</v>
      </c>
      <c r="B623" s="222" t="s">
        <v>13</v>
      </c>
      <c r="C623" s="222"/>
      <c r="D623" s="222" t="s">
        <v>1838</v>
      </c>
      <c r="E623" s="222" t="s">
        <v>1839</v>
      </c>
      <c r="F623" s="222"/>
      <c r="G623" s="223">
        <v>0.15384614999999999</v>
      </c>
      <c r="H623" s="222">
        <v>0</v>
      </c>
      <c r="I623" s="224">
        <v>136.52590000000001</v>
      </c>
      <c r="J623" s="224">
        <v>21.003984090285002</v>
      </c>
      <c r="K623" s="222" t="s">
        <v>1990</v>
      </c>
      <c r="L623" s="222">
        <v>3</v>
      </c>
      <c r="M623" s="222" t="s">
        <v>1993</v>
      </c>
      <c r="N623" s="222">
        <v>1</v>
      </c>
      <c r="O623" s="222">
        <v>0</v>
      </c>
      <c r="P623" s="225">
        <v>392</v>
      </c>
      <c r="Q623" s="224">
        <v>0</v>
      </c>
      <c r="R623" s="222">
        <v>18.010000000000002</v>
      </c>
      <c r="S623" s="226" t="str">
        <f>IFERROR(_xlfn.XLOOKUP(R623,'1_Presupuesto'!$E:$E,'1_Presupuesto'!$D:$D),"")</f>
        <v>-</v>
      </c>
    </row>
    <row r="624" spans="1:19" ht="15" customHeight="1" x14ac:dyDescent="0.35">
      <c r="A624" s="222" t="s">
        <v>1958</v>
      </c>
      <c r="B624" s="222" t="s">
        <v>654</v>
      </c>
      <c r="C624" s="222" t="s">
        <v>655</v>
      </c>
      <c r="D624" s="222" t="s">
        <v>656</v>
      </c>
      <c r="E624" s="222" t="s">
        <v>657</v>
      </c>
      <c r="F624" s="222"/>
      <c r="G624" s="223">
        <v>2288.2559000000001</v>
      </c>
      <c r="H624" s="222">
        <v>0</v>
      </c>
      <c r="I624" s="224">
        <v>1</v>
      </c>
      <c r="J624" s="224">
        <v>2288.2559000000001</v>
      </c>
      <c r="K624" s="222" t="s">
        <v>1961</v>
      </c>
      <c r="L624" s="222">
        <v>9</v>
      </c>
      <c r="M624" s="222" t="s">
        <v>1994</v>
      </c>
      <c r="N624" s="222">
        <v>1</v>
      </c>
      <c r="O624" s="222">
        <v>0</v>
      </c>
      <c r="P624" s="225">
        <v>392</v>
      </c>
      <c r="Q624" s="224">
        <v>0</v>
      </c>
      <c r="R624" s="222">
        <v>18.010000000000002</v>
      </c>
      <c r="S624" s="226" t="str">
        <f>IFERROR(_xlfn.XLOOKUP(R624,'1_Presupuesto'!$E:$E,'1_Presupuesto'!$D:$D),"")</f>
        <v>-</v>
      </c>
    </row>
    <row r="625" spans="1:19" ht="15" customHeight="1" x14ac:dyDescent="0.35">
      <c r="A625" s="222" t="s">
        <v>1995</v>
      </c>
      <c r="B625" s="222" t="s">
        <v>654</v>
      </c>
      <c r="C625" s="222" t="s">
        <v>719</v>
      </c>
      <c r="D625" s="222" t="s">
        <v>1959</v>
      </c>
      <c r="E625" s="222" t="s">
        <v>1960</v>
      </c>
      <c r="F625" s="222"/>
      <c r="G625" s="223">
        <v>4.0000001100000002</v>
      </c>
      <c r="H625" s="222">
        <v>0.1</v>
      </c>
      <c r="I625" s="224">
        <v>635.55999999999995</v>
      </c>
      <c r="J625" s="224">
        <v>2796.464076902761</v>
      </c>
      <c r="K625" s="222" t="s">
        <v>1996</v>
      </c>
      <c r="L625" s="222">
        <v>1</v>
      </c>
      <c r="M625" s="222" t="s">
        <v>1997</v>
      </c>
      <c r="N625" s="222">
        <v>1</v>
      </c>
      <c r="O625" s="222">
        <v>0</v>
      </c>
      <c r="P625" s="225">
        <v>19</v>
      </c>
      <c r="Q625" s="224">
        <v>0</v>
      </c>
      <c r="R625" s="222">
        <v>18.02</v>
      </c>
      <c r="S625" s="226" t="str">
        <f>IFERROR(_xlfn.XLOOKUP(R625,'1_Presupuesto'!$E:$E,'1_Presupuesto'!$D:$D),"")</f>
        <v>-</v>
      </c>
    </row>
    <row r="626" spans="1:19" ht="15" customHeight="1" x14ac:dyDescent="0.35">
      <c r="A626" s="222" t="s">
        <v>1995</v>
      </c>
      <c r="B626" s="222" t="s">
        <v>654</v>
      </c>
      <c r="C626" s="222" t="s">
        <v>719</v>
      </c>
      <c r="D626" s="222" t="s">
        <v>1963</v>
      </c>
      <c r="E626" s="222" t="s">
        <v>1964</v>
      </c>
      <c r="F626" s="222"/>
      <c r="G626" s="223">
        <v>3.00000008</v>
      </c>
      <c r="H626" s="222">
        <v>0.1</v>
      </c>
      <c r="I626" s="224">
        <v>254.06100000000001</v>
      </c>
      <c r="J626" s="224">
        <v>838.40132235736803</v>
      </c>
      <c r="K626" s="222" t="s">
        <v>1996</v>
      </c>
      <c r="L626" s="222">
        <v>2</v>
      </c>
      <c r="M626" s="222" t="s">
        <v>1998</v>
      </c>
      <c r="N626" s="222">
        <v>1</v>
      </c>
      <c r="O626" s="222">
        <v>0</v>
      </c>
      <c r="P626" s="225">
        <v>19</v>
      </c>
      <c r="Q626" s="224">
        <v>0</v>
      </c>
      <c r="R626" s="222">
        <v>18.02</v>
      </c>
      <c r="S626" s="226" t="str">
        <f>IFERROR(_xlfn.XLOOKUP(R626,'1_Presupuesto'!$E:$E,'1_Presupuesto'!$D:$D),"")</f>
        <v>-</v>
      </c>
    </row>
    <row r="627" spans="1:19" ht="15" customHeight="1" x14ac:dyDescent="0.35">
      <c r="A627" s="222" t="s">
        <v>1995</v>
      </c>
      <c r="B627" s="222" t="s">
        <v>654</v>
      </c>
      <c r="C627" s="222" t="s">
        <v>719</v>
      </c>
      <c r="D627" s="222" t="s">
        <v>1966</v>
      </c>
      <c r="E627" s="222" t="s">
        <v>1967</v>
      </c>
      <c r="F627" s="222"/>
      <c r="G627" s="223">
        <v>2.0000000500000001</v>
      </c>
      <c r="H627" s="222">
        <v>0.1</v>
      </c>
      <c r="I627" s="224">
        <v>166.38300000000001</v>
      </c>
      <c r="J627" s="224">
        <v>366.04260915106511</v>
      </c>
      <c r="K627" s="222" t="s">
        <v>1996</v>
      </c>
      <c r="L627" s="222">
        <v>3</v>
      </c>
      <c r="M627" s="222" t="s">
        <v>1999</v>
      </c>
      <c r="N627" s="222">
        <v>1</v>
      </c>
      <c r="O627" s="222">
        <v>0</v>
      </c>
      <c r="P627" s="225">
        <v>19</v>
      </c>
      <c r="Q627" s="224">
        <v>0</v>
      </c>
      <c r="R627" s="222">
        <v>18.02</v>
      </c>
      <c r="S627" s="226" t="str">
        <f>IFERROR(_xlfn.XLOOKUP(R627,'1_Presupuesto'!$E:$E,'1_Presupuesto'!$D:$D),"")</f>
        <v>-</v>
      </c>
    </row>
    <row r="628" spans="1:19" ht="15" customHeight="1" x14ac:dyDescent="0.35">
      <c r="A628" s="222" t="s">
        <v>1995</v>
      </c>
      <c r="B628" s="222" t="s">
        <v>654</v>
      </c>
      <c r="C628" s="222" t="s">
        <v>719</v>
      </c>
      <c r="D628" s="222" t="s">
        <v>1969</v>
      </c>
      <c r="E628" s="222" t="s">
        <v>1970</v>
      </c>
      <c r="F628" s="222"/>
      <c r="G628" s="223">
        <v>5.0000001300000001</v>
      </c>
      <c r="H628" s="222">
        <v>0.1</v>
      </c>
      <c r="I628" s="224">
        <v>284.8</v>
      </c>
      <c r="J628" s="224">
        <v>1566.4000407264</v>
      </c>
      <c r="K628" s="222" t="s">
        <v>1996</v>
      </c>
      <c r="L628" s="222">
        <v>4</v>
      </c>
      <c r="M628" s="222" t="s">
        <v>2000</v>
      </c>
      <c r="N628" s="222">
        <v>1</v>
      </c>
      <c r="O628" s="222">
        <v>0</v>
      </c>
      <c r="P628" s="225">
        <v>19</v>
      </c>
      <c r="Q628" s="224">
        <v>0</v>
      </c>
      <c r="R628" s="222">
        <v>18.02</v>
      </c>
      <c r="S628" s="226" t="str">
        <f>IFERROR(_xlfn.XLOOKUP(R628,'1_Presupuesto'!$E:$E,'1_Presupuesto'!$D:$D),"")</f>
        <v>-</v>
      </c>
    </row>
    <row r="629" spans="1:19" ht="15" customHeight="1" x14ac:dyDescent="0.35">
      <c r="A629" s="222" t="s">
        <v>1995</v>
      </c>
      <c r="B629" s="222" t="s">
        <v>654</v>
      </c>
      <c r="C629" s="222" t="s">
        <v>719</v>
      </c>
      <c r="D629" s="222" t="s">
        <v>1972</v>
      </c>
      <c r="E629" s="222" t="s">
        <v>1973</v>
      </c>
      <c r="F629" s="222"/>
      <c r="G629" s="223">
        <v>5.0000001300000001</v>
      </c>
      <c r="H629" s="222">
        <v>0.1</v>
      </c>
      <c r="I629" s="224">
        <v>458.38339999999999</v>
      </c>
      <c r="J629" s="224">
        <v>2521.1087655488268</v>
      </c>
      <c r="K629" s="222" t="s">
        <v>1996</v>
      </c>
      <c r="L629" s="222">
        <v>5</v>
      </c>
      <c r="M629" s="222" t="s">
        <v>2001</v>
      </c>
      <c r="N629" s="222">
        <v>1</v>
      </c>
      <c r="O629" s="222">
        <v>0</v>
      </c>
      <c r="P629" s="225">
        <v>19</v>
      </c>
      <c r="Q629" s="224">
        <v>0</v>
      </c>
      <c r="R629" s="222">
        <v>18.02</v>
      </c>
      <c r="S629" s="226" t="str">
        <f>IFERROR(_xlfn.XLOOKUP(R629,'1_Presupuesto'!$E:$E,'1_Presupuesto'!$D:$D),"")</f>
        <v>-</v>
      </c>
    </row>
    <row r="630" spans="1:19" ht="15" customHeight="1" x14ac:dyDescent="0.35">
      <c r="A630" s="222" t="s">
        <v>1995</v>
      </c>
      <c r="B630" s="222" t="s">
        <v>654</v>
      </c>
      <c r="C630" s="222" t="s">
        <v>719</v>
      </c>
      <c r="D630" s="222" t="s">
        <v>1975</v>
      </c>
      <c r="E630" s="222" t="s">
        <v>1976</v>
      </c>
      <c r="F630" s="222"/>
      <c r="G630" s="223">
        <v>5.0000001300000001</v>
      </c>
      <c r="H630" s="222">
        <v>0.1</v>
      </c>
      <c r="I630" s="224">
        <v>458.38339999999999</v>
      </c>
      <c r="J630" s="224">
        <v>2521.1087655488268</v>
      </c>
      <c r="K630" s="222" t="s">
        <v>1996</v>
      </c>
      <c r="L630" s="222">
        <v>6</v>
      </c>
      <c r="M630" s="222" t="s">
        <v>2002</v>
      </c>
      <c r="N630" s="222">
        <v>1</v>
      </c>
      <c r="O630" s="222">
        <v>0</v>
      </c>
      <c r="P630" s="225">
        <v>19</v>
      </c>
      <c r="Q630" s="224">
        <v>0</v>
      </c>
      <c r="R630" s="222">
        <v>18.02</v>
      </c>
      <c r="S630" s="226" t="str">
        <f>IFERROR(_xlfn.XLOOKUP(R630,'1_Presupuesto'!$E:$E,'1_Presupuesto'!$D:$D),"")</f>
        <v>-</v>
      </c>
    </row>
    <row r="631" spans="1:19" ht="15" customHeight="1" x14ac:dyDescent="0.35">
      <c r="A631" s="222" t="s">
        <v>1995</v>
      </c>
      <c r="B631" s="222" t="s">
        <v>654</v>
      </c>
      <c r="C631" s="222" t="s">
        <v>719</v>
      </c>
      <c r="D631" s="222" t="s">
        <v>1978</v>
      </c>
      <c r="E631" s="222" t="s">
        <v>1979</v>
      </c>
      <c r="F631" s="222"/>
      <c r="G631" s="223">
        <v>0.50000001000000005</v>
      </c>
      <c r="H631" s="222">
        <v>0.05</v>
      </c>
      <c r="I631" s="224">
        <v>182.178</v>
      </c>
      <c r="J631" s="224">
        <v>95.643451912869011</v>
      </c>
      <c r="K631" s="222" t="s">
        <v>1996</v>
      </c>
      <c r="L631" s="222">
        <v>7</v>
      </c>
      <c r="M631" s="222" t="s">
        <v>2003</v>
      </c>
      <c r="N631" s="222">
        <v>1</v>
      </c>
      <c r="O631" s="222">
        <v>0</v>
      </c>
      <c r="P631" s="225">
        <v>19</v>
      </c>
      <c r="Q631" s="224">
        <v>0</v>
      </c>
      <c r="R631" s="222">
        <v>18.02</v>
      </c>
      <c r="S631" s="226" t="str">
        <f>IFERROR(_xlfn.XLOOKUP(R631,'1_Presupuesto'!$E:$E,'1_Presupuesto'!$D:$D),"")</f>
        <v>-</v>
      </c>
    </row>
    <row r="632" spans="1:19" ht="15" customHeight="1" x14ac:dyDescent="0.35">
      <c r="A632" s="222" t="s">
        <v>1995</v>
      </c>
      <c r="B632" s="222" t="s">
        <v>654</v>
      </c>
      <c r="C632" s="222" t="s">
        <v>719</v>
      </c>
      <c r="D632" s="222" t="s">
        <v>1981</v>
      </c>
      <c r="E632" s="222" t="s">
        <v>1982</v>
      </c>
      <c r="F632" s="222"/>
      <c r="G632" s="223">
        <v>1.00000003</v>
      </c>
      <c r="H632" s="222">
        <v>0.05</v>
      </c>
      <c r="I632" s="224">
        <v>182.178</v>
      </c>
      <c r="J632" s="224">
        <v>191.286905738607</v>
      </c>
      <c r="K632" s="222" t="s">
        <v>1996</v>
      </c>
      <c r="L632" s="222">
        <v>8</v>
      </c>
      <c r="M632" s="222" t="s">
        <v>2004</v>
      </c>
      <c r="N632" s="222">
        <v>1</v>
      </c>
      <c r="O632" s="222">
        <v>0</v>
      </c>
      <c r="P632" s="225">
        <v>19</v>
      </c>
      <c r="Q632" s="224">
        <v>0</v>
      </c>
      <c r="R632" s="222">
        <v>18.02</v>
      </c>
      <c r="S632" s="226" t="str">
        <f>IFERROR(_xlfn.XLOOKUP(R632,'1_Presupuesto'!$E:$E,'1_Presupuesto'!$D:$D),"")</f>
        <v>-</v>
      </c>
    </row>
    <row r="633" spans="1:19" ht="15" customHeight="1" x14ac:dyDescent="0.35">
      <c r="A633" s="222" t="s">
        <v>1995</v>
      </c>
      <c r="B633" s="222" t="s">
        <v>639</v>
      </c>
      <c r="C633" s="222" t="s">
        <v>640</v>
      </c>
      <c r="D633" s="222" t="s">
        <v>1984</v>
      </c>
      <c r="E633" s="222" t="s">
        <v>1985</v>
      </c>
      <c r="F633" s="222" t="s">
        <v>643</v>
      </c>
      <c r="G633" s="223">
        <v>1</v>
      </c>
      <c r="H633" s="222">
        <v>0</v>
      </c>
      <c r="I633" s="224">
        <v>32886.699999999997</v>
      </c>
      <c r="J633" s="224">
        <v>32886.699999999997</v>
      </c>
      <c r="K633" s="222" t="s">
        <v>2005</v>
      </c>
      <c r="L633" s="222">
        <v>1</v>
      </c>
      <c r="M633" s="222" t="s">
        <v>2006</v>
      </c>
      <c r="N633" s="222">
        <v>1</v>
      </c>
      <c r="O633" s="222">
        <v>0</v>
      </c>
      <c r="P633" s="225">
        <v>19</v>
      </c>
      <c r="Q633" s="224">
        <v>0</v>
      </c>
      <c r="R633" s="222">
        <v>18.02</v>
      </c>
      <c r="S633" s="226" t="str">
        <f>IFERROR(_xlfn.XLOOKUP(R633,'1_Presupuesto'!$E:$E,'1_Presupuesto'!$D:$D),"")</f>
        <v>-</v>
      </c>
    </row>
    <row r="634" spans="1:19" ht="15" customHeight="1" x14ac:dyDescent="0.35">
      <c r="A634" s="222" t="s">
        <v>1995</v>
      </c>
      <c r="B634" s="222" t="s">
        <v>13</v>
      </c>
      <c r="C634" s="222"/>
      <c r="D634" s="222" t="s">
        <v>1988</v>
      </c>
      <c r="E634" s="222" t="s">
        <v>1989</v>
      </c>
      <c r="F634" s="222"/>
      <c r="G634" s="223">
        <v>0.30769231000000002</v>
      </c>
      <c r="H634" s="222">
        <v>0</v>
      </c>
      <c r="I634" s="224">
        <v>4930.4793</v>
      </c>
      <c r="J634" s="224">
        <v>1517.0705652241829</v>
      </c>
      <c r="K634" s="222" t="s">
        <v>2007</v>
      </c>
      <c r="L634" s="222">
        <v>1</v>
      </c>
      <c r="M634" s="222" t="s">
        <v>2008</v>
      </c>
      <c r="N634" s="222">
        <v>1</v>
      </c>
      <c r="O634" s="222">
        <v>0</v>
      </c>
      <c r="P634" s="225">
        <v>19</v>
      </c>
      <c r="Q634" s="224">
        <v>0</v>
      </c>
      <c r="R634" s="222">
        <v>18.02</v>
      </c>
      <c r="S634" s="226" t="str">
        <f>IFERROR(_xlfn.XLOOKUP(R634,'1_Presupuesto'!$E:$E,'1_Presupuesto'!$D:$D),"")</f>
        <v>-</v>
      </c>
    </row>
    <row r="635" spans="1:19" ht="15" customHeight="1" x14ac:dyDescent="0.35">
      <c r="A635" s="222" t="s">
        <v>1995</v>
      </c>
      <c r="B635" s="222" t="s">
        <v>13</v>
      </c>
      <c r="C635" s="222"/>
      <c r="D635" s="222" t="s">
        <v>1067</v>
      </c>
      <c r="E635" s="222" t="s">
        <v>1068</v>
      </c>
      <c r="F635" s="222"/>
      <c r="G635" s="223">
        <v>0.15384614999999999</v>
      </c>
      <c r="H635" s="222">
        <v>0</v>
      </c>
      <c r="I635" s="224">
        <v>556.21879999999999</v>
      </c>
      <c r="J635" s="224">
        <v>85.572120937619985</v>
      </c>
      <c r="K635" s="222" t="s">
        <v>2007</v>
      </c>
      <c r="L635" s="222">
        <v>2</v>
      </c>
      <c r="M635" s="222" t="s">
        <v>2009</v>
      </c>
      <c r="N635" s="222">
        <v>1</v>
      </c>
      <c r="O635" s="222">
        <v>0</v>
      </c>
      <c r="P635" s="225">
        <v>19</v>
      </c>
      <c r="Q635" s="224">
        <v>0</v>
      </c>
      <c r="R635" s="222">
        <v>18.02</v>
      </c>
      <c r="S635" s="226" t="str">
        <f>IFERROR(_xlfn.XLOOKUP(R635,'1_Presupuesto'!$E:$E,'1_Presupuesto'!$D:$D),"")</f>
        <v>-</v>
      </c>
    </row>
    <row r="636" spans="1:19" ht="15" customHeight="1" x14ac:dyDescent="0.35">
      <c r="A636" s="222" t="s">
        <v>1995</v>
      </c>
      <c r="B636" s="222" t="s">
        <v>13</v>
      </c>
      <c r="C636" s="222"/>
      <c r="D636" s="222" t="s">
        <v>1838</v>
      </c>
      <c r="E636" s="222" t="s">
        <v>1839</v>
      </c>
      <c r="F636" s="222"/>
      <c r="G636" s="223">
        <v>0.15384614999999999</v>
      </c>
      <c r="H636" s="222">
        <v>0</v>
      </c>
      <c r="I636" s="224">
        <v>136.52590000000001</v>
      </c>
      <c r="J636" s="224">
        <v>21.003984090285002</v>
      </c>
      <c r="K636" s="222" t="s">
        <v>2007</v>
      </c>
      <c r="L636" s="222">
        <v>3</v>
      </c>
      <c r="M636" s="222" t="s">
        <v>2010</v>
      </c>
      <c r="N636" s="222">
        <v>1</v>
      </c>
      <c r="O636" s="222">
        <v>0</v>
      </c>
      <c r="P636" s="225">
        <v>19</v>
      </c>
      <c r="Q636" s="224">
        <v>0</v>
      </c>
      <c r="R636" s="222">
        <v>18.02</v>
      </c>
      <c r="S636" s="226" t="str">
        <f>IFERROR(_xlfn.XLOOKUP(R636,'1_Presupuesto'!$E:$E,'1_Presupuesto'!$D:$D),"")</f>
        <v>-</v>
      </c>
    </row>
    <row r="637" spans="1:19" ht="15" customHeight="1" x14ac:dyDescent="0.35">
      <c r="A637" s="222" t="s">
        <v>1995</v>
      </c>
      <c r="B637" s="222" t="s">
        <v>654</v>
      </c>
      <c r="C637" s="222" t="s">
        <v>655</v>
      </c>
      <c r="D637" s="222" t="s">
        <v>656</v>
      </c>
      <c r="E637" s="222" t="s">
        <v>657</v>
      </c>
      <c r="F637" s="222"/>
      <c r="G637" s="223">
        <v>2288.2559000000001</v>
      </c>
      <c r="H637" s="222">
        <v>0</v>
      </c>
      <c r="I637" s="224">
        <v>1</v>
      </c>
      <c r="J637" s="224">
        <v>2288.2559000000001</v>
      </c>
      <c r="K637" s="222" t="s">
        <v>1996</v>
      </c>
      <c r="L637" s="222">
        <v>9</v>
      </c>
      <c r="M637" s="222" t="s">
        <v>2011</v>
      </c>
      <c r="N637" s="222">
        <v>1</v>
      </c>
      <c r="O637" s="222">
        <v>0</v>
      </c>
      <c r="P637" s="225">
        <v>19</v>
      </c>
      <c r="Q637" s="224">
        <v>0</v>
      </c>
      <c r="R637" s="222">
        <v>18.02</v>
      </c>
      <c r="S637" s="226" t="str">
        <f>IFERROR(_xlfn.XLOOKUP(R637,'1_Presupuesto'!$E:$E,'1_Presupuesto'!$D:$D),"")</f>
        <v>-</v>
      </c>
    </row>
    <row r="638" spans="1:19" ht="15" customHeight="1" x14ac:dyDescent="0.35">
      <c r="A638" s="222" t="s">
        <v>2012</v>
      </c>
      <c r="B638" s="222" t="s">
        <v>654</v>
      </c>
      <c r="C638" s="222" t="s">
        <v>719</v>
      </c>
      <c r="D638" s="222" t="s">
        <v>2013</v>
      </c>
      <c r="E638" s="222" t="s">
        <v>2014</v>
      </c>
      <c r="F638" s="222"/>
      <c r="G638" s="223">
        <v>4.0000000599999996</v>
      </c>
      <c r="H638" s="222">
        <v>0.05</v>
      </c>
      <c r="I638" s="224">
        <v>472.18</v>
      </c>
      <c r="J638" s="224">
        <v>1983.15602974734</v>
      </c>
      <c r="K638" s="222" t="s">
        <v>2015</v>
      </c>
      <c r="L638" s="222">
        <v>1</v>
      </c>
      <c r="M638" s="222" t="s">
        <v>2016</v>
      </c>
      <c r="N638" s="222">
        <v>1</v>
      </c>
      <c r="O638" s="222">
        <v>0</v>
      </c>
      <c r="P638" s="225">
        <v>349</v>
      </c>
      <c r="Q638" s="224">
        <v>0</v>
      </c>
      <c r="R638" s="222">
        <v>18.03</v>
      </c>
      <c r="S638" s="226" t="str">
        <f>IFERROR(_xlfn.XLOOKUP(R638,'1_Presupuesto'!$E:$E,'1_Presupuesto'!$D:$D),"")</f>
        <v>-</v>
      </c>
    </row>
    <row r="639" spans="1:19" ht="15" customHeight="1" x14ac:dyDescent="0.35">
      <c r="A639" s="222" t="s">
        <v>2012</v>
      </c>
      <c r="B639" s="222" t="s">
        <v>654</v>
      </c>
      <c r="C639" s="222" t="s">
        <v>719</v>
      </c>
      <c r="D639" s="222" t="s">
        <v>2017</v>
      </c>
      <c r="E639" s="222" t="s">
        <v>2018</v>
      </c>
      <c r="F639" s="222"/>
      <c r="G639" s="223">
        <v>4.0000000599999996</v>
      </c>
      <c r="H639" s="222">
        <v>0.1</v>
      </c>
      <c r="I639" s="224">
        <v>203.24879999999999</v>
      </c>
      <c r="J639" s="224">
        <v>894.29473341442065</v>
      </c>
      <c r="K639" s="222" t="s">
        <v>2015</v>
      </c>
      <c r="L639" s="222">
        <v>2</v>
      </c>
      <c r="M639" s="222" t="s">
        <v>2019</v>
      </c>
      <c r="N639" s="222">
        <v>1</v>
      </c>
      <c r="O639" s="222">
        <v>0</v>
      </c>
      <c r="P639" s="225">
        <v>349</v>
      </c>
      <c r="Q639" s="224">
        <v>0</v>
      </c>
      <c r="R639" s="222">
        <v>18.03</v>
      </c>
      <c r="S639" s="226" t="str">
        <f>IFERROR(_xlfn.XLOOKUP(R639,'1_Presupuesto'!$E:$E,'1_Presupuesto'!$D:$D),"")</f>
        <v>-</v>
      </c>
    </row>
    <row r="640" spans="1:19" ht="15" customHeight="1" x14ac:dyDescent="0.35">
      <c r="A640" s="222" t="s">
        <v>2012</v>
      </c>
      <c r="B640" s="222" t="s">
        <v>654</v>
      </c>
      <c r="C640" s="222" t="s">
        <v>719</v>
      </c>
      <c r="D640" s="222" t="s">
        <v>2020</v>
      </c>
      <c r="E640" s="222" t="s">
        <v>2021</v>
      </c>
      <c r="F640" s="222"/>
      <c r="G640" s="223">
        <v>1.2000000200000001</v>
      </c>
      <c r="H640" s="222">
        <v>0.1</v>
      </c>
      <c r="I640" s="224">
        <v>99.829800000000006</v>
      </c>
      <c r="J640" s="224">
        <v>131.7753381962556</v>
      </c>
      <c r="K640" s="222" t="s">
        <v>2015</v>
      </c>
      <c r="L640" s="222">
        <v>3</v>
      </c>
      <c r="M640" s="222" t="s">
        <v>2022</v>
      </c>
      <c r="N640" s="222">
        <v>1</v>
      </c>
      <c r="O640" s="222">
        <v>0</v>
      </c>
      <c r="P640" s="225">
        <v>349</v>
      </c>
      <c r="Q640" s="224">
        <v>0</v>
      </c>
      <c r="R640" s="222">
        <v>18.03</v>
      </c>
      <c r="S640" s="226" t="str">
        <f>IFERROR(_xlfn.XLOOKUP(R640,'1_Presupuesto'!$E:$E,'1_Presupuesto'!$D:$D),"")</f>
        <v>-</v>
      </c>
    </row>
    <row r="641" spans="1:19" ht="15" customHeight="1" x14ac:dyDescent="0.35">
      <c r="A641" s="222" t="s">
        <v>2012</v>
      </c>
      <c r="B641" s="222" t="s">
        <v>654</v>
      </c>
      <c r="C641" s="222" t="s">
        <v>719</v>
      </c>
      <c r="D641" s="222" t="s">
        <v>1972</v>
      </c>
      <c r="E641" s="222" t="s">
        <v>1973</v>
      </c>
      <c r="F641" s="222"/>
      <c r="G641" s="223">
        <v>4.0000000599999996</v>
      </c>
      <c r="H641" s="222">
        <v>0.1</v>
      </c>
      <c r="I641" s="224">
        <v>458.38339999999999</v>
      </c>
      <c r="J641" s="224">
        <v>2016.886990253304</v>
      </c>
      <c r="K641" s="222" t="s">
        <v>2015</v>
      </c>
      <c r="L641" s="222">
        <v>4</v>
      </c>
      <c r="M641" s="222" t="s">
        <v>2023</v>
      </c>
      <c r="N641" s="222">
        <v>1</v>
      </c>
      <c r="O641" s="222">
        <v>0</v>
      </c>
      <c r="P641" s="225">
        <v>349</v>
      </c>
      <c r="Q641" s="224">
        <v>0</v>
      </c>
      <c r="R641" s="222">
        <v>18.03</v>
      </c>
      <c r="S641" s="226" t="str">
        <f>IFERROR(_xlfn.XLOOKUP(R641,'1_Presupuesto'!$E:$E,'1_Presupuesto'!$D:$D),"")</f>
        <v>-</v>
      </c>
    </row>
    <row r="642" spans="1:19" ht="15" customHeight="1" x14ac:dyDescent="0.35">
      <c r="A642" s="222" t="s">
        <v>2012</v>
      </c>
      <c r="B642" s="222" t="s">
        <v>654</v>
      </c>
      <c r="C642" s="222" t="s">
        <v>719</v>
      </c>
      <c r="D642" s="222" t="s">
        <v>1975</v>
      </c>
      <c r="E642" s="222" t="s">
        <v>1976</v>
      </c>
      <c r="F642" s="222"/>
      <c r="G642" s="223">
        <v>8.0000001199999993</v>
      </c>
      <c r="H642" s="222">
        <v>0.1</v>
      </c>
      <c r="I642" s="224">
        <v>458.38339999999999</v>
      </c>
      <c r="J642" s="224">
        <v>4033.773980506608</v>
      </c>
      <c r="K642" s="222" t="s">
        <v>2015</v>
      </c>
      <c r="L642" s="222">
        <v>5</v>
      </c>
      <c r="M642" s="222" t="s">
        <v>2024</v>
      </c>
      <c r="N642" s="222">
        <v>1</v>
      </c>
      <c r="O642" s="222">
        <v>0</v>
      </c>
      <c r="P642" s="225">
        <v>349</v>
      </c>
      <c r="Q642" s="224">
        <v>0</v>
      </c>
      <c r="R642" s="222">
        <v>18.03</v>
      </c>
      <c r="S642" s="226" t="str">
        <f>IFERROR(_xlfn.XLOOKUP(R642,'1_Presupuesto'!$E:$E,'1_Presupuesto'!$D:$D),"")</f>
        <v>-</v>
      </c>
    </row>
    <row r="643" spans="1:19" ht="15" customHeight="1" x14ac:dyDescent="0.35">
      <c r="A643" s="222" t="s">
        <v>2012</v>
      </c>
      <c r="B643" s="222" t="s">
        <v>654</v>
      </c>
      <c r="C643" s="222" t="s">
        <v>719</v>
      </c>
      <c r="D643" s="222" t="s">
        <v>1978</v>
      </c>
      <c r="E643" s="222" t="s">
        <v>1979</v>
      </c>
      <c r="F643" s="222"/>
      <c r="G643" s="223">
        <v>1.0000000099999999</v>
      </c>
      <c r="H643" s="222">
        <v>0.05</v>
      </c>
      <c r="I643" s="224">
        <v>182.178</v>
      </c>
      <c r="J643" s="224">
        <v>191.28690191286901</v>
      </c>
      <c r="K643" s="222" t="s">
        <v>2015</v>
      </c>
      <c r="L643" s="222">
        <v>6</v>
      </c>
      <c r="M643" s="222" t="s">
        <v>2025</v>
      </c>
      <c r="N643" s="222">
        <v>1</v>
      </c>
      <c r="O643" s="222">
        <v>0</v>
      </c>
      <c r="P643" s="225">
        <v>349</v>
      </c>
      <c r="Q643" s="224">
        <v>0</v>
      </c>
      <c r="R643" s="222">
        <v>18.03</v>
      </c>
      <c r="S643" s="226" t="str">
        <f>IFERROR(_xlfn.XLOOKUP(R643,'1_Presupuesto'!$E:$E,'1_Presupuesto'!$D:$D),"")</f>
        <v>-</v>
      </c>
    </row>
    <row r="644" spans="1:19" ht="15" customHeight="1" x14ac:dyDescent="0.35">
      <c r="A644" s="222" t="s">
        <v>2012</v>
      </c>
      <c r="B644" s="222" t="s">
        <v>639</v>
      </c>
      <c r="C644" s="222" t="s">
        <v>640</v>
      </c>
      <c r="D644" s="222" t="s">
        <v>1984</v>
      </c>
      <c r="E644" s="222" t="s">
        <v>1985</v>
      </c>
      <c r="F644" s="222" t="s">
        <v>643</v>
      </c>
      <c r="G644" s="223">
        <v>1</v>
      </c>
      <c r="H644" s="222">
        <v>0</v>
      </c>
      <c r="I644" s="224">
        <v>32886.699999999997</v>
      </c>
      <c r="J644" s="224">
        <v>32886.699999999997</v>
      </c>
      <c r="K644" s="222" t="s">
        <v>2026</v>
      </c>
      <c r="L644" s="222">
        <v>1</v>
      </c>
      <c r="M644" s="222" t="s">
        <v>2027</v>
      </c>
      <c r="N644" s="222">
        <v>1</v>
      </c>
      <c r="O644" s="222">
        <v>0</v>
      </c>
      <c r="P644" s="225">
        <v>349</v>
      </c>
      <c r="Q644" s="224">
        <v>0</v>
      </c>
      <c r="R644" s="222">
        <v>18.03</v>
      </c>
      <c r="S644" s="226" t="str">
        <f>IFERROR(_xlfn.XLOOKUP(R644,'1_Presupuesto'!$E:$E,'1_Presupuesto'!$D:$D),"")</f>
        <v>-</v>
      </c>
    </row>
    <row r="645" spans="1:19" ht="15" customHeight="1" x14ac:dyDescent="0.35">
      <c r="A645" s="222" t="s">
        <v>2012</v>
      </c>
      <c r="B645" s="222" t="s">
        <v>13</v>
      </c>
      <c r="C645" s="222"/>
      <c r="D645" s="222" t="s">
        <v>1988</v>
      </c>
      <c r="E645" s="222" t="s">
        <v>1989</v>
      </c>
      <c r="F645" s="222"/>
      <c r="G645" s="223">
        <v>0.30769231000000002</v>
      </c>
      <c r="H645" s="222">
        <v>0</v>
      </c>
      <c r="I645" s="224">
        <v>4930.4793</v>
      </c>
      <c r="J645" s="224">
        <v>1517.0705652241829</v>
      </c>
      <c r="K645" s="222" t="s">
        <v>2028</v>
      </c>
      <c r="L645" s="222">
        <v>1</v>
      </c>
      <c r="M645" s="222" t="s">
        <v>2029</v>
      </c>
      <c r="N645" s="222">
        <v>1</v>
      </c>
      <c r="O645" s="222">
        <v>0</v>
      </c>
      <c r="P645" s="225">
        <v>349</v>
      </c>
      <c r="Q645" s="224">
        <v>0</v>
      </c>
      <c r="R645" s="222">
        <v>18.03</v>
      </c>
      <c r="S645" s="226" t="str">
        <f>IFERROR(_xlfn.XLOOKUP(R645,'1_Presupuesto'!$E:$E,'1_Presupuesto'!$D:$D),"")</f>
        <v>-</v>
      </c>
    </row>
    <row r="646" spans="1:19" ht="15" customHeight="1" x14ac:dyDescent="0.35">
      <c r="A646" s="222" t="s">
        <v>2012</v>
      </c>
      <c r="B646" s="222" t="s">
        <v>13</v>
      </c>
      <c r="C646" s="222"/>
      <c r="D646" s="222" t="s">
        <v>1067</v>
      </c>
      <c r="E646" s="222" t="s">
        <v>1068</v>
      </c>
      <c r="F646" s="222"/>
      <c r="G646" s="223">
        <v>0.15384614999999999</v>
      </c>
      <c r="H646" s="222">
        <v>0</v>
      </c>
      <c r="I646" s="224">
        <v>556.21879999999999</v>
      </c>
      <c r="J646" s="224">
        <v>85.572120937619985</v>
      </c>
      <c r="K646" s="222" t="s">
        <v>2028</v>
      </c>
      <c r="L646" s="222">
        <v>2</v>
      </c>
      <c r="M646" s="222" t="s">
        <v>2030</v>
      </c>
      <c r="N646" s="222">
        <v>1</v>
      </c>
      <c r="O646" s="222">
        <v>0</v>
      </c>
      <c r="P646" s="225">
        <v>349</v>
      </c>
      <c r="Q646" s="224">
        <v>0</v>
      </c>
      <c r="R646" s="222">
        <v>18.03</v>
      </c>
      <c r="S646" s="226" t="str">
        <f>IFERROR(_xlfn.XLOOKUP(R646,'1_Presupuesto'!$E:$E,'1_Presupuesto'!$D:$D),"")</f>
        <v>-</v>
      </c>
    </row>
    <row r="647" spans="1:19" ht="15" customHeight="1" x14ac:dyDescent="0.35">
      <c r="A647" s="222" t="s">
        <v>2012</v>
      </c>
      <c r="B647" s="222" t="s">
        <v>13</v>
      </c>
      <c r="C647" s="222"/>
      <c r="D647" s="222" t="s">
        <v>1838</v>
      </c>
      <c r="E647" s="222" t="s">
        <v>1839</v>
      </c>
      <c r="F647" s="222"/>
      <c r="G647" s="223">
        <v>0.15384614999999999</v>
      </c>
      <c r="H647" s="222">
        <v>0</v>
      </c>
      <c r="I647" s="224">
        <v>136.52590000000001</v>
      </c>
      <c r="J647" s="224">
        <v>21.003984090285002</v>
      </c>
      <c r="K647" s="222" t="s">
        <v>2028</v>
      </c>
      <c r="L647" s="222">
        <v>3</v>
      </c>
      <c r="M647" s="222" t="s">
        <v>2031</v>
      </c>
      <c r="N647" s="222">
        <v>1</v>
      </c>
      <c r="O647" s="222">
        <v>0</v>
      </c>
      <c r="P647" s="225">
        <v>349</v>
      </c>
      <c r="Q647" s="224">
        <v>0</v>
      </c>
      <c r="R647" s="222">
        <v>18.03</v>
      </c>
      <c r="S647" s="226" t="str">
        <f>IFERROR(_xlfn.XLOOKUP(R647,'1_Presupuesto'!$E:$E,'1_Presupuesto'!$D:$D),"")</f>
        <v>-</v>
      </c>
    </row>
    <row r="648" spans="1:19" ht="15" customHeight="1" x14ac:dyDescent="0.35">
      <c r="A648" s="222" t="s">
        <v>2012</v>
      </c>
      <c r="B648" s="222" t="s">
        <v>654</v>
      </c>
      <c r="C648" s="222" t="s">
        <v>655</v>
      </c>
      <c r="D648" s="222" t="s">
        <v>656</v>
      </c>
      <c r="E648" s="222" t="s">
        <v>657</v>
      </c>
      <c r="F648" s="222"/>
      <c r="G648" s="223">
        <v>1942.7465</v>
      </c>
      <c r="H648" s="222">
        <v>0</v>
      </c>
      <c r="I648" s="224">
        <v>1</v>
      </c>
      <c r="J648" s="224">
        <v>1942.7465</v>
      </c>
      <c r="K648" s="222" t="s">
        <v>2015</v>
      </c>
      <c r="L648" s="222">
        <v>7</v>
      </c>
      <c r="M648" s="222" t="s">
        <v>2032</v>
      </c>
      <c r="N648" s="222">
        <v>1</v>
      </c>
      <c r="O648" s="222">
        <v>0</v>
      </c>
      <c r="P648" s="225">
        <v>349</v>
      </c>
      <c r="Q648" s="224">
        <v>0</v>
      </c>
      <c r="R648" s="222">
        <v>18.03</v>
      </c>
      <c r="S648" s="226" t="str">
        <f>IFERROR(_xlfn.XLOOKUP(R648,'1_Presupuesto'!$E:$E,'1_Presupuesto'!$D:$D),"")</f>
        <v>-</v>
      </c>
    </row>
    <row r="649" spans="1:19" ht="15" customHeight="1" x14ac:dyDescent="0.35">
      <c r="A649" s="222" t="s">
        <v>2033</v>
      </c>
      <c r="B649" s="222" t="s">
        <v>654</v>
      </c>
      <c r="C649" s="222" t="s">
        <v>719</v>
      </c>
      <c r="D649" s="222" t="s">
        <v>2013</v>
      </c>
      <c r="E649" s="222" t="s">
        <v>2014</v>
      </c>
      <c r="F649" s="222"/>
      <c r="G649" s="223">
        <v>6.0000000900000003</v>
      </c>
      <c r="H649" s="222">
        <v>0.05</v>
      </c>
      <c r="I649" s="224">
        <v>472.18</v>
      </c>
      <c r="J649" s="224">
        <v>2974.734044621011</v>
      </c>
      <c r="K649" s="222" t="s">
        <v>2034</v>
      </c>
      <c r="L649" s="222">
        <v>1</v>
      </c>
      <c r="M649" s="222" t="s">
        <v>2035</v>
      </c>
      <c r="N649" s="222">
        <v>1</v>
      </c>
      <c r="O649" s="222">
        <v>0</v>
      </c>
      <c r="P649" s="225">
        <v>35</v>
      </c>
      <c r="Q649" s="224">
        <v>0</v>
      </c>
      <c r="R649" s="222">
        <v>18.04</v>
      </c>
      <c r="S649" s="226" t="str">
        <f>IFERROR(_xlfn.XLOOKUP(R649,'1_Presupuesto'!$E:$E,'1_Presupuesto'!$D:$D),"")</f>
        <v>-</v>
      </c>
    </row>
    <row r="650" spans="1:19" ht="15" customHeight="1" x14ac:dyDescent="0.35">
      <c r="A650" s="222" t="s">
        <v>2033</v>
      </c>
      <c r="B650" s="222" t="s">
        <v>654</v>
      </c>
      <c r="C650" s="222" t="s">
        <v>719</v>
      </c>
      <c r="D650" s="222" t="s">
        <v>2017</v>
      </c>
      <c r="E650" s="222" t="s">
        <v>2018</v>
      </c>
      <c r="F650" s="222"/>
      <c r="G650" s="223">
        <v>6.0000000900000003</v>
      </c>
      <c r="H650" s="222">
        <v>0.1</v>
      </c>
      <c r="I650" s="224">
        <v>203.24879999999999</v>
      </c>
      <c r="J650" s="224">
        <v>1341.442100121631</v>
      </c>
      <c r="K650" s="222" t="s">
        <v>2034</v>
      </c>
      <c r="L650" s="222">
        <v>2</v>
      </c>
      <c r="M650" s="222" t="s">
        <v>2036</v>
      </c>
      <c r="N650" s="222">
        <v>1</v>
      </c>
      <c r="O650" s="222">
        <v>0</v>
      </c>
      <c r="P650" s="225">
        <v>35</v>
      </c>
      <c r="Q650" s="224">
        <v>0</v>
      </c>
      <c r="R650" s="222">
        <v>18.04</v>
      </c>
      <c r="S650" s="226" t="str">
        <f>IFERROR(_xlfn.XLOOKUP(R650,'1_Presupuesto'!$E:$E,'1_Presupuesto'!$D:$D),"")</f>
        <v>-</v>
      </c>
    </row>
    <row r="651" spans="1:19" ht="15" customHeight="1" x14ac:dyDescent="0.35">
      <c r="A651" s="222" t="s">
        <v>2033</v>
      </c>
      <c r="B651" s="222" t="s">
        <v>654</v>
      </c>
      <c r="C651" s="222" t="s">
        <v>719</v>
      </c>
      <c r="D651" s="222" t="s">
        <v>2020</v>
      </c>
      <c r="E651" s="222" t="s">
        <v>2021</v>
      </c>
      <c r="F651" s="222"/>
      <c r="G651" s="223">
        <v>1.8000000300000001</v>
      </c>
      <c r="H651" s="222">
        <v>0.1</v>
      </c>
      <c r="I651" s="224">
        <v>99.829800000000006</v>
      </c>
      <c r="J651" s="224">
        <v>197.66300729438339</v>
      </c>
      <c r="K651" s="222" t="s">
        <v>2034</v>
      </c>
      <c r="L651" s="222">
        <v>3</v>
      </c>
      <c r="M651" s="222" t="s">
        <v>2037</v>
      </c>
      <c r="N651" s="222">
        <v>1</v>
      </c>
      <c r="O651" s="222">
        <v>0</v>
      </c>
      <c r="P651" s="225">
        <v>35</v>
      </c>
      <c r="Q651" s="224">
        <v>0</v>
      </c>
      <c r="R651" s="222">
        <v>18.04</v>
      </c>
      <c r="S651" s="226" t="str">
        <f>IFERROR(_xlfn.XLOOKUP(R651,'1_Presupuesto'!$E:$E,'1_Presupuesto'!$D:$D),"")</f>
        <v>-</v>
      </c>
    </row>
    <row r="652" spans="1:19" ht="15" customHeight="1" x14ac:dyDescent="0.35">
      <c r="A652" s="222" t="s">
        <v>2033</v>
      </c>
      <c r="B652" s="222" t="s">
        <v>654</v>
      </c>
      <c r="C652" s="222" t="s">
        <v>719</v>
      </c>
      <c r="D652" s="222" t="s">
        <v>1972</v>
      </c>
      <c r="E652" s="222" t="s">
        <v>1973</v>
      </c>
      <c r="F652" s="222"/>
      <c r="G652" s="223">
        <v>6.0000000900000003</v>
      </c>
      <c r="H652" s="222">
        <v>0.1</v>
      </c>
      <c r="I652" s="224">
        <v>458.38339999999999</v>
      </c>
      <c r="J652" s="224">
        <v>3025.3304853799568</v>
      </c>
      <c r="K652" s="222" t="s">
        <v>2034</v>
      </c>
      <c r="L652" s="222">
        <v>4</v>
      </c>
      <c r="M652" s="222" t="s">
        <v>2038</v>
      </c>
      <c r="N652" s="222">
        <v>1</v>
      </c>
      <c r="O652" s="222">
        <v>0</v>
      </c>
      <c r="P652" s="225">
        <v>35</v>
      </c>
      <c r="Q652" s="224">
        <v>0</v>
      </c>
      <c r="R652" s="222">
        <v>18.04</v>
      </c>
      <c r="S652" s="226" t="str">
        <f>IFERROR(_xlfn.XLOOKUP(R652,'1_Presupuesto'!$E:$E,'1_Presupuesto'!$D:$D),"")</f>
        <v>-</v>
      </c>
    </row>
    <row r="653" spans="1:19" ht="15" customHeight="1" x14ac:dyDescent="0.35">
      <c r="A653" s="222" t="s">
        <v>2033</v>
      </c>
      <c r="B653" s="222" t="s">
        <v>654</v>
      </c>
      <c r="C653" s="222" t="s">
        <v>719</v>
      </c>
      <c r="D653" s="222" t="s">
        <v>1975</v>
      </c>
      <c r="E653" s="222" t="s">
        <v>1976</v>
      </c>
      <c r="F653" s="222"/>
      <c r="G653" s="223">
        <v>12.000000180000001</v>
      </c>
      <c r="H653" s="222">
        <v>0.1</v>
      </c>
      <c r="I653" s="224">
        <v>458.38339999999999</v>
      </c>
      <c r="J653" s="224">
        <v>6050.6609707599137</v>
      </c>
      <c r="K653" s="222" t="s">
        <v>2034</v>
      </c>
      <c r="L653" s="222">
        <v>5</v>
      </c>
      <c r="M653" s="222" t="s">
        <v>2039</v>
      </c>
      <c r="N653" s="222">
        <v>1</v>
      </c>
      <c r="O653" s="222">
        <v>0</v>
      </c>
      <c r="P653" s="225">
        <v>35</v>
      </c>
      <c r="Q653" s="224">
        <v>0</v>
      </c>
      <c r="R653" s="222">
        <v>18.04</v>
      </c>
      <c r="S653" s="226" t="str">
        <f>IFERROR(_xlfn.XLOOKUP(R653,'1_Presupuesto'!$E:$E,'1_Presupuesto'!$D:$D),"")</f>
        <v>-</v>
      </c>
    </row>
    <row r="654" spans="1:19" ht="15" customHeight="1" x14ac:dyDescent="0.35">
      <c r="A654" s="222" t="s">
        <v>2033</v>
      </c>
      <c r="B654" s="222" t="s">
        <v>654</v>
      </c>
      <c r="C654" s="222" t="s">
        <v>719</v>
      </c>
      <c r="D654" s="222" t="s">
        <v>1978</v>
      </c>
      <c r="E654" s="222" t="s">
        <v>1979</v>
      </c>
      <c r="F654" s="222"/>
      <c r="G654" s="223">
        <v>1.5000000099999999</v>
      </c>
      <c r="H654" s="222">
        <v>0.05</v>
      </c>
      <c r="I654" s="224">
        <v>182.178</v>
      </c>
      <c r="J654" s="224">
        <v>286.93035191286901</v>
      </c>
      <c r="K654" s="222" t="s">
        <v>2034</v>
      </c>
      <c r="L654" s="222">
        <v>6</v>
      </c>
      <c r="M654" s="222" t="s">
        <v>2040</v>
      </c>
      <c r="N654" s="222">
        <v>1</v>
      </c>
      <c r="O654" s="222">
        <v>0</v>
      </c>
      <c r="P654" s="225">
        <v>35</v>
      </c>
      <c r="Q654" s="224">
        <v>0</v>
      </c>
      <c r="R654" s="222">
        <v>18.04</v>
      </c>
      <c r="S654" s="226" t="str">
        <f>IFERROR(_xlfn.XLOOKUP(R654,'1_Presupuesto'!$E:$E,'1_Presupuesto'!$D:$D),"")</f>
        <v>-</v>
      </c>
    </row>
    <row r="655" spans="1:19" ht="15" customHeight="1" x14ac:dyDescent="0.35">
      <c r="A655" s="222" t="s">
        <v>2033</v>
      </c>
      <c r="B655" s="222" t="s">
        <v>639</v>
      </c>
      <c r="C655" s="222" t="s">
        <v>640</v>
      </c>
      <c r="D655" s="222" t="s">
        <v>1984</v>
      </c>
      <c r="E655" s="222" t="s">
        <v>1985</v>
      </c>
      <c r="F655" s="222" t="s">
        <v>643</v>
      </c>
      <c r="G655" s="223">
        <v>1</v>
      </c>
      <c r="H655" s="222">
        <v>0</v>
      </c>
      <c r="I655" s="224">
        <v>32886.699999999997</v>
      </c>
      <c r="J655" s="224">
        <v>32886.699999999997</v>
      </c>
      <c r="K655" s="222" t="s">
        <v>2041</v>
      </c>
      <c r="L655" s="222">
        <v>1</v>
      </c>
      <c r="M655" s="222" t="s">
        <v>2042</v>
      </c>
      <c r="N655" s="222">
        <v>1</v>
      </c>
      <c r="O655" s="222">
        <v>0</v>
      </c>
      <c r="P655" s="225">
        <v>35</v>
      </c>
      <c r="Q655" s="224">
        <v>0</v>
      </c>
      <c r="R655" s="222">
        <v>18.04</v>
      </c>
      <c r="S655" s="226" t="str">
        <f>IFERROR(_xlfn.XLOOKUP(R655,'1_Presupuesto'!$E:$E,'1_Presupuesto'!$D:$D),"")</f>
        <v>-</v>
      </c>
    </row>
    <row r="656" spans="1:19" ht="15" customHeight="1" x14ac:dyDescent="0.35">
      <c r="A656" s="222" t="s">
        <v>2033</v>
      </c>
      <c r="B656" s="222" t="s">
        <v>13</v>
      </c>
      <c r="C656" s="222"/>
      <c r="D656" s="222" t="s">
        <v>1988</v>
      </c>
      <c r="E656" s="222" t="s">
        <v>1989</v>
      </c>
      <c r="F656" s="222"/>
      <c r="G656" s="223">
        <v>0.30769231000000002</v>
      </c>
      <c r="H656" s="222">
        <v>0</v>
      </c>
      <c r="I656" s="224">
        <v>4930.4793</v>
      </c>
      <c r="J656" s="224">
        <v>1517.0705652241829</v>
      </c>
      <c r="K656" s="222" t="s">
        <v>2043</v>
      </c>
      <c r="L656" s="222">
        <v>1</v>
      </c>
      <c r="M656" s="222" t="s">
        <v>2044</v>
      </c>
      <c r="N656" s="222">
        <v>1</v>
      </c>
      <c r="O656" s="222">
        <v>0</v>
      </c>
      <c r="P656" s="225">
        <v>35</v>
      </c>
      <c r="Q656" s="224">
        <v>0</v>
      </c>
      <c r="R656" s="222">
        <v>18.04</v>
      </c>
      <c r="S656" s="226" t="str">
        <f>IFERROR(_xlfn.XLOOKUP(R656,'1_Presupuesto'!$E:$E,'1_Presupuesto'!$D:$D),"")</f>
        <v>-</v>
      </c>
    </row>
    <row r="657" spans="1:19" ht="15" customHeight="1" x14ac:dyDescent="0.35">
      <c r="A657" s="222" t="s">
        <v>2033</v>
      </c>
      <c r="B657" s="222" t="s">
        <v>13</v>
      </c>
      <c r="C657" s="222"/>
      <c r="D657" s="222" t="s">
        <v>1067</v>
      </c>
      <c r="E657" s="222" t="s">
        <v>1068</v>
      </c>
      <c r="F657" s="222"/>
      <c r="G657" s="223">
        <v>0.15384614999999999</v>
      </c>
      <c r="H657" s="222">
        <v>0</v>
      </c>
      <c r="I657" s="224">
        <v>556.21879999999999</v>
      </c>
      <c r="J657" s="224">
        <v>85.572120937619985</v>
      </c>
      <c r="K657" s="222" t="s">
        <v>2043</v>
      </c>
      <c r="L657" s="222">
        <v>2</v>
      </c>
      <c r="M657" s="222" t="s">
        <v>2045</v>
      </c>
      <c r="N657" s="222">
        <v>1</v>
      </c>
      <c r="O657" s="222">
        <v>0</v>
      </c>
      <c r="P657" s="225">
        <v>35</v>
      </c>
      <c r="Q657" s="224">
        <v>0</v>
      </c>
      <c r="R657" s="222">
        <v>18.04</v>
      </c>
      <c r="S657" s="226" t="str">
        <f>IFERROR(_xlfn.XLOOKUP(R657,'1_Presupuesto'!$E:$E,'1_Presupuesto'!$D:$D),"")</f>
        <v>-</v>
      </c>
    </row>
    <row r="658" spans="1:19" ht="15" customHeight="1" x14ac:dyDescent="0.35">
      <c r="A658" s="222" t="s">
        <v>2033</v>
      </c>
      <c r="B658" s="222" t="s">
        <v>13</v>
      </c>
      <c r="C658" s="222"/>
      <c r="D658" s="222" t="s">
        <v>1838</v>
      </c>
      <c r="E658" s="222" t="s">
        <v>1839</v>
      </c>
      <c r="F658" s="222"/>
      <c r="G658" s="223">
        <v>0.15384614999999999</v>
      </c>
      <c r="H658" s="222">
        <v>0</v>
      </c>
      <c r="I658" s="224">
        <v>136.52590000000001</v>
      </c>
      <c r="J658" s="224">
        <v>21.003984090285002</v>
      </c>
      <c r="K658" s="222" t="s">
        <v>2043</v>
      </c>
      <c r="L658" s="222">
        <v>3</v>
      </c>
      <c r="M658" s="222" t="s">
        <v>2046</v>
      </c>
      <c r="N658" s="222">
        <v>1</v>
      </c>
      <c r="O658" s="222">
        <v>0</v>
      </c>
      <c r="P658" s="225">
        <v>35</v>
      </c>
      <c r="Q658" s="224">
        <v>0</v>
      </c>
      <c r="R658" s="222">
        <v>18.04</v>
      </c>
      <c r="S658" s="226" t="str">
        <f>IFERROR(_xlfn.XLOOKUP(R658,'1_Presupuesto'!$E:$E,'1_Presupuesto'!$D:$D),"")</f>
        <v>-</v>
      </c>
    </row>
    <row r="659" spans="1:19" ht="15" customHeight="1" x14ac:dyDescent="0.35">
      <c r="A659" s="222" t="s">
        <v>2033</v>
      </c>
      <c r="B659" s="222" t="s">
        <v>654</v>
      </c>
      <c r="C659" s="222" t="s">
        <v>655</v>
      </c>
      <c r="D659" s="222" t="s">
        <v>656</v>
      </c>
      <c r="E659" s="222" t="s">
        <v>657</v>
      </c>
      <c r="F659" s="222"/>
      <c r="G659" s="223">
        <v>2914.1197999999999</v>
      </c>
      <c r="H659" s="222">
        <v>0</v>
      </c>
      <c r="I659" s="224">
        <v>1</v>
      </c>
      <c r="J659" s="224">
        <v>2914.1197999999999</v>
      </c>
      <c r="K659" s="222" t="s">
        <v>2034</v>
      </c>
      <c r="L659" s="222">
        <v>7</v>
      </c>
      <c r="M659" s="222" t="s">
        <v>2047</v>
      </c>
      <c r="N659" s="222">
        <v>1</v>
      </c>
      <c r="O659" s="222">
        <v>0</v>
      </c>
      <c r="P659" s="225">
        <v>35</v>
      </c>
      <c r="Q659" s="224">
        <v>0</v>
      </c>
      <c r="R659" s="222">
        <v>18.04</v>
      </c>
      <c r="S659" s="226" t="str">
        <f>IFERROR(_xlfn.XLOOKUP(R659,'1_Presupuesto'!$E:$E,'1_Presupuesto'!$D:$D),"")</f>
        <v>-</v>
      </c>
    </row>
    <row r="660" spans="1:19" ht="15" customHeight="1" x14ac:dyDescent="0.35">
      <c r="A660" s="222" t="s">
        <v>2048</v>
      </c>
      <c r="B660" s="222" t="s">
        <v>654</v>
      </c>
      <c r="C660" s="222" t="s">
        <v>719</v>
      </c>
      <c r="D660" s="222" t="s">
        <v>2013</v>
      </c>
      <c r="E660" s="222" t="s">
        <v>2014</v>
      </c>
      <c r="F660" s="222"/>
      <c r="G660" s="223">
        <v>4.0000000599999996</v>
      </c>
      <c r="H660" s="222">
        <v>0.05</v>
      </c>
      <c r="I660" s="224">
        <v>472.18</v>
      </c>
      <c r="J660" s="224">
        <v>1983.15602974734</v>
      </c>
      <c r="K660" s="222" t="s">
        <v>2049</v>
      </c>
      <c r="L660" s="222">
        <v>1</v>
      </c>
      <c r="M660" s="222" t="s">
        <v>2050</v>
      </c>
      <c r="N660" s="222">
        <v>1</v>
      </c>
      <c r="O660" s="222">
        <v>0</v>
      </c>
      <c r="P660" s="225">
        <v>16</v>
      </c>
      <c r="Q660" s="224">
        <v>0</v>
      </c>
      <c r="R660" s="222">
        <v>18.05</v>
      </c>
      <c r="S660" s="226" t="str">
        <f>IFERROR(_xlfn.XLOOKUP(R660,'1_Presupuesto'!$E:$E,'1_Presupuesto'!$D:$D),"")</f>
        <v>-</v>
      </c>
    </row>
    <row r="661" spans="1:19" ht="15" customHeight="1" x14ac:dyDescent="0.35">
      <c r="A661" s="222" t="s">
        <v>2048</v>
      </c>
      <c r="B661" s="222" t="s">
        <v>654</v>
      </c>
      <c r="C661" s="222" t="s">
        <v>719</v>
      </c>
      <c r="D661" s="222" t="s">
        <v>2017</v>
      </c>
      <c r="E661" s="222" t="s">
        <v>2018</v>
      </c>
      <c r="F661" s="222"/>
      <c r="G661" s="223">
        <v>4.0000000599999996</v>
      </c>
      <c r="H661" s="222">
        <v>0.1</v>
      </c>
      <c r="I661" s="224">
        <v>203.24879999999999</v>
      </c>
      <c r="J661" s="224">
        <v>894.29473341442065</v>
      </c>
      <c r="K661" s="222" t="s">
        <v>2049</v>
      </c>
      <c r="L661" s="222">
        <v>2</v>
      </c>
      <c r="M661" s="222" t="s">
        <v>2051</v>
      </c>
      <c r="N661" s="222">
        <v>1</v>
      </c>
      <c r="O661" s="222">
        <v>0</v>
      </c>
      <c r="P661" s="225">
        <v>16</v>
      </c>
      <c r="Q661" s="224">
        <v>0</v>
      </c>
      <c r="R661" s="222">
        <v>18.05</v>
      </c>
      <c r="S661" s="226" t="str">
        <f>IFERROR(_xlfn.XLOOKUP(R661,'1_Presupuesto'!$E:$E,'1_Presupuesto'!$D:$D),"")</f>
        <v>-</v>
      </c>
    </row>
    <row r="662" spans="1:19" ht="15" customHeight="1" x14ac:dyDescent="0.35">
      <c r="A662" s="222" t="s">
        <v>2048</v>
      </c>
      <c r="B662" s="222" t="s">
        <v>654</v>
      </c>
      <c r="C662" s="222" t="s">
        <v>719</v>
      </c>
      <c r="D662" s="222" t="s">
        <v>2020</v>
      </c>
      <c r="E662" s="222" t="s">
        <v>2021</v>
      </c>
      <c r="F662" s="222"/>
      <c r="G662" s="223">
        <v>1.2000000200000001</v>
      </c>
      <c r="H662" s="222">
        <v>0.1</v>
      </c>
      <c r="I662" s="224">
        <v>99.829800000000006</v>
      </c>
      <c r="J662" s="224">
        <v>131.7753381962556</v>
      </c>
      <c r="K662" s="222" t="s">
        <v>2049</v>
      </c>
      <c r="L662" s="222">
        <v>3</v>
      </c>
      <c r="M662" s="222" t="s">
        <v>2052</v>
      </c>
      <c r="N662" s="222">
        <v>1</v>
      </c>
      <c r="O662" s="222">
        <v>0</v>
      </c>
      <c r="P662" s="225">
        <v>16</v>
      </c>
      <c r="Q662" s="224">
        <v>0</v>
      </c>
      <c r="R662" s="222">
        <v>18.05</v>
      </c>
      <c r="S662" s="226" t="str">
        <f>IFERROR(_xlfn.XLOOKUP(R662,'1_Presupuesto'!$E:$E,'1_Presupuesto'!$D:$D),"")</f>
        <v>-</v>
      </c>
    </row>
    <row r="663" spans="1:19" ht="15" customHeight="1" x14ac:dyDescent="0.35">
      <c r="A663" s="222" t="s">
        <v>2048</v>
      </c>
      <c r="B663" s="222" t="s">
        <v>654</v>
      </c>
      <c r="C663" s="222" t="s">
        <v>719</v>
      </c>
      <c r="D663" s="222" t="s">
        <v>1972</v>
      </c>
      <c r="E663" s="222" t="s">
        <v>1973</v>
      </c>
      <c r="F663" s="222"/>
      <c r="G663" s="223">
        <v>4.0000000599999996</v>
      </c>
      <c r="H663" s="222">
        <v>0.1</v>
      </c>
      <c r="I663" s="224">
        <v>458.38339999999999</v>
      </c>
      <c r="J663" s="224">
        <v>2016.886990253304</v>
      </c>
      <c r="K663" s="222" t="s">
        <v>2049</v>
      </c>
      <c r="L663" s="222">
        <v>4</v>
      </c>
      <c r="M663" s="222" t="s">
        <v>2053</v>
      </c>
      <c r="N663" s="222">
        <v>1</v>
      </c>
      <c r="O663" s="222">
        <v>0</v>
      </c>
      <c r="P663" s="225">
        <v>16</v>
      </c>
      <c r="Q663" s="224">
        <v>0</v>
      </c>
      <c r="R663" s="222">
        <v>18.05</v>
      </c>
      <c r="S663" s="226" t="str">
        <f>IFERROR(_xlfn.XLOOKUP(R663,'1_Presupuesto'!$E:$E,'1_Presupuesto'!$D:$D),"")</f>
        <v>-</v>
      </c>
    </row>
    <row r="664" spans="1:19" ht="15" customHeight="1" x14ac:dyDescent="0.35">
      <c r="A664" s="222" t="s">
        <v>2048</v>
      </c>
      <c r="B664" s="222" t="s">
        <v>654</v>
      </c>
      <c r="C664" s="222" t="s">
        <v>719</v>
      </c>
      <c r="D664" s="222" t="s">
        <v>1975</v>
      </c>
      <c r="E664" s="222" t="s">
        <v>1976</v>
      </c>
      <c r="F664" s="222"/>
      <c r="G664" s="223">
        <v>8.0000001199999993</v>
      </c>
      <c r="H664" s="222">
        <v>0.1</v>
      </c>
      <c r="I664" s="224">
        <v>458.38339999999999</v>
      </c>
      <c r="J664" s="224">
        <v>4033.773980506608</v>
      </c>
      <c r="K664" s="222" t="s">
        <v>2049</v>
      </c>
      <c r="L664" s="222">
        <v>5</v>
      </c>
      <c r="M664" s="222" t="s">
        <v>2054</v>
      </c>
      <c r="N664" s="222">
        <v>1</v>
      </c>
      <c r="O664" s="222">
        <v>0</v>
      </c>
      <c r="P664" s="225">
        <v>16</v>
      </c>
      <c r="Q664" s="224">
        <v>0</v>
      </c>
      <c r="R664" s="222">
        <v>18.05</v>
      </c>
      <c r="S664" s="226" t="str">
        <f>IFERROR(_xlfn.XLOOKUP(R664,'1_Presupuesto'!$E:$E,'1_Presupuesto'!$D:$D),"")</f>
        <v>-</v>
      </c>
    </row>
    <row r="665" spans="1:19" ht="15" customHeight="1" x14ac:dyDescent="0.35">
      <c r="A665" s="222" t="s">
        <v>2048</v>
      </c>
      <c r="B665" s="222" t="s">
        <v>654</v>
      </c>
      <c r="C665" s="222" t="s">
        <v>719</v>
      </c>
      <c r="D665" s="222" t="s">
        <v>1978</v>
      </c>
      <c r="E665" s="222" t="s">
        <v>1979</v>
      </c>
      <c r="F665" s="222"/>
      <c r="G665" s="223">
        <v>1.0000000099999999</v>
      </c>
      <c r="H665" s="222">
        <v>0.05</v>
      </c>
      <c r="I665" s="224">
        <v>182.178</v>
      </c>
      <c r="J665" s="224">
        <v>191.28690191286901</v>
      </c>
      <c r="K665" s="222" t="s">
        <v>2049</v>
      </c>
      <c r="L665" s="222">
        <v>6</v>
      </c>
      <c r="M665" s="222" t="s">
        <v>2055</v>
      </c>
      <c r="N665" s="222">
        <v>1</v>
      </c>
      <c r="O665" s="222">
        <v>0</v>
      </c>
      <c r="P665" s="225">
        <v>16</v>
      </c>
      <c r="Q665" s="224">
        <v>0</v>
      </c>
      <c r="R665" s="222">
        <v>18.05</v>
      </c>
      <c r="S665" s="226" t="str">
        <f>IFERROR(_xlfn.XLOOKUP(R665,'1_Presupuesto'!$E:$E,'1_Presupuesto'!$D:$D),"")</f>
        <v>-</v>
      </c>
    </row>
    <row r="666" spans="1:19" ht="15" customHeight="1" x14ac:dyDescent="0.35">
      <c r="A666" s="222" t="s">
        <v>2048</v>
      </c>
      <c r="B666" s="222" t="s">
        <v>639</v>
      </c>
      <c r="C666" s="222" t="s">
        <v>640</v>
      </c>
      <c r="D666" s="222" t="s">
        <v>1984</v>
      </c>
      <c r="E666" s="222" t="s">
        <v>1985</v>
      </c>
      <c r="F666" s="222" t="s">
        <v>643</v>
      </c>
      <c r="G666" s="223">
        <v>1</v>
      </c>
      <c r="H666" s="222">
        <v>0</v>
      </c>
      <c r="I666" s="224">
        <v>32886.699999999997</v>
      </c>
      <c r="J666" s="224">
        <v>32886.699999999997</v>
      </c>
      <c r="K666" s="222" t="s">
        <v>2056</v>
      </c>
      <c r="L666" s="222">
        <v>1</v>
      </c>
      <c r="M666" s="222" t="s">
        <v>2057</v>
      </c>
      <c r="N666" s="222">
        <v>1</v>
      </c>
      <c r="O666" s="222">
        <v>0</v>
      </c>
      <c r="P666" s="225">
        <v>16</v>
      </c>
      <c r="Q666" s="224">
        <v>0</v>
      </c>
      <c r="R666" s="222">
        <v>18.05</v>
      </c>
      <c r="S666" s="226" t="str">
        <f>IFERROR(_xlfn.XLOOKUP(R666,'1_Presupuesto'!$E:$E,'1_Presupuesto'!$D:$D),"")</f>
        <v>-</v>
      </c>
    </row>
    <row r="667" spans="1:19" ht="15" customHeight="1" x14ac:dyDescent="0.35">
      <c r="A667" s="222" t="s">
        <v>2048</v>
      </c>
      <c r="B667" s="222" t="s">
        <v>13</v>
      </c>
      <c r="C667" s="222"/>
      <c r="D667" s="222" t="s">
        <v>1988</v>
      </c>
      <c r="E667" s="222" t="s">
        <v>1989</v>
      </c>
      <c r="F667" s="222"/>
      <c r="G667" s="223">
        <v>0.30769231000000002</v>
      </c>
      <c r="H667" s="222">
        <v>0</v>
      </c>
      <c r="I667" s="224">
        <v>4930.4793</v>
      </c>
      <c r="J667" s="224">
        <v>1517.0705652241829</v>
      </c>
      <c r="K667" s="222" t="s">
        <v>2058</v>
      </c>
      <c r="L667" s="222">
        <v>1</v>
      </c>
      <c r="M667" s="222" t="s">
        <v>2059</v>
      </c>
      <c r="N667" s="222">
        <v>1</v>
      </c>
      <c r="O667" s="222">
        <v>0</v>
      </c>
      <c r="P667" s="225">
        <v>16</v>
      </c>
      <c r="Q667" s="224">
        <v>0</v>
      </c>
      <c r="R667" s="222">
        <v>18.05</v>
      </c>
      <c r="S667" s="226" t="str">
        <f>IFERROR(_xlfn.XLOOKUP(R667,'1_Presupuesto'!$E:$E,'1_Presupuesto'!$D:$D),"")</f>
        <v>-</v>
      </c>
    </row>
    <row r="668" spans="1:19" ht="15" customHeight="1" x14ac:dyDescent="0.35">
      <c r="A668" s="222" t="s">
        <v>2048</v>
      </c>
      <c r="B668" s="222" t="s">
        <v>13</v>
      </c>
      <c r="C668" s="222"/>
      <c r="D668" s="222" t="s">
        <v>1067</v>
      </c>
      <c r="E668" s="222" t="s">
        <v>1068</v>
      </c>
      <c r="F668" s="222"/>
      <c r="G668" s="223">
        <v>0.15384614999999999</v>
      </c>
      <c r="H668" s="222">
        <v>0</v>
      </c>
      <c r="I668" s="224">
        <v>556.21879999999999</v>
      </c>
      <c r="J668" s="224">
        <v>85.572120937619985</v>
      </c>
      <c r="K668" s="222" t="s">
        <v>2058</v>
      </c>
      <c r="L668" s="222">
        <v>2</v>
      </c>
      <c r="M668" s="222" t="s">
        <v>2060</v>
      </c>
      <c r="N668" s="222">
        <v>1</v>
      </c>
      <c r="O668" s="222">
        <v>0</v>
      </c>
      <c r="P668" s="225">
        <v>16</v>
      </c>
      <c r="Q668" s="224">
        <v>0</v>
      </c>
      <c r="R668" s="222">
        <v>18.05</v>
      </c>
      <c r="S668" s="226" t="str">
        <f>IFERROR(_xlfn.XLOOKUP(R668,'1_Presupuesto'!$E:$E,'1_Presupuesto'!$D:$D),"")</f>
        <v>-</v>
      </c>
    </row>
    <row r="669" spans="1:19" ht="15" customHeight="1" x14ac:dyDescent="0.35">
      <c r="A669" s="222" t="s">
        <v>2048</v>
      </c>
      <c r="B669" s="222" t="s">
        <v>13</v>
      </c>
      <c r="C669" s="222"/>
      <c r="D669" s="222" t="s">
        <v>1838</v>
      </c>
      <c r="E669" s="222" t="s">
        <v>1839</v>
      </c>
      <c r="F669" s="222"/>
      <c r="G669" s="223">
        <v>0.15384614999999999</v>
      </c>
      <c r="H669" s="222">
        <v>0</v>
      </c>
      <c r="I669" s="224">
        <v>136.52590000000001</v>
      </c>
      <c r="J669" s="224">
        <v>21.003984090285002</v>
      </c>
      <c r="K669" s="222" t="s">
        <v>2058</v>
      </c>
      <c r="L669" s="222">
        <v>3</v>
      </c>
      <c r="M669" s="222" t="s">
        <v>2061</v>
      </c>
      <c r="N669" s="222">
        <v>1</v>
      </c>
      <c r="O669" s="222">
        <v>0</v>
      </c>
      <c r="P669" s="225">
        <v>16</v>
      </c>
      <c r="Q669" s="224">
        <v>0</v>
      </c>
      <c r="R669" s="222">
        <v>18.05</v>
      </c>
      <c r="S669" s="226" t="str">
        <f>IFERROR(_xlfn.XLOOKUP(R669,'1_Presupuesto'!$E:$E,'1_Presupuesto'!$D:$D),"")</f>
        <v>-</v>
      </c>
    </row>
    <row r="670" spans="1:19" ht="15" customHeight="1" x14ac:dyDescent="0.35">
      <c r="A670" s="222" t="s">
        <v>2048</v>
      </c>
      <c r="B670" s="222" t="s">
        <v>654</v>
      </c>
      <c r="C670" s="222" t="s">
        <v>655</v>
      </c>
      <c r="D670" s="222" t="s">
        <v>656</v>
      </c>
      <c r="E670" s="222" t="s">
        <v>657</v>
      </c>
      <c r="F670" s="222"/>
      <c r="G670" s="223">
        <v>1942.7465</v>
      </c>
      <c r="H670" s="222">
        <v>0</v>
      </c>
      <c r="I670" s="224">
        <v>1</v>
      </c>
      <c r="J670" s="224">
        <v>1942.7465</v>
      </c>
      <c r="K670" s="222" t="s">
        <v>2049</v>
      </c>
      <c r="L670" s="222">
        <v>7</v>
      </c>
      <c r="M670" s="222" t="s">
        <v>2062</v>
      </c>
      <c r="N670" s="222">
        <v>1</v>
      </c>
      <c r="O670" s="222">
        <v>0</v>
      </c>
      <c r="P670" s="225">
        <v>16</v>
      </c>
      <c r="Q670" s="224">
        <v>0</v>
      </c>
      <c r="R670" s="222">
        <v>18.05</v>
      </c>
      <c r="S670" s="226" t="str">
        <f>IFERROR(_xlfn.XLOOKUP(R670,'1_Presupuesto'!$E:$E,'1_Presupuesto'!$D:$D),"")</f>
        <v>-</v>
      </c>
    </row>
    <row r="671" spans="1:19" ht="15" customHeight="1" x14ac:dyDescent="0.35">
      <c r="A671" s="222" t="s">
        <v>2063</v>
      </c>
      <c r="B671" s="222" t="s">
        <v>654</v>
      </c>
      <c r="C671" s="222" t="s">
        <v>719</v>
      </c>
      <c r="D671" s="222" t="s">
        <v>2013</v>
      </c>
      <c r="E671" s="222" t="s">
        <v>2014</v>
      </c>
      <c r="F671" s="222"/>
      <c r="G671" s="223">
        <v>4.0000000599999996</v>
      </c>
      <c r="H671" s="222">
        <v>0.05</v>
      </c>
      <c r="I671" s="224">
        <v>472.18</v>
      </c>
      <c r="J671" s="224">
        <v>1983.15602974734</v>
      </c>
      <c r="K671" s="222" t="s">
        <v>2064</v>
      </c>
      <c r="L671" s="222">
        <v>1</v>
      </c>
      <c r="M671" s="222" t="s">
        <v>2065</v>
      </c>
      <c r="N671" s="222">
        <v>1</v>
      </c>
      <c r="O671" s="222">
        <v>0</v>
      </c>
      <c r="P671" s="225">
        <v>16</v>
      </c>
      <c r="Q671" s="224">
        <v>0</v>
      </c>
      <c r="R671" s="222">
        <v>18.059999999999999</v>
      </c>
      <c r="S671" s="226" t="str">
        <f>IFERROR(_xlfn.XLOOKUP(R671,'1_Presupuesto'!$E:$E,'1_Presupuesto'!$D:$D),"")</f>
        <v>-</v>
      </c>
    </row>
    <row r="672" spans="1:19" ht="15" customHeight="1" x14ac:dyDescent="0.35">
      <c r="A672" s="222" t="s">
        <v>2063</v>
      </c>
      <c r="B672" s="222" t="s">
        <v>654</v>
      </c>
      <c r="C672" s="222" t="s">
        <v>719</v>
      </c>
      <c r="D672" s="222" t="s">
        <v>2017</v>
      </c>
      <c r="E672" s="222" t="s">
        <v>2018</v>
      </c>
      <c r="F672" s="222"/>
      <c r="G672" s="223">
        <v>4.0000000599999996</v>
      </c>
      <c r="H672" s="222">
        <v>0.1</v>
      </c>
      <c r="I672" s="224">
        <v>203.24879999999999</v>
      </c>
      <c r="J672" s="224">
        <v>894.29473341442065</v>
      </c>
      <c r="K672" s="222" t="s">
        <v>2064</v>
      </c>
      <c r="L672" s="222">
        <v>2</v>
      </c>
      <c r="M672" s="222" t="s">
        <v>2066</v>
      </c>
      <c r="N672" s="222">
        <v>1</v>
      </c>
      <c r="O672" s="222">
        <v>0</v>
      </c>
      <c r="P672" s="225">
        <v>16</v>
      </c>
      <c r="Q672" s="224">
        <v>0</v>
      </c>
      <c r="R672" s="222">
        <v>18.059999999999999</v>
      </c>
      <c r="S672" s="226" t="str">
        <f>IFERROR(_xlfn.XLOOKUP(R672,'1_Presupuesto'!$E:$E,'1_Presupuesto'!$D:$D),"")</f>
        <v>-</v>
      </c>
    </row>
    <row r="673" spans="1:19" ht="15" customHeight="1" x14ac:dyDescent="0.35">
      <c r="A673" s="222" t="s">
        <v>2063</v>
      </c>
      <c r="B673" s="222" t="s">
        <v>654</v>
      </c>
      <c r="C673" s="222" t="s">
        <v>719</v>
      </c>
      <c r="D673" s="222" t="s">
        <v>2020</v>
      </c>
      <c r="E673" s="222" t="s">
        <v>2021</v>
      </c>
      <c r="F673" s="222"/>
      <c r="G673" s="223">
        <v>1.2000000200000001</v>
      </c>
      <c r="H673" s="222">
        <v>0.1</v>
      </c>
      <c r="I673" s="224">
        <v>99.829800000000006</v>
      </c>
      <c r="J673" s="224">
        <v>131.7753381962556</v>
      </c>
      <c r="K673" s="222" t="s">
        <v>2064</v>
      </c>
      <c r="L673" s="222">
        <v>3</v>
      </c>
      <c r="M673" s="222" t="s">
        <v>2067</v>
      </c>
      <c r="N673" s="222">
        <v>1</v>
      </c>
      <c r="O673" s="222">
        <v>0</v>
      </c>
      <c r="P673" s="225">
        <v>16</v>
      </c>
      <c r="Q673" s="224">
        <v>0</v>
      </c>
      <c r="R673" s="222">
        <v>18.059999999999999</v>
      </c>
      <c r="S673" s="226" t="str">
        <f>IFERROR(_xlfn.XLOOKUP(R673,'1_Presupuesto'!$E:$E,'1_Presupuesto'!$D:$D),"")</f>
        <v>-</v>
      </c>
    </row>
    <row r="674" spans="1:19" ht="15" customHeight="1" x14ac:dyDescent="0.35">
      <c r="A674" s="222" t="s">
        <v>2063</v>
      </c>
      <c r="B674" s="222" t="s">
        <v>654</v>
      </c>
      <c r="C674" s="222" t="s">
        <v>719</v>
      </c>
      <c r="D674" s="222" t="s">
        <v>1972</v>
      </c>
      <c r="E674" s="222" t="s">
        <v>1973</v>
      </c>
      <c r="F674" s="222"/>
      <c r="G674" s="223">
        <v>4.0000000599999996</v>
      </c>
      <c r="H674" s="222">
        <v>0.1</v>
      </c>
      <c r="I674" s="224">
        <v>458.38339999999999</v>
      </c>
      <c r="J674" s="224">
        <v>2016.886990253304</v>
      </c>
      <c r="K674" s="222" t="s">
        <v>2064</v>
      </c>
      <c r="L674" s="222">
        <v>4</v>
      </c>
      <c r="M674" s="222" t="s">
        <v>2068</v>
      </c>
      <c r="N674" s="222">
        <v>1</v>
      </c>
      <c r="O674" s="222">
        <v>0</v>
      </c>
      <c r="P674" s="225">
        <v>16</v>
      </c>
      <c r="Q674" s="224">
        <v>0</v>
      </c>
      <c r="R674" s="222">
        <v>18.059999999999999</v>
      </c>
      <c r="S674" s="226" t="str">
        <f>IFERROR(_xlfn.XLOOKUP(R674,'1_Presupuesto'!$E:$E,'1_Presupuesto'!$D:$D),"")</f>
        <v>-</v>
      </c>
    </row>
    <row r="675" spans="1:19" ht="15" customHeight="1" x14ac:dyDescent="0.35">
      <c r="A675" s="222" t="s">
        <v>2063</v>
      </c>
      <c r="B675" s="222" t="s">
        <v>654</v>
      </c>
      <c r="C675" s="222" t="s">
        <v>719</v>
      </c>
      <c r="D675" s="222" t="s">
        <v>1975</v>
      </c>
      <c r="E675" s="222" t="s">
        <v>1976</v>
      </c>
      <c r="F675" s="222"/>
      <c r="G675" s="223">
        <v>8.0000001199999993</v>
      </c>
      <c r="H675" s="222">
        <v>0.1</v>
      </c>
      <c r="I675" s="224">
        <v>458.38339999999999</v>
      </c>
      <c r="J675" s="224">
        <v>4033.773980506608</v>
      </c>
      <c r="K675" s="222" t="s">
        <v>2064</v>
      </c>
      <c r="L675" s="222">
        <v>5</v>
      </c>
      <c r="M675" s="222" t="s">
        <v>2069</v>
      </c>
      <c r="N675" s="222">
        <v>1</v>
      </c>
      <c r="O675" s="222">
        <v>0</v>
      </c>
      <c r="P675" s="225">
        <v>16</v>
      </c>
      <c r="Q675" s="224">
        <v>0</v>
      </c>
      <c r="R675" s="222">
        <v>18.059999999999999</v>
      </c>
      <c r="S675" s="226" t="str">
        <f>IFERROR(_xlfn.XLOOKUP(R675,'1_Presupuesto'!$E:$E,'1_Presupuesto'!$D:$D),"")</f>
        <v>-</v>
      </c>
    </row>
    <row r="676" spans="1:19" ht="15" customHeight="1" x14ac:dyDescent="0.35">
      <c r="A676" s="222" t="s">
        <v>2063</v>
      </c>
      <c r="B676" s="222" t="s">
        <v>654</v>
      </c>
      <c r="C676" s="222" t="s">
        <v>719</v>
      </c>
      <c r="D676" s="222" t="s">
        <v>1978</v>
      </c>
      <c r="E676" s="222" t="s">
        <v>1979</v>
      </c>
      <c r="F676" s="222"/>
      <c r="G676" s="223">
        <v>1.0000000099999999</v>
      </c>
      <c r="H676" s="222">
        <v>0.05</v>
      </c>
      <c r="I676" s="224">
        <v>182.178</v>
      </c>
      <c r="J676" s="224">
        <v>191.28690191286901</v>
      </c>
      <c r="K676" s="222" t="s">
        <v>2064</v>
      </c>
      <c r="L676" s="222">
        <v>6</v>
      </c>
      <c r="M676" s="222" t="s">
        <v>2070</v>
      </c>
      <c r="N676" s="222">
        <v>1</v>
      </c>
      <c r="O676" s="222">
        <v>0</v>
      </c>
      <c r="P676" s="225">
        <v>16</v>
      </c>
      <c r="Q676" s="224">
        <v>0</v>
      </c>
      <c r="R676" s="222">
        <v>18.059999999999999</v>
      </c>
      <c r="S676" s="226" t="str">
        <f>IFERROR(_xlfn.XLOOKUP(R676,'1_Presupuesto'!$E:$E,'1_Presupuesto'!$D:$D),"")</f>
        <v>-</v>
      </c>
    </row>
    <row r="677" spans="1:19" ht="15" customHeight="1" x14ac:dyDescent="0.35">
      <c r="A677" s="222" t="s">
        <v>2063</v>
      </c>
      <c r="B677" s="222" t="s">
        <v>639</v>
      </c>
      <c r="C677" s="222" t="s">
        <v>640</v>
      </c>
      <c r="D677" s="222" t="s">
        <v>1984</v>
      </c>
      <c r="E677" s="222" t="s">
        <v>1985</v>
      </c>
      <c r="F677" s="222" t="s">
        <v>643</v>
      </c>
      <c r="G677" s="223">
        <v>1</v>
      </c>
      <c r="H677" s="222">
        <v>0</v>
      </c>
      <c r="I677" s="224">
        <v>32886.699999999997</v>
      </c>
      <c r="J677" s="224">
        <v>32886.699999999997</v>
      </c>
      <c r="K677" s="222" t="s">
        <v>2071</v>
      </c>
      <c r="L677" s="222">
        <v>1</v>
      </c>
      <c r="M677" s="222" t="s">
        <v>2072</v>
      </c>
      <c r="N677" s="222">
        <v>1</v>
      </c>
      <c r="O677" s="222">
        <v>0</v>
      </c>
      <c r="P677" s="225">
        <v>16</v>
      </c>
      <c r="Q677" s="224">
        <v>0</v>
      </c>
      <c r="R677" s="222">
        <v>18.059999999999999</v>
      </c>
      <c r="S677" s="226" t="str">
        <f>IFERROR(_xlfn.XLOOKUP(R677,'1_Presupuesto'!$E:$E,'1_Presupuesto'!$D:$D),"")</f>
        <v>-</v>
      </c>
    </row>
    <row r="678" spans="1:19" ht="15" customHeight="1" x14ac:dyDescent="0.35">
      <c r="A678" s="222" t="s">
        <v>2063</v>
      </c>
      <c r="B678" s="222" t="s">
        <v>13</v>
      </c>
      <c r="C678" s="222"/>
      <c r="D678" s="222" t="s">
        <v>1988</v>
      </c>
      <c r="E678" s="222" t="s">
        <v>1989</v>
      </c>
      <c r="F678" s="222"/>
      <c r="G678" s="223">
        <v>0.30769231000000002</v>
      </c>
      <c r="H678" s="222">
        <v>0</v>
      </c>
      <c r="I678" s="224">
        <v>4930.4793</v>
      </c>
      <c r="J678" s="224">
        <v>1517.0705652241829</v>
      </c>
      <c r="K678" s="222" t="s">
        <v>2073</v>
      </c>
      <c r="L678" s="222">
        <v>1</v>
      </c>
      <c r="M678" s="222" t="s">
        <v>2074</v>
      </c>
      <c r="N678" s="222">
        <v>1</v>
      </c>
      <c r="O678" s="222">
        <v>0</v>
      </c>
      <c r="P678" s="225">
        <v>16</v>
      </c>
      <c r="Q678" s="224">
        <v>0</v>
      </c>
      <c r="R678" s="222">
        <v>18.059999999999999</v>
      </c>
      <c r="S678" s="226" t="str">
        <f>IFERROR(_xlfn.XLOOKUP(R678,'1_Presupuesto'!$E:$E,'1_Presupuesto'!$D:$D),"")</f>
        <v>-</v>
      </c>
    </row>
    <row r="679" spans="1:19" ht="15" customHeight="1" x14ac:dyDescent="0.35">
      <c r="A679" s="222" t="s">
        <v>2063</v>
      </c>
      <c r="B679" s="222" t="s">
        <v>13</v>
      </c>
      <c r="C679" s="222"/>
      <c r="D679" s="222" t="s">
        <v>1067</v>
      </c>
      <c r="E679" s="222" t="s">
        <v>1068</v>
      </c>
      <c r="F679" s="222"/>
      <c r="G679" s="223">
        <v>0.15384614999999999</v>
      </c>
      <c r="H679" s="222">
        <v>0</v>
      </c>
      <c r="I679" s="224">
        <v>556.21879999999999</v>
      </c>
      <c r="J679" s="224">
        <v>85.572120937619985</v>
      </c>
      <c r="K679" s="222" t="s">
        <v>2073</v>
      </c>
      <c r="L679" s="222">
        <v>2</v>
      </c>
      <c r="M679" s="222" t="s">
        <v>2075</v>
      </c>
      <c r="N679" s="222">
        <v>1</v>
      </c>
      <c r="O679" s="222">
        <v>0</v>
      </c>
      <c r="P679" s="225">
        <v>16</v>
      </c>
      <c r="Q679" s="224">
        <v>0</v>
      </c>
      <c r="R679" s="222">
        <v>18.059999999999999</v>
      </c>
      <c r="S679" s="226" t="str">
        <f>IFERROR(_xlfn.XLOOKUP(R679,'1_Presupuesto'!$E:$E,'1_Presupuesto'!$D:$D),"")</f>
        <v>-</v>
      </c>
    </row>
    <row r="680" spans="1:19" ht="15" customHeight="1" x14ac:dyDescent="0.35">
      <c r="A680" s="222" t="s">
        <v>2063</v>
      </c>
      <c r="B680" s="222" t="s">
        <v>13</v>
      </c>
      <c r="C680" s="222"/>
      <c r="D680" s="222" t="s">
        <v>1838</v>
      </c>
      <c r="E680" s="222" t="s">
        <v>1839</v>
      </c>
      <c r="F680" s="222"/>
      <c r="G680" s="223">
        <v>0.15384614999999999</v>
      </c>
      <c r="H680" s="222">
        <v>0</v>
      </c>
      <c r="I680" s="224">
        <v>136.52590000000001</v>
      </c>
      <c r="J680" s="224">
        <v>21.003984090285002</v>
      </c>
      <c r="K680" s="222" t="s">
        <v>2073</v>
      </c>
      <c r="L680" s="222">
        <v>3</v>
      </c>
      <c r="M680" s="222" t="s">
        <v>2076</v>
      </c>
      <c r="N680" s="222">
        <v>1</v>
      </c>
      <c r="O680" s="222">
        <v>0</v>
      </c>
      <c r="P680" s="225">
        <v>16</v>
      </c>
      <c r="Q680" s="224">
        <v>0</v>
      </c>
      <c r="R680" s="222">
        <v>18.059999999999999</v>
      </c>
      <c r="S680" s="226" t="str">
        <f>IFERROR(_xlfn.XLOOKUP(R680,'1_Presupuesto'!$E:$E,'1_Presupuesto'!$D:$D),"")</f>
        <v>-</v>
      </c>
    </row>
    <row r="681" spans="1:19" ht="15" customHeight="1" x14ac:dyDescent="0.35">
      <c r="A681" s="222" t="s">
        <v>2063</v>
      </c>
      <c r="B681" s="222" t="s">
        <v>654</v>
      </c>
      <c r="C681" s="222" t="s">
        <v>655</v>
      </c>
      <c r="D681" s="222" t="s">
        <v>656</v>
      </c>
      <c r="E681" s="222" t="s">
        <v>657</v>
      </c>
      <c r="F681" s="222"/>
      <c r="G681" s="223">
        <v>1942.7465</v>
      </c>
      <c r="H681" s="222">
        <v>0</v>
      </c>
      <c r="I681" s="224">
        <v>1</v>
      </c>
      <c r="J681" s="224">
        <v>1942.7465</v>
      </c>
      <c r="K681" s="222" t="s">
        <v>2064</v>
      </c>
      <c r="L681" s="222">
        <v>7</v>
      </c>
      <c r="M681" s="222" t="s">
        <v>2077</v>
      </c>
      <c r="N681" s="222">
        <v>1</v>
      </c>
      <c r="O681" s="222">
        <v>0</v>
      </c>
      <c r="P681" s="225">
        <v>16</v>
      </c>
      <c r="Q681" s="224">
        <v>0</v>
      </c>
      <c r="R681" s="222">
        <v>18.059999999999999</v>
      </c>
      <c r="S681" s="226" t="str">
        <f>IFERROR(_xlfn.XLOOKUP(R681,'1_Presupuesto'!$E:$E,'1_Presupuesto'!$D:$D),"")</f>
        <v>-</v>
      </c>
    </row>
    <row r="682" spans="1:19" ht="15" customHeight="1" x14ac:dyDescent="0.35">
      <c r="A682" s="222" t="s">
        <v>2078</v>
      </c>
      <c r="B682" s="222" t="s">
        <v>654</v>
      </c>
      <c r="C682" s="222" t="s">
        <v>719</v>
      </c>
      <c r="D682" s="222" t="s">
        <v>1959</v>
      </c>
      <c r="E682" s="222" t="s">
        <v>1960</v>
      </c>
      <c r="F682" s="222"/>
      <c r="G682" s="223">
        <v>3.00000008</v>
      </c>
      <c r="H682" s="222">
        <v>0.1</v>
      </c>
      <c r="I682" s="224">
        <v>635.55999999999995</v>
      </c>
      <c r="J682" s="224">
        <v>2097.3480559292798</v>
      </c>
      <c r="K682" s="222" t="s">
        <v>2079</v>
      </c>
      <c r="L682" s="222">
        <v>1</v>
      </c>
      <c r="M682" s="222" t="s">
        <v>2080</v>
      </c>
      <c r="N682" s="222">
        <v>1</v>
      </c>
      <c r="O682" s="222">
        <v>0</v>
      </c>
      <c r="P682" s="225">
        <v>46</v>
      </c>
      <c r="Q682" s="224">
        <v>0</v>
      </c>
      <c r="R682" s="222">
        <v>18.07</v>
      </c>
      <c r="S682" s="226" t="str">
        <f>IFERROR(_xlfn.XLOOKUP(R682,'1_Presupuesto'!$E:$E,'1_Presupuesto'!$D:$D),"")</f>
        <v>-</v>
      </c>
    </row>
    <row r="683" spans="1:19" ht="15" customHeight="1" x14ac:dyDescent="0.35">
      <c r="A683" s="222" t="s">
        <v>2078</v>
      </c>
      <c r="B683" s="222" t="s">
        <v>654</v>
      </c>
      <c r="C683" s="222" t="s">
        <v>719</v>
      </c>
      <c r="D683" s="222" t="s">
        <v>1963</v>
      </c>
      <c r="E683" s="222" t="s">
        <v>1964</v>
      </c>
      <c r="F683" s="222"/>
      <c r="G683" s="223">
        <v>2.2500000600000001</v>
      </c>
      <c r="H683" s="222">
        <v>0.1</v>
      </c>
      <c r="I683" s="224">
        <v>254.06100000000001</v>
      </c>
      <c r="J683" s="224">
        <v>628.80099176802617</v>
      </c>
      <c r="K683" s="222" t="s">
        <v>2079</v>
      </c>
      <c r="L683" s="222">
        <v>2</v>
      </c>
      <c r="M683" s="222" t="s">
        <v>2081</v>
      </c>
      <c r="N683" s="222">
        <v>1</v>
      </c>
      <c r="O683" s="222">
        <v>0</v>
      </c>
      <c r="P683" s="225">
        <v>46</v>
      </c>
      <c r="Q683" s="224">
        <v>0</v>
      </c>
      <c r="R683" s="222">
        <v>18.07</v>
      </c>
      <c r="S683" s="226" t="str">
        <f>IFERROR(_xlfn.XLOOKUP(R683,'1_Presupuesto'!$E:$E,'1_Presupuesto'!$D:$D),"")</f>
        <v>-</v>
      </c>
    </row>
    <row r="684" spans="1:19" ht="15" customHeight="1" x14ac:dyDescent="0.35">
      <c r="A684" s="222" t="s">
        <v>2078</v>
      </c>
      <c r="B684" s="222" t="s">
        <v>654</v>
      </c>
      <c r="C684" s="222" t="s">
        <v>719</v>
      </c>
      <c r="D684" s="222" t="s">
        <v>1966</v>
      </c>
      <c r="E684" s="222" t="s">
        <v>1967</v>
      </c>
      <c r="F684" s="222"/>
      <c r="G684" s="223">
        <v>1.50000004</v>
      </c>
      <c r="H684" s="222">
        <v>0.1</v>
      </c>
      <c r="I684" s="224">
        <v>166.38300000000001</v>
      </c>
      <c r="J684" s="224">
        <v>274.53195732085197</v>
      </c>
      <c r="K684" s="222" t="s">
        <v>2079</v>
      </c>
      <c r="L684" s="222">
        <v>3</v>
      </c>
      <c r="M684" s="222" t="s">
        <v>2082</v>
      </c>
      <c r="N684" s="222">
        <v>1</v>
      </c>
      <c r="O684" s="222">
        <v>0</v>
      </c>
      <c r="P684" s="225">
        <v>46</v>
      </c>
      <c r="Q684" s="224">
        <v>0</v>
      </c>
      <c r="R684" s="222">
        <v>18.07</v>
      </c>
      <c r="S684" s="226" t="str">
        <f>IFERROR(_xlfn.XLOOKUP(R684,'1_Presupuesto'!$E:$E,'1_Presupuesto'!$D:$D),"")</f>
        <v>-</v>
      </c>
    </row>
    <row r="685" spans="1:19" ht="15" customHeight="1" x14ac:dyDescent="0.35">
      <c r="A685" s="222" t="s">
        <v>2078</v>
      </c>
      <c r="B685" s="222" t="s">
        <v>654</v>
      </c>
      <c r="C685" s="222" t="s">
        <v>719</v>
      </c>
      <c r="D685" s="222" t="s">
        <v>1969</v>
      </c>
      <c r="E685" s="222" t="s">
        <v>1970</v>
      </c>
      <c r="F685" s="222"/>
      <c r="G685" s="223">
        <v>3.7500000999999998</v>
      </c>
      <c r="H685" s="222">
        <v>0.1</v>
      </c>
      <c r="I685" s="224">
        <v>284.8</v>
      </c>
      <c r="J685" s="224">
        <v>1174.8000313279999</v>
      </c>
      <c r="K685" s="222" t="s">
        <v>2079</v>
      </c>
      <c r="L685" s="222">
        <v>4</v>
      </c>
      <c r="M685" s="222" t="s">
        <v>2083</v>
      </c>
      <c r="N685" s="222">
        <v>1</v>
      </c>
      <c r="O685" s="222">
        <v>0</v>
      </c>
      <c r="P685" s="225">
        <v>46</v>
      </c>
      <c r="Q685" s="224">
        <v>0</v>
      </c>
      <c r="R685" s="222">
        <v>18.07</v>
      </c>
      <c r="S685" s="226" t="str">
        <f>IFERROR(_xlfn.XLOOKUP(R685,'1_Presupuesto'!$E:$E,'1_Presupuesto'!$D:$D),"")</f>
        <v>-</v>
      </c>
    </row>
    <row r="686" spans="1:19" ht="15" customHeight="1" x14ac:dyDescent="0.35">
      <c r="A686" s="222" t="s">
        <v>2078</v>
      </c>
      <c r="B686" s="222" t="s">
        <v>654</v>
      </c>
      <c r="C686" s="222" t="s">
        <v>719</v>
      </c>
      <c r="D686" s="222" t="s">
        <v>1972</v>
      </c>
      <c r="E686" s="222" t="s">
        <v>1973</v>
      </c>
      <c r="F686" s="222"/>
      <c r="G686" s="223">
        <v>3.7500000999999998</v>
      </c>
      <c r="H686" s="222">
        <v>0.1</v>
      </c>
      <c r="I686" s="224">
        <v>458.38339999999999</v>
      </c>
      <c r="J686" s="224">
        <v>1890.831575422174</v>
      </c>
      <c r="K686" s="222" t="s">
        <v>2079</v>
      </c>
      <c r="L686" s="222">
        <v>5</v>
      </c>
      <c r="M686" s="222" t="s">
        <v>2084</v>
      </c>
      <c r="N686" s="222">
        <v>1</v>
      </c>
      <c r="O686" s="222">
        <v>0</v>
      </c>
      <c r="P686" s="225">
        <v>46</v>
      </c>
      <c r="Q686" s="224">
        <v>0</v>
      </c>
      <c r="R686" s="222">
        <v>18.07</v>
      </c>
      <c r="S686" s="226" t="str">
        <f>IFERROR(_xlfn.XLOOKUP(R686,'1_Presupuesto'!$E:$E,'1_Presupuesto'!$D:$D),"")</f>
        <v>-</v>
      </c>
    </row>
    <row r="687" spans="1:19" ht="15" customHeight="1" x14ac:dyDescent="0.35">
      <c r="A687" s="222" t="s">
        <v>2078</v>
      </c>
      <c r="B687" s="222" t="s">
        <v>654</v>
      </c>
      <c r="C687" s="222" t="s">
        <v>719</v>
      </c>
      <c r="D687" s="222" t="s">
        <v>1975</v>
      </c>
      <c r="E687" s="222" t="s">
        <v>1976</v>
      </c>
      <c r="F687" s="222"/>
      <c r="G687" s="223">
        <v>3.7500000999999998</v>
      </c>
      <c r="H687" s="222">
        <v>0.1</v>
      </c>
      <c r="I687" s="224">
        <v>458.38339999999999</v>
      </c>
      <c r="J687" s="224">
        <v>1890.831575422174</v>
      </c>
      <c r="K687" s="222" t="s">
        <v>2079</v>
      </c>
      <c r="L687" s="222">
        <v>6</v>
      </c>
      <c r="M687" s="222" t="s">
        <v>2085</v>
      </c>
      <c r="N687" s="222">
        <v>1</v>
      </c>
      <c r="O687" s="222">
        <v>0</v>
      </c>
      <c r="P687" s="225">
        <v>46</v>
      </c>
      <c r="Q687" s="224">
        <v>0</v>
      </c>
      <c r="R687" s="222">
        <v>18.07</v>
      </c>
      <c r="S687" s="226" t="str">
        <f>IFERROR(_xlfn.XLOOKUP(R687,'1_Presupuesto'!$E:$E,'1_Presupuesto'!$D:$D),"")</f>
        <v>-</v>
      </c>
    </row>
    <row r="688" spans="1:19" ht="15" customHeight="1" x14ac:dyDescent="0.35">
      <c r="A688" s="222" t="s">
        <v>2078</v>
      </c>
      <c r="B688" s="222" t="s">
        <v>654</v>
      </c>
      <c r="C688" s="222" t="s">
        <v>719</v>
      </c>
      <c r="D688" s="222" t="s">
        <v>1978</v>
      </c>
      <c r="E688" s="222" t="s">
        <v>1979</v>
      </c>
      <c r="F688" s="222"/>
      <c r="G688" s="223">
        <v>0.37500000999999999</v>
      </c>
      <c r="H688" s="222">
        <v>0.05</v>
      </c>
      <c r="I688" s="224">
        <v>182.178</v>
      </c>
      <c r="J688" s="224">
        <v>71.732589412869004</v>
      </c>
      <c r="K688" s="222" t="s">
        <v>2079</v>
      </c>
      <c r="L688" s="222">
        <v>7</v>
      </c>
      <c r="M688" s="222" t="s">
        <v>2086</v>
      </c>
      <c r="N688" s="222">
        <v>1</v>
      </c>
      <c r="O688" s="222">
        <v>0</v>
      </c>
      <c r="P688" s="225">
        <v>46</v>
      </c>
      <c r="Q688" s="224">
        <v>0</v>
      </c>
      <c r="R688" s="222">
        <v>18.07</v>
      </c>
      <c r="S688" s="226" t="str">
        <f>IFERROR(_xlfn.XLOOKUP(R688,'1_Presupuesto'!$E:$E,'1_Presupuesto'!$D:$D),"")</f>
        <v>-</v>
      </c>
    </row>
    <row r="689" spans="1:19" ht="15" customHeight="1" x14ac:dyDescent="0.35">
      <c r="A689" s="222" t="s">
        <v>2078</v>
      </c>
      <c r="B689" s="222" t="s">
        <v>654</v>
      </c>
      <c r="C689" s="222" t="s">
        <v>719</v>
      </c>
      <c r="D689" s="222" t="s">
        <v>1981</v>
      </c>
      <c r="E689" s="222" t="s">
        <v>1982</v>
      </c>
      <c r="F689" s="222"/>
      <c r="G689" s="223">
        <v>0.75000001999999999</v>
      </c>
      <c r="H689" s="222">
        <v>0.05</v>
      </c>
      <c r="I689" s="224">
        <v>182.178</v>
      </c>
      <c r="J689" s="224">
        <v>143.46517882573801</v>
      </c>
      <c r="K689" s="222" t="s">
        <v>2079</v>
      </c>
      <c r="L689" s="222">
        <v>8</v>
      </c>
      <c r="M689" s="222" t="s">
        <v>2087</v>
      </c>
      <c r="N689" s="222">
        <v>1</v>
      </c>
      <c r="O689" s="222">
        <v>0</v>
      </c>
      <c r="P689" s="225">
        <v>46</v>
      </c>
      <c r="Q689" s="224">
        <v>0</v>
      </c>
      <c r="R689" s="222">
        <v>18.07</v>
      </c>
      <c r="S689" s="226" t="str">
        <f>IFERROR(_xlfn.XLOOKUP(R689,'1_Presupuesto'!$E:$E,'1_Presupuesto'!$D:$D),"")</f>
        <v>-</v>
      </c>
    </row>
    <row r="690" spans="1:19" ht="15" customHeight="1" x14ac:dyDescent="0.35">
      <c r="A690" s="222" t="s">
        <v>2078</v>
      </c>
      <c r="B690" s="222" t="s">
        <v>639</v>
      </c>
      <c r="C690" s="222" t="s">
        <v>640</v>
      </c>
      <c r="D690" s="222" t="s">
        <v>2088</v>
      </c>
      <c r="E690" s="222" t="s">
        <v>2089</v>
      </c>
      <c r="F690" s="222" t="s">
        <v>643</v>
      </c>
      <c r="G690" s="223">
        <v>1</v>
      </c>
      <c r="H690" s="222">
        <v>0</v>
      </c>
      <c r="I690" s="224">
        <v>22868.3</v>
      </c>
      <c r="J690" s="224">
        <v>22868.3</v>
      </c>
      <c r="K690" s="222" t="s">
        <v>2090</v>
      </c>
      <c r="L690" s="222">
        <v>1</v>
      </c>
      <c r="M690" s="222" t="s">
        <v>2091</v>
      </c>
      <c r="N690" s="222">
        <v>1</v>
      </c>
      <c r="O690" s="222">
        <v>0</v>
      </c>
      <c r="P690" s="225">
        <v>46</v>
      </c>
      <c r="Q690" s="224">
        <v>0</v>
      </c>
      <c r="R690" s="222">
        <v>18.07</v>
      </c>
      <c r="S690" s="226" t="str">
        <f>IFERROR(_xlfn.XLOOKUP(R690,'1_Presupuesto'!$E:$E,'1_Presupuesto'!$D:$D),"")</f>
        <v>-</v>
      </c>
    </row>
    <row r="691" spans="1:19" ht="15" customHeight="1" x14ac:dyDescent="0.35">
      <c r="A691" s="222" t="s">
        <v>2078</v>
      </c>
      <c r="B691" s="222" t="s">
        <v>13</v>
      </c>
      <c r="C691" s="222"/>
      <c r="D691" s="222" t="s">
        <v>1988</v>
      </c>
      <c r="E691" s="222" t="s">
        <v>1989</v>
      </c>
      <c r="F691" s="222"/>
      <c r="G691" s="223">
        <v>0.30769231000000002</v>
      </c>
      <c r="H691" s="222">
        <v>0</v>
      </c>
      <c r="I691" s="224">
        <v>4930.4793</v>
      </c>
      <c r="J691" s="224">
        <v>1517.0705652241829</v>
      </c>
      <c r="K691" s="222" t="s">
        <v>2092</v>
      </c>
      <c r="L691" s="222">
        <v>1</v>
      </c>
      <c r="M691" s="222" t="s">
        <v>2093</v>
      </c>
      <c r="N691" s="222">
        <v>1</v>
      </c>
      <c r="O691" s="222">
        <v>0</v>
      </c>
      <c r="P691" s="225">
        <v>46</v>
      </c>
      <c r="Q691" s="224">
        <v>0</v>
      </c>
      <c r="R691" s="222">
        <v>18.07</v>
      </c>
      <c r="S691" s="226" t="str">
        <f>IFERROR(_xlfn.XLOOKUP(R691,'1_Presupuesto'!$E:$E,'1_Presupuesto'!$D:$D),"")</f>
        <v>-</v>
      </c>
    </row>
    <row r="692" spans="1:19" ht="15" customHeight="1" x14ac:dyDescent="0.35">
      <c r="A692" s="222" t="s">
        <v>2078</v>
      </c>
      <c r="B692" s="222" t="s">
        <v>13</v>
      </c>
      <c r="C692" s="222"/>
      <c r="D692" s="222" t="s">
        <v>1067</v>
      </c>
      <c r="E692" s="222" t="s">
        <v>1068</v>
      </c>
      <c r="F692" s="222"/>
      <c r="G692" s="223">
        <v>0.15384614999999999</v>
      </c>
      <c r="H692" s="222">
        <v>0</v>
      </c>
      <c r="I692" s="224">
        <v>556.21879999999999</v>
      </c>
      <c r="J692" s="224">
        <v>85.572120937619985</v>
      </c>
      <c r="K692" s="222" t="s">
        <v>2092</v>
      </c>
      <c r="L692" s="222">
        <v>2</v>
      </c>
      <c r="M692" s="222" t="s">
        <v>2094</v>
      </c>
      <c r="N692" s="222">
        <v>1</v>
      </c>
      <c r="O692" s="222">
        <v>0</v>
      </c>
      <c r="P692" s="225">
        <v>46</v>
      </c>
      <c r="Q692" s="224">
        <v>0</v>
      </c>
      <c r="R692" s="222">
        <v>18.07</v>
      </c>
      <c r="S692" s="226" t="str">
        <f>IFERROR(_xlfn.XLOOKUP(R692,'1_Presupuesto'!$E:$E,'1_Presupuesto'!$D:$D),"")</f>
        <v>-</v>
      </c>
    </row>
    <row r="693" spans="1:19" ht="15" customHeight="1" x14ac:dyDescent="0.35">
      <c r="A693" s="222" t="s">
        <v>2078</v>
      </c>
      <c r="B693" s="222" t="s">
        <v>13</v>
      </c>
      <c r="C693" s="222"/>
      <c r="D693" s="222" t="s">
        <v>1838</v>
      </c>
      <c r="E693" s="222" t="s">
        <v>1839</v>
      </c>
      <c r="F693" s="222"/>
      <c r="G693" s="223">
        <v>0.15384614999999999</v>
      </c>
      <c r="H693" s="222">
        <v>0</v>
      </c>
      <c r="I693" s="224">
        <v>136.52590000000001</v>
      </c>
      <c r="J693" s="224">
        <v>21.003984090285002</v>
      </c>
      <c r="K693" s="222" t="s">
        <v>2092</v>
      </c>
      <c r="L693" s="222">
        <v>3</v>
      </c>
      <c r="M693" s="222" t="s">
        <v>2095</v>
      </c>
      <c r="N693" s="222">
        <v>1</v>
      </c>
      <c r="O693" s="222">
        <v>0</v>
      </c>
      <c r="P693" s="225">
        <v>46</v>
      </c>
      <c r="Q693" s="224">
        <v>0</v>
      </c>
      <c r="R693" s="222">
        <v>18.07</v>
      </c>
      <c r="S693" s="226" t="str">
        <f>IFERROR(_xlfn.XLOOKUP(R693,'1_Presupuesto'!$E:$E,'1_Presupuesto'!$D:$D),"")</f>
        <v>-</v>
      </c>
    </row>
    <row r="694" spans="1:19" ht="15" customHeight="1" x14ac:dyDescent="0.35">
      <c r="A694" s="222" t="s">
        <v>2078</v>
      </c>
      <c r="B694" s="222" t="s">
        <v>654</v>
      </c>
      <c r="C694" s="222" t="s">
        <v>655</v>
      </c>
      <c r="D694" s="222" t="s">
        <v>656</v>
      </c>
      <c r="E694" s="222" t="s">
        <v>657</v>
      </c>
      <c r="F694" s="222"/>
      <c r="G694" s="223">
        <v>1716.1919</v>
      </c>
      <c r="H694" s="222">
        <v>0</v>
      </c>
      <c r="I694" s="224">
        <v>1</v>
      </c>
      <c r="J694" s="224">
        <v>1716.1919</v>
      </c>
      <c r="K694" s="222" t="s">
        <v>2079</v>
      </c>
      <c r="L694" s="222">
        <v>9</v>
      </c>
      <c r="M694" s="222" t="s">
        <v>2096</v>
      </c>
      <c r="N694" s="222">
        <v>1</v>
      </c>
      <c r="O694" s="222">
        <v>0</v>
      </c>
      <c r="P694" s="225">
        <v>46</v>
      </c>
      <c r="Q694" s="224">
        <v>0</v>
      </c>
      <c r="R694" s="222">
        <v>18.07</v>
      </c>
      <c r="S694" s="226" t="str">
        <f>IFERROR(_xlfn.XLOOKUP(R694,'1_Presupuesto'!$E:$E,'1_Presupuesto'!$D:$D),"")</f>
        <v>-</v>
      </c>
    </row>
    <row r="695" spans="1:19" ht="15" customHeight="1" x14ac:dyDescent="0.35">
      <c r="A695" s="222" t="s">
        <v>2097</v>
      </c>
      <c r="B695" s="222" t="s">
        <v>654</v>
      </c>
      <c r="C695" s="222" t="s">
        <v>719</v>
      </c>
      <c r="D695" s="222" t="s">
        <v>1959</v>
      </c>
      <c r="E695" s="222" t="s">
        <v>1960</v>
      </c>
      <c r="F695" s="222"/>
      <c r="G695" s="223">
        <v>3.00000008</v>
      </c>
      <c r="H695" s="222">
        <v>0.1</v>
      </c>
      <c r="I695" s="224">
        <v>635.55999999999995</v>
      </c>
      <c r="J695" s="224">
        <v>2097.3480559292798</v>
      </c>
      <c r="K695" s="222" t="s">
        <v>2098</v>
      </c>
      <c r="L695" s="222">
        <v>1</v>
      </c>
      <c r="M695" s="222" t="s">
        <v>2099</v>
      </c>
      <c r="N695" s="222">
        <v>1</v>
      </c>
      <c r="O695" s="222">
        <v>0</v>
      </c>
      <c r="P695" s="225">
        <v>17</v>
      </c>
      <c r="Q695" s="224">
        <v>0</v>
      </c>
      <c r="R695" s="222">
        <v>18.079999999999998</v>
      </c>
      <c r="S695" s="226" t="str">
        <f>IFERROR(_xlfn.XLOOKUP(R695,'1_Presupuesto'!$E:$E,'1_Presupuesto'!$D:$D),"")</f>
        <v>-</v>
      </c>
    </row>
    <row r="696" spans="1:19" ht="15" customHeight="1" x14ac:dyDescent="0.35">
      <c r="A696" s="222" t="s">
        <v>2097</v>
      </c>
      <c r="B696" s="222" t="s">
        <v>654</v>
      </c>
      <c r="C696" s="222" t="s">
        <v>719</v>
      </c>
      <c r="D696" s="222" t="s">
        <v>1963</v>
      </c>
      <c r="E696" s="222" t="s">
        <v>1964</v>
      </c>
      <c r="F696" s="222"/>
      <c r="G696" s="223">
        <v>2.2500000600000001</v>
      </c>
      <c r="H696" s="222">
        <v>0.1</v>
      </c>
      <c r="I696" s="224">
        <v>254.06100000000001</v>
      </c>
      <c r="J696" s="224">
        <v>628.80099176802617</v>
      </c>
      <c r="K696" s="222" t="s">
        <v>2098</v>
      </c>
      <c r="L696" s="222">
        <v>2</v>
      </c>
      <c r="M696" s="222" t="s">
        <v>2100</v>
      </c>
      <c r="N696" s="222">
        <v>1</v>
      </c>
      <c r="O696" s="222">
        <v>0</v>
      </c>
      <c r="P696" s="225">
        <v>17</v>
      </c>
      <c r="Q696" s="224">
        <v>0</v>
      </c>
      <c r="R696" s="222">
        <v>18.079999999999998</v>
      </c>
      <c r="S696" s="226" t="str">
        <f>IFERROR(_xlfn.XLOOKUP(R696,'1_Presupuesto'!$E:$E,'1_Presupuesto'!$D:$D),"")</f>
        <v>-</v>
      </c>
    </row>
    <row r="697" spans="1:19" ht="15" customHeight="1" x14ac:dyDescent="0.35">
      <c r="A697" s="222" t="s">
        <v>2097</v>
      </c>
      <c r="B697" s="222" t="s">
        <v>654</v>
      </c>
      <c r="C697" s="222" t="s">
        <v>719</v>
      </c>
      <c r="D697" s="222" t="s">
        <v>1966</v>
      </c>
      <c r="E697" s="222" t="s">
        <v>1967</v>
      </c>
      <c r="F697" s="222"/>
      <c r="G697" s="223">
        <v>1.50000004</v>
      </c>
      <c r="H697" s="222">
        <v>0.1</v>
      </c>
      <c r="I697" s="224">
        <v>166.38300000000001</v>
      </c>
      <c r="J697" s="224">
        <v>274.53195732085197</v>
      </c>
      <c r="K697" s="222" t="s">
        <v>2098</v>
      </c>
      <c r="L697" s="222">
        <v>3</v>
      </c>
      <c r="M697" s="222" t="s">
        <v>2101</v>
      </c>
      <c r="N697" s="222">
        <v>1</v>
      </c>
      <c r="O697" s="222">
        <v>0</v>
      </c>
      <c r="P697" s="225">
        <v>17</v>
      </c>
      <c r="Q697" s="224">
        <v>0</v>
      </c>
      <c r="R697" s="222">
        <v>18.079999999999998</v>
      </c>
      <c r="S697" s="226" t="str">
        <f>IFERROR(_xlfn.XLOOKUP(R697,'1_Presupuesto'!$E:$E,'1_Presupuesto'!$D:$D),"")</f>
        <v>-</v>
      </c>
    </row>
    <row r="698" spans="1:19" ht="15" customHeight="1" x14ac:dyDescent="0.35">
      <c r="A698" s="222" t="s">
        <v>2097</v>
      </c>
      <c r="B698" s="222" t="s">
        <v>654</v>
      </c>
      <c r="C698" s="222" t="s">
        <v>719</v>
      </c>
      <c r="D698" s="222" t="s">
        <v>1969</v>
      </c>
      <c r="E698" s="222" t="s">
        <v>1970</v>
      </c>
      <c r="F698" s="222"/>
      <c r="G698" s="223">
        <v>3.7500000999999998</v>
      </c>
      <c r="H698" s="222">
        <v>0.1</v>
      </c>
      <c r="I698" s="224">
        <v>284.8</v>
      </c>
      <c r="J698" s="224">
        <v>1174.8000313279999</v>
      </c>
      <c r="K698" s="222" t="s">
        <v>2098</v>
      </c>
      <c r="L698" s="222">
        <v>4</v>
      </c>
      <c r="M698" s="222" t="s">
        <v>2102</v>
      </c>
      <c r="N698" s="222">
        <v>1</v>
      </c>
      <c r="O698" s="222">
        <v>0</v>
      </c>
      <c r="P698" s="225">
        <v>17</v>
      </c>
      <c r="Q698" s="224">
        <v>0</v>
      </c>
      <c r="R698" s="222">
        <v>18.079999999999998</v>
      </c>
      <c r="S698" s="226" t="str">
        <f>IFERROR(_xlfn.XLOOKUP(R698,'1_Presupuesto'!$E:$E,'1_Presupuesto'!$D:$D),"")</f>
        <v>-</v>
      </c>
    </row>
    <row r="699" spans="1:19" ht="15" customHeight="1" x14ac:dyDescent="0.35">
      <c r="A699" s="222" t="s">
        <v>2097</v>
      </c>
      <c r="B699" s="222" t="s">
        <v>654</v>
      </c>
      <c r="C699" s="222" t="s">
        <v>719</v>
      </c>
      <c r="D699" s="222" t="s">
        <v>1972</v>
      </c>
      <c r="E699" s="222" t="s">
        <v>1973</v>
      </c>
      <c r="F699" s="222"/>
      <c r="G699" s="223">
        <v>3.7500000999999998</v>
      </c>
      <c r="H699" s="222">
        <v>0.1</v>
      </c>
      <c r="I699" s="224">
        <v>458.38339999999999</v>
      </c>
      <c r="J699" s="224">
        <v>1890.831575422174</v>
      </c>
      <c r="K699" s="222" t="s">
        <v>2098</v>
      </c>
      <c r="L699" s="222">
        <v>5</v>
      </c>
      <c r="M699" s="222" t="s">
        <v>2103</v>
      </c>
      <c r="N699" s="222">
        <v>1</v>
      </c>
      <c r="O699" s="222">
        <v>0</v>
      </c>
      <c r="P699" s="225">
        <v>17</v>
      </c>
      <c r="Q699" s="224">
        <v>0</v>
      </c>
      <c r="R699" s="222">
        <v>18.079999999999998</v>
      </c>
      <c r="S699" s="226" t="str">
        <f>IFERROR(_xlfn.XLOOKUP(R699,'1_Presupuesto'!$E:$E,'1_Presupuesto'!$D:$D),"")</f>
        <v>-</v>
      </c>
    </row>
    <row r="700" spans="1:19" ht="15" customHeight="1" x14ac:dyDescent="0.35">
      <c r="A700" s="222" t="s">
        <v>2097</v>
      </c>
      <c r="B700" s="222" t="s">
        <v>654</v>
      </c>
      <c r="C700" s="222" t="s">
        <v>719</v>
      </c>
      <c r="D700" s="222" t="s">
        <v>1975</v>
      </c>
      <c r="E700" s="222" t="s">
        <v>1976</v>
      </c>
      <c r="F700" s="222"/>
      <c r="G700" s="223">
        <v>3.7500000999999998</v>
      </c>
      <c r="H700" s="222">
        <v>0.1</v>
      </c>
      <c r="I700" s="224">
        <v>458.38339999999999</v>
      </c>
      <c r="J700" s="224">
        <v>1890.831575422174</v>
      </c>
      <c r="K700" s="222" t="s">
        <v>2098</v>
      </c>
      <c r="L700" s="222">
        <v>6</v>
      </c>
      <c r="M700" s="222" t="s">
        <v>2104</v>
      </c>
      <c r="N700" s="222">
        <v>1</v>
      </c>
      <c r="O700" s="222">
        <v>0</v>
      </c>
      <c r="P700" s="225">
        <v>17</v>
      </c>
      <c r="Q700" s="224">
        <v>0</v>
      </c>
      <c r="R700" s="222">
        <v>18.079999999999998</v>
      </c>
      <c r="S700" s="226" t="str">
        <f>IFERROR(_xlfn.XLOOKUP(R700,'1_Presupuesto'!$E:$E,'1_Presupuesto'!$D:$D),"")</f>
        <v>-</v>
      </c>
    </row>
    <row r="701" spans="1:19" ht="15" customHeight="1" x14ac:dyDescent="0.35">
      <c r="A701" s="222" t="s">
        <v>2097</v>
      </c>
      <c r="B701" s="222" t="s">
        <v>654</v>
      </c>
      <c r="C701" s="222" t="s">
        <v>719</v>
      </c>
      <c r="D701" s="222" t="s">
        <v>1978</v>
      </c>
      <c r="E701" s="222" t="s">
        <v>1979</v>
      </c>
      <c r="F701" s="222"/>
      <c r="G701" s="223">
        <v>0.37500000999999999</v>
      </c>
      <c r="H701" s="222">
        <v>0.05</v>
      </c>
      <c r="I701" s="224">
        <v>182.178</v>
      </c>
      <c r="J701" s="224">
        <v>71.732589412869004</v>
      </c>
      <c r="K701" s="222" t="s">
        <v>2098</v>
      </c>
      <c r="L701" s="222">
        <v>7</v>
      </c>
      <c r="M701" s="222" t="s">
        <v>2105</v>
      </c>
      <c r="N701" s="222">
        <v>1</v>
      </c>
      <c r="O701" s="222">
        <v>0</v>
      </c>
      <c r="P701" s="225">
        <v>17</v>
      </c>
      <c r="Q701" s="224">
        <v>0</v>
      </c>
      <c r="R701" s="222">
        <v>18.079999999999998</v>
      </c>
      <c r="S701" s="226" t="str">
        <f>IFERROR(_xlfn.XLOOKUP(R701,'1_Presupuesto'!$E:$E,'1_Presupuesto'!$D:$D),"")</f>
        <v>-</v>
      </c>
    </row>
    <row r="702" spans="1:19" ht="15" customHeight="1" x14ac:dyDescent="0.35">
      <c r="A702" s="222" t="s">
        <v>2097</v>
      </c>
      <c r="B702" s="222" t="s">
        <v>654</v>
      </c>
      <c r="C702" s="222" t="s">
        <v>719</v>
      </c>
      <c r="D702" s="222" t="s">
        <v>1981</v>
      </c>
      <c r="E702" s="222" t="s">
        <v>1982</v>
      </c>
      <c r="F702" s="222"/>
      <c r="G702" s="223">
        <v>0.75000001999999999</v>
      </c>
      <c r="H702" s="222">
        <v>0.05</v>
      </c>
      <c r="I702" s="224">
        <v>182.178</v>
      </c>
      <c r="J702" s="224">
        <v>143.46517882573801</v>
      </c>
      <c r="K702" s="222" t="s">
        <v>2098</v>
      </c>
      <c r="L702" s="222">
        <v>8</v>
      </c>
      <c r="M702" s="222" t="s">
        <v>2106</v>
      </c>
      <c r="N702" s="222">
        <v>1</v>
      </c>
      <c r="O702" s="222">
        <v>0</v>
      </c>
      <c r="P702" s="225">
        <v>17</v>
      </c>
      <c r="Q702" s="224">
        <v>0</v>
      </c>
      <c r="R702" s="222">
        <v>18.079999999999998</v>
      </c>
      <c r="S702" s="226" t="str">
        <f>IFERROR(_xlfn.XLOOKUP(R702,'1_Presupuesto'!$E:$E,'1_Presupuesto'!$D:$D),"")</f>
        <v>-</v>
      </c>
    </row>
    <row r="703" spans="1:19" ht="15" customHeight="1" x14ac:dyDescent="0.35">
      <c r="A703" s="222" t="s">
        <v>2097</v>
      </c>
      <c r="B703" s="222" t="s">
        <v>639</v>
      </c>
      <c r="C703" s="222" t="s">
        <v>640</v>
      </c>
      <c r="D703" s="222" t="s">
        <v>2088</v>
      </c>
      <c r="E703" s="222" t="s">
        <v>2089</v>
      </c>
      <c r="F703" s="222" t="s">
        <v>643</v>
      </c>
      <c r="G703" s="223">
        <v>1</v>
      </c>
      <c r="H703" s="222">
        <v>0</v>
      </c>
      <c r="I703" s="224">
        <v>22868.3</v>
      </c>
      <c r="J703" s="224">
        <v>22868.3</v>
      </c>
      <c r="K703" s="222" t="s">
        <v>2107</v>
      </c>
      <c r="L703" s="222">
        <v>1</v>
      </c>
      <c r="M703" s="222" t="s">
        <v>2108</v>
      </c>
      <c r="N703" s="222">
        <v>1</v>
      </c>
      <c r="O703" s="222">
        <v>0</v>
      </c>
      <c r="P703" s="225">
        <v>17</v>
      </c>
      <c r="Q703" s="224">
        <v>0</v>
      </c>
      <c r="R703" s="222">
        <v>18.079999999999998</v>
      </c>
      <c r="S703" s="226" t="str">
        <f>IFERROR(_xlfn.XLOOKUP(R703,'1_Presupuesto'!$E:$E,'1_Presupuesto'!$D:$D),"")</f>
        <v>-</v>
      </c>
    </row>
    <row r="704" spans="1:19" ht="15" customHeight="1" x14ac:dyDescent="0.35">
      <c r="A704" s="222" t="s">
        <v>2097</v>
      </c>
      <c r="B704" s="222" t="s">
        <v>13</v>
      </c>
      <c r="C704" s="222"/>
      <c r="D704" s="222" t="s">
        <v>1988</v>
      </c>
      <c r="E704" s="222" t="s">
        <v>1989</v>
      </c>
      <c r="F704" s="222"/>
      <c r="G704" s="223">
        <v>0.30769231000000002</v>
      </c>
      <c r="H704" s="222">
        <v>0</v>
      </c>
      <c r="I704" s="224">
        <v>4930.4793</v>
      </c>
      <c r="J704" s="224">
        <v>1517.0705652241829</v>
      </c>
      <c r="K704" s="222" t="s">
        <v>2109</v>
      </c>
      <c r="L704" s="222">
        <v>1</v>
      </c>
      <c r="M704" s="222" t="s">
        <v>2110</v>
      </c>
      <c r="N704" s="222">
        <v>1</v>
      </c>
      <c r="O704" s="222">
        <v>0</v>
      </c>
      <c r="P704" s="225">
        <v>17</v>
      </c>
      <c r="Q704" s="224">
        <v>0</v>
      </c>
      <c r="R704" s="222">
        <v>18.079999999999998</v>
      </c>
      <c r="S704" s="226" t="str">
        <f>IFERROR(_xlfn.XLOOKUP(R704,'1_Presupuesto'!$E:$E,'1_Presupuesto'!$D:$D),"")</f>
        <v>-</v>
      </c>
    </row>
    <row r="705" spans="1:19" ht="15" customHeight="1" x14ac:dyDescent="0.35">
      <c r="A705" s="222" t="s">
        <v>2097</v>
      </c>
      <c r="B705" s="222" t="s">
        <v>13</v>
      </c>
      <c r="C705" s="222"/>
      <c r="D705" s="222" t="s">
        <v>1067</v>
      </c>
      <c r="E705" s="222" t="s">
        <v>1068</v>
      </c>
      <c r="F705" s="222"/>
      <c r="G705" s="223">
        <v>0.15384614999999999</v>
      </c>
      <c r="H705" s="222">
        <v>0</v>
      </c>
      <c r="I705" s="224">
        <v>556.21879999999999</v>
      </c>
      <c r="J705" s="224">
        <v>85.572120937619985</v>
      </c>
      <c r="K705" s="222" t="s">
        <v>2109</v>
      </c>
      <c r="L705" s="222">
        <v>2</v>
      </c>
      <c r="M705" s="222" t="s">
        <v>2111</v>
      </c>
      <c r="N705" s="222">
        <v>1</v>
      </c>
      <c r="O705" s="222">
        <v>0</v>
      </c>
      <c r="P705" s="225">
        <v>17</v>
      </c>
      <c r="Q705" s="224">
        <v>0</v>
      </c>
      <c r="R705" s="222">
        <v>18.079999999999998</v>
      </c>
      <c r="S705" s="226" t="str">
        <f>IFERROR(_xlfn.XLOOKUP(R705,'1_Presupuesto'!$E:$E,'1_Presupuesto'!$D:$D),"")</f>
        <v>-</v>
      </c>
    </row>
    <row r="706" spans="1:19" ht="15" customHeight="1" x14ac:dyDescent="0.35">
      <c r="A706" s="222" t="s">
        <v>2097</v>
      </c>
      <c r="B706" s="222" t="s">
        <v>13</v>
      </c>
      <c r="C706" s="222"/>
      <c r="D706" s="222" t="s">
        <v>1838</v>
      </c>
      <c r="E706" s="222" t="s">
        <v>1839</v>
      </c>
      <c r="F706" s="222"/>
      <c r="G706" s="223">
        <v>0.15384614999999999</v>
      </c>
      <c r="H706" s="222">
        <v>0</v>
      </c>
      <c r="I706" s="224">
        <v>136.52590000000001</v>
      </c>
      <c r="J706" s="224">
        <v>21.003984090285002</v>
      </c>
      <c r="K706" s="222" t="s">
        <v>2109</v>
      </c>
      <c r="L706" s="222">
        <v>3</v>
      </c>
      <c r="M706" s="222" t="s">
        <v>2112</v>
      </c>
      <c r="N706" s="222">
        <v>1</v>
      </c>
      <c r="O706" s="222">
        <v>0</v>
      </c>
      <c r="P706" s="225">
        <v>17</v>
      </c>
      <c r="Q706" s="224">
        <v>0</v>
      </c>
      <c r="R706" s="222">
        <v>18.079999999999998</v>
      </c>
      <c r="S706" s="226" t="str">
        <f>IFERROR(_xlfn.XLOOKUP(R706,'1_Presupuesto'!$E:$E,'1_Presupuesto'!$D:$D),"")</f>
        <v>-</v>
      </c>
    </row>
    <row r="707" spans="1:19" ht="15" customHeight="1" x14ac:dyDescent="0.35">
      <c r="A707" s="222" t="s">
        <v>2097</v>
      </c>
      <c r="B707" s="222" t="s">
        <v>654</v>
      </c>
      <c r="C707" s="222" t="s">
        <v>655</v>
      </c>
      <c r="D707" s="222" t="s">
        <v>656</v>
      </c>
      <c r="E707" s="222" t="s">
        <v>657</v>
      </c>
      <c r="F707" s="222"/>
      <c r="G707" s="223">
        <v>1716.1919</v>
      </c>
      <c r="H707" s="222">
        <v>0</v>
      </c>
      <c r="I707" s="224">
        <v>1</v>
      </c>
      <c r="J707" s="224">
        <v>1716.1919</v>
      </c>
      <c r="K707" s="222" t="s">
        <v>2098</v>
      </c>
      <c r="L707" s="222">
        <v>9</v>
      </c>
      <c r="M707" s="222" t="s">
        <v>2113</v>
      </c>
      <c r="N707" s="222">
        <v>1</v>
      </c>
      <c r="O707" s="222">
        <v>0</v>
      </c>
      <c r="P707" s="225">
        <v>17</v>
      </c>
      <c r="Q707" s="224">
        <v>0</v>
      </c>
      <c r="R707" s="222">
        <v>18.079999999999998</v>
      </c>
      <c r="S707" s="226" t="str">
        <f>IFERROR(_xlfn.XLOOKUP(R707,'1_Presupuesto'!$E:$E,'1_Presupuesto'!$D:$D),"")</f>
        <v>-</v>
      </c>
    </row>
    <row r="708" spans="1:19" ht="15" customHeight="1" x14ac:dyDescent="0.35">
      <c r="A708" s="222" t="s">
        <v>2114</v>
      </c>
      <c r="B708" s="222" t="s">
        <v>654</v>
      </c>
      <c r="C708" s="222" t="s">
        <v>719</v>
      </c>
      <c r="D708" s="222" t="s">
        <v>1959</v>
      </c>
      <c r="E708" s="222" t="s">
        <v>1960</v>
      </c>
      <c r="F708" s="222"/>
      <c r="G708" s="223">
        <v>3.00000008</v>
      </c>
      <c r="H708" s="222">
        <v>0.1</v>
      </c>
      <c r="I708" s="224">
        <v>635.55999999999995</v>
      </c>
      <c r="J708" s="224">
        <v>2097.3480559292798</v>
      </c>
      <c r="K708" s="222" t="s">
        <v>2115</v>
      </c>
      <c r="L708" s="222">
        <v>1</v>
      </c>
      <c r="M708" s="222" t="s">
        <v>2116</v>
      </c>
      <c r="N708" s="222">
        <v>1</v>
      </c>
      <c r="O708" s="222">
        <v>0</v>
      </c>
      <c r="P708" s="225">
        <v>11</v>
      </c>
      <c r="Q708" s="224">
        <v>0</v>
      </c>
      <c r="R708" s="222">
        <v>18.09</v>
      </c>
      <c r="S708" s="226" t="str">
        <f>IFERROR(_xlfn.XLOOKUP(R708,'1_Presupuesto'!$E:$E,'1_Presupuesto'!$D:$D),"")</f>
        <v>-</v>
      </c>
    </row>
    <row r="709" spans="1:19" ht="15" customHeight="1" x14ac:dyDescent="0.35">
      <c r="A709" s="222" t="s">
        <v>2114</v>
      </c>
      <c r="B709" s="222" t="s">
        <v>654</v>
      </c>
      <c r="C709" s="222" t="s">
        <v>719</v>
      </c>
      <c r="D709" s="222" t="s">
        <v>1963</v>
      </c>
      <c r="E709" s="222" t="s">
        <v>1964</v>
      </c>
      <c r="F709" s="222"/>
      <c r="G709" s="223">
        <v>2.2500000600000001</v>
      </c>
      <c r="H709" s="222">
        <v>0.1</v>
      </c>
      <c r="I709" s="224">
        <v>254.06100000000001</v>
      </c>
      <c r="J709" s="224">
        <v>628.80099176802617</v>
      </c>
      <c r="K709" s="222" t="s">
        <v>2115</v>
      </c>
      <c r="L709" s="222">
        <v>2</v>
      </c>
      <c r="M709" s="222" t="s">
        <v>2117</v>
      </c>
      <c r="N709" s="222">
        <v>1</v>
      </c>
      <c r="O709" s="222">
        <v>0</v>
      </c>
      <c r="P709" s="225">
        <v>11</v>
      </c>
      <c r="Q709" s="224">
        <v>0</v>
      </c>
      <c r="R709" s="222">
        <v>18.09</v>
      </c>
      <c r="S709" s="226" t="str">
        <f>IFERROR(_xlfn.XLOOKUP(R709,'1_Presupuesto'!$E:$E,'1_Presupuesto'!$D:$D),"")</f>
        <v>-</v>
      </c>
    </row>
    <row r="710" spans="1:19" ht="15" customHeight="1" x14ac:dyDescent="0.35">
      <c r="A710" s="222" t="s">
        <v>2114</v>
      </c>
      <c r="B710" s="222" t="s">
        <v>654</v>
      </c>
      <c r="C710" s="222" t="s">
        <v>719</v>
      </c>
      <c r="D710" s="222" t="s">
        <v>1966</v>
      </c>
      <c r="E710" s="222" t="s">
        <v>1967</v>
      </c>
      <c r="F710" s="222"/>
      <c r="G710" s="223">
        <v>1.50000004</v>
      </c>
      <c r="H710" s="222">
        <v>0.1</v>
      </c>
      <c r="I710" s="224">
        <v>166.38300000000001</v>
      </c>
      <c r="J710" s="224">
        <v>274.53195732085197</v>
      </c>
      <c r="K710" s="222" t="s">
        <v>2115</v>
      </c>
      <c r="L710" s="222">
        <v>3</v>
      </c>
      <c r="M710" s="222" t="s">
        <v>2118</v>
      </c>
      <c r="N710" s="222">
        <v>1</v>
      </c>
      <c r="O710" s="222">
        <v>0</v>
      </c>
      <c r="P710" s="225">
        <v>11</v>
      </c>
      <c r="Q710" s="224">
        <v>0</v>
      </c>
      <c r="R710" s="222">
        <v>18.09</v>
      </c>
      <c r="S710" s="226" t="str">
        <f>IFERROR(_xlfn.XLOOKUP(R710,'1_Presupuesto'!$E:$E,'1_Presupuesto'!$D:$D),"")</f>
        <v>-</v>
      </c>
    </row>
    <row r="711" spans="1:19" ht="15" customHeight="1" x14ac:dyDescent="0.35">
      <c r="A711" s="222" t="s">
        <v>2114</v>
      </c>
      <c r="B711" s="222" t="s">
        <v>654</v>
      </c>
      <c r="C711" s="222" t="s">
        <v>719</v>
      </c>
      <c r="D711" s="222" t="s">
        <v>1969</v>
      </c>
      <c r="E711" s="222" t="s">
        <v>1970</v>
      </c>
      <c r="F711" s="222"/>
      <c r="G711" s="223">
        <v>3.7500000999999998</v>
      </c>
      <c r="H711" s="222">
        <v>0.1</v>
      </c>
      <c r="I711" s="224">
        <v>284.8</v>
      </c>
      <c r="J711" s="224">
        <v>1174.8000313279999</v>
      </c>
      <c r="K711" s="222" t="s">
        <v>2115</v>
      </c>
      <c r="L711" s="222">
        <v>4</v>
      </c>
      <c r="M711" s="222" t="s">
        <v>2119</v>
      </c>
      <c r="N711" s="222">
        <v>1</v>
      </c>
      <c r="O711" s="222">
        <v>0</v>
      </c>
      <c r="P711" s="225">
        <v>11</v>
      </c>
      <c r="Q711" s="224">
        <v>0</v>
      </c>
      <c r="R711" s="222">
        <v>18.09</v>
      </c>
      <c r="S711" s="226" t="str">
        <f>IFERROR(_xlfn.XLOOKUP(R711,'1_Presupuesto'!$E:$E,'1_Presupuesto'!$D:$D),"")</f>
        <v>-</v>
      </c>
    </row>
    <row r="712" spans="1:19" ht="15" customHeight="1" x14ac:dyDescent="0.35">
      <c r="A712" s="222" t="s">
        <v>2114</v>
      </c>
      <c r="B712" s="222" t="s">
        <v>654</v>
      </c>
      <c r="C712" s="222" t="s">
        <v>719</v>
      </c>
      <c r="D712" s="222" t="s">
        <v>1972</v>
      </c>
      <c r="E712" s="222" t="s">
        <v>1973</v>
      </c>
      <c r="F712" s="222"/>
      <c r="G712" s="223">
        <v>3.7500000999999998</v>
      </c>
      <c r="H712" s="222">
        <v>0.1</v>
      </c>
      <c r="I712" s="224">
        <v>458.38339999999999</v>
      </c>
      <c r="J712" s="224">
        <v>1890.831575422174</v>
      </c>
      <c r="K712" s="222" t="s">
        <v>2115</v>
      </c>
      <c r="L712" s="222">
        <v>5</v>
      </c>
      <c r="M712" s="222" t="s">
        <v>2120</v>
      </c>
      <c r="N712" s="222">
        <v>1</v>
      </c>
      <c r="O712" s="222">
        <v>0</v>
      </c>
      <c r="P712" s="225">
        <v>11</v>
      </c>
      <c r="Q712" s="224">
        <v>0</v>
      </c>
      <c r="R712" s="222">
        <v>18.09</v>
      </c>
      <c r="S712" s="226" t="str">
        <f>IFERROR(_xlfn.XLOOKUP(R712,'1_Presupuesto'!$E:$E,'1_Presupuesto'!$D:$D),"")</f>
        <v>-</v>
      </c>
    </row>
    <row r="713" spans="1:19" ht="15" customHeight="1" x14ac:dyDescent="0.35">
      <c r="A713" s="222" t="s">
        <v>2114</v>
      </c>
      <c r="B713" s="222" t="s">
        <v>654</v>
      </c>
      <c r="C713" s="222" t="s">
        <v>719</v>
      </c>
      <c r="D713" s="222" t="s">
        <v>1975</v>
      </c>
      <c r="E713" s="222" t="s">
        <v>1976</v>
      </c>
      <c r="F713" s="222"/>
      <c r="G713" s="223">
        <v>3.7500000999999998</v>
      </c>
      <c r="H713" s="222">
        <v>0.1</v>
      </c>
      <c r="I713" s="224">
        <v>458.38339999999999</v>
      </c>
      <c r="J713" s="224">
        <v>1890.831575422174</v>
      </c>
      <c r="K713" s="222" t="s">
        <v>2115</v>
      </c>
      <c r="L713" s="222">
        <v>6</v>
      </c>
      <c r="M713" s="222" t="s">
        <v>2121</v>
      </c>
      <c r="N713" s="222">
        <v>1</v>
      </c>
      <c r="O713" s="222">
        <v>0</v>
      </c>
      <c r="P713" s="225">
        <v>11</v>
      </c>
      <c r="Q713" s="224">
        <v>0</v>
      </c>
      <c r="R713" s="222">
        <v>18.09</v>
      </c>
      <c r="S713" s="226" t="str">
        <f>IFERROR(_xlfn.XLOOKUP(R713,'1_Presupuesto'!$E:$E,'1_Presupuesto'!$D:$D),"")</f>
        <v>-</v>
      </c>
    </row>
    <row r="714" spans="1:19" ht="15" customHeight="1" x14ac:dyDescent="0.35">
      <c r="A714" s="222" t="s">
        <v>2114</v>
      </c>
      <c r="B714" s="222" t="s">
        <v>654</v>
      </c>
      <c r="C714" s="222" t="s">
        <v>719</v>
      </c>
      <c r="D714" s="222" t="s">
        <v>1978</v>
      </c>
      <c r="E714" s="222" t="s">
        <v>1979</v>
      </c>
      <c r="F714" s="222"/>
      <c r="G714" s="223">
        <v>0.37500000999999999</v>
      </c>
      <c r="H714" s="222">
        <v>0.05</v>
      </c>
      <c r="I714" s="224">
        <v>182.178</v>
      </c>
      <c r="J714" s="224">
        <v>71.732589412869004</v>
      </c>
      <c r="K714" s="222" t="s">
        <v>2115</v>
      </c>
      <c r="L714" s="222">
        <v>7</v>
      </c>
      <c r="M714" s="222" t="s">
        <v>2122</v>
      </c>
      <c r="N714" s="222">
        <v>1</v>
      </c>
      <c r="O714" s="222">
        <v>0</v>
      </c>
      <c r="P714" s="225">
        <v>11</v>
      </c>
      <c r="Q714" s="224">
        <v>0</v>
      </c>
      <c r="R714" s="222">
        <v>18.09</v>
      </c>
      <c r="S714" s="226" t="str">
        <f>IFERROR(_xlfn.XLOOKUP(R714,'1_Presupuesto'!$E:$E,'1_Presupuesto'!$D:$D),"")</f>
        <v>-</v>
      </c>
    </row>
    <row r="715" spans="1:19" ht="15" customHeight="1" x14ac:dyDescent="0.35">
      <c r="A715" s="222" t="s">
        <v>2114</v>
      </c>
      <c r="B715" s="222" t="s">
        <v>654</v>
      </c>
      <c r="C715" s="222" t="s">
        <v>719</v>
      </c>
      <c r="D715" s="222" t="s">
        <v>1981</v>
      </c>
      <c r="E715" s="222" t="s">
        <v>1982</v>
      </c>
      <c r="F715" s="222"/>
      <c r="G715" s="223">
        <v>0.75000001999999999</v>
      </c>
      <c r="H715" s="222">
        <v>0.05</v>
      </c>
      <c r="I715" s="224">
        <v>182.178</v>
      </c>
      <c r="J715" s="224">
        <v>143.46517882573801</v>
      </c>
      <c r="K715" s="222" t="s">
        <v>2115</v>
      </c>
      <c r="L715" s="222">
        <v>8</v>
      </c>
      <c r="M715" s="222" t="s">
        <v>2123</v>
      </c>
      <c r="N715" s="222">
        <v>1</v>
      </c>
      <c r="O715" s="222">
        <v>0</v>
      </c>
      <c r="P715" s="225">
        <v>11</v>
      </c>
      <c r="Q715" s="224">
        <v>0</v>
      </c>
      <c r="R715" s="222">
        <v>18.09</v>
      </c>
      <c r="S715" s="226" t="str">
        <f>IFERROR(_xlfn.XLOOKUP(R715,'1_Presupuesto'!$E:$E,'1_Presupuesto'!$D:$D),"")</f>
        <v>-</v>
      </c>
    </row>
    <row r="716" spans="1:19" ht="15" customHeight="1" x14ac:dyDescent="0.35">
      <c r="A716" s="222" t="s">
        <v>2114</v>
      </c>
      <c r="B716" s="222" t="s">
        <v>639</v>
      </c>
      <c r="C716" s="222" t="s">
        <v>640</v>
      </c>
      <c r="D716" s="222" t="s">
        <v>2088</v>
      </c>
      <c r="E716" s="222" t="s">
        <v>2089</v>
      </c>
      <c r="F716" s="222" t="s">
        <v>643</v>
      </c>
      <c r="G716" s="223">
        <v>1</v>
      </c>
      <c r="H716" s="222">
        <v>0</v>
      </c>
      <c r="I716" s="224">
        <v>22868.3</v>
      </c>
      <c r="J716" s="224">
        <v>22868.3</v>
      </c>
      <c r="K716" s="222" t="s">
        <v>2124</v>
      </c>
      <c r="L716" s="222">
        <v>1</v>
      </c>
      <c r="M716" s="222" t="s">
        <v>2125</v>
      </c>
      <c r="N716" s="222">
        <v>1</v>
      </c>
      <c r="O716" s="222">
        <v>0</v>
      </c>
      <c r="P716" s="225">
        <v>11</v>
      </c>
      <c r="Q716" s="224">
        <v>0</v>
      </c>
      <c r="R716" s="222">
        <v>18.09</v>
      </c>
      <c r="S716" s="226" t="str">
        <f>IFERROR(_xlfn.XLOOKUP(R716,'1_Presupuesto'!$E:$E,'1_Presupuesto'!$D:$D),"")</f>
        <v>-</v>
      </c>
    </row>
    <row r="717" spans="1:19" ht="15" customHeight="1" x14ac:dyDescent="0.35">
      <c r="A717" s="222" t="s">
        <v>2114</v>
      </c>
      <c r="B717" s="222" t="s">
        <v>13</v>
      </c>
      <c r="C717" s="222"/>
      <c r="D717" s="222" t="s">
        <v>1988</v>
      </c>
      <c r="E717" s="222" t="s">
        <v>1989</v>
      </c>
      <c r="F717" s="222"/>
      <c r="G717" s="223">
        <v>0.30769231000000002</v>
      </c>
      <c r="H717" s="222">
        <v>0</v>
      </c>
      <c r="I717" s="224">
        <v>4930.4793</v>
      </c>
      <c r="J717" s="224">
        <v>1517.0705652241829</v>
      </c>
      <c r="K717" s="222" t="s">
        <v>2126</v>
      </c>
      <c r="L717" s="222">
        <v>1</v>
      </c>
      <c r="M717" s="222" t="s">
        <v>2127</v>
      </c>
      <c r="N717" s="222">
        <v>1</v>
      </c>
      <c r="O717" s="222">
        <v>0</v>
      </c>
      <c r="P717" s="225">
        <v>11</v>
      </c>
      <c r="Q717" s="224">
        <v>0</v>
      </c>
      <c r="R717" s="222">
        <v>18.09</v>
      </c>
      <c r="S717" s="226" t="str">
        <f>IFERROR(_xlfn.XLOOKUP(R717,'1_Presupuesto'!$E:$E,'1_Presupuesto'!$D:$D),"")</f>
        <v>-</v>
      </c>
    </row>
    <row r="718" spans="1:19" ht="15" customHeight="1" x14ac:dyDescent="0.35">
      <c r="A718" s="222" t="s">
        <v>2114</v>
      </c>
      <c r="B718" s="222" t="s">
        <v>13</v>
      </c>
      <c r="C718" s="222"/>
      <c r="D718" s="222" t="s">
        <v>1067</v>
      </c>
      <c r="E718" s="222" t="s">
        <v>1068</v>
      </c>
      <c r="F718" s="222"/>
      <c r="G718" s="223">
        <v>0.15384614999999999</v>
      </c>
      <c r="H718" s="222">
        <v>0</v>
      </c>
      <c r="I718" s="224">
        <v>556.21879999999999</v>
      </c>
      <c r="J718" s="224">
        <v>85.572120937619985</v>
      </c>
      <c r="K718" s="222" t="s">
        <v>2126</v>
      </c>
      <c r="L718" s="222">
        <v>2</v>
      </c>
      <c r="M718" s="222" t="s">
        <v>2128</v>
      </c>
      <c r="N718" s="222">
        <v>1</v>
      </c>
      <c r="O718" s="222">
        <v>0</v>
      </c>
      <c r="P718" s="225">
        <v>11</v>
      </c>
      <c r="Q718" s="224">
        <v>0</v>
      </c>
      <c r="R718" s="222">
        <v>18.09</v>
      </c>
      <c r="S718" s="226" t="str">
        <f>IFERROR(_xlfn.XLOOKUP(R718,'1_Presupuesto'!$E:$E,'1_Presupuesto'!$D:$D),"")</f>
        <v>-</v>
      </c>
    </row>
    <row r="719" spans="1:19" ht="15" customHeight="1" x14ac:dyDescent="0.35">
      <c r="A719" s="222" t="s">
        <v>2114</v>
      </c>
      <c r="B719" s="222" t="s">
        <v>13</v>
      </c>
      <c r="C719" s="222"/>
      <c r="D719" s="222" t="s">
        <v>1838</v>
      </c>
      <c r="E719" s="222" t="s">
        <v>1839</v>
      </c>
      <c r="F719" s="222"/>
      <c r="G719" s="223">
        <v>0.15384614999999999</v>
      </c>
      <c r="H719" s="222">
        <v>0</v>
      </c>
      <c r="I719" s="224">
        <v>136.52590000000001</v>
      </c>
      <c r="J719" s="224">
        <v>21.003984090285002</v>
      </c>
      <c r="K719" s="222" t="s">
        <v>2126</v>
      </c>
      <c r="L719" s="222">
        <v>3</v>
      </c>
      <c r="M719" s="222" t="s">
        <v>2129</v>
      </c>
      <c r="N719" s="222">
        <v>1</v>
      </c>
      <c r="O719" s="222">
        <v>0</v>
      </c>
      <c r="P719" s="225">
        <v>11</v>
      </c>
      <c r="Q719" s="224">
        <v>0</v>
      </c>
      <c r="R719" s="222">
        <v>18.09</v>
      </c>
      <c r="S719" s="226" t="str">
        <f>IFERROR(_xlfn.XLOOKUP(R719,'1_Presupuesto'!$E:$E,'1_Presupuesto'!$D:$D),"")</f>
        <v>-</v>
      </c>
    </row>
    <row r="720" spans="1:19" ht="15" customHeight="1" x14ac:dyDescent="0.35">
      <c r="A720" s="222" t="s">
        <v>2114</v>
      </c>
      <c r="B720" s="222" t="s">
        <v>654</v>
      </c>
      <c r="C720" s="222" t="s">
        <v>655</v>
      </c>
      <c r="D720" s="222" t="s">
        <v>656</v>
      </c>
      <c r="E720" s="222" t="s">
        <v>657</v>
      </c>
      <c r="F720" s="222"/>
      <c r="G720" s="223">
        <v>1716.1919</v>
      </c>
      <c r="H720" s="222">
        <v>0</v>
      </c>
      <c r="I720" s="224">
        <v>1</v>
      </c>
      <c r="J720" s="224">
        <v>1716.1919</v>
      </c>
      <c r="K720" s="222" t="s">
        <v>2115</v>
      </c>
      <c r="L720" s="222">
        <v>9</v>
      </c>
      <c r="M720" s="222" t="s">
        <v>2130</v>
      </c>
      <c r="N720" s="222">
        <v>1</v>
      </c>
      <c r="O720" s="222">
        <v>0</v>
      </c>
      <c r="P720" s="225">
        <v>11</v>
      </c>
      <c r="Q720" s="224">
        <v>0</v>
      </c>
      <c r="R720" s="222">
        <v>18.09</v>
      </c>
      <c r="S720" s="226" t="str">
        <f>IFERROR(_xlfn.XLOOKUP(R720,'1_Presupuesto'!$E:$E,'1_Presupuesto'!$D:$D),"")</f>
        <v>-</v>
      </c>
    </row>
    <row r="721" spans="1:19" ht="15" customHeight="1" x14ac:dyDescent="0.35">
      <c r="A721" s="222" t="s">
        <v>2131</v>
      </c>
      <c r="B721" s="222" t="s">
        <v>654</v>
      </c>
      <c r="C721" s="222" t="s">
        <v>640</v>
      </c>
      <c r="D721" s="222" t="s">
        <v>2132</v>
      </c>
      <c r="E721" s="222" t="s">
        <v>2133</v>
      </c>
      <c r="F721" s="222" t="s">
        <v>66</v>
      </c>
      <c r="G721" s="223">
        <v>4</v>
      </c>
      <c r="H721" s="222">
        <v>0</v>
      </c>
      <c r="I721" s="224">
        <v>26757.217000000001</v>
      </c>
      <c r="J721" s="224">
        <v>107028.868</v>
      </c>
      <c r="K721" s="222" t="s">
        <v>2134</v>
      </c>
      <c r="L721" s="222">
        <v>1</v>
      </c>
      <c r="M721" s="222" t="s">
        <v>2135</v>
      </c>
      <c r="N721" s="222">
        <v>1</v>
      </c>
      <c r="O721" s="222">
        <v>0</v>
      </c>
      <c r="P721" s="225">
        <v>1</v>
      </c>
      <c r="Q721" s="224">
        <v>0</v>
      </c>
      <c r="R721" s="222">
        <v>18.100000000000001</v>
      </c>
      <c r="S721" s="226" t="str">
        <f>IFERROR(_xlfn.XLOOKUP(R721,'1_Presupuesto'!$E:$E,'1_Presupuesto'!$D:$D),"")</f>
        <v>-</v>
      </c>
    </row>
    <row r="722" spans="1:19" ht="15" customHeight="1" x14ac:dyDescent="0.35">
      <c r="A722" s="222" t="s">
        <v>2131</v>
      </c>
      <c r="B722" s="222" t="s">
        <v>654</v>
      </c>
      <c r="C722" s="222" t="s">
        <v>640</v>
      </c>
      <c r="D722" s="222" t="s">
        <v>2136</v>
      </c>
      <c r="E722" s="222" t="s">
        <v>2137</v>
      </c>
      <c r="F722" s="222" t="s">
        <v>66</v>
      </c>
      <c r="G722" s="223">
        <v>1</v>
      </c>
      <c r="H722" s="222">
        <v>0</v>
      </c>
      <c r="I722" s="224">
        <v>51788.8295</v>
      </c>
      <c r="J722" s="224">
        <v>51788.8295</v>
      </c>
      <c r="K722" s="222" t="s">
        <v>2134</v>
      </c>
      <c r="L722" s="222">
        <v>2</v>
      </c>
      <c r="M722" s="222" t="s">
        <v>2138</v>
      </c>
      <c r="N722" s="222">
        <v>1</v>
      </c>
      <c r="O722" s="222">
        <v>0</v>
      </c>
      <c r="P722" s="225">
        <v>1</v>
      </c>
      <c r="Q722" s="224">
        <v>0</v>
      </c>
      <c r="R722" s="222">
        <v>18.100000000000001</v>
      </c>
      <c r="S722" s="226" t="str">
        <f>IFERROR(_xlfn.XLOOKUP(R722,'1_Presupuesto'!$E:$E,'1_Presupuesto'!$D:$D),"")</f>
        <v>-</v>
      </c>
    </row>
    <row r="723" spans="1:19" ht="15" customHeight="1" x14ac:dyDescent="0.35">
      <c r="A723" s="222" t="s">
        <v>2131</v>
      </c>
      <c r="B723" s="222" t="s">
        <v>654</v>
      </c>
      <c r="C723" s="222" t="s">
        <v>640</v>
      </c>
      <c r="D723" s="222" t="s">
        <v>2139</v>
      </c>
      <c r="E723" s="222" t="s">
        <v>2140</v>
      </c>
      <c r="F723" s="222" t="s">
        <v>66</v>
      </c>
      <c r="G723" s="223">
        <v>1</v>
      </c>
      <c r="H723" s="222">
        <v>0</v>
      </c>
      <c r="I723" s="224">
        <v>62722.718699999998</v>
      </c>
      <c r="J723" s="224">
        <v>62722.718699999998</v>
      </c>
      <c r="K723" s="222" t="s">
        <v>2134</v>
      </c>
      <c r="L723" s="222">
        <v>3</v>
      </c>
      <c r="M723" s="222" t="s">
        <v>2141</v>
      </c>
      <c r="N723" s="222">
        <v>1</v>
      </c>
      <c r="O723" s="222">
        <v>0</v>
      </c>
      <c r="P723" s="225">
        <v>1</v>
      </c>
      <c r="Q723" s="224">
        <v>0</v>
      </c>
      <c r="R723" s="222">
        <v>18.100000000000001</v>
      </c>
      <c r="S723" s="226" t="str">
        <f>IFERROR(_xlfn.XLOOKUP(R723,'1_Presupuesto'!$E:$E,'1_Presupuesto'!$D:$D),"")</f>
        <v>-</v>
      </c>
    </row>
    <row r="724" spans="1:19" ht="15" customHeight="1" x14ac:dyDescent="0.35">
      <c r="A724" s="222" t="s">
        <v>2131</v>
      </c>
      <c r="B724" s="222" t="s">
        <v>654</v>
      </c>
      <c r="C724" s="222" t="s">
        <v>640</v>
      </c>
      <c r="D724" s="222" t="s">
        <v>2142</v>
      </c>
      <c r="E724" s="222" t="s">
        <v>2143</v>
      </c>
      <c r="F724" s="222" t="s">
        <v>66</v>
      </c>
      <c r="G724" s="223">
        <v>5</v>
      </c>
      <c r="H724" s="222">
        <v>0</v>
      </c>
      <c r="I724" s="224">
        <v>7624.2992000000004</v>
      </c>
      <c r="J724" s="224">
        <v>38121.495999999999</v>
      </c>
      <c r="K724" s="222" t="s">
        <v>2134</v>
      </c>
      <c r="L724" s="222">
        <v>4</v>
      </c>
      <c r="M724" s="222" t="s">
        <v>2144</v>
      </c>
      <c r="N724" s="222">
        <v>1</v>
      </c>
      <c r="O724" s="222">
        <v>0</v>
      </c>
      <c r="P724" s="225">
        <v>1</v>
      </c>
      <c r="Q724" s="224">
        <v>0</v>
      </c>
      <c r="R724" s="222">
        <v>18.100000000000001</v>
      </c>
      <c r="S724" s="226" t="str">
        <f>IFERROR(_xlfn.XLOOKUP(R724,'1_Presupuesto'!$E:$E,'1_Presupuesto'!$D:$D),"")</f>
        <v>-</v>
      </c>
    </row>
    <row r="725" spans="1:19" ht="15" customHeight="1" x14ac:dyDescent="0.35">
      <c r="A725" s="222" t="s">
        <v>2131</v>
      </c>
      <c r="B725" s="222" t="s">
        <v>654</v>
      </c>
      <c r="C725" s="222" t="s">
        <v>640</v>
      </c>
      <c r="D725" s="222" t="s">
        <v>2145</v>
      </c>
      <c r="E725" s="222" t="s">
        <v>2146</v>
      </c>
      <c r="F725" s="222" t="s">
        <v>66</v>
      </c>
      <c r="G725" s="223">
        <v>10</v>
      </c>
      <c r="H725" s="222">
        <v>0</v>
      </c>
      <c r="I725" s="224">
        <v>7624.2992000000004</v>
      </c>
      <c r="J725" s="224">
        <v>76242.991999999998</v>
      </c>
      <c r="K725" s="222" t="s">
        <v>2134</v>
      </c>
      <c r="L725" s="222">
        <v>5</v>
      </c>
      <c r="M725" s="222" t="s">
        <v>2147</v>
      </c>
      <c r="N725" s="222">
        <v>1</v>
      </c>
      <c r="O725" s="222">
        <v>0</v>
      </c>
      <c r="P725" s="225">
        <v>1</v>
      </c>
      <c r="Q725" s="224">
        <v>0</v>
      </c>
      <c r="R725" s="222">
        <v>18.100000000000001</v>
      </c>
      <c r="S725" s="226" t="str">
        <f>IFERROR(_xlfn.XLOOKUP(R725,'1_Presupuesto'!$E:$E,'1_Presupuesto'!$D:$D),"")</f>
        <v>-</v>
      </c>
    </row>
    <row r="726" spans="1:19" ht="15" customHeight="1" x14ac:dyDescent="0.35">
      <c r="A726" s="222" t="s">
        <v>2131</v>
      </c>
      <c r="B726" s="222" t="s">
        <v>654</v>
      </c>
      <c r="C726" s="222" t="s">
        <v>640</v>
      </c>
      <c r="D726" s="222" t="s">
        <v>2148</v>
      </c>
      <c r="E726" s="222" t="s">
        <v>2149</v>
      </c>
      <c r="F726" s="222" t="s">
        <v>66</v>
      </c>
      <c r="G726" s="223">
        <v>1</v>
      </c>
      <c r="H726" s="222">
        <v>0</v>
      </c>
      <c r="I726" s="224">
        <v>16112.078299999999</v>
      </c>
      <c r="J726" s="224">
        <v>16112.078299999999</v>
      </c>
      <c r="K726" s="222" t="s">
        <v>2134</v>
      </c>
      <c r="L726" s="222">
        <v>6</v>
      </c>
      <c r="M726" s="222" t="s">
        <v>2150</v>
      </c>
      <c r="N726" s="222">
        <v>1</v>
      </c>
      <c r="O726" s="222">
        <v>0</v>
      </c>
      <c r="P726" s="225">
        <v>1</v>
      </c>
      <c r="Q726" s="224">
        <v>0</v>
      </c>
      <c r="R726" s="222">
        <v>18.100000000000001</v>
      </c>
      <c r="S726" s="226" t="str">
        <f>IFERROR(_xlfn.XLOOKUP(R726,'1_Presupuesto'!$E:$E,'1_Presupuesto'!$D:$D),"")</f>
        <v>-</v>
      </c>
    </row>
    <row r="727" spans="1:19" ht="15" customHeight="1" x14ac:dyDescent="0.35">
      <c r="A727" s="222" t="s">
        <v>2131</v>
      </c>
      <c r="B727" s="222" t="s">
        <v>654</v>
      </c>
      <c r="C727" s="222" t="s">
        <v>640</v>
      </c>
      <c r="D727" s="222" t="s">
        <v>2151</v>
      </c>
      <c r="E727" s="222" t="s">
        <v>2152</v>
      </c>
      <c r="F727" s="222" t="s">
        <v>66</v>
      </c>
      <c r="G727" s="223">
        <v>1</v>
      </c>
      <c r="H727" s="222">
        <v>0</v>
      </c>
      <c r="I727" s="224">
        <v>17262.943200000002</v>
      </c>
      <c r="J727" s="224">
        <v>17262.943200000002</v>
      </c>
      <c r="K727" s="222" t="s">
        <v>2134</v>
      </c>
      <c r="L727" s="222">
        <v>7</v>
      </c>
      <c r="M727" s="222" t="s">
        <v>2153</v>
      </c>
      <c r="N727" s="222">
        <v>1</v>
      </c>
      <c r="O727" s="222">
        <v>0</v>
      </c>
      <c r="P727" s="225">
        <v>1</v>
      </c>
      <c r="Q727" s="224">
        <v>0</v>
      </c>
      <c r="R727" s="222">
        <v>18.100000000000001</v>
      </c>
      <c r="S727" s="226" t="str">
        <f>IFERROR(_xlfn.XLOOKUP(R727,'1_Presupuesto'!$E:$E,'1_Presupuesto'!$D:$D),"")</f>
        <v>-</v>
      </c>
    </row>
    <row r="728" spans="1:19" ht="15" customHeight="1" x14ac:dyDescent="0.35">
      <c r="A728" s="222" t="s">
        <v>2131</v>
      </c>
      <c r="B728" s="222" t="s">
        <v>654</v>
      </c>
      <c r="C728" s="222" t="s">
        <v>640</v>
      </c>
      <c r="D728" s="222" t="s">
        <v>2154</v>
      </c>
      <c r="E728" s="222" t="s">
        <v>2155</v>
      </c>
      <c r="F728" s="222" t="s">
        <v>66</v>
      </c>
      <c r="G728" s="223">
        <v>1</v>
      </c>
      <c r="H728" s="222">
        <v>0</v>
      </c>
      <c r="I728" s="224">
        <v>297024.26539999997</v>
      </c>
      <c r="J728" s="224">
        <v>297024.26539999997</v>
      </c>
      <c r="K728" s="222" t="s">
        <v>2134</v>
      </c>
      <c r="L728" s="222">
        <v>8</v>
      </c>
      <c r="M728" s="222" t="s">
        <v>2156</v>
      </c>
      <c r="N728" s="222">
        <v>1</v>
      </c>
      <c r="O728" s="222">
        <v>0</v>
      </c>
      <c r="P728" s="225">
        <v>1</v>
      </c>
      <c r="Q728" s="224">
        <v>0</v>
      </c>
      <c r="R728" s="222">
        <v>18.100000000000001</v>
      </c>
      <c r="S728" s="226" t="str">
        <f>IFERROR(_xlfn.XLOOKUP(R728,'1_Presupuesto'!$E:$E,'1_Presupuesto'!$D:$D),"")</f>
        <v>-</v>
      </c>
    </row>
    <row r="729" spans="1:19" ht="15" customHeight="1" x14ac:dyDescent="0.35">
      <c r="A729" s="222" t="s">
        <v>2131</v>
      </c>
      <c r="B729" s="222" t="s">
        <v>654</v>
      </c>
      <c r="C729" s="222" t="s">
        <v>640</v>
      </c>
      <c r="D729" s="222" t="s">
        <v>2157</v>
      </c>
      <c r="E729" s="222" t="s">
        <v>2158</v>
      </c>
      <c r="F729" s="222" t="s">
        <v>66</v>
      </c>
      <c r="G729" s="223">
        <v>1</v>
      </c>
      <c r="H729" s="222">
        <v>0</v>
      </c>
      <c r="I729" s="224">
        <v>106731.8746</v>
      </c>
      <c r="J729" s="224">
        <v>106731.8746</v>
      </c>
      <c r="K729" s="222" t="s">
        <v>2134</v>
      </c>
      <c r="L729" s="222">
        <v>9</v>
      </c>
      <c r="M729" s="222" t="s">
        <v>2159</v>
      </c>
      <c r="N729" s="222">
        <v>1</v>
      </c>
      <c r="O729" s="222">
        <v>0</v>
      </c>
      <c r="P729" s="225">
        <v>1</v>
      </c>
      <c r="Q729" s="224">
        <v>0</v>
      </c>
      <c r="R729" s="222">
        <v>18.100000000000001</v>
      </c>
      <c r="S729" s="226" t="str">
        <f>IFERROR(_xlfn.XLOOKUP(R729,'1_Presupuesto'!$E:$E,'1_Presupuesto'!$D:$D),"")</f>
        <v>-</v>
      </c>
    </row>
    <row r="730" spans="1:19" ht="15" customHeight="1" x14ac:dyDescent="0.35">
      <c r="A730" s="222" t="s">
        <v>2131</v>
      </c>
      <c r="B730" s="222" t="s">
        <v>654</v>
      </c>
      <c r="C730" s="222" t="s">
        <v>640</v>
      </c>
      <c r="D730" s="222" t="s">
        <v>2160</v>
      </c>
      <c r="E730" s="222" t="s">
        <v>2161</v>
      </c>
      <c r="F730" s="222" t="s">
        <v>66</v>
      </c>
      <c r="G730" s="223">
        <v>4</v>
      </c>
      <c r="H730" s="222">
        <v>0</v>
      </c>
      <c r="I730" s="224">
        <v>5662.3777</v>
      </c>
      <c r="J730" s="224">
        <v>22649.5108</v>
      </c>
      <c r="K730" s="222" t="s">
        <v>2134</v>
      </c>
      <c r="L730" s="222">
        <v>10</v>
      </c>
      <c r="M730" s="222" t="s">
        <v>2162</v>
      </c>
      <c r="N730" s="222">
        <v>1</v>
      </c>
      <c r="O730" s="222">
        <v>0</v>
      </c>
      <c r="P730" s="225">
        <v>1</v>
      </c>
      <c r="Q730" s="224">
        <v>0</v>
      </c>
      <c r="R730" s="222">
        <v>18.100000000000001</v>
      </c>
      <c r="S730" s="226" t="str">
        <f>IFERROR(_xlfn.XLOOKUP(R730,'1_Presupuesto'!$E:$E,'1_Presupuesto'!$D:$D),"")</f>
        <v>-</v>
      </c>
    </row>
    <row r="731" spans="1:19" ht="15" customHeight="1" x14ac:dyDescent="0.35">
      <c r="A731" s="222" t="s">
        <v>2131</v>
      </c>
      <c r="B731" s="222" t="s">
        <v>654</v>
      </c>
      <c r="C731" s="222" t="s">
        <v>640</v>
      </c>
      <c r="D731" s="222" t="s">
        <v>2163</v>
      </c>
      <c r="E731" s="222" t="s">
        <v>2164</v>
      </c>
      <c r="F731" s="222" t="s">
        <v>66</v>
      </c>
      <c r="G731" s="223">
        <v>4</v>
      </c>
      <c r="H731" s="222">
        <v>0</v>
      </c>
      <c r="I731" s="224">
        <v>16325.561400000001</v>
      </c>
      <c r="J731" s="224">
        <v>65302.245600000002</v>
      </c>
      <c r="K731" s="222" t="s">
        <v>2134</v>
      </c>
      <c r="L731" s="222">
        <v>11</v>
      </c>
      <c r="M731" s="222" t="s">
        <v>2165</v>
      </c>
      <c r="N731" s="222">
        <v>1</v>
      </c>
      <c r="O731" s="222">
        <v>0</v>
      </c>
      <c r="P731" s="225">
        <v>1</v>
      </c>
      <c r="Q731" s="224">
        <v>0</v>
      </c>
      <c r="R731" s="222">
        <v>18.100000000000001</v>
      </c>
      <c r="S731" s="226" t="str">
        <f>IFERROR(_xlfn.XLOOKUP(R731,'1_Presupuesto'!$E:$E,'1_Presupuesto'!$D:$D),"")</f>
        <v>-</v>
      </c>
    </row>
    <row r="732" spans="1:19" ht="15" customHeight="1" x14ac:dyDescent="0.35">
      <c r="A732" s="222" t="s">
        <v>2131</v>
      </c>
      <c r="B732" s="222" t="s">
        <v>654</v>
      </c>
      <c r="C732" s="222" t="s">
        <v>640</v>
      </c>
      <c r="D732" s="222" t="s">
        <v>2166</v>
      </c>
      <c r="E732" s="222" t="s">
        <v>2167</v>
      </c>
      <c r="F732" s="222" t="s">
        <v>66</v>
      </c>
      <c r="G732" s="223">
        <v>12</v>
      </c>
      <c r="H732" s="222">
        <v>0</v>
      </c>
      <c r="I732" s="224">
        <v>10323.0087</v>
      </c>
      <c r="J732" s="224">
        <v>123876.1044</v>
      </c>
      <c r="K732" s="222" t="s">
        <v>2134</v>
      </c>
      <c r="L732" s="222">
        <v>12</v>
      </c>
      <c r="M732" s="222" t="s">
        <v>2168</v>
      </c>
      <c r="N732" s="222">
        <v>1</v>
      </c>
      <c r="O732" s="222">
        <v>0</v>
      </c>
      <c r="P732" s="225">
        <v>1</v>
      </c>
      <c r="Q732" s="224">
        <v>0</v>
      </c>
      <c r="R732" s="222">
        <v>18.100000000000001</v>
      </c>
      <c r="S732" s="226" t="str">
        <f>IFERROR(_xlfn.XLOOKUP(R732,'1_Presupuesto'!$E:$E,'1_Presupuesto'!$D:$D),"")</f>
        <v>-</v>
      </c>
    </row>
    <row r="733" spans="1:19" ht="15" customHeight="1" x14ac:dyDescent="0.35">
      <c r="A733" s="222" t="s">
        <v>2131</v>
      </c>
      <c r="B733" s="222" t="s">
        <v>654</v>
      </c>
      <c r="C733" s="222" t="s">
        <v>640</v>
      </c>
      <c r="D733" s="222" t="s">
        <v>2169</v>
      </c>
      <c r="E733" s="222" t="s">
        <v>2170</v>
      </c>
      <c r="F733" s="222" t="s">
        <v>66</v>
      </c>
      <c r="G733" s="223">
        <v>1</v>
      </c>
      <c r="H733" s="222">
        <v>0</v>
      </c>
      <c r="I733" s="224">
        <v>174931.16149999999</v>
      </c>
      <c r="J733" s="224">
        <v>174931.16149999999</v>
      </c>
      <c r="K733" s="222" t="s">
        <v>2134</v>
      </c>
      <c r="L733" s="222">
        <v>13</v>
      </c>
      <c r="M733" s="222" t="s">
        <v>2171</v>
      </c>
      <c r="N733" s="222">
        <v>1</v>
      </c>
      <c r="O733" s="222">
        <v>0</v>
      </c>
      <c r="P733" s="225">
        <v>1</v>
      </c>
      <c r="Q733" s="224">
        <v>0</v>
      </c>
      <c r="R733" s="222">
        <v>18.100000000000001</v>
      </c>
      <c r="S733" s="226" t="str">
        <f>IFERROR(_xlfn.XLOOKUP(R733,'1_Presupuesto'!$E:$E,'1_Presupuesto'!$D:$D),"")</f>
        <v>-</v>
      </c>
    </row>
    <row r="734" spans="1:19" ht="15" customHeight="1" x14ac:dyDescent="0.35">
      <c r="A734" s="222" t="s">
        <v>2131</v>
      </c>
      <c r="B734" s="222" t="s">
        <v>654</v>
      </c>
      <c r="C734" s="222" t="s">
        <v>640</v>
      </c>
      <c r="D734" s="222" t="s">
        <v>2172</v>
      </c>
      <c r="E734" s="222" t="s">
        <v>2173</v>
      </c>
      <c r="F734" s="222" t="s">
        <v>66</v>
      </c>
      <c r="G734" s="223">
        <v>1</v>
      </c>
      <c r="H734" s="222">
        <v>0</v>
      </c>
      <c r="I734" s="224">
        <v>157716.45379999999</v>
      </c>
      <c r="J734" s="224">
        <v>157716.45379999999</v>
      </c>
      <c r="K734" s="222" t="s">
        <v>2134</v>
      </c>
      <c r="L734" s="222">
        <v>14</v>
      </c>
      <c r="M734" s="222" t="s">
        <v>2174</v>
      </c>
      <c r="N734" s="222">
        <v>1</v>
      </c>
      <c r="O734" s="222">
        <v>0</v>
      </c>
      <c r="P734" s="225">
        <v>1</v>
      </c>
      <c r="Q734" s="224">
        <v>0</v>
      </c>
      <c r="R734" s="222">
        <v>18.100000000000001</v>
      </c>
      <c r="S734" s="226" t="str">
        <f>IFERROR(_xlfn.XLOOKUP(R734,'1_Presupuesto'!$E:$E,'1_Presupuesto'!$D:$D),"")</f>
        <v>-</v>
      </c>
    </row>
    <row r="735" spans="1:19" ht="15" customHeight="1" x14ac:dyDescent="0.35">
      <c r="A735" s="222" t="s">
        <v>2131</v>
      </c>
      <c r="B735" s="222" t="s">
        <v>654</v>
      </c>
      <c r="C735" s="222" t="s">
        <v>640</v>
      </c>
      <c r="D735" s="222" t="s">
        <v>2175</v>
      </c>
      <c r="E735" s="222" t="s">
        <v>2176</v>
      </c>
      <c r="F735" s="222" t="s">
        <v>66</v>
      </c>
      <c r="G735" s="223">
        <v>10</v>
      </c>
      <c r="H735" s="222">
        <v>0</v>
      </c>
      <c r="I735" s="224">
        <v>5329.6100999999999</v>
      </c>
      <c r="J735" s="224">
        <v>53296.101000000002</v>
      </c>
      <c r="K735" s="222" t="s">
        <v>2134</v>
      </c>
      <c r="L735" s="222">
        <v>15</v>
      </c>
      <c r="M735" s="222" t="s">
        <v>2177</v>
      </c>
      <c r="N735" s="222">
        <v>1</v>
      </c>
      <c r="O735" s="222">
        <v>0</v>
      </c>
      <c r="P735" s="225">
        <v>1</v>
      </c>
      <c r="Q735" s="224">
        <v>0</v>
      </c>
      <c r="R735" s="222">
        <v>18.100000000000001</v>
      </c>
      <c r="S735" s="226" t="str">
        <f>IFERROR(_xlfn.XLOOKUP(R735,'1_Presupuesto'!$E:$E,'1_Presupuesto'!$D:$D),"")</f>
        <v>-</v>
      </c>
    </row>
    <row r="736" spans="1:19" ht="15" customHeight="1" x14ac:dyDescent="0.35">
      <c r="A736" s="222" t="s">
        <v>2131</v>
      </c>
      <c r="B736" s="222" t="s">
        <v>654</v>
      </c>
      <c r="C736" s="222" t="s">
        <v>640</v>
      </c>
      <c r="D736" s="222" t="s">
        <v>2178</v>
      </c>
      <c r="E736" s="222" t="s">
        <v>2179</v>
      </c>
      <c r="F736" s="222" t="s">
        <v>66</v>
      </c>
      <c r="G736" s="223">
        <v>3</v>
      </c>
      <c r="H736" s="222">
        <v>0</v>
      </c>
      <c r="I736" s="224">
        <v>4138.8173999999999</v>
      </c>
      <c r="J736" s="224">
        <v>12416.4522</v>
      </c>
      <c r="K736" s="222" t="s">
        <v>2134</v>
      </c>
      <c r="L736" s="222">
        <v>16</v>
      </c>
      <c r="M736" s="222" t="s">
        <v>2180</v>
      </c>
      <c r="N736" s="222">
        <v>1</v>
      </c>
      <c r="O736" s="222">
        <v>0</v>
      </c>
      <c r="P736" s="225">
        <v>1</v>
      </c>
      <c r="Q736" s="224">
        <v>0</v>
      </c>
      <c r="R736" s="222">
        <v>18.100000000000001</v>
      </c>
      <c r="S736" s="226" t="str">
        <f>IFERROR(_xlfn.XLOOKUP(R736,'1_Presupuesto'!$E:$E,'1_Presupuesto'!$D:$D),"")</f>
        <v>-</v>
      </c>
    </row>
    <row r="737" spans="1:19" ht="15" customHeight="1" x14ac:dyDescent="0.35">
      <c r="A737" s="222" t="s">
        <v>2131</v>
      </c>
      <c r="B737" s="222" t="s">
        <v>639</v>
      </c>
      <c r="C737" s="222" t="s">
        <v>640</v>
      </c>
      <c r="D737" s="222" t="s">
        <v>2181</v>
      </c>
      <c r="E737" s="222" t="s">
        <v>2182</v>
      </c>
      <c r="F737" s="222" t="s">
        <v>643</v>
      </c>
      <c r="G737" s="223">
        <v>1</v>
      </c>
      <c r="H737" s="222">
        <v>0</v>
      </c>
      <c r="I737" s="224">
        <v>329747.40000000002</v>
      </c>
      <c r="J737" s="224">
        <v>329747.40000000002</v>
      </c>
      <c r="K737" s="222" t="s">
        <v>2183</v>
      </c>
      <c r="L737" s="222">
        <v>1</v>
      </c>
      <c r="M737" s="222" t="s">
        <v>2184</v>
      </c>
      <c r="N737" s="222">
        <v>1</v>
      </c>
      <c r="O737" s="222">
        <v>0</v>
      </c>
      <c r="P737" s="225">
        <v>1</v>
      </c>
      <c r="Q737" s="224">
        <v>0</v>
      </c>
      <c r="R737" s="222">
        <v>18.100000000000001</v>
      </c>
      <c r="S737" s="226" t="str">
        <f>IFERROR(_xlfn.XLOOKUP(R737,'1_Presupuesto'!$E:$E,'1_Presupuesto'!$D:$D),"")</f>
        <v>-</v>
      </c>
    </row>
    <row r="738" spans="1:19" ht="15" customHeight="1" x14ac:dyDescent="0.35">
      <c r="A738" s="222" t="s">
        <v>2131</v>
      </c>
      <c r="B738" s="222" t="s">
        <v>13</v>
      </c>
      <c r="C738" s="222"/>
      <c r="D738" s="222" t="s">
        <v>2185</v>
      </c>
      <c r="E738" s="222" t="s">
        <v>2186</v>
      </c>
      <c r="F738" s="222"/>
      <c r="G738" s="223">
        <v>1</v>
      </c>
      <c r="H738" s="222">
        <v>0</v>
      </c>
      <c r="I738" s="224">
        <v>27808.654900000001</v>
      </c>
      <c r="J738" s="224">
        <v>27808.654900000001</v>
      </c>
      <c r="K738" s="222" t="s">
        <v>2187</v>
      </c>
      <c r="L738" s="222">
        <v>1</v>
      </c>
      <c r="M738" s="222" t="s">
        <v>2188</v>
      </c>
      <c r="N738" s="222">
        <v>1</v>
      </c>
      <c r="O738" s="222">
        <v>0</v>
      </c>
      <c r="P738" s="225">
        <v>1</v>
      </c>
      <c r="Q738" s="224">
        <v>0</v>
      </c>
      <c r="R738" s="222">
        <v>18.100000000000001</v>
      </c>
      <c r="S738" s="226" t="str">
        <f>IFERROR(_xlfn.XLOOKUP(R738,'1_Presupuesto'!$E:$E,'1_Presupuesto'!$D:$D),"")</f>
        <v>-</v>
      </c>
    </row>
    <row r="739" spans="1:19" ht="15" customHeight="1" x14ac:dyDescent="0.35">
      <c r="A739" s="222" t="s">
        <v>2131</v>
      </c>
      <c r="B739" s="222" t="s">
        <v>654</v>
      </c>
      <c r="C739" s="222" t="s">
        <v>655</v>
      </c>
      <c r="D739" s="222" t="s">
        <v>656</v>
      </c>
      <c r="E739" s="222" t="s">
        <v>657</v>
      </c>
      <c r="F739" s="222"/>
      <c r="G739" s="223">
        <v>140938.8297</v>
      </c>
      <c r="H739" s="222">
        <v>0</v>
      </c>
      <c r="I739" s="224">
        <v>1</v>
      </c>
      <c r="J739" s="224">
        <v>140938.8297</v>
      </c>
      <c r="K739" s="222" t="s">
        <v>2134</v>
      </c>
      <c r="L739" s="222">
        <v>17</v>
      </c>
      <c r="M739" s="222" t="s">
        <v>2189</v>
      </c>
      <c r="N739" s="222">
        <v>1</v>
      </c>
      <c r="O739" s="222">
        <v>0</v>
      </c>
      <c r="P739" s="225">
        <v>1</v>
      </c>
      <c r="Q739" s="224">
        <v>0</v>
      </c>
      <c r="R739" s="222">
        <v>18.100000000000001</v>
      </c>
      <c r="S739" s="226" t="str">
        <f>IFERROR(_xlfn.XLOOKUP(R739,'1_Presupuesto'!$E:$E,'1_Presupuesto'!$D:$D),"")</f>
        <v>-</v>
      </c>
    </row>
    <row r="740" spans="1:19" ht="15" customHeight="1" x14ac:dyDescent="0.35">
      <c r="A740" s="222" t="s">
        <v>2190</v>
      </c>
      <c r="B740" s="222" t="s">
        <v>654</v>
      </c>
      <c r="C740" s="222" t="s">
        <v>640</v>
      </c>
      <c r="D740" s="222" t="s">
        <v>2132</v>
      </c>
      <c r="E740" s="222" t="s">
        <v>2133</v>
      </c>
      <c r="F740" s="222" t="s">
        <v>66</v>
      </c>
      <c r="G740" s="223">
        <v>1</v>
      </c>
      <c r="H740" s="222">
        <v>0</v>
      </c>
      <c r="I740" s="224">
        <v>26757.217000000001</v>
      </c>
      <c r="J740" s="224">
        <v>26757.217000000001</v>
      </c>
      <c r="K740" s="222" t="s">
        <v>2191</v>
      </c>
      <c r="L740" s="222">
        <v>1</v>
      </c>
      <c r="M740" s="222" t="s">
        <v>2192</v>
      </c>
      <c r="N740" s="222">
        <v>1</v>
      </c>
      <c r="O740" s="222">
        <v>0</v>
      </c>
      <c r="P740" s="225">
        <v>1</v>
      </c>
      <c r="Q740" s="224">
        <v>0</v>
      </c>
      <c r="R740" s="222">
        <v>18.11</v>
      </c>
      <c r="S740" s="226" t="str">
        <f>IFERROR(_xlfn.XLOOKUP(R740,'1_Presupuesto'!$E:$E,'1_Presupuesto'!$D:$D),"")</f>
        <v>-</v>
      </c>
    </row>
    <row r="741" spans="1:19" ht="15" customHeight="1" x14ac:dyDescent="0.35">
      <c r="A741" s="222" t="s">
        <v>2190</v>
      </c>
      <c r="B741" s="222" t="s">
        <v>654</v>
      </c>
      <c r="C741" s="222" t="s">
        <v>640</v>
      </c>
      <c r="D741" s="222" t="s">
        <v>2145</v>
      </c>
      <c r="E741" s="222" t="s">
        <v>2146</v>
      </c>
      <c r="F741" s="222" t="s">
        <v>66</v>
      </c>
      <c r="G741" s="223">
        <v>2</v>
      </c>
      <c r="H741" s="222">
        <v>0</v>
      </c>
      <c r="I741" s="224">
        <v>7624.2992000000004</v>
      </c>
      <c r="J741" s="224">
        <v>15248.598400000001</v>
      </c>
      <c r="K741" s="222" t="s">
        <v>2191</v>
      </c>
      <c r="L741" s="222">
        <v>2</v>
      </c>
      <c r="M741" s="222" t="s">
        <v>2193</v>
      </c>
      <c r="N741" s="222">
        <v>1</v>
      </c>
      <c r="O741" s="222">
        <v>0</v>
      </c>
      <c r="P741" s="225">
        <v>1</v>
      </c>
      <c r="Q741" s="224">
        <v>0</v>
      </c>
      <c r="R741" s="222">
        <v>18.11</v>
      </c>
      <c r="S741" s="226" t="str">
        <f>IFERROR(_xlfn.XLOOKUP(R741,'1_Presupuesto'!$E:$E,'1_Presupuesto'!$D:$D),"")</f>
        <v>-</v>
      </c>
    </row>
    <row r="742" spans="1:19" ht="15" customHeight="1" x14ac:dyDescent="0.35">
      <c r="A742" s="222" t="s">
        <v>2190</v>
      </c>
      <c r="B742" s="222" t="s">
        <v>654</v>
      </c>
      <c r="C742" s="222" t="s">
        <v>640</v>
      </c>
      <c r="D742" s="222" t="s">
        <v>2142</v>
      </c>
      <c r="E742" s="222" t="s">
        <v>2143</v>
      </c>
      <c r="F742" s="222" t="s">
        <v>66</v>
      </c>
      <c r="G742" s="223">
        <v>1</v>
      </c>
      <c r="H742" s="222">
        <v>0</v>
      </c>
      <c r="I742" s="224">
        <v>7624.2992000000004</v>
      </c>
      <c r="J742" s="224">
        <v>7624.2992000000004</v>
      </c>
      <c r="K742" s="222" t="s">
        <v>2191</v>
      </c>
      <c r="L742" s="222">
        <v>3</v>
      </c>
      <c r="M742" s="222" t="s">
        <v>2194</v>
      </c>
      <c r="N742" s="222">
        <v>1</v>
      </c>
      <c r="O742" s="222">
        <v>0</v>
      </c>
      <c r="P742" s="225">
        <v>1</v>
      </c>
      <c r="Q742" s="224">
        <v>0</v>
      </c>
      <c r="R742" s="222">
        <v>18.11</v>
      </c>
      <c r="S742" s="226" t="str">
        <f>IFERROR(_xlfn.XLOOKUP(R742,'1_Presupuesto'!$E:$E,'1_Presupuesto'!$D:$D),"")</f>
        <v>-</v>
      </c>
    </row>
    <row r="743" spans="1:19" ht="15" customHeight="1" x14ac:dyDescent="0.35">
      <c r="A743" s="222" t="s">
        <v>2190</v>
      </c>
      <c r="B743" s="222" t="s">
        <v>654</v>
      </c>
      <c r="C743" s="222" t="s">
        <v>640</v>
      </c>
      <c r="D743" s="222" t="s">
        <v>2195</v>
      </c>
      <c r="E743" s="222" t="s">
        <v>2196</v>
      </c>
      <c r="F743" s="222" t="s">
        <v>66</v>
      </c>
      <c r="G743" s="223">
        <v>2</v>
      </c>
      <c r="H743" s="222">
        <v>0</v>
      </c>
      <c r="I743" s="224">
        <v>99169.454100000003</v>
      </c>
      <c r="J743" s="224">
        <v>198338.90820000001</v>
      </c>
      <c r="K743" s="222" t="s">
        <v>2191</v>
      </c>
      <c r="L743" s="222">
        <v>4</v>
      </c>
      <c r="M743" s="222" t="s">
        <v>2197</v>
      </c>
      <c r="N743" s="222">
        <v>1</v>
      </c>
      <c r="O743" s="222">
        <v>0</v>
      </c>
      <c r="P743" s="225">
        <v>1</v>
      </c>
      <c r="Q743" s="224">
        <v>0</v>
      </c>
      <c r="R743" s="222">
        <v>18.11</v>
      </c>
      <c r="S743" s="226" t="str">
        <f>IFERROR(_xlfn.XLOOKUP(R743,'1_Presupuesto'!$E:$E,'1_Presupuesto'!$D:$D),"")</f>
        <v>-</v>
      </c>
    </row>
    <row r="744" spans="1:19" ht="15" customHeight="1" x14ac:dyDescent="0.35">
      <c r="A744" s="222" t="s">
        <v>2190</v>
      </c>
      <c r="B744" s="222" t="s">
        <v>654</v>
      </c>
      <c r="C744" s="222" t="s">
        <v>640</v>
      </c>
      <c r="D744" s="222" t="s">
        <v>2198</v>
      </c>
      <c r="E744" s="222" t="s">
        <v>2199</v>
      </c>
      <c r="F744" s="222" t="s">
        <v>66</v>
      </c>
      <c r="G744" s="223">
        <v>1</v>
      </c>
      <c r="H744" s="222">
        <v>0</v>
      </c>
      <c r="I744" s="224">
        <v>143446.73759999999</v>
      </c>
      <c r="J744" s="224">
        <v>143446.73759999999</v>
      </c>
      <c r="K744" s="222" t="s">
        <v>2191</v>
      </c>
      <c r="L744" s="222">
        <v>5</v>
      </c>
      <c r="M744" s="222" t="s">
        <v>2200</v>
      </c>
      <c r="N744" s="222">
        <v>1</v>
      </c>
      <c r="O744" s="222">
        <v>0</v>
      </c>
      <c r="P744" s="225">
        <v>1</v>
      </c>
      <c r="Q744" s="224">
        <v>0</v>
      </c>
      <c r="R744" s="222">
        <v>18.11</v>
      </c>
      <c r="S744" s="226" t="str">
        <f>IFERROR(_xlfn.XLOOKUP(R744,'1_Presupuesto'!$E:$E,'1_Presupuesto'!$D:$D),"")</f>
        <v>-</v>
      </c>
    </row>
    <row r="745" spans="1:19" ht="15" customHeight="1" x14ac:dyDescent="0.35">
      <c r="A745" s="222" t="s">
        <v>2190</v>
      </c>
      <c r="B745" s="222" t="s">
        <v>654</v>
      </c>
      <c r="C745" s="222" t="s">
        <v>640</v>
      </c>
      <c r="D745" s="222" t="s">
        <v>2178</v>
      </c>
      <c r="E745" s="222" t="s">
        <v>2179</v>
      </c>
      <c r="F745" s="222" t="s">
        <v>66</v>
      </c>
      <c r="G745" s="223">
        <v>1</v>
      </c>
      <c r="H745" s="222">
        <v>0</v>
      </c>
      <c r="I745" s="224">
        <v>4138.8173999999999</v>
      </c>
      <c r="J745" s="224">
        <v>4138.8173999999999</v>
      </c>
      <c r="K745" s="222" t="s">
        <v>2191</v>
      </c>
      <c r="L745" s="222">
        <v>6</v>
      </c>
      <c r="M745" s="222" t="s">
        <v>2201</v>
      </c>
      <c r="N745" s="222">
        <v>1</v>
      </c>
      <c r="O745" s="222">
        <v>0</v>
      </c>
      <c r="P745" s="225">
        <v>1</v>
      </c>
      <c r="Q745" s="224">
        <v>0</v>
      </c>
      <c r="R745" s="222">
        <v>18.11</v>
      </c>
      <c r="S745" s="226" t="str">
        <f>IFERROR(_xlfn.XLOOKUP(R745,'1_Presupuesto'!$E:$E,'1_Presupuesto'!$D:$D),"")</f>
        <v>-</v>
      </c>
    </row>
    <row r="746" spans="1:19" ht="15" customHeight="1" x14ac:dyDescent="0.35">
      <c r="A746" s="222" t="s">
        <v>2190</v>
      </c>
      <c r="B746" s="222" t="s">
        <v>654</v>
      </c>
      <c r="C746" s="222" t="s">
        <v>640</v>
      </c>
      <c r="D746" s="222" t="s">
        <v>2202</v>
      </c>
      <c r="E746" s="222" t="s">
        <v>2203</v>
      </c>
      <c r="F746" s="222" t="s">
        <v>66</v>
      </c>
      <c r="G746" s="223">
        <v>1</v>
      </c>
      <c r="H746" s="222">
        <v>0</v>
      </c>
      <c r="I746" s="224">
        <v>131120.3273</v>
      </c>
      <c r="J746" s="224">
        <v>131120.3273</v>
      </c>
      <c r="K746" s="222" t="s">
        <v>2191</v>
      </c>
      <c r="L746" s="222">
        <v>7</v>
      </c>
      <c r="M746" s="222" t="s">
        <v>2204</v>
      </c>
      <c r="N746" s="222">
        <v>1</v>
      </c>
      <c r="O746" s="222">
        <v>0</v>
      </c>
      <c r="P746" s="225">
        <v>1</v>
      </c>
      <c r="Q746" s="224">
        <v>0</v>
      </c>
      <c r="R746" s="222">
        <v>18.11</v>
      </c>
      <c r="S746" s="226" t="str">
        <f>IFERROR(_xlfn.XLOOKUP(R746,'1_Presupuesto'!$E:$E,'1_Presupuesto'!$D:$D),"")</f>
        <v>-</v>
      </c>
    </row>
    <row r="747" spans="1:19" ht="15" customHeight="1" x14ac:dyDescent="0.35">
      <c r="A747" s="222" t="s">
        <v>2190</v>
      </c>
      <c r="B747" s="222" t="s">
        <v>654</v>
      </c>
      <c r="C747" s="222" t="s">
        <v>640</v>
      </c>
      <c r="D747" s="222" t="s">
        <v>2205</v>
      </c>
      <c r="E747" s="222" t="s">
        <v>2206</v>
      </c>
      <c r="F747" s="222" t="s">
        <v>66</v>
      </c>
      <c r="G747" s="223">
        <v>1</v>
      </c>
      <c r="H747" s="222">
        <v>0</v>
      </c>
      <c r="I747" s="224">
        <v>64963.7212</v>
      </c>
      <c r="J747" s="224">
        <v>64963.7212</v>
      </c>
      <c r="K747" s="222" t="s">
        <v>2191</v>
      </c>
      <c r="L747" s="222">
        <v>8</v>
      </c>
      <c r="M747" s="222" t="s">
        <v>2207</v>
      </c>
      <c r="N747" s="222">
        <v>1</v>
      </c>
      <c r="O747" s="222">
        <v>0</v>
      </c>
      <c r="P747" s="225">
        <v>1</v>
      </c>
      <c r="Q747" s="224">
        <v>0</v>
      </c>
      <c r="R747" s="222">
        <v>18.11</v>
      </c>
      <c r="S747" s="226" t="str">
        <f>IFERROR(_xlfn.XLOOKUP(R747,'1_Presupuesto'!$E:$E,'1_Presupuesto'!$D:$D),"")</f>
        <v>-</v>
      </c>
    </row>
    <row r="748" spans="1:19" ht="15" customHeight="1" x14ac:dyDescent="0.35">
      <c r="A748" s="222" t="s">
        <v>2190</v>
      </c>
      <c r="B748" s="222" t="s">
        <v>639</v>
      </c>
      <c r="C748" s="222" t="s">
        <v>640</v>
      </c>
      <c r="D748" s="222" t="s">
        <v>2208</v>
      </c>
      <c r="E748" s="222" t="s">
        <v>2209</v>
      </c>
      <c r="F748" s="222" t="s">
        <v>643</v>
      </c>
      <c r="G748" s="223">
        <v>1</v>
      </c>
      <c r="H748" s="222">
        <v>0</v>
      </c>
      <c r="I748" s="224">
        <v>219841.65</v>
      </c>
      <c r="J748" s="224">
        <v>219841.65</v>
      </c>
      <c r="K748" s="222" t="s">
        <v>2210</v>
      </c>
      <c r="L748" s="222">
        <v>1</v>
      </c>
      <c r="M748" s="222" t="s">
        <v>2211</v>
      </c>
      <c r="N748" s="222">
        <v>1</v>
      </c>
      <c r="O748" s="222">
        <v>0</v>
      </c>
      <c r="P748" s="225">
        <v>1</v>
      </c>
      <c r="Q748" s="224">
        <v>0</v>
      </c>
      <c r="R748" s="222">
        <v>18.11</v>
      </c>
      <c r="S748" s="226" t="str">
        <f>IFERROR(_xlfn.XLOOKUP(R748,'1_Presupuesto'!$E:$E,'1_Presupuesto'!$D:$D),"")</f>
        <v>-</v>
      </c>
    </row>
    <row r="749" spans="1:19" ht="15" customHeight="1" x14ac:dyDescent="0.35">
      <c r="A749" s="222" t="s">
        <v>2190</v>
      </c>
      <c r="B749" s="222" t="s">
        <v>13</v>
      </c>
      <c r="C749" s="222"/>
      <c r="D749" s="222" t="s">
        <v>2212</v>
      </c>
      <c r="E749" s="222" t="s">
        <v>2213</v>
      </c>
      <c r="F749" s="222"/>
      <c r="G749" s="223">
        <v>1</v>
      </c>
      <c r="H749" s="222">
        <v>0</v>
      </c>
      <c r="I749" s="224">
        <v>13076.448700000001</v>
      </c>
      <c r="J749" s="224">
        <v>13076.448700000001</v>
      </c>
      <c r="K749" s="222" t="s">
        <v>2214</v>
      </c>
      <c r="L749" s="222">
        <v>1</v>
      </c>
      <c r="M749" s="222" t="s">
        <v>2215</v>
      </c>
      <c r="N749" s="222">
        <v>1</v>
      </c>
      <c r="O749" s="222">
        <v>0</v>
      </c>
      <c r="P749" s="225">
        <v>1</v>
      </c>
      <c r="Q749" s="224">
        <v>0</v>
      </c>
      <c r="R749" s="222">
        <v>18.11</v>
      </c>
      <c r="S749" s="226" t="str">
        <f>IFERROR(_xlfn.XLOOKUP(R749,'1_Presupuesto'!$E:$E,'1_Presupuesto'!$D:$D),"")</f>
        <v>-</v>
      </c>
    </row>
    <row r="750" spans="1:19" ht="15" customHeight="1" x14ac:dyDescent="0.35">
      <c r="A750" s="222" t="s">
        <v>2190</v>
      </c>
      <c r="B750" s="222" t="s">
        <v>654</v>
      </c>
      <c r="C750" s="222" t="s">
        <v>655</v>
      </c>
      <c r="D750" s="222" t="s">
        <v>656</v>
      </c>
      <c r="E750" s="222" t="s">
        <v>657</v>
      </c>
      <c r="F750" s="222"/>
      <c r="G750" s="223">
        <v>60282.969299999997</v>
      </c>
      <c r="H750" s="222">
        <v>0</v>
      </c>
      <c r="I750" s="224">
        <v>1</v>
      </c>
      <c r="J750" s="224">
        <v>60282.969299999997</v>
      </c>
      <c r="K750" s="222" t="s">
        <v>2191</v>
      </c>
      <c r="L750" s="222">
        <v>9</v>
      </c>
      <c r="M750" s="222" t="s">
        <v>2216</v>
      </c>
      <c r="N750" s="222">
        <v>1</v>
      </c>
      <c r="O750" s="222">
        <v>0</v>
      </c>
      <c r="P750" s="225">
        <v>1</v>
      </c>
      <c r="Q750" s="224">
        <v>0</v>
      </c>
      <c r="R750" s="222">
        <v>18.11</v>
      </c>
      <c r="S750" s="226" t="str">
        <f>IFERROR(_xlfn.XLOOKUP(R750,'1_Presupuesto'!$E:$E,'1_Presupuesto'!$D:$D),"")</f>
        <v>-</v>
      </c>
    </row>
    <row r="751" spans="1:19" ht="15" customHeight="1" x14ac:dyDescent="0.35">
      <c r="A751" s="222" t="s">
        <v>2217</v>
      </c>
      <c r="B751" s="222" t="s">
        <v>654</v>
      </c>
      <c r="C751" s="222" t="s">
        <v>640</v>
      </c>
      <c r="D751" s="222" t="s">
        <v>2148</v>
      </c>
      <c r="E751" s="222" t="s">
        <v>2149</v>
      </c>
      <c r="F751" s="222" t="s">
        <v>66</v>
      </c>
      <c r="G751" s="223">
        <v>1</v>
      </c>
      <c r="H751" s="222">
        <v>0</v>
      </c>
      <c r="I751" s="224">
        <v>16112.078299999999</v>
      </c>
      <c r="J751" s="224">
        <v>16112.078299999999</v>
      </c>
      <c r="K751" s="222" t="s">
        <v>2218</v>
      </c>
      <c r="L751" s="222">
        <v>1</v>
      </c>
      <c r="M751" s="222" t="s">
        <v>2219</v>
      </c>
      <c r="N751" s="222">
        <v>1</v>
      </c>
      <c r="O751" s="222">
        <v>0</v>
      </c>
      <c r="P751" s="225">
        <v>1</v>
      </c>
      <c r="Q751" s="224">
        <v>0</v>
      </c>
      <c r="R751" s="222">
        <v>18.12</v>
      </c>
      <c r="S751" s="226" t="str">
        <f>IFERROR(_xlfn.XLOOKUP(R751,'1_Presupuesto'!$E:$E,'1_Presupuesto'!$D:$D),"")</f>
        <v>-</v>
      </c>
    </row>
    <row r="752" spans="1:19" ht="15" customHeight="1" x14ac:dyDescent="0.35">
      <c r="A752" s="222" t="s">
        <v>2217</v>
      </c>
      <c r="B752" s="222" t="s">
        <v>654</v>
      </c>
      <c r="C752" s="222" t="s">
        <v>640</v>
      </c>
      <c r="D752" s="222" t="s">
        <v>2136</v>
      </c>
      <c r="E752" s="222" t="s">
        <v>2137</v>
      </c>
      <c r="F752" s="222" t="s">
        <v>66</v>
      </c>
      <c r="G752" s="223">
        <v>1</v>
      </c>
      <c r="H752" s="222">
        <v>0</v>
      </c>
      <c r="I752" s="224">
        <v>51788.8295</v>
      </c>
      <c r="J752" s="224">
        <v>51788.8295</v>
      </c>
      <c r="K752" s="222" t="s">
        <v>2218</v>
      </c>
      <c r="L752" s="222">
        <v>2</v>
      </c>
      <c r="M752" s="222" t="s">
        <v>2220</v>
      </c>
      <c r="N752" s="222">
        <v>1</v>
      </c>
      <c r="O752" s="222">
        <v>0</v>
      </c>
      <c r="P752" s="225">
        <v>1</v>
      </c>
      <c r="Q752" s="224">
        <v>0</v>
      </c>
      <c r="R752" s="222">
        <v>18.12</v>
      </c>
      <c r="S752" s="226" t="str">
        <f>IFERROR(_xlfn.XLOOKUP(R752,'1_Presupuesto'!$E:$E,'1_Presupuesto'!$D:$D),"")</f>
        <v>-</v>
      </c>
    </row>
    <row r="753" spans="1:19" ht="15" customHeight="1" x14ac:dyDescent="0.35">
      <c r="A753" s="222" t="s">
        <v>2217</v>
      </c>
      <c r="B753" s="222" t="s">
        <v>654</v>
      </c>
      <c r="C753" s="222" t="s">
        <v>640</v>
      </c>
      <c r="D753" s="222" t="s">
        <v>2178</v>
      </c>
      <c r="E753" s="222" t="s">
        <v>2179</v>
      </c>
      <c r="F753" s="222" t="s">
        <v>66</v>
      </c>
      <c r="G753" s="223">
        <v>3</v>
      </c>
      <c r="H753" s="222">
        <v>0</v>
      </c>
      <c r="I753" s="224">
        <v>4138.8173999999999</v>
      </c>
      <c r="J753" s="224">
        <v>12416.4522</v>
      </c>
      <c r="K753" s="222" t="s">
        <v>2218</v>
      </c>
      <c r="L753" s="222">
        <v>3</v>
      </c>
      <c r="M753" s="222" t="s">
        <v>2221</v>
      </c>
      <c r="N753" s="222">
        <v>1</v>
      </c>
      <c r="O753" s="222">
        <v>0</v>
      </c>
      <c r="P753" s="225">
        <v>1</v>
      </c>
      <c r="Q753" s="224">
        <v>0</v>
      </c>
      <c r="R753" s="222">
        <v>18.12</v>
      </c>
      <c r="S753" s="226" t="str">
        <f>IFERROR(_xlfn.XLOOKUP(R753,'1_Presupuesto'!$E:$E,'1_Presupuesto'!$D:$D),"")</f>
        <v>-</v>
      </c>
    </row>
    <row r="754" spans="1:19" ht="15" customHeight="1" x14ac:dyDescent="0.35">
      <c r="A754" s="222" t="s">
        <v>2217</v>
      </c>
      <c r="B754" s="222" t="s">
        <v>654</v>
      </c>
      <c r="C754" s="222" t="s">
        <v>640</v>
      </c>
      <c r="D754" s="222" t="s">
        <v>2202</v>
      </c>
      <c r="E754" s="222" t="s">
        <v>2203</v>
      </c>
      <c r="F754" s="222" t="s">
        <v>66</v>
      </c>
      <c r="G754" s="223">
        <v>1</v>
      </c>
      <c r="H754" s="222">
        <v>0</v>
      </c>
      <c r="I754" s="224">
        <v>131120.3273</v>
      </c>
      <c r="J754" s="224">
        <v>131120.3273</v>
      </c>
      <c r="K754" s="222" t="s">
        <v>2218</v>
      </c>
      <c r="L754" s="222">
        <v>4</v>
      </c>
      <c r="M754" s="222" t="s">
        <v>2222</v>
      </c>
      <c r="N754" s="222">
        <v>1</v>
      </c>
      <c r="O754" s="222">
        <v>0</v>
      </c>
      <c r="P754" s="225">
        <v>1</v>
      </c>
      <c r="Q754" s="224">
        <v>0</v>
      </c>
      <c r="R754" s="222">
        <v>18.12</v>
      </c>
      <c r="S754" s="226" t="str">
        <f>IFERROR(_xlfn.XLOOKUP(R754,'1_Presupuesto'!$E:$E,'1_Presupuesto'!$D:$D),"")</f>
        <v>-</v>
      </c>
    </row>
    <row r="755" spans="1:19" ht="15" customHeight="1" x14ac:dyDescent="0.35">
      <c r="A755" s="222" t="s">
        <v>2217</v>
      </c>
      <c r="B755" s="222" t="s">
        <v>654</v>
      </c>
      <c r="C755" s="222" t="s">
        <v>640</v>
      </c>
      <c r="D755" s="222" t="s">
        <v>2205</v>
      </c>
      <c r="E755" s="222" t="s">
        <v>2206</v>
      </c>
      <c r="F755" s="222" t="s">
        <v>66</v>
      </c>
      <c r="G755" s="223">
        <v>1</v>
      </c>
      <c r="H755" s="222">
        <v>0</v>
      </c>
      <c r="I755" s="224">
        <v>64963.7212</v>
      </c>
      <c r="J755" s="224">
        <v>64963.7212</v>
      </c>
      <c r="K755" s="222" t="s">
        <v>2218</v>
      </c>
      <c r="L755" s="222">
        <v>5</v>
      </c>
      <c r="M755" s="222" t="s">
        <v>2223</v>
      </c>
      <c r="N755" s="222">
        <v>1</v>
      </c>
      <c r="O755" s="222">
        <v>0</v>
      </c>
      <c r="P755" s="225">
        <v>1</v>
      </c>
      <c r="Q755" s="224">
        <v>0</v>
      </c>
      <c r="R755" s="222">
        <v>18.12</v>
      </c>
      <c r="S755" s="226" t="str">
        <f>IFERROR(_xlfn.XLOOKUP(R755,'1_Presupuesto'!$E:$E,'1_Presupuesto'!$D:$D),"")</f>
        <v>-</v>
      </c>
    </row>
    <row r="756" spans="1:19" ht="15" customHeight="1" x14ac:dyDescent="0.35">
      <c r="A756" s="222" t="s">
        <v>2217</v>
      </c>
      <c r="B756" s="222" t="s">
        <v>639</v>
      </c>
      <c r="C756" s="222" t="s">
        <v>640</v>
      </c>
      <c r="D756" s="222" t="s">
        <v>2208</v>
      </c>
      <c r="E756" s="222" t="s">
        <v>2209</v>
      </c>
      <c r="F756" s="222" t="s">
        <v>643</v>
      </c>
      <c r="G756" s="223">
        <v>1</v>
      </c>
      <c r="H756" s="222">
        <v>0</v>
      </c>
      <c r="I756" s="224">
        <v>219841.65</v>
      </c>
      <c r="J756" s="224">
        <v>219841.65</v>
      </c>
      <c r="K756" s="222" t="s">
        <v>2224</v>
      </c>
      <c r="L756" s="222">
        <v>1</v>
      </c>
      <c r="M756" s="222" t="s">
        <v>2225</v>
      </c>
      <c r="N756" s="222">
        <v>1</v>
      </c>
      <c r="O756" s="222">
        <v>0</v>
      </c>
      <c r="P756" s="225">
        <v>1</v>
      </c>
      <c r="Q756" s="224">
        <v>0</v>
      </c>
      <c r="R756" s="222">
        <v>18.12</v>
      </c>
      <c r="S756" s="226" t="str">
        <f>IFERROR(_xlfn.XLOOKUP(R756,'1_Presupuesto'!$E:$E,'1_Presupuesto'!$D:$D),"")</f>
        <v>-</v>
      </c>
    </row>
    <row r="757" spans="1:19" ht="15" customHeight="1" x14ac:dyDescent="0.35">
      <c r="A757" s="222" t="s">
        <v>2217</v>
      </c>
      <c r="B757" s="222" t="s">
        <v>13</v>
      </c>
      <c r="C757" s="222"/>
      <c r="D757" s="222" t="s">
        <v>2226</v>
      </c>
      <c r="E757" s="222" t="s">
        <v>2227</v>
      </c>
      <c r="F757" s="222"/>
      <c r="G757" s="223">
        <v>1</v>
      </c>
      <c r="H757" s="222">
        <v>0</v>
      </c>
      <c r="I757" s="224">
        <v>7866.0902999999998</v>
      </c>
      <c r="J757" s="224">
        <v>7866.0902999999998</v>
      </c>
      <c r="K757" s="222" t="s">
        <v>2228</v>
      </c>
      <c r="L757" s="222">
        <v>1</v>
      </c>
      <c r="M757" s="222" t="s">
        <v>2229</v>
      </c>
      <c r="N757" s="222">
        <v>1</v>
      </c>
      <c r="O757" s="222">
        <v>0</v>
      </c>
      <c r="P757" s="225">
        <v>1</v>
      </c>
      <c r="Q757" s="224">
        <v>0</v>
      </c>
      <c r="R757" s="222">
        <v>18.12</v>
      </c>
      <c r="S757" s="226" t="str">
        <f>IFERROR(_xlfn.XLOOKUP(R757,'1_Presupuesto'!$E:$E,'1_Presupuesto'!$D:$D),"")</f>
        <v>-</v>
      </c>
    </row>
    <row r="758" spans="1:19" ht="15" customHeight="1" x14ac:dyDescent="0.35">
      <c r="A758" s="222" t="s">
        <v>2217</v>
      </c>
      <c r="B758" s="222" t="s">
        <v>654</v>
      </c>
      <c r="C758" s="222" t="s">
        <v>655</v>
      </c>
      <c r="D758" s="222" t="s">
        <v>656</v>
      </c>
      <c r="E758" s="222" t="s">
        <v>657</v>
      </c>
      <c r="F758" s="222"/>
      <c r="G758" s="223">
        <v>28162.964499999998</v>
      </c>
      <c r="H758" s="222">
        <v>0</v>
      </c>
      <c r="I758" s="224">
        <v>1</v>
      </c>
      <c r="J758" s="224">
        <v>28162.964499999998</v>
      </c>
      <c r="K758" s="222" t="s">
        <v>2218</v>
      </c>
      <c r="L758" s="222">
        <v>6</v>
      </c>
      <c r="M758" s="222" t="s">
        <v>2230</v>
      </c>
      <c r="N758" s="222">
        <v>1</v>
      </c>
      <c r="O758" s="222">
        <v>0</v>
      </c>
      <c r="P758" s="225">
        <v>1</v>
      </c>
      <c r="Q758" s="224">
        <v>0</v>
      </c>
      <c r="R758" s="222">
        <v>18.12</v>
      </c>
      <c r="S758" s="226" t="str">
        <f>IFERROR(_xlfn.XLOOKUP(R758,'1_Presupuesto'!$E:$E,'1_Presupuesto'!$D:$D),"")</f>
        <v>-</v>
      </c>
    </row>
    <row r="759" spans="1:19" ht="15" customHeight="1" x14ac:dyDescent="0.35">
      <c r="A759" s="222" t="s">
        <v>2231</v>
      </c>
      <c r="B759" s="222" t="s">
        <v>654</v>
      </c>
      <c r="C759" s="222" t="s">
        <v>640</v>
      </c>
      <c r="D759" s="222" t="s">
        <v>2145</v>
      </c>
      <c r="E759" s="222" t="s">
        <v>2146</v>
      </c>
      <c r="F759" s="222" t="s">
        <v>66</v>
      </c>
      <c r="G759" s="223">
        <v>2</v>
      </c>
      <c r="H759" s="222">
        <v>0</v>
      </c>
      <c r="I759" s="224">
        <v>7624.2992000000004</v>
      </c>
      <c r="J759" s="224">
        <v>15248.598400000001</v>
      </c>
      <c r="K759" s="222" t="s">
        <v>2232</v>
      </c>
      <c r="L759" s="222">
        <v>1</v>
      </c>
      <c r="M759" s="222" t="s">
        <v>2233</v>
      </c>
      <c r="N759" s="222">
        <v>1</v>
      </c>
      <c r="O759" s="222">
        <v>0</v>
      </c>
      <c r="P759" s="225">
        <v>1</v>
      </c>
      <c r="Q759" s="224">
        <v>0</v>
      </c>
      <c r="R759" s="222">
        <v>18.13</v>
      </c>
      <c r="S759" s="226" t="str">
        <f>IFERROR(_xlfn.XLOOKUP(R759,'1_Presupuesto'!$E:$E,'1_Presupuesto'!$D:$D),"")</f>
        <v>-</v>
      </c>
    </row>
    <row r="760" spans="1:19" ht="15" customHeight="1" x14ac:dyDescent="0.35">
      <c r="A760" s="222" t="s">
        <v>2231</v>
      </c>
      <c r="B760" s="222" t="s">
        <v>654</v>
      </c>
      <c r="C760" s="222" t="s">
        <v>640</v>
      </c>
      <c r="D760" s="222" t="s">
        <v>2142</v>
      </c>
      <c r="E760" s="222" t="s">
        <v>2143</v>
      </c>
      <c r="F760" s="222" t="s">
        <v>66</v>
      </c>
      <c r="G760" s="223">
        <v>1</v>
      </c>
      <c r="H760" s="222">
        <v>0</v>
      </c>
      <c r="I760" s="224">
        <v>7624.2992000000004</v>
      </c>
      <c r="J760" s="224">
        <v>7624.2992000000004</v>
      </c>
      <c r="K760" s="222" t="s">
        <v>2232</v>
      </c>
      <c r="L760" s="222">
        <v>2</v>
      </c>
      <c r="M760" s="222" t="s">
        <v>2234</v>
      </c>
      <c r="N760" s="222">
        <v>1</v>
      </c>
      <c r="O760" s="222">
        <v>0</v>
      </c>
      <c r="P760" s="225">
        <v>1</v>
      </c>
      <c r="Q760" s="224">
        <v>0</v>
      </c>
      <c r="R760" s="222">
        <v>18.13</v>
      </c>
      <c r="S760" s="226" t="str">
        <f>IFERROR(_xlfn.XLOOKUP(R760,'1_Presupuesto'!$E:$E,'1_Presupuesto'!$D:$D),"")</f>
        <v>-</v>
      </c>
    </row>
    <row r="761" spans="1:19" ht="15" customHeight="1" x14ac:dyDescent="0.35">
      <c r="A761" s="222" t="s">
        <v>2231</v>
      </c>
      <c r="B761" s="222" t="s">
        <v>654</v>
      </c>
      <c r="C761" s="222" t="s">
        <v>640</v>
      </c>
      <c r="D761" s="222" t="s">
        <v>2132</v>
      </c>
      <c r="E761" s="222" t="s">
        <v>2133</v>
      </c>
      <c r="F761" s="222" t="s">
        <v>66</v>
      </c>
      <c r="G761" s="223">
        <v>1</v>
      </c>
      <c r="H761" s="222">
        <v>0</v>
      </c>
      <c r="I761" s="224">
        <v>26757.217000000001</v>
      </c>
      <c r="J761" s="224">
        <v>26757.217000000001</v>
      </c>
      <c r="K761" s="222" t="s">
        <v>2232</v>
      </c>
      <c r="L761" s="222">
        <v>3</v>
      </c>
      <c r="M761" s="222" t="s">
        <v>2235</v>
      </c>
      <c r="N761" s="222">
        <v>1</v>
      </c>
      <c r="O761" s="222">
        <v>0</v>
      </c>
      <c r="P761" s="225">
        <v>1</v>
      </c>
      <c r="Q761" s="224">
        <v>0</v>
      </c>
      <c r="R761" s="222">
        <v>18.13</v>
      </c>
      <c r="S761" s="226" t="str">
        <f>IFERROR(_xlfn.XLOOKUP(R761,'1_Presupuesto'!$E:$E,'1_Presupuesto'!$D:$D),"")</f>
        <v>-</v>
      </c>
    </row>
    <row r="762" spans="1:19" ht="15" customHeight="1" x14ac:dyDescent="0.35">
      <c r="A762" s="222" t="s">
        <v>2231</v>
      </c>
      <c r="B762" s="222" t="s">
        <v>654</v>
      </c>
      <c r="C762" s="222" t="s">
        <v>640</v>
      </c>
      <c r="D762" s="222" t="s">
        <v>2178</v>
      </c>
      <c r="E762" s="222" t="s">
        <v>2179</v>
      </c>
      <c r="F762" s="222" t="s">
        <v>66</v>
      </c>
      <c r="G762" s="223">
        <v>1</v>
      </c>
      <c r="H762" s="222">
        <v>0</v>
      </c>
      <c r="I762" s="224">
        <v>4138.8173999999999</v>
      </c>
      <c r="J762" s="224">
        <v>4138.8173999999999</v>
      </c>
      <c r="K762" s="222" t="s">
        <v>2232</v>
      </c>
      <c r="L762" s="222">
        <v>4</v>
      </c>
      <c r="M762" s="222" t="s">
        <v>2236</v>
      </c>
      <c r="N762" s="222">
        <v>1</v>
      </c>
      <c r="O762" s="222">
        <v>0</v>
      </c>
      <c r="P762" s="225">
        <v>1</v>
      </c>
      <c r="Q762" s="224">
        <v>0</v>
      </c>
      <c r="R762" s="222">
        <v>18.13</v>
      </c>
      <c r="S762" s="226" t="str">
        <f>IFERROR(_xlfn.XLOOKUP(R762,'1_Presupuesto'!$E:$E,'1_Presupuesto'!$D:$D),"")</f>
        <v>-</v>
      </c>
    </row>
    <row r="763" spans="1:19" ht="15" customHeight="1" x14ac:dyDescent="0.35">
      <c r="A763" s="222" t="s">
        <v>2231</v>
      </c>
      <c r="B763" s="222" t="s">
        <v>654</v>
      </c>
      <c r="C763" s="222" t="s">
        <v>640</v>
      </c>
      <c r="D763" s="222" t="s">
        <v>2195</v>
      </c>
      <c r="E763" s="222" t="s">
        <v>2196</v>
      </c>
      <c r="F763" s="222" t="s">
        <v>66</v>
      </c>
      <c r="G763" s="223">
        <v>2</v>
      </c>
      <c r="H763" s="222">
        <v>0</v>
      </c>
      <c r="I763" s="224">
        <v>99169.454100000003</v>
      </c>
      <c r="J763" s="224">
        <v>198338.90820000001</v>
      </c>
      <c r="K763" s="222" t="s">
        <v>2232</v>
      </c>
      <c r="L763" s="222">
        <v>5</v>
      </c>
      <c r="M763" s="222" t="s">
        <v>2237</v>
      </c>
      <c r="N763" s="222">
        <v>1</v>
      </c>
      <c r="O763" s="222">
        <v>0</v>
      </c>
      <c r="P763" s="225">
        <v>1</v>
      </c>
      <c r="Q763" s="224">
        <v>0</v>
      </c>
      <c r="R763" s="222">
        <v>18.13</v>
      </c>
      <c r="S763" s="226" t="str">
        <f>IFERROR(_xlfn.XLOOKUP(R763,'1_Presupuesto'!$E:$E,'1_Presupuesto'!$D:$D),"")</f>
        <v>-</v>
      </c>
    </row>
    <row r="764" spans="1:19" ht="15" customHeight="1" x14ac:dyDescent="0.35">
      <c r="A764" s="222" t="s">
        <v>2231</v>
      </c>
      <c r="B764" s="222" t="s">
        <v>654</v>
      </c>
      <c r="C764" s="222" t="s">
        <v>640</v>
      </c>
      <c r="D764" s="222" t="s">
        <v>2198</v>
      </c>
      <c r="E764" s="222" t="s">
        <v>2199</v>
      </c>
      <c r="F764" s="222" t="s">
        <v>66</v>
      </c>
      <c r="G764" s="223">
        <v>1</v>
      </c>
      <c r="H764" s="222">
        <v>0</v>
      </c>
      <c r="I764" s="224">
        <v>143446.73759999999</v>
      </c>
      <c r="J764" s="224">
        <v>143446.73759999999</v>
      </c>
      <c r="K764" s="222" t="s">
        <v>2232</v>
      </c>
      <c r="L764" s="222">
        <v>6</v>
      </c>
      <c r="M764" s="222" t="s">
        <v>2238</v>
      </c>
      <c r="N764" s="222">
        <v>1</v>
      </c>
      <c r="O764" s="222">
        <v>0</v>
      </c>
      <c r="P764" s="225">
        <v>1</v>
      </c>
      <c r="Q764" s="224">
        <v>0</v>
      </c>
      <c r="R764" s="222">
        <v>18.13</v>
      </c>
      <c r="S764" s="226" t="str">
        <f>IFERROR(_xlfn.XLOOKUP(R764,'1_Presupuesto'!$E:$E,'1_Presupuesto'!$D:$D),"")</f>
        <v>-</v>
      </c>
    </row>
    <row r="765" spans="1:19" ht="15" customHeight="1" x14ac:dyDescent="0.35">
      <c r="A765" s="222" t="s">
        <v>2231</v>
      </c>
      <c r="B765" s="222" t="s">
        <v>654</v>
      </c>
      <c r="C765" s="222" t="s">
        <v>640</v>
      </c>
      <c r="D765" s="222" t="s">
        <v>2239</v>
      </c>
      <c r="E765" s="222" t="s">
        <v>2240</v>
      </c>
      <c r="F765" s="222" t="s">
        <v>66</v>
      </c>
      <c r="G765" s="223">
        <v>1</v>
      </c>
      <c r="H765" s="222">
        <v>0</v>
      </c>
      <c r="I765" s="224">
        <v>57566.354800000001</v>
      </c>
      <c r="J765" s="224">
        <v>57566.354800000001</v>
      </c>
      <c r="K765" s="222" t="s">
        <v>2232</v>
      </c>
      <c r="L765" s="222">
        <v>7</v>
      </c>
      <c r="M765" s="222" t="s">
        <v>2241</v>
      </c>
      <c r="N765" s="222">
        <v>1</v>
      </c>
      <c r="O765" s="222">
        <v>0</v>
      </c>
      <c r="P765" s="225">
        <v>1</v>
      </c>
      <c r="Q765" s="224">
        <v>0</v>
      </c>
      <c r="R765" s="222">
        <v>18.13</v>
      </c>
      <c r="S765" s="226" t="str">
        <f>IFERROR(_xlfn.XLOOKUP(R765,'1_Presupuesto'!$E:$E,'1_Presupuesto'!$D:$D),"")</f>
        <v>-</v>
      </c>
    </row>
    <row r="766" spans="1:19" ht="15" customHeight="1" x14ac:dyDescent="0.35">
      <c r="A766" s="222" t="s">
        <v>2231</v>
      </c>
      <c r="B766" s="222" t="s">
        <v>654</v>
      </c>
      <c r="C766" s="222" t="s">
        <v>640</v>
      </c>
      <c r="D766" s="222" t="s">
        <v>2242</v>
      </c>
      <c r="E766" s="222" t="s">
        <v>2243</v>
      </c>
      <c r="F766" s="222" t="s">
        <v>66</v>
      </c>
      <c r="G766" s="223">
        <v>1</v>
      </c>
      <c r="H766" s="222">
        <v>0</v>
      </c>
      <c r="I766" s="224">
        <v>37586.7693</v>
      </c>
      <c r="J766" s="224">
        <v>37586.7693</v>
      </c>
      <c r="K766" s="222" t="s">
        <v>2232</v>
      </c>
      <c r="L766" s="222">
        <v>8</v>
      </c>
      <c r="M766" s="222" t="s">
        <v>2244</v>
      </c>
      <c r="N766" s="222">
        <v>1</v>
      </c>
      <c r="O766" s="222">
        <v>0</v>
      </c>
      <c r="P766" s="225">
        <v>1</v>
      </c>
      <c r="Q766" s="224">
        <v>0</v>
      </c>
      <c r="R766" s="222">
        <v>18.13</v>
      </c>
      <c r="S766" s="226" t="str">
        <f>IFERROR(_xlfn.XLOOKUP(R766,'1_Presupuesto'!$E:$E,'1_Presupuesto'!$D:$D),"")</f>
        <v>-</v>
      </c>
    </row>
    <row r="767" spans="1:19" ht="15" customHeight="1" x14ac:dyDescent="0.35">
      <c r="A767" s="222" t="s">
        <v>2231</v>
      </c>
      <c r="B767" s="222" t="s">
        <v>639</v>
      </c>
      <c r="C767" s="222" t="s">
        <v>640</v>
      </c>
      <c r="D767" s="222" t="s">
        <v>2208</v>
      </c>
      <c r="E767" s="222" t="s">
        <v>2209</v>
      </c>
      <c r="F767" s="222" t="s">
        <v>643</v>
      </c>
      <c r="G767" s="223">
        <v>1</v>
      </c>
      <c r="H767" s="222">
        <v>0</v>
      </c>
      <c r="I767" s="224">
        <v>219841.65</v>
      </c>
      <c r="J767" s="224">
        <v>219841.65</v>
      </c>
      <c r="K767" s="222" t="s">
        <v>2245</v>
      </c>
      <c r="L767" s="222">
        <v>1</v>
      </c>
      <c r="M767" s="222" t="s">
        <v>2246</v>
      </c>
      <c r="N767" s="222">
        <v>1</v>
      </c>
      <c r="O767" s="222">
        <v>0</v>
      </c>
      <c r="P767" s="225">
        <v>1</v>
      </c>
      <c r="Q767" s="224">
        <v>0</v>
      </c>
      <c r="R767" s="222">
        <v>18.13</v>
      </c>
      <c r="S767" s="226" t="str">
        <f>IFERROR(_xlfn.XLOOKUP(R767,'1_Presupuesto'!$E:$E,'1_Presupuesto'!$D:$D),"")</f>
        <v>-</v>
      </c>
    </row>
    <row r="768" spans="1:19" ht="15" customHeight="1" x14ac:dyDescent="0.35">
      <c r="A768" s="222" t="s">
        <v>2231</v>
      </c>
      <c r="B768" s="222" t="s">
        <v>13</v>
      </c>
      <c r="C768" s="222"/>
      <c r="D768" s="222" t="s">
        <v>2247</v>
      </c>
      <c r="E768" s="222" t="s">
        <v>2248</v>
      </c>
      <c r="F768" s="222"/>
      <c r="G768" s="223">
        <v>1</v>
      </c>
      <c r="H768" s="222">
        <v>0</v>
      </c>
      <c r="I768" s="224">
        <v>11408.224700000001</v>
      </c>
      <c r="J768" s="224">
        <v>11408.224700000001</v>
      </c>
      <c r="K768" s="222" t="s">
        <v>2249</v>
      </c>
      <c r="L768" s="222">
        <v>1</v>
      </c>
      <c r="M768" s="222" t="s">
        <v>2250</v>
      </c>
      <c r="N768" s="222">
        <v>1</v>
      </c>
      <c r="O768" s="222">
        <v>0</v>
      </c>
      <c r="P768" s="225">
        <v>1</v>
      </c>
      <c r="Q768" s="224">
        <v>0</v>
      </c>
      <c r="R768" s="222">
        <v>18.13</v>
      </c>
      <c r="S768" s="226" t="str">
        <f>IFERROR(_xlfn.XLOOKUP(R768,'1_Presupuesto'!$E:$E,'1_Presupuesto'!$D:$D),"")</f>
        <v>-</v>
      </c>
    </row>
    <row r="769" spans="1:19" ht="15" customHeight="1" x14ac:dyDescent="0.35">
      <c r="A769" s="222" t="s">
        <v>2231</v>
      </c>
      <c r="B769" s="222" t="s">
        <v>654</v>
      </c>
      <c r="C769" s="222" t="s">
        <v>655</v>
      </c>
      <c r="D769" s="222" t="s">
        <v>656</v>
      </c>
      <c r="E769" s="222" t="s">
        <v>657</v>
      </c>
      <c r="F769" s="222"/>
      <c r="G769" s="223">
        <v>49998.962200000002</v>
      </c>
      <c r="H769" s="222">
        <v>0</v>
      </c>
      <c r="I769" s="224">
        <v>1</v>
      </c>
      <c r="J769" s="224">
        <v>49998.962200000002</v>
      </c>
      <c r="K769" s="222" t="s">
        <v>2232</v>
      </c>
      <c r="L769" s="222">
        <v>9</v>
      </c>
      <c r="M769" s="222" t="s">
        <v>2251</v>
      </c>
      <c r="N769" s="222">
        <v>1</v>
      </c>
      <c r="O769" s="222">
        <v>0</v>
      </c>
      <c r="P769" s="225">
        <v>1</v>
      </c>
      <c r="Q769" s="224">
        <v>0</v>
      </c>
      <c r="R769" s="222">
        <v>18.13</v>
      </c>
      <c r="S769" s="226" t="str">
        <f>IFERROR(_xlfn.XLOOKUP(R769,'1_Presupuesto'!$E:$E,'1_Presupuesto'!$D:$D),"")</f>
        <v>-</v>
      </c>
    </row>
    <row r="770" spans="1:19" ht="15" customHeight="1" x14ac:dyDescent="0.35">
      <c r="A770" s="222" t="s">
        <v>2252</v>
      </c>
      <c r="B770" s="222" t="s">
        <v>654</v>
      </c>
      <c r="C770" s="222" t="s">
        <v>640</v>
      </c>
      <c r="D770" s="222" t="s">
        <v>2142</v>
      </c>
      <c r="E770" s="222" t="s">
        <v>2143</v>
      </c>
      <c r="F770" s="222" t="s">
        <v>66</v>
      </c>
      <c r="G770" s="223">
        <v>1</v>
      </c>
      <c r="H770" s="222">
        <v>0</v>
      </c>
      <c r="I770" s="224">
        <v>7624.2992000000004</v>
      </c>
      <c r="J770" s="224">
        <v>7624.2992000000004</v>
      </c>
      <c r="K770" s="222" t="s">
        <v>2253</v>
      </c>
      <c r="L770" s="222">
        <v>1</v>
      </c>
      <c r="M770" s="222" t="s">
        <v>2254</v>
      </c>
      <c r="N770" s="222">
        <v>1</v>
      </c>
      <c r="O770" s="222">
        <v>0</v>
      </c>
      <c r="P770" s="225">
        <v>1</v>
      </c>
      <c r="Q770" s="224">
        <v>0</v>
      </c>
      <c r="R770" s="222">
        <v>18.14</v>
      </c>
      <c r="S770" s="226" t="str">
        <f>IFERROR(_xlfn.XLOOKUP(R770,'1_Presupuesto'!$E:$E,'1_Presupuesto'!$D:$D),"")</f>
        <v>-</v>
      </c>
    </row>
    <row r="771" spans="1:19" ht="15" customHeight="1" x14ac:dyDescent="0.35">
      <c r="A771" s="222" t="s">
        <v>2252</v>
      </c>
      <c r="B771" s="222" t="s">
        <v>654</v>
      </c>
      <c r="C771" s="222" t="s">
        <v>640</v>
      </c>
      <c r="D771" s="222" t="s">
        <v>2145</v>
      </c>
      <c r="E771" s="222" t="s">
        <v>2146</v>
      </c>
      <c r="F771" s="222" t="s">
        <v>66</v>
      </c>
      <c r="G771" s="223">
        <v>3</v>
      </c>
      <c r="H771" s="222">
        <v>0</v>
      </c>
      <c r="I771" s="224">
        <v>7624.2992000000004</v>
      </c>
      <c r="J771" s="224">
        <v>22872.8976</v>
      </c>
      <c r="K771" s="222" t="s">
        <v>2253</v>
      </c>
      <c r="L771" s="222">
        <v>2</v>
      </c>
      <c r="M771" s="222" t="s">
        <v>2255</v>
      </c>
      <c r="N771" s="222">
        <v>1</v>
      </c>
      <c r="O771" s="222">
        <v>0</v>
      </c>
      <c r="P771" s="225">
        <v>1</v>
      </c>
      <c r="Q771" s="224">
        <v>0</v>
      </c>
      <c r="R771" s="222">
        <v>18.14</v>
      </c>
      <c r="S771" s="226" t="str">
        <f>IFERROR(_xlfn.XLOOKUP(R771,'1_Presupuesto'!$E:$E,'1_Presupuesto'!$D:$D),"")</f>
        <v>-</v>
      </c>
    </row>
    <row r="772" spans="1:19" ht="15" customHeight="1" x14ac:dyDescent="0.35">
      <c r="A772" s="222" t="s">
        <v>2252</v>
      </c>
      <c r="B772" s="222" t="s">
        <v>654</v>
      </c>
      <c r="C772" s="222" t="s">
        <v>640</v>
      </c>
      <c r="D772" s="222" t="s">
        <v>2132</v>
      </c>
      <c r="E772" s="222" t="s">
        <v>2133</v>
      </c>
      <c r="F772" s="222" t="s">
        <v>66</v>
      </c>
      <c r="G772" s="223">
        <v>4</v>
      </c>
      <c r="H772" s="222">
        <v>0</v>
      </c>
      <c r="I772" s="224">
        <v>26757.217000000001</v>
      </c>
      <c r="J772" s="224">
        <v>107028.868</v>
      </c>
      <c r="K772" s="222" t="s">
        <v>2253</v>
      </c>
      <c r="L772" s="222">
        <v>3</v>
      </c>
      <c r="M772" s="222" t="s">
        <v>2256</v>
      </c>
      <c r="N772" s="222">
        <v>1</v>
      </c>
      <c r="O772" s="222">
        <v>0</v>
      </c>
      <c r="P772" s="225">
        <v>1</v>
      </c>
      <c r="Q772" s="224">
        <v>0</v>
      </c>
      <c r="R772" s="222">
        <v>18.14</v>
      </c>
      <c r="S772" s="226" t="str">
        <f>IFERROR(_xlfn.XLOOKUP(R772,'1_Presupuesto'!$E:$E,'1_Presupuesto'!$D:$D),"")</f>
        <v>-</v>
      </c>
    </row>
    <row r="773" spans="1:19" ht="15" customHeight="1" x14ac:dyDescent="0.35">
      <c r="A773" s="222" t="s">
        <v>2252</v>
      </c>
      <c r="B773" s="222" t="s">
        <v>654</v>
      </c>
      <c r="C773" s="222" t="s">
        <v>640</v>
      </c>
      <c r="D773" s="222" t="s">
        <v>2257</v>
      </c>
      <c r="E773" s="222" t="s">
        <v>2258</v>
      </c>
      <c r="F773" s="222" t="s">
        <v>66</v>
      </c>
      <c r="G773" s="223">
        <v>1</v>
      </c>
      <c r="H773" s="222">
        <v>0</v>
      </c>
      <c r="I773" s="224">
        <v>24268.1698</v>
      </c>
      <c r="J773" s="224">
        <v>24268.1698</v>
      </c>
      <c r="K773" s="222" t="s">
        <v>2253</v>
      </c>
      <c r="L773" s="222">
        <v>4</v>
      </c>
      <c r="M773" s="222" t="s">
        <v>2259</v>
      </c>
      <c r="N773" s="222">
        <v>1</v>
      </c>
      <c r="O773" s="222">
        <v>0</v>
      </c>
      <c r="P773" s="225">
        <v>1</v>
      </c>
      <c r="Q773" s="224">
        <v>0</v>
      </c>
      <c r="R773" s="222">
        <v>18.14</v>
      </c>
      <c r="S773" s="226" t="str">
        <f>IFERROR(_xlfn.XLOOKUP(R773,'1_Presupuesto'!$E:$E,'1_Presupuesto'!$D:$D),"")</f>
        <v>-</v>
      </c>
    </row>
    <row r="774" spans="1:19" ht="15" customHeight="1" x14ac:dyDescent="0.35">
      <c r="A774" s="222" t="s">
        <v>2252</v>
      </c>
      <c r="B774" s="222" t="s">
        <v>639</v>
      </c>
      <c r="C774" s="222" t="s">
        <v>640</v>
      </c>
      <c r="D774" s="222" t="s">
        <v>2208</v>
      </c>
      <c r="E774" s="222" t="s">
        <v>2209</v>
      </c>
      <c r="F774" s="222" t="s">
        <v>643</v>
      </c>
      <c r="G774" s="223">
        <v>1</v>
      </c>
      <c r="H774" s="222">
        <v>0</v>
      </c>
      <c r="I774" s="224">
        <v>219841.65</v>
      </c>
      <c r="J774" s="224">
        <v>219841.65</v>
      </c>
      <c r="K774" s="222" t="s">
        <v>2260</v>
      </c>
      <c r="L774" s="222">
        <v>1</v>
      </c>
      <c r="M774" s="222" t="s">
        <v>2261</v>
      </c>
      <c r="N774" s="222">
        <v>1</v>
      </c>
      <c r="O774" s="222">
        <v>0</v>
      </c>
      <c r="P774" s="225">
        <v>1</v>
      </c>
      <c r="Q774" s="224">
        <v>0</v>
      </c>
      <c r="R774" s="222">
        <v>18.14</v>
      </c>
      <c r="S774" s="226" t="str">
        <f>IFERROR(_xlfn.XLOOKUP(R774,'1_Presupuesto'!$E:$E,'1_Presupuesto'!$D:$D),"")</f>
        <v>-</v>
      </c>
    </row>
    <row r="775" spans="1:19" ht="15" customHeight="1" x14ac:dyDescent="0.35">
      <c r="A775" s="222" t="s">
        <v>2252</v>
      </c>
      <c r="B775" s="222" t="s">
        <v>13</v>
      </c>
      <c r="C775" s="222"/>
      <c r="D775" s="222" t="s">
        <v>2262</v>
      </c>
      <c r="E775" s="222" t="s">
        <v>2263</v>
      </c>
      <c r="F775" s="222"/>
      <c r="G775" s="223">
        <v>1</v>
      </c>
      <c r="H775" s="222">
        <v>0</v>
      </c>
      <c r="I775" s="224">
        <v>5971.8202000000001</v>
      </c>
      <c r="J775" s="224">
        <v>5971.8202000000001</v>
      </c>
      <c r="K775" s="222" t="s">
        <v>2264</v>
      </c>
      <c r="L775" s="222">
        <v>1</v>
      </c>
      <c r="M775" s="222" t="s">
        <v>2265</v>
      </c>
      <c r="N775" s="222">
        <v>1</v>
      </c>
      <c r="O775" s="222">
        <v>0</v>
      </c>
      <c r="P775" s="225">
        <v>1</v>
      </c>
      <c r="Q775" s="224">
        <v>0</v>
      </c>
      <c r="R775" s="222">
        <v>18.14</v>
      </c>
      <c r="S775" s="226" t="str">
        <f>IFERROR(_xlfn.XLOOKUP(R775,'1_Presupuesto'!$E:$E,'1_Presupuesto'!$D:$D),"")</f>
        <v>-</v>
      </c>
    </row>
    <row r="776" spans="1:19" ht="15" customHeight="1" x14ac:dyDescent="0.35">
      <c r="A776" s="222" t="s">
        <v>2252</v>
      </c>
      <c r="B776" s="222" t="s">
        <v>654</v>
      </c>
      <c r="C776" s="222" t="s">
        <v>655</v>
      </c>
      <c r="D776" s="222" t="s">
        <v>656</v>
      </c>
      <c r="E776" s="222" t="s">
        <v>657</v>
      </c>
      <c r="F776" s="222"/>
      <c r="G776" s="223">
        <v>16485.463299999999</v>
      </c>
      <c r="H776" s="222">
        <v>0</v>
      </c>
      <c r="I776" s="224">
        <v>1</v>
      </c>
      <c r="J776" s="224">
        <v>16485.463299999999</v>
      </c>
      <c r="K776" s="222" t="s">
        <v>2253</v>
      </c>
      <c r="L776" s="222">
        <v>5</v>
      </c>
      <c r="M776" s="222" t="s">
        <v>2266</v>
      </c>
      <c r="N776" s="222">
        <v>1</v>
      </c>
      <c r="O776" s="222">
        <v>0</v>
      </c>
      <c r="P776" s="225">
        <v>1</v>
      </c>
      <c r="Q776" s="224">
        <v>0</v>
      </c>
      <c r="R776" s="222">
        <v>18.14</v>
      </c>
      <c r="S776" s="226" t="str">
        <f>IFERROR(_xlfn.XLOOKUP(R776,'1_Presupuesto'!$E:$E,'1_Presupuesto'!$D:$D),"")</f>
        <v>-</v>
      </c>
    </row>
    <row r="777" spans="1:19" ht="15" customHeight="1" x14ac:dyDescent="0.35">
      <c r="A777" s="222" t="s">
        <v>2267</v>
      </c>
      <c r="B777" s="222" t="s">
        <v>654</v>
      </c>
      <c r="C777" s="222" t="s">
        <v>640</v>
      </c>
      <c r="D777" s="222" t="s">
        <v>2142</v>
      </c>
      <c r="E777" s="222" t="s">
        <v>2143</v>
      </c>
      <c r="F777" s="222" t="s">
        <v>66</v>
      </c>
      <c r="G777" s="223">
        <v>1</v>
      </c>
      <c r="H777" s="222">
        <v>0</v>
      </c>
      <c r="I777" s="224">
        <v>7624.2992000000004</v>
      </c>
      <c r="J777" s="224">
        <v>7624.2992000000004</v>
      </c>
      <c r="K777" s="222" t="s">
        <v>2268</v>
      </c>
      <c r="L777" s="222">
        <v>1</v>
      </c>
      <c r="M777" s="222" t="s">
        <v>2269</v>
      </c>
      <c r="N777" s="222">
        <v>1</v>
      </c>
      <c r="O777" s="222">
        <v>0</v>
      </c>
      <c r="P777" s="225">
        <v>7</v>
      </c>
      <c r="Q777" s="224">
        <v>0</v>
      </c>
      <c r="R777" s="222">
        <v>18.149999999999999</v>
      </c>
      <c r="S777" s="226" t="str">
        <f>IFERROR(_xlfn.XLOOKUP(R777,'1_Presupuesto'!$E:$E,'1_Presupuesto'!$D:$D),"")</f>
        <v>-</v>
      </c>
    </row>
    <row r="778" spans="1:19" ht="15" customHeight="1" x14ac:dyDescent="0.35">
      <c r="A778" s="222" t="s">
        <v>2267</v>
      </c>
      <c r="B778" s="222" t="s">
        <v>654</v>
      </c>
      <c r="C778" s="222" t="s">
        <v>640</v>
      </c>
      <c r="D778" s="222" t="s">
        <v>2145</v>
      </c>
      <c r="E778" s="222" t="s">
        <v>2146</v>
      </c>
      <c r="F778" s="222" t="s">
        <v>66</v>
      </c>
      <c r="G778" s="223">
        <v>3</v>
      </c>
      <c r="H778" s="222">
        <v>0</v>
      </c>
      <c r="I778" s="224">
        <v>7624.2992000000004</v>
      </c>
      <c r="J778" s="224">
        <v>22872.8976</v>
      </c>
      <c r="K778" s="222" t="s">
        <v>2268</v>
      </c>
      <c r="L778" s="222">
        <v>2</v>
      </c>
      <c r="M778" s="222" t="s">
        <v>2270</v>
      </c>
      <c r="N778" s="222">
        <v>1</v>
      </c>
      <c r="O778" s="222">
        <v>0</v>
      </c>
      <c r="P778" s="225">
        <v>7</v>
      </c>
      <c r="Q778" s="224">
        <v>0</v>
      </c>
      <c r="R778" s="222">
        <v>18.149999999999999</v>
      </c>
      <c r="S778" s="226" t="str">
        <f>IFERROR(_xlfn.XLOOKUP(R778,'1_Presupuesto'!$E:$E,'1_Presupuesto'!$D:$D),"")</f>
        <v>-</v>
      </c>
    </row>
    <row r="779" spans="1:19" ht="15" customHeight="1" x14ac:dyDescent="0.35">
      <c r="A779" s="222" t="s">
        <v>2267</v>
      </c>
      <c r="B779" s="222" t="s">
        <v>654</v>
      </c>
      <c r="C779" s="222" t="s">
        <v>640</v>
      </c>
      <c r="D779" s="222" t="s">
        <v>2132</v>
      </c>
      <c r="E779" s="222" t="s">
        <v>2133</v>
      </c>
      <c r="F779" s="222" t="s">
        <v>66</v>
      </c>
      <c r="G779" s="223">
        <v>4</v>
      </c>
      <c r="H779" s="222">
        <v>0</v>
      </c>
      <c r="I779" s="224">
        <v>26757.217000000001</v>
      </c>
      <c r="J779" s="224">
        <v>107028.868</v>
      </c>
      <c r="K779" s="222" t="s">
        <v>2268</v>
      </c>
      <c r="L779" s="222">
        <v>3</v>
      </c>
      <c r="M779" s="222" t="s">
        <v>2271</v>
      </c>
      <c r="N779" s="222">
        <v>1</v>
      </c>
      <c r="O779" s="222">
        <v>0</v>
      </c>
      <c r="P779" s="225">
        <v>7</v>
      </c>
      <c r="Q779" s="224">
        <v>0</v>
      </c>
      <c r="R779" s="222">
        <v>18.149999999999999</v>
      </c>
      <c r="S779" s="226" t="str">
        <f>IFERROR(_xlfn.XLOOKUP(R779,'1_Presupuesto'!$E:$E,'1_Presupuesto'!$D:$D),"")</f>
        <v>-</v>
      </c>
    </row>
    <row r="780" spans="1:19" ht="15" customHeight="1" x14ac:dyDescent="0.35">
      <c r="A780" s="222" t="s">
        <v>2267</v>
      </c>
      <c r="B780" s="222" t="s">
        <v>654</v>
      </c>
      <c r="C780" s="222" t="s">
        <v>640</v>
      </c>
      <c r="D780" s="222" t="s">
        <v>2257</v>
      </c>
      <c r="E780" s="222" t="s">
        <v>2258</v>
      </c>
      <c r="F780" s="222" t="s">
        <v>66</v>
      </c>
      <c r="G780" s="223">
        <v>1</v>
      </c>
      <c r="H780" s="222">
        <v>0</v>
      </c>
      <c r="I780" s="224">
        <v>24268.1698</v>
      </c>
      <c r="J780" s="224">
        <v>24268.1698</v>
      </c>
      <c r="K780" s="222" t="s">
        <v>2268</v>
      </c>
      <c r="L780" s="222">
        <v>4</v>
      </c>
      <c r="M780" s="222" t="s">
        <v>2272</v>
      </c>
      <c r="N780" s="222">
        <v>1</v>
      </c>
      <c r="O780" s="222">
        <v>0</v>
      </c>
      <c r="P780" s="225">
        <v>7</v>
      </c>
      <c r="Q780" s="224">
        <v>0</v>
      </c>
      <c r="R780" s="222">
        <v>18.149999999999999</v>
      </c>
      <c r="S780" s="226" t="str">
        <f>IFERROR(_xlfn.XLOOKUP(R780,'1_Presupuesto'!$E:$E,'1_Presupuesto'!$D:$D),"")</f>
        <v>-</v>
      </c>
    </row>
    <row r="781" spans="1:19" ht="15" customHeight="1" x14ac:dyDescent="0.35">
      <c r="A781" s="222" t="s">
        <v>2267</v>
      </c>
      <c r="B781" s="222" t="s">
        <v>639</v>
      </c>
      <c r="C781" s="222" t="s">
        <v>640</v>
      </c>
      <c r="D781" s="222" t="s">
        <v>2208</v>
      </c>
      <c r="E781" s="222" t="s">
        <v>2209</v>
      </c>
      <c r="F781" s="222" t="s">
        <v>643</v>
      </c>
      <c r="G781" s="223">
        <v>1</v>
      </c>
      <c r="H781" s="222">
        <v>0</v>
      </c>
      <c r="I781" s="224">
        <v>219841.65</v>
      </c>
      <c r="J781" s="224">
        <v>219841.65</v>
      </c>
      <c r="K781" s="222" t="s">
        <v>2273</v>
      </c>
      <c r="L781" s="222">
        <v>1</v>
      </c>
      <c r="M781" s="222" t="s">
        <v>2274</v>
      </c>
      <c r="N781" s="222">
        <v>1</v>
      </c>
      <c r="O781" s="222">
        <v>0</v>
      </c>
      <c r="P781" s="225">
        <v>7</v>
      </c>
      <c r="Q781" s="224">
        <v>0</v>
      </c>
      <c r="R781" s="222">
        <v>18.149999999999999</v>
      </c>
      <c r="S781" s="226" t="str">
        <f>IFERROR(_xlfn.XLOOKUP(R781,'1_Presupuesto'!$E:$E,'1_Presupuesto'!$D:$D),"")</f>
        <v>-</v>
      </c>
    </row>
    <row r="782" spans="1:19" ht="15" customHeight="1" x14ac:dyDescent="0.35">
      <c r="A782" s="222" t="s">
        <v>2267</v>
      </c>
      <c r="B782" s="222" t="s">
        <v>13</v>
      </c>
      <c r="C782" s="222"/>
      <c r="D782" s="222" t="s">
        <v>2275</v>
      </c>
      <c r="E782" s="222" t="s">
        <v>2276</v>
      </c>
      <c r="F782" s="222"/>
      <c r="G782" s="223">
        <v>1</v>
      </c>
      <c r="H782" s="222">
        <v>0</v>
      </c>
      <c r="I782" s="224">
        <v>5971.8202000000001</v>
      </c>
      <c r="J782" s="224">
        <v>5971.8202000000001</v>
      </c>
      <c r="K782" s="222" t="s">
        <v>2277</v>
      </c>
      <c r="L782" s="222">
        <v>1</v>
      </c>
      <c r="M782" s="222" t="s">
        <v>2278</v>
      </c>
      <c r="N782" s="222">
        <v>1</v>
      </c>
      <c r="O782" s="222">
        <v>0</v>
      </c>
      <c r="P782" s="225">
        <v>7</v>
      </c>
      <c r="Q782" s="224">
        <v>0</v>
      </c>
      <c r="R782" s="222">
        <v>18.149999999999999</v>
      </c>
      <c r="S782" s="226" t="str">
        <f>IFERROR(_xlfn.XLOOKUP(R782,'1_Presupuesto'!$E:$E,'1_Presupuesto'!$D:$D),"")</f>
        <v>-</v>
      </c>
    </row>
    <row r="783" spans="1:19" ht="15" customHeight="1" x14ac:dyDescent="0.35">
      <c r="A783" s="222" t="s">
        <v>2267</v>
      </c>
      <c r="B783" s="222" t="s">
        <v>654</v>
      </c>
      <c r="C783" s="222" t="s">
        <v>655</v>
      </c>
      <c r="D783" s="222" t="s">
        <v>656</v>
      </c>
      <c r="E783" s="222" t="s">
        <v>657</v>
      </c>
      <c r="F783" s="222"/>
      <c r="G783" s="223">
        <v>16485.463299999999</v>
      </c>
      <c r="H783" s="222">
        <v>0</v>
      </c>
      <c r="I783" s="224">
        <v>1</v>
      </c>
      <c r="J783" s="224">
        <v>16485.463299999999</v>
      </c>
      <c r="K783" s="222" t="s">
        <v>2268</v>
      </c>
      <c r="L783" s="222">
        <v>5</v>
      </c>
      <c r="M783" s="222" t="s">
        <v>2279</v>
      </c>
      <c r="N783" s="222">
        <v>1</v>
      </c>
      <c r="O783" s="222">
        <v>0</v>
      </c>
      <c r="P783" s="225">
        <v>7</v>
      </c>
      <c r="Q783" s="224">
        <v>0</v>
      </c>
      <c r="R783" s="222">
        <v>18.149999999999999</v>
      </c>
      <c r="S783" s="226" t="str">
        <f>IFERROR(_xlfn.XLOOKUP(R783,'1_Presupuesto'!$E:$E,'1_Presupuesto'!$D:$D),"")</f>
        <v>-</v>
      </c>
    </row>
    <row r="784" spans="1:19" ht="15" customHeight="1" x14ac:dyDescent="0.35">
      <c r="A784" s="222" t="s">
        <v>2280</v>
      </c>
      <c r="B784" s="222" t="s">
        <v>654</v>
      </c>
      <c r="C784" s="222" t="s">
        <v>640</v>
      </c>
      <c r="D784" s="222" t="s">
        <v>2136</v>
      </c>
      <c r="E784" s="222" t="s">
        <v>2137</v>
      </c>
      <c r="F784" s="222" t="s">
        <v>66</v>
      </c>
      <c r="G784" s="223">
        <v>1</v>
      </c>
      <c r="H784" s="222">
        <v>0</v>
      </c>
      <c r="I784" s="224">
        <v>51788.8295</v>
      </c>
      <c r="J784" s="224">
        <v>51788.8295</v>
      </c>
      <c r="K784" s="222" t="s">
        <v>2281</v>
      </c>
      <c r="L784" s="222">
        <v>1</v>
      </c>
      <c r="M784" s="222" t="s">
        <v>2282</v>
      </c>
      <c r="N784" s="222">
        <v>1</v>
      </c>
      <c r="O784" s="222">
        <v>0</v>
      </c>
      <c r="P784" s="225">
        <v>9</v>
      </c>
      <c r="Q784" s="224">
        <v>0</v>
      </c>
      <c r="R784" s="222">
        <v>18.16</v>
      </c>
      <c r="S784" s="226" t="str">
        <f>IFERROR(_xlfn.XLOOKUP(R784,'1_Presupuesto'!$E:$E,'1_Presupuesto'!$D:$D),"")</f>
        <v>-</v>
      </c>
    </row>
    <row r="785" spans="1:19" ht="15" customHeight="1" x14ac:dyDescent="0.35">
      <c r="A785" s="222" t="s">
        <v>2280</v>
      </c>
      <c r="B785" s="222" t="s">
        <v>654</v>
      </c>
      <c r="C785" s="222" t="s">
        <v>640</v>
      </c>
      <c r="D785" s="222" t="s">
        <v>2283</v>
      </c>
      <c r="E785" s="222" t="s">
        <v>2284</v>
      </c>
      <c r="F785" s="222" t="s">
        <v>66</v>
      </c>
      <c r="G785" s="223">
        <v>1</v>
      </c>
      <c r="H785" s="222">
        <v>0</v>
      </c>
      <c r="I785" s="224">
        <v>49487.109900000003</v>
      </c>
      <c r="J785" s="224">
        <v>49487.109900000003</v>
      </c>
      <c r="K785" s="222" t="s">
        <v>2281</v>
      </c>
      <c r="L785" s="222">
        <v>2</v>
      </c>
      <c r="M785" s="222" t="s">
        <v>2285</v>
      </c>
      <c r="N785" s="222">
        <v>1</v>
      </c>
      <c r="O785" s="222">
        <v>0</v>
      </c>
      <c r="P785" s="225">
        <v>9</v>
      </c>
      <c r="Q785" s="224">
        <v>0</v>
      </c>
      <c r="R785" s="222">
        <v>18.16</v>
      </c>
      <c r="S785" s="226" t="str">
        <f>IFERROR(_xlfn.XLOOKUP(R785,'1_Presupuesto'!$E:$E,'1_Presupuesto'!$D:$D),"")</f>
        <v>-</v>
      </c>
    </row>
    <row r="786" spans="1:19" ht="15" customHeight="1" x14ac:dyDescent="0.35">
      <c r="A786" s="222" t="s">
        <v>2280</v>
      </c>
      <c r="B786" s="222" t="s">
        <v>654</v>
      </c>
      <c r="C786" s="222" t="s">
        <v>640</v>
      </c>
      <c r="D786" s="222" t="s">
        <v>2132</v>
      </c>
      <c r="E786" s="222" t="s">
        <v>2133</v>
      </c>
      <c r="F786" s="222" t="s">
        <v>66</v>
      </c>
      <c r="G786" s="223">
        <v>2</v>
      </c>
      <c r="H786" s="222">
        <v>0</v>
      </c>
      <c r="I786" s="224">
        <v>26757.217000000001</v>
      </c>
      <c r="J786" s="224">
        <v>53514.434000000001</v>
      </c>
      <c r="K786" s="222" t="s">
        <v>2281</v>
      </c>
      <c r="L786" s="222">
        <v>3</v>
      </c>
      <c r="M786" s="222" t="s">
        <v>2286</v>
      </c>
      <c r="N786" s="222">
        <v>1</v>
      </c>
      <c r="O786" s="222">
        <v>0</v>
      </c>
      <c r="P786" s="225">
        <v>9</v>
      </c>
      <c r="Q786" s="224">
        <v>0</v>
      </c>
      <c r="R786" s="222">
        <v>18.16</v>
      </c>
      <c r="S786" s="226" t="str">
        <f>IFERROR(_xlfn.XLOOKUP(R786,'1_Presupuesto'!$E:$E,'1_Presupuesto'!$D:$D),"")</f>
        <v>-</v>
      </c>
    </row>
    <row r="787" spans="1:19" ht="15" customHeight="1" x14ac:dyDescent="0.35">
      <c r="A787" s="222" t="s">
        <v>2280</v>
      </c>
      <c r="B787" s="222" t="s">
        <v>654</v>
      </c>
      <c r="C787" s="222" t="s">
        <v>640</v>
      </c>
      <c r="D787" s="222" t="s">
        <v>2287</v>
      </c>
      <c r="E787" s="222" t="s">
        <v>2288</v>
      </c>
      <c r="F787" s="222" t="s">
        <v>66</v>
      </c>
      <c r="G787" s="223">
        <v>1</v>
      </c>
      <c r="H787" s="222">
        <v>0</v>
      </c>
      <c r="I787" s="224">
        <v>16112.078299999999</v>
      </c>
      <c r="J787" s="224">
        <v>16112.078299999999</v>
      </c>
      <c r="K787" s="222" t="s">
        <v>2281</v>
      </c>
      <c r="L787" s="222">
        <v>4</v>
      </c>
      <c r="M787" s="222" t="s">
        <v>2289</v>
      </c>
      <c r="N787" s="222">
        <v>1</v>
      </c>
      <c r="O787" s="222">
        <v>0</v>
      </c>
      <c r="P787" s="225">
        <v>9</v>
      </c>
      <c r="Q787" s="224">
        <v>0</v>
      </c>
      <c r="R787" s="222">
        <v>18.16</v>
      </c>
      <c r="S787" s="226" t="str">
        <f>IFERROR(_xlfn.XLOOKUP(R787,'1_Presupuesto'!$E:$E,'1_Presupuesto'!$D:$D),"")</f>
        <v>-</v>
      </c>
    </row>
    <row r="788" spans="1:19" ht="15" customHeight="1" x14ac:dyDescent="0.35">
      <c r="A788" s="222" t="s">
        <v>2280</v>
      </c>
      <c r="B788" s="222" t="s">
        <v>654</v>
      </c>
      <c r="C788" s="222" t="s">
        <v>640</v>
      </c>
      <c r="D788" s="222" t="s">
        <v>2145</v>
      </c>
      <c r="E788" s="222" t="s">
        <v>2146</v>
      </c>
      <c r="F788" s="222" t="s">
        <v>66</v>
      </c>
      <c r="G788" s="223">
        <v>2</v>
      </c>
      <c r="H788" s="222">
        <v>0</v>
      </c>
      <c r="I788" s="224">
        <v>7624.2992000000004</v>
      </c>
      <c r="J788" s="224">
        <v>15248.598400000001</v>
      </c>
      <c r="K788" s="222" t="s">
        <v>2281</v>
      </c>
      <c r="L788" s="222">
        <v>5</v>
      </c>
      <c r="M788" s="222" t="s">
        <v>2290</v>
      </c>
      <c r="N788" s="222">
        <v>1</v>
      </c>
      <c r="O788" s="222">
        <v>0</v>
      </c>
      <c r="P788" s="225">
        <v>9</v>
      </c>
      <c r="Q788" s="224">
        <v>0</v>
      </c>
      <c r="R788" s="222">
        <v>18.16</v>
      </c>
      <c r="S788" s="226" t="str">
        <f>IFERROR(_xlfn.XLOOKUP(R788,'1_Presupuesto'!$E:$E,'1_Presupuesto'!$D:$D),"")</f>
        <v>-</v>
      </c>
    </row>
    <row r="789" spans="1:19" ht="15" customHeight="1" x14ac:dyDescent="0.35">
      <c r="A789" s="222" t="s">
        <v>2280</v>
      </c>
      <c r="B789" s="222" t="s">
        <v>654</v>
      </c>
      <c r="C789" s="222" t="s">
        <v>640</v>
      </c>
      <c r="D789" s="222" t="s">
        <v>2142</v>
      </c>
      <c r="E789" s="222" t="s">
        <v>2143</v>
      </c>
      <c r="F789" s="222" t="s">
        <v>66</v>
      </c>
      <c r="G789" s="223">
        <v>1</v>
      </c>
      <c r="H789" s="222">
        <v>0</v>
      </c>
      <c r="I789" s="224">
        <v>7624.2992000000004</v>
      </c>
      <c r="J789" s="224">
        <v>7624.2992000000004</v>
      </c>
      <c r="K789" s="222" t="s">
        <v>2281</v>
      </c>
      <c r="L789" s="222">
        <v>6</v>
      </c>
      <c r="M789" s="222" t="s">
        <v>2291</v>
      </c>
      <c r="N789" s="222">
        <v>1</v>
      </c>
      <c r="O789" s="222">
        <v>0</v>
      </c>
      <c r="P789" s="225">
        <v>9</v>
      </c>
      <c r="Q789" s="224">
        <v>0</v>
      </c>
      <c r="R789" s="222">
        <v>18.16</v>
      </c>
      <c r="S789" s="226" t="str">
        <f>IFERROR(_xlfn.XLOOKUP(R789,'1_Presupuesto'!$E:$E,'1_Presupuesto'!$D:$D),"")</f>
        <v>-</v>
      </c>
    </row>
    <row r="790" spans="1:19" ht="15" customHeight="1" x14ac:dyDescent="0.35">
      <c r="A790" s="222" t="s">
        <v>2280</v>
      </c>
      <c r="B790" s="222" t="s">
        <v>654</v>
      </c>
      <c r="C790" s="222" t="s">
        <v>640</v>
      </c>
      <c r="D790" s="222" t="s">
        <v>2292</v>
      </c>
      <c r="E790" s="222" t="s">
        <v>2293</v>
      </c>
      <c r="F790" s="222" t="s">
        <v>66</v>
      </c>
      <c r="G790" s="223">
        <v>1</v>
      </c>
      <c r="H790" s="222">
        <v>0</v>
      </c>
      <c r="I790" s="224">
        <v>30335.3727</v>
      </c>
      <c r="J790" s="224">
        <v>30335.3727</v>
      </c>
      <c r="K790" s="222" t="s">
        <v>2281</v>
      </c>
      <c r="L790" s="222">
        <v>7</v>
      </c>
      <c r="M790" s="222" t="s">
        <v>2294</v>
      </c>
      <c r="N790" s="222">
        <v>1</v>
      </c>
      <c r="O790" s="222">
        <v>0</v>
      </c>
      <c r="P790" s="225">
        <v>9</v>
      </c>
      <c r="Q790" s="224">
        <v>0</v>
      </c>
      <c r="R790" s="222">
        <v>18.16</v>
      </c>
      <c r="S790" s="226" t="str">
        <f>IFERROR(_xlfn.XLOOKUP(R790,'1_Presupuesto'!$E:$E,'1_Presupuesto'!$D:$D),"")</f>
        <v>-</v>
      </c>
    </row>
    <row r="791" spans="1:19" ht="15" customHeight="1" x14ac:dyDescent="0.35">
      <c r="A791" s="222" t="s">
        <v>2280</v>
      </c>
      <c r="B791" s="222" t="s">
        <v>639</v>
      </c>
      <c r="C791" s="222" t="s">
        <v>640</v>
      </c>
      <c r="D791" s="222" t="s">
        <v>2208</v>
      </c>
      <c r="E791" s="222" t="s">
        <v>2209</v>
      </c>
      <c r="F791" s="222" t="s">
        <v>643</v>
      </c>
      <c r="G791" s="223">
        <v>1</v>
      </c>
      <c r="H791" s="222">
        <v>0</v>
      </c>
      <c r="I791" s="224">
        <v>219841.65</v>
      </c>
      <c r="J791" s="224">
        <v>219841.65</v>
      </c>
      <c r="K791" s="222" t="s">
        <v>2295</v>
      </c>
      <c r="L791" s="222">
        <v>1</v>
      </c>
      <c r="M791" s="222" t="s">
        <v>2296</v>
      </c>
      <c r="N791" s="222">
        <v>1</v>
      </c>
      <c r="O791" s="222">
        <v>0</v>
      </c>
      <c r="P791" s="225">
        <v>9</v>
      </c>
      <c r="Q791" s="224">
        <v>0</v>
      </c>
      <c r="R791" s="222">
        <v>18.16</v>
      </c>
      <c r="S791" s="226" t="str">
        <f>IFERROR(_xlfn.XLOOKUP(R791,'1_Presupuesto'!$E:$E,'1_Presupuesto'!$D:$D),"")</f>
        <v>-</v>
      </c>
    </row>
    <row r="792" spans="1:19" ht="15" customHeight="1" x14ac:dyDescent="0.35">
      <c r="A792" s="222" t="s">
        <v>2280</v>
      </c>
      <c r="B792" s="222" t="s">
        <v>13</v>
      </c>
      <c r="C792" s="222"/>
      <c r="D792" s="222" t="s">
        <v>2297</v>
      </c>
      <c r="E792" s="222" t="s">
        <v>2298</v>
      </c>
      <c r="F792" s="222"/>
      <c r="G792" s="223">
        <v>1</v>
      </c>
      <c r="H792" s="222">
        <v>0</v>
      </c>
      <c r="I792" s="224">
        <v>7001.8104000000003</v>
      </c>
      <c r="J792" s="224">
        <v>7001.8104000000003</v>
      </c>
      <c r="K792" s="222" t="s">
        <v>2299</v>
      </c>
      <c r="L792" s="222">
        <v>1</v>
      </c>
      <c r="M792" s="222" t="s">
        <v>2300</v>
      </c>
      <c r="N792" s="222">
        <v>1</v>
      </c>
      <c r="O792" s="222">
        <v>0</v>
      </c>
      <c r="P792" s="225">
        <v>9</v>
      </c>
      <c r="Q792" s="224">
        <v>0</v>
      </c>
      <c r="R792" s="222">
        <v>18.16</v>
      </c>
      <c r="S792" s="226" t="str">
        <f>IFERROR(_xlfn.XLOOKUP(R792,'1_Presupuesto'!$E:$E,'1_Presupuesto'!$D:$D),"")</f>
        <v>-</v>
      </c>
    </row>
    <row r="793" spans="1:19" ht="15" customHeight="1" x14ac:dyDescent="0.35">
      <c r="A793" s="222" t="s">
        <v>2280</v>
      </c>
      <c r="B793" s="222" t="s">
        <v>654</v>
      </c>
      <c r="C793" s="222" t="s">
        <v>655</v>
      </c>
      <c r="D793" s="222" t="s">
        <v>656</v>
      </c>
      <c r="E793" s="222" t="s">
        <v>657</v>
      </c>
      <c r="F793" s="222"/>
      <c r="G793" s="223">
        <v>22834.986000000001</v>
      </c>
      <c r="H793" s="222">
        <v>0</v>
      </c>
      <c r="I793" s="224">
        <v>1</v>
      </c>
      <c r="J793" s="224">
        <v>22834.986000000001</v>
      </c>
      <c r="K793" s="222" t="s">
        <v>2281</v>
      </c>
      <c r="L793" s="222">
        <v>8</v>
      </c>
      <c r="M793" s="222" t="s">
        <v>2301</v>
      </c>
      <c r="N793" s="222">
        <v>1</v>
      </c>
      <c r="O793" s="222">
        <v>0</v>
      </c>
      <c r="P793" s="225">
        <v>9</v>
      </c>
      <c r="Q793" s="224">
        <v>0</v>
      </c>
      <c r="R793" s="222">
        <v>18.16</v>
      </c>
      <c r="S793" s="226" t="str">
        <f>IFERROR(_xlfn.XLOOKUP(R793,'1_Presupuesto'!$E:$E,'1_Presupuesto'!$D:$D),"")</f>
        <v>-</v>
      </c>
    </row>
    <row r="794" spans="1:19" ht="15" customHeight="1" x14ac:dyDescent="0.35">
      <c r="A794" s="222" t="s">
        <v>2302</v>
      </c>
      <c r="B794" s="222" t="s">
        <v>654</v>
      </c>
      <c r="C794" s="222" t="s">
        <v>640</v>
      </c>
      <c r="D794" s="222" t="s">
        <v>2303</v>
      </c>
      <c r="E794" s="222" t="s">
        <v>204</v>
      </c>
      <c r="F794" s="222"/>
      <c r="G794" s="223">
        <v>1</v>
      </c>
      <c r="H794" s="222">
        <v>0</v>
      </c>
      <c r="I794" s="224">
        <v>5500000</v>
      </c>
      <c r="J794" s="224">
        <v>5500000</v>
      </c>
      <c r="K794" s="222" t="s">
        <v>2304</v>
      </c>
      <c r="L794" s="222">
        <v>1</v>
      </c>
      <c r="M794" s="222" t="s">
        <v>2305</v>
      </c>
      <c r="N794" s="222">
        <v>1</v>
      </c>
      <c r="O794" s="222">
        <v>0</v>
      </c>
      <c r="P794" s="225">
        <v>1</v>
      </c>
      <c r="Q794" s="224">
        <v>0</v>
      </c>
      <c r="R794" s="222">
        <v>18.170000000000002</v>
      </c>
      <c r="S794" s="226" t="str">
        <f>IFERROR(_xlfn.XLOOKUP(R794,'1_Presupuesto'!$E:$E,'1_Presupuesto'!$D:$D),"")</f>
        <v>Eléctrico MO</v>
      </c>
    </row>
    <row r="795" spans="1:19" ht="15" customHeight="1" x14ac:dyDescent="0.35">
      <c r="A795" s="222" t="s">
        <v>2302</v>
      </c>
      <c r="B795" s="222" t="s">
        <v>639</v>
      </c>
      <c r="C795" s="222" t="s">
        <v>640</v>
      </c>
      <c r="D795" s="222" t="s">
        <v>2306</v>
      </c>
      <c r="E795" s="222" t="s">
        <v>724</v>
      </c>
      <c r="F795" s="222" t="s">
        <v>643</v>
      </c>
      <c r="G795" s="223">
        <v>10</v>
      </c>
      <c r="H795" s="222">
        <v>0</v>
      </c>
      <c r="I795" s="224">
        <v>75113.048200000005</v>
      </c>
      <c r="J795" s="224">
        <v>751130.48200000008</v>
      </c>
      <c r="K795" s="222" t="s">
        <v>2307</v>
      </c>
      <c r="L795" s="222">
        <v>1</v>
      </c>
      <c r="M795" s="222" t="s">
        <v>2308</v>
      </c>
      <c r="N795" s="222">
        <v>1</v>
      </c>
      <c r="O795" s="222">
        <v>0</v>
      </c>
      <c r="P795" s="225">
        <v>1</v>
      </c>
      <c r="Q795" s="224">
        <v>0</v>
      </c>
      <c r="R795" s="222">
        <v>18.170000000000002</v>
      </c>
      <c r="S795" s="226" t="str">
        <f>IFERROR(_xlfn.XLOOKUP(R795,'1_Presupuesto'!$E:$E,'1_Presupuesto'!$D:$D),"")</f>
        <v>Eléctrico MO</v>
      </c>
    </row>
    <row r="796" spans="1:19" ht="15" customHeight="1" x14ac:dyDescent="0.35">
      <c r="A796" s="222" t="s">
        <v>2302</v>
      </c>
      <c r="B796" s="222" t="s">
        <v>639</v>
      </c>
      <c r="C796" s="222" t="s">
        <v>640</v>
      </c>
      <c r="D796" s="222" t="s">
        <v>2309</v>
      </c>
      <c r="E796" s="222" t="s">
        <v>688</v>
      </c>
      <c r="F796" s="222" t="s">
        <v>643</v>
      </c>
      <c r="G796" s="223">
        <v>10</v>
      </c>
      <c r="H796" s="222">
        <v>0</v>
      </c>
      <c r="I796" s="224">
        <v>54784.071799999998</v>
      </c>
      <c r="J796" s="224">
        <v>547840.71799999999</v>
      </c>
      <c r="K796" s="222" t="s">
        <v>2307</v>
      </c>
      <c r="L796" s="222">
        <v>2</v>
      </c>
      <c r="M796" s="222" t="s">
        <v>2310</v>
      </c>
      <c r="N796" s="222">
        <v>1</v>
      </c>
      <c r="O796" s="222">
        <v>0</v>
      </c>
      <c r="P796" s="225">
        <v>1</v>
      </c>
      <c r="Q796" s="224">
        <v>0</v>
      </c>
      <c r="R796" s="222">
        <v>18.170000000000002</v>
      </c>
      <c r="S796" s="226" t="str">
        <f>IFERROR(_xlfn.XLOOKUP(R796,'1_Presupuesto'!$E:$E,'1_Presupuesto'!$D:$D),"")</f>
        <v>Eléctrico MO</v>
      </c>
    </row>
    <row r="797" spans="1:19" ht="15" customHeight="1" x14ac:dyDescent="0.35">
      <c r="A797" s="222" t="s">
        <v>2302</v>
      </c>
      <c r="B797" s="222" t="s">
        <v>639</v>
      </c>
      <c r="C797" s="222" t="s">
        <v>646</v>
      </c>
      <c r="D797" s="222" t="s">
        <v>723</v>
      </c>
      <c r="E797" s="222" t="s">
        <v>724</v>
      </c>
      <c r="F797" s="222" t="s">
        <v>643</v>
      </c>
      <c r="G797" s="223">
        <v>5</v>
      </c>
      <c r="H797" s="222">
        <v>0</v>
      </c>
      <c r="I797" s="224">
        <v>75113.05</v>
      </c>
      <c r="J797" s="224">
        <v>375565.25</v>
      </c>
      <c r="K797" s="222" t="s">
        <v>2307</v>
      </c>
      <c r="L797" s="222">
        <v>3</v>
      </c>
      <c r="M797" s="222" t="s">
        <v>2311</v>
      </c>
      <c r="N797" s="222">
        <v>1</v>
      </c>
      <c r="O797" s="222">
        <v>5</v>
      </c>
      <c r="P797" s="225">
        <v>1</v>
      </c>
      <c r="Q797" s="224">
        <v>5</v>
      </c>
      <c r="R797" s="222">
        <v>18.170000000000002</v>
      </c>
      <c r="S797" s="226" t="str">
        <f>IFERROR(_xlfn.XLOOKUP(R797,'1_Presupuesto'!$E:$E,'1_Presupuesto'!$D:$D),"")</f>
        <v>Eléctrico MO</v>
      </c>
    </row>
    <row r="798" spans="1:19" ht="15" customHeight="1" x14ac:dyDescent="0.35">
      <c r="A798" s="222" t="s">
        <v>2302</v>
      </c>
      <c r="B798" s="222" t="s">
        <v>639</v>
      </c>
      <c r="C798" s="222" t="s">
        <v>646</v>
      </c>
      <c r="D798" s="222" t="s">
        <v>687</v>
      </c>
      <c r="E798" s="222" t="s">
        <v>688</v>
      </c>
      <c r="F798" s="222" t="s">
        <v>643</v>
      </c>
      <c r="G798" s="223">
        <v>5</v>
      </c>
      <c r="H798" s="222">
        <v>0</v>
      </c>
      <c r="I798" s="224">
        <v>54784.07</v>
      </c>
      <c r="J798" s="224">
        <v>273920.34999999998</v>
      </c>
      <c r="K798" s="222" t="s">
        <v>2307</v>
      </c>
      <c r="L798" s="222">
        <v>4</v>
      </c>
      <c r="M798" s="222" t="s">
        <v>2312</v>
      </c>
      <c r="N798" s="222">
        <v>1</v>
      </c>
      <c r="O798" s="222">
        <v>5</v>
      </c>
      <c r="P798" s="225">
        <v>1</v>
      </c>
      <c r="Q798" s="224">
        <v>5</v>
      </c>
      <c r="R798" s="222">
        <v>18.170000000000002</v>
      </c>
      <c r="S798" s="226" t="str">
        <f>IFERROR(_xlfn.XLOOKUP(R798,'1_Presupuesto'!$E:$E,'1_Presupuesto'!$D:$D),"")</f>
        <v>Eléctrico MO</v>
      </c>
    </row>
    <row r="799" spans="1:19" ht="15" customHeight="1" x14ac:dyDescent="0.35">
      <c r="A799" s="222" t="s">
        <v>2302</v>
      </c>
      <c r="B799" s="222" t="s">
        <v>13</v>
      </c>
      <c r="C799" s="222"/>
      <c r="D799" s="222" t="s">
        <v>2313</v>
      </c>
      <c r="E799" s="222" t="s">
        <v>2314</v>
      </c>
      <c r="F799" s="222"/>
      <c r="G799" s="223">
        <v>1</v>
      </c>
      <c r="H799" s="222">
        <v>0</v>
      </c>
      <c r="I799" s="224">
        <v>111726.852</v>
      </c>
      <c r="J799" s="224">
        <v>111726.852</v>
      </c>
      <c r="K799" s="222" t="s">
        <v>2315</v>
      </c>
      <c r="L799" s="222">
        <v>1</v>
      </c>
      <c r="M799" s="222" t="s">
        <v>2316</v>
      </c>
      <c r="N799" s="222">
        <v>1</v>
      </c>
      <c r="O799" s="222">
        <v>0</v>
      </c>
      <c r="P799" s="225">
        <v>1</v>
      </c>
      <c r="Q799" s="224">
        <v>0</v>
      </c>
      <c r="R799" s="222">
        <v>18.170000000000002</v>
      </c>
      <c r="S799" s="226" t="str">
        <f>IFERROR(_xlfn.XLOOKUP(R799,'1_Presupuesto'!$E:$E,'1_Presupuesto'!$D:$D),"")</f>
        <v>Eléctrico MO</v>
      </c>
    </row>
    <row r="800" spans="1:19" ht="15" customHeight="1" x14ac:dyDescent="0.35">
      <c r="A800" s="222" t="s">
        <v>2317</v>
      </c>
      <c r="B800" s="222" t="s">
        <v>654</v>
      </c>
      <c r="C800" s="222" t="s">
        <v>640</v>
      </c>
      <c r="D800" s="222" t="s">
        <v>2318</v>
      </c>
      <c r="E800" s="222" t="s">
        <v>2319</v>
      </c>
      <c r="F800" s="222" t="s">
        <v>66</v>
      </c>
      <c r="G800" s="223">
        <v>33</v>
      </c>
      <c r="H800" s="222">
        <v>0</v>
      </c>
      <c r="I800" s="224">
        <v>2038.6255000000001</v>
      </c>
      <c r="J800" s="224">
        <v>67274.641499999998</v>
      </c>
      <c r="K800" s="222" t="s">
        <v>2320</v>
      </c>
      <c r="L800" s="222">
        <v>1</v>
      </c>
      <c r="M800" s="222" t="s">
        <v>2321</v>
      </c>
      <c r="N800" s="222">
        <v>1</v>
      </c>
      <c r="O800" s="222">
        <v>0</v>
      </c>
      <c r="P800" s="225">
        <v>1</v>
      </c>
      <c r="Q800" s="224">
        <v>0</v>
      </c>
      <c r="R800" s="222">
        <v>18.18</v>
      </c>
      <c r="S800" s="226" t="str">
        <f>IFERROR(_xlfn.XLOOKUP(R800,'1_Presupuesto'!$E:$E,'1_Presupuesto'!$D:$D),"")</f>
        <v>Eléctrico MO</v>
      </c>
    </row>
    <row r="801" spans="1:19" ht="15" customHeight="1" x14ac:dyDescent="0.35">
      <c r="A801" s="222" t="s">
        <v>2317</v>
      </c>
      <c r="B801" s="222" t="s">
        <v>654</v>
      </c>
      <c r="C801" s="222" t="s">
        <v>640</v>
      </c>
      <c r="D801" s="222" t="s">
        <v>2322</v>
      </c>
      <c r="E801" s="222" t="s">
        <v>2323</v>
      </c>
      <c r="F801" s="222" t="s">
        <v>66</v>
      </c>
      <c r="G801" s="223">
        <v>8</v>
      </c>
      <c r="H801" s="222">
        <v>0</v>
      </c>
      <c r="I801" s="224">
        <v>5626.8379000000004</v>
      </c>
      <c r="J801" s="224">
        <v>45014.703200000004</v>
      </c>
      <c r="K801" s="222" t="s">
        <v>2320</v>
      </c>
      <c r="L801" s="222">
        <v>2</v>
      </c>
      <c r="M801" s="222" t="s">
        <v>2324</v>
      </c>
      <c r="N801" s="222">
        <v>1</v>
      </c>
      <c r="O801" s="222">
        <v>0</v>
      </c>
      <c r="P801" s="225">
        <v>1</v>
      </c>
      <c r="Q801" s="224">
        <v>0</v>
      </c>
      <c r="R801" s="222">
        <v>18.18</v>
      </c>
      <c r="S801" s="226" t="str">
        <f>IFERROR(_xlfn.XLOOKUP(R801,'1_Presupuesto'!$E:$E,'1_Presupuesto'!$D:$D),"")</f>
        <v>Eléctrico MO</v>
      </c>
    </row>
    <row r="802" spans="1:19" ht="15" customHeight="1" x14ac:dyDescent="0.35">
      <c r="A802" s="222" t="s">
        <v>2317</v>
      </c>
      <c r="B802" s="222" t="s">
        <v>654</v>
      </c>
      <c r="C802" s="222" t="s">
        <v>640</v>
      </c>
      <c r="D802" s="222" t="s">
        <v>2325</v>
      </c>
      <c r="E802" s="222" t="s">
        <v>2326</v>
      </c>
      <c r="F802" s="222" t="s">
        <v>66</v>
      </c>
      <c r="G802" s="223">
        <v>0.48</v>
      </c>
      <c r="H802" s="222">
        <v>0</v>
      </c>
      <c r="I802" s="224">
        <v>78570.602400000003</v>
      </c>
      <c r="J802" s="224">
        <v>37713.889152000003</v>
      </c>
      <c r="K802" s="222" t="s">
        <v>2320</v>
      </c>
      <c r="L802" s="222">
        <v>3</v>
      </c>
      <c r="M802" s="222" t="s">
        <v>2327</v>
      </c>
      <c r="N802" s="222">
        <v>1</v>
      </c>
      <c r="O802" s="222">
        <v>0</v>
      </c>
      <c r="P802" s="225">
        <v>1</v>
      </c>
      <c r="Q802" s="224">
        <v>0</v>
      </c>
      <c r="R802" s="222">
        <v>18.18</v>
      </c>
      <c r="S802" s="226" t="str">
        <f>IFERROR(_xlfn.XLOOKUP(R802,'1_Presupuesto'!$E:$E,'1_Presupuesto'!$D:$D),"")</f>
        <v>Eléctrico MO</v>
      </c>
    </row>
    <row r="803" spans="1:19" ht="15" customHeight="1" x14ac:dyDescent="0.35">
      <c r="A803" s="222" t="s">
        <v>2317</v>
      </c>
      <c r="B803" s="222" t="s">
        <v>654</v>
      </c>
      <c r="C803" s="222" t="s">
        <v>640</v>
      </c>
      <c r="D803" s="222" t="s">
        <v>2328</v>
      </c>
      <c r="E803" s="222" t="s">
        <v>2329</v>
      </c>
      <c r="F803" s="222" t="s">
        <v>66</v>
      </c>
      <c r="G803" s="223">
        <v>8</v>
      </c>
      <c r="H803" s="222">
        <v>0</v>
      </c>
      <c r="I803" s="224">
        <v>1220.4670000000001</v>
      </c>
      <c r="J803" s="224">
        <v>9763.7360000000008</v>
      </c>
      <c r="K803" s="222" t="s">
        <v>2320</v>
      </c>
      <c r="L803" s="222">
        <v>4</v>
      </c>
      <c r="M803" s="222" t="s">
        <v>2330</v>
      </c>
      <c r="N803" s="222">
        <v>1</v>
      </c>
      <c r="O803" s="222">
        <v>0</v>
      </c>
      <c r="P803" s="225">
        <v>1</v>
      </c>
      <c r="Q803" s="224">
        <v>0</v>
      </c>
      <c r="R803" s="222">
        <v>18.18</v>
      </c>
      <c r="S803" s="226" t="str">
        <f>IFERROR(_xlfn.XLOOKUP(R803,'1_Presupuesto'!$E:$E,'1_Presupuesto'!$D:$D),"")</f>
        <v>Eléctrico MO</v>
      </c>
    </row>
    <row r="804" spans="1:19" ht="15" customHeight="1" x14ac:dyDescent="0.35">
      <c r="A804" s="222" t="s">
        <v>2317</v>
      </c>
      <c r="B804" s="222" t="s">
        <v>654</v>
      </c>
      <c r="C804" s="222" t="s">
        <v>640</v>
      </c>
      <c r="D804" s="222" t="s">
        <v>2331</v>
      </c>
      <c r="E804" s="222" t="s">
        <v>2332</v>
      </c>
      <c r="F804" s="222" t="s">
        <v>66</v>
      </c>
      <c r="G804" s="223">
        <v>99</v>
      </c>
      <c r="H804" s="222">
        <v>0</v>
      </c>
      <c r="I804" s="224">
        <v>793.12369999999999</v>
      </c>
      <c r="J804" s="224">
        <v>78519.246299999999</v>
      </c>
      <c r="K804" s="222" t="s">
        <v>2320</v>
      </c>
      <c r="L804" s="222">
        <v>5</v>
      </c>
      <c r="M804" s="222" t="s">
        <v>2333</v>
      </c>
      <c r="N804" s="222">
        <v>1</v>
      </c>
      <c r="O804" s="222">
        <v>0</v>
      </c>
      <c r="P804" s="225">
        <v>1</v>
      </c>
      <c r="Q804" s="224">
        <v>0</v>
      </c>
      <c r="R804" s="222">
        <v>18.18</v>
      </c>
      <c r="S804" s="226" t="str">
        <f>IFERROR(_xlfn.XLOOKUP(R804,'1_Presupuesto'!$E:$E,'1_Presupuesto'!$D:$D),"")</f>
        <v>Eléctrico MO</v>
      </c>
    </row>
    <row r="805" spans="1:19" ht="15" customHeight="1" x14ac:dyDescent="0.35">
      <c r="A805" s="222" t="s">
        <v>2317</v>
      </c>
      <c r="B805" s="222" t="s">
        <v>654</v>
      </c>
      <c r="C805" s="222" t="s">
        <v>640</v>
      </c>
      <c r="D805" s="222" t="s">
        <v>2334</v>
      </c>
      <c r="E805" s="222" t="s">
        <v>2335</v>
      </c>
      <c r="F805" s="222" t="s">
        <v>66</v>
      </c>
      <c r="G805" s="223">
        <v>8</v>
      </c>
      <c r="H805" s="222">
        <v>0</v>
      </c>
      <c r="I805" s="224">
        <v>18494.353299999999</v>
      </c>
      <c r="J805" s="224">
        <v>147954.82639999999</v>
      </c>
      <c r="K805" s="222" t="s">
        <v>2320</v>
      </c>
      <c r="L805" s="222">
        <v>6</v>
      </c>
      <c r="M805" s="222" t="s">
        <v>2336</v>
      </c>
      <c r="N805" s="222">
        <v>1</v>
      </c>
      <c r="O805" s="222">
        <v>0</v>
      </c>
      <c r="P805" s="225">
        <v>1</v>
      </c>
      <c r="Q805" s="224">
        <v>0</v>
      </c>
      <c r="R805" s="222">
        <v>18.18</v>
      </c>
      <c r="S805" s="226" t="str">
        <f>IFERROR(_xlfn.XLOOKUP(R805,'1_Presupuesto'!$E:$E,'1_Presupuesto'!$D:$D),"")</f>
        <v>Eléctrico MO</v>
      </c>
    </row>
    <row r="806" spans="1:19" ht="15" customHeight="1" x14ac:dyDescent="0.35">
      <c r="A806" s="222" t="s">
        <v>2317</v>
      </c>
      <c r="B806" s="222" t="s">
        <v>654</v>
      </c>
      <c r="C806" s="222" t="s">
        <v>640</v>
      </c>
      <c r="D806" s="222" t="s">
        <v>2337</v>
      </c>
      <c r="E806" s="222" t="s">
        <v>2338</v>
      </c>
      <c r="F806" s="222" t="s">
        <v>66</v>
      </c>
      <c r="G806" s="223">
        <v>66</v>
      </c>
      <c r="H806" s="222">
        <v>0</v>
      </c>
      <c r="I806" s="224">
        <v>263.46089999999998</v>
      </c>
      <c r="J806" s="224">
        <v>17388.419399999999</v>
      </c>
      <c r="K806" s="222" t="s">
        <v>2320</v>
      </c>
      <c r="L806" s="222">
        <v>7</v>
      </c>
      <c r="M806" s="222" t="s">
        <v>2339</v>
      </c>
      <c r="N806" s="222">
        <v>1</v>
      </c>
      <c r="O806" s="222">
        <v>0</v>
      </c>
      <c r="P806" s="225">
        <v>1</v>
      </c>
      <c r="Q806" s="224">
        <v>0</v>
      </c>
      <c r="R806" s="222">
        <v>18.18</v>
      </c>
      <c r="S806" s="226" t="str">
        <f>IFERROR(_xlfn.XLOOKUP(R806,'1_Presupuesto'!$E:$E,'1_Presupuesto'!$D:$D),"")</f>
        <v>Eléctrico MO</v>
      </c>
    </row>
    <row r="807" spans="1:19" ht="15" customHeight="1" x14ac:dyDescent="0.35">
      <c r="A807" s="222" t="s">
        <v>2317</v>
      </c>
      <c r="B807" s="222" t="s">
        <v>654</v>
      </c>
      <c r="C807" s="222" t="s">
        <v>640</v>
      </c>
      <c r="D807" s="222" t="s">
        <v>2340</v>
      </c>
      <c r="E807" s="222" t="s">
        <v>2341</v>
      </c>
      <c r="F807" s="222" t="s">
        <v>2342</v>
      </c>
      <c r="G807" s="223">
        <v>5.95</v>
      </c>
      <c r="H807" s="222">
        <v>0</v>
      </c>
      <c r="I807" s="224">
        <v>34314.522499999999</v>
      </c>
      <c r="J807" s="224">
        <v>204171.40887499999</v>
      </c>
      <c r="K807" s="222" t="s">
        <v>2320</v>
      </c>
      <c r="L807" s="222">
        <v>8</v>
      </c>
      <c r="M807" s="222" t="s">
        <v>2343</v>
      </c>
      <c r="N807" s="222">
        <v>1</v>
      </c>
      <c r="O807" s="222">
        <v>0</v>
      </c>
      <c r="P807" s="225">
        <v>1</v>
      </c>
      <c r="Q807" s="224">
        <v>0</v>
      </c>
      <c r="R807" s="222">
        <v>18.18</v>
      </c>
      <c r="S807" s="226" t="str">
        <f>IFERROR(_xlfn.XLOOKUP(R807,'1_Presupuesto'!$E:$E,'1_Presupuesto'!$D:$D),"")</f>
        <v>Eléctrico MO</v>
      </c>
    </row>
    <row r="808" spans="1:19" ht="15" customHeight="1" x14ac:dyDescent="0.35">
      <c r="A808" s="222" t="s">
        <v>2317</v>
      </c>
      <c r="B808" s="222" t="s">
        <v>639</v>
      </c>
      <c r="C808" s="222" t="s">
        <v>640</v>
      </c>
      <c r="D808" s="222" t="s">
        <v>2344</v>
      </c>
      <c r="E808" s="222" t="s">
        <v>684</v>
      </c>
      <c r="F808" s="222" t="s">
        <v>643</v>
      </c>
      <c r="G808" s="223">
        <v>5</v>
      </c>
      <c r="H808" s="222">
        <v>0</v>
      </c>
      <c r="I808" s="224">
        <v>65360.248299999999</v>
      </c>
      <c r="J808" s="224">
        <v>326801.2415</v>
      </c>
      <c r="K808" s="222" t="s">
        <v>2345</v>
      </c>
      <c r="L808" s="222">
        <v>1</v>
      </c>
      <c r="M808" s="222" t="s">
        <v>2346</v>
      </c>
      <c r="N808" s="222">
        <v>1</v>
      </c>
      <c r="O808" s="222">
        <v>0</v>
      </c>
      <c r="P808" s="225">
        <v>1</v>
      </c>
      <c r="Q808" s="224">
        <v>0</v>
      </c>
      <c r="R808" s="222">
        <v>18.18</v>
      </c>
      <c r="S808" s="226" t="str">
        <f>IFERROR(_xlfn.XLOOKUP(R808,'1_Presupuesto'!$E:$E,'1_Presupuesto'!$D:$D),"")</f>
        <v>Eléctrico MO</v>
      </c>
    </row>
    <row r="809" spans="1:19" ht="15" customHeight="1" x14ac:dyDescent="0.35">
      <c r="A809" s="222" t="s">
        <v>2317</v>
      </c>
      <c r="B809" s="222" t="s">
        <v>639</v>
      </c>
      <c r="C809" s="222" t="s">
        <v>640</v>
      </c>
      <c r="D809" s="222" t="s">
        <v>2347</v>
      </c>
      <c r="E809" s="222" t="s">
        <v>648</v>
      </c>
      <c r="F809" s="222" t="s">
        <v>643</v>
      </c>
      <c r="G809" s="223">
        <v>5</v>
      </c>
      <c r="H809" s="222">
        <v>0</v>
      </c>
      <c r="I809" s="224">
        <v>49934.237200000003</v>
      </c>
      <c r="J809" s="224">
        <v>249671.18599999999</v>
      </c>
      <c r="K809" s="222" t="s">
        <v>2345</v>
      </c>
      <c r="L809" s="222">
        <v>2</v>
      </c>
      <c r="M809" s="222" t="s">
        <v>2348</v>
      </c>
      <c r="N809" s="222">
        <v>1</v>
      </c>
      <c r="O809" s="222">
        <v>0</v>
      </c>
      <c r="P809" s="225">
        <v>1</v>
      </c>
      <c r="Q809" s="224">
        <v>0</v>
      </c>
      <c r="R809" s="222">
        <v>18.18</v>
      </c>
      <c r="S809" s="226" t="str">
        <f>IFERROR(_xlfn.XLOOKUP(R809,'1_Presupuesto'!$E:$E,'1_Presupuesto'!$D:$D),"")</f>
        <v>Eléctrico MO</v>
      </c>
    </row>
    <row r="810" spans="1:19" ht="15" customHeight="1" x14ac:dyDescent="0.35">
      <c r="A810" s="222" t="s">
        <v>2317</v>
      </c>
      <c r="B810" s="222" t="s">
        <v>639</v>
      </c>
      <c r="C810" s="222" t="s">
        <v>646</v>
      </c>
      <c r="D810" s="222" t="s">
        <v>683</v>
      </c>
      <c r="E810" s="222" t="s">
        <v>684</v>
      </c>
      <c r="F810" s="222" t="s">
        <v>643</v>
      </c>
      <c r="G810" s="223">
        <v>2.5</v>
      </c>
      <c r="H810" s="222">
        <v>0</v>
      </c>
      <c r="I810" s="224">
        <v>65360.25</v>
      </c>
      <c r="J810" s="224">
        <v>163400.625</v>
      </c>
      <c r="K810" s="222" t="s">
        <v>2345</v>
      </c>
      <c r="L810" s="222">
        <v>3</v>
      </c>
      <c r="M810" s="222" t="s">
        <v>2349</v>
      </c>
      <c r="N810" s="222">
        <v>1</v>
      </c>
      <c r="O810" s="222">
        <v>2.5</v>
      </c>
      <c r="P810" s="225">
        <v>1</v>
      </c>
      <c r="Q810" s="224">
        <v>2.5</v>
      </c>
      <c r="R810" s="222">
        <v>18.18</v>
      </c>
      <c r="S810" s="226" t="str">
        <f>IFERROR(_xlfn.XLOOKUP(R810,'1_Presupuesto'!$E:$E,'1_Presupuesto'!$D:$D),"")</f>
        <v>Eléctrico MO</v>
      </c>
    </row>
    <row r="811" spans="1:19" ht="15" customHeight="1" x14ac:dyDescent="0.35">
      <c r="A811" s="222" t="s">
        <v>2317</v>
      </c>
      <c r="B811" s="222" t="s">
        <v>639</v>
      </c>
      <c r="C811" s="222" t="s">
        <v>646</v>
      </c>
      <c r="D811" s="222" t="s">
        <v>647</v>
      </c>
      <c r="E811" s="222" t="s">
        <v>648</v>
      </c>
      <c r="F811" s="222" t="s">
        <v>643</v>
      </c>
      <c r="G811" s="223">
        <v>2.5</v>
      </c>
      <c r="H811" s="222">
        <v>0</v>
      </c>
      <c r="I811" s="224">
        <v>49934.239999999998</v>
      </c>
      <c r="J811" s="224">
        <v>124835.6</v>
      </c>
      <c r="K811" s="222" t="s">
        <v>2345</v>
      </c>
      <c r="L811" s="222">
        <v>4</v>
      </c>
      <c r="M811" s="222" t="s">
        <v>2350</v>
      </c>
      <c r="N811" s="222">
        <v>1</v>
      </c>
      <c r="O811" s="222">
        <v>2.5</v>
      </c>
      <c r="P811" s="225">
        <v>1</v>
      </c>
      <c r="Q811" s="224">
        <v>2.5</v>
      </c>
      <c r="R811" s="222">
        <v>18.18</v>
      </c>
      <c r="S811" s="226" t="str">
        <f>IFERROR(_xlfn.XLOOKUP(R811,'1_Presupuesto'!$E:$E,'1_Presupuesto'!$D:$D),"")</f>
        <v>Eléctrico MO</v>
      </c>
    </row>
    <row r="812" spans="1:19" ht="15" customHeight="1" x14ac:dyDescent="0.35">
      <c r="A812" s="222" t="s">
        <v>2317</v>
      </c>
      <c r="B812" s="222" t="s">
        <v>13</v>
      </c>
      <c r="C812" s="222"/>
      <c r="D812" s="222" t="s">
        <v>2351</v>
      </c>
      <c r="E812" s="222" t="s">
        <v>2352</v>
      </c>
      <c r="F812" s="222"/>
      <c r="G812" s="223">
        <v>1</v>
      </c>
      <c r="H812" s="222">
        <v>0</v>
      </c>
      <c r="I812" s="224">
        <v>22087.642800000001</v>
      </c>
      <c r="J812" s="224">
        <v>22087.642800000001</v>
      </c>
      <c r="K812" s="222" t="s">
        <v>2353</v>
      </c>
      <c r="L812" s="222">
        <v>1</v>
      </c>
      <c r="M812" s="222" t="s">
        <v>2354</v>
      </c>
      <c r="N812" s="222">
        <v>1</v>
      </c>
      <c r="O812" s="222">
        <v>0</v>
      </c>
      <c r="P812" s="225">
        <v>1</v>
      </c>
      <c r="Q812" s="224">
        <v>0</v>
      </c>
      <c r="R812" s="222">
        <v>18.18</v>
      </c>
      <c r="S812" s="226" t="str">
        <f>IFERROR(_xlfn.XLOOKUP(R812,'1_Presupuesto'!$E:$E,'1_Presupuesto'!$D:$D),"")</f>
        <v>Eléctrico MO</v>
      </c>
    </row>
    <row r="813" spans="1:19" ht="15" customHeight="1" x14ac:dyDescent="0.35">
      <c r="A813" s="222" t="s">
        <v>2355</v>
      </c>
      <c r="B813" s="222" t="s">
        <v>654</v>
      </c>
      <c r="C813" s="222" t="s">
        <v>640</v>
      </c>
      <c r="D813" s="222" t="s">
        <v>2318</v>
      </c>
      <c r="E813" s="222" t="s">
        <v>2319</v>
      </c>
      <c r="F813" s="222" t="s">
        <v>66</v>
      </c>
      <c r="G813" s="223">
        <v>33</v>
      </c>
      <c r="H813" s="222">
        <v>0</v>
      </c>
      <c r="I813" s="224">
        <v>2038.6255000000001</v>
      </c>
      <c r="J813" s="224">
        <v>67274.641499999998</v>
      </c>
      <c r="K813" s="222" t="s">
        <v>2356</v>
      </c>
      <c r="L813" s="222">
        <v>1</v>
      </c>
      <c r="M813" s="222" t="s">
        <v>2357</v>
      </c>
      <c r="N813" s="222">
        <v>1</v>
      </c>
      <c r="O813" s="222">
        <v>0</v>
      </c>
      <c r="P813" s="225">
        <v>1</v>
      </c>
      <c r="Q813" s="224">
        <v>0</v>
      </c>
      <c r="R813" s="222">
        <v>18.190000000000001</v>
      </c>
      <c r="S813" s="226" t="str">
        <f>IFERROR(_xlfn.XLOOKUP(R813,'1_Presupuesto'!$E:$E,'1_Presupuesto'!$D:$D),"")</f>
        <v>Eléctrico MO</v>
      </c>
    </row>
    <row r="814" spans="1:19" ht="15" customHeight="1" x14ac:dyDescent="0.35">
      <c r="A814" s="222" t="s">
        <v>2355</v>
      </c>
      <c r="B814" s="222" t="s">
        <v>654</v>
      </c>
      <c r="C814" s="222" t="s">
        <v>640</v>
      </c>
      <c r="D814" s="222" t="s">
        <v>2322</v>
      </c>
      <c r="E814" s="222" t="s">
        <v>2323</v>
      </c>
      <c r="F814" s="222" t="s">
        <v>66</v>
      </c>
      <c r="G814" s="223">
        <v>8</v>
      </c>
      <c r="H814" s="222">
        <v>0</v>
      </c>
      <c r="I814" s="224">
        <v>5626.8379000000004</v>
      </c>
      <c r="J814" s="224">
        <v>45014.703200000004</v>
      </c>
      <c r="K814" s="222" t="s">
        <v>2356</v>
      </c>
      <c r="L814" s="222">
        <v>2</v>
      </c>
      <c r="M814" s="222" t="s">
        <v>2358</v>
      </c>
      <c r="N814" s="222">
        <v>1</v>
      </c>
      <c r="O814" s="222">
        <v>0</v>
      </c>
      <c r="P814" s="225">
        <v>1</v>
      </c>
      <c r="Q814" s="224">
        <v>0</v>
      </c>
      <c r="R814" s="222">
        <v>18.190000000000001</v>
      </c>
      <c r="S814" s="226" t="str">
        <f>IFERROR(_xlfn.XLOOKUP(R814,'1_Presupuesto'!$E:$E,'1_Presupuesto'!$D:$D),"")</f>
        <v>Eléctrico MO</v>
      </c>
    </row>
    <row r="815" spans="1:19" ht="15" customHeight="1" x14ac:dyDescent="0.35">
      <c r="A815" s="222" t="s">
        <v>2355</v>
      </c>
      <c r="B815" s="222" t="s">
        <v>654</v>
      </c>
      <c r="C815" s="222" t="s">
        <v>640</v>
      </c>
      <c r="D815" s="222" t="s">
        <v>2325</v>
      </c>
      <c r="E815" s="222" t="s">
        <v>2326</v>
      </c>
      <c r="F815" s="222" t="s">
        <v>66</v>
      </c>
      <c r="G815" s="223">
        <v>0.48</v>
      </c>
      <c r="H815" s="222">
        <v>0</v>
      </c>
      <c r="I815" s="224">
        <v>78570.602400000003</v>
      </c>
      <c r="J815" s="224">
        <v>37713.889152000003</v>
      </c>
      <c r="K815" s="222" t="s">
        <v>2356</v>
      </c>
      <c r="L815" s="222">
        <v>3</v>
      </c>
      <c r="M815" s="222" t="s">
        <v>2359</v>
      </c>
      <c r="N815" s="222">
        <v>1</v>
      </c>
      <c r="O815" s="222">
        <v>0</v>
      </c>
      <c r="P815" s="225">
        <v>1</v>
      </c>
      <c r="Q815" s="224">
        <v>0</v>
      </c>
      <c r="R815" s="222">
        <v>18.190000000000001</v>
      </c>
      <c r="S815" s="226" t="str">
        <f>IFERROR(_xlfn.XLOOKUP(R815,'1_Presupuesto'!$E:$E,'1_Presupuesto'!$D:$D),"")</f>
        <v>Eléctrico MO</v>
      </c>
    </row>
    <row r="816" spans="1:19" ht="15" customHeight="1" x14ac:dyDescent="0.35">
      <c r="A816" s="222" t="s">
        <v>2355</v>
      </c>
      <c r="B816" s="222" t="s">
        <v>654</v>
      </c>
      <c r="C816" s="222" t="s">
        <v>640</v>
      </c>
      <c r="D816" s="222" t="s">
        <v>2328</v>
      </c>
      <c r="E816" s="222" t="s">
        <v>2329</v>
      </c>
      <c r="F816" s="222" t="s">
        <v>66</v>
      </c>
      <c r="G816" s="223">
        <v>8</v>
      </c>
      <c r="H816" s="222">
        <v>0</v>
      </c>
      <c r="I816" s="224">
        <v>1220.4670000000001</v>
      </c>
      <c r="J816" s="224">
        <v>9763.7360000000008</v>
      </c>
      <c r="K816" s="222" t="s">
        <v>2356</v>
      </c>
      <c r="L816" s="222">
        <v>4</v>
      </c>
      <c r="M816" s="222" t="s">
        <v>2360</v>
      </c>
      <c r="N816" s="222">
        <v>1</v>
      </c>
      <c r="O816" s="222">
        <v>0</v>
      </c>
      <c r="P816" s="225">
        <v>1</v>
      </c>
      <c r="Q816" s="224">
        <v>0</v>
      </c>
      <c r="R816" s="222">
        <v>18.190000000000001</v>
      </c>
      <c r="S816" s="226" t="str">
        <f>IFERROR(_xlfn.XLOOKUP(R816,'1_Presupuesto'!$E:$E,'1_Presupuesto'!$D:$D),"")</f>
        <v>Eléctrico MO</v>
      </c>
    </row>
    <row r="817" spans="1:19" ht="15" customHeight="1" x14ac:dyDescent="0.35">
      <c r="A817" s="222" t="s">
        <v>2355</v>
      </c>
      <c r="B817" s="222" t="s">
        <v>654</v>
      </c>
      <c r="C817" s="222" t="s">
        <v>640</v>
      </c>
      <c r="D817" s="222" t="s">
        <v>2331</v>
      </c>
      <c r="E817" s="222" t="s">
        <v>2332</v>
      </c>
      <c r="F817" s="222" t="s">
        <v>66</v>
      </c>
      <c r="G817" s="223">
        <v>99</v>
      </c>
      <c r="H817" s="222">
        <v>0</v>
      </c>
      <c r="I817" s="224">
        <v>793.12369999999999</v>
      </c>
      <c r="J817" s="224">
        <v>78519.246299999999</v>
      </c>
      <c r="K817" s="222" t="s">
        <v>2356</v>
      </c>
      <c r="L817" s="222">
        <v>5</v>
      </c>
      <c r="M817" s="222" t="s">
        <v>2361</v>
      </c>
      <c r="N817" s="222">
        <v>1</v>
      </c>
      <c r="O817" s="222">
        <v>0</v>
      </c>
      <c r="P817" s="225">
        <v>1</v>
      </c>
      <c r="Q817" s="224">
        <v>0</v>
      </c>
      <c r="R817" s="222">
        <v>18.190000000000001</v>
      </c>
      <c r="S817" s="226" t="str">
        <f>IFERROR(_xlfn.XLOOKUP(R817,'1_Presupuesto'!$E:$E,'1_Presupuesto'!$D:$D),"")</f>
        <v>Eléctrico MO</v>
      </c>
    </row>
    <row r="818" spans="1:19" ht="15" customHeight="1" x14ac:dyDescent="0.35">
      <c r="A818" s="222" t="s">
        <v>2355</v>
      </c>
      <c r="B818" s="222" t="s">
        <v>654</v>
      </c>
      <c r="C818" s="222" t="s">
        <v>640</v>
      </c>
      <c r="D818" s="222" t="s">
        <v>2334</v>
      </c>
      <c r="E818" s="222" t="s">
        <v>2335</v>
      </c>
      <c r="F818" s="222" t="s">
        <v>66</v>
      </c>
      <c r="G818" s="223">
        <v>8</v>
      </c>
      <c r="H818" s="222">
        <v>0</v>
      </c>
      <c r="I818" s="224">
        <v>18494.353299999999</v>
      </c>
      <c r="J818" s="224">
        <v>147954.82639999999</v>
      </c>
      <c r="K818" s="222" t="s">
        <v>2356</v>
      </c>
      <c r="L818" s="222">
        <v>6</v>
      </c>
      <c r="M818" s="222" t="s">
        <v>2362</v>
      </c>
      <c r="N818" s="222">
        <v>1</v>
      </c>
      <c r="O818" s="222">
        <v>0</v>
      </c>
      <c r="P818" s="225">
        <v>1</v>
      </c>
      <c r="Q818" s="224">
        <v>0</v>
      </c>
      <c r="R818" s="222">
        <v>18.190000000000001</v>
      </c>
      <c r="S818" s="226" t="str">
        <f>IFERROR(_xlfn.XLOOKUP(R818,'1_Presupuesto'!$E:$E,'1_Presupuesto'!$D:$D),"")</f>
        <v>Eléctrico MO</v>
      </c>
    </row>
    <row r="819" spans="1:19" ht="15" customHeight="1" x14ac:dyDescent="0.35">
      <c r="A819" s="222" t="s">
        <v>2355</v>
      </c>
      <c r="B819" s="222" t="s">
        <v>654</v>
      </c>
      <c r="C819" s="222" t="s">
        <v>640</v>
      </c>
      <c r="D819" s="222" t="s">
        <v>2337</v>
      </c>
      <c r="E819" s="222" t="s">
        <v>2338</v>
      </c>
      <c r="F819" s="222" t="s">
        <v>66</v>
      </c>
      <c r="G819" s="223">
        <v>66</v>
      </c>
      <c r="H819" s="222">
        <v>0</v>
      </c>
      <c r="I819" s="224">
        <v>263.46089999999998</v>
      </c>
      <c r="J819" s="224">
        <v>17388.419399999999</v>
      </c>
      <c r="K819" s="222" t="s">
        <v>2356</v>
      </c>
      <c r="L819" s="222">
        <v>7</v>
      </c>
      <c r="M819" s="222" t="s">
        <v>2363</v>
      </c>
      <c r="N819" s="222">
        <v>1</v>
      </c>
      <c r="O819" s="222">
        <v>0</v>
      </c>
      <c r="P819" s="225">
        <v>1</v>
      </c>
      <c r="Q819" s="224">
        <v>0</v>
      </c>
      <c r="R819" s="222">
        <v>18.190000000000001</v>
      </c>
      <c r="S819" s="226" t="str">
        <f>IFERROR(_xlfn.XLOOKUP(R819,'1_Presupuesto'!$E:$E,'1_Presupuesto'!$D:$D),"")</f>
        <v>Eléctrico MO</v>
      </c>
    </row>
    <row r="820" spans="1:19" ht="15" customHeight="1" x14ac:dyDescent="0.35">
      <c r="A820" s="222" t="s">
        <v>2355</v>
      </c>
      <c r="B820" s="222" t="s">
        <v>654</v>
      </c>
      <c r="C820" s="222" t="s">
        <v>640</v>
      </c>
      <c r="D820" s="222" t="s">
        <v>2340</v>
      </c>
      <c r="E820" s="222" t="s">
        <v>2341</v>
      </c>
      <c r="F820" s="222" t="s">
        <v>2342</v>
      </c>
      <c r="G820" s="223">
        <v>5.95</v>
      </c>
      <c r="H820" s="222">
        <v>0</v>
      </c>
      <c r="I820" s="224">
        <v>34314.522499999999</v>
      </c>
      <c r="J820" s="224">
        <v>204171.40887499999</v>
      </c>
      <c r="K820" s="222" t="s">
        <v>2356</v>
      </c>
      <c r="L820" s="222">
        <v>8</v>
      </c>
      <c r="M820" s="222" t="s">
        <v>2364</v>
      </c>
      <c r="N820" s="222">
        <v>1</v>
      </c>
      <c r="O820" s="222">
        <v>0</v>
      </c>
      <c r="P820" s="225">
        <v>1</v>
      </c>
      <c r="Q820" s="224">
        <v>0</v>
      </c>
      <c r="R820" s="222">
        <v>18.190000000000001</v>
      </c>
      <c r="S820" s="226" t="str">
        <f>IFERROR(_xlfn.XLOOKUP(R820,'1_Presupuesto'!$E:$E,'1_Presupuesto'!$D:$D),"")</f>
        <v>Eléctrico MO</v>
      </c>
    </row>
    <row r="821" spans="1:19" ht="15" customHeight="1" x14ac:dyDescent="0.35">
      <c r="A821" s="222" t="s">
        <v>2355</v>
      </c>
      <c r="B821" s="222" t="s">
        <v>639</v>
      </c>
      <c r="C821" s="222" t="s">
        <v>640</v>
      </c>
      <c r="D821" s="222" t="s">
        <v>2344</v>
      </c>
      <c r="E821" s="222" t="s">
        <v>684</v>
      </c>
      <c r="F821" s="222" t="s">
        <v>643</v>
      </c>
      <c r="G821" s="223">
        <v>5</v>
      </c>
      <c r="H821" s="222">
        <v>0</v>
      </c>
      <c r="I821" s="224">
        <v>65360.248299999999</v>
      </c>
      <c r="J821" s="224">
        <v>326801.2415</v>
      </c>
      <c r="K821" s="222" t="s">
        <v>2365</v>
      </c>
      <c r="L821" s="222">
        <v>1</v>
      </c>
      <c r="M821" s="222" t="s">
        <v>2366</v>
      </c>
      <c r="N821" s="222">
        <v>1</v>
      </c>
      <c r="O821" s="222">
        <v>0</v>
      </c>
      <c r="P821" s="225">
        <v>1</v>
      </c>
      <c r="Q821" s="224">
        <v>0</v>
      </c>
      <c r="R821" s="222">
        <v>18.190000000000001</v>
      </c>
      <c r="S821" s="226" t="str">
        <f>IFERROR(_xlfn.XLOOKUP(R821,'1_Presupuesto'!$E:$E,'1_Presupuesto'!$D:$D),"")</f>
        <v>Eléctrico MO</v>
      </c>
    </row>
    <row r="822" spans="1:19" ht="15" customHeight="1" x14ac:dyDescent="0.35">
      <c r="A822" s="222" t="s">
        <v>2355</v>
      </c>
      <c r="B822" s="222" t="s">
        <v>639</v>
      </c>
      <c r="C822" s="222" t="s">
        <v>640</v>
      </c>
      <c r="D822" s="222" t="s">
        <v>2347</v>
      </c>
      <c r="E822" s="222" t="s">
        <v>648</v>
      </c>
      <c r="F822" s="222" t="s">
        <v>643</v>
      </c>
      <c r="G822" s="223">
        <v>5</v>
      </c>
      <c r="H822" s="222">
        <v>0</v>
      </c>
      <c r="I822" s="224">
        <v>49934.237200000003</v>
      </c>
      <c r="J822" s="224">
        <v>249671.18599999999</v>
      </c>
      <c r="K822" s="222" t="s">
        <v>2365</v>
      </c>
      <c r="L822" s="222">
        <v>2</v>
      </c>
      <c r="M822" s="222" t="s">
        <v>2367</v>
      </c>
      <c r="N822" s="222">
        <v>1</v>
      </c>
      <c r="O822" s="222">
        <v>0</v>
      </c>
      <c r="P822" s="225">
        <v>1</v>
      </c>
      <c r="Q822" s="224">
        <v>0</v>
      </c>
      <c r="R822" s="222">
        <v>18.190000000000001</v>
      </c>
      <c r="S822" s="226" t="str">
        <f>IFERROR(_xlfn.XLOOKUP(R822,'1_Presupuesto'!$E:$E,'1_Presupuesto'!$D:$D),"")</f>
        <v>Eléctrico MO</v>
      </c>
    </row>
    <row r="823" spans="1:19" ht="15" customHeight="1" x14ac:dyDescent="0.35">
      <c r="A823" s="222" t="s">
        <v>2355</v>
      </c>
      <c r="B823" s="222" t="s">
        <v>639</v>
      </c>
      <c r="C823" s="222" t="s">
        <v>646</v>
      </c>
      <c r="D823" s="222" t="s">
        <v>683</v>
      </c>
      <c r="E823" s="222" t="s">
        <v>684</v>
      </c>
      <c r="F823" s="222" t="s">
        <v>643</v>
      </c>
      <c r="G823" s="223">
        <v>2.5</v>
      </c>
      <c r="H823" s="222">
        <v>0</v>
      </c>
      <c r="I823" s="224">
        <v>65360.25</v>
      </c>
      <c r="J823" s="224">
        <v>163400.625</v>
      </c>
      <c r="K823" s="222" t="s">
        <v>2365</v>
      </c>
      <c r="L823" s="222">
        <v>3</v>
      </c>
      <c r="M823" s="222" t="s">
        <v>2368</v>
      </c>
      <c r="N823" s="222">
        <v>1</v>
      </c>
      <c r="O823" s="222">
        <v>2.5</v>
      </c>
      <c r="P823" s="225">
        <v>1</v>
      </c>
      <c r="Q823" s="224">
        <v>2.5</v>
      </c>
      <c r="R823" s="222">
        <v>18.190000000000001</v>
      </c>
      <c r="S823" s="226" t="str">
        <f>IFERROR(_xlfn.XLOOKUP(R823,'1_Presupuesto'!$E:$E,'1_Presupuesto'!$D:$D),"")</f>
        <v>Eléctrico MO</v>
      </c>
    </row>
    <row r="824" spans="1:19" ht="15" customHeight="1" x14ac:dyDescent="0.35">
      <c r="A824" s="222" t="s">
        <v>2355</v>
      </c>
      <c r="B824" s="222" t="s">
        <v>639</v>
      </c>
      <c r="C824" s="222" t="s">
        <v>646</v>
      </c>
      <c r="D824" s="222" t="s">
        <v>647</v>
      </c>
      <c r="E824" s="222" t="s">
        <v>648</v>
      </c>
      <c r="F824" s="222" t="s">
        <v>643</v>
      </c>
      <c r="G824" s="223">
        <v>2.5</v>
      </c>
      <c r="H824" s="222">
        <v>0</v>
      </c>
      <c r="I824" s="224">
        <v>49934.239999999998</v>
      </c>
      <c r="J824" s="224">
        <v>124835.6</v>
      </c>
      <c r="K824" s="222" t="s">
        <v>2365</v>
      </c>
      <c r="L824" s="222">
        <v>4</v>
      </c>
      <c r="M824" s="222" t="s">
        <v>2369</v>
      </c>
      <c r="N824" s="222">
        <v>1</v>
      </c>
      <c r="O824" s="222">
        <v>2.5</v>
      </c>
      <c r="P824" s="225">
        <v>1</v>
      </c>
      <c r="Q824" s="224">
        <v>2.5</v>
      </c>
      <c r="R824" s="222">
        <v>18.190000000000001</v>
      </c>
      <c r="S824" s="226" t="str">
        <f>IFERROR(_xlfn.XLOOKUP(R824,'1_Presupuesto'!$E:$E,'1_Presupuesto'!$D:$D),"")</f>
        <v>Eléctrico MO</v>
      </c>
    </row>
    <row r="825" spans="1:19" ht="15" customHeight="1" x14ac:dyDescent="0.35">
      <c r="A825" s="222" t="s">
        <v>2355</v>
      </c>
      <c r="B825" s="222" t="s">
        <v>13</v>
      </c>
      <c r="C825" s="222"/>
      <c r="D825" s="222" t="s">
        <v>2370</v>
      </c>
      <c r="E825" s="222" t="s">
        <v>2371</v>
      </c>
      <c r="F825" s="222"/>
      <c r="G825" s="223">
        <v>1</v>
      </c>
      <c r="H825" s="222">
        <v>0</v>
      </c>
      <c r="I825" s="224">
        <v>22087.642800000001</v>
      </c>
      <c r="J825" s="224">
        <v>22087.642800000001</v>
      </c>
      <c r="K825" s="222" t="s">
        <v>2372</v>
      </c>
      <c r="L825" s="222">
        <v>1</v>
      </c>
      <c r="M825" s="222" t="s">
        <v>2373</v>
      </c>
      <c r="N825" s="222">
        <v>1</v>
      </c>
      <c r="O825" s="222">
        <v>0</v>
      </c>
      <c r="P825" s="225">
        <v>1</v>
      </c>
      <c r="Q825" s="224">
        <v>0</v>
      </c>
      <c r="R825" s="222">
        <v>18.190000000000001</v>
      </c>
      <c r="S825" s="226" t="str">
        <f>IFERROR(_xlfn.XLOOKUP(R825,'1_Presupuesto'!$E:$E,'1_Presupuesto'!$D:$D),"")</f>
        <v>Eléctrico MO</v>
      </c>
    </row>
    <row r="826" spans="1:19" ht="15" customHeight="1" x14ac:dyDescent="0.35">
      <c r="A826" s="222" t="s">
        <v>2374</v>
      </c>
      <c r="B826" s="222" t="s">
        <v>639</v>
      </c>
      <c r="C826" s="222" t="s">
        <v>640</v>
      </c>
      <c r="D826" s="222" t="s">
        <v>2375</v>
      </c>
      <c r="E826" s="222" t="s">
        <v>2376</v>
      </c>
      <c r="F826" s="222" t="s">
        <v>643</v>
      </c>
      <c r="G826" s="223">
        <v>1</v>
      </c>
      <c r="H826" s="222">
        <v>0</v>
      </c>
      <c r="I826" s="224">
        <v>11158</v>
      </c>
      <c r="J826" s="224">
        <v>11158</v>
      </c>
      <c r="K826" s="222" t="s">
        <v>2377</v>
      </c>
      <c r="L826" s="222">
        <v>1</v>
      </c>
      <c r="M826" s="222" t="s">
        <v>2378</v>
      </c>
      <c r="N826" s="222">
        <v>1</v>
      </c>
      <c r="O826" s="222">
        <v>0</v>
      </c>
      <c r="P826" s="225">
        <v>33</v>
      </c>
      <c r="Q826" s="224">
        <v>0</v>
      </c>
      <c r="R826" s="222">
        <v>18.2</v>
      </c>
      <c r="S826" s="226" t="str">
        <f>IFERROR(_xlfn.XLOOKUP(R826,'1_Presupuesto'!$E:$E,'1_Presupuesto'!$D:$D),"")</f>
        <v>-</v>
      </c>
    </row>
    <row r="827" spans="1:19" ht="15" customHeight="1" x14ac:dyDescent="0.35">
      <c r="A827" s="222" t="s">
        <v>2374</v>
      </c>
      <c r="B827" s="222" t="s">
        <v>13</v>
      </c>
      <c r="C827" s="222"/>
      <c r="D827" s="222" t="s">
        <v>2379</v>
      </c>
      <c r="E827" s="222" t="s">
        <v>2380</v>
      </c>
      <c r="F827" s="222"/>
      <c r="G827" s="223">
        <v>1</v>
      </c>
      <c r="H827" s="222">
        <v>0</v>
      </c>
      <c r="I827" s="224">
        <v>167.37</v>
      </c>
      <c r="J827" s="224">
        <v>167.37</v>
      </c>
      <c r="K827" s="222" t="s">
        <v>2381</v>
      </c>
      <c r="L827" s="222">
        <v>1</v>
      </c>
      <c r="M827" s="222" t="s">
        <v>2382</v>
      </c>
      <c r="N827" s="222">
        <v>1</v>
      </c>
      <c r="O827" s="222">
        <v>0</v>
      </c>
      <c r="P827" s="225">
        <v>33</v>
      </c>
      <c r="Q827" s="224">
        <v>0</v>
      </c>
      <c r="R827" s="222">
        <v>18.2</v>
      </c>
      <c r="S827" s="226" t="str">
        <f>IFERROR(_xlfn.XLOOKUP(R827,'1_Presupuesto'!$E:$E,'1_Presupuesto'!$D:$D),"")</f>
        <v>-</v>
      </c>
    </row>
    <row r="828" spans="1:19" ht="15" customHeight="1" x14ac:dyDescent="0.35">
      <c r="A828" s="222" t="s">
        <v>2383</v>
      </c>
      <c r="B828" s="222" t="s">
        <v>639</v>
      </c>
      <c r="C828" s="222" t="s">
        <v>640</v>
      </c>
      <c r="D828" s="222" t="s">
        <v>2384</v>
      </c>
      <c r="E828" s="222" t="s">
        <v>2385</v>
      </c>
      <c r="F828" s="222" t="s">
        <v>643</v>
      </c>
      <c r="G828" s="223">
        <v>1</v>
      </c>
      <c r="H828" s="222">
        <v>0</v>
      </c>
      <c r="I828" s="224">
        <v>7270.9</v>
      </c>
      <c r="J828" s="224">
        <v>7270.9</v>
      </c>
      <c r="K828" s="222" t="s">
        <v>2386</v>
      </c>
      <c r="L828" s="222">
        <v>1</v>
      </c>
      <c r="M828" s="222" t="s">
        <v>2387</v>
      </c>
      <c r="N828" s="222">
        <v>1</v>
      </c>
      <c r="O828" s="222">
        <v>0</v>
      </c>
      <c r="P828" s="225">
        <v>150</v>
      </c>
      <c r="Q828" s="224">
        <v>0</v>
      </c>
      <c r="R828" s="222">
        <v>18.21</v>
      </c>
      <c r="S828" s="226" t="str">
        <f>IFERROR(_xlfn.XLOOKUP(R828,'1_Presupuesto'!$E:$E,'1_Presupuesto'!$D:$D),"")</f>
        <v>-</v>
      </c>
    </row>
    <row r="829" spans="1:19" ht="15" customHeight="1" x14ac:dyDescent="0.35">
      <c r="A829" s="222" t="s">
        <v>2383</v>
      </c>
      <c r="B829" s="222" t="s">
        <v>13</v>
      </c>
      <c r="C829" s="222"/>
      <c r="D829" s="222" t="s">
        <v>2388</v>
      </c>
      <c r="E829" s="222" t="s">
        <v>2389</v>
      </c>
      <c r="F829" s="222"/>
      <c r="G829" s="223">
        <v>1</v>
      </c>
      <c r="H829" s="222">
        <v>0</v>
      </c>
      <c r="I829" s="224">
        <v>109.0635</v>
      </c>
      <c r="J829" s="224">
        <v>109.0635</v>
      </c>
      <c r="K829" s="222" t="s">
        <v>2390</v>
      </c>
      <c r="L829" s="222">
        <v>1</v>
      </c>
      <c r="M829" s="222" t="s">
        <v>2391</v>
      </c>
      <c r="N829" s="222">
        <v>1</v>
      </c>
      <c r="O829" s="222">
        <v>0</v>
      </c>
      <c r="P829" s="225">
        <v>150</v>
      </c>
      <c r="Q829" s="224">
        <v>0</v>
      </c>
      <c r="R829" s="222">
        <v>18.21</v>
      </c>
      <c r="S829" s="226" t="str">
        <f>IFERROR(_xlfn.XLOOKUP(R829,'1_Presupuesto'!$E:$E,'1_Presupuesto'!$D:$D),"")</f>
        <v>-</v>
      </c>
    </row>
    <row r="830" spans="1:19" ht="15" customHeight="1" x14ac:dyDescent="0.35">
      <c r="A830" s="222" t="s">
        <v>2392</v>
      </c>
      <c r="B830" s="222" t="s">
        <v>639</v>
      </c>
      <c r="C830" s="222" t="s">
        <v>640</v>
      </c>
      <c r="D830" s="222" t="s">
        <v>2384</v>
      </c>
      <c r="E830" s="222" t="s">
        <v>2385</v>
      </c>
      <c r="F830" s="222" t="s">
        <v>643</v>
      </c>
      <c r="G830" s="223">
        <v>1</v>
      </c>
      <c r="H830" s="222">
        <v>0</v>
      </c>
      <c r="I830" s="224">
        <v>7270.9</v>
      </c>
      <c r="J830" s="224">
        <v>7270.9</v>
      </c>
      <c r="K830" s="222" t="s">
        <v>2393</v>
      </c>
      <c r="L830" s="222">
        <v>1</v>
      </c>
      <c r="M830" s="222" t="s">
        <v>2394</v>
      </c>
      <c r="N830" s="222">
        <v>1</v>
      </c>
      <c r="O830" s="222">
        <v>0</v>
      </c>
      <c r="P830" s="225">
        <v>16</v>
      </c>
      <c r="Q830" s="224">
        <v>0</v>
      </c>
      <c r="R830" s="222">
        <v>18.22</v>
      </c>
      <c r="S830" s="226" t="str">
        <f>IFERROR(_xlfn.XLOOKUP(R830,'1_Presupuesto'!$E:$E,'1_Presupuesto'!$D:$D),"")</f>
        <v>-</v>
      </c>
    </row>
    <row r="831" spans="1:19" ht="15" customHeight="1" x14ac:dyDescent="0.35">
      <c r="A831" s="222" t="s">
        <v>2392</v>
      </c>
      <c r="B831" s="222" t="s">
        <v>13</v>
      </c>
      <c r="C831" s="222"/>
      <c r="D831" s="222" t="s">
        <v>2395</v>
      </c>
      <c r="E831" s="222" t="s">
        <v>2396</v>
      </c>
      <c r="F831" s="222"/>
      <c r="G831" s="223">
        <v>1</v>
      </c>
      <c r="H831" s="222">
        <v>0</v>
      </c>
      <c r="I831" s="224">
        <v>109.0635</v>
      </c>
      <c r="J831" s="224">
        <v>109.0635</v>
      </c>
      <c r="K831" s="222" t="s">
        <v>2397</v>
      </c>
      <c r="L831" s="222">
        <v>1</v>
      </c>
      <c r="M831" s="222" t="s">
        <v>2398</v>
      </c>
      <c r="N831" s="222">
        <v>1</v>
      </c>
      <c r="O831" s="222">
        <v>0</v>
      </c>
      <c r="P831" s="225">
        <v>16</v>
      </c>
      <c r="Q831" s="224">
        <v>0</v>
      </c>
      <c r="R831" s="222">
        <v>18.22</v>
      </c>
      <c r="S831" s="226" t="str">
        <f>IFERROR(_xlfn.XLOOKUP(R831,'1_Presupuesto'!$E:$E,'1_Presupuesto'!$D:$D),"")</f>
        <v>-</v>
      </c>
    </row>
    <row r="832" spans="1:19" ht="15" customHeight="1" x14ac:dyDescent="0.35">
      <c r="A832" s="222" t="s">
        <v>2399</v>
      </c>
      <c r="B832" s="222" t="s">
        <v>639</v>
      </c>
      <c r="C832" s="222" t="s">
        <v>640</v>
      </c>
      <c r="D832" s="222" t="s">
        <v>2384</v>
      </c>
      <c r="E832" s="222" t="s">
        <v>2385</v>
      </c>
      <c r="F832" s="222" t="s">
        <v>643</v>
      </c>
      <c r="G832" s="223">
        <v>1</v>
      </c>
      <c r="H832" s="222">
        <v>0</v>
      </c>
      <c r="I832" s="224">
        <v>7270.9</v>
      </c>
      <c r="J832" s="224">
        <v>7270.9</v>
      </c>
      <c r="K832" s="222" t="s">
        <v>2400</v>
      </c>
      <c r="L832" s="222">
        <v>1</v>
      </c>
      <c r="M832" s="222" t="s">
        <v>2401</v>
      </c>
      <c r="N832" s="222">
        <v>1</v>
      </c>
      <c r="O832" s="222">
        <v>0</v>
      </c>
      <c r="P832" s="225">
        <v>349</v>
      </c>
      <c r="Q832" s="224">
        <v>0</v>
      </c>
      <c r="R832" s="222">
        <v>18.23</v>
      </c>
      <c r="S832" s="226" t="str">
        <f>IFERROR(_xlfn.XLOOKUP(R832,'1_Presupuesto'!$E:$E,'1_Presupuesto'!$D:$D),"")</f>
        <v>-</v>
      </c>
    </row>
    <row r="833" spans="1:19" ht="15" customHeight="1" x14ac:dyDescent="0.35">
      <c r="A833" s="222" t="s">
        <v>2399</v>
      </c>
      <c r="B833" s="222" t="s">
        <v>13</v>
      </c>
      <c r="C833" s="222"/>
      <c r="D833" s="222" t="s">
        <v>2402</v>
      </c>
      <c r="E833" s="222" t="s">
        <v>2403</v>
      </c>
      <c r="F833" s="222"/>
      <c r="G833" s="223">
        <v>1</v>
      </c>
      <c r="H833" s="222">
        <v>0</v>
      </c>
      <c r="I833" s="224">
        <v>109.0635</v>
      </c>
      <c r="J833" s="224">
        <v>109.0635</v>
      </c>
      <c r="K833" s="222" t="s">
        <v>2404</v>
      </c>
      <c r="L833" s="222">
        <v>1</v>
      </c>
      <c r="M833" s="222" t="s">
        <v>2405</v>
      </c>
      <c r="N833" s="222">
        <v>1</v>
      </c>
      <c r="O833" s="222">
        <v>0</v>
      </c>
      <c r="P833" s="225">
        <v>349</v>
      </c>
      <c r="Q833" s="224">
        <v>0</v>
      </c>
      <c r="R833" s="222">
        <v>18.23</v>
      </c>
      <c r="S833" s="226" t="str">
        <f>IFERROR(_xlfn.XLOOKUP(R833,'1_Presupuesto'!$E:$E,'1_Presupuesto'!$D:$D),"")</f>
        <v>-</v>
      </c>
    </row>
    <row r="834" spans="1:19" ht="15" customHeight="1" x14ac:dyDescent="0.35">
      <c r="A834" s="222" t="s">
        <v>2406</v>
      </c>
      <c r="B834" s="222" t="s">
        <v>639</v>
      </c>
      <c r="C834" s="222" t="s">
        <v>640</v>
      </c>
      <c r="D834" s="222" t="s">
        <v>2407</v>
      </c>
      <c r="E834" s="222" t="s">
        <v>2408</v>
      </c>
      <c r="F834" s="222" t="s">
        <v>643</v>
      </c>
      <c r="G834" s="223">
        <v>1</v>
      </c>
      <c r="H834" s="222">
        <v>0</v>
      </c>
      <c r="I834" s="224">
        <v>17500</v>
      </c>
      <c r="J834" s="224">
        <v>17500</v>
      </c>
      <c r="K834" s="222" t="s">
        <v>2409</v>
      </c>
      <c r="L834" s="222">
        <v>1</v>
      </c>
      <c r="M834" s="222" t="s">
        <v>2410</v>
      </c>
      <c r="N834" s="222">
        <v>1</v>
      </c>
      <c r="O834" s="222">
        <v>0</v>
      </c>
      <c r="P834" s="225">
        <v>27</v>
      </c>
      <c r="Q834" s="224">
        <v>0</v>
      </c>
      <c r="R834" s="222">
        <v>18.239999999999998</v>
      </c>
      <c r="S834" s="226" t="str">
        <f>IFERROR(_xlfn.XLOOKUP(R834,'1_Presupuesto'!$E:$E,'1_Presupuesto'!$D:$D),"")</f>
        <v>-</v>
      </c>
    </row>
    <row r="835" spans="1:19" ht="15" customHeight="1" x14ac:dyDescent="0.35">
      <c r="A835" s="222" t="s">
        <v>2406</v>
      </c>
      <c r="B835" s="222" t="s">
        <v>13</v>
      </c>
      <c r="C835" s="222"/>
      <c r="D835" s="222" t="s">
        <v>2411</v>
      </c>
      <c r="E835" s="222" t="s">
        <v>2412</v>
      </c>
      <c r="F835" s="222"/>
      <c r="G835" s="223">
        <v>1</v>
      </c>
      <c r="H835" s="222">
        <v>0</v>
      </c>
      <c r="I835" s="224">
        <v>262.5</v>
      </c>
      <c r="J835" s="224">
        <v>262.5</v>
      </c>
      <c r="K835" s="222" t="s">
        <v>2413</v>
      </c>
      <c r="L835" s="222">
        <v>1</v>
      </c>
      <c r="M835" s="222" t="s">
        <v>2414</v>
      </c>
      <c r="N835" s="222">
        <v>1</v>
      </c>
      <c r="O835" s="222">
        <v>0</v>
      </c>
      <c r="P835" s="225">
        <v>27</v>
      </c>
      <c r="Q835" s="224">
        <v>0</v>
      </c>
      <c r="R835" s="222">
        <v>18.239999999999998</v>
      </c>
      <c r="S835" s="226" t="str">
        <f>IFERROR(_xlfn.XLOOKUP(R835,'1_Presupuesto'!$E:$E,'1_Presupuesto'!$D:$D),"")</f>
        <v>-</v>
      </c>
    </row>
    <row r="836" spans="1:19" ht="15" customHeight="1" x14ac:dyDescent="0.35">
      <c r="A836" s="222" t="s">
        <v>2415</v>
      </c>
      <c r="B836" s="222" t="s">
        <v>639</v>
      </c>
      <c r="C836" s="222" t="s">
        <v>640</v>
      </c>
      <c r="D836" s="222" t="s">
        <v>2375</v>
      </c>
      <c r="E836" s="222" t="s">
        <v>2376</v>
      </c>
      <c r="F836" s="222" t="s">
        <v>643</v>
      </c>
      <c r="G836" s="223">
        <v>1</v>
      </c>
      <c r="H836" s="222">
        <v>0</v>
      </c>
      <c r="I836" s="224">
        <v>11158</v>
      </c>
      <c r="J836" s="224">
        <v>11158</v>
      </c>
      <c r="K836" s="222" t="s">
        <v>2416</v>
      </c>
      <c r="L836" s="222">
        <v>1</v>
      </c>
      <c r="M836" s="222" t="s">
        <v>2417</v>
      </c>
      <c r="N836" s="222">
        <v>1</v>
      </c>
      <c r="O836" s="222">
        <v>0</v>
      </c>
      <c r="P836" s="225">
        <v>16</v>
      </c>
      <c r="Q836" s="224">
        <v>0</v>
      </c>
      <c r="R836" s="222">
        <v>18.25</v>
      </c>
      <c r="S836" s="226" t="str">
        <f>IFERROR(_xlfn.XLOOKUP(R836,'1_Presupuesto'!$E:$E,'1_Presupuesto'!$D:$D),"")</f>
        <v>-</v>
      </c>
    </row>
    <row r="837" spans="1:19" ht="15" customHeight="1" x14ac:dyDescent="0.35">
      <c r="A837" s="222" t="s">
        <v>2415</v>
      </c>
      <c r="B837" s="222" t="s">
        <v>13</v>
      </c>
      <c r="C837" s="222"/>
      <c r="D837" s="222" t="s">
        <v>2418</v>
      </c>
      <c r="E837" s="222" t="s">
        <v>2419</v>
      </c>
      <c r="F837" s="222"/>
      <c r="G837" s="223">
        <v>1</v>
      </c>
      <c r="H837" s="222">
        <v>0</v>
      </c>
      <c r="I837" s="224">
        <v>167.37</v>
      </c>
      <c r="J837" s="224">
        <v>167.37</v>
      </c>
      <c r="K837" s="222" t="s">
        <v>2420</v>
      </c>
      <c r="L837" s="222">
        <v>1</v>
      </c>
      <c r="M837" s="222" t="s">
        <v>2421</v>
      </c>
      <c r="N837" s="222">
        <v>1</v>
      </c>
      <c r="O837" s="222">
        <v>0</v>
      </c>
      <c r="P837" s="225">
        <v>16</v>
      </c>
      <c r="Q837" s="224">
        <v>0</v>
      </c>
      <c r="R837" s="222">
        <v>18.25</v>
      </c>
      <c r="S837" s="226" t="str">
        <f>IFERROR(_xlfn.XLOOKUP(R837,'1_Presupuesto'!$E:$E,'1_Presupuesto'!$D:$D),"")</f>
        <v>-</v>
      </c>
    </row>
    <row r="838" spans="1:19" ht="15" customHeight="1" x14ac:dyDescent="0.35">
      <c r="A838" s="222" t="s">
        <v>2422</v>
      </c>
      <c r="B838" s="222" t="s">
        <v>639</v>
      </c>
      <c r="C838" s="222" t="s">
        <v>640</v>
      </c>
      <c r="D838" s="222" t="s">
        <v>2375</v>
      </c>
      <c r="E838" s="222" t="s">
        <v>2376</v>
      </c>
      <c r="F838" s="222" t="s">
        <v>643</v>
      </c>
      <c r="G838" s="223">
        <v>1</v>
      </c>
      <c r="H838" s="222">
        <v>0</v>
      </c>
      <c r="I838" s="224">
        <v>11158</v>
      </c>
      <c r="J838" s="224">
        <v>11158</v>
      </c>
      <c r="K838" s="222" t="s">
        <v>2423</v>
      </c>
      <c r="L838" s="222">
        <v>1</v>
      </c>
      <c r="M838" s="222" t="s">
        <v>2424</v>
      </c>
      <c r="N838" s="222">
        <v>1</v>
      </c>
      <c r="O838" s="222">
        <v>0</v>
      </c>
      <c r="P838" s="225">
        <v>137</v>
      </c>
      <c r="Q838" s="224">
        <v>0</v>
      </c>
      <c r="R838" s="222">
        <v>18.260000000000002</v>
      </c>
      <c r="S838" s="226" t="str">
        <f>IFERROR(_xlfn.XLOOKUP(R838,'1_Presupuesto'!$E:$E,'1_Presupuesto'!$D:$D),"")</f>
        <v>-</v>
      </c>
    </row>
    <row r="839" spans="1:19" ht="15" customHeight="1" x14ac:dyDescent="0.35">
      <c r="A839" s="222" t="s">
        <v>2422</v>
      </c>
      <c r="B839" s="222" t="s">
        <v>13</v>
      </c>
      <c r="C839" s="222"/>
      <c r="D839" s="222" t="s">
        <v>2425</v>
      </c>
      <c r="E839" s="222" t="s">
        <v>2426</v>
      </c>
      <c r="F839" s="222"/>
      <c r="G839" s="223">
        <v>1</v>
      </c>
      <c r="H839" s="222">
        <v>0</v>
      </c>
      <c r="I839" s="224">
        <v>167.37</v>
      </c>
      <c r="J839" s="224">
        <v>167.37</v>
      </c>
      <c r="K839" s="222" t="s">
        <v>2427</v>
      </c>
      <c r="L839" s="222">
        <v>1</v>
      </c>
      <c r="M839" s="222" t="s">
        <v>2428</v>
      </c>
      <c r="N839" s="222">
        <v>1</v>
      </c>
      <c r="O839" s="222">
        <v>0</v>
      </c>
      <c r="P839" s="225">
        <v>137</v>
      </c>
      <c r="Q839" s="224">
        <v>0</v>
      </c>
      <c r="R839" s="222">
        <v>18.260000000000002</v>
      </c>
      <c r="S839" s="226" t="str">
        <f>IFERROR(_xlfn.XLOOKUP(R839,'1_Presupuesto'!$E:$E,'1_Presupuesto'!$D:$D),"")</f>
        <v>-</v>
      </c>
    </row>
    <row r="840" spans="1:19" ht="15" customHeight="1" x14ac:dyDescent="0.35">
      <c r="A840" s="222" t="s">
        <v>2429</v>
      </c>
      <c r="B840" s="222" t="s">
        <v>639</v>
      </c>
      <c r="C840" s="222" t="s">
        <v>640</v>
      </c>
      <c r="D840" s="222" t="s">
        <v>2375</v>
      </c>
      <c r="E840" s="222" t="s">
        <v>2376</v>
      </c>
      <c r="F840" s="222" t="s">
        <v>643</v>
      </c>
      <c r="G840" s="223">
        <v>1</v>
      </c>
      <c r="H840" s="222">
        <v>0</v>
      </c>
      <c r="I840" s="224">
        <v>11158</v>
      </c>
      <c r="J840" s="224">
        <v>11158</v>
      </c>
      <c r="K840" s="222" t="s">
        <v>2430</v>
      </c>
      <c r="L840" s="222">
        <v>1</v>
      </c>
      <c r="M840" s="222" t="s">
        <v>2431</v>
      </c>
      <c r="N840" s="222">
        <v>1</v>
      </c>
      <c r="O840" s="222">
        <v>0</v>
      </c>
      <c r="P840" s="225">
        <v>1</v>
      </c>
      <c r="Q840" s="224">
        <v>0</v>
      </c>
      <c r="R840" s="222">
        <v>18.27</v>
      </c>
      <c r="S840" s="226" t="str">
        <f>IFERROR(_xlfn.XLOOKUP(R840,'1_Presupuesto'!$E:$E,'1_Presupuesto'!$D:$D),"")</f>
        <v>-</v>
      </c>
    </row>
    <row r="841" spans="1:19" ht="15" customHeight="1" x14ac:dyDescent="0.35">
      <c r="A841" s="222" t="s">
        <v>2429</v>
      </c>
      <c r="B841" s="222" t="s">
        <v>13</v>
      </c>
      <c r="C841" s="222"/>
      <c r="D841" s="222" t="s">
        <v>2432</v>
      </c>
      <c r="E841" s="222" t="s">
        <v>2433</v>
      </c>
      <c r="F841" s="222"/>
      <c r="G841" s="223">
        <v>1</v>
      </c>
      <c r="H841" s="222">
        <v>0</v>
      </c>
      <c r="I841" s="224">
        <v>167.37</v>
      </c>
      <c r="J841" s="224">
        <v>167.37</v>
      </c>
      <c r="K841" s="222" t="s">
        <v>2434</v>
      </c>
      <c r="L841" s="222">
        <v>1</v>
      </c>
      <c r="M841" s="222" t="s">
        <v>2435</v>
      </c>
      <c r="N841" s="222">
        <v>1</v>
      </c>
      <c r="O841" s="222">
        <v>0</v>
      </c>
      <c r="P841" s="225">
        <v>1</v>
      </c>
      <c r="Q841" s="224">
        <v>0</v>
      </c>
      <c r="R841" s="222">
        <v>18.27</v>
      </c>
      <c r="S841" s="226" t="str">
        <f>IFERROR(_xlfn.XLOOKUP(R841,'1_Presupuesto'!$E:$E,'1_Presupuesto'!$D:$D),"")</f>
        <v>-</v>
      </c>
    </row>
    <row r="842" spans="1:19" ht="15" customHeight="1" x14ac:dyDescent="0.35">
      <c r="A842" s="222" t="s">
        <v>2436</v>
      </c>
      <c r="B842" s="222" t="s">
        <v>654</v>
      </c>
      <c r="C842" s="222" t="s">
        <v>640</v>
      </c>
      <c r="D842" s="222" t="s">
        <v>2437</v>
      </c>
      <c r="E842" s="222" t="s">
        <v>2438</v>
      </c>
      <c r="F842" s="222" t="s">
        <v>33</v>
      </c>
      <c r="G842" s="223">
        <v>50</v>
      </c>
      <c r="H842" s="222">
        <v>0</v>
      </c>
      <c r="I842" s="224">
        <v>26626.520700000001</v>
      </c>
      <c r="J842" s="224">
        <v>1331326.0349999999</v>
      </c>
      <c r="K842" s="222" t="s">
        <v>2439</v>
      </c>
      <c r="L842" s="222">
        <v>1</v>
      </c>
      <c r="M842" s="222" t="s">
        <v>2440</v>
      </c>
      <c r="N842" s="222">
        <v>1</v>
      </c>
      <c r="O842" s="222">
        <v>0</v>
      </c>
      <c r="P842" s="225">
        <v>1</v>
      </c>
      <c r="Q842" s="224">
        <v>0</v>
      </c>
      <c r="R842" s="222">
        <v>18.28</v>
      </c>
      <c r="S842" s="226" t="str">
        <f>IFERROR(_xlfn.XLOOKUP(R842,'1_Presupuesto'!$E:$E,'1_Presupuesto'!$D:$D),"")</f>
        <v>-</v>
      </c>
    </row>
    <row r="843" spans="1:19" ht="15" customHeight="1" x14ac:dyDescent="0.35">
      <c r="A843" s="222" t="s">
        <v>2436</v>
      </c>
      <c r="B843" s="222" t="s">
        <v>654</v>
      </c>
      <c r="C843" s="222" t="s">
        <v>640</v>
      </c>
      <c r="D843" s="222" t="s">
        <v>2441</v>
      </c>
      <c r="E843" s="222" t="s">
        <v>2442</v>
      </c>
      <c r="F843" s="222" t="s">
        <v>66</v>
      </c>
      <c r="G843" s="223">
        <v>1</v>
      </c>
      <c r="H843" s="222">
        <v>0</v>
      </c>
      <c r="I843" s="224">
        <v>499627.40580000001</v>
      </c>
      <c r="J843" s="224">
        <v>499627.40580000001</v>
      </c>
      <c r="K843" s="222" t="s">
        <v>2439</v>
      </c>
      <c r="L843" s="222">
        <v>2</v>
      </c>
      <c r="M843" s="222" t="s">
        <v>2443</v>
      </c>
      <c r="N843" s="222">
        <v>1</v>
      </c>
      <c r="O843" s="222">
        <v>0</v>
      </c>
      <c r="P843" s="225">
        <v>1</v>
      </c>
      <c r="Q843" s="224">
        <v>0</v>
      </c>
      <c r="R843" s="222">
        <v>18.28</v>
      </c>
      <c r="S843" s="226" t="str">
        <f>IFERROR(_xlfn.XLOOKUP(R843,'1_Presupuesto'!$E:$E,'1_Presupuesto'!$D:$D),"")</f>
        <v>-</v>
      </c>
    </row>
    <row r="844" spans="1:19" ht="15" customHeight="1" x14ac:dyDescent="0.35">
      <c r="A844" s="222" t="s">
        <v>2436</v>
      </c>
      <c r="B844" s="222" t="s">
        <v>654</v>
      </c>
      <c r="C844" s="222" t="s">
        <v>640</v>
      </c>
      <c r="D844" s="222" t="s">
        <v>2444</v>
      </c>
      <c r="E844" s="222" t="s">
        <v>2445</v>
      </c>
      <c r="F844" s="222" t="s">
        <v>66</v>
      </c>
      <c r="G844" s="223">
        <v>6</v>
      </c>
      <c r="H844" s="222">
        <v>0</v>
      </c>
      <c r="I844" s="224">
        <v>448377.33799999999</v>
      </c>
      <c r="J844" s="224">
        <v>2690264.0279999999</v>
      </c>
      <c r="K844" s="222" t="s">
        <v>2439</v>
      </c>
      <c r="L844" s="222">
        <v>3</v>
      </c>
      <c r="M844" s="222" t="s">
        <v>2446</v>
      </c>
      <c r="N844" s="222">
        <v>1</v>
      </c>
      <c r="O844" s="222">
        <v>0</v>
      </c>
      <c r="P844" s="225">
        <v>1</v>
      </c>
      <c r="Q844" s="224">
        <v>0</v>
      </c>
      <c r="R844" s="222">
        <v>18.28</v>
      </c>
      <c r="S844" s="226" t="str">
        <f>IFERROR(_xlfn.XLOOKUP(R844,'1_Presupuesto'!$E:$E,'1_Presupuesto'!$D:$D),"")</f>
        <v>-</v>
      </c>
    </row>
    <row r="845" spans="1:19" ht="14.25" customHeight="1" x14ac:dyDescent="0.35">
      <c r="A845" s="222" t="s">
        <v>2436</v>
      </c>
      <c r="B845" s="222" t="s">
        <v>654</v>
      </c>
      <c r="C845" s="222" t="s">
        <v>640</v>
      </c>
      <c r="D845" s="222" t="s">
        <v>2447</v>
      </c>
      <c r="E845" s="222" t="s">
        <v>2448</v>
      </c>
      <c r="F845" s="222" t="s">
        <v>66</v>
      </c>
      <c r="G845" s="223">
        <v>1</v>
      </c>
      <c r="H845" s="222">
        <v>0</v>
      </c>
      <c r="I845" s="224">
        <v>557199.73149999999</v>
      </c>
      <c r="J845" s="224">
        <v>557199.73149999999</v>
      </c>
      <c r="K845" s="222" t="s">
        <v>2439</v>
      </c>
      <c r="L845" s="222">
        <v>4</v>
      </c>
      <c r="M845" s="222" t="s">
        <v>2449</v>
      </c>
      <c r="N845" s="222">
        <v>1</v>
      </c>
      <c r="O845" s="222">
        <v>0</v>
      </c>
      <c r="P845" s="225">
        <v>1</v>
      </c>
      <c r="Q845" s="224">
        <v>0</v>
      </c>
      <c r="R845" s="222">
        <v>18.28</v>
      </c>
      <c r="S845" s="226" t="str">
        <f>IFERROR(_xlfn.XLOOKUP(R845,'1_Presupuesto'!$E:$E,'1_Presupuesto'!$D:$D),"")</f>
        <v>-</v>
      </c>
    </row>
    <row r="846" spans="1:19" ht="14.25" customHeight="1" x14ac:dyDescent="0.35">
      <c r="A846" s="222" t="s">
        <v>2436</v>
      </c>
      <c r="B846" s="222" t="s">
        <v>654</v>
      </c>
      <c r="C846" s="222" t="s">
        <v>640</v>
      </c>
      <c r="D846" s="222" t="s">
        <v>2450</v>
      </c>
      <c r="E846" s="222" t="s">
        <v>2451</v>
      </c>
      <c r="F846" s="222" t="s">
        <v>66</v>
      </c>
      <c r="G846" s="223">
        <v>22</v>
      </c>
      <c r="H846" s="222">
        <v>0</v>
      </c>
      <c r="I846" s="224">
        <v>5052.4728999999998</v>
      </c>
      <c r="J846" s="224">
        <v>111154.4038</v>
      </c>
      <c r="K846" s="222" t="s">
        <v>2439</v>
      </c>
      <c r="L846" s="222">
        <v>5</v>
      </c>
      <c r="M846" s="222" t="s">
        <v>2452</v>
      </c>
      <c r="N846" s="222">
        <v>1</v>
      </c>
      <c r="O846" s="222">
        <v>0</v>
      </c>
      <c r="P846" s="225">
        <v>1</v>
      </c>
      <c r="Q846" s="224">
        <v>0</v>
      </c>
      <c r="R846" s="222">
        <v>18.28</v>
      </c>
      <c r="S846" s="226" t="str">
        <f>IFERROR(_xlfn.XLOOKUP(R846,'1_Presupuesto'!$E:$E,'1_Presupuesto'!$D:$D),"")</f>
        <v>-</v>
      </c>
    </row>
    <row r="847" spans="1:19" ht="14.25" customHeight="1" x14ac:dyDescent="0.35">
      <c r="A847" s="222" t="s">
        <v>2436</v>
      </c>
      <c r="B847" s="222" t="s">
        <v>654</v>
      </c>
      <c r="C847" s="222" t="s">
        <v>640</v>
      </c>
      <c r="D847" s="222" t="s">
        <v>2453</v>
      </c>
      <c r="E847" s="222" t="s">
        <v>2454</v>
      </c>
      <c r="F847" s="222" t="s">
        <v>66</v>
      </c>
      <c r="G847" s="223">
        <v>6</v>
      </c>
      <c r="H847" s="222">
        <v>0</v>
      </c>
      <c r="I847" s="224">
        <v>19115.189299999998</v>
      </c>
      <c r="J847" s="224">
        <v>114691.1358</v>
      </c>
      <c r="K847" s="222" t="s">
        <v>2439</v>
      </c>
      <c r="L847" s="222">
        <v>6</v>
      </c>
      <c r="M847" s="222" t="s">
        <v>2455</v>
      </c>
      <c r="N847" s="222">
        <v>1</v>
      </c>
      <c r="O847" s="222">
        <v>0</v>
      </c>
      <c r="P847" s="225">
        <v>1</v>
      </c>
      <c r="Q847" s="224">
        <v>0</v>
      </c>
      <c r="R847" s="222">
        <v>18.28</v>
      </c>
      <c r="S847" s="226" t="str">
        <f>IFERROR(_xlfn.XLOOKUP(R847,'1_Presupuesto'!$E:$E,'1_Presupuesto'!$D:$D),"")</f>
        <v>-</v>
      </c>
    </row>
    <row r="848" spans="1:19" ht="14.25" customHeight="1" x14ac:dyDescent="0.35">
      <c r="A848" s="222" t="s">
        <v>2436</v>
      </c>
      <c r="B848" s="222" t="s">
        <v>639</v>
      </c>
      <c r="C848" s="222" t="s">
        <v>640</v>
      </c>
      <c r="D848" s="222" t="s">
        <v>2456</v>
      </c>
      <c r="E848" s="222" t="s">
        <v>2457</v>
      </c>
      <c r="F848" s="222" t="s">
        <v>643</v>
      </c>
      <c r="G848" s="223">
        <v>1</v>
      </c>
      <c r="H848" s="222">
        <v>0</v>
      </c>
      <c r="I848" s="224">
        <v>1170570.8</v>
      </c>
      <c r="J848" s="224">
        <v>1170570.8</v>
      </c>
      <c r="K848" s="222" t="s">
        <v>2458</v>
      </c>
      <c r="L848" s="222">
        <v>1</v>
      </c>
      <c r="M848" s="222" t="s">
        <v>2459</v>
      </c>
      <c r="N848" s="222">
        <v>1</v>
      </c>
      <c r="O848" s="222">
        <v>0</v>
      </c>
      <c r="P848" s="225">
        <v>1</v>
      </c>
      <c r="Q848" s="224">
        <v>0</v>
      </c>
      <c r="R848" s="222">
        <v>18.28</v>
      </c>
      <c r="S848" s="226" t="str">
        <f>IFERROR(_xlfn.XLOOKUP(R848,'1_Presupuesto'!$E:$E,'1_Presupuesto'!$D:$D),"")</f>
        <v>-</v>
      </c>
    </row>
    <row r="849" spans="1:19" ht="14.25" customHeight="1" x14ac:dyDescent="0.35">
      <c r="A849" s="222" t="s">
        <v>2436</v>
      </c>
      <c r="B849" s="222" t="s">
        <v>639</v>
      </c>
      <c r="C849" s="222" t="s">
        <v>640</v>
      </c>
      <c r="D849" s="222" t="s">
        <v>2460</v>
      </c>
      <c r="E849" s="222" t="s">
        <v>2461</v>
      </c>
      <c r="F849" s="222" t="s">
        <v>643</v>
      </c>
      <c r="G849" s="223">
        <v>1</v>
      </c>
      <c r="H849" s="222">
        <v>0</v>
      </c>
      <c r="I849" s="224">
        <v>92822.1</v>
      </c>
      <c r="J849" s="224">
        <v>92822.1</v>
      </c>
      <c r="K849" s="222" t="s">
        <v>2458</v>
      </c>
      <c r="L849" s="222">
        <v>2</v>
      </c>
      <c r="M849" s="222" t="s">
        <v>2462</v>
      </c>
      <c r="N849" s="222">
        <v>1</v>
      </c>
      <c r="O849" s="222">
        <v>0</v>
      </c>
      <c r="P849" s="225">
        <v>1</v>
      </c>
      <c r="Q849" s="224">
        <v>0</v>
      </c>
      <c r="R849" s="222">
        <v>18.28</v>
      </c>
      <c r="S849" s="226" t="str">
        <f>IFERROR(_xlfn.XLOOKUP(R849,'1_Presupuesto'!$E:$E,'1_Presupuesto'!$D:$D),"")</f>
        <v>-</v>
      </c>
    </row>
    <row r="850" spans="1:19" ht="14.25" customHeight="1" x14ac:dyDescent="0.35">
      <c r="A850" s="222" t="s">
        <v>2436</v>
      </c>
      <c r="B850" s="222" t="s">
        <v>639</v>
      </c>
      <c r="C850" s="222" t="s">
        <v>640</v>
      </c>
      <c r="D850" s="222" t="s">
        <v>2463</v>
      </c>
      <c r="E850" s="222" t="s">
        <v>2464</v>
      </c>
      <c r="F850" s="222" t="s">
        <v>643</v>
      </c>
      <c r="G850" s="223">
        <v>1</v>
      </c>
      <c r="H850" s="222">
        <v>0</v>
      </c>
      <c r="I850" s="224">
        <v>85483.3</v>
      </c>
      <c r="J850" s="224">
        <v>85483.3</v>
      </c>
      <c r="K850" s="222" t="s">
        <v>2458</v>
      </c>
      <c r="L850" s="222">
        <v>3</v>
      </c>
      <c r="M850" s="222" t="s">
        <v>2465</v>
      </c>
      <c r="N850" s="222">
        <v>1</v>
      </c>
      <c r="O850" s="222">
        <v>0</v>
      </c>
      <c r="P850" s="225">
        <v>1</v>
      </c>
      <c r="Q850" s="224">
        <v>0</v>
      </c>
      <c r="R850" s="222">
        <v>18.28</v>
      </c>
      <c r="S850" s="226" t="str">
        <f>IFERROR(_xlfn.XLOOKUP(R850,'1_Presupuesto'!$E:$E,'1_Presupuesto'!$D:$D),"")</f>
        <v>-</v>
      </c>
    </row>
    <row r="851" spans="1:19" ht="14.25" customHeight="1" x14ac:dyDescent="0.35">
      <c r="A851" s="222" t="s">
        <v>2436</v>
      </c>
      <c r="B851" s="222" t="s">
        <v>639</v>
      </c>
      <c r="C851" s="222" t="s">
        <v>640</v>
      </c>
      <c r="D851" s="222" t="s">
        <v>2466</v>
      </c>
      <c r="E851" s="222" t="s">
        <v>2467</v>
      </c>
      <c r="F851" s="222" t="s">
        <v>643</v>
      </c>
      <c r="G851" s="223">
        <v>1</v>
      </c>
      <c r="H851" s="222">
        <v>0</v>
      </c>
      <c r="I851" s="224">
        <v>122165.4</v>
      </c>
      <c r="J851" s="224">
        <v>122165.4</v>
      </c>
      <c r="K851" s="222" t="s">
        <v>2458</v>
      </c>
      <c r="L851" s="222">
        <v>4</v>
      </c>
      <c r="M851" s="222" t="s">
        <v>2468</v>
      </c>
      <c r="N851" s="222">
        <v>1</v>
      </c>
      <c r="O851" s="222">
        <v>0</v>
      </c>
      <c r="P851" s="225">
        <v>1</v>
      </c>
      <c r="Q851" s="224">
        <v>0</v>
      </c>
      <c r="R851" s="222">
        <v>18.28</v>
      </c>
      <c r="S851" s="226" t="str">
        <f>IFERROR(_xlfn.XLOOKUP(R851,'1_Presupuesto'!$E:$E,'1_Presupuesto'!$D:$D),"")</f>
        <v>-</v>
      </c>
    </row>
    <row r="852" spans="1:19" ht="14.25" customHeight="1" x14ac:dyDescent="0.35">
      <c r="A852" s="222" t="s">
        <v>2436</v>
      </c>
      <c r="B852" s="222" t="s">
        <v>13</v>
      </c>
      <c r="C852" s="222"/>
      <c r="D852" s="222" t="s">
        <v>2469</v>
      </c>
      <c r="E852" s="222" t="s">
        <v>2470</v>
      </c>
      <c r="F852" s="222"/>
      <c r="G852" s="223">
        <v>1</v>
      </c>
      <c r="H852" s="222">
        <v>0</v>
      </c>
      <c r="I852" s="224">
        <v>109736.4574</v>
      </c>
      <c r="J852" s="224">
        <v>109736.4574</v>
      </c>
      <c r="K852" s="222" t="s">
        <v>2471</v>
      </c>
      <c r="L852" s="222">
        <v>1</v>
      </c>
      <c r="M852" s="222" t="s">
        <v>2472</v>
      </c>
      <c r="N852" s="222">
        <v>1</v>
      </c>
      <c r="O852" s="222">
        <v>0</v>
      </c>
      <c r="P852" s="225">
        <v>1</v>
      </c>
      <c r="Q852" s="224">
        <v>0</v>
      </c>
      <c r="R852" s="222">
        <v>18.28</v>
      </c>
      <c r="S852" s="226" t="str">
        <f>IFERROR(_xlfn.XLOOKUP(R852,'1_Presupuesto'!$E:$E,'1_Presupuesto'!$D:$D),"")</f>
        <v>-</v>
      </c>
    </row>
    <row r="853" spans="1:19" ht="14.25" customHeight="1" x14ac:dyDescent="0.35">
      <c r="A853" s="222" t="s">
        <v>2436</v>
      </c>
      <c r="B853" s="222" t="s">
        <v>654</v>
      </c>
      <c r="C853" s="222" t="s">
        <v>655</v>
      </c>
      <c r="D853" s="222" t="s">
        <v>656</v>
      </c>
      <c r="E853" s="222" t="s">
        <v>657</v>
      </c>
      <c r="F853" s="222"/>
      <c r="G853" s="223">
        <v>540459.48600000003</v>
      </c>
      <c r="H853" s="222">
        <v>0</v>
      </c>
      <c r="I853" s="224">
        <v>1</v>
      </c>
      <c r="J853" s="224">
        <v>540459.48600000003</v>
      </c>
      <c r="K853" s="222" t="s">
        <v>2439</v>
      </c>
      <c r="L853" s="222">
        <v>7</v>
      </c>
      <c r="M853" s="222" t="s">
        <v>2473</v>
      </c>
      <c r="N853" s="222">
        <v>1</v>
      </c>
      <c r="O853" s="222">
        <v>0</v>
      </c>
      <c r="P853" s="225">
        <v>1</v>
      </c>
      <c r="Q853" s="224">
        <v>0</v>
      </c>
      <c r="R853" s="222">
        <v>18.28</v>
      </c>
      <c r="S853" s="226" t="str">
        <f>IFERROR(_xlfn.XLOOKUP(R853,'1_Presupuesto'!$E:$E,'1_Presupuesto'!$D:$D),"")</f>
        <v>-</v>
      </c>
    </row>
    <row r="854" spans="1:19" ht="14.25" customHeight="1" x14ac:dyDescent="0.35">
      <c r="A854" s="222" t="s">
        <v>2474</v>
      </c>
      <c r="B854" s="222" t="s">
        <v>654</v>
      </c>
      <c r="C854" s="222" t="s">
        <v>640</v>
      </c>
      <c r="D854" s="222" t="s">
        <v>2475</v>
      </c>
      <c r="E854" s="222" t="s">
        <v>2476</v>
      </c>
      <c r="F854" s="222" t="s">
        <v>33</v>
      </c>
      <c r="G854" s="223">
        <v>100</v>
      </c>
      <c r="H854" s="222">
        <v>0</v>
      </c>
      <c r="I854" s="224">
        <v>8567.2798999999995</v>
      </c>
      <c r="J854" s="224">
        <v>856727.99</v>
      </c>
      <c r="K854" s="222" t="s">
        <v>2477</v>
      </c>
      <c r="L854" s="222">
        <v>1</v>
      </c>
      <c r="M854" s="222" t="s">
        <v>2478</v>
      </c>
      <c r="N854" s="222">
        <v>1</v>
      </c>
      <c r="O854" s="222">
        <v>0</v>
      </c>
      <c r="P854" s="225">
        <v>1</v>
      </c>
      <c r="Q854" s="224">
        <v>0</v>
      </c>
      <c r="R854" s="222">
        <v>18.29</v>
      </c>
      <c r="S854" s="226" t="str">
        <f>IFERROR(_xlfn.XLOOKUP(R854,'1_Presupuesto'!$E:$E,'1_Presupuesto'!$D:$D),"")</f>
        <v>-</v>
      </c>
    </row>
    <row r="855" spans="1:19" ht="14.25" customHeight="1" x14ac:dyDescent="0.35">
      <c r="A855" s="222" t="s">
        <v>2474</v>
      </c>
      <c r="B855" s="222" t="s">
        <v>654</v>
      </c>
      <c r="C855" s="222" t="s">
        <v>640</v>
      </c>
      <c r="D855" s="222" t="s">
        <v>2479</v>
      </c>
      <c r="E855" s="222" t="s">
        <v>2480</v>
      </c>
      <c r="F855" s="222" t="s">
        <v>66</v>
      </c>
      <c r="G855" s="223">
        <v>5</v>
      </c>
      <c r="H855" s="222">
        <v>0</v>
      </c>
      <c r="I855" s="224">
        <v>34890.260699999999</v>
      </c>
      <c r="J855" s="224">
        <v>174451.30350000001</v>
      </c>
      <c r="K855" s="222" t="s">
        <v>2477</v>
      </c>
      <c r="L855" s="222">
        <v>2</v>
      </c>
      <c r="M855" s="222" t="s">
        <v>2481</v>
      </c>
      <c r="N855" s="222">
        <v>1</v>
      </c>
      <c r="O855" s="222">
        <v>0</v>
      </c>
      <c r="P855" s="225">
        <v>1</v>
      </c>
      <c r="Q855" s="224">
        <v>0</v>
      </c>
      <c r="R855" s="222">
        <v>18.29</v>
      </c>
      <c r="S855" s="226" t="str">
        <f>IFERROR(_xlfn.XLOOKUP(R855,'1_Presupuesto'!$E:$E,'1_Presupuesto'!$D:$D),"")</f>
        <v>-</v>
      </c>
    </row>
    <row r="856" spans="1:19" ht="14.25" customHeight="1" x14ac:dyDescent="0.35">
      <c r="A856" s="222" t="s">
        <v>2474</v>
      </c>
      <c r="B856" s="222" t="s">
        <v>654</v>
      </c>
      <c r="C856" s="222" t="s">
        <v>640</v>
      </c>
      <c r="D856" s="222" t="s">
        <v>2482</v>
      </c>
      <c r="E856" s="222" t="s">
        <v>2483</v>
      </c>
      <c r="F856" s="222" t="s">
        <v>66</v>
      </c>
      <c r="G856" s="223">
        <v>5</v>
      </c>
      <c r="H856" s="222">
        <v>0</v>
      </c>
      <c r="I856" s="224">
        <v>21530.894400000001</v>
      </c>
      <c r="J856" s="224">
        <v>107654.47199999999</v>
      </c>
      <c r="K856" s="222" t="s">
        <v>2477</v>
      </c>
      <c r="L856" s="222">
        <v>3</v>
      </c>
      <c r="M856" s="222" t="s">
        <v>2484</v>
      </c>
      <c r="N856" s="222">
        <v>1</v>
      </c>
      <c r="O856" s="222">
        <v>0</v>
      </c>
      <c r="P856" s="225">
        <v>1</v>
      </c>
      <c r="Q856" s="224">
        <v>0</v>
      </c>
      <c r="R856" s="222">
        <v>18.29</v>
      </c>
      <c r="S856" s="226" t="str">
        <f>IFERROR(_xlfn.XLOOKUP(R856,'1_Presupuesto'!$E:$E,'1_Presupuesto'!$D:$D),"")</f>
        <v>-</v>
      </c>
    </row>
    <row r="857" spans="1:19" ht="14.25" customHeight="1" x14ac:dyDescent="0.35">
      <c r="A857" s="222" t="s">
        <v>2474</v>
      </c>
      <c r="B857" s="222" t="s">
        <v>654</v>
      </c>
      <c r="C857" s="222" t="s">
        <v>640</v>
      </c>
      <c r="D857" s="222" t="s">
        <v>2485</v>
      </c>
      <c r="E857" s="222" t="s">
        <v>2486</v>
      </c>
      <c r="F857" s="222" t="s">
        <v>66</v>
      </c>
      <c r="G857" s="223">
        <v>5</v>
      </c>
      <c r="H857" s="222">
        <v>0</v>
      </c>
      <c r="I857" s="224">
        <v>1205.3565000000001</v>
      </c>
      <c r="J857" s="224">
        <v>6026.7825000000003</v>
      </c>
      <c r="K857" s="222" t="s">
        <v>2477</v>
      </c>
      <c r="L857" s="222">
        <v>4</v>
      </c>
      <c r="M857" s="222" t="s">
        <v>2487</v>
      </c>
      <c r="N857" s="222">
        <v>1</v>
      </c>
      <c r="O857" s="222">
        <v>0</v>
      </c>
      <c r="P857" s="225">
        <v>1</v>
      </c>
      <c r="Q857" s="224">
        <v>0</v>
      </c>
      <c r="R857" s="222">
        <v>18.29</v>
      </c>
      <c r="S857" s="226" t="str">
        <f>IFERROR(_xlfn.XLOOKUP(R857,'1_Presupuesto'!$E:$E,'1_Presupuesto'!$D:$D),"")</f>
        <v>-</v>
      </c>
    </row>
    <row r="858" spans="1:19" ht="14.25" customHeight="1" x14ac:dyDescent="0.35">
      <c r="A858" s="222" t="s">
        <v>2474</v>
      </c>
      <c r="B858" s="222" t="s">
        <v>639</v>
      </c>
      <c r="C858" s="222" t="s">
        <v>640</v>
      </c>
      <c r="D858" s="222" t="s">
        <v>2488</v>
      </c>
      <c r="E858" s="222" t="s">
        <v>2489</v>
      </c>
      <c r="F858" s="222" t="s">
        <v>643</v>
      </c>
      <c r="G858" s="223">
        <v>1</v>
      </c>
      <c r="H858" s="222">
        <v>0</v>
      </c>
      <c r="I858" s="224">
        <v>305252.5</v>
      </c>
      <c r="J858" s="224">
        <v>305252.5</v>
      </c>
      <c r="K858" s="222" t="s">
        <v>2490</v>
      </c>
      <c r="L858" s="222">
        <v>1</v>
      </c>
      <c r="M858" s="222" t="s">
        <v>2491</v>
      </c>
      <c r="N858" s="222">
        <v>1</v>
      </c>
      <c r="O858" s="222">
        <v>0</v>
      </c>
      <c r="P858" s="225">
        <v>1</v>
      </c>
      <c r="Q858" s="224">
        <v>0</v>
      </c>
      <c r="R858" s="222">
        <v>18.29</v>
      </c>
      <c r="S858" s="226" t="str">
        <f>IFERROR(_xlfn.XLOOKUP(R858,'1_Presupuesto'!$E:$E,'1_Presupuesto'!$D:$D),"")</f>
        <v>-</v>
      </c>
    </row>
    <row r="859" spans="1:19" ht="14.25" customHeight="1" x14ac:dyDescent="0.35">
      <c r="A859" s="222" t="s">
        <v>2474</v>
      </c>
      <c r="B859" s="222" t="s">
        <v>13</v>
      </c>
      <c r="C859" s="222"/>
      <c r="D859" s="222" t="s">
        <v>2492</v>
      </c>
      <c r="E859" s="222" t="s">
        <v>2493</v>
      </c>
      <c r="F859" s="222"/>
      <c r="G859" s="223">
        <v>1</v>
      </c>
      <c r="H859" s="222">
        <v>0</v>
      </c>
      <c r="I859" s="224">
        <v>23501.469799999999</v>
      </c>
      <c r="J859" s="224">
        <v>23501.469799999999</v>
      </c>
      <c r="K859" s="222" t="s">
        <v>2494</v>
      </c>
      <c r="L859" s="222">
        <v>1</v>
      </c>
      <c r="M859" s="222" t="s">
        <v>2495</v>
      </c>
      <c r="N859" s="222">
        <v>1</v>
      </c>
      <c r="O859" s="222">
        <v>0</v>
      </c>
      <c r="P859" s="225">
        <v>1</v>
      </c>
      <c r="Q859" s="224">
        <v>0</v>
      </c>
      <c r="R859" s="222">
        <v>18.29</v>
      </c>
      <c r="S859" s="226" t="str">
        <f>IFERROR(_xlfn.XLOOKUP(R859,'1_Presupuesto'!$E:$E,'1_Presupuesto'!$D:$D),"")</f>
        <v>-</v>
      </c>
    </row>
    <row r="860" spans="1:19" ht="14.25" customHeight="1" x14ac:dyDescent="0.35">
      <c r="A860" s="222" t="s">
        <v>2474</v>
      </c>
      <c r="B860" s="222" t="s">
        <v>654</v>
      </c>
      <c r="C860" s="222" t="s">
        <v>655</v>
      </c>
      <c r="D860" s="222" t="s">
        <v>656</v>
      </c>
      <c r="E860" s="222" t="s">
        <v>657</v>
      </c>
      <c r="F860" s="222"/>
      <c r="G860" s="223">
        <v>116651.60159999999</v>
      </c>
      <c r="H860" s="222">
        <v>0</v>
      </c>
      <c r="I860" s="224">
        <v>1</v>
      </c>
      <c r="J860" s="224">
        <v>116651.60159999999</v>
      </c>
      <c r="K860" s="222" t="s">
        <v>2477</v>
      </c>
      <c r="L860" s="222">
        <v>5</v>
      </c>
      <c r="M860" s="222" t="s">
        <v>2496</v>
      </c>
      <c r="N860" s="222">
        <v>1</v>
      </c>
      <c r="O860" s="222">
        <v>0</v>
      </c>
      <c r="P860" s="225">
        <v>1</v>
      </c>
      <c r="Q860" s="224">
        <v>0</v>
      </c>
      <c r="R860" s="222">
        <v>18.29</v>
      </c>
      <c r="S860" s="226" t="str">
        <f>IFERROR(_xlfn.XLOOKUP(R860,'1_Presupuesto'!$E:$E,'1_Presupuesto'!$D:$D),"")</f>
        <v>-</v>
      </c>
    </row>
    <row r="861" spans="1:19" ht="14.25" customHeight="1" x14ac:dyDescent="0.35">
      <c r="A861" s="222" t="s">
        <v>2497</v>
      </c>
      <c r="B861" s="222" t="s">
        <v>639</v>
      </c>
      <c r="C861" s="222" t="s">
        <v>640</v>
      </c>
      <c r="D861" s="222" t="s">
        <v>2498</v>
      </c>
      <c r="E861" s="222" t="s">
        <v>2499</v>
      </c>
      <c r="F861" s="222" t="s">
        <v>643</v>
      </c>
      <c r="G861" s="223">
        <v>1</v>
      </c>
      <c r="H861" s="222">
        <v>0</v>
      </c>
      <c r="I861" s="224">
        <v>100127.461</v>
      </c>
      <c r="J861" s="224">
        <v>100127.461</v>
      </c>
      <c r="K861" s="222" t="s">
        <v>2500</v>
      </c>
      <c r="L861" s="222">
        <v>1</v>
      </c>
      <c r="M861" s="222" t="s">
        <v>2501</v>
      </c>
      <c r="N861" s="222">
        <v>1</v>
      </c>
      <c r="O861" s="222">
        <v>0</v>
      </c>
      <c r="P861" s="225">
        <v>1</v>
      </c>
      <c r="Q861" s="224">
        <v>0</v>
      </c>
      <c r="R861" s="222">
        <v>18.3</v>
      </c>
      <c r="S861" s="226" t="str">
        <f>IFERROR(_xlfn.XLOOKUP(R861,'1_Presupuesto'!$E:$E,'1_Presupuesto'!$D:$D),"")</f>
        <v>-</v>
      </c>
    </row>
    <row r="862" spans="1:19" ht="14.25" customHeight="1" x14ac:dyDescent="0.35">
      <c r="A862" s="222" t="s">
        <v>2502</v>
      </c>
      <c r="B862" s="222" t="s">
        <v>654</v>
      </c>
      <c r="C862" s="222" t="s">
        <v>640</v>
      </c>
      <c r="D862" s="222" t="s">
        <v>2503</v>
      </c>
      <c r="E862" s="222" t="s">
        <v>221</v>
      </c>
      <c r="F862" s="222"/>
      <c r="G862" s="223">
        <v>1</v>
      </c>
      <c r="H862" s="222">
        <v>0</v>
      </c>
      <c r="I862" s="224">
        <v>2127230.3546000002</v>
      </c>
      <c r="J862" s="224">
        <v>2127230.3546000002</v>
      </c>
      <c r="K862" s="222" t="s">
        <v>2504</v>
      </c>
      <c r="L862" s="222">
        <v>1</v>
      </c>
      <c r="M862" s="222" t="s">
        <v>2505</v>
      </c>
      <c r="N862" s="222">
        <v>1</v>
      </c>
      <c r="O862" s="222">
        <v>0</v>
      </c>
      <c r="P862" s="225">
        <v>1</v>
      </c>
      <c r="Q862" s="224">
        <v>0</v>
      </c>
      <c r="R862" s="222">
        <v>19.010000000000002</v>
      </c>
      <c r="S862" s="226" t="str">
        <f>IFERROR(_xlfn.XLOOKUP(R862,'1_Presupuesto'!$E:$E,'1_Presupuesto'!$D:$D),"")</f>
        <v>-</v>
      </c>
    </row>
    <row r="863" spans="1:19" ht="14.25" customHeight="1" x14ac:dyDescent="0.35">
      <c r="A863" s="222" t="s">
        <v>2502</v>
      </c>
      <c r="B863" s="222" t="s">
        <v>639</v>
      </c>
      <c r="C863" s="222" t="s">
        <v>640</v>
      </c>
      <c r="D863" s="222" t="s">
        <v>2506</v>
      </c>
      <c r="E863" s="222" t="s">
        <v>221</v>
      </c>
      <c r="F863" s="222" t="s">
        <v>643</v>
      </c>
      <c r="G863" s="223">
        <v>1</v>
      </c>
      <c r="H863" s="222">
        <v>0</v>
      </c>
      <c r="I863" s="224">
        <v>3545383.9243999999</v>
      </c>
      <c r="J863" s="224">
        <v>3545383.9243999999</v>
      </c>
      <c r="K863" s="222" t="s">
        <v>2507</v>
      </c>
      <c r="L863" s="222">
        <v>1</v>
      </c>
      <c r="M863" s="222" t="s">
        <v>2508</v>
      </c>
      <c r="N863" s="222">
        <v>1</v>
      </c>
      <c r="O863" s="222">
        <v>0</v>
      </c>
      <c r="P863" s="225">
        <v>1</v>
      </c>
      <c r="Q863" s="224">
        <v>0</v>
      </c>
      <c r="R863" s="222">
        <v>19.010000000000002</v>
      </c>
      <c r="S863" s="226" t="str">
        <f>IFERROR(_xlfn.XLOOKUP(R863,'1_Presupuesto'!$E:$E,'1_Presupuesto'!$D:$D),"")</f>
        <v>-</v>
      </c>
    </row>
    <row r="864" spans="1:19" ht="14.25" customHeight="1" x14ac:dyDescent="0.35">
      <c r="A864" s="222" t="s">
        <v>2502</v>
      </c>
      <c r="B864" s="222" t="s">
        <v>13</v>
      </c>
      <c r="C864" s="222"/>
      <c r="D864" s="222" t="s">
        <v>2509</v>
      </c>
      <c r="E864" s="222" t="s">
        <v>2510</v>
      </c>
      <c r="F864" s="222"/>
      <c r="G864" s="223">
        <v>1</v>
      </c>
      <c r="H864" s="222">
        <v>0</v>
      </c>
      <c r="I864" s="224">
        <v>85089.214200000002</v>
      </c>
      <c r="J864" s="224">
        <v>85089.214200000002</v>
      </c>
      <c r="K864" s="222" t="s">
        <v>2511</v>
      </c>
      <c r="L864" s="222">
        <v>1</v>
      </c>
      <c r="M864" s="222" t="s">
        <v>2512</v>
      </c>
      <c r="N864" s="222">
        <v>1</v>
      </c>
      <c r="O864" s="222">
        <v>0</v>
      </c>
      <c r="P864" s="225">
        <v>1</v>
      </c>
      <c r="Q864" s="224">
        <v>0</v>
      </c>
      <c r="R864" s="222">
        <v>19.010000000000002</v>
      </c>
      <c r="S864" s="226" t="str">
        <f>IFERROR(_xlfn.XLOOKUP(R864,'1_Presupuesto'!$E:$E,'1_Presupuesto'!$D:$D),"")</f>
        <v>-</v>
      </c>
    </row>
    <row r="865" spans="1:19" ht="14.25" customHeight="1" x14ac:dyDescent="0.35">
      <c r="A865" s="222" t="s">
        <v>2513</v>
      </c>
      <c r="B865" s="222" t="s">
        <v>654</v>
      </c>
      <c r="C865" s="222" t="s">
        <v>640</v>
      </c>
      <c r="D865" s="222" t="s">
        <v>2514</v>
      </c>
      <c r="E865" s="222" t="s">
        <v>222</v>
      </c>
      <c r="F865" s="222"/>
      <c r="G865" s="223">
        <v>1</v>
      </c>
      <c r="H865" s="222">
        <v>0</v>
      </c>
      <c r="I865" s="224">
        <v>278565.8798</v>
      </c>
      <c r="J865" s="224">
        <v>278565.8798</v>
      </c>
      <c r="K865" s="222" t="s">
        <v>2515</v>
      </c>
      <c r="L865" s="222">
        <v>1</v>
      </c>
      <c r="M865" s="222" t="s">
        <v>2516</v>
      </c>
      <c r="N865" s="222">
        <v>1</v>
      </c>
      <c r="O865" s="222">
        <v>0</v>
      </c>
      <c r="P865" s="225">
        <v>1</v>
      </c>
      <c r="Q865" s="224">
        <v>0</v>
      </c>
      <c r="R865" s="222">
        <v>19.02</v>
      </c>
      <c r="S865" s="226" t="str">
        <f>IFERROR(_xlfn.XLOOKUP(R865,'1_Presupuesto'!$E:$E,'1_Presupuesto'!$D:$D),"")</f>
        <v>-</v>
      </c>
    </row>
    <row r="866" spans="1:19" ht="14.25" customHeight="1" x14ac:dyDescent="0.35">
      <c r="A866" s="222" t="s">
        <v>2513</v>
      </c>
      <c r="B866" s="222" t="s">
        <v>639</v>
      </c>
      <c r="C866" s="222" t="s">
        <v>640</v>
      </c>
      <c r="D866" s="222" t="s">
        <v>2517</v>
      </c>
      <c r="E866" s="222" t="s">
        <v>222</v>
      </c>
      <c r="F866" s="222" t="s">
        <v>643</v>
      </c>
      <c r="G866" s="223">
        <v>1</v>
      </c>
      <c r="H866" s="222">
        <v>0</v>
      </c>
      <c r="I866" s="224">
        <v>506483.4178</v>
      </c>
      <c r="J866" s="224">
        <v>506483.4178</v>
      </c>
      <c r="K866" s="222" t="s">
        <v>2518</v>
      </c>
      <c r="L866" s="222">
        <v>1</v>
      </c>
      <c r="M866" s="222" t="s">
        <v>2519</v>
      </c>
      <c r="N866" s="222">
        <v>1</v>
      </c>
      <c r="O866" s="222">
        <v>0</v>
      </c>
      <c r="P866" s="225">
        <v>1</v>
      </c>
      <c r="Q866" s="224">
        <v>0</v>
      </c>
      <c r="R866" s="222">
        <v>19.02</v>
      </c>
      <c r="S866" s="226" t="str">
        <f>IFERROR(_xlfn.XLOOKUP(R866,'1_Presupuesto'!$E:$E,'1_Presupuesto'!$D:$D),"")</f>
        <v>-</v>
      </c>
    </row>
    <row r="867" spans="1:19" ht="14.25" customHeight="1" x14ac:dyDescent="0.35">
      <c r="A867" s="222" t="s">
        <v>2513</v>
      </c>
      <c r="B867" s="222" t="s">
        <v>13</v>
      </c>
      <c r="C867" s="222"/>
      <c r="D867" s="222" t="s">
        <v>2520</v>
      </c>
      <c r="E867" s="222" t="s">
        <v>2521</v>
      </c>
      <c r="F867" s="222"/>
      <c r="G867" s="223">
        <v>1</v>
      </c>
      <c r="H867" s="222">
        <v>0</v>
      </c>
      <c r="I867" s="224">
        <v>11775.7395</v>
      </c>
      <c r="J867" s="224">
        <v>11775.7395</v>
      </c>
      <c r="K867" s="222" t="s">
        <v>2522</v>
      </c>
      <c r="L867" s="222">
        <v>1</v>
      </c>
      <c r="M867" s="222" t="s">
        <v>2523</v>
      </c>
      <c r="N867" s="222">
        <v>1</v>
      </c>
      <c r="O867" s="222">
        <v>0</v>
      </c>
      <c r="P867" s="225">
        <v>1</v>
      </c>
      <c r="Q867" s="224">
        <v>0</v>
      </c>
      <c r="R867" s="222">
        <v>19.02</v>
      </c>
      <c r="S867" s="226" t="str">
        <f>IFERROR(_xlfn.XLOOKUP(R867,'1_Presupuesto'!$E:$E,'1_Presupuesto'!$D:$D),"")</f>
        <v>-</v>
      </c>
    </row>
    <row r="868" spans="1:19" ht="14.25" customHeight="1" x14ac:dyDescent="0.35">
      <c r="A868" s="222" t="s">
        <v>2524</v>
      </c>
      <c r="B868" s="222" t="s">
        <v>654</v>
      </c>
      <c r="C868" s="222" t="s">
        <v>640</v>
      </c>
      <c r="D868" s="222" t="s">
        <v>2525</v>
      </c>
      <c r="E868" s="222" t="s">
        <v>223</v>
      </c>
      <c r="F868" s="222"/>
      <c r="G868" s="223">
        <v>1</v>
      </c>
      <c r="H868" s="222">
        <v>0</v>
      </c>
      <c r="I868" s="224">
        <v>2836307.1395</v>
      </c>
      <c r="J868" s="224">
        <v>2836307.1395</v>
      </c>
      <c r="K868" s="222" t="s">
        <v>2526</v>
      </c>
      <c r="L868" s="222">
        <v>1</v>
      </c>
      <c r="M868" s="222" t="s">
        <v>2527</v>
      </c>
      <c r="N868" s="222">
        <v>1</v>
      </c>
      <c r="O868" s="222">
        <v>0</v>
      </c>
      <c r="P868" s="225">
        <v>1</v>
      </c>
      <c r="Q868" s="224">
        <v>0</v>
      </c>
      <c r="R868" s="222">
        <v>19.03</v>
      </c>
      <c r="S868" s="226" t="str">
        <f>IFERROR(_xlfn.XLOOKUP(R868,'1_Presupuesto'!$E:$E,'1_Presupuesto'!$D:$D),"")</f>
        <v>-</v>
      </c>
    </row>
    <row r="869" spans="1:19" ht="14.25" customHeight="1" x14ac:dyDescent="0.35">
      <c r="A869" s="222" t="s">
        <v>2524</v>
      </c>
      <c r="B869" s="222" t="s">
        <v>639</v>
      </c>
      <c r="C869" s="222" t="s">
        <v>640</v>
      </c>
      <c r="D869" s="222" t="s">
        <v>2528</v>
      </c>
      <c r="E869" s="222" t="s">
        <v>223</v>
      </c>
      <c r="F869" s="222" t="s">
        <v>643</v>
      </c>
      <c r="G869" s="223">
        <v>1</v>
      </c>
      <c r="H869" s="222">
        <v>0</v>
      </c>
      <c r="I869" s="224">
        <v>4051867.3421</v>
      </c>
      <c r="J869" s="224">
        <v>4051867.3421</v>
      </c>
      <c r="K869" s="222" t="s">
        <v>2529</v>
      </c>
      <c r="L869" s="222">
        <v>1</v>
      </c>
      <c r="M869" s="222" t="s">
        <v>2530</v>
      </c>
      <c r="N869" s="222">
        <v>1</v>
      </c>
      <c r="O869" s="222">
        <v>0</v>
      </c>
      <c r="P869" s="225">
        <v>1</v>
      </c>
      <c r="Q869" s="224">
        <v>0</v>
      </c>
      <c r="R869" s="222">
        <v>19.03</v>
      </c>
      <c r="S869" s="226" t="str">
        <f>IFERROR(_xlfn.XLOOKUP(R869,'1_Presupuesto'!$E:$E,'1_Presupuesto'!$D:$D),"")</f>
        <v>-</v>
      </c>
    </row>
    <row r="870" spans="1:19" ht="14.25" customHeight="1" x14ac:dyDescent="0.35">
      <c r="A870" s="222" t="s">
        <v>2524</v>
      </c>
      <c r="B870" s="222" t="s">
        <v>13</v>
      </c>
      <c r="C870" s="222"/>
      <c r="D870" s="222" t="s">
        <v>2531</v>
      </c>
      <c r="E870" s="222" t="s">
        <v>2532</v>
      </c>
      <c r="F870" s="222"/>
      <c r="G870" s="223">
        <v>1</v>
      </c>
      <c r="H870" s="222">
        <v>0</v>
      </c>
      <c r="I870" s="224">
        <v>103322.61719999999</v>
      </c>
      <c r="J870" s="224">
        <v>103322.61719999999</v>
      </c>
      <c r="K870" s="222" t="s">
        <v>2533</v>
      </c>
      <c r="L870" s="222">
        <v>1</v>
      </c>
      <c r="M870" s="222" t="s">
        <v>2534</v>
      </c>
      <c r="N870" s="222">
        <v>1</v>
      </c>
      <c r="O870" s="222">
        <v>0</v>
      </c>
      <c r="P870" s="225">
        <v>1</v>
      </c>
      <c r="Q870" s="224">
        <v>0</v>
      </c>
      <c r="R870" s="222">
        <v>19.03</v>
      </c>
      <c r="S870" s="226" t="str">
        <f>IFERROR(_xlfn.XLOOKUP(R870,'1_Presupuesto'!$E:$E,'1_Presupuesto'!$D:$D),"")</f>
        <v>-</v>
      </c>
    </row>
    <row r="871" spans="1:19" ht="14.25" customHeight="1" x14ac:dyDescent="0.35">
      <c r="A871" s="222" t="s">
        <v>2535</v>
      </c>
      <c r="B871" s="222" t="s">
        <v>654</v>
      </c>
      <c r="C871" s="222" t="s">
        <v>640</v>
      </c>
      <c r="D871" s="222" t="s">
        <v>2536</v>
      </c>
      <c r="E871" s="222" t="s">
        <v>224</v>
      </c>
      <c r="F871" s="222"/>
      <c r="G871" s="223">
        <v>1</v>
      </c>
      <c r="H871" s="222">
        <v>0</v>
      </c>
      <c r="I871" s="224">
        <v>1215560.2026</v>
      </c>
      <c r="J871" s="224">
        <v>1215560.2026</v>
      </c>
      <c r="K871" s="222" t="s">
        <v>2537</v>
      </c>
      <c r="L871" s="222">
        <v>1</v>
      </c>
      <c r="M871" s="222" t="s">
        <v>2538</v>
      </c>
      <c r="N871" s="222">
        <v>1</v>
      </c>
      <c r="O871" s="222">
        <v>0</v>
      </c>
      <c r="P871" s="225">
        <v>1</v>
      </c>
      <c r="Q871" s="224">
        <v>0</v>
      </c>
      <c r="R871" s="222">
        <v>19.04</v>
      </c>
      <c r="S871" s="226" t="str">
        <f>IFERROR(_xlfn.XLOOKUP(R871,'1_Presupuesto'!$E:$E,'1_Presupuesto'!$D:$D),"")</f>
        <v>-</v>
      </c>
    </row>
    <row r="872" spans="1:19" ht="14.25" customHeight="1" x14ac:dyDescent="0.35">
      <c r="A872" s="222" t="s">
        <v>2535</v>
      </c>
      <c r="B872" s="222" t="s">
        <v>639</v>
      </c>
      <c r="C872" s="222" t="s">
        <v>640</v>
      </c>
      <c r="D872" s="222" t="s">
        <v>2539</v>
      </c>
      <c r="E872" s="222" t="s">
        <v>224</v>
      </c>
      <c r="F872" s="222" t="s">
        <v>643</v>
      </c>
      <c r="G872" s="223">
        <v>1</v>
      </c>
      <c r="H872" s="222">
        <v>0</v>
      </c>
      <c r="I872" s="224">
        <v>2025933.6710999999</v>
      </c>
      <c r="J872" s="224">
        <v>2025933.6710999999</v>
      </c>
      <c r="K872" s="222" t="s">
        <v>2540</v>
      </c>
      <c r="L872" s="222">
        <v>1</v>
      </c>
      <c r="M872" s="222" t="s">
        <v>2541</v>
      </c>
      <c r="N872" s="222">
        <v>1</v>
      </c>
      <c r="O872" s="222">
        <v>0</v>
      </c>
      <c r="P872" s="225">
        <v>1</v>
      </c>
      <c r="Q872" s="224">
        <v>0</v>
      </c>
      <c r="R872" s="222">
        <v>19.04</v>
      </c>
      <c r="S872" s="226" t="str">
        <f>IFERROR(_xlfn.XLOOKUP(R872,'1_Presupuesto'!$E:$E,'1_Presupuesto'!$D:$D),"")</f>
        <v>-</v>
      </c>
    </row>
    <row r="873" spans="1:19" ht="14.25" customHeight="1" x14ac:dyDescent="0.35">
      <c r="A873" s="222" t="s">
        <v>2535</v>
      </c>
      <c r="B873" s="222" t="s">
        <v>13</v>
      </c>
      <c r="C873" s="222"/>
      <c r="D873" s="222" t="s">
        <v>2542</v>
      </c>
      <c r="E873" s="222" t="s">
        <v>2543</v>
      </c>
      <c r="F873" s="222"/>
      <c r="G873" s="223">
        <v>1</v>
      </c>
      <c r="H873" s="222">
        <v>0</v>
      </c>
      <c r="I873" s="224">
        <v>48622.408100000001</v>
      </c>
      <c r="J873" s="224">
        <v>48622.408100000001</v>
      </c>
      <c r="K873" s="222" t="s">
        <v>2544</v>
      </c>
      <c r="L873" s="222">
        <v>1</v>
      </c>
      <c r="M873" s="222" t="s">
        <v>2545</v>
      </c>
      <c r="N873" s="222">
        <v>1</v>
      </c>
      <c r="O873" s="222">
        <v>0</v>
      </c>
      <c r="P873" s="225">
        <v>1</v>
      </c>
      <c r="Q873" s="224">
        <v>0</v>
      </c>
      <c r="R873" s="222">
        <v>19.04</v>
      </c>
      <c r="S873" s="226" t="str">
        <f>IFERROR(_xlfn.XLOOKUP(R873,'1_Presupuesto'!$E:$E,'1_Presupuesto'!$D:$D),"")</f>
        <v>-</v>
      </c>
    </row>
    <row r="874" spans="1:19" ht="14.25" customHeight="1" x14ac:dyDescent="0.35">
      <c r="A874" s="222" t="s">
        <v>2546</v>
      </c>
      <c r="B874" s="222" t="s">
        <v>654</v>
      </c>
      <c r="C874" s="222" t="s">
        <v>640</v>
      </c>
      <c r="D874" s="222" t="s">
        <v>2547</v>
      </c>
      <c r="E874" s="222" t="s">
        <v>225</v>
      </c>
      <c r="F874" s="222"/>
      <c r="G874" s="223">
        <v>1</v>
      </c>
      <c r="H874" s="222">
        <v>0</v>
      </c>
      <c r="I874" s="224">
        <v>599178.95070000004</v>
      </c>
      <c r="J874" s="224">
        <v>599178.95070000004</v>
      </c>
      <c r="K874" s="222" t="s">
        <v>2548</v>
      </c>
      <c r="L874" s="222">
        <v>1</v>
      </c>
      <c r="M874" s="222" t="s">
        <v>2549</v>
      </c>
      <c r="N874" s="222">
        <v>1</v>
      </c>
      <c r="O874" s="222">
        <v>0</v>
      </c>
      <c r="P874" s="225">
        <v>1</v>
      </c>
      <c r="Q874" s="224">
        <v>0</v>
      </c>
      <c r="R874" s="222">
        <v>19.05</v>
      </c>
      <c r="S874" s="226" t="str">
        <f>IFERROR(_xlfn.XLOOKUP(R874,'1_Presupuesto'!$E:$E,'1_Presupuesto'!$D:$D),"")</f>
        <v>-</v>
      </c>
    </row>
    <row r="875" spans="1:19" ht="14.25" customHeight="1" x14ac:dyDescent="0.35">
      <c r="A875" s="222" t="s">
        <v>2546</v>
      </c>
      <c r="B875" s="222" t="s">
        <v>639</v>
      </c>
      <c r="C875" s="222" t="s">
        <v>640</v>
      </c>
      <c r="D875" s="222" t="s">
        <v>2550</v>
      </c>
      <c r="E875" s="222" t="s">
        <v>225</v>
      </c>
      <c r="F875" s="222" t="s">
        <v>643</v>
      </c>
      <c r="G875" s="223">
        <v>1</v>
      </c>
      <c r="H875" s="222">
        <v>0</v>
      </c>
      <c r="I875" s="224">
        <v>1497947.3766999999</v>
      </c>
      <c r="J875" s="224">
        <v>1497947.3766999999</v>
      </c>
      <c r="K875" s="222" t="s">
        <v>2551</v>
      </c>
      <c r="L875" s="222">
        <v>1</v>
      </c>
      <c r="M875" s="222" t="s">
        <v>2552</v>
      </c>
      <c r="N875" s="222">
        <v>1</v>
      </c>
      <c r="O875" s="222">
        <v>0</v>
      </c>
      <c r="P875" s="225">
        <v>1</v>
      </c>
      <c r="Q875" s="224">
        <v>0</v>
      </c>
      <c r="R875" s="222">
        <v>19.05</v>
      </c>
      <c r="S875" s="226" t="str">
        <f>IFERROR(_xlfn.XLOOKUP(R875,'1_Presupuesto'!$E:$E,'1_Presupuesto'!$D:$D),"")</f>
        <v>-</v>
      </c>
    </row>
    <row r="876" spans="1:19" ht="14.25" customHeight="1" x14ac:dyDescent="0.35">
      <c r="A876" s="222" t="s">
        <v>2546</v>
      </c>
      <c r="B876" s="222" t="s">
        <v>13</v>
      </c>
      <c r="C876" s="222"/>
      <c r="D876" s="222" t="s">
        <v>2553</v>
      </c>
      <c r="E876" s="222" t="s">
        <v>2554</v>
      </c>
      <c r="F876" s="222"/>
      <c r="G876" s="223">
        <v>1</v>
      </c>
      <c r="H876" s="222">
        <v>0</v>
      </c>
      <c r="I876" s="224">
        <v>31456.894899999999</v>
      </c>
      <c r="J876" s="224">
        <v>31456.894899999999</v>
      </c>
      <c r="K876" s="222" t="s">
        <v>2555</v>
      </c>
      <c r="L876" s="222">
        <v>1</v>
      </c>
      <c r="M876" s="222" t="s">
        <v>2556</v>
      </c>
      <c r="N876" s="222">
        <v>1</v>
      </c>
      <c r="O876" s="222">
        <v>0</v>
      </c>
      <c r="P876" s="225">
        <v>1</v>
      </c>
      <c r="Q876" s="224">
        <v>0</v>
      </c>
      <c r="R876" s="222">
        <v>19.05</v>
      </c>
      <c r="S876" s="226" t="str">
        <f>IFERROR(_xlfn.XLOOKUP(R876,'1_Presupuesto'!$E:$E,'1_Presupuesto'!$D:$D),"")</f>
        <v>-</v>
      </c>
    </row>
    <row r="877" spans="1:19" ht="14.25" customHeight="1" x14ac:dyDescent="0.35">
      <c r="A877" s="222" t="s">
        <v>2557</v>
      </c>
      <c r="B877" s="222" t="s">
        <v>654</v>
      </c>
      <c r="C877" s="222" t="s">
        <v>640</v>
      </c>
      <c r="D877" s="222" t="s">
        <v>2558</v>
      </c>
      <c r="E877" s="222" t="s">
        <v>226</v>
      </c>
      <c r="F877" s="222"/>
      <c r="G877" s="223">
        <v>1</v>
      </c>
      <c r="H877" s="222">
        <v>0</v>
      </c>
      <c r="I877" s="224">
        <v>898768.42599999998</v>
      </c>
      <c r="J877" s="224">
        <v>898768.42599999998</v>
      </c>
      <c r="K877" s="222" t="s">
        <v>2559</v>
      </c>
      <c r="L877" s="222">
        <v>1</v>
      </c>
      <c r="M877" s="222" t="s">
        <v>2560</v>
      </c>
      <c r="N877" s="222">
        <v>1</v>
      </c>
      <c r="O877" s="222">
        <v>0</v>
      </c>
      <c r="P877" s="225">
        <v>1</v>
      </c>
      <c r="Q877" s="224">
        <v>0</v>
      </c>
      <c r="R877" s="222">
        <v>19.059999999999999</v>
      </c>
      <c r="S877" s="226" t="str">
        <f>IFERROR(_xlfn.XLOOKUP(R877,'1_Presupuesto'!$E:$E,'1_Presupuesto'!$D:$D),"")</f>
        <v>-</v>
      </c>
    </row>
    <row r="878" spans="1:19" ht="14.25" customHeight="1" x14ac:dyDescent="0.35">
      <c r="A878" s="222" t="s">
        <v>2557</v>
      </c>
      <c r="B878" s="222" t="s">
        <v>639</v>
      </c>
      <c r="C878" s="222" t="s">
        <v>640</v>
      </c>
      <c r="D878" s="222" t="s">
        <v>2561</v>
      </c>
      <c r="E878" s="222" t="s">
        <v>226</v>
      </c>
      <c r="F878" s="222" t="s">
        <v>643</v>
      </c>
      <c r="G878" s="223">
        <v>1</v>
      </c>
      <c r="H878" s="222">
        <v>0</v>
      </c>
      <c r="I878" s="224">
        <v>1497947.3766999999</v>
      </c>
      <c r="J878" s="224">
        <v>1497947.3766999999</v>
      </c>
      <c r="K878" s="222" t="s">
        <v>2562</v>
      </c>
      <c r="L878" s="222">
        <v>1</v>
      </c>
      <c r="M878" s="222" t="s">
        <v>2563</v>
      </c>
      <c r="N878" s="222">
        <v>1</v>
      </c>
      <c r="O878" s="222">
        <v>0</v>
      </c>
      <c r="P878" s="225">
        <v>1</v>
      </c>
      <c r="Q878" s="224">
        <v>0</v>
      </c>
      <c r="R878" s="222">
        <v>19.059999999999999</v>
      </c>
      <c r="S878" s="226" t="str">
        <f>IFERROR(_xlfn.XLOOKUP(R878,'1_Presupuesto'!$E:$E,'1_Presupuesto'!$D:$D),"")</f>
        <v>-</v>
      </c>
    </row>
    <row r="879" spans="1:19" ht="14.25" customHeight="1" x14ac:dyDescent="0.35">
      <c r="A879" s="222" t="s">
        <v>2557</v>
      </c>
      <c r="B879" s="222" t="s">
        <v>13</v>
      </c>
      <c r="C879" s="222"/>
      <c r="D879" s="222" t="s">
        <v>2564</v>
      </c>
      <c r="E879" s="222" t="s">
        <v>2565</v>
      </c>
      <c r="F879" s="222"/>
      <c r="G879" s="223">
        <v>1</v>
      </c>
      <c r="H879" s="222">
        <v>0</v>
      </c>
      <c r="I879" s="224">
        <v>35950.737000000001</v>
      </c>
      <c r="J879" s="224">
        <v>35950.737000000001</v>
      </c>
      <c r="K879" s="222" t="s">
        <v>2566</v>
      </c>
      <c r="L879" s="222">
        <v>1</v>
      </c>
      <c r="M879" s="222" t="s">
        <v>2567</v>
      </c>
      <c r="N879" s="222">
        <v>1</v>
      </c>
      <c r="O879" s="222">
        <v>0</v>
      </c>
      <c r="P879" s="225">
        <v>1</v>
      </c>
      <c r="Q879" s="224">
        <v>0</v>
      </c>
      <c r="R879" s="222">
        <v>19.059999999999999</v>
      </c>
      <c r="S879" s="226" t="str">
        <f>IFERROR(_xlfn.XLOOKUP(R879,'1_Presupuesto'!$E:$E,'1_Presupuesto'!$D:$D),"")</f>
        <v>-</v>
      </c>
    </row>
    <row r="880" spans="1:19" ht="14.25" customHeight="1" x14ac:dyDescent="0.35">
      <c r="A880" s="222" t="s">
        <v>2568</v>
      </c>
      <c r="B880" s="222" t="s">
        <v>654</v>
      </c>
      <c r="C880" s="222" t="s">
        <v>640</v>
      </c>
      <c r="D880" s="222" t="s">
        <v>2569</v>
      </c>
      <c r="E880" s="222" t="s">
        <v>227</v>
      </c>
      <c r="F880" s="222"/>
      <c r="G880" s="223">
        <v>1</v>
      </c>
      <c r="H880" s="222">
        <v>0</v>
      </c>
      <c r="I880" s="224">
        <v>213992.48240000001</v>
      </c>
      <c r="J880" s="224">
        <v>213992.48240000001</v>
      </c>
      <c r="K880" s="222" t="s">
        <v>2570</v>
      </c>
      <c r="L880" s="222">
        <v>1</v>
      </c>
      <c r="M880" s="222" t="s">
        <v>2571</v>
      </c>
      <c r="N880" s="222">
        <v>1</v>
      </c>
      <c r="O880" s="222">
        <v>0</v>
      </c>
      <c r="P880" s="225">
        <v>1</v>
      </c>
      <c r="Q880" s="224">
        <v>0</v>
      </c>
      <c r="R880" s="222">
        <v>19.07</v>
      </c>
      <c r="S880" s="226" t="str">
        <f>IFERROR(_xlfn.XLOOKUP(R880,'1_Presupuesto'!$E:$E,'1_Presupuesto'!$D:$D),"")</f>
        <v>-</v>
      </c>
    </row>
    <row r="881" spans="1:19" ht="14.25" customHeight="1" x14ac:dyDescent="0.35">
      <c r="A881" s="222" t="s">
        <v>2568</v>
      </c>
      <c r="B881" s="222" t="s">
        <v>639</v>
      </c>
      <c r="C881" s="222" t="s">
        <v>640</v>
      </c>
      <c r="D881" s="222" t="s">
        <v>2572</v>
      </c>
      <c r="E881" s="222" t="s">
        <v>227</v>
      </c>
      <c r="F881" s="222" t="s">
        <v>643</v>
      </c>
      <c r="G881" s="223">
        <v>1</v>
      </c>
      <c r="H881" s="222">
        <v>0</v>
      </c>
      <c r="I881" s="224">
        <v>427984.96480000002</v>
      </c>
      <c r="J881" s="224">
        <v>427984.96480000002</v>
      </c>
      <c r="K881" s="222" t="s">
        <v>2573</v>
      </c>
      <c r="L881" s="222">
        <v>1</v>
      </c>
      <c r="M881" s="222" t="s">
        <v>2574</v>
      </c>
      <c r="N881" s="222">
        <v>1</v>
      </c>
      <c r="O881" s="222">
        <v>0</v>
      </c>
      <c r="P881" s="225">
        <v>1</v>
      </c>
      <c r="Q881" s="224">
        <v>0</v>
      </c>
      <c r="R881" s="222">
        <v>19.07</v>
      </c>
      <c r="S881" s="226" t="str">
        <f>IFERROR(_xlfn.XLOOKUP(R881,'1_Presupuesto'!$E:$E,'1_Presupuesto'!$D:$D),"")</f>
        <v>-</v>
      </c>
    </row>
    <row r="882" spans="1:19" ht="14.25" customHeight="1" x14ac:dyDescent="0.35">
      <c r="A882" s="222" t="s">
        <v>2568</v>
      </c>
      <c r="B882" s="222" t="s">
        <v>13</v>
      </c>
      <c r="C882" s="222"/>
      <c r="D882" s="222" t="s">
        <v>2575</v>
      </c>
      <c r="E882" s="222" t="s">
        <v>2576</v>
      </c>
      <c r="F882" s="222"/>
      <c r="G882" s="223">
        <v>1</v>
      </c>
      <c r="H882" s="222">
        <v>0</v>
      </c>
      <c r="I882" s="224">
        <v>9629.6617000000006</v>
      </c>
      <c r="J882" s="224">
        <v>9629.6617000000006</v>
      </c>
      <c r="K882" s="222" t="s">
        <v>2577</v>
      </c>
      <c r="L882" s="222">
        <v>1</v>
      </c>
      <c r="M882" s="222" t="s">
        <v>2578</v>
      </c>
      <c r="N882" s="222">
        <v>1</v>
      </c>
      <c r="O882" s="222">
        <v>0</v>
      </c>
      <c r="P882" s="225">
        <v>1</v>
      </c>
      <c r="Q882" s="224">
        <v>0</v>
      </c>
      <c r="R882" s="222">
        <v>19.07</v>
      </c>
      <c r="S882" s="226" t="str">
        <f>IFERROR(_xlfn.XLOOKUP(R882,'1_Presupuesto'!$E:$E,'1_Presupuesto'!$D:$D),"")</f>
        <v>-</v>
      </c>
    </row>
    <row r="883" spans="1:19" ht="14.25" customHeight="1" x14ac:dyDescent="0.35">
      <c r="A883" s="222" t="s">
        <v>2579</v>
      </c>
      <c r="B883" s="222" t="s">
        <v>654</v>
      </c>
      <c r="C883" s="222" t="s">
        <v>640</v>
      </c>
      <c r="D883" s="222" t="s">
        <v>2580</v>
      </c>
      <c r="E883" s="222" t="s">
        <v>228</v>
      </c>
      <c r="F883" s="222"/>
      <c r="G883" s="223">
        <v>1</v>
      </c>
      <c r="H883" s="222">
        <v>0</v>
      </c>
      <c r="I883" s="224">
        <v>979935.30830000003</v>
      </c>
      <c r="J883" s="224">
        <v>979935.30830000003</v>
      </c>
      <c r="K883" s="222" t="s">
        <v>2581</v>
      </c>
      <c r="L883" s="222">
        <v>1</v>
      </c>
      <c r="M883" s="222" t="s">
        <v>2582</v>
      </c>
      <c r="N883" s="222">
        <v>1</v>
      </c>
      <c r="O883" s="222">
        <v>0</v>
      </c>
      <c r="P883" s="225">
        <v>1</v>
      </c>
      <c r="Q883" s="224">
        <v>0</v>
      </c>
      <c r="R883" s="222">
        <v>19.079999999999998</v>
      </c>
      <c r="S883" s="226" t="str">
        <f>IFERROR(_xlfn.XLOOKUP(R883,'1_Presupuesto'!$E:$E,'1_Presupuesto'!$D:$D),"")</f>
        <v>-</v>
      </c>
    </row>
    <row r="884" spans="1:19" ht="14.25" customHeight="1" x14ac:dyDescent="0.35">
      <c r="A884" s="222" t="s">
        <v>2579</v>
      </c>
      <c r="B884" s="222" t="s">
        <v>639</v>
      </c>
      <c r="C884" s="222" t="s">
        <v>640</v>
      </c>
      <c r="D884" s="222" t="s">
        <v>2583</v>
      </c>
      <c r="E884" s="222" t="s">
        <v>228</v>
      </c>
      <c r="F884" s="222" t="s">
        <v>643</v>
      </c>
      <c r="G884" s="223">
        <v>1</v>
      </c>
      <c r="H884" s="222">
        <v>0</v>
      </c>
      <c r="I884" s="224">
        <v>1959870.6166000001</v>
      </c>
      <c r="J884" s="224">
        <v>1959870.6166000001</v>
      </c>
      <c r="K884" s="222" t="s">
        <v>2584</v>
      </c>
      <c r="L884" s="222">
        <v>1</v>
      </c>
      <c r="M884" s="222" t="s">
        <v>2585</v>
      </c>
      <c r="N884" s="222">
        <v>1</v>
      </c>
      <c r="O884" s="222">
        <v>0</v>
      </c>
      <c r="P884" s="225">
        <v>1</v>
      </c>
      <c r="Q884" s="224">
        <v>0</v>
      </c>
      <c r="R884" s="222">
        <v>19.079999999999998</v>
      </c>
      <c r="S884" s="226" t="str">
        <f>IFERROR(_xlfn.XLOOKUP(R884,'1_Presupuesto'!$E:$E,'1_Presupuesto'!$D:$D),"")</f>
        <v>-</v>
      </c>
    </row>
    <row r="885" spans="1:19" ht="14.25" customHeight="1" x14ac:dyDescent="0.35">
      <c r="A885" s="222" t="s">
        <v>2579</v>
      </c>
      <c r="B885" s="222" t="s">
        <v>13</v>
      </c>
      <c r="C885" s="222"/>
      <c r="D885" s="222" t="s">
        <v>2586</v>
      </c>
      <c r="E885" s="222" t="s">
        <v>2587</v>
      </c>
      <c r="F885" s="222"/>
      <c r="G885" s="223">
        <v>1</v>
      </c>
      <c r="H885" s="222">
        <v>0</v>
      </c>
      <c r="I885" s="224">
        <v>44097.088900000002</v>
      </c>
      <c r="J885" s="224">
        <v>44097.088900000002</v>
      </c>
      <c r="K885" s="222" t="s">
        <v>2588</v>
      </c>
      <c r="L885" s="222">
        <v>1</v>
      </c>
      <c r="M885" s="222" t="s">
        <v>2589</v>
      </c>
      <c r="N885" s="222">
        <v>1</v>
      </c>
      <c r="O885" s="222">
        <v>0</v>
      </c>
      <c r="P885" s="225">
        <v>1</v>
      </c>
      <c r="Q885" s="224">
        <v>0</v>
      </c>
      <c r="R885" s="222">
        <v>19.079999999999998</v>
      </c>
      <c r="S885" s="226" t="str">
        <f>IFERROR(_xlfn.XLOOKUP(R885,'1_Presupuesto'!$E:$E,'1_Presupuesto'!$D:$D),"")</f>
        <v>-</v>
      </c>
    </row>
    <row r="886" spans="1:19" ht="14.25" customHeight="1" x14ac:dyDescent="0.35">
      <c r="A886" s="222" t="s">
        <v>2590</v>
      </c>
      <c r="B886" s="222" t="s">
        <v>654</v>
      </c>
      <c r="C886" s="222" t="s">
        <v>640</v>
      </c>
      <c r="D886" s="222" t="s">
        <v>2591</v>
      </c>
      <c r="E886" s="222" t="s">
        <v>229</v>
      </c>
      <c r="F886" s="222"/>
      <c r="G886" s="223">
        <v>1</v>
      </c>
      <c r="H886" s="222">
        <v>0</v>
      </c>
      <c r="I886" s="224">
        <v>1959870.6166000001</v>
      </c>
      <c r="J886" s="224">
        <v>1959870.6166000001</v>
      </c>
      <c r="K886" s="222" t="s">
        <v>2592</v>
      </c>
      <c r="L886" s="222">
        <v>1</v>
      </c>
      <c r="M886" s="222" t="s">
        <v>2593</v>
      </c>
      <c r="N886" s="222">
        <v>1</v>
      </c>
      <c r="O886" s="222">
        <v>0</v>
      </c>
      <c r="P886" s="225">
        <v>1</v>
      </c>
      <c r="Q886" s="224">
        <v>0</v>
      </c>
      <c r="R886" s="222">
        <v>19.09</v>
      </c>
      <c r="S886" s="226" t="str">
        <f>IFERROR(_xlfn.XLOOKUP(R886,'1_Presupuesto'!$E:$E,'1_Presupuesto'!$D:$D),"")</f>
        <v>-</v>
      </c>
    </row>
    <row r="887" spans="1:19" ht="14.25" customHeight="1" x14ac:dyDescent="0.35">
      <c r="A887" s="222" t="s">
        <v>2590</v>
      </c>
      <c r="B887" s="222" t="s">
        <v>639</v>
      </c>
      <c r="C887" s="222" t="s">
        <v>640</v>
      </c>
      <c r="D887" s="222" t="s">
        <v>2594</v>
      </c>
      <c r="E887" s="222" t="s">
        <v>229</v>
      </c>
      <c r="F887" s="222" t="s">
        <v>643</v>
      </c>
      <c r="G887" s="223">
        <v>1</v>
      </c>
      <c r="H887" s="222">
        <v>0</v>
      </c>
      <c r="I887" s="224">
        <v>3919741.2332000001</v>
      </c>
      <c r="J887" s="224">
        <v>3919741.2332000001</v>
      </c>
      <c r="K887" s="222" t="s">
        <v>2595</v>
      </c>
      <c r="L887" s="222">
        <v>1</v>
      </c>
      <c r="M887" s="222" t="s">
        <v>2596</v>
      </c>
      <c r="N887" s="222">
        <v>1</v>
      </c>
      <c r="O887" s="222">
        <v>0</v>
      </c>
      <c r="P887" s="225">
        <v>1</v>
      </c>
      <c r="Q887" s="224">
        <v>0</v>
      </c>
      <c r="R887" s="222">
        <v>19.09</v>
      </c>
      <c r="S887" s="226" t="str">
        <f>IFERROR(_xlfn.XLOOKUP(R887,'1_Presupuesto'!$E:$E,'1_Presupuesto'!$D:$D),"")</f>
        <v>-</v>
      </c>
    </row>
    <row r="888" spans="1:19" ht="14.25" customHeight="1" x14ac:dyDescent="0.35">
      <c r="A888" s="222" t="s">
        <v>2590</v>
      </c>
      <c r="B888" s="222" t="s">
        <v>13</v>
      </c>
      <c r="C888" s="222"/>
      <c r="D888" s="222" t="s">
        <v>2597</v>
      </c>
      <c r="E888" s="222" t="s">
        <v>2598</v>
      </c>
      <c r="F888" s="222"/>
      <c r="G888" s="223">
        <v>1</v>
      </c>
      <c r="H888" s="222">
        <v>0</v>
      </c>
      <c r="I888" s="224">
        <v>88194.1777</v>
      </c>
      <c r="J888" s="224">
        <v>88194.1777</v>
      </c>
      <c r="K888" s="222" t="s">
        <v>2599</v>
      </c>
      <c r="L888" s="222">
        <v>1</v>
      </c>
      <c r="M888" s="222" t="s">
        <v>2600</v>
      </c>
      <c r="N888" s="222">
        <v>1</v>
      </c>
      <c r="O888" s="222">
        <v>0</v>
      </c>
      <c r="P888" s="225">
        <v>1</v>
      </c>
      <c r="Q888" s="224">
        <v>0</v>
      </c>
      <c r="R888" s="222">
        <v>19.09</v>
      </c>
      <c r="S888" s="226" t="str">
        <f>IFERROR(_xlfn.XLOOKUP(R888,'1_Presupuesto'!$E:$E,'1_Presupuesto'!$D:$D),"")</f>
        <v>-</v>
      </c>
    </row>
    <row r="889" spans="1:19" ht="14.25" customHeight="1" x14ac:dyDescent="0.35">
      <c r="A889" s="222" t="s">
        <v>2601</v>
      </c>
      <c r="B889" s="222" t="s">
        <v>654</v>
      </c>
      <c r="C889" s="222" t="s">
        <v>640</v>
      </c>
      <c r="D889" s="222" t="s">
        <v>2602</v>
      </c>
      <c r="E889" s="222" t="s">
        <v>230</v>
      </c>
      <c r="F889" s="222"/>
      <c r="G889" s="223">
        <v>1</v>
      </c>
      <c r="H889" s="222">
        <v>0</v>
      </c>
      <c r="I889" s="224">
        <v>391974.12329999998</v>
      </c>
      <c r="J889" s="224">
        <v>391974.12329999998</v>
      </c>
      <c r="K889" s="222" t="s">
        <v>2603</v>
      </c>
      <c r="L889" s="222">
        <v>1</v>
      </c>
      <c r="M889" s="222" t="s">
        <v>2604</v>
      </c>
      <c r="N889" s="222">
        <v>1</v>
      </c>
      <c r="O889" s="222">
        <v>0</v>
      </c>
      <c r="P889" s="225">
        <v>1</v>
      </c>
      <c r="Q889" s="224">
        <v>0</v>
      </c>
      <c r="R889" s="222">
        <v>19.100000000000001</v>
      </c>
      <c r="S889" s="226" t="str">
        <f>IFERROR(_xlfn.XLOOKUP(R889,'1_Presupuesto'!$E:$E,'1_Presupuesto'!$D:$D),"")</f>
        <v>-</v>
      </c>
    </row>
    <row r="890" spans="1:19" ht="14.25" customHeight="1" x14ac:dyDescent="0.35">
      <c r="A890" s="222" t="s">
        <v>2601</v>
      </c>
      <c r="B890" s="222" t="s">
        <v>639</v>
      </c>
      <c r="C890" s="222" t="s">
        <v>640</v>
      </c>
      <c r="D890" s="222" t="s">
        <v>2605</v>
      </c>
      <c r="E890" s="222" t="s">
        <v>230</v>
      </c>
      <c r="F890" s="222" t="s">
        <v>643</v>
      </c>
      <c r="G890" s="223">
        <v>1</v>
      </c>
      <c r="H890" s="222">
        <v>0</v>
      </c>
      <c r="I890" s="224">
        <v>979935.30830000003</v>
      </c>
      <c r="J890" s="224">
        <v>979935.30830000003</v>
      </c>
      <c r="K890" s="222" t="s">
        <v>2606</v>
      </c>
      <c r="L890" s="222">
        <v>1</v>
      </c>
      <c r="M890" s="222" t="s">
        <v>2607</v>
      </c>
      <c r="N890" s="222">
        <v>1</v>
      </c>
      <c r="O890" s="222">
        <v>0</v>
      </c>
      <c r="P890" s="225">
        <v>1</v>
      </c>
      <c r="Q890" s="224">
        <v>0</v>
      </c>
      <c r="R890" s="222">
        <v>19.100000000000001</v>
      </c>
      <c r="S890" s="226" t="str">
        <f>IFERROR(_xlfn.XLOOKUP(R890,'1_Presupuesto'!$E:$E,'1_Presupuesto'!$D:$D),"")</f>
        <v>-</v>
      </c>
    </row>
    <row r="891" spans="1:19" ht="14.25" customHeight="1" x14ac:dyDescent="0.35">
      <c r="A891" s="222" t="s">
        <v>2601</v>
      </c>
      <c r="B891" s="222" t="s">
        <v>13</v>
      </c>
      <c r="C891" s="222"/>
      <c r="D891" s="222" t="s">
        <v>2608</v>
      </c>
      <c r="E891" s="222" t="s">
        <v>2609</v>
      </c>
      <c r="F891" s="222"/>
      <c r="G891" s="223">
        <v>1</v>
      </c>
      <c r="H891" s="222">
        <v>0</v>
      </c>
      <c r="I891" s="224">
        <v>20578.641500000002</v>
      </c>
      <c r="J891" s="224">
        <v>20578.641500000002</v>
      </c>
      <c r="K891" s="222" t="s">
        <v>2610</v>
      </c>
      <c r="L891" s="222">
        <v>1</v>
      </c>
      <c r="M891" s="222" t="s">
        <v>2611</v>
      </c>
      <c r="N891" s="222">
        <v>1</v>
      </c>
      <c r="O891" s="222">
        <v>0</v>
      </c>
      <c r="P891" s="225">
        <v>1</v>
      </c>
      <c r="Q891" s="224">
        <v>0</v>
      </c>
      <c r="R891" s="222">
        <v>19.100000000000001</v>
      </c>
      <c r="S891" s="226" t="str">
        <f>IFERROR(_xlfn.XLOOKUP(R891,'1_Presupuesto'!$E:$E,'1_Presupuesto'!$D:$D),"")</f>
        <v>-</v>
      </c>
    </row>
    <row r="892" spans="1:19" ht="14.25" customHeight="1" x14ac:dyDescent="0.35">
      <c r="A892" s="222" t="s">
        <v>2612</v>
      </c>
      <c r="B892" s="222" t="s">
        <v>654</v>
      </c>
      <c r="C892" s="222" t="s">
        <v>640</v>
      </c>
      <c r="D892" s="222" t="s">
        <v>2613</v>
      </c>
      <c r="E892" s="222" t="s">
        <v>231</v>
      </c>
      <c r="F892" s="222"/>
      <c r="G892" s="223">
        <v>1</v>
      </c>
      <c r="H892" s="222">
        <v>0</v>
      </c>
      <c r="I892" s="224">
        <v>3135792.9865000001</v>
      </c>
      <c r="J892" s="224">
        <v>3135792.9865000001</v>
      </c>
      <c r="K892" s="222" t="s">
        <v>2614</v>
      </c>
      <c r="L892" s="222">
        <v>1</v>
      </c>
      <c r="M892" s="222" t="s">
        <v>2615</v>
      </c>
      <c r="N892" s="222">
        <v>1</v>
      </c>
      <c r="O892" s="222">
        <v>0</v>
      </c>
      <c r="P892" s="225">
        <v>1</v>
      </c>
      <c r="Q892" s="224">
        <v>0</v>
      </c>
      <c r="R892" s="222">
        <v>19.11</v>
      </c>
      <c r="S892" s="226" t="str">
        <f>IFERROR(_xlfn.XLOOKUP(R892,'1_Presupuesto'!$E:$E,'1_Presupuesto'!$D:$D),"")</f>
        <v>-</v>
      </c>
    </row>
    <row r="893" spans="1:19" ht="14.25" customHeight="1" x14ac:dyDescent="0.35">
      <c r="A893" s="222" t="s">
        <v>2612</v>
      </c>
      <c r="B893" s="222" t="s">
        <v>639</v>
      </c>
      <c r="C893" s="222" t="s">
        <v>640</v>
      </c>
      <c r="D893" s="222" t="s">
        <v>2616</v>
      </c>
      <c r="E893" s="222" t="s">
        <v>231</v>
      </c>
      <c r="F893" s="222" t="s">
        <v>643</v>
      </c>
      <c r="G893" s="223">
        <v>1</v>
      </c>
      <c r="H893" s="222">
        <v>0</v>
      </c>
      <c r="I893" s="224">
        <v>7839482.4663000004</v>
      </c>
      <c r="J893" s="224">
        <v>7839482.4663000004</v>
      </c>
      <c r="K893" s="222" t="s">
        <v>2617</v>
      </c>
      <c r="L893" s="222">
        <v>1</v>
      </c>
      <c r="M893" s="222" t="s">
        <v>2618</v>
      </c>
      <c r="N893" s="222">
        <v>1</v>
      </c>
      <c r="O893" s="222">
        <v>0</v>
      </c>
      <c r="P893" s="225">
        <v>1</v>
      </c>
      <c r="Q893" s="224">
        <v>0</v>
      </c>
      <c r="R893" s="222">
        <v>19.11</v>
      </c>
      <c r="S893" s="226" t="str">
        <f>IFERROR(_xlfn.XLOOKUP(R893,'1_Presupuesto'!$E:$E,'1_Presupuesto'!$D:$D),"")</f>
        <v>-</v>
      </c>
    </row>
    <row r="894" spans="1:19" ht="14.25" customHeight="1" x14ac:dyDescent="0.35">
      <c r="A894" s="222" t="s">
        <v>2612</v>
      </c>
      <c r="B894" s="222" t="s">
        <v>13</v>
      </c>
      <c r="C894" s="222"/>
      <c r="D894" s="222" t="s">
        <v>2619</v>
      </c>
      <c r="E894" s="222" t="s">
        <v>2620</v>
      </c>
      <c r="F894" s="222"/>
      <c r="G894" s="223">
        <v>1</v>
      </c>
      <c r="H894" s="222">
        <v>0</v>
      </c>
      <c r="I894" s="224">
        <v>164629.1318</v>
      </c>
      <c r="J894" s="224">
        <v>164629.1318</v>
      </c>
      <c r="K894" s="222" t="s">
        <v>2621</v>
      </c>
      <c r="L894" s="222">
        <v>1</v>
      </c>
      <c r="M894" s="222" t="s">
        <v>2622</v>
      </c>
      <c r="N894" s="222">
        <v>1</v>
      </c>
      <c r="O894" s="222">
        <v>0</v>
      </c>
      <c r="P894" s="225">
        <v>1</v>
      </c>
      <c r="Q894" s="224">
        <v>0</v>
      </c>
      <c r="R894" s="222">
        <v>19.11</v>
      </c>
      <c r="S894" s="226" t="str">
        <f>IFERROR(_xlfn.XLOOKUP(R894,'1_Presupuesto'!$E:$E,'1_Presupuesto'!$D:$D),"")</f>
        <v>-</v>
      </c>
    </row>
    <row r="895" spans="1:19" ht="14.25" customHeight="1" x14ac:dyDescent="0.35">
      <c r="A895" s="222" t="s">
        <v>2623</v>
      </c>
      <c r="B895" s="222" t="s">
        <v>654</v>
      </c>
      <c r="C895" s="222" t="s">
        <v>640</v>
      </c>
      <c r="D895" s="222" t="s">
        <v>2624</v>
      </c>
      <c r="E895" s="222" t="s">
        <v>232</v>
      </c>
      <c r="F895" s="222"/>
      <c r="G895" s="223">
        <v>1</v>
      </c>
      <c r="H895" s="222">
        <v>0</v>
      </c>
      <c r="I895" s="224">
        <v>2939805.9249</v>
      </c>
      <c r="J895" s="224">
        <v>2939805.9249</v>
      </c>
      <c r="K895" s="222" t="s">
        <v>2625</v>
      </c>
      <c r="L895" s="222">
        <v>1</v>
      </c>
      <c r="M895" s="222" t="s">
        <v>2626</v>
      </c>
      <c r="N895" s="222">
        <v>1</v>
      </c>
      <c r="O895" s="222">
        <v>0</v>
      </c>
      <c r="P895" s="225">
        <v>1</v>
      </c>
      <c r="Q895" s="224">
        <v>0</v>
      </c>
      <c r="R895" s="222">
        <v>19.12</v>
      </c>
      <c r="S895" s="226" t="str">
        <f>IFERROR(_xlfn.XLOOKUP(R895,'1_Presupuesto'!$E:$E,'1_Presupuesto'!$D:$D),"")</f>
        <v>-</v>
      </c>
    </row>
    <row r="896" spans="1:19" ht="14.25" customHeight="1" x14ac:dyDescent="0.35">
      <c r="A896" s="222" t="s">
        <v>2623</v>
      </c>
      <c r="B896" s="222" t="s">
        <v>639</v>
      </c>
      <c r="C896" s="222" t="s">
        <v>640</v>
      </c>
      <c r="D896" s="222" t="s">
        <v>2627</v>
      </c>
      <c r="E896" s="222" t="s">
        <v>232</v>
      </c>
      <c r="F896" s="222" t="s">
        <v>643</v>
      </c>
      <c r="G896" s="223">
        <v>1</v>
      </c>
      <c r="H896" s="222">
        <v>0</v>
      </c>
      <c r="I896" s="224">
        <v>4899676.5415000003</v>
      </c>
      <c r="J896" s="224">
        <v>4899676.5415000003</v>
      </c>
      <c r="K896" s="222" t="s">
        <v>2628</v>
      </c>
      <c r="L896" s="222">
        <v>1</v>
      </c>
      <c r="M896" s="222" t="s">
        <v>2629</v>
      </c>
      <c r="N896" s="222">
        <v>1</v>
      </c>
      <c r="O896" s="222">
        <v>0</v>
      </c>
      <c r="P896" s="225">
        <v>1</v>
      </c>
      <c r="Q896" s="224">
        <v>0</v>
      </c>
      <c r="R896" s="222">
        <v>19.12</v>
      </c>
      <c r="S896" s="226" t="str">
        <f>IFERROR(_xlfn.XLOOKUP(R896,'1_Presupuesto'!$E:$E,'1_Presupuesto'!$D:$D),"")</f>
        <v>-</v>
      </c>
    </row>
    <row r="897" spans="1:19" ht="14.25" customHeight="1" x14ac:dyDescent="0.35">
      <c r="A897" s="222" t="s">
        <v>2623</v>
      </c>
      <c r="B897" s="222" t="s">
        <v>13</v>
      </c>
      <c r="C897" s="222"/>
      <c r="D897" s="222" t="s">
        <v>2630</v>
      </c>
      <c r="E897" s="222" t="s">
        <v>2631</v>
      </c>
      <c r="F897" s="222"/>
      <c r="G897" s="223">
        <v>1</v>
      </c>
      <c r="H897" s="222">
        <v>0</v>
      </c>
      <c r="I897" s="224">
        <v>117592.23699999999</v>
      </c>
      <c r="J897" s="224">
        <v>117592.23699999999</v>
      </c>
      <c r="K897" s="222" t="s">
        <v>2632</v>
      </c>
      <c r="L897" s="222">
        <v>1</v>
      </c>
      <c r="M897" s="222" t="s">
        <v>2633</v>
      </c>
      <c r="N897" s="222">
        <v>1</v>
      </c>
      <c r="O897" s="222">
        <v>0</v>
      </c>
      <c r="P897" s="225">
        <v>1</v>
      </c>
      <c r="Q897" s="224">
        <v>0</v>
      </c>
      <c r="R897" s="222">
        <v>19.12</v>
      </c>
      <c r="S897" s="226" t="str">
        <f>IFERROR(_xlfn.XLOOKUP(R897,'1_Presupuesto'!$E:$E,'1_Presupuesto'!$D:$D),"")</f>
        <v>-</v>
      </c>
    </row>
    <row r="898" spans="1:19" ht="14.25" customHeight="1" x14ac:dyDescent="0.35">
      <c r="A898" s="222" t="s">
        <v>2634</v>
      </c>
      <c r="B898" s="222" t="s">
        <v>654</v>
      </c>
      <c r="C898" s="222" t="s">
        <v>640</v>
      </c>
      <c r="D898" s="222" t="s">
        <v>2635</v>
      </c>
      <c r="E898" s="222" t="s">
        <v>233</v>
      </c>
      <c r="F898" s="222"/>
      <c r="G898" s="223">
        <v>1</v>
      </c>
      <c r="H898" s="222">
        <v>0</v>
      </c>
      <c r="I898" s="224">
        <v>534981.20600000001</v>
      </c>
      <c r="J898" s="224">
        <v>534981.20600000001</v>
      </c>
      <c r="K898" s="222" t="s">
        <v>2636</v>
      </c>
      <c r="L898" s="222">
        <v>1</v>
      </c>
      <c r="M898" s="222" t="s">
        <v>2637</v>
      </c>
      <c r="N898" s="222">
        <v>1</v>
      </c>
      <c r="O898" s="222">
        <v>0</v>
      </c>
      <c r="P898" s="225">
        <v>1</v>
      </c>
      <c r="Q898" s="224">
        <v>0</v>
      </c>
      <c r="R898" s="222">
        <v>19.13</v>
      </c>
      <c r="S898" s="226" t="str">
        <f>IFERROR(_xlfn.XLOOKUP(R898,'1_Presupuesto'!$E:$E,'1_Presupuesto'!$D:$D),"")</f>
        <v>-</v>
      </c>
    </row>
    <row r="899" spans="1:19" ht="14.25" customHeight="1" x14ac:dyDescent="0.35">
      <c r="A899" s="222" t="s">
        <v>2634</v>
      </c>
      <c r="B899" s="222" t="s">
        <v>639</v>
      </c>
      <c r="C899" s="222" t="s">
        <v>640</v>
      </c>
      <c r="D899" s="222" t="s">
        <v>2638</v>
      </c>
      <c r="E899" s="222" t="s">
        <v>233</v>
      </c>
      <c r="F899" s="222" t="s">
        <v>643</v>
      </c>
      <c r="G899" s="223">
        <v>1</v>
      </c>
      <c r="H899" s="222">
        <v>0</v>
      </c>
      <c r="I899" s="224">
        <v>1069962.412</v>
      </c>
      <c r="J899" s="224">
        <v>1069962.412</v>
      </c>
      <c r="K899" s="222" t="s">
        <v>2639</v>
      </c>
      <c r="L899" s="222">
        <v>1</v>
      </c>
      <c r="M899" s="222" t="s">
        <v>2640</v>
      </c>
      <c r="N899" s="222">
        <v>1</v>
      </c>
      <c r="O899" s="222">
        <v>0</v>
      </c>
      <c r="P899" s="225">
        <v>1</v>
      </c>
      <c r="Q899" s="224">
        <v>0</v>
      </c>
      <c r="R899" s="222">
        <v>19.13</v>
      </c>
      <c r="S899" s="226" t="str">
        <f>IFERROR(_xlfn.XLOOKUP(R899,'1_Presupuesto'!$E:$E,'1_Presupuesto'!$D:$D),"")</f>
        <v>-</v>
      </c>
    </row>
    <row r="900" spans="1:19" ht="14.25" customHeight="1" x14ac:dyDescent="0.35">
      <c r="A900" s="222" t="s">
        <v>2634</v>
      </c>
      <c r="B900" s="222" t="s">
        <v>13</v>
      </c>
      <c r="C900" s="222"/>
      <c r="D900" s="222" t="s">
        <v>2641</v>
      </c>
      <c r="E900" s="222" t="s">
        <v>2642</v>
      </c>
      <c r="F900" s="222"/>
      <c r="G900" s="223">
        <v>1</v>
      </c>
      <c r="H900" s="222">
        <v>0</v>
      </c>
      <c r="I900" s="224">
        <v>24074.154299999998</v>
      </c>
      <c r="J900" s="224">
        <v>24074.154299999998</v>
      </c>
      <c r="K900" s="222" t="s">
        <v>2643</v>
      </c>
      <c r="L900" s="222">
        <v>1</v>
      </c>
      <c r="M900" s="222" t="s">
        <v>2644</v>
      </c>
      <c r="N900" s="222">
        <v>1</v>
      </c>
      <c r="O900" s="222">
        <v>0</v>
      </c>
      <c r="P900" s="225">
        <v>1</v>
      </c>
      <c r="Q900" s="224">
        <v>0</v>
      </c>
      <c r="R900" s="222">
        <v>19.13</v>
      </c>
      <c r="S900" s="226" t="str">
        <f>IFERROR(_xlfn.XLOOKUP(R900,'1_Presupuesto'!$E:$E,'1_Presupuesto'!$D:$D),"")</f>
        <v>-</v>
      </c>
    </row>
    <row r="901" spans="1:19" ht="14.25" customHeight="1" x14ac:dyDescent="0.35">
      <c r="A901" s="222" t="s">
        <v>2645</v>
      </c>
      <c r="B901" s="222" t="s">
        <v>654</v>
      </c>
      <c r="C901" s="222" t="s">
        <v>640</v>
      </c>
      <c r="D901" s="222" t="s">
        <v>2646</v>
      </c>
      <c r="E901" s="222" t="s">
        <v>234</v>
      </c>
      <c r="F901" s="222"/>
      <c r="G901" s="223">
        <v>1</v>
      </c>
      <c r="H901" s="222">
        <v>0</v>
      </c>
      <c r="I901" s="224">
        <v>3558424.4301</v>
      </c>
      <c r="J901" s="224">
        <v>3558424.4301</v>
      </c>
      <c r="K901" s="222" t="s">
        <v>2647</v>
      </c>
      <c r="L901" s="222">
        <v>1</v>
      </c>
      <c r="M901" s="222" t="s">
        <v>2648</v>
      </c>
      <c r="N901" s="222">
        <v>1</v>
      </c>
      <c r="O901" s="222">
        <v>0</v>
      </c>
      <c r="P901" s="225">
        <v>1</v>
      </c>
      <c r="Q901" s="224">
        <v>0</v>
      </c>
      <c r="R901" s="222">
        <v>19.14</v>
      </c>
      <c r="S901" s="226" t="str">
        <f>IFERROR(_xlfn.XLOOKUP(R901,'1_Presupuesto'!$E:$E,'1_Presupuesto'!$D:$D),"")</f>
        <v>-</v>
      </c>
    </row>
    <row r="902" spans="1:19" ht="14.25" customHeight="1" x14ac:dyDescent="0.35">
      <c r="A902" s="222" t="s">
        <v>2645</v>
      </c>
      <c r="B902" s="222" t="s">
        <v>639</v>
      </c>
      <c r="C902" s="222" t="s">
        <v>640</v>
      </c>
      <c r="D902" s="222" t="s">
        <v>2649</v>
      </c>
      <c r="E902" s="222" t="s">
        <v>2650</v>
      </c>
      <c r="F902" s="222" t="s">
        <v>643</v>
      </c>
      <c r="G902" s="223">
        <v>1</v>
      </c>
      <c r="H902" s="222">
        <v>0</v>
      </c>
      <c r="I902" s="224">
        <v>8896061.0752000008</v>
      </c>
      <c r="J902" s="224">
        <v>8896061.0752000008</v>
      </c>
      <c r="K902" s="222" t="s">
        <v>2651</v>
      </c>
      <c r="L902" s="222">
        <v>1</v>
      </c>
      <c r="M902" s="222" t="s">
        <v>2652</v>
      </c>
      <c r="N902" s="222">
        <v>1</v>
      </c>
      <c r="O902" s="222">
        <v>0</v>
      </c>
      <c r="P902" s="225">
        <v>1</v>
      </c>
      <c r="Q902" s="224">
        <v>0</v>
      </c>
      <c r="R902" s="222">
        <v>19.14</v>
      </c>
      <c r="S902" s="226" t="str">
        <f>IFERROR(_xlfn.XLOOKUP(R902,'1_Presupuesto'!$E:$E,'1_Presupuesto'!$D:$D),"")</f>
        <v>-</v>
      </c>
    </row>
    <row r="903" spans="1:19" ht="14.25" customHeight="1" x14ac:dyDescent="0.35">
      <c r="A903" s="222" t="s">
        <v>2645</v>
      </c>
      <c r="B903" s="222" t="s">
        <v>13</v>
      </c>
      <c r="C903" s="222"/>
      <c r="D903" s="222" t="s">
        <v>2653</v>
      </c>
      <c r="E903" s="222" t="s">
        <v>2654</v>
      </c>
      <c r="F903" s="222"/>
      <c r="G903" s="223">
        <v>1</v>
      </c>
      <c r="H903" s="222">
        <v>0</v>
      </c>
      <c r="I903" s="224">
        <v>186817.28260000001</v>
      </c>
      <c r="J903" s="224">
        <v>186817.28260000001</v>
      </c>
      <c r="K903" s="222" t="s">
        <v>2655</v>
      </c>
      <c r="L903" s="222">
        <v>1</v>
      </c>
      <c r="M903" s="222" t="s">
        <v>2656</v>
      </c>
      <c r="N903" s="222">
        <v>1</v>
      </c>
      <c r="O903" s="222">
        <v>0</v>
      </c>
      <c r="P903" s="225">
        <v>1</v>
      </c>
      <c r="Q903" s="224">
        <v>0</v>
      </c>
      <c r="R903" s="222">
        <v>19.14</v>
      </c>
      <c r="S903" s="226" t="str">
        <f>IFERROR(_xlfn.XLOOKUP(R903,'1_Presupuesto'!$E:$E,'1_Presupuesto'!$D:$D),"")</f>
        <v>-</v>
      </c>
    </row>
    <row r="904" spans="1:19" ht="14.25" customHeight="1" x14ac:dyDescent="0.35">
      <c r="A904" s="222" t="s">
        <v>2657</v>
      </c>
      <c r="B904" s="222" t="s">
        <v>639</v>
      </c>
      <c r="C904" s="222" t="s">
        <v>640</v>
      </c>
      <c r="D904" s="222" t="s">
        <v>2658</v>
      </c>
      <c r="E904" s="222" t="s">
        <v>2659</v>
      </c>
      <c r="F904" s="222" t="s">
        <v>643</v>
      </c>
      <c r="G904" s="223">
        <v>1</v>
      </c>
      <c r="H904" s="222">
        <v>0</v>
      </c>
      <c r="I904" s="224">
        <v>4852396.9501</v>
      </c>
      <c r="J904" s="224">
        <v>4852396.9501</v>
      </c>
      <c r="K904" s="222" t="s">
        <v>2660</v>
      </c>
      <c r="L904" s="222">
        <v>1</v>
      </c>
      <c r="M904" s="222" t="s">
        <v>2661</v>
      </c>
      <c r="N904" s="222">
        <v>1</v>
      </c>
      <c r="O904" s="222">
        <v>0</v>
      </c>
      <c r="P904" s="225">
        <v>1</v>
      </c>
      <c r="Q904" s="224">
        <v>0</v>
      </c>
      <c r="R904" s="222">
        <v>19.149999999999999</v>
      </c>
      <c r="S904" s="226" t="str">
        <f>IFERROR(_xlfn.XLOOKUP(R904,'1_Presupuesto'!$E:$E,'1_Presupuesto'!$D:$D),"")</f>
        <v>-</v>
      </c>
    </row>
    <row r="905" spans="1:19" ht="14.25" customHeight="1" x14ac:dyDescent="0.35">
      <c r="A905" s="222" t="s">
        <v>2657</v>
      </c>
      <c r="B905" s="222" t="s">
        <v>13</v>
      </c>
      <c r="C905" s="222"/>
      <c r="D905" s="222" t="s">
        <v>2662</v>
      </c>
      <c r="E905" s="222" t="s">
        <v>2663</v>
      </c>
      <c r="F905" s="222"/>
      <c r="G905" s="223">
        <v>1</v>
      </c>
      <c r="H905" s="222">
        <v>0</v>
      </c>
      <c r="I905" s="224">
        <v>72785.954299999998</v>
      </c>
      <c r="J905" s="224">
        <v>72785.954299999998</v>
      </c>
      <c r="K905" s="222" t="s">
        <v>2664</v>
      </c>
      <c r="L905" s="222">
        <v>1</v>
      </c>
      <c r="M905" s="222" t="s">
        <v>2665</v>
      </c>
      <c r="N905" s="222">
        <v>1</v>
      </c>
      <c r="O905" s="222">
        <v>0</v>
      </c>
      <c r="P905" s="225">
        <v>1</v>
      </c>
      <c r="Q905" s="224">
        <v>0</v>
      </c>
      <c r="R905" s="222">
        <v>19.149999999999999</v>
      </c>
      <c r="S905" s="226" t="str">
        <f>IFERROR(_xlfn.XLOOKUP(R905,'1_Presupuesto'!$E:$E,'1_Presupuesto'!$D:$D),"")</f>
        <v>-</v>
      </c>
    </row>
    <row r="906" spans="1:19" ht="14.25" customHeight="1" x14ac:dyDescent="0.35">
      <c r="A906" s="222" t="s">
        <v>2666</v>
      </c>
      <c r="B906" s="222" t="s">
        <v>654</v>
      </c>
      <c r="C906" s="222" t="s">
        <v>640</v>
      </c>
      <c r="D906" s="222" t="s">
        <v>2667</v>
      </c>
      <c r="E906" s="222" t="s">
        <v>236</v>
      </c>
      <c r="F906" s="222"/>
      <c r="G906" s="223">
        <v>1</v>
      </c>
      <c r="H906" s="222">
        <v>0</v>
      </c>
      <c r="I906" s="224">
        <v>1455719.085</v>
      </c>
      <c r="J906" s="224">
        <v>1455719.085</v>
      </c>
      <c r="K906" s="222" t="s">
        <v>2668</v>
      </c>
      <c r="L906" s="222">
        <v>1</v>
      </c>
      <c r="M906" s="222" t="s">
        <v>2669</v>
      </c>
      <c r="N906" s="222">
        <v>1</v>
      </c>
      <c r="O906" s="222">
        <v>0</v>
      </c>
      <c r="P906" s="225">
        <v>1</v>
      </c>
      <c r="Q906" s="224">
        <v>0</v>
      </c>
      <c r="R906" s="222">
        <v>19.16</v>
      </c>
      <c r="S906" s="226" t="str">
        <f>IFERROR(_xlfn.XLOOKUP(R906,'1_Presupuesto'!$E:$E,'1_Presupuesto'!$D:$D),"")</f>
        <v>-</v>
      </c>
    </row>
    <row r="907" spans="1:19" ht="14.25" customHeight="1" x14ac:dyDescent="0.35">
      <c r="A907" s="222" t="s">
        <v>2666</v>
      </c>
      <c r="B907" s="222" t="s">
        <v>639</v>
      </c>
      <c r="C907" s="222" t="s">
        <v>640</v>
      </c>
      <c r="D907" s="222" t="s">
        <v>2670</v>
      </c>
      <c r="E907" s="222" t="s">
        <v>2671</v>
      </c>
      <c r="F907" s="222" t="s">
        <v>643</v>
      </c>
      <c r="G907" s="223">
        <v>1</v>
      </c>
      <c r="H907" s="222">
        <v>0</v>
      </c>
      <c r="I907" s="224">
        <v>2426198.4750000001</v>
      </c>
      <c r="J907" s="224">
        <v>2426198.4750000001</v>
      </c>
      <c r="K907" s="222" t="s">
        <v>2672</v>
      </c>
      <c r="L907" s="222">
        <v>1</v>
      </c>
      <c r="M907" s="222" t="s">
        <v>2673</v>
      </c>
      <c r="N907" s="222">
        <v>1</v>
      </c>
      <c r="O907" s="222">
        <v>0</v>
      </c>
      <c r="P907" s="225">
        <v>1</v>
      </c>
      <c r="Q907" s="224">
        <v>0</v>
      </c>
      <c r="R907" s="222">
        <v>19.16</v>
      </c>
      <c r="S907" s="226" t="str">
        <f>IFERROR(_xlfn.XLOOKUP(R907,'1_Presupuesto'!$E:$E,'1_Presupuesto'!$D:$D),"")</f>
        <v>-</v>
      </c>
    </row>
    <row r="908" spans="1:19" ht="14.25" customHeight="1" x14ac:dyDescent="0.35">
      <c r="A908" s="222" t="s">
        <v>2666</v>
      </c>
      <c r="B908" s="222" t="s">
        <v>13</v>
      </c>
      <c r="C908" s="222"/>
      <c r="D908" s="222" t="s">
        <v>2674</v>
      </c>
      <c r="E908" s="222" t="s">
        <v>2675</v>
      </c>
      <c r="F908" s="222"/>
      <c r="G908" s="223">
        <v>1</v>
      </c>
      <c r="H908" s="222">
        <v>0</v>
      </c>
      <c r="I908" s="224">
        <v>58228.763400000003</v>
      </c>
      <c r="J908" s="224">
        <v>58228.763400000003</v>
      </c>
      <c r="K908" s="222" t="s">
        <v>2676</v>
      </c>
      <c r="L908" s="222">
        <v>1</v>
      </c>
      <c r="M908" s="222" t="s">
        <v>2677</v>
      </c>
      <c r="N908" s="222">
        <v>1</v>
      </c>
      <c r="O908" s="222">
        <v>0</v>
      </c>
      <c r="P908" s="225">
        <v>1</v>
      </c>
      <c r="Q908" s="224">
        <v>0</v>
      </c>
      <c r="R908" s="222">
        <v>19.16</v>
      </c>
      <c r="S908" s="226" t="str">
        <f>IFERROR(_xlfn.XLOOKUP(R908,'1_Presupuesto'!$E:$E,'1_Presupuesto'!$D:$D),"")</f>
        <v>-</v>
      </c>
    </row>
    <row r="909" spans="1:19" ht="14.25" customHeight="1" x14ac:dyDescent="0.35">
      <c r="A909" s="222" t="s">
        <v>2678</v>
      </c>
      <c r="B909" s="222" t="s">
        <v>654</v>
      </c>
      <c r="C909" s="222" t="s">
        <v>640</v>
      </c>
      <c r="D909" s="222" t="s">
        <v>2679</v>
      </c>
      <c r="E909" s="222" t="s">
        <v>2680</v>
      </c>
      <c r="F909" s="222"/>
      <c r="G909" s="223">
        <v>1</v>
      </c>
      <c r="H909" s="222">
        <v>0</v>
      </c>
      <c r="I909" s="224">
        <v>2093587.3781999999</v>
      </c>
      <c r="J909" s="224">
        <v>2093587.3781999999</v>
      </c>
      <c r="K909" s="222" t="s">
        <v>2681</v>
      </c>
      <c r="L909" s="222">
        <v>1</v>
      </c>
      <c r="M909" s="222" t="s">
        <v>2682</v>
      </c>
      <c r="N909" s="222">
        <v>1</v>
      </c>
      <c r="O909" s="222">
        <v>0</v>
      </c>
      <c r="P909" s="225">
        <v>1</v>
      </c>
      <c r="Q909" s="224">
        <v>0</v>
      </c>
      <c r="R909" s="222">
        <v>19.170000000000002</v>
      </c>
      <c r="S909" s="226" t="str">
        <f>IFERROR(_xlfn.XLOOKUP(R909,'1_Presupuesto'!$E:$E,'1_Presupuesto'!$D:$D),"")</f>
        <v>-</v>
      </c>
    </row>
    <row r="910" spans="1:19" ht="14.25" customHeight="1" x14ac:dyDescent="0.35">
      <c r="A910" s="222" t="s">
        <v>2678</v>
      </c>
      <c r="B910" s="222" t="s">
        <v>639</v>
      </c>
      <c r="C910" s="222" t="s">
        <v>640</v>
      </c>
      <c r="D910" s="222" t="s">
        <v>2683</v>
      </c>
      <c r="E910" s="222" t="s">
        <v>2680</v>
      </c>
      <c r="F910" s="222" t="s">
        <v>643</v>
      </c>
      <c r="G910" s="223">
        <v>1</v>
      </c>
      <c r="H910" s="222">
        <v>0</v>
      </c>
      <c r="I910" s="224">
        <v>1987743.777</v>
      </c>
      <c r="J910" s="224">
        <v>1987743.777</v>
      </c>
      <c r="K910" s="222" t="s">
        <v>2684</v>
      </c>
      <c r="L910" s="222">
        <v>1</v>
      </c>
      <c r="M910" s="222" t="s">
        <v>2685</v>
      </c>
      <c r="N910" s="222">
        <v>1</v>
      </c>
      <c r="O910" s="222">
        <v>0</v>
      </c>
      <c r="P910" s="225">
        <v>1</v>
      </c>
      <c r="Q910" s="224">
        <v>0</v>
      </c>
      <c r="R910" s="222">
        <v>19.170000000000002</v>
      </c>
      <c r="S910" s="226" t="str">
        <f>IFERROR(_xlfn.XLOOKUP(R910,'1_Presupuesto'!$E:$E,'1_Presupuesto'!$D:$D),"")</f>
        <v>-</v>
      </c>
    </row>
    <row r="911" spans="1:19" ht="14.25" customHeight="1" x14ac:dyDescent="0.35">
      <c r="A911" s="222" t="s">
        <v>2678</v>
      </c>
      <c r="B911" s="222" t="s">
        <v>13</v>
      </c>
      <c r="C911" s="222"/>
      <c r="D911" s="222" t="s">
        <v>2686</v>
      </c>
      <c r="E911" s="222" t="s">
        <v>2687</v>
      </c>
      <c r="F911" s="222"/>
      <c r="G911" s="223">
        <v>1</v>
      </c>
      <c r="H911" s="222">
        <v>0</v>
      </c>
      <c r="I911" s="224">
        <v>61219.967299999997</v>
      </c>
      <c r="J911" s="224">
        <v>61219.967299999997</v>
      </c>
      <c r="K911" s="222" t="s">
        <v>2688</v>
      </c>
      <c r="L911" s="222">
        <v>1</v>
      </c>
      <c r="M911" s="222" t="s">
        <v>2689</v>
      </c>
      <c r="N911" s="222">
        <v>1</v>
      </c>
      <c r="O911" s="222">
        <v>0</v>
      </c>
      <c r="P911" s="225">
        <v>1</v>
      </c>
      <c r="Q911" s="224">
        <v>0</v>
      </c>
      <c r="R911" s="222">
        <v>19.170000000000002</v>
      </c>
      <c r="S911" s="226" t="str">
        <f>IFERROR(_xlfn.XLOOKUP(R911,'1_Presupuesto'!$E:$E,'1_Presupuesto'!$D:$D),"")</f>
        <v>-</v>
      </c>
    </row>
    <row r="912" spans="1:19" ht="14.25" customHeight="1" x14ac:dyDescent="0.35">
      <c r="A912" s="222" t="s">
        <v>2690</v>
      </c>
      <c r="B912" s="222" t="s">
        <v>654</v>
      </c>
      <c r="C912" s="222" t="s">
        <v>640</v>
      </c>
      <c r="D912" s="222" t="s">
        <v>2691</v>
      </c>
      <c r="E912" s="222" t="s">
        <v>239</v>
      </c>
      <c r="F912" s="222"/>
      <c r="G912" s="223">
        <v>1</v>
      </c>
      <c r="H912" s="222">
        <v>0</v>
      </c>
      <c r="I912" s="224">
        <v>6500000</v>
      </c>
      <c r="J912" s="224">
        <v>6500000</v>
      </c>
      <c r="K912" s="222" t="s">
        <v>2692</v>
      </c>
      <c r="L912" s="222">
        <v>1</v>
      </c>
      <c r="M912" s="222" t="s">
        <v>2693</v>
      </c>
      <c r="N912" s="222">
        <v>1</v>
      </c>
      <c r="O912" s="222">
        <v>0</v>
      </c>
      <c r="P912" s="225">
        <v>1</v>
      </c>
      <c r="Q912" s="224">
        <v>0</v>
      </c>
      <c r="R912" s="222">
        <v>19.18</v>
      </c>
      <c r="S912" s="226" t="str">
        <f>IFERROR(_xlfn.XLOOKUP(R912,'1_Presupuesto'!$E:$E,'1_Presupuesto'!$D:$D),"")</f>
        <v>-</v>
      </c>
    </row>
    <row r="913" spans="1:19" ht="14.25" customHeight="1" x14ac:dyDescent="0.35">
      <c r="A913" s="222" t="s">
        <v>2690</v>
      </c>
      <c r="B913" s="222" t="s">
        <v>639</v>
      </c>
      <c r="C913" s="222" t="s">
        <v>640</v>
      </c>
      <c r="D913" s="222" t="s">
        <v>2694</v>
      </c>
      <c r="E913" s="222" t="s">
        <v>239</v>
      </c>
      <c r="F913" s="222" t="s">
        <v>643</v>
      </c>
      <c r="G913" s="223">
        <v>1</v>
      </c>
      <c r="H913" s="222">
        <v>0</v>
      </c>
      <c r="I913" s="224">
        <v>6500000</v>
      </c>
      <c r="J913" s="224">
        <v>6500000</v>
      </c>
      <c r="K913" s="222" t="s">
        <v>2695</v>
      </c>
      <c r="L913" s="222">
        <v>1</v>
      </c>
      <c r="M913" s="222" t="s">
        <v>2696</v>
      </c>
      <c r="N913" s="222">
        <v>1</v>
      </c>
      <c r="O913" s="222">
        <v>0</v>
      </c>
      <c r="P913" s="225">
        <v>1</v>
      </c>
      <c r="Q913" s="224">
        <v>0</v>
      </c>
      <c r="R913" s="222">
        <v>19.18</v>
      </c>
      <c r="S913" s="226" t="str">
        <f>IFERROR(_xlfn.XLOOKUP(R913,'1_Presupuesto'!$E:$E,'1_Presupuesto'!$D:$D),"")</f>
        <v>-</v>
      </c>
    </row>
    <row r="914" spans="1:19" ht="14.25" customHeight="1" x14ac:dyDescent="0.35">
      <c r="A914" s="222" t="s">
        <v>2690</v>
      </c>
      <c r="B914" s="222" t="s">
        <v>13</v>
      </c>
      <c r="C914" s="222"/>
      <c r="D914" s="222" t="s">
        <v>2697</v>
      </c>
      <c r="E914" s="222" t="s">
        <v>2698</v>
      </c>
      <c r="F914" s="222"/>
      <c r="G914" s="223">
        <v>1</v>
      </c>
      <c r="H914" s="222">
        <v>0</v>
      </c>
      <c r="I914" s="224">
        <v>195000</v>
      </c>
      <c r="J914" s="224">
        <v>195000</v>
      </c>
      <c r="K914" s="222" t="s">
        <v>2699</v>
      </c>
      <c r="L914" s="222">
        <v>1</v>
      </c>
      <c r="M914" s="222" t="s">
        <v>2700</v>
      </c>
      <c r="N914" s="222">
        <v>1</v>
      </c>
      <c r="O914" s="222">
        <v>0</v>
      </c>
      <c r="P914" s="225">
        <v>1</v>
      </c>
      <c r="Q914" s="224">
        <v>0</v>
      </c>
      <c r="R914" s="222">
        <v>19.18</v>
      </c>
      <c r="S914" s="226" t="str">
        <f>IFERROR(_xlfn.XLOOKUP(R914,'1_Presupuesto'!$E:$E,'1_Presupuesto'!$D:$D),"")</f>
        <v>-</v>
      </c>
    </row>
    <row r="915" spans="1:19" ht="14.25" customHeight="1" x14ac:dyDescent="0.35">
      <c r="A915" s="222" t="s">
        <v>2701</v>
      </c>
      <c r="B915" s="222" t="s">
        <v>639</v>
      </c>
      <c r="C915" s="222" t="s">
        <v>640</v>
      </c>
      <c r="D915" s="222" t="s">
        <v>2702</v>
      </c>
      <c r="E915" s="222" t="s">
        <v>240</v>
      </c>
      <c r="F915" s="222" t="s">
        <v>643</v>
      </c>
      <c r="G915" s="223">
        <v>1</v>
      </c>
      <c r="H915" s="222">
        <v>0</v>
      </c>
      <c r="I915" s="224">
        <v>2925000</v>
      </c>
      <c r="J915" s="224">
        <v>2925000</v>
      </c>
      <c r="K915" s="222" t="s">
        <v>2703</v>
      </c>
      <c r="L915" s="222">
        <v>1</v>
      </c>
      <c r="M915" s="222" t="s">
        <v>2704</v>
      </c>
      <c r="N915" s="222">
        <v>1</v>
      </c>
      <c r="O915" s="222">
        <v>0</v>
      </c>
      <c r="P915" s="225">
        <v>1</v>
      </c>
      <c r="Q915" s="224">
        <v>0</v>
      </c>
      <c r="R915" s="222">
        <v>19.190000000000001</v>
      </c>
      <c r="S915" s="226" t="str">
        <f>IFERROR(_xlfn.XLOOKUP(R915,'1_Presupuesto'!$E:$E,'1_Presupuesto'!$D:$D),"")</f>
        <v>-</v>
      </c>
    </row>
    <row r="916" spans="1:19" ht="14.25" customHeight="1" x14ac:dyDescent="0.35">
      <c r="A916" s="222" t="s">
        <v>2705</v>
      </c>
      <c r="B916" s="222" t="s">
        <v>654</v>
      </c>
      <c r="C916" s="222" t="s">
        <v>640</v>
      </c>
      <c r="D916" s="222" t="s">
        <v>2706</v>
      </c>
      <c r="E916" s="222" t="s">
        <v>2707</v>
      </c>
      <c r="F916" s="222"/>
      <c r="G916" s="223">
        <v>1</v>
      </c>
      <c r="H916" s="222">
        <v>0</v>
      </c>
      <c r="I916" s="224">
        <v>375000</v>
      </c>
      <c r="J916" s="224">
        <v>375000</v>
      </c>
      <c r="K916" s="222" t="s">
        <v>2708</v>
      </c>
      <c r="L916" s="222">
        <v>1</v>
      </c>
      <c r="M916" s="222" t="s">
        <v>2709</v>
      </c>
      <c r="N916" s="222">
        <v>1</v>
      </c>
      <c r="O916" s="222">
        <v>0</v>
      </c>
      <c r="P916" s="225">
        <v>36</v>
      </c>
      <c r="Q916" s="224">
        <v>0</v>
      </c>
      <c r="R916" s="222">
        <v>20.010000000000002</v>
      </c>
      <c r="S916" s="226" t="str">
        <f>IFERROR(_xlfn.XLOOKUP(R916,'1_Presupuesto'!$E:$E,'1_Presupuesto'!$D:$D),"")</f>
        <v>-</v>
      </c>
    </row>
    <row r="917" spans="1:19" ht="14.25" customHeight="1" x14ac:dyDescent="0.35">
      <c r="A917" s="222" t="s">
        <v>2705</v>
      </c>
      <c r="B917" s="222" t="s">
        <v>639</v>
      </c>
      <c r="C917" s="222" t="s">
        <v>640</v>
      </c>
      <c r="D917" s="222" t="s">
        <v>2710</v>
      </c>
      <c r="E917" s="222" t="s">
        <v>2711</v>
      </c>
      <c r="F917" s="222" t="s">
        <v>643</v>
      </c>
      <c r="G917" s="223">
        <v>1</v>
      </c>
      <c r="H917" s="222">
        <v>0</v>
      </c>
      <c r="I917" s="224">
        <v>213888.88889999999</v>
      </c>
      <c r="J917" s="224">
        <v>213888.88889999999</v>
      </c>
      <c r="K917" s="222" t="s">
        <v>2712</v>
      </c>
      <c r="L917" s="222">
        <v>1</v>
      </c>
      <c r="M917" s="222" t="s">
        <v>2713</v>
      </c>
      <c r="N917" s="222">
        <v>1</v>
      </c>
      <c r="O917" s="222">
        <v>0</v>
      </c>
      <c r="P917" s="225">
        <v>36</v>
      </c>
      <c r="Q917" s="224">
        <v>0</v>
      </c>
      <c r="R917" s="222">
        <v>20.010000000000002</v>
      </c>
      <c r="S917" s="226" t="str">
        <f>IFERROR(_xlfn.XLOOKUP(R917,'1_Presupuesto'!$E:$E,'1_Presupuesto'!$D:$D),"")</f>
        <v>-</v>
      </c>
    </row>
    <row r="918" spans="1:19" ht="14.25" customHeight="1" x14ac:dyDescent="0.35">
      <c r="A918" s="222" t="s">
        <v>2714</v>
      </c>
      <c r="B918" s="222" t="s">
        <v>639</v>
      </c>
      <c r="C918" s="222" t="s">
        <v>640</v>
      </c>
      <c r="D918" s="222" t="s">
        <v>2715</v>
      </c>
      <c r="E918" s="222" t="s">
        <v>2716</v>
      </c>
      <c r="F918" s="222" t="s">
        <v>643</v>
      </c>
      <c r="G918" s="223">
        <v>1</v>
      </c>
      <c r="H918" s="222">
        <v>0</v>
      </c>
      <c r="I918" s="224">
        <v>189000</v>
      </c>
      <c r="J918" s="224">
        <v>189000</v>
      </c>
      <c r="K918" s="222" t="s">
        <v>2717</v>
      </c>
      <c r="L918" s="222">
        <v>1</v>
      </c>
      <c r="M918" s="222" t="s">
        <v>2718</v>
      </c>
      <c r="N918" s="222">
        <v>1</v>
      </c>
      <c r="O918" s="222">
        <v>0</v>
      </c>
      <c r="P918" s="225">
        <v>36</v>
      </c>
      <c r="Q918" s="224">
        <v>0</v>
      </c>
      <c r="R918" s="222">
        <v>20.02</v>
      </c>
      <c r="S918" s="226" t="str">
        <f>IFERROR(_xlfn.XLOOKUP(R918,'1_Presupuesto'!$E:$E,'1_Presupuesto'!$D:$D),"")</f>
        <v>-</v>
      </c>
    </row>
    <row r="919" spans="1:19" ht="14.25" customHeight="1" x14ac:dyDescent="0.35">
      <c r="A919" s="222" t="s">
        <v>2719</v>
      </c>
      <c r="B919" s="222" t="s">
        <v>639</v>
      </c>
      <c r="C919" s="222" t="s">
        <v>640</v>
      </c>
      <c r="D919" s="222" t="s">
        <v>2720</v>
      </c>
      <c r="E919" s="222" t="s">
        <v>2721</v>
      </c>
      <c r="F919" s="222" t="s">
        <v>643</v>
      </c>
      <c r="G919" s="223">
        <v>1</v>
      </c>
      <c r="H919" s="222">
        <v>0</v>
      </c>
      <c r="I919" s="224">
        <v>64400</v>
      </c>
      <c r="J919" s="224">
        <v>64400</v>
      </c>
      <c r="K919" s="222" t="s">
        <v>2722</v>
      </c>
      <c r="L919" s="222">
        <v>1</v>
      </c>
      <c r="M919" s="222" t="s">
        <v>2723</v>
      </c>
      <c r="N919" s="222">
        <v>1</v>
      </c>
      <c r="O919" s="222">
        <v>0</v>
      </c>
      <c r="P919" s="225">
        <v>16</v>
      </c>
      <c r="Q919" s="224">
        <v>0</v>
      </c>
      <c r="R919" s="222">
        <v>22.01</v>
      </c>
      <c r="S919" s="226" t="str">
        <f>IFERROR(_xlfn.XLOOKUP(R919,'1_Presupuesto'!$E:$E,'1_Presupuesto'!$D:$D),"")</f>
        <v>-</v>
      </c>
    </row>
    <row r="920" spans="1:19" ht="14.25" customHeight="1" x14ac:dyDescent="0.35">
      <c r="A920" s="222" t="s">
        <v>2724</v>
      </c>
      <c r="B920" s="222" t="s">
        <v>639</v>
      </c>
      <c r="C920" s="222" t="s">
        <v>640</v>
      </c>
      <c r="D920" s="222" t="s">
        <v>2720</v>
      </c>
      <c r="E920" s="222" t="s">
        <v>2721</v>
      </c>
      <c r="F920" s="222" t="s">
        <v>643</v>
      </c>
      <c r="G920" s="223">
        <v>1</v>
      </c>
      <c r="H920" s="222">
        <v>0</v>
      </c>
      <c r="I920" s="224">
        <v>64400</v>
      </c>
      <c r="J920" s="224">
        <v>64400</v>
      </c>
      <c r="K920" s="222" t="s">
        <v>2725</v>
      </c>
      <c r="L920" s="222">
        <v>1</v>
      </c>
      <c r="M920" s="222" t="s">
        <v>2726</v>
      </c>
      <c r="N920" s="222">
        <v>1</v>
      </c>
      <c r="O920" s="222">
        <v>0</v>
      </c>
      <c r="P920" s="225">
        <v>17</v>
      </c>
      <c r="Q920" s="224">
        <v>0</v>
      </c>
      <c r="R920" s="222">
        <v>22.02</v>
      </c>
      <c r="S920" s="226" t="str">
        <f>IFERROR(_xlfn.XLOOKUP(R920,'1_Presupuesto'!$E:$E,'1_Presupuesto'!$D:$D),"")</f>
        <v>-</v>
      </c>
    </row>
    <row r="921" spans="1:19" ht="14.25" customHeight="1" x14ac:dyDescent="0.35">
      <c r="A921" s="222" t="s">
        <v>2727</v>
      </c>
      <c r="B921" s="222" t="s">
        <v>654</v>
      </c>
      <c r="C921" s="222" t="s">
        <v>640</v>
      </c>
      <c r="D921" s="222" t="s">
        <v>1183</v>
      </c>
      <c r="E921" s="222" t="s">
        <v>1184</v>
      </c>
      <c r="F921" s="222"/>
      <c r="G921" s="223">
        <v>3.2142860000000002E-2</v>
      </c>
      <c r="H921" s="222">
        <v>0</v>
      </c>
      <c r="I921" s="224">
        <v>125000</v>
      </c>
      <c r="J921" s="224">
        <v>4017.8575000000001</v>
      </c>
      <c r="K921" s="222" t="s">
        <v>2728</v>
      </c>
      <c r="L921" s="222">
        <v>1</v>
      </c>
      <c r="M921" s="222" t="s">
        <v>2729</v>
      </c>
      <c r="N921" s="222">
        <v>1</v>
      </c>
      <c r="O921" s="222">
        <v>0</v>
      </c>
      <c r="P921" s="225">
        <v>7</v>
      </c>
      <c r="Q921" s="224">
        <v>0</v>
      </c>
      <c r="R921" s="222">
        <v>23.01</v>
      </c>
      <c r="S921" s="226" t="str">
        <f>IFERROR(_xlfn.XLOOKUP(R921,'1_Presupuesto'!$E:$E,'1_Presupuesto'!$D:$D),"")</f>
        <v>Albañilería MO</v>
      </c>
    </row>
    <row r="922" spans="1:19" ht="14.25" customHeight="1" x14ac:dyDescent="0.35">
      <c r="A922" s="222" t="s">
        <v>2727</v>
      </c>
      <c r="B922" s="222" t="s">
        <v>654</v>
      </c>
      <c r="C922" s="222" t="s">
        <v>640</v>
      </c>
      <c r="D922" s="222" t="s">
        <v>1670</v>
      </c>
      <c r="E922" s="222" t="s">
        <v>1671</v>
      </c>
      <c r="F922" s="222"/>
      <c r="G922" s="223">
        <v>2.2321420000000002E-2</v>
      </c>
      <c r="H922" s="222">
        <v>0</v>
      </c>
      <c r="I922" s="224">
        <v>75473.119999999995</v>
      </c>
      <c r="J922" s="224">
        <v>1684.6672102304001</v>
      </c>
      <c r="K922" s="222" t="s">
        <v>2728</v>
      </c>
      <c r="L922" s="222">
        <v>2</v>
      </c>
      <c r="M922" s="222" t="s">
        <v>2730</v>
      </c>
      <c r="N922" s="222">
        <v>1</v>
      </c>
      <c r="O922" s="222">
        <v>0</v>
      </c>
      <c r="P922" s="225">
        <v>7</v>
      </c>
      <c r="Q922" s="224">
        <v>0</v>
      </c>
      <c r="R922" s="222">
        <v>23.01</v>
      </c>
      <c r="S922" s="226" t="str">
        <f>IFERROR(_xlfn.XLOOKUP(R922,'1_Presupuesto'!$E:$E,'1_Presupuesto'!$D:$D),"")</f>
        <v>Albañilería MO</v>
      </c>
    </row>
    <row r="923" spans="1:19" ht="14.25" customHeight="1" x14ac:dyDescent="0.35">
      <c r="A923" s="222" t="s">
        <v>2727</v>
      </c>
      <c r="B923" s="222" t="s">
        <v>654</v>
      </c>
      <c r="C923" s="222" t="s">
        <v>719</v>
      </c>
      <c r="D923" s="222" t="s">
        <v>2731</v>
      </c>
      <c r="E923" s="222" t="s">
        <v>2732</v>
      </c>
      <c r="F923" s="222"/>
      <c r="G923" s="223">
        <v>1.28571429</v>
      </c>
      <c r="H923" s="222">
        <v>0</v>
      </c>
      <c r="I923" s="224">
        <v>6545.2008999999998</v>
      </c>
      <c r="J923" s="224">
        <v>8415.2583280508607</v>
      </c>
      <c r="K923" s="222" t="s">
        <v>2728</v>
      </c>
      <c r="L923" s="222">
        <v>3</v>
      </c>
      <c r="M923" s="222" t="s">
        <v>2733</v>
      </c>
      <c r="N923" s="222">
        <v>1</v>
      </c>
      <c r="O923" s="222">
        <v>0</v>
      </c>
      <c r="P923" s="225">
        <v>7</v>
      </c>
      <c r="Q923" s="224">
        <v>0</v>
      </c>
      <c r="R923" s="222">
        <v>23.01</v>
      </c>
      <c r="S923" s="226" t="str">
        <f>IFERROR(_xlfn.XLOOKUP(R923,'1_Presupuesto'!$E:$E,'1_Presupuesto'!$D:$D),"")</f>
        <v>Albañilería MO</v>
      </c>
    </row>
    <row r="924" spans="1:19" ht="14.25" customHeight="1" x14ac:dyDescent="0.35">
      <c r="A924" s="222" t="s">
        <v>2727</v>
      </c>
      <c r="B924" s="222" t="s">
        <v>654</v>
      </c>
      <c r="C924" s="222" t="s">
        <v>719</v>
      </c>
      <c r="D924" s="222" t="s">
        <v>2734</v>
      </c>
      <c r="E924" s="222" t="s">
        <v>2735</v>
      </c>
      <c r="F924" s="222"/>
      <c r="G924" s="223">
        <v>2.5714286</v>
      </c>
      <c r="H924" s="222">
        <v>0</v>
      </c>
      <c r="I924" s="224">
        <v>3747.8692999999998</v>
      </c>
      <c r="J924" s="224">
        <v>9637.3783070819791</v>
      </c>
      <c r="K924" s="222" t="s">
        <v>2728</v>
      </c>
      <c r="L924" s="222">
        <v>4</v>
      </c>
      <c r="M924" s="222" t="s">
        <v>2736</v>
      </c>
      <c r="N924" s="222">
        <v>1</v>
      </c>
      <c r="O924" s="222">
        <v>0</v>
      </c>
      <c r="P924" s="225">
        <v>7</v>
      </c>
      <c r="Q924" s="224">
        <v>0</v>
      </c>
      <c r="R924" s="222">
        <v>23.01</v>
      </c>
      <c r="S924" s="226" t="str">
        <f>IFERROR(_xlfn.XLOOKUP(R924,'1_Presupuesto'!$E:$E,'1_Presupuesto'!$D:$D),"")</f>
        <v>Albañilería MO</v>
      </c>
    </row>
    <row r="925" spans="1:19" ht="14.25" customHeight="1" x14ac:dyDescent="0.35">
      <c r="A925" s="222" t="s">
        <v>2727</v>
      </c>
      <c r="B925" s="222" t="s">
        <v>654</v>
      </c>
      <c r="C925" s="222" t="s">
        <v>640</v>
      </c>
      <c r="D925" s="222" t="s">
        <v>2737</v>
      </c>
      <c r="E925" s="222" t="s">
        <v>2738</v>
      </c>
      <c r="F925" s="222"/>
      <c r="G925" s="223">
        <v>67.142857669999998</v>
      </c>
      <c r="H925" s="222">
        <v>0</v>
      </c>
      <c r="I925" s="224">
        <v>417.3</v>
      </c>
      <c r="J925" s="224">
        <v>28018.714505691001</v>
      </c>
      <c r="K925" s="222" t="s">
        <v>2728</v>
      </c>
      <c r="L925" s="222">
        <v>5</v>
      </c>
      <c r="M925" s="222" t="s">
        <v>2739</v>
      </c>
      <c r="N925" s="222">
        <v>1</v>
      </c>
      <c r="O925" s="222">
        <v>0</v>
      </c>
      <c r="P925" s="225">
        <v>7</v>
      </c>
      <c r="Q925" s="224">
        <v>0</v>
      </c>
      <c r="R925" s="222">
        <v>23.01</v>
      </c>
      <c r="S925" s="226" t="str">
        <f>IFERROR(_xlfn.XLOOKUP(R925,'1_Presupuesto'!$E:$E,'1_Presupuesto'!$D:$D),"")</f>
        <v>Albañilería MO</v>
      </c>
    </row>
    <row r="926" spans="1:19" ht="14.25" customHeight="1" x14ac:dyDescent="0.35">
      <c r="A926" s="222" t="s">
        <v>2727</v>
      </c>
      <c r="B926" s="222" t="s">
        <v>654</v>
      </c>
      <c r="C926" s="222" t="s">
        <v>640</v>
      </c>
      <c r="D926" s="222" t="s">
        <v>2740</v>
      </c>
      <c r="E926" s="222" t="s">
        <v>2741</v>
      </c>
      <c r="F926" s="222"/>
      <c r="G926" s="223">
        <v>2.2857143</v>
      </c>
      <c r="H926" s="222">
        <v>0</v>
      </c>
      <c r="I926" s="224">
        <v>15474.06</v>
      </c>
      <c r="J926" s="224">
        <v>35369.280221057998</v>
      </c>
      <c r="K926" s="222" t="s">
        <v>2728</v>
      </c>
      <c r="L926" s="222">
        <v>6</v>
      </c>
      <c r="M926" s="222" t="s">
        <v>2742</v>
      </c>
      <c r="N926" s="222">
        <v>1</v>
      </c>
      <c r="O926" s="222">
        <v>0</v>
      </c>
      <c r="P926" s="225">
        <v>7</v>
      </c>
      <c r="Q926" s="224">
        <v>0</v>
      </c>
      <c r="R926" s="222">
        <v>23.01</v>
      </c>
      <c r="S926" s="226" t="str">
        <f>IFERROR(_xlfn.XLOOKUP(R926,'1_Presupuesto'!$E:$E,'1_Presupuesto'!$D:$D),"")</f>
        <v>Albañilería MO</v>
      </c>
    </row>
    <row r="927" spans="1:19" ht="14.25" customHeight="1" x14ac:dyDescent="0.35">
      <c r="A927" s="222" t="s">
        <v>2727</v>
      </c>
      <c r="B927" s="222" t="s">
        <v>654</v>
      </c>
      <c r="C927" s="222" t="s">
        <v>640</v>
      </c>
      <c r="D927" s="222" t="s">
        <v>2743</v>
      </c>
      <c r="E927" s="222" t="s">
        <v>2744</v>
      </c>
      <c r="F927" s="222"/>
      <c r="G927" s="223">
        <v>0.28571427999999999</v>
      </c>
      <c r="H927" s="222">
        <v>0</v>
      </c>
      <c r="I927" s="224">
        <v>30000</v>
      </c>
      <c r="J927" s="224">
        <v>8571.4283999999989</v>
      </c>
      <c r="K927" s="222" t="s">
        <v>2728</v>
      </c>
      <c r="L927" s="222">
        <v>7</v>
      </c>
      <c r="M927" s="222" t="s">
        <v>2745</v>
      </c>
      <c r="N927" s="222">
        <v>1</v>
      </c>
      <c r="O927" s="222">
        <v>0</v>
      </c>
      <c r="P927" s="225">
        <v>7</v>
      </c>
      <c r="Q927" s="224">
        <v>0</v>
      </c>
      <c r="R927" s="222">
        <v>23.01</v>
      </c>
      <c r="S927" s="226" t="str">
        <f>IFERROR(_xlfn.XLOOKUP(R927,'1_Presupuesto'!$E:$E,'1_Presupuesto'!$D:$D),"")</f>
        <v>Albañilería MO</v>
      </c>
    </row>
    <row r="928" spans="1:19" ht="14.25" customHeight="1" x14ac:dyDescent="0.35">
      <c r="A928" s="222" t="s">
        <v>2727</v>
      </c>
      <c r="B928" s="222" t="s">
        <v>639</v>
      </c>
      <c r="C928" s="222" t="s">
        <v>646</v>
      </c>
      <c r="D928" s="222" t="s">
        <v>683</v>
      </c>
      <c r="E928" s="222" t="s">
        <v>684</v>
      </c>
      <c r="F928" s="222" t="s">
        <v>643</v>
      </c>
      <c r="G928" s="223">
        <v>2.1428571399999998</v>
      </c>
      <c r="H928" s="222">
        <v>0</v>
      </c>
      <c r="I928" s="224">
        <v>65360.25</v>
      </c>
      <c r="J928" s="224">
        <v>140057.67838468499</v>
      </c>
      <c r="K928" s="222" t="s">
        <v>2746</v>
      </c>
      <c r="L928" s="222">
        <v>1</v>
      </c>
      <c r="M928" s="222" t="s">
        <v>2747</v>
      </c>
      <c r="N928" s="222">
        <v>1</v>
      </c>
      <c r="O928" s="222">
        <v>2.1428571399999998</v>
      </c>
      <c r="P928" s="225">
        <v>7</v>
      </c>
      <c r="Q928" s="224">
        <v>14.99999998</v>
      </c>
      <c r="R928" s="222">
        <v>23.01</v>
      </c>
      <c r="S928" s="226" t="str">
        <f>IFERROR(_xlfn.XLOOKUP(R928,'1_Presupuesto'!$E:$E,'1_Presupuesto'!$D:$D),"")</f>
        <v>Albañilería MO</v>
      </c>
    </row>
    <row r="929" spans="1:19" ht="14.25" customHeight="1" x14ac:dyDescent="0.35">
      <c r="A929" s="222" t="s">
        <v>2727</v>
      </c>
      <c r="B929" s="222" t="s">
        <v>639</v>
      </c>
      <c r="C929" s="222" t="s">
        <v>646</v>
      </c>
      <c r="D929" s="222" t="s">
        <v>647</v>
      </c>
      <c r="E929" s="222" t="s">
        <v>648</v>
      </c>
      <c r="F929" s="222" t="s">
        <v>643</v>
      </c>
      <c r="G929" s="223">
        <v>2.1428571399999998</v>
      </c>
      <c r="H929" s="222">
        <v>0</v>
      </c>
      <c r="I929" s="224">
        <v>49934.239999999998</v>
      </c>
      <c r="J929" s="224">
        <v>107001.9427144736</v>
      </c>
      <c r="K929" s="222" t="s">
        <v>2746</v>
      </c>
      <c r="L929" s="222">
        <v>2</v>
      </c>
      <c r="M929" s="222" t="s">
        <v>2748</v>
      </c>
      <c r="N929" s="222">
        <v>1</v>
      </c>
      <c r="O929" s="222">
        <v>2.1428571399999998</v>
      </c>
      <c r="P929" s="225">
        <v>7</v>
      </c>
      <c r="Q929" s="224">
        <v>14.99999998</v>
      </c>
      <c r="R929" s="222">
        <v>23.01</v>
      </c>
      <c r="S929" s="226" t="str">
        <f>IFERROR(_xlfn.XLOOKUP(R929,'1_Presupuesto'!$E:$E,'1_Presupuesto'!$D:$D),"")</f>
        <v>Albañilería MO</v>
      </c>
    </row>
    <row r="930" spans="1:19" ht="14.25" customHeight="1" x14ac:dyDescent="0.35">
      <c r="A930" s="222" t="s">
        <v>2727</v>
      </c>
      <c r="B930" s="222" t="s">
        <v>13</v>
      </c>
      <c r="C930" s="222"/>
      <c r="D930" s="222" t="s">
        <v>2749</v>
      </c>
      <c r="E930" s="222" t="s">
        <v>2750</v>
      </c>
      <c r="F930" s="222"/>
      <c r="G930" s="223">
        <v>1</v>
      </c>
      <c r="H930" s="222">
        <v>0</v>
      </c>
      <c r="I930" s="224">
        <v>5248.7557999999999</v>
      </c>
      <c r="J930" s="224">
        <v>5248.7557999999999</v>
      </c>
      <c r="K930" s="222" t="s">
        <v>2751</v>
      </c>
      <c r="L930" s="222">
        <v>1</v>
      </c>
      <c r="M930" s="222" t="s">
        <v>2752</v>
      </c>
      <c r="N930" s="222">
        <v>1</v>
      </c>
      <c r="O930" s="222">
        <v>0</v>
      </c>
      <c r="P930" s="225">
        <v>7</v>
      </c>
      <c r="Q930" s="224">
        <v>0</v>
      </c>
      <c r="R930" s="222">
        <v>23.01</v>
      </c>
      <c r="S930" s="226" t="str">
        <f>IFERROR(_xlfn.XLOOKUP(R930,'1_Presupuesto'!$E:$E,'1_Presupuesto'!$D:$D),"")</f>
        <v>Albañilería MO</v>
      </c>
    </row>
    <row r="931" spans="1:19" ht="14.25" customHeight="1" x14ac:dyDescent="0.35">
      <c r="A931" s="222" t="s">
        <v>2727</v>
      </c>
      <c r="B931" s="222" t="s">
        <v>654</v>
      </c>
      <c r="C931" s="222" t="s">
        <v>655</v>
      </c>
      <c r="D931" s="222" t="s">
        <v>656</v>
      </c>
      <c r="E931" s="222" t="s">
        <v>657</v>
      </c>
      <c r="F931" s="222"/>
      <c r="G931" s="223">
        <v>7142.8570560799999</v>
      </c>
      <c r="H931" s="222">
        <v>0</v>
      </c>
      <c r="I931" s="224">
        <v>1</v>
      </c>
      <c r="J931" s="224">
        <v>7142.8570560799999</v>
      </c>
      <c r="K931" s="222" t="s">
        <v>2728</v>
      </c>
      <c r="L931" s="222">
        <v>8</v>
      </c>
      <c r="M931" s="222" t="s">
        <v>2753</v>
      </c>
      <c r="N931" s="222">
        <v>1</v>
      </c>
      <c r="O931" s="222">
        <v>0</v>
      </c>
      <c r="P931" s="225">
        <v>7</v>
      </c>
      <c r="Q931" s="224">
        <v>0</v>
      </c>
      <c r="R931" s="222">
        <v>23.01</v>
      </c>
      <c r="S931" s="226" t="str">
        <f>IFERROR(_xlfn.XLOOKUP(R931,'1_Presupuesto'!$E:$E,'1_Presupuesto'!$D:$D),"")</f>
        <v>Albañilería MO</v>
      </c>
    </row>
    <row r="932" spans="1:19" ht="14.25" customHeight="1" x14ac:dyDescent="0.35">
      <c r="A932" s="222" t="s">
        <v>2754</v>
      </c>
      <c r="B932" s="222" t="s">
        <v>639</v>
      </c>
      <c r="C932" s="222" t="s">
        <v>646</v>
      </c>
      <c r="D932" s="222" t="s">
        <v>683</v>
      </c>
      <c r="E932" s="222" t="s">
        <v>684</v>
      </c>
      <c r="F932" s="222" t="s">
        <v>643</v>
      </c>
      <c r="G932" s="223">
        <v>5</v>
      </c>
      <c r="H932" s="222">
        <v>0</v>
      </c>
      <c r="I932" s="224">
        <v>65360.25</v>
      </c>
      <c r="J932" s="224">
        <v>326801.25</v>
      </c>
      <c r="K932" s="222" t="s">
        <v>2755</v>
      </c>
      <c r="L932" s="222">
        <v>1</v>
      </c>
      <c r="M932" s="222" t="s">
        <v>2756</v>
      </c>
      <c r="N932" s="222">
        <v>1</v>
      </c>
      <c r="O932" s="222">
        <v>5</v>
      </c>
      <c r="P932" s="225">
        <v>1</v>
      </c>
      <c r="Q932" s="224">
        <v>5</v>
      </c>
      <c r="R932" s="222">
        <v>23.02</v>
      </c>
      <c r="S932" s="226" t="str">
        <f>IFERROR(_xlfn.XLOOKUP(R932,'1_Presupuesto'!$E:$E,'1_Presupuesto'!$D:$D),"")</f>
        <v>Albañilería MO</v>
      </c>
    </row>
    <row r="933" spans="1:19" ht="14.25" customHeight="1" x14ac:dyDescent="0.35">
      <c r="A933" s="222" t="s">
        <v>2754</v>
      </c>
      <c r="B933" s="222" t="s">
        <v>13</v>
      </c>
      <c r="C933" s="222"/>
      <c r="D933" s="222" t="s">
        <v>2757</v>
      </c>
      <c r="E933" s="222" t="s">
        <v>2758</v>
      </c>
      <c r="F933" s="222"/>
      <c r="G933" s="223">
        <v>1</v>
      </c>
      <c r="H933" s="222">
        <v>0</v>
      </c>
      <c r="I933" s="224">
        <v>7902.0186000000003</v>
      </c>
      <c r="J933" s="224">
        <v>7902.0186000000003</v>
      </c>
      <c r="K933" s="222" t="s">
        <v>2759</v>
      </c>
      <c r="L933" s="222">
        <v>1</v>
      </c>
      <c r="M933" s="222" t="s">
        <v>2760</v>
      </c>
      <c r="N933" s="222">
        <v>1</v>
      </c>
      <c r="O933" s="222">
        <v>0</v>
      </c>
      <c r="P933" s="225">
        <v>1</v>
      </c>
      <c r="Q933" s="224">
        <v>0</v>
      </c>
      <c r="R933" s="222">
        <v>23.02</v>
      </c>
      <c r="S933" s="226" t="str">
        <f>IFERROR(_xlfn.XLOOKUP(R933,'1_Presupuesto'!$E:$E,'1_Presupuesto'!$D:$D),"")</f>
        <v>Albañilería MO</v>
      </c>
    </row>
    <row r="934" spans="1:19" ht="14.25" customHeight="1" x14ac:dyDescent="0.35">
      <c r="A934" s="222" t="s">
        <v>2754</v>
      </c>
      <c r="B934" s="222" t="s">
        <v>654</v>
      </c>
      <c r="C934" s="222" t="s">
        <v>655</v>
      </c>
      <c r="D934" s="222" t="s">
        <v>656</v>
      </c>
      <c r="E934" s="222" t="s">
        <v>657</v>
      </c>
      <c r="F934" s="222"/>
      <c r="G934" s="223">
        <v>200000</v>
      </c>
      <c r="H934" s="222">
        <v>0</v>
      </c>
      <c r="I934" s="224">
        <v>1</v>
      </c>
      <c r="J934" s="224">
        <v>200000</v>
      </c>
      <c r="K934" s="222" t="s">
        <v>2761</v>
      </c>
      <c r="L934" s="222">
        <v>1</v>
      </c>
      <c r="M934" s="222" t="s">
        <v>2762</v>
      </c>
      <c r="N934" s="222">
        <v>1</v>
      </c>
      <c r="O934" s="222">
        <v>0</v>
      </c>
      <c r="P934" s="225">
        <v>1</v>
      </c>
      <c r="Q934" s="224">
        <v>0</v>
      </c>
      <c r="R934" s="222">
        <v>23.02</v>
      </c>
      <c r="S934" s="226" t="str">
        <f>IFERROR(_xlfn.XLOOKUP(R934,'1_Presupuesto'!$E:$E,'1_Presupuesto'!$D:$D),"")</f>
        <v>Albañilería MO</v>
      </c>
    </row>
    <row r="935" spans="1:19" ht="14.25" customHeight="1" x14ac:dyDescent="0.35">
      <c r="A935" s="222" t="s">
        <v>2763</v>
      </c>
      <c r="B935" s="222" t="s">
        <v>654</v>
      </c>
      <c r="C935" s="222" t="s">
        <v>640</v>
      </c>
      <c r="D935" s="222" t="s">
        <v>2764</v>
      </c>
      <c r="E935" s="222" t="s">
        <v>2765</v>
      </c>
      <c r="F935" s="222"/>
      <c r="G935" s="223">
        <v>1</v>
      </c>
      <c r="H935" s="222">
        <v>0</v>
      </c>
      <c r="I935" s="224">
        <v>253919.62650000001</v>
      </c>
      <c r="J935" s="224">
        <v>253919.62650000001</v>
      </c>
      <c r="K935" s="222" t="s">
        <v>2766</v>
      </c>
      <c r="L935" s="222">
        <v>1</v>
      </c>
      <c r="M935" s="222" t="s">
        <v>2767</v>
      </c>
      <c r="N935" s="222">
        <v>1</v>
      </c>
      <c r="O935" s="222">
        <v>0</v>
      </c>
      <c r="P935" s="225">
        <v>1</v>
      </c>
      <c r="Q935" s="224">
        <v>0</v>
      </c>
      <c r="R935" s="222">
        <v>23.03</v>
      </c>
      <c r="S935" s="226" t="str">
        <f>IFERROR(_xlfn.XLOOKUP(R935,'1_Presupuesto'!$E:$E,'1_Presupuesto'!$D:$D),"")</f>
        <v>-</v>
      </c>
    </row>
    <row r="936" spans="1:19" ht="14.25" customHeight="1" x14ac:dyDescent="0.35">
      <c r="A936" s="222" t="s">
        <v>2763</v>
      </c>
      <c r="B936" s="222" t="s">
        <v>639</v>
      </c>
      <c r="C936" s="222" t="s">
        <v>640</v>
      </c>
      <c r="D936" s="222" t="s">
        <v>2768</v>
      </c>
      <c r="E936" s="222" t="s">
        <v>2765</v>
      </c>
      <c r="F936" s="222" t="s">
        <v>643</v>
      </c>
      <c r="G936" s="223">
        <v>1</v>
      </c>
      <c r="H936" s="222">
        <v>0</v>
      </c>
      <c r="I936" s="224">
        <v>439307.50329999998</v>
      </c>
      <c r="J936" s="224">
        <v>439307.50329999998</v>
      </c>
      <c r="K936" s="222" t="s">
        <v>2769</v>
      </c>
      <c r="L936" s="222">
        <v>1</v>
      </c>
      <c r="M936" s="222" t="s">
        <v>2770</v>
      </c>
      <c r="N936" s="222">
        <v>1</v>
      </c>
      <c r="O936" s="222">
        <v>0</v>
      </c>
      <c r="P936" s="225">
        <v>1</v>
      </c>
      <c r="Q936" s="224">
        <v>0</v>
      </c>
      <c r="R936" s="222">
        <v>23.03</v>
      </c>
      <c r="S936" s="226" t="str">
        <f>IFERROR(_xlfn.XLOOKUP(R936,'1_Presupuesto'!$E:$E,'1_Presupuesto'!$D:$D),"")</f>
        <v>-</v>
      </c>
    </row>
    <row r="937" spans="1:19" ht="14.25" customHeight="1" x14ac:dyDescent="0.35">
      <c r="A937" s="222" t="s">
        <v>2771</v>
      </c>
      <c r="B937" s="222" t="s">
        <v>639</v>
      </c>
      <c r="C937" s="222" t="s">
        <v>640</v>
      </c>
      <c r="D937" s="222" t="s">
        <v>2772</v>
      </c>
      <c r="E937" s="222" t="s">
        <v>2773</v>
      </c>
      <c r="F937" s="222" t="s">
        <v>643</v>
      </c>
      <c r="G937" s="223">
        <v>1</v>
      </c>
      <c r="H937" s="222">
        <v>0</v>
      </c>
      <c r="I937" s="224">
        <v>599210.84669999999</v>
      </c>
      <c r="J937" s="224">
        <v>599210.84669999999</v>
      </c>
      <c r="K937" s="222" t="s">
        <v>2774</v>
      </c>
      <c r="L937" s="222">
        <v>1</v>
      </c>
      <c r="M937" s="222" t="s">
        <v>2775</v>
      </c>
      <c r="N937" s="222">
        <v>1</v>
      </c>
      <c r="O937" s="222">
        <v>0</v>
      </c>
      <c r="P937" s="225">
        <v>14</v>
      </c>
      <c r="Q937" s="224">
        <v>0</v>
      </c>
      <c r="R937" s="222">
        <v>24.01</v>
      </c>
      <c r="S937" s="226" t="str">
        <f>IFERROR(_xlfn.XLOOKUP(R937,'1_Presupuesto'!$E:$E,'1_Presupuesto'!$D:$D),"")</f>
        <v>-</v>
      </c>
    </row>
    <row r="938" spans="1:19" ht="14.25" customHeight="1" x14ac:dyDescent="0.35">
      <c r="A938" s="222" t="s">
        <v>2776</v>
      </c>
      <c r="B938" s="222" t="s">
        <v>639</v>
      </c>
      <c r="C938" s="222" t="s">
        <v>640</v>
      </c>
      <c r="D938" s="222" t="s">
        <v>2777</v>
      </c>
      <c r="E938" s="222" t="s">
        <v>2778</v>
      </c>
      <c r="F938" s="222" t="s">
        <v>643</v>
      </c>
      <c r="G938" s="223">
        <v>1</v>
      </c>
      <c r="H938" s="222">
        <v>0</v>
      </c>
      <c r="I938" s="224">
        <v>1547376.3492000001</v>
      </c>
      <c r="J938" s="224">
        <v>1547376.3492000001</v>
      </c>
      <c r="K938" s="222" t="s">
        <v>2779</v>
      </c>
      <c r="L938" s="222">
        <v>1</v>
      </c>
      <c r="M938" s="222" t="s">
        <v>2780</v>
      </c>
      <c r="N938" s="222">
        <v>1</v>
      </c>
      <c r="O938" s="222">
        <v>0</v>
      </c>
      <c r="P938" s="225">
        <v>4</v>
      </c>
      <c r="Q938" s="224">
        <v>0</v>
      </c>
      <c r="R938" s="222">
        <v>24.02</v>
      </c>
      <c r="S938" s="226" t="str">
        <f>IFERROR(_xlfn.XLOOKUP(R938,'1_Presupuesto'!$E:$E,'1_Presupuesto'!$D:$D),"")</f>
        <v>-</v>
      </c>
    </row>
    <row r="939" spans="1:19" ht="14.25" customHeight="1" x14ac:dyDescent="0.35">
      <c r="A939" s="222" t="s">
        <v>2781</v>
      </c>
      <c r="B939" s="222" t="s">
        <v>639</v>
      </c>
      <c r="C939" s="222" t="s">
        <v>640</v>
      </c>
      <c r="D939" s="222" t="s">
        <v>2782</v>
      </c>
      <c r="E939" s="222" t="s">
        <v>2783</v>
      </c>
      <c r="F939" s="222" t="s">
        <v>643</v>
      </c>
      <c r="G939" s="223">
        <v>1</v>
      </c>
      <c r="H939" s="222">
        <v>0</v>
      </c>
      <c r="I939" s="224">
        <v>150000</v>
      </c>
      <c r="J939" s="224">
        <v>150000</v>
      </c>
      <c r="K939" s="222" t="s">
        <v>2784</v>
      </c>
      <c r="L939" s="222">
        <v>1</v>
      </c>
      <c r="M939" s="222" t="s">
        <v>2785</v>
      </c>
      <c r="N939" s="222">
        <v>1</v>
      </c>
      <c r="O939" s="222">
        <v>0</v>
      </c>
      <c r="P939" s="225">
        <v>14</v>
      </c>
      <c r="Q939" s="224">
        <v>0</v>
      </c>
      <c r="R939" s="222">
        <v>24.03</v>
      </c>
      <c r="S939" s="226" t="str">
        <f>IFERROR(_xlfn.XLOOKUP(R939,'1_Presupuesto'!$E:$E,'1_Presupuesto'!$D:$D),"")</f>
        <v>-</v>
      </c>
    </row>
    <row r="940" spans="1:19" ht="14.25" customHeight="1" x14ac:dyDescent="0.35">
      <c r="A940" s="222" t="s">
        <v>2786</v>
      </c>
      <c r="B940" s="222" t="s">
        <v>654</v>
      </c>
      <c r="C940" s="222" t="s">
        <v>640</v>
      </c>
      <c r="D940" s="222" t="s">
        <v>2787</v>
      </c>
      <c r="E940" s="222" t="s">
        <v>2788</v>
      </c>
      <c r="F940" s="222"/>
      <c r="G940" s="223">
        <v>82</v>
      </c>
      <c r="H940" s="222">
        <v>0</v>
      </c>
      <c r="I940" s="224">
        <v>25783.917300000001</v>
      </c>
      <c r="J940" s="224">
        <v>2114281.2185999998</v>
      </c>
      <c r="K940" s="222" t="s">
        <v>2789</v>
      </c>
      <c r="L940" s="222">
        <v>1</v>
      </c>
      <c r="M940" s="222" t="s">
        <v>2790</v>
      </c>
      <c r="N940" s="222">
        <v>1</v>
      </c>
      <c r="O940" s="222">
        <v>0</v>
      </c>
      <c r="P940" s="225">
        <v>1</v>
      </c>
      <c r="Q940" s="224">
        <v>0</v>
      </c>
      <c r="R940" s="222">
        <v>24.04</v>
      </c>
      <c r="S940" s="226" t="str">
        <f>IFERROR(_xlfn.XLOOKUP(R940,'1_Presupuesto'!$E:$E,'1_Presupuesto'!$D:$D),"")</f>
        <v>Albañilería MO</v>
      </c>
    </row>
    <row r="941" spans="1:19" ht="14.25" customHeight="1" x14ac:dyDescent="0.35">
      <c r="A941" s="222" t="s">
        <v>2786</v>
      </c>
      <c r="B941" s="222" t="s">
        <v>654</v>
      </c>
      <c r="C941" s="222" t="s">
        <v>640</v>
      </c>
      <c r="D941" s="222" t="s">
        <v>2791</v>
      </c>
      <c r="E941" s="222" t="s">
        <v>704</v>
      </c>
      <c r="F941" s="222"/>
      <c r="G941" s="223">
        <v>108</v>
      </c>
      <c r="H941" s="222">
        <v>0</v>
      </c>
      <c r="I941" s="224">
        <v>1294.6320000000001</v>
      </c>
      <c r="J941" s="224">
        <v>139820.25599999999</v>
      </c>
      <c r="K941" s="222" t="s">
        <v>2789</v>
      </c>
      <c r="L941" s="222">
        <v>2</v>
      </c>
      <c r="M941" s="222" t="s">
        <v>2792</v>
      </c>
      <c r="N941" s="222">
        <v>1</v>
      </c>
      <c r="O941" s="222">
        <v>0</v>
      </c>
      <c r="P941" s="225">
        <v>1</v>
      </c>
      <c r="Q941" s="224">
        <v>0</v>
      </c>
      <c r="R941" s="222">
        <v>24.04</v>
      </c>
      <c r="S941" s="226" t="str">
        <f>IFERROR(_xlfn.XLOOKUP(R941,'1_Presupuesto'!$E:$E,'1_Presupuesto'!$D:$D),"")</f>
        <v>Albañilería MO</v>
      </c>
    </row>
    <row r="942" spans="1:19" ht="14.25" customHeight="1" x14ac:dyDescent="0.35">
      <c r="A942" s="222" t="s">
        <v>2786</v>
      </c>
      <c r="B942" s="222" t="s">
        <v>654</v>
      </c>
      <c r="C942" s="222" t="s">
        <v>640</v>
      </c>
      <c r="D942" s="222" t="s">
        <v>2793</v>
      </c>
      <c r="E942" s="222" t="s">
        <v>707</v>
      </c>
      <c r="F942" s="222"/>
      <c r="G942" s="223">
        <v>46</v>
      </c>
      <c r="H942" s="222">
        <v>0</v>
      </c>
      <c r="I942" s="224">
        <v>2912.9520000000002</v>
      </c>
      <c r="J942" s="224">
        <v>133995.79199999999</v>
      </c>
      <c r="K942" s="222" t="s">
        <v>2789</v>
      </c>
      <c r="L942" s="222">
        <v>3</v>
      </c>
      <c r="M942" s="222" t="s">
        <v>2794</v>
      </c>
      <c r="N942" s="222">
        <v>1</v>
      </c>
      <c r="O942" s="222">
        <v>0</v>
      </c>
      <c r="P942" s="225">
        <v>1</v>
      </c>
      <c r="Q942" s="224">
        <v>0</v>
      </c>
      <c r="R942" s="222">
        <v>24.04</v>
      </c>
      <c r="S942" s="226" t="str">
        <f>IFERROR(_xlfn.XLOOKUP(R942,'1_Presupuesto'!$E:$E,'1_Presupuesto'!$D:$D),"")</f>
        <v>Albañilería MO</v>
      </c>
    </row>
    <row r="943" spans="1:19" ht="14.25" customHeight="1" x14ac:dyDescent="0.35">
      <c r="A943" s="222" t="s">
        <v>2786</v>
      </c>
      <c r="B943" s="222" t="s">
        <v>639</v>
      </c>
      <c r="C943" s="222" t="s">
        <v>646</v>
      </c>
      <c r="D943" s="222" t="s">
        <v>723</v>
      </c>
      <c r="E943" s="222" t="s">
        <v>724</v>
      </c>
      <c r="F943" s="222" t="s">
        <v>643</v>
      </c>
      <c r="G943" s="223">
        <v>4</v>
      </c>
      <c r="H943" s="222">
        <v>0</v>
      </c>
      <c r="I943" s="224">
        <v>75113.05</v>
      </c>
      <c r="J943" s="224">
        <v>300452.2</v>
      </c>
      <c r="K943" s="222" t="s">
        <v>2795</v>
      </c>
      <c r="L943" s="222">
        <v>1</v>
      </c>
      <c r="M943" s="222" t="s">
        <v>2796</v>
      </c>
      <c r="N943" s="222">
        <v>1</v>
      </c>
      <c r="O943" s="222">
        <v>4</v>
      </c>
      <c r="P943" s="225">
        <v>1</v>
      </c>
      <c r="Q943" s="224">
        <v>4</v>
      </c>
      <c r="R943" s="222">
        <v>24.04</v>
      </c>
      <c r="S943" s="226" t="str">
        <f>IFERROR(_xlfn.XLOOKUP(R943,'1_Presupuesto'!$E:$E,'1_Presupuesto'!$D:$D),"")</f>
        <v>Albañilería MO</v>
      </c>
    </row>
    <row r="944" spans="1:19" ht="14.25" customHeight="1" x14ac:dyDescent="0.35">
      <c r="A944" s="222" t="s">
        <v>2786</v>
      </c>
      <c r="B944" s="222" t="s">
        <v>639</v>
      </c>
      <c r="C944" s="222" t="s">
        <v>646</v>
      </c>
      <c r="D944" s="222" t="s">
        <v>683</v>
      </c>
      <c r="E944" s="222" t="s">
        <v>684</v>
      </c>
      <c r="F944" s="222" t="s">
        <v>643</v>
      </c>
      <c r="G944" s="223">
        <v>8</v>
      </c>
      <c r="H944" s="222">
        <v>0</v>
      </c>
      <c r="I944" s="224">
        <v>65360.25</v>
      </c>
      <c r="J944" s="224">
        <v>522882</v>
      </c>
      <c r="K944" s="222" t="s">
        <v>2795</v>
      </c>
      <c r="L944" s="222">
        <v>2</v>
      </c>
      <c r="M944" s="222" t="s">
        <v>2797</v>
      </c>
      <c r="N944" s="222">
        <v>1</v>
      </c>
      <c r="O944" s="222">
        <v>8</v>
      </c>
      <c r="P944" s="225">
        <v>1</v>
      </c>
      <c r="Q944" s="224">
        <v>8</v>
      </c>
      <c r="R944" s="222">
        <v>24.04</v>
      </c>
      <c r="S944" s="226" t="str">
        <f>IFERROR(_xlfn.XLOOKUP(R944,'1_Presupuesto'!$E:$E,'1_Presupuesto'!$D:$D),"")</f>
        <v>Albañilería MO</v>
      </c>
    </row>
    <row r="945" spans="1:19" ht="14.25" customHeight="1" x14ac:dyDescent="0.35">
      <c r="A945" s="222" t="s">
        <v>2786</v>
      </c>
      <c r="B945" s="222" t="s">
        <v>639</v>
      </c>
      <c r="C945" s="222" t="s">
        <v>646</v>
      </c>
      <c r="D945" s="222" t="s">
        <v>647</v>
      </c>
      <c r="E945" s="222" t="s">
        <v>648</v>
      </c>
      <c r="F945" s="222" t="s">
        <v>643</v>
      </c>
      <c r="G945" s="223">
        <v>8</v>
      </c>
      <c r="H945" s="222">
        <v>0</v>
      </c>
      <c r="I945" s="224">
        <v>49934.239999999998</v>
      </c>
      <c r="J945" s="224">
        <v>399473.91999999998</v>
      </c>
      <c r="K945" s="222" t="s">
        <v>2795</v>
      </c>
      <c r="L945" s="222">
        <v>3</v>
      </c>
      <c r="M945" s="222" t="s">
        <v>2798</v>
      </c>
      <c r="N945" s="222">
        <v>1</v>
      </c>
      <c r="O945" s="222">
        <v>8</v>
      </c>
      <c r="P945" s="225">
        <v>1</v>
      </c>
      <c r="Q945" s="224">
        <v>8</v>
      </c>
      <c r="R945" s="222">
        <v>24.04</v>
      </c>
      <c r="S945" s="226" t="str">
        <f>IFERROR(_xlfn.XLOOKUP(R945,'1_Presupuesto'!$E:$E,'1_Presupuesto'!$D:$D),"")</f>
        <v>Albañilería MO</v>
      </c>
    </row>
    <row r="946" spans="1:19" ht="14.25" customHeight="1" x14ac:dyDescent="0.35">
      <c r="A946" s="222" t="s">
        <v>2786</v>
      </c>
      <c r="B946" s="222" t="s">
        <v>13</v>
      </c>
      <c r="C946" s="222"/>
      <c r="D946" s="222" t="s">
        <v>2799</v>
      </c>
      <c r="E946" s="222" t="s">
        <v>2800</v>
      </c>
      <c r="F946" s="222"/>
      <c r="G946" s="223">
        <v>1</v>
      </c>
      <c r="H946" s="222">
        <v>0</v>
      </c>
      <c r="I946" s="224">
        <v>54163.580199999997</v>
      </c>
      <c r="J946" s="224">
        <v>54163.580199999997</v>
      </c>
      <c r="K946" s="222" t="s">
        <v>2801</v>
      </c>
      <c r="L946" s="222">
        <v>1</v>
      </c>
      <c r="M946" s="222" t="s">
        <v>2802</v>
      </c>
      <c r="N946" s="222">
        <v>1</v>
      </c>
      <c r="O946" s="222">
        <v>0</v>
      </c>
      <c r="P946" s="225">
        <v>1</v>
      </c>
      <c r="Q946" s="224">
        <v>0</v>
      </c>
      <c r="R946" s="222">
        <v>24.04</v>
      </c>
      <c r="S946" s="226" t="str">
        <f>IFERROR(_xlfn.XLOOKUP(R946,'1_Presupuesto'!$E:$E,'1_Presupuesto'!$D:$D),"")</f>
        <v>Albañilería MO</v>
      </c>
    </row>
    <row r="947" spans="1:19" ht="14.25" customHeight="1" x14ac:dyDescent="0.35">
      <c r="A947" s="222" t="s">
        <v>2803</v>
      </c>
      <c r="B947" s="222" t="s">
        <v>654</v>
      </c>
      <c r="C947" s="222" t="s">
        <v>719</v>
      </c>
      <c r="D947" s="222" t="s">
        <v>2804</v>
      </c>
      <c r="E947" s="222" t="s">
        <v>2805</v>
      </c>
      <c r="F947" s="222"/>
      <c r="G947" s="223">
        <v>1</v>
      </c>
      <c r="H947" s="222">
        <v>0</v>
      </c>
      <c r="I947" s="224">
        <v>50000</v>
      </c>
      <c r="J947" s="224">
        <v>50000</v>
      </c>
      <c r="K947" s="222" t="s">
        <v>2806</v>
      </c>
      <c r="L947" s="222">
        <v>1</v>
      </c>
      <c r="M947" s="222" t="s">
        <v>2807</v>
      </c>
      <c r="N947" s="222">
        <v>1</v>
      </c>
      <c r="O947" s="222">
        <v>0</v>
      </c>
      <c r="P947" s="225">
        <v>14</v>
      </c>
      <c r="Q947" s="224">
        <v>0</v>
      </c>
      <c r="R947" s="222">
        <v>24.05</v>
      </c>
      <c r="S947" s="226" t="str">
        <f>IFERROR(_xlfn.XLOOKUP(R947,'1_Presupuesto'!$E:$E,'1_Presupuesto'!$D:$D),"")</f>
        <v>Albañilería MO</v>
      </c>
    </row>
    <row r="948" spans="1:19" ht="14.25" customHeight="1" x14ac:dyDescent="0.35">
      <c r="A948" s="222" t="s">
        <v>2803</v>
      </c>
      <c r="B948" s="222" t="s">
        <v>639</v>
      </c>
      <c r="C948" s="222" t="s">
        <v>646</v>
      </c>
      <c r="D948" s="222" t="s">
        <v>683</v>
      </c>
      <c r="E948" s="222" t="s">
        <v>684</v>
      </c>
      <c r="F948" s="222" t="s">
        <v>643</v>
      </c>
      <c r="G948" s="223">
        <v>3</v>
      </c>
      <c r="H948" s="222">
        <v>0</v>
      </c>
      <c r="I948" s="224">
        <v>65360.25</v>
      </c>
      <c r="J948" s="224">
        <v>196080.75</v>
      </c>
      <c r="K948" s="222" t="s">
        <v>2808</v>
      </c>
      <c r="L948" s="222">
        <v>1</v>
      </c>
      <c r="M948" s="222" t="s">
        <v>2809</v>
      </c>
      <c r="N948" s="222">
        <v>1</v>
      </c>
      <c r="O948" s="222">
        <v>3</v>
      </c>
      <c r="P948" s="225">
        <v>14</v>
      </c>
      <c r="Q948" s="224">
        <v>42</v>
      </c>
      <c r="R948" s="222">
        <v>24.05</v>
      </c>
      <c r="S948" s="226" t="str">
        <f>IFERROR(_xlfn.XLOOKUP(R948,'1_Presupuesto'!$E:$E,'1_Presupuesto'!$D:$D),"")</f>
        <v>Albañilería MO</v>
      </c>
    </row>
    <row r="949" spans="1:19" ht="14.25" customHeight="1" x14ac:dyDescent="0.35">
      <c r="A949" s="222" t="s">
        <v>2803</v>
      </c>
      <c r="B949" s="222" t="s">
        <v>639</v>
      </c>
      <c r="C949" s="222" t="s">
        <v>646</v>
      </c>
      <c r="D949" s="222" t="s">
        <v>647</v>
      </c>
      <c r="E949" s="222" t="s">
        <v>648</v>
      </c>
      <c r="F949" s="222" t="s">
        <v>643</v>
      </c>
      <c r="G949" s="223">
        <v>6</v>
      </c>
      <c r="H949" s="222">
        <v>0</v>
      </c>
      <c r="I949" s="224">
        <v>49934.239999999998</v>
      </c>
      <c r="J949" s="224">
        <v>299605.44</v>
      </c>
      <c r="K949" s="222" t="s">
        <v>2808</v>
      </c>
      <c r="L949" s="222">
        <v>2</v>
      </c>
      <c r="M949" s="222" t="s">
        <v>2810</v>
      </c>
      <c r="N949" s="222">
        <v>1</v>
      </c>
      <c r="O949" s="222">
        <v>6</v>
      </c>
      <c r="P949" s="225">
        <v>14</v>
      </c>
      <c r="Q949" s="224">
        <v>84</v>
      </c>
      <c r="R949" s="222">
        <v>24.05</v>
      </c>
      <c r="S949" s="226" t="str">
        <f>IFERROR(_xlfn.XLOOKUP(R949,'1_Presupuesto'!$E:$E,'1_Presupuesto'!$D:$D),"")</f>
        <v>Albañilería MO</v>
      </c>
    </row>
    <row r="950" spans="1:19" ht="14.25" customHeight="1" x14ac:dyDescent="0.35">
      <c r="A950" s="222" t="s">
        <v>2803</v>
      </c>
      <c r="B950" s="222" t="s">
        <v>13</v>
      </c>
      <c r="C950" s="222"/>
      <c r="D950" s="222" t="s">
        <v>2811</v>
      </c>
      <c r="E950" s="222" t="s">
        <v>2812</v>
      </c>
      <c r="F950" s="222"/>
      <c r="G950" s="223">
        <v>1</v>
      </c>
      <c r="H950" s="222">
        <v>0</v>
      </c>
      <c r="I950" s="224">
        <v>8185.2924999999996</v>
      </c>
      <c r="J950" s="224">
        <v>8185.2924999999996</v>
      </c>
      <c r="K950" s="222" t="s">
        <v>2813</v>
      </c>
      <c r="L950" s="222">
        <v>1</v>
      </c>
      <c r="M950" s="222" t="s">
        <v>2814</v>
      </c>
      <c r="N950" s="222">
        <v>1</v>
      </c>
      <c r="O950" s="222">
        <v>0</v>
      </c>
      <c r="P950" s="225">
        <v>14</v>
      </c>
      <c r="Q950" s="224">
        <v>0</v>
      </c>
      <c r="R950" s="222">
        <v>24.05</v>
      </c>
      <c r="S950" s="226" t="str">
        <f>IFERROR(_xlfn.XLOOKUP(R950,'1_Presupuesto'!$E:$E,'1_Presupuesto'!$D:$D),"")</f>
        <v>Albañilería MO</v>
      </c>
    </row>
    <row r="951" spans="1:19" ht="14.25" customHeight="1" x14ac:dyDescent="0.35">
      <c r="A951" s="222" t="s">
        <v>2815</v>
      </c>
      <c r="B951" s="222" t="s">
        <v>654</v>
      </c>
      <c r="C951" s="222" t="s">
        <v>719</v>
      </c>
      <c r="D951" s="222" t="s">
        <v>2816</v>
      </c>
      <c r="E951" s="222" t="s">
        <v>2805</v>
      </c>
      <c r="F951" s="222"/>
      <c r="G951" s="223">
        <v>1</v>
      </c>
      <c r="H951" s="222">
        <v>0</v>
      </c>
      <c r="I951" s="224">
        <v>25000</v>
      </c>
      <c r="J951" s="224">
        <v>25000</v>
      </c>
      <c r="K951" s="222" t="s">
        <v>2817</v>
      </c>
      <c r="L951" s="222">
        <v>1</v>
      </c>
      <c r="M951" s="222" t="s">
        <v>2818</v>
      </c>
      <c r="N951" s="222">
        <v>1</v>
      </c>
      <c r="O951" s="222">
        <v>0</v>
      </c>
      <c r="P951" s="225">
        <v>14</v>
      </c>
      <c r="Q951" s="224">
        <v>0</v>
      </c>
      <c r="R951" s="222">
        <v>24.06</v>
      </c>
      <c r="S951" s="226" t="str">
        <f>IFERROR(_xlfn.XLOOKUP(R951,'1_Presupuesto'!$E:$E,'1_Presupuesto'!$D:$D),"")</f>
        <v>Albañilería MO</v>
      </c>
    </row>
    <row r="952" spans="1:19" ht="14.25" customHeight="1" x14ac:dyDescent="0.35">
      <c r="A952" s="222" t="s">
        <v>2815</v>
      </c>
      <c r="B952" s="222" t="s">
        <v>639</v>
      </c>
      <c r="C952" s="222" t="s">
        <v>646</v>
      </c>
      <c r="D952" s="222" t="s">
        <v>647</v>
      </c>
      <c r="E952" s="222" t="s">
        <v>648</v>
      </c>
      <c r="F952" s="222" t="s">
        <v>643</v>
      </c>
      <c r="G952" s="223">
        <v>6.6</v>
      </c>
      <c r="H952" s="222">
        <v>0</v>
      </c>
      <c r="I952" s="224">
        <v>49934.239999999998</v>
      </c>
      <c r="J952" s="224">
        <v>329565.984</v>
      </c>
      <c r="K952" s="222" t="s">
        <v>2819</v>
      </c>
      <c r="L952" s="222">
        <v>1</v>
      </c>
      <c r="M952" s="222" t="s">
        <v>2820</v>
      </c>
      <c r="N952" s="222">
        <v>1</v>
      </c>
      <c r="O952" s="222">
        <v>6.6</v>
      </c>
      <c r="P952" s="225">
        <v>14</v>
      </c>
      <c r="Q952" s="224">
        <v>92.4</v>
      </c>
      <c r="R952" s="222">
        <v>24.06</v>
      </c>
      <c r="S952" s="226" t="str">
        <f>IFERROR(_xlfn.XLOOKUP(R952,'1_Presupuesto'!$E:$E,'1_Presupuesto'!$D:$D),"")</f>
        <v>Albañilería MO</v>
      </c>
    </row>
    <row r="953" spans="1:19" ht="14.25" customHeight="1" x14ac:dyDescent="0.35">
      <c r="A953" s="222" t="s">
        <v>2815</v>
      </c>
      <c r="B953" s="222" t="s">
        <v>13</v>
      </c>
      <c r="C953" s="222"/>
      <c r="D953" s="222" t="s">
        <v>2821</v>
      </c>
      <c r="E953" s="222" t="s">
        <v>2822</v>
      </c>
      <c r="F953" s="222"/>
      <c r="G953" s="223">
        <v>1</v>
      </c>
      <c r="H953" s="222">
        <v>0</v>
      </c>
      <c r="I953" s="224">
        <v>5318.4894999999997</v>
      </c>
      <c r="J953" s="224">
        <v>5318.4894999999997</v>
      </c>
      <c r="K953" s="222" t="s">
        <v>2823</v>
      </c>
      <c r="L953" s="222">
        <v>1</v>
      </c>
      <c r="M953" s="222" t="s">
        <v>2824</v>
      </c>
      <c r="N953" s="222">
        <v>1</v>
      </c>
      <c r="O953" s="222">
        <v>0</v>
      </c>
      <c r="P953" s="225">
        <v>14</v>
      </c>
      <c r="Q953" s="224">
        <v>0</v>
      </c>
      <c r="R953" s="222">
        <v>24.06</v>
      </c>
      <c r="S953" s="226" t="str">
        <f>IFERROR(_xlfn.XLOOKUP(R953,'1_Presupuesto'!$E:$E,'1_Presupuesto'!$D:$D),"")</f>
        <v>Albañilería MO</v>
      </c>
    </row>
    <row r="954" spans="1:19" ht="14.25" customHeight="1" x14ac:dyDescent="0.35">
      <c r="A954" s="222" t="s">
        <v>2825</v>
      </c>
      <c r="B954" s="222" t="s">
        <v>639</v>
      </c>
      <c r="C954" s="222" t="s">
        <v>640</v>
      </c>
      <c r="D954" s="222" t="s">
        <v>2826</v>
      </c>
      <c r="E954" s="222" t="s">
        <v>82</v>
      </c>
      <c r="F954" s="222" t="s">
        <v>643</v>
      </c>
      <c r="G954" s="223">
        <v>1</v>
      </c>
      <c r="H954" s="222">
        <v>0</v>
      </c>
      <c r="I954" s="224">
        <v>250000</v>
      </c>
      <c r="J954" s="224">
        <v>250000</v>
      </c>
      <c r="K954" s="222" t="s">
        <v>2827</v>
      </c>
      <c r="L954" s="222">
        <v>1</v>
      </c>
      <c r="M954" s="222" t="s">
        <v>2828</v>
      </c>
      <c r="N954" s="222">
        <v>1</v>
      </c>
      <c r="O954" s="222">
        <v>0</v>
      </c>
      <c r="P954" s="225">
        <v>14</v>
      </c>
      <c r="Q954" s="224">
        <v>0</v>
      </c>
      <c r="R954" s="222">
        <v>24.08</v>
      </c>
      <c r="S954" s="226" t="str">
        <f>IFERROR(_xlfn.XLOOKUP(R954,'1_Presupuesto'!$E:$E,'1_Presupuesto'!$D:$D),"")</f>
        <v>-</v>
      </c>
    </row>
    <row r="955" spans="1:19" ht="14.25" customHeight="1" x14ac:dyDescent="0.35">
      <c r="A955" s="222" t="s">
        <v>2829</v>
      </c>
      <c r="B955" s="222" t="s">
        <v>654</v>
      </c>
      <c r="C955" s="222" t="s">
        <v>640</v>
      </c>
      <c r="D955" s="222" t="s">
        <v>2830</v>
      </c>
      <c r="E955" s="222" t="s">
        <v>85</v>
      </c>
      <c r="F955" s="222"/>
      <c r="G955" s="223">
        <v>1</v>
      </c>
      <c r="H955" s="222">
        <v>0</v>
      </c>
      <c r="I955" s="224">
        <v>200000</v>
      </c>
      <c r="J955" s="224">
        <v>200000</v>
      </c>
      <c r="K955" s="222" t="s">
        <v>2831</v>
      </c>
      <c r="L955" s="222">
        <v>1</v>
      </c>
      <c r="M955" s="222" t="s">
        <v>2832</v>
      </c>
      <c r="N955" s="222">
        <v>1</v>
      </c>
      <c r="O955" s="222">
        <v>0</v>
      </c>
      <c r="P955" s="225">
        <v>14</v>
      </c>
      <c r="Q955" s="224">
        <v>0</v>
      </c>
      <c r="R955" s="222">
        <v>24.1</v>
      </c>
      <c r="S955" s="226" t="str">
        <f>IFERROR(_xlfn.XLOOKUP(R955,'1_Presupuesto'!$E:$E,'1_Presupuesto'!$D:$D),"")</f>
        <v>Albañilería MO</v>
      </c>
    </row>
    <row r="956" spans="1:19" ht="14.25" customHeight="1" x14ac:dyDescent="0.35">
      <c r="A956" s="222" t="s">
        <v>2829</v>
      </c>
      <c r="B956" s="222" t="s">
        <v>639</v>
      </c>
      <c r="C956" s="222" t="s">
        <v>646</v>
      </c>
      <c r="D956" s="222" t="s">
        <v>647</v>
      </c>
      <c r="E956" s="222" t="s">
        <v>648</v>
      </c>
      <c r="F956" s="222" t="s">
        <v>643</v>
      </c>
      <c r="G956" s="223">
        <v>1</v>
      </c>
      <c r="H956" s="222">
        <v>0</v>
      </c>
      <c r="I956" s="224">
        <v>49934.239999999998</v>
      </c>
      <c r="J956" s="224">
        <v>49934.239999999998</v>
      </c>
      <c r="K956" s="222" t="s">
        <v>2833</v>
      </c>
      <c r="L956" s="222">
        <v>1</v>
      </c>
      <c r="M956" s="222" t="s">
        <v>2834</v>
      </c>
      <c r="N956" s="222">
        <v>1</v>
      </c>
      <c r="O956" s="222">
        <v>1</v>
      </c>
      <c r="P956" s="225">
        <v>14</v>
      </c>
      <c r="Q956" s="224">
        <v>14</v>
      </c>
      <c r="R956" s="222">
        <v>24.1</v>
      </c>
      <c r="S956" s="226" t="str">
        <f>IFERROR(_xlfn.XLOOKUP(R956,'1_Presupuesto'!$E:$E,'1_Presupuesto'!$D:$D),"")</f>
        <v>Albañilería MO</v>
      </c>
    </row>
    <row r="957" spans="1:19" ht="14.25" customHeight="1" x14ac:dyDescent="0.35">
      <c r="A957" s="222" t="s">
        <v>2835</v>
      </c>
      <c r="B957" s="222" t="s">
        <v>639</v>
      </c>
      <c r="C957" s="222" t="s">
        <v>640</v>
      </c>
      <c r="D957" s="222" t="s">
        <v>2836</v>
      </c>
      <c r="E957" s="222" t="s">
        <v>2837</v>
      </c>
      <c r="F957" s="222" t="s">
        <v>643</v>
      </c>
      <c r="G957" s="223">
        <v>1</v>
      </c>
      <c r="H957" s="222">
        <v>0</v>
      </c>
      <c r="I957" s="224">
        <v>3798370.5819999999</v>
      </c>
      <c r="J957" s="224">
        <v>3798370.5819999999</v>
      </c>
      <c r="K957" s="222" t="s">
        <v>2838</v>
      </c>
      <c r="L957" s="222">
        <v>1</v>
      </c>
      <c r="M957" s="222" t="s">
        <v>2839</v>
      </c>
      <c r="N957" s="222">
        <v>1</v>
      </c>
      <c r="O957" s="222">
        <v>0</v>
      </c>
      <c r="P957" s="225">
        <v>14</v>
      </c>
      <c r="Q957" s="224">
        <v>0</v>
      </c>
      <c r="R957" s="222">
        <v>25.01</v>
      </c>
      <c r="S957" s="226" t="str">
        <f>IFERROR(_xlfn.XLOOKUP(R957,'1_Presupuesto'!$E:$E,'1_Presupuesto'!$D:$D),"")</f>
        <v>-</v>
      </c>
    </row>
    <row r="958" spans="1:19" ht="14.25" customHeight="1" x14ac:dyDescent="0.35">
      <c r="A958" s="222" t="s">
        <v>2840</v>
      </c>
      <c r="B958" s="222" t="s">
        <v>639</v>
      </c>
      <c r="C958" s="222" t="s">
        <v>640</v>
      </c>
      <c r="D958" s="222" t="s">
        <v>2841</v>
      </c>
      <c r="E958" s="222" t="s">
        <v>2842</v>
      </c>
      <c r="F958" s="222" t="s">
        <v>643</v>
      </c>
      <c r="G958" s="223">
        <v>1</v>
      </c>
      <c r="H958" s="222">
        <v>0</v>
      </c>
      <c r="I958" s="224">
        <v>500000</v>
      </c>
      <c r="J958" s="224">
        <v>500000</v>
      </c>
      <c r="K958" s="222" t="s">
        <v>2843</v>
      </c>
      <c r="L958" s="222">
        <v>1</v>
      </c>
      <c r="M958" s="222" t="s">
        <v>2844</v>
      </c>
      <c r="N958" s="222">
        <v>1</v>
      </c>
      <c r="O958" s="222">
        <v>0</v>
      </c>
      <c r="P958" s="225">
        <v>14</v>
      </c>
      <c r="Q958" s="224">
        <v>0</v>
      </c>
      <c r="R958" s="222">
        <v>25.02</v>
      </c>
      <c r="S958" s="226" t="str">
        <f>IFERROR(_xlfn.XLOOKUP(R958,'1_Presupuesto'!$E:$E,'1_Presupuesto'!$D:$D),"")</f>
        <v>-</v>
      </c>
    </row>
    <row r="959" spans="1:19" ht="14.25" customHeight="1" x14ac:dyDescent="0.35">
      <c r="A959" s="222" t="s">
        <v>2845</v>
      </c>
      <c r="B959" s="222" t="s">
        <v>654</v>
      </c>
      <c r="C959" s="222" t="s">
        <v>640</v>
      </c>
      <c r="D959" s="222" t="s">
        <v>2846</v>
      </c>
      <c r="E959" s="222" t="s">
        <v>2847</v>
      </c>
      <c r="F959" s="222"/>
      <c r="G959" s="223">
        <v>1</v>
      </c>
      <c r="H959" s="222">
        <v>0</v>
      </c>
      <c r="I959" s="224">
        <v>1675.9465</v>
      </c>
      <c r="J959" s="224">
        <v>1675.9465</v>
      </c>
      <c r="K959" s="222" t="s">
        <v>2848</v>
      </c>
      <c r="L959" s="222">
        <v>1</v>
      </c>
      <c r="M959" s="222" t="s">
        <v>2849</v>
      </c>
      <c r="N959" s="222">
        <v>1</v>
      </c>
      <c r="O959" s="222">
        <v>0</v>
      </c>
      <c r="P959" s="225">
        <v>71835</v>
      </c>
      <c r="Q959" s="224">
        <v>0</v>
      </c>
      <c r="R959" s="222">
        <v>26.01</v>
      </c>
      <c r="S959" s="226" t="str">
        <f>IFERROR(_xlfn.XLOOKUP(R959,'1_Presupuesto'!$E:$E,'1_Presupuesto'!$D:$D),"")</f>
        <v/>
      </c>
    </row>
    <row r="960" spans="1:19" ht="14.25" customHeight="1" x14ac:dyDescent="0.35">
      <c r="A960" s="222" t="s">
        <v>2850</v>
      </c>
      <c r="B960" s="222" t="s">
        <v>654</v>
      </c>
      <c r="C960" s="222" t="s">
        <v>640</v>
      </c>
      <c r="D960" s="222" t="s">
        <v>2851</v>
      </c>
      <c r="E960" s="222" t="s">
        <v>2852</v>
      </c>
      <c r="F960" s="222"/>
      <c r="G960" s="223">
        <v>1</v>
      </c>
      <c r="H960" s="222">
        <v>0</v>
      </c>
      <c r="I960" s="224">
        <v>161741.24100000001</v>
      </c>
      <c r="J960" s="224">
        <v>161741.24100000001</v>
      </c>
      <c r="K960" s="222" t="s">
        <v>2853</v>
      </c>
      <c r="L960" s="222">
        <v>1</v>
      </c>
      <c r="M960" s="222" t="s">
        <v>2854</v>
      </c>
      <c r="N960" s="222">
        <v>1</v>
      </c>
      <c r="O960" s="222">
        <v>0</v>
      </c>
      <c r="P960" s="225">
        <v>641</v>
      </c>
      <c r="Q960" s="224">
        <v>0</v>
      </c>
      <c r="R960" s="222">
        <v>26.02</v>
      </c>
      <c r="S960" s="226" t="str">
        <f>IFERROR(_xlfn.XLOOKUP(R960,'1_Presupuesto'!$E:$E,'1_Presupuesto'!$D:$D),"")</f>
        <v/>
      </c>
    </row>
    <row r="961" spans="1:19" ht="14.25" customHeight="1" x14ac:dyDescent="0.35">
      <c r="A961" s="222" t="s">
        <v>2855</v>
      </c>
      <c r="B961" s="222" t="s">
        <v>654</v>
      </c>
      <c r="C961" s="222" t="s">
        <v>640</v>
      </c>
      <c r="D961" s="222" t="s">
        <v>2856</v>
      </c>
      <c r="E961" s="222" t="s">
        <v>2857</v>
      </c>
      <c r="F961" s="222"/>
      <c r="G961" s="223">
        <v>1</v>
      </c>
      <c r="H961" s="222">
        <v>0</v>
      </c>
      <c r="I961" s="224">
        <v>15000</v>
      </c>
      <c r="J961" s="224">
        <v>15000</v>
      </c>
      <c r="K961" s="222" t="s">
        <v>2858</v>
      </c>
      <c r="L961" s="222">
        <v>1</v>
      </c>
      <c r="M961" s="222" t="s">
        <v>2859</v>
      </c>
      <c r="N961" s="222">
        <v>1</v>
      </c>
      <c r="O961" s="222">
        <v>0</v>
      </c>
      <c r="P961" s="225">
        <v>18</v>
      </c>
      <c r="Q961" s="224">
        <v>0</v>
      </c>
      <c r="R961" s="222">
        <v>27.01</v>
      </c>
      <c r="S961" s="226" t="str">
        <f>IFERROR(_xlfn.XLOOKUP(R961,'1_Presupuesto'!$E:$E,'1_Presupuesto'!$D:$D),"")</f>
        <v/>
      </c>
    </row>
    <row r="962" spans="1:19" ht="14.25" customHeight="1" x14ac:dyDescent="0.35">
      <c r="A962" s="222" t="s">
        <v>2855</v>
      </c>
      <c r="B962" s="222" t="s">
        <v>639</v>
      </c>
      <c r="C962" s="222" t="s">
        <v>640</v>
      </c>
      <c r="D962" s="222" t="s">
        <v>2306</v>
      </c>
      <c r="E962" s="222" t="s">
        <v>724</v>
      </c>
      <c r="F962" s="222" t="s">
        <v>643</v>
      </c>
      <c r="G962" s="223">
        <v>1</v>
      </c>
      <c r="H962" s="222">
        <v>0</v>
      </c>
      <c r="I962" s="224">
        <v>75113.048200000005</v>
      </c>
      <c r="J962" s="224">
        <v>75113.048200000005</v>
      </c>
      <c r="K962" s="222" t="s">
        <v>2860</v>
      </c>
      <c r="L962" s="222">
        <v>1</v>
      </c>
      <c r="M962" s="222" t="s">
        <v>2861</v>
      </c>
      <c r="N962" s="222">
        <v>1</v>
      </c>
      <c r="O962" s="222">
        <v>0</v>
      </c>
      <c r="P962" s="225">
        <v>18</v>
      </c>
      <c r="Q962" s="224">
        <v>0</v>
      </c>
      <c r="R962" s="222">
        <v>27.01</v>
      </c>
      <c r="S962" s="226" t="str">
        <f>IFERROR(_xlfn.XLOOKUP(R962,'1_Presupuesto'!$E:$E,'1_Presupuesto'!$D:$D),"")</f>
        <v/>
      </c>
    </row>
    <row r="963" spans="1:19" ht="14.25" customHeight="1" x14ac:dyDescent="0.35">
      <c r="A963" s="222" t="s">
        <v>2862</v>
      </c>
      <c r="B963" s="222" t="s">
        <v>654</v>
      </c>
      <c r="C963" s="222" t="s">
        <v>640</v>
      </c>
      <c r="D963" s="222" t="s">
        <v>2863</v>
      </c>
      <c r="E963" s="222" t="s">
        <v>2864</v>
      </c>
      <c r="F963" s="222" t="s">
        <v>2865</v>
      </c>
      <c r="G963" s="223">
        <v>33.448003700000001</v>
      </c>
      <c r="H963" s="222">
        <v>0</v>
      </c>
      <c r="I963" s="224">
        <v>35122.669399999999</v>
      </c>
      <c r="J963" s="224">
        <v>1174783.1760450769</v>
      </c>
      <c r="K963" s="222" t="s">
        <v>2866</v>
      </c>
      <c r="L963" s="222">
        <v>1</v>
      </c>
      <c r="M963" s="222" t="s">
        <v>2867</v>
      </c>
      <c r="N963" s="222">
        <v>1</v>
      </c>
      <c r="O963" s="222">
        <v>0</v>
      </c>
      <c r="P963" s="225">
        <v>1</v>
      </c>
      <c r="Q963" s="224">
        <v>0</v>
      </c>
      <c r="R963" s="222">
        <v>27.02</v>
      </c>
      <c r="S963" s="226" t="str">
        <f>IFERROR(_xlfn.XLOOKUP(R963,'1_Presupuesto'!$E:$E,'1_Presupuesto'!$D:$D),"")</f>
        <v/>
      </c>
    </row>
    <row r="964" spans="1:19" ht="14.25" customHeight="1" x14ac:dyDescent="0.35">
      <c r="A964" s="222" t="s">
        <v>2862</v>
      </c>
      <c r="B964" s="222" t="s">
        <v>654</v>
      </c>
      <c r="C964" s="222" t="s">
        <v>640</v>
      </c>
      <c r="D964" s="222" t="s">
        <v>2868</v>
      </c>
      <c r="E964" s="222" t="s">
        <v>2869</v>
      </c>
      <c r="F964" s="222">
        <v>12</v>
      </c>
      <c r="G964" s="223">
        <v>33.448003700000001</v>
      </c>
      <c r="H964" s="222">
        <v>0</v>
      </c>
      <c r="I964" s="224">
        <v>20295.537199999999</v>
      </c>
      <c r="J964" s="224">
        <v>678845.20335908758</v>
      </c>
      <c r="K964" s="222" t="s">
        <v>2866</v>
      </c>
      <c r="L964" s="222">
        <v>2</v>
      </c>
      <c r="M964" s="222" t="s">
        <v>2870</v>
      </c>
      <c r="N964" s="222">
        <v>1</v>
      </c>
      <c r="O964" s="222">
        <v>0</v>
      </c>
      <c r="P964" s="225">
        <v>1</v>
      </c>
      <c r="Q964" s="224">
        <v>0</v>
      </c>
      <c r="R964" s="222">
        <v>27.02</v>
      </c>
      <c r="S964" s="226" t="str">
        <f>IFERROR(_xlfn.XLOOKUP(R964,'1_Presupuesto'!$E:$E,'1_Presupuesto'!$D:$D),"")</f>
        <v/>
      </c>
    </row>
    <row r="965" spans="1:19" ht="14.25" customHeight="1" x14ac:dyDescent="0.35">
      <c r="A965" s="222" t="s">
        <v>2862</v>
      </c>
      <c r="B965" s="222" t="s">
        <v>654</v>
      </c>
      <c r="C965" s="222" t="s">
        <v>640</v>
      </c>
      <c r="D965" s="222" t="s">
        <v>2871</v>
      </c>
      <c r="E965" s="222" t="s">
        <v>2872</v>
      </c>
      <c r="F965" s="222">
        <v>15</v>
      </c>
      <c r="G965" s="223">
        <v>33.448003700000001</v>
      </c>
      <c r="H965" s="222">
        <v>0</v>
      </c>
      <c r="I965" s="224">
        <v>37506.479299999999</v>
      </c>
      <c r="J965" s="224">
        <v>1254516.858400373</v>
      </c>
      <c r="K965" s="222" t="s">
        <v>2866</v>
      </c>
      <c r="L965" s="222">
        <v>3</v>
      </c>
      <c r="M965" s="222" t="s">
        <v>2873</v>
      </c>
      <c r="N965" s="222">
        <v>1</v>
      </c>
      <c r="O965" s="222">
        <v>0</v>
      </c>
      <c r="P965" s="225">
        <v>1</v>
      </c>
      <c r="Q965" s="224">
        <v>0</v>
      </c>
      <c r="R965" s="222">
        <v>27.02</v>
      </c>
      <c r="S965" s="226" t="str">
        <f>IFERROR(_xlfn.XLOOKUP(R965,'1_Presupuesto'!$E:$E,'1_Presupuesto'!$D:$D),"")</f>
        <v/>
      </c>
    </row>
    <row r="966" spans="1:19" ht="14.25" customHeight="1" x14ac:dyDescent="0.35">
      <c r="A966" s="222" t="s">
        <v>2862</v>
      </c>
      <c r="B966" s="222" t="s">
        <v>654</v>
      </c>
      <c r="C966" s="222" t="s">
        <v>640</v>
      </c>
      <c r="D966" s="222" t="s">
        <v>2874</v>
      </c>
      <c r="E966" s="222" t="s">
        <v>2875</v>
      </c>
      <c r="F966" s="222" t="s">
        <v>712</v>
      </c>
      <c r="G966" s="223">
        <v>33.448003700000001</v>
      </c>
      <c r="H966" s="222">
        <v>0</v>
      </c>
      <c r="I966" s="224">
        <v>37506.479299999999</v>
      </c>
      <c r="J966" s="224">
        <v>1254516.858400373</v>
      </c>
      <c r="K966" s="222" t="s">
        <v>2866</v>
      </c>
      <c r="L966" s="222">
        <v>4</v>
      </c>
      <c r="M966" s="222" t="s">
        <v>2876</v>
      </c>
      <c r="N966" s="222">
        <v>1</v>
      </c>
      <c r="O966" s="222">
        <v>0</v>
      </c>
      <c r="P966" s="225">
        <v>1</v>
      </c>
      <c r="Q966" s="224">
        <v>0</v>
      </c>
      <c r="R966" s="222">
        <v>27.02</v>
      </c>
      <c r="S966" s="226" t="str">
        <f>IFERROR(_xlfn.XLOOKUP(R966,'1_Presupuesto'!$E:$E,'1_Presupuesto'!$D:$D),"")</f>
        <v/>
      </c>
    </row>
    <row r="967" spans="1:19" ht="14.25" customHeight="1" x14ac:dyDescent="0.35">
      <c r="A967" s="222" t="s">
        <v>2862</v>
      </c>
      <c r="B967" s="222" t="s">
        <v>639</v>
      </c>
      <c r="C967" s="222" t="s">
        <v>640</v>
      </c>
      <c r="D967" s="222" t="s">
        <v>2877</v>
      </c>
      <c r="E967" s="222" t="s">
        <v>2878</v>
      </c>
      <c r="F967" s="222" t="s">
        <v>643</v>
      </c>
      <c r="G967" s="223">
        <v>1</v>
      </c>
      <c r="H967" s="222">
        <v>0</v>
      </c>
      <c r="I967" s="224">
        <v>1363919.7598999999</v>
      </c>
      <c r="J967" s="224">
        <v>1363919.7598999999</v>
      </c>
      <c r="K967" s="222" t="s">
        <v>2879</v>
      </c>
      <c r="L967" s="222">
        <v>1</v>
      </c>
      <c r="M967" s="222" t="s">
        <v>2880</v>
      </c>
      <c r="N967" s="222">
        <v>1</v>
      </c>
      <c r="O967" s="222">
        <v>0</v>
      </c>
      <c r="P967" s="225">
        <v>1</v>
      </c>
      <c r="Q967" s="224">
        <v>0</v>
      </c>
      <c r="R967" s="222">
        <v>27.02</v>
      </c>
      <c r="S967" s="226" t="str">
        <f>IFERROR(_xlfn.XLOOKUP(R967,'1_Presupuesto'!$E:$E,'1_Presupuesto'!$D:$D),"")</f>
        <v/>
      </c>
    </row>
    <row r="968" spans="1:19" ht="14.25" customHeight="1" x14ac:dyDescent="0.35">
      <c r="A968" s="222" t="s">
        <v>2881</v>
      </c>
      <c r="B968" s="222" t="s">
        <v>654</v>
      </c>
      <c r="C968" s="222" t="s">
        <v>640</v>
      </c>
      <c r="D968" s="222" t="s">
        <v>2882</v>
      </c>
      <c r="E968" s="222" t="s">
        <v>2883</v>
      </c>
      <c r="F968" s="222"/>
      <c r="G968" s="223">
        <v>259</v>
      </c>
      <c r="H968" s="222">
        <v>0</v>
      </c>
      <c r="I968" s="224">
        <v>4378.8099000000002</v>
      </c>
      <c r="J968" s="224">
        <v>1134111.7641</v>
      </c>
      <c r="K968" s="222" t="s">
        <v>2884</v>
      </c>
      <c r="L968" s="222">
        <v>1</v>
      </c>
      <c r="M968" s="222" t="s">
        <v>2885</v>
      </c>
      <c r="N968" s="222">
        <v>1</v>
      </c>
      <c r="O968" s="222">
        <v>0</v>
      </c>
      <c r="P968" s="225">
        <v>1</v>
      </c>
      <c r="Q968" s="224">
        <v>0</v>
      </c>
      <c r="R968" s="222">
        <v>27.03</v>
      </c>
      <c r="S968" s="226" t="str">
        <f>IFERROR(_xlfn.XLOOKUP(R968,'1_Presupuesto'!$E:$E,'1_Presupuesto'!$D:$D),"")</f>
        <v/>
      </c>
    </row>
    <row r="969" spans="1:19" ht="14.25" customHeight="1" x14ac:dyDescent="0.35">
      <c r="A969" s="222" t="s">
        <v>2881</v>
      </c>
      <c r="B969" s="222" t="s">
        <v>654</v>
      </c>
      <c r="C969" s="222" t="s">
        <v>640</v>
      </c>
      <c r="D969" s="222" t="s">
        <v>2886</v>
      </c>
      <c r="E969" s="222" t="s">
        <v>2887</v>
      </c>
      <c r="F969" s="222"/>
      <c r="G969" s="223">
        <v>561</v>
      </c>
      <c r="H969" s="222">
        <v>0</v>
      </c>
      <c r="I969" s="224">
        <v>455.6182</v>
      </c>
      <c r="J969" s="224">
        <v>255601.81020000001</v>
      </c>
      <c r="K969" s="222" t="s">
        <v>2884</v>
      </c>
      <c r="L969" s="222">
        <v>2</v>
      </c>
      <c r="M969" s="222" t="s">
        <v>2888</v>
      </c>
      <c r="N969" s="222">
        <v>1</v>
      </c>
      <c r="O969" s="222">
        <v>0</v>
      </c>
      <c r="P969" s="225">
        <v>1</v>
      </c>
      <c r="Q969" s="224">
        <v>0</v>
      </c>
      <c r="R969" s="222">
        <v>27.03</v>
      </c>
      <c r="S969" s="226" t="str">
        <f>IFERROR(_xlfn.XLOOKUP(R969,'1_Presupuesto'!$E:$E,'1_Presupuesto'!$D:$D),"")</f>
        <v/>
      </c>
    </row>
    <row r="970" spans="1:19" ht="14.25" customHeight="1" x14ac:dyDescent="0.35">
      <c r="A970" s="222" t="s">
        <v>2881</v>
      </c>
      <c r="B970" s="222" t="s">
        <v>654</v>
      </c>
      <c r="C970" s="222" t="s">
        <v>640</v>
      </c>
      <c r="D970" s="222" t="s">
        <v>2889</v>
      </c>
      <c r="E970" s="222" t="s">
        <v>2890</v>
      </c>
      <c r="F970" s="222"/>
      <c r="G970" s="223">
        <v>561</v>
      </c>
      <c r="H970" s="222">
        <v>0</v>
      </c>
      <c r="I970" s="224">
        <v>1214.9853000000001</v>
      </c>
      <c r="J970" s="224">
        <v>681606.75329999998</v>
      </c>
      <c r="K970" s="222" t="s">
        <v>2884</v>
      </c>
      <c r="L970" s="222">
        <v>3</v>
      </c>
      <c r="M970" s="222" t="s">
        <v>2891</v>
      </c>
      <c r="N970" s="222">
        <v>1</v>
      </c>
      <c r="O970" s="222">
        <v>0</v>
      </c>
      <c r="P970" s="225">
        <v>1</v>
      </c>
      <c r="Q970" s="224">
        <v>0</v>
      </c>
      <c r="R970" s="222">
        <v>27.03</v>
      </c>
      <c r="S970" s="226" t="str">
        <f>IFERROR(_xlfn.XLOOKUP(R970,'1_Presupuesto'!$E:$E,'1_Presupuesto'!$D:$D),"")</f>
        <v/>
      </c>
    </row>
    <row r="971" spans="1:19" ht="14.25" customHeight="1" x14ac:dyDescent="0.35">
      <c r="A971" s="222" t="s">
        <v>2881</v>
      </c>
      <c r="B971" s="222" t="s">
        <v>654</v>
      </c>
      <c r="C971" s="222" t="s">
        <v>640</v>
      </c>
      <c r="D971" s="222" t="s">
        <v>2892</v>
      </c>
      <c r="E971" s="222" t="s">
        <v>2893</v>
      </c>
      <c r="F971" s="222"/>
      <c r="G971" s="223">
        <v>90</v>
      </c>
      <c r="H971" s="222">
        <v>0</v>
      </c>
      <c r="I971" s="224">
        <v>2189.4049</v>
      </c>
      <c r="J971" s="224">
        <v>197046.44099999999</v>
      </c>
      <c r="K971" s="222" t="s">
        <v>2884</v>
      </c>
      <c r="L971" s="222">
        <v>4</v>
      </c>
      <c r="M971" s="222" t="s">
        <v>2894</v>
      </c>
      <c r="N971" s="222">
        <v>1</v>
      </c>
      <c r="O971" s="222">
        <v>0</v>
      </c>
      <c r="P971" s="225">
        <v>1</v>
      </c>
      <c r="Q971" s="224">
        <v>0</v>
      </c>
      <c r="R971" s="222">
        <v>27.03</v>
      </c>
      <c r="S971" s="226" t="str">
        <f>IFERROR(_xlfn.XLOOKUP(R971,'1_Presupuesto'!$E:$E,'1_Presupuesto'!$D:$D),"")</f>
        <v/>
      </c>
    </row>
    <row r="972" spans="1:19" ht="14.25" customHeight="1" x14ac:dyDescent="0.35">
      <c r="A972" s="222" t="s">
        <v>2881</v>
      </c>
      <c r="B972" s="222" t="s">
        <v>654</v>
      </c>
      <c r="C972" s="222" t="s">
        <v>640</v>
      </c>
      <c r="D972" s="222" t="s">
        <v>2895</v>
      </c>
      <c r="E972" s="222" t="s">
        <v>2896</v>
      </c>
      <c r="F972" s="222"/>
      <c r="G972" s="223">
        <v>300</v>
      </c>
      <c r="H972" s="222">
        <v>0</v>
      </c>
      <c r="I972" s="224">
        <v>2075.6019000000001</v>
      </c>
      <c r="J972" s="224">
        <v>622680.57000000007</v>
      </c>
      <c r="K972" s="222" t="s">
        <v>2884</v>
      </c>
      <c r="L972" s="222">
        <v>5</v>
      </c>
      <c r="M972" s="222" t="s">
        <v>2897</v>
      </c>
      <c r="N972" s="222">
        <v>1</v>
      </c>
      <c r="O972" s="222">
        <v>0</v>
      </c>
      <c r="P972" s="225">
        <v>1</v>
      </c>
      <c r="Q972" s="224">
        <v>0</v>
      </c>
      <c r="R972" s="222">
        <v>27.03</v>
      </c>
      <c r="S972" s="226" t="str">
        <f>IFERROR(_xlfn.XLOOKUP(R972,'1_Presupuesto'!$E:$E,'1_Presupuesto'!$D:$D),"")</f>
        <v/>
      </c>
    </row>
    <row r="973" spans="1:19" ht="14.25" customHeight="1" x14ac:dyDescent="0.35">
      <c r="A973" s="222" t="s">
        <v>2881</v>
      </c>
      <c r="B973" s="222" t="s">
        <v>654</v>
      </c>
      <c r="C973" s="222" t="s">
        <v>640</v>
      </c>
      <c r="D973" s="222" t="s">
        <v>2898</v>
      </c>
      <c r="E973" s="222" t="s">
        <v>2899</v>
      </c>
      <c r="F973" s="222"/>
      <c r="G973" s="223">
        <v>16</v>
      </c>
      <c r="H973" s="222">
        <v>0</v>
      </c>
      <c r="I973" s="224">
        <v>2243.672</v>
      </c>
      <c r="J973" s="224">
        <v>35898.752</v>
      </c>
      <c r="K973" s="222" t="s">
        <v>2884</v>
      </c>
      <c r="L973" s="222">
        <v>6</v>
      </c>
      <c r="M973" s="222" t="s">
        <v>2900</v>
      </c>
      <c r="N973" s="222">
        <v>1</v>
      </c>
      <c r="O973" s="222">
        <v>0</v>
      </c>
      <c r="P973" s="225">
        <v>1</v>
      </c>
      <c r="Q973" s="224">
        <v>0</v>
      </c>
      <c r="R973" s="222">
        <v>27.03</v>
      </c>
      <c r="S973" s="226" t="str">
        <f>IFERROR(_xlfn.XLOOKUP(R973,'1_Presupuesto'!$E:$E,'1_Presupuesto'!$D:$D),"")</f>
        <v/>
      </c>
    </row>
    <row r="974" spans="1:19" ht="14.25" customHeight="1" x14ac:dyDescent="0.35">
      <c r="A974" s="222" t="s">
        <v>2881</v>
      </c>
      <c r="B974" s="222" t="s">
        <v>654</v>
      </c>
      <c r="C974" s="222" t="s">
        <v>640</v>
      </c>
      <c r="D974" s="222" t="s">
        <v>2901</v>
      </c>
      <c r="E974" s="222" t="s">
        <v>2902</v>
      </c>
      <c r="F974" s="222"/>
      <c r="G974" s="223">
        <v>19</v>
      </c>
      <c r="H974" s="222">
        <v>0</v>
      </c>
      <c r="I974" s="224">
        <v>445.50040000000001</v>
      </c>
      <c r="J974" s="224">
        <v>8464.5076000000008</v>
      </c>
      <c r="K974" s="222" t="s">
        <v>2884</v>
      </c>
      <c r="L974" s="222">
        <v>7</v>
      </c>
      <c r="M974" s="222" t="s">
        <v>2903</v>
      </c>
      <c r="N974" s="222">
        <v>1</v>
      </c>
      <c r="O974" s="222">
        <v>0</v>
      </c>
      <c r="P974" s="225">
        <v>1</v>
      </c>
      <c r="Q974" s="224">
        <v>0</v>
      </c>
      <c r="R974" s="222">
        <v>27.03</v>
      </c>
      <c r="S974" s="226" t="str">
        <f>IFERROR(_xlfn.XLOOKUP(R974,'1_Presupuesto'!$E:$E,'1_Presupuesto'!$D:$D),"")</f>
        <v/>
      </c>
    </row>
    <row r="975" spans="1:19" ht="14.25" customHeight="1" x14ac:dyDescent="0.35">
      <c r="A975" s="222" t="s">
        <v>2881</v>
      </c>
      <c r="B975" s="222" t="s">
        <v>654</v>
      </c>
      <c r="C975" s="222" t="s">
        <v>640</v>
      </c>
      <c r="D975" s="222" t="s">
        <v>2904</v>
      </c>
      <c r="E975" s="222" t="s">
        <v>2905</v>
      </c>
      <c r="F975" s="222"/>
      <c r="G975" s="223">
        <v>19</v>
      </c>
      <c r="H975" s="222">
        <v>0</v>
      </c>
      <c r="I975" s="224">
        <v>911.2364</v>
      </c>
      <c r="J975" s="224">
        <v>17313.491600000001</v>
      </c>
      <c r="K975" s="222" t="s">
        <v>2884</v>
      </c>
      <c r="L975" s="222">
        <v>8</v>
      </c>
      <c r="M975" s="222" t="s">
        <v>2906</v>
      </c>
      <c r="N975" s="222">
        <v>1</v>
      </c>
      <c r="O975" s="222">
        <v>0</v>
      </c>
      <c r="P975" s="225">
        <v>1</v>
      </c>
      <c r="Q975" s="224">
        <v>0</v>
      </c>
      <c r="R975" s="222">
        <v>27.03</v>
      </c>
      <c r="S975" s="226" t="str">
        <f>IFERROR(_xlfn.XLOOKUP(R975,'1_Presupuesto'!$E:$E,'1_Presupuesto'!$D:$D),"")</f>
        <v/>
      </c>
    </row>
    <row r="976" spans="1:19" ht="14.25" customHeight="1" x14ac:dyDescent="0.35">
      <c r="A976" s="222" t="s">
        <v>2907</v>
      </c>
      <c r="B976" s="222" t="s">
        <v>654</v>
      </c>
      <c r="C976" s="222" t="s">
        <v>640</v>
      </c>
      <c r="D976" s="222" t="s">
        <v>2908</v>
      </c>
      <c r="E976" s="222" t="s">
        <v>2909</v>
      </c>
      <c r="F976" s="222"/>
      <c r="G976" s="223">
        <v>1</v>
      </c>
      <c r="H976" s="222">
        <v>0</v>
      </c>
      <c r="I976" s="224">
        <v>8108346.1239</v>
      </c>
      <c r="J976" s="224">
        <v>8108346.1239</v>
      </c>
      <c r="K976" s="222" t="s">
        <v>2910</v>
      </c>
      <c r="L976" s="222">
        <v>1</v>
      </c>
      <c r="M976" s="222" t="s">
        <v>2911</v>
      </c>
      <c r="N976" s="222">
        <v>1</v>
      </c>
      <c r="O976" s="222">
        <v>0</v>
      </c>
      <c r="P976" s="225">
        <v>1</v>
      </c>
      <c r="Q976" s="224">
        <v>0</v>
      </c>
      <c r="R976" s="222">
        <v>28.01</v>
      </c>
      <c r="S976" s="226" t="str">
        <f>IFERROR(_xlfn.XLOOKUP(R976,'1_Presupuesto'!$E:$E,'1_Presupuesto'!$D:$D),"")</f>
        <v/>
      </c>
    </row>
    <row r="977" spans="1:19" ht="14.25" customHeight="1" x14ac:dyDescent="0.35">
      <c r="A977" s="222" t="s">
        <v>2907</v>
      </c>
      <c r="B977" s="222" t="s">
        <v>639</v>
      </c>
      <c r="C977" s="222" t="s">
        <v>640</v>
      </c>
      <c r="D977" s="222" t="s">
        <v>2912</v>
      </c>
      <c r="E977" s="222" t="s">
        <v>2913</v>
      </c>
      <c r="F977" s="222" t="s">
        <v>643</v>
      </c>
      <c r="G977" s="223">
        <v>1</v>
      </c>
      <c r="H977" s="222">
        <v>0</v>
      </c>
      <c r="I977" s="224">
        <v>16174656.500299999</v>
      </c>
      <c r="J977" s="224">
        <v>16174656.500299999</v>
      </c>
      <c r="K977" s="222" t="s">
        <v>2914</v>
      </c>
      <c r="L977" s="222">
        <v>1</v>
      </c>
      <c r="M977" s="222" t="s">
        <v>2915</v>
      </c>
      <c r="N977" s="222">
        <v>1</v>
      </c>
      <c r="O977" s="222">
        <v>0</v>
      </c>
      <c r="P977" s="225">
        <v>1</v>
      </c>
      <c r="Q977" s="224">
        <v>0</v>
      </c>
      <c r="R977" s="222">
        <v>28.01</v>
      </c>
      <c r="S977" s="226" t="str">
        <f>IFERROR(_xlfn.XLOOKUP(R977,'1_Presupuesto'!$E:$E,'1_Presupuesto'!$D:$D),"")</f>
        <v/>
      </c>
    </row>
    <row r="978" spans="1:19" ht="14.25" customHeight="1" x14ac:dyDescent="0.35">
      <c r="A978" s="222" t="s">
        <v>2907</v>
      </c>
      <c r="B978" s="222" t="s">
        <v>13</v>
      </c>
      <c r="C978" s="222"/>
      <c r="D978" s="222" t="s">
        <v>2916</v>
      </c>
      <c r="E978" s="222" t="s">
        <v>2917</v>
      </c>
      <c r="F978" s="222"/>
      <c r="G978" s="223">
        <v>1</v>
      </c>
      <c r="H978" s="222">
        <v>0</v>
      </c>
      <c r="I978" s="224">
        <v>364245.03940000001</v>
      </c>
      <c r="J978" s="224">
        <v>364245.03940000001</v>
      </c>
      <c r="K978" s="222" t="s">
        <v>2918</v>
      </c>
      <c r="L978" s="222">
        <v>1</v>
      </c>
      <c r="M978" s="222" t="s">
        <v>2919</v>
      </c>
      <c r="N978" s="222">
        <v>1</v>
      </c>
      <c r="O978" s="222">
        <v>0</v>
      </c>
      <c r="P978" s="225">
        <v>1</v>
      </c>
      <c r="Q978" s="224">
        <v>0</v>
      </c>
      <c r="R978" s="222">
        <v>28.01</v>
      </c>
      <c r="S978" s="226" t="str">
        <f>IFERROR(_xlfn.XLOOKUP(R978,'1_Presupuesto'!$E:$E,'1_Presupuesto'!$D:$D),"")</f>
        <v/>
      </c>
    </row>
    <row r="979" spans="1:19" ht="14.25" customHeight="1" x14ac:dyDescent="0.35">
      <c r="A979" s="222" t="s">
        <v>2920</v>
      </c>
      <c r="B979" s="222" t="s">
        <v>654</v>
      </c>
      <c r="C979" s="222" t="s">
        <v>640</v>
      </c>
      <c r="D979" s="222" t="s">
        <v>2921</v>
      </c>
      <c r="E979" s="222" t="s">
        <v>2922</v>
      </c>
      <c r="F979" s="222"/>
      <c r="G979" s="223">
        <v>1</v>
      </c>
      <c r="H979" s="222">
        <v>0</v>
      </c>
      <c r="I979" s="224">
        <v>5535035.5999999996</v>
      </c>
      <c r="J979" s="224">
        <v>5535035.5999999996</v>
      </c>
      <c r="K979" s="222" t="s">
        <v>2923</v>
      </c>
      <c r="L979" s="222">
        <v>1</v>
      </c>
      <c r="M979" s="222" t="s">
        <v>2924</v>
      </c>
      <c r="N979" s="222">
        <v>1</v>
      </c>
      <c r="O979" s="222">
        <v>0</v>
      </c>
      <c r="P979" s="225">
        <v>1</v>
      </c>
      <c r="Q979" s="224">
        <v>0</v>
      </c>
      <c r="R979" s="222">
        <v>28.02</v>
      </c>
      <c r="S979" s="226" t="str">
        <f>IFERROR(_xlfn.XLOOKUP(R979,'1_Presupuesto'!$E:$E,'1_Presupuesto'!$D:$D),"")</f>
        <v/>
      </c>
    </row>
    <row r="980" spans="1:19" ht="14.25" customHeight="1" x14ac:dyDescent="0.35">
      <c r="A980" s="222" t="s">
        <v>2920</v>
      </c>
      <c r="B980" s="222" t="s">
        <v>13</v>
      </c>
      <c r="C980" s="222"/>
      <c r="D980" s="222" t="s">
        <v>2925</v>
      </c>
      <c r="E980" s="222" t="s">
        <v>2926</v>
      </c>
      <c r="F980" s="222"/>
      <c r="G980" s="223">
        <v>1</v>
      </c>
      <c r="H980" s="222">
        <v>0</v>
      </c>
      <c r="I980" s="224">
        <v>83025.534</v>
      </c>
      <c r="J980" s="224">
        <v>83025.534</v>
      </c>
      <c r="K980" s="222" t="s">
        <v>2927</v>
      </c>
      <c r="L980" s="222">
        <v>1</v>
      </c>
      <c r="M980" s="222" t="s">
        <v>2928</v>
      </c>
      <c r="N980" s="222">
        <v>1</v>
      </c>
      <c r="O980" s="222">
        <v>0</v>
      </c>
      <c r="P980" s="225">
        <v>1</v>
      </c>
      <c r="Q980" s="224">
        <v>0</v>
      </c>
      <c r="R980" s="222">
        <v>28.02</v>
      </c>
      <c r="S980" s="226" t="str">
        <f>IFERROR(_xlfn.XLOOKUP(R980,'1_Presupuesto'!$E:$E,'1_Presupuesto'!$D:$D),"")</f>
        <v/>
      </c>
    </row>
    <row r="981" spans="1:19" ht="14.25" customHeight="1" x14ac:dyDescent="0.35">
      <c r="A981" s="222" t="s">
        <v>2929</v>
      </c>
      <c r="B981" s="222" t="s">
        <v>654</v>
      </c>
      <c r="C981" s="222" t="s">
        <v>640</v>
      </c>
      <c r="D981" s="222" t="s">
        <v>2930</v>
      </c>
      <c r="E981" s="222" t="s">
        <v>2931</v>
      </c>
      <c r="F981" s="222"/>
      <c r="G981" s="223">
        <v>1</v>
      </c>
      <c r="H981" s="222">
        <v>0</v>
      </c>
      <c r="I981" s="224">
        <v>75150</v>
      </c>
      <c r="J981" s="224">
        <v>75150</v>
      </c>
      <c r="K981" s="222" t="s">
        <v>2932</v>
      </c>
      <c r="L981" s="222">
        <v>1</v>
      </c>
      <c r="M981" s="222" t="s">
        <v>2933</v>
      </c>
      <c r="N981" s="222">
        <v>1</v>
      </c>
      <c r="O981" s="222">
        <v>0</v>
      </c>
      <c r="P981" s="225">
        <v>16</v>
      </c>
      <c r="Q981" s="224">
        <v>0</v>
      </c>
      <c r="R981" s="222">
        <v>28.03</v>
      </c>
      <c r="S981" s="226" t="str">
        <f>IFERROR(_xlfn.XLOOKUP(R981,'1_Presupuesto'!$E:$E,'1_Presupuesto'!$D:$D),"")</f>
        <v/>
      </c>
    </row>
    <row r="982" spans="1:19" ht="14.25" customHeight="1" x14ac:dyDescent="0.35">
      <c r="A982" s="222" t="s">
        <v>2929</v>
      </c>
      <c r="B982" s="222" t="s">
        <v>13</v>
      </c>
      <c r="C982" s="222"/>
      <c r="D982" s="222" t="s">
        <v>2934</v>
      </c>
      <c r="E982" s="222" t="s">
        <v>2935</v>
      </c>
      <c r="F982" s="222"/>
      <c r="G982" s="223">
        <v>1</v>
      </c>
      <c r="H982" s="222">
        <v>0</v>
      </c>
      <c r="I982" s="224">
        <v>1127.25</v>
      </c>
      <c r="J982" s="224">
        <v>1127.25</v>
      </c>
      <c r="K982" s="222" t="s">
        <v>2936</v>
      </c>
      <c r="L982" s="222">
        <v>1</v>
      </c>
      <c r="M982" s="222" t="s">
        <v>2937</v>
      </c>
      <c r="N982" s="222">
        <v>1</v>
      </c>
      <c r="O982" s="222">
        <v>0</v>
      </c>
      <c r="P982" s="225">
        <v>16</v>
      </c>
      <c r="Q982" s="224">
        <v>0</v>
      </c>
      <c r="R982" s="222">
        <v>28.03</v>
      </c>
      <c r="S982" s="226" t="str">
        <f>IFERROR(_xlfn.XLOOKUP(R982,'1_Presupuesto'!$E:$E,'1_Presupuesto'!$D:$D),"")</f>
        <v/>
      </c>
    </row>
    <row r="983" spans="1:19" ht="14.25" customHeight="1" x14ac:dyDescent="0.3"/>
    <row r="984" spans="1:19" ht="14.25" customHeight="1" x14ac:dyDescent="0.3"/>
    <row r="985" spans="1:19" ht="14.25" customHeight="1" x14ac:dyDescent="0.3"/>
    <row r="986" spans="1:19" ht="14.25" customHeight="1" x14ac:dyDescent="0.3"/>
    <row r="987" spans="1:19" ht="14.25" customHeight="1" x14ac:dyDescent="0.3"/>
    <row r="988" spans="1:19" ht="14.25" customHeight="1" x14ac:dyDescent="0.3"/>
    <row r="989" spans="1:19" ht="14.25" customHeight="1" x14ac:dyDescent="0.3"/>
    <row r="990" spans="1:19" ht="14.25" customHeight="1" x14ac:dyDescent="0.3"/>
    <row r="991" spans="1:19" ht="14.25" customHeight="1" x14ac:dyDescent="0.3"/>
    <row r="992" spans="1:19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3.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  <row r="1012" ht="14.25" customHeight="1" x14ac:dyDescent="0.3"/>
    <row r="1013" ht="14.25" customHeight="1" x14ac:dyDescent="0.3"/>
    <row r="1014" ht="14.25" customHeight="1" x14ac:dyDescent="0.3"/>
    <row r="1015" ht="14.25" customHeight="1" x14ac:dyDescent="0.3"/>
    <row r="1016" ht="14.25" customHeight="1" x14ac:dyDescent="0.3"/>
    <row r="1017" ht="14.25" customHeight="1" x14ac:dyDescent="0.3"/>
    <row r="1018" ht="14.25" customHeight="1" x14ac:dyDescent="0.3"/>
    <row r="1019" ht="14.25" customHeight="1" x14ac:dyDescent="0.3"/>
    <row r="1020" ht="14.25" customHeight="1" x14ac:dyDescent="0.3"/>
    <row r="1021" ht="14.25" customHeight="1" x14ac:dyDescent="0.3"/>
    <row r="1022" ht="14.25" customHeight="1" x14ac:dyDescent="0.3"/>
    <row r="1023" ht="14.25" customHeight="1" x14ac:dyDescent="0.3"/>
    <row r="1024" ht="14.25" customHeight="1" x14ac:dyDescent="0.3"/>
    <row r="1025" ht="14.25" customHeight="1" x14ac:dyDescent="0.3"/>
    <row r="1026" ht="14.25" customHeight="1" x14ac:dyDescent="0.3"/>
    <row r="1027" ht="14.25" customHeight="1" x14ac:dyDescent="0.3"/>
    <row r="1028" ht="14.25" customHeight="1" x14ac:dyDescent="0.3"/>
    <row r="1029" ht="14.25" customHeight="1" x14ac:dyDescent="0.3"/>
    <row r="1030" ht="14.25" customHeight="1" x14ac:dyDescent="0.3"/>
    <row r="1031" ht="14.25" customHeight="1" x14ac:dyDescent="0.3"/>
    <row r="1032" ht="14.25" customHeight="1" x14ac:dyDescent="0.3"/>
    <row r="1033" ht="14.25" customHeight="1" x14ac:dyDescent="0.3"/>
    <row r="1034" ht="14.25" customHeight="1" x14ac:dyDescent="0.3"/>
    <row r="1035" ht="14.25" customHeight="1" x14ac:dyDescent="0.3"/>
    <row r="1036" ht="14.25" customHeight="1" x14ac:dyDescent="0.3"/>
    <row r="1037" ht="14.25" customHeight="1" x14ac:dyDescent="0.3"/>
    <row r="1038" ht="14.25" customHeight="1" x14ac:dyDescent="0.3"/>
    <row r="1039" ht="14.25" customHeight="1" x14ac:dyDescent="0.3"/>
    <row r="1040" ht="14.25" customHeight="1" x14ac:dyDescent="0.3"/>
    <row r="1041" ht="14.25" customHeight="1" x14ac:dyDescent="0.3"/>
    <row r="1042" ht="14.25" customHeight="1" x14ac:dyDescent="0.3"/>
    <row r="1043" ht="14.25" customHeight="1" x14ac:dyDescent="0.3"/>
    <row r="1044" ht="14.25" customHeight="1" x14ac:dyDescent="0.3"/>
    <row r="1045" ht="14.25" customHeight="1" x14ac:dyDescent="0.3"/>
    <row r="1046" ht="14.25" customHeight="1" x14ac:dyDescent="0.3"/>
    <row r="1047" ht="14.25" customHeight="1" x14ac:dyDescent="0.3"/>
    <row r="1048" ht="14.25" customHeight="1" x14ac:dyDescent="0.3"/>
    <row r="1049" ht="14.25" customHeight="1" x14ac:dyDescent="0.3"/>
    <row r="1050" ht="14.25" customHeight="1" x14ac:dyDescent="0.3"/>
    <row r="1051" ht="14.25" customHeight="1" x14ac:dyDescent="0.3"/>
    <row r="1052" ht="14.25" customHeight="1" x14ac:dyDescent="0.3"/>
    <row r="1053" ht="14.25" customHeight="1" x14ac:dyDescent="0.3"/>
    <row r="1054" ht="14.25" customHeight="1" x14ac:dyDescent="0.3"/>
    <row r="1055" ht="14.25" customHeight="1" x14ac:dyDescent="0.3"/>
    <row r="1056" ht="14.25" customHeight="1" x14ac:dyDescent="0.3"/>
    <row r="1057" ht="14.25" customHeight="1" x14ac:dyDescent="0.3"/>
    <row r="1058" ht="14.25" customHeight="1" x14ac:dyDescent="0.3"/>
    <row r="1059" ht="14.25" customHeight="1" x14ac:dyDescent="0.3"/>
    <row r="1060" ht="14.25" customHeight="1" x14ac:dyDescent="0.3"/>
    <row r="1061" ht="14.25" customHeight="1" x14ac:dyDescent="0.3"/>
    <row r="1062" ht="14.25" customHeight="1" x14ac:dyDescent="0.3"/>
    <row r="1063" ht="14.25" customHeight="1" x14ac:dyDescent="0.3"/>
    <row r="1064" ht="14.25" customHeight="1" x14ac:dyDescent="0.3"/>
    <row r="1065" ht="14.25" customHeight="1" x14ac:dyDescent="0.3"/>
    <row r="1066" ht="14.25" customHeight="1" x14ac:dyDescent="0.3"/>
    <row r="1067" ht="14.25" customHeight="1" x14ac:dyDescent="0.3"/>
    <row r="1068" ht="14.25" customHeight="1" x14ac:dyDescent="0.3"/>
    <row r="1069" ht="14.25" customHeight="1" x14ac:dyDescent="0.3"/>
    <row r="1070" ht="14.25" customHeight="1" x14ac:dyDescent="0.3"/>
    <row r="1071" ht="14.25" customHeight="1" x14ac:dyDescent="0.3"/>
    <row r="1072" ht="14.25" customHeight="1" x14ac:dyDescent="0.3"/>
    <row r="1073" ht="14.25" customHeight="1" x14ac:dyDescent="0.3"/>
    <row r="1074" ht="14.25" customHeight="1" x14ac:dyDescent="0.3"/>
    <row r="1075" ht="14.25" customHeight="1" x14ac:dyDescent="0.3"/>
    <row r="1076" ht="14.25" customHeight="1" x14ac:dyDescent="0.3"/>
    <row r="1077" ht="14.25" customHeight="1" x14ac:dyDescent="0.3"/>
    <row r="1078" ht="14.25" customHeight="1" x14ac:dyDescent="0.3"/>
    <row r="1079" ht="14.25" customHeight="1" x14ac:dyDescent="0.3"/>
    <row r="1080" ht="14.25" customHeight="1" x14ac:dyDescent="0.3"/>
    <row r="1081" ht="14.25" customHeight="1" x14ac:dyDescent="0.3"/>
    <row r="1082" ht="14.25" customHeight="1" x14ac:dyDescent="0.3"/>
    <row r="1083" ht="14.25" customHeight="1" x14ac:dyDescent="0.3"/>
    <row r="1084" ht="14.25" customHeight="1" x14ac:dyDescent="0.3"/>
    <row r="1085" ht="14.25" customHeight="1" x14ac:dyDescent="0.3"/>
    <row r="1086" ht="14.25" customHeight="1" x14ac:dyDescent="0.3"/>
    <row r="1087" ht="14.25" customHeight="1" x14ac:dyDescent="0.3"/>
    <row r="1088" ht="14.25" customHeight="1" x14ac:dyDescent="0.3"/>
    <row r="1089" ht="14.25" customHeight="1" x14ac:dyDescent="0.3"/>
    <row r="1090" ht="14.25" customHeight="1" x14ac:dyDescent="0.3"/>
    <row r="1091" ht="14.25" customHeight="1" x14ac:dyDescent="0.3"/>
    <row r="1092" ht="14.25" customHeight="1" x14ac:dyDescent="0.3"/>
    <row r="1093" ht="14.25" customHeight="1" x14ac:dyDescent="0.3"/>
    <row r="1094" ht="14.25" customHeight="1" x14ac:dyDescent="0.3"/>
    <row r="1095" ht="14.25" customHeight="1" x14ac:dyDescent="0.3"/>
    <row r="1096" ht="14.25" customHeight="1" x14ac:dyDescent="0.3"/>
    <row r="1097" ht="14.25" customHeight="1" x14ac:dyDescent="0.3"/>
    <row r="1098" ht="14.25" customHeight="1" x14ac:dyDescent="0.3"/>
    <row r="1099" ht="14.25" customHeight="1" x14ac:dyDescent="0.3"/>
    <row r="1100" ht="14.25" customHeight="1" x14ac:dyDescent="0.3"/>
    <row r="1101" ht="14.25" customHeight="1" x14ac:dyDescent="0.3"/>
    <row r="1102" ht="14.25" customHeight="1" x14ac:dyDescent="0.3"/>
    <row r="1103" ht="14.25" customHeight="1" x14ac:dyDescent="0.3"/>
    <row r="1104" ht="14.25" customHeight="1" x14ac:dyDescent="0.3"/>
    <row r="1105" ht="14.25" customHeight="1" x14ac:dyDescent="0.3"/>
    <row r="1106" ht="14.25" customHeight="1" x14ac:dyDescent="0.3"/>
    <row r="1107" ht="14.25" customHeight="1" x14ac:dyDescent="0.3"/>
    <row r="1108" ht="14.25" customHeight="1" x14ac:dyDescent="0.3"/>
    <row r="1109" ht="14.25" customHeight="1" x14ac:dyDescent="0.3"/>
    <row r="1110" ht="14.25" customHeight="1" x14ac:dyDescent="0.3"/>
    <row r="1111" ht="14.25" customHeight="1" x14ac:dyDescent="0.3"/>
    <row r="1112" ht="14.25" customHeight="1" x14ac:dyDescent="0.3"/>
    <row r="1113" ht="14.25" customHeight="1" x14ac:dyDescent="0.3"/>
    <row r="1114" ht="14.25" customHeight="1" x14ac:dyDescent="0.3"/>
    <row r="1115" ht="14.25" customHeight="1" x14ac:dyDescent="0.3"/>
    <row r="1116" ht="14.25" customHeight="1" x14ac:dyDescent="0.3"/>
    <row r="1117" ht="14.25" customHeight="1" x14ac:dyDescent="0.3"/>
    <row r="1118" ht="14.25" customHeight="1" x14ac:dyDescent="0.3"/>
    <row r="1119" ht="14.25" customHeight="1" x14ac:dyDescent="0.3"/>
    <row r="1120" ht="14.25" customHeight="1" x14ac:dyDescent="0.3"/>
    <row r="1121" ht="14.25" customHeight="1" x14ac:dyDescent="0.3"/>
    <row r="1122" ht="14.25" customHeight="1" x14ac:dyDescent="0.3"/>
    <row r="1123" ht="14.25" customHeight="1" x14ac:dyDescent="0.3"/>
    <row r="1124" ht="14.25" customHeight="1" x14ac:dyDescent="0.3"/>
    <row r="1125" ht="14.25" customHeight="1" x14ac:dyDescent="0.3"/>
    <row r="1126" ht="14.25" customHeight="1" x14ac:dyDescent="0.3"/>
    <row r="1127" ht="14.25" customHeight="1" x14ac:dyDescent="0.3"/>
    <row r="1128" ht="14.25" customHeight="1" x14ac:dyDescent="0.3"/>
    <row r="1129" ht="14.25" customHeight="1" x14ac:dyDescent="0.3"/>
    <row r="1130" ht="14.25" customHeight="1" x14ac:dyDescent="0.3"/>
    <row r="1131" ht="14.25" customHeight="1" x14ac:dyDescent="0.3"/>
    <row r="1132" ht="14.25" customHeight="1" x14ac:dyDescent="0.3"/>
    <row r="1133" ht="14.25" customHeight="1" x14ac:dyDescent="0.3"/>
    <row r="1134" ht="14.25" customHeight="1" x14ac:dyDescent="0.3"/>
    <row r="1135" ht="14.25" customHeight="1" x14ac:dyDescent="0.3"/>
    <row r="1136" ht="14.25" customHeight="1" x14ac:dyDescent="0.3"/>
    <row r="1137" ht="14.25" customHeight="1" x14ac:dyDescent="0.3"/>
    <row r="1138" ht="14.25" customHeight="1" x14ac:dyDescent="0.3"/>
    <row r="1139" ht="14.25" customHeight="1" x14ac:dyDescent="0.3"/>
    <row r="1140" ht="14.25" customHeight="1" x14ac:dyDescent="0.3"/>
    <row r="1141" ht="14.25" customHeight="1" x14ac:dyDescent="0.3"/>
    <row r="1142" ht="14.25" customHeight="1" x14ac:dyDescent="0.3"/>
    <row r="1143" ht="14.25" customHeight="1" x14ac:dyDescent="0.3"/>
    <row r="1144" ht="14.25" customHeight="1" x14ac:dyDescent="0.3"/>
    <row r="1145" ht="14.25" customHeight="1" x14ac:dyDescent="0.3"/>
    <row r="1146" ht="14.25" customHeight="1" x14ac:dyDescent="0.3"/>
    <row r="1147" ht="14.25" customHeight="1" x14ac:dyDescent="0.3"/>
    <row r="1148" ht="14.25" customHeight="1" x14ac:dyDescent="0.3"/>
    <row r="1149" ht="14.25" customHeight="1" x14ac:dyDescent="0.3"/>
    <row r="1150" ht="14.25" customHeight="1" x14ac:dyDescent="0.3"/>
    <row r="1151" ht="14.25" customHeight="1" x14ac:dyDescent="0.3"/>
    <row r="1152" ht="14.25" customHeight="1" x14ac:dyDescent="0.3"/>
    <row r="1153" ht="14.25" customHeight="1" x14ac:dyDescent="0.3"/>
    <row r="1154" ht="14.25" customHeight="1" x14ac:dyDescent="0.3"/>
    <row r="1155" ht="14.25" customHeight="1" x14ac:dyDescent="0.3"/>
    <row r="1156" ht="14.25" customHeight="1" x14ac:dyDescent="0.3"/>
    <row r="1157" ht="14.25" customHeight="1" x14ac:dyDescent="0.3"/>
    <row r="1158" ht="14.25" customHeight="1" x14ac:dyDescent="0.3"/>
    <row r="1159" ht="14.25" customHeight="1" x14ac:dyDescent="0.3"/>
    <row r="1160" ht="14.25" customHeight="1" x14ac:dyDescent="0.3"/>
    <row r="1161" ht="14.25" customHeight="1" x14ac:dyDescent="0.3"/>
    <row r="1162" ht="14.25" customHeight="1" x14ac:dyDescent="0.3"/>
    <row r="1163" ht="14.25" customHeight="1" x14ac:dyDescent="0.3"/>
    <row r="1164" ht="14.25" customHeight="1" x14ac:dyDescent="0.3"/>
    <row r="1165" ht="14.25" customHeight="1" x14ac:dyDescent="0.3"/>
    <row r="1166" ht="14.25" customHeight="1" x14ac:dyDescent="0.3"/>
    <row r="1167" ht="14.25" customHeight="1" x14ac:dyDescent="0.3"/>
    <row r="1168" ht="14.25" customHeight="1" x14ac:dyDescent="0.3"/>
    <row r="1169" ht="14.25" customHeight="1" x14ac:dyDescent="0.3"/>
    <row r="1170" ht="14.25" customHeight="1" x14ac:dyDescent="0.3"/>
    <row r="1171" ht="14.25" customHeight="1" x14ac:dyDescent="0.3"/>
    <row r="1172" ht="14.25" customHeight="1" x14ac:dyDescent="0.3"/>
    <row r="1173" ht="14.25" customHeight="1" x14ac:dyDescent="0.3"/>
    <row r="1174" ht="14.25" customHeight="1" x14ac:dyDescent="0.3"/>
    <row r="1175" ht="14.25" customHeight="1" x14ac:dyDescent="0.3"/>
    <row r="1176" ht="14.25" customHeight="1" x14ac:dyDescent="0.3"/>
    <row r="1177" ht="14.25" customHeight="1" x14ac:dyDescent="0.3"/>
    <row r="1178" ht="14.25" customHeight="1" x14ac:dyDescent="0.3"/>
    <row r="1179" ht="14.25" customHeight="1" x14ac:dyDescent="0.3"/>
    <row r="1180" ht="14.25" customHeight="1" x14ac:dyDescent="0.3"/>
    <row r="1181" ht="14.25" customHeight="1" x14ac:dyDescent="0.3"/>
    <row r="1182" ht="14.25" customHeight="1" x14ac:dyDescent="0.3"/>
    <row r="1183" ht="14.25" customHeight="1" x14ac:dyDescent="0.3"/>
    <row r="1184" ht="14.25" customHeight="1" x14ac:dyDescent="0.3"/>
    <row r="1185" ht="14.25" customHeight="1" x14ac:dyDescent="0.3"/>
    <row r="1186" ht="14.25" customHeight="1" x14ac:dyDescent="0.3"/>
    <row r="1187" ht="14.25" customHeight="1" x14ac:dyDescent="0.3"/>
    <row r="1188" ht="14.25" customHeight="1" x14ac:dyDescent="0.3"/>
    <row r="1189" ht="14.25" customHeight="1" x14ac:dyDescent="0.3"/>
    <row r="1190" ht="14.25" customHeight="1" x14ac:dyDescent="0.3"/>
    <row r="1191" ht="14.25" customHeight="1" x14ac:dyDescent="0.3"/>
    <row r="1192" ht="14.25" customHeight="1" x14ac:dyDescent="0.3"/>
    <row r="1193" ht="14.25" customHeight="1" x14ac:dyDescent="0.3"/>
    <row r="1194" ht="14.25" customHeight="1" x14ac:dyDescent="0.3"/>
    <row r="1195" ht="14.25" customHeight="1" x14ac:dyDescent="0.3"/>
    <row r="1196" ht="14.25" customHeight="1" x14ac:dyDescent="0.3"/>
    <row r="1197" ht="14.25" customHeight="1" x14ac:dyDescent="0.3"/>
    <row r="1198" ht="14.25" customHeight="1" x14ac:dyDescent="0.3"/>
    <row r="1199" ht="14.25" customHeight="1" x14ac:dyDescent="0.3"/>
    <row r="1200" ht="14.25" customHeight="1" x14ac:dyDescent="0.3"/>
    <row r="1201" ht="14.25" customHeight="1" x14ac:dyDescent="0.3"/>
    <row r="1202" ht="14.25" customHeight="1" x14ac:dyDescent="0.3"/>
    <row r="1203" ht="14.25" customHeight="1" x14ac:dyDescent="0.3"/>
    <row r="1204" ht="14.25" customHeight="1" x14ac:dyDescent="0.3"/>
    <row r="1205" ht="14.25" customHeight="1" x14ac:dyDescent="0.3"/>
    <row r="1206" ht="14.25" customHeight="1" x14ac:dyDescent="0.3"/>
    <row r="1207" ht="14.25" customHeight="1" x14ac:dyDescent="0.3"/>
    <row r="1208" ht="14.25" customHeight="1" x14ac:dyDescent="0.3"/>
    <row r="1209" ht="14.25" customHeight="1" x14ac:dyDescent="0.3"/>
    <row r="1210" ht="14.25" customHeight="1" x14ac:dyDescent="0.3"/>
    <row r="1211" ht="14.25" customHeight="1" x14ac:dyDescent="0.3"/>
    <row r="1212" ht="14.25" customHeight="1" x14ac:dyDescent="0.3"/>
    <row r="1213" ht="14.25" customHeight="1" x14ac:dyDescent="0.3"/>
    <row r="1214" ht="14.25" customHeight="1" x14ac:dyDescent="0.3"/>
    <row r="1215" ht="14.25" customHeight="1" x14ac:dyDescent="0.3"/>
    <row r="1216" ht="14.25" customHeight="1" x14ac:dyDescent="0.3"/>
    <row r="1217" ht="14.25" customHeight="1" x14ac:dyDescent="0.3"/>
    <row r="1218" ht="14.25" customHeight="1" x14ac:dyDescent="0.3"/>
    <row r="1219" ht="14.25" customHeight="1" x14ac:dyDescent="0.3"/>
    <row r="1220" ht="14.25" customHeight="1" x14ac:dyDescent="0.3"/>
    <row r="1221" ht="14.25" customHeight="1" x14ac:dyDescent="0.3"/>
    <row r="1222" ht="14.25" customHeight="1" x14ac:dyDescent="0.3"/>
    <row r="1223" ht="14.25" customHeight="1" x14ac:dyDescent="0.3"/>
    <row r="1224" ht="14.25" customHeight="1" x14ac:dyDescent="0.3"/>
    <row r="1225" ht="14.25" customHeight="1" x14ac:dyDescent="0.3"/>
    <row r="1226" ht="14.25" customHeight="1" x14ac:dyDescent="0.3"/>
    <row r="1227" ht="14.25" customHeight="1" x14ac:dyDescent="0.3"/>
    <row r="1228" ht="14.25" customHeight="1" x14ac:dyDescent="0.3"/>
    <row r="1229" ht="14.25" customHeight="1" x14ac:dyDescent="0.3"/>
    <row r="1230" ht="14.25" customHeight="1" x14ac:dyDescent="0.3"/>
    <row r="1231" ht="14.25" customHeight="1" x14ac:dyDescent="0.3"/>
    <row r="1232" ht="14.25" customHeight="1" x14ac:dyDescent="0.3"/>
    <row r="1233" ht="14.25" customHeight="1" x14ac:dyDescent="0.3"/>
    <row r="1234" ht="14.25" customHeight="1" x14ac:dyDescent="0.3"/>
    <row r="1235" ht="14.25" customHeight="1" x14ac:dyDescent="0.3"/>
    <row r="1236" ht="14.25" customHeight="1" x14ac:dyDescent="0.3"/>
    <row r="1237" ht="14.25" customHeight="1" x14ac:dyDescent="0.3"/>
    <row r="1238" ht="14.25" customHeight="1" x14ac:dyDescent="0.3"/>
    <row r="1239" ht="14.25" customHeight="1" x14ac:dyDescent="0.3"/>
    <row r="1240" ht="14.25" customHeight="1" x14ac:dyDescent="0.3"/>
    <row r="1241" ht="14.25" customHeight="1" x14ac:dyDescent="0.3"/>
    <row r="1242" ht="14.25" customHeight="1" x14ac:dyDescent="0.3"/>
    <row r="1243" ht="14.25" customHeight="1" x14ac:dyDescent="0.3"/>
    <row r="1244" ht="14.25" customHeight="1" x14ac:dyDescent="0.3"/>
    <row r="1245" ht="14.25" customHeight="1" x14ac:dyDescent="0.3"/>
    <row r="1246" ht="14.25" customHeight="1" x14ac:dyDescent="0.3"/>
    <row r="1247" ht="14.25" customHeight="1" x14ac:dyDescent="0.3"/>
    <row r="1248" ht="14.25" customHeight="1" x14ac:dyDescent="0.3"/>
    <row r="1249" ht="14.25" customHeight="1" x14ac:dyDescent="0.3"/>
    <row r="1250" ht="14.25" customHeight="1" x14ac:dyDescent="0.3"/>
    <row r="1251" ht="14.25" customHeight="1" x14ac:dyDescent="0.3"/>
    <row r="1252" ht="14.25" customHeight="1" x14ac:dyDescent="0.3"/>
    <row r="1253" ht="14.25" customHeight="1" x14ac:dyDescent="0.3"/>
    <row r="1254" ht="14.25" customHeight="1" x14ac:dyDescent="0.3"/>
    <row r="1255" ht="14.25" customHeight="1" x14ac:dyDescent="0.3"/>
    <row r="1256" ht="14.25" customHeight="1" x14ac:dyDescent="0.3"/>
    <row r="1257" ht="14.25" customHeight="1" x14ac:dyDescent="0.3"/>
    <row r="1258" ht="14.25" customHeight="1" x14ac:dyDescent="0.3"/>
    <row r="1259" ht="14.25" customHeight="1" x14ac:dyDescent="0.3"/>
    <row r="1260" ht="14.25" customHeight="1" x14ac:dyDescent="0.3"/>
    <row r="1261" ht="14.25" customHeight="1" x14ac:dyDescent="0.3"/>
    <row r="1262" ht="14.25" customHeight="1" x14ac:dyDescent="0.3"/>
    <row r="1263" ht="14.25" customHeight="1" x14ac:dyDescent="0.3"/>
    <row r="1264" ht="14.25" customHeight="1" x14ac:dyDescent="0.3"/>
    <row r="1265" ht="14.25" customHeight="1" x14ac:dyDescent="0.3"/>
    <row r="1266" ht="14.25" customHeight="1" x14ac:dyDescent="0.3"/>
    <row r="1267" ht="14.25" customHeight="1" x14ac:dyDescent="0.3"/>
    <row r="1268" ht="14.25" customHeight="1" x14ac:dyDescent="0.3"/>
    <row r="1269" ht="14.25" customHeight="1" x14ac:dyDescent="0.3"/>
    <row r="1270" ht="14.25" customHeight="1" x14ac:dyDescent="0.3"/>
    <row r="1271" ht="14.25" customHeight="1" x14ac:dyDescent="0.3"/>
    <row r="1272" ht="14.25" customHeight="1" x14ac:dyDescent="0.3"/>
    <row r="1273" ht="14.25" customHeight="1" x14ac:dyDescent="0.3"/>
    <row r="1274" ht="14.25" customHeight="1" x14ac:dyDescent="0.3"/>
    <row r="1275" ht="14.25" customHeight="1" x14ac:dyDescent="0.3"/>
    <row r="1276" ht="14.25" customHeight="1" x14ac:dyDescent="0.3"/>
    <row r="1277" ht="14.25" customHeight="1" x14ac:dyDescent="0.3"/>
    <row r="1278" ht="14.25" customHeight="1" x14ac:dyDescent="0.3"/>
    <row r="1279" ht="14.25" customHeight="1" x14ac:dyDescent="0.3"/>
    <row r="1280" ht="14.25" customHeight="1" x14ac:dyDescent="0.3"/>
    <row r="1281" ht="14.25" customHeight="1" x14ac:dyDescent="0.3"/>
    <row r="1282" ht="14.25" customHeight="1" x14ac:dyDescent="0.3"/>
    <row r="1283" ht="14.25" customHeight="1" x14ac:dyDescent="0.3"/>
    <row r="1284" ht="14.25" customHeight="1" x14ac:dyDescent="0.3"/>
    <row r="1285" ht="14.25" customHeight="1" x14ac:dyDescent="0.3"/>
    <row r="1286" ht="14.25" customHeight="1" x14ac:dyDescent="0.3"/>
    <row r="1287" ht="14.25" customHeight="1" x14ac:dyDescent="0.3"/>
    <row r="1288" ht="14.25" customHeight="1" x14ac:dyDescent="0.3"/>
    <row r="1289" ht="14.25" customHeight="1" x14ac:dyDescent="0.3"/>
    <row r="1290" ht="14.25" customHeight="1" x14ac:dyDescent="0.3"/>
    <row r="1291" ht="14.25" customHeight="1" x14ac:dyDescent="0.3"/>
    <row r="1292" ht="14.25" customHeight="1" x14ac:dyDescent="0.3"/>
    <row r="1293" ht="14.25" customHeight="1" x14ac:dyDescent="0.3"/>
    <row r="1294" ht="14.25" customHeight="1" x14ac:dyDescent="0.3"/>
    <row r="1295" ht="14.25" customHeight="1" x14ac:dyDescent="0.3"/>
    <row r="1296" ht="14.25" customHeight="1" x14ac:dyDescent="0.3"/>
    <row r="1297" ht="14.25" customHeight="1" x14ac:dyDescent="0.3"/>
    <row r="1298" ht="14.25" customHeight="1" x14ac:dyDescent="0.3"/>
    <row r="1299" ht="14.25" customHeight="1" x14ac:dyDescent="0.3"/>
    <row r="1300" ht="14.25" customHeight="1" x14ac:dyDescent="0.3"/>
    <row r="1301" ht="14.25" customHeight="1" x14ac:dyDescent="0.3"/>
    <row r="1302" ht="14.25" customHeight="1" x14ac:dyDescent="0.3"/>
    <row r="1303" ht="14.25" customHeight="1" x14ac:dyDescent="0.3"/>
    <row r="1304" ht="14.25" customHeight="1" x14ac:dyDescent="0.3"/>
    <row r="1305" ht="14.25" customHeight="1" x14ac:dyDescent="0.3"/>
    <row r="1306" ht="14.25" customHeight="1" x14ac:dyDescent="0.3"/>
    <row r="1307" ht="14.25" customHeight="1" x14ac:dyDescent="0.3"/>
    <row r="1308" ht="14.25" customHeight="1" x14ac:dyDescent="0.3"/>
    <row r="1309" ht="14.25" customHeight="1" x14ac:dyDescent="0.3"/>
    <row r="1310" ht="14.25" customHeight="1" x14ac:dyDescent="0.3"/>
    <row r="1311" ht="14.25" customHeight="1" x14ac:dyDescent="0.3"/>
    <row r="1312" ht="14.25" customHeight="1" x14ac:dyDescent="0.3"/>
    <row r="1313" ht="14.25" customHeight="1" x14ac:dyDescent="0.3"/>
    <row r="1314" ht="14.25" customHeight="1" x14ac:dyDescent="0.3"/>
    <row r="1315" ht="14.25" customHeight="1" x14ac:dyDescent="0.3"/>
    <row r="1316" ht="14.25" customHeight="1" x14ac:dyDescent="0.3"/>
    <row r="1317" ht="14.25" customHeight="1" x14ac:dyDescent="0.3"/>
    <row r="1318" ht="14.25" customHeight="1" x14ac:dyDescent="0.3"/>
    <row r="1319" ht="14.25" customHeight="1" x14ac:dyDescent="0.3"/>
    <row r="1320" ht="14.25" customHeight="1" x14ac:dyDescent="0.3"/>
    <row r="1321" ht="14.25" customHeight="1" x14ac:dyDescent="0.3"/>
    <row r="1322" ht="14.25" customHeight="1" x14ac:dyDescent="0.3"/>
    <row r="1323" ht="14.25" customHeight="1" x14ac:dyDescent="0.3"/>
    <row r="1324" ht="14.25" customHeight="1" x14ac:dyDescent="0.3"/>
    <row r="1325" ht="14.25" customHeight="1" x14ac:dyDescent="0.3"/>
    <row r="1326" ht="14.25" customHeight="1" x14ac:dyDescent="0.3"/>
    <row r="1327" ht="14.25" customHeight="1" x14ac:dyDescent="0.3"/>
    <row r="1328" ht="14.25" customHeight="1" x14ac:dyDescent="0.3"/>
    <row r="1329" ht="14.25" customHeight="1" x14ac:dyDescent="0.3"/>
    <row r="1330" ht="14.25" customHeight="1" x14ac:dyDescent="0.3"/>
    <row r="1331" ht="14.25" customHeight="1" x14ac:dyDescent="0.3"/>
    <row r="1332" ht="14.25" customHeight="1" x14ac:dyDescent="0.3"/>
    <row r="1333" ht="14.25" customHeight="1" x14ac:dyDescent="0.3"/>
    <row r="1334" ht="14.25" customHeight="1" x14ac:dyDescent="0.3"/>
    <row r="1335" ht="14.25" customHeight="1" x14ac:dyDescent="0.3"/>
    <row r="1336" ht="14.25" customHeight="1" x14ac:dyDescent="0.3"/>
    <row r="1337" ht="14.25" customHeight="1" x14ac:dyDescent="0.3"/>
    <row r="1338" ht="14.25" customHeight="1" x14ac:dyDescent="0.3"/>
    <row r="1339" ht="14.25" customHeight="1" x14ac:dyDescent="0.3"/>
    <row r="1340" ht="14.25" customHeight="1" x14ac:dyDescent="0.3"/>
    <row r="1341" ht="14.25" customHeight="1" x14ac:dyDescent="0.3"/>
    <row r="1342" ht="14.25" customHeight="1" x14ac:dyDescent="0.3"/>
    <row r="1343" ht="14.25" customHeight="1" x14ac:dyDescent="0.3"/>
    <row r="1344" ht="14.25" customHeight="1" x14ac:dyDescent="0.3"/>
    <row r="1345" ht="14.25" customHeight="1" x14ac:dyDescent="0.3"/>
    <row r="1346" ht="14.25" customHeight="1" x14ac:dyDescent="0.3"/>
    <row r="1347" ht="14.25" customHeight="1" x14ac:dyDescent="0.3"/>
    <row r="1348" ht="14.25" customHeight="1" x14ac:dyDescent="0.3"/>
    <row r="1349" ht="14.25" customHeight="1" x14ac:dyDescent="0.3"/>
    <row r="1350" ht="14.25" customHeight="1" x14ac:dyDescent="0.3"/>
    <row r="1351" ht="14.25" customHeight="1" x14ac:dyDescent="0.3"/>
    <row r="1352" ht="14.25" customHeight="1" x14ac:dyDescent="0.3"/>
    <row r="1353" ht="14.25" customHeight="1" x14ac:dyDescent="0.3"/>
    <row r="1354" ht="14.25" customHeight="1" x14ac:dyDescent="0.3"/>
    <row r="1355" ht="14.25" customHeight="1" x14ac:dyDescent="0.3"/>
    <row r="1356" ht="14.25" customHeight="1" x14ac:dyDescent="0.3"/>
    <row r="1357" ht="14.25" customHeight="1" x14ac:dyDescent="0.3"/>
    <row r="1358" ht="14.25" customHeight="1" x14ac:dyDescent="0.3"/>
    <row r="1359" ht="14.25" customHeight="1" x14ac:dyDescent="0.3"/>
    <row r="1360" ht="14.25" customHeight="1" x14ac:dyDescent="0.3"/>
    <row r="1361" ht="14.25" customHeight="1" x14ac:dyDescent="0.3"/>
    <row r="1362" ht="14.25" customHeight="1" x14ac:dyDescent="0.3"/>
    <row r="1363" ht="14.25" customHeight="1" x14ac:dyDescent="0.3"/>
    <row r="1364" ht="14.25" customHeight="1" x14ac:dyDescent="0.3"/>
    <row r="1365" ht="14.25" customHeight="1" x14ac:dyDescent="0.3"/>
    <row r="1366" ht="14.25" customHeight="1" x14ac:dyDescent="0.3"/>
    <row r="1367" ht="14.25" customHeight="1" x14ac:dyDescent="0.3"/>
    <row r="1368" ht="14.25" customHeight="1" x14ac:dyDescent="0.3"/>
    <row r="1369" ht="14.25" customHeight="1" x14ac:dyDescent="0.3"/>
    <row r="1370" ht="14.25" customHeight="1" x14ac:dyDescent="0.3"/>
    <row r="1371" ht="14.25" customHeight="1" x14ac:dyDescent="0.3"/>
    <row r="1372" ht="14.25" customHeight="1" x14ac:dyDescent="0.3"/>
    <row r="1373" ht="14.25" customHeight="1" x14ac:dyDescent="0.3"/>
    <row r="1374" ht="14.25" customHeight="1" x14ac:dyDescent="0.3"/>
    <row r="1375" ht="14.25" customHeight="1" x14ac:dyDescent="0.3"/>
    <row r="1376" ht="14.25" customHeight="1" x14ac:dyDescent="0.3"/>
    <row r="1377" ht="14.25" customHeight="1" x14ac:dyDescent="0.3"/>
    <row r="1378" ht="14.25" customHeight="1" x14ac:dyDescent="0.3"/>
    <row r="1379" ht="14.25" customHeight="1" x14ac:dyDescent="0.3"/>
    <row r="1380" ht="14.25" customHeight="1" x14ac:dyDescent="0.3"/>
    <row r="1381" ht="14.25" customHeight="1" x14ac:dyDescent="0.3"/>
    <row r="1382" ht="14.25" customHeight="1" x14ac:dyDescent="0.3"/>
    <row r="1383" ht="14.25" customHeight="1" x14ac:dyDescent="0.3"/>
    <row r="1384" ht="14.25" customHeight="1" x14ac:dyDescent="0.3"/>
    <row r="1385" ht="14.25" customHeight="1" x14ac:dyDescent="0.3"/>
    <row r="1386" ht="14.25" customHeight="1" x14ac:dyDescent="0.3"/>
    <row r="1387" ht="14.25" customHeight="1" x14ac:dyDescent="0.3"/>
    <row r="1388" ht="14.25" customHeight="1" x14ac:dyDescent="0.3"/>
    <row r="1389" ht="14.25" customHeight="1" x14ac:dyDescent="0.3"/>
    <row r="1390" ht="14.25" customHeight="1" x14ac:dyDescent="0.3"/>
    <row r="1391" ht="14.25" customHeight="1" x14ac:dyDescent="0.3"/>
    <row r="1392" ht="14.25" customHeight="1" x14ac:dyDescent="0.3"/>
    <row r="1393" ht="14.25" customHeight="1" x14ac:dyDescent="0.3"/>
    <row r="1394" ht="14.25" customHeight="1" x14ac:dyDescent="0.3"/>
    <row r="1395" ht="14.25" customHeight="1" x14ac:dyDescent="0.3"/>
    <row r="1396" ht="14.25" customHeight="1" x14ac:dyDescent="0.3"/>
    <row r="1397" ht="14.25" customHeight="1" x14ac:dyDescent="0.3"/>
    <row r="1398" ht="14.25" customHeight="1" x14ac:dyDescent="0.3"/>
    <row r="1399" ht="14.25" customHeight="1" x14ac:dyDescent="0.3"/>
    <row r="1400" ht="14.25" customHeight="1" x14ac:dyDescent="0.3"/>
    <row r="1401" ht="14.25" customHeight="1" x14ac:dyDescent="0.3"/>
    <row r="1402" ht="14.25" customHeight="1" x14ac:dyDescent="0.3"/>
    <row r="1403" ht="14.25" customHeight="1" x14ac:dyDescent="0.3"/>
    <row r="1404" ht="14.25" customHeight="1" x14ac:dyDescent="0.3"/>
    <row r="1405" ht="14.25" customHeight="1" x14ac:dyDescent="0.3"/>
    <row r="1406" ht="14.25" customHeight="1" x14ac:dyDescent="0.3"/>
    <row r="1407" ht="14.25" customHeight="1" x14ac:dyDescent="0.3"/>
    <row r="1408" ht="14.25" customHeight="1" x14ac:dyDescent="0.3"/>
    <row r="1409" ht="14.25" customHeight="1" x14ac:dyDescent="0.3"/>
    <row r="1410" ht="14.25" customHeight="1" x14ac:dyDescent="0.3"/>
    <row r="1411" ht="14.25" customHeight="1" x14ac:dyDescent="0.3"/>
    <row r="1412" ht="14.25" customHeight="1" x14ac:dyDescent="0.3"/>
    <row r="1413" ht="14.25" customHeight="1" x14ac:dyDescent="0.3"/>
    <row r="1414" ht="14.25" customHeight="1" x14ac:dyDescent="0.3"/>
    <row r="1415" ht="14.25" customHeight="1" x14ac:dyDescent="0.3"/>
    <row r="1416" ht="14.25" customHeight="1" x14ac:dyDescent="0.3"/>
    <row r="1417" ht="14.25" customHeight="1" x14ac:dyDescent="0.3"/>
    <row r="1418" ht="14.25" customHeight="1" x14ac:dyDescent="0.3"/>
    <row r="1419" ht="14.25" customHeight="1" x14ac:dyDescent="0.3"/>
    <row r="1420" ht="14.25" customHeight="1" x14ac:dyDescent="0.3"/>
    <row r="1421" ht="14.25" customHeight="1" x14ac:dyDescent="0.3"/>
    <row r="1422" ht="14.25" customHeight="1" x14ac:dyDescent="0.3"/>
    <row r="1423" ht="14.25" customHeight="1" x14ac:dyDescent="0.3"/>
    <row r="1424" ht="14.25" customHeight="1" x14ac:dyDescent="0.3"/>
    <row r="1425" ht="14.25" customHeight="1" x14ac:dyDescent="0.3"/>
    <row r="1426" ht="14.25" customHeight="1" x14ac:dyDescent="0.3"/>
    <row r="1427" ht="14.25" customHeight="1" x14ac:dyDescent="0.3"/>
    <row r="1428" ht="14.25" customHeight="1" x14ac:dyDescent="0.3"/>
    <row r="1429" ht="14.25" customHeight="1" x14ac:dyDescent="0.3"/>
    <row r="1430" ht="14.25" customHeight="1" x14ac:dyDescent="0.3"/>
    <row r="1431" ht="14.25" customHeight="1" x14ac:dyDescent="0.3"/>
    <row r="1432" ht="14.25" customHeight="1" x14ac:dyDescent="0.3"/>
    <row r="1433" ht="14.25" customHeight="1" x14ac:dyDescent="0.3"/>
    <row r="1434" ht="14.25" customHeight="1" x14ac:dyDescent="0.3"/>
    <row r="1435" ht="14.25" customHeight="1" x14ac:dyDescent="0.3"/>
    <row r="1436" ht="14.25" customHeight="1" x14ac:dyDescent="0.3"/>
    <row r="1437" ht="14.25" customHeight="1" x14ac:dyDescent="0.3"/>
    <row r="1438" ht="14.25" customHeight="1" x14ac:dyDescent="0.3"/>
    <row r="1439" ht="14.25" customHeight="1" x14ac:dyDescent="0.3"/>
    <row r="1440" ht="14.25" customHeight="1" x14ac:dyDescent="0.3"/>
    <row r="1441" ht="14.25" customHeight="1" x14ac:dyDescent="0.3"/>
    <row r="1442" ht="14.25" customHeight="1" x14ac:dyDescent="0.3"/>
    <row r="1443" ht="14.25" customHeight="1" x14ac:dyDescent="0.3"/>
    <row r="1444" ht="14.25" customHeight="1" x14ac:dyDescent="0.3"/>
    <row r="1445" ht="14.25" customHeight="1" x14ac:dyDescent="0.3"/>
    <row r="1446" ht="14.25" customHeight="1" x14ac:dyDescent="0.3"/>
    <row r="1447" ht="14.25" customHeight="1" x14ac:dyDescent="0.3"/>
    <row r="1448" ht="14.25" customHeight="1" x14ac:dyDescent="0.3"/>
    <row r="1449" ht="14.25" customHeight="1" x14ac:dyDescent="0.3"/>
    <row r="1450" ht="14.25" customHeight="1" x14ac:dyDescent="0.3"/>
    <row r="1451" ht="14.25" customHeight="1" x14ac:dyDescent="0.3"/>
    <row r="1452" ht="14.25" customHeight="1" x14ac:dyDescent="0.3"/>
    <row r="1453" ht="14.25" customHeight="1" x14ac:dyDescent="0.3"/>
    <row r="1454" ht="14.25" customHeight="1" x14ac:dyDescent="0.3"/>
    <row r="1455" ht="14.25" customHeight="1" x14ac:dyDescent="0.3"/>
    <row r="1456" ht="14.25" customHeight="1" x14ac:dyDescent="0.3"/>
    <row r="1457" ht="14.25" customHeight="1" x14ac:dyDescent="0.3"/>
    <row r="1458" ht="14.25" customHeight="1" x14ac:dyDescent="0.3"/>
    <row r="1459" ht="14.25" customHeight="1" x14ac:dyDescent="0.3"/>
    <row r="1460" ht="14.25" customHeight="1" x14ac:dyDescent="0.3"/>
    <row r="1461" ht="14.25" customHeight="1" x14ac:dyDescent="0.3"/>
    <row r="1462" ht="14.25" customHeight="1" x14ac:dyDescent="0.3"/>
    <row r="1463" ht="14.25" customHeight="1" x14ac:dyDescent="0.3"/>
    <row r="1464" ht="14.25" customHeight="1" x14ac:dyDescent="0.3"/>
    <row r="1465" ht="14.25" customHeight="1" x14ac:dyDescent="0.3"/>
    <row r="1466" ht="14.25" customHeight="1" x14ac:dyDescent="0.3"/>
    <row r="1467" ht="14.25" customHeight="1" x14ac:dyDescent="0.3"/>
    <row r="1468" ht="14.25" customHeight="1" x14ac:dyDescent="0.3"/>
    <row r="1469" ht="14.25" customHeight="1" x14ac:dyDescent="0.3"/>
    <row r="1470" ht="14.25" customHeight="1" x14ac:dyDescent="0.3"/>
    <row r="1471" ht="14.25" customHeight="1" x14ac:dyDescent="0.3"/>
    <row r="1472" ht="14.25" customHeight="1" x14ac:dyDescent="0.3"/>
    <row r="1473" ht="14.25" customHeight="1" x14ac:dyDescent="0.3"/>
    <row r="1474" ht="14.25" customHeight="1" x14ac:dyDescent="0.3"/>
    <row r="1475" ht="14.25" customHeight="1" x14ac:dyDescent="0.3"/>
    <row r="1476" ht="14.25" customHeight="1" x14ac:dyDescent="0.3"/>
    <row r="1477" ht="14.25" customHeight="1" x14ac:dyDescent="0.3"/>
    <row r="1478" ht="14.25" customHeight="1" x14ac:dyDescent="0.3"/>
    <row r="1479" ht="14.25" customHeight="1" x14ac:dyDescent="0.3"/>
    <row r="1480" ht="14.25" customHeight="1" x14ac:dyDescent="0.3"/>
    <row r="1481" ht="14.25" customHeight="1" x14ac:dyDescent="0.3"/>
    <row r="1482" ht="14.25" customHeight="1" x14ac:dyDescent="0.3"/>
    <row r="1483" ht="14.25" customHeight="1" x14ac:dyDescent="0.3"/>
    <row r="1484" ht="14.25" customHeight="1" x14ac:dyDescent="0.3"/>
    <row r="1485" ht="14.25" customHeight="1" x14ac:dyDescent="0.3"/>
    <row r="1486" ht="14.25" customHeight="1" x14ac:dyDescent="0.3"/>
    <row r="1487" ht="14.25" customHeight="1" x14ac:dyDescent="0.3"/>
    <row r="1488" ht="14.25" customHeight="1" x14ac:dyDescent="0.3"/>
    <row r="1489" ht="14.25" customHeight="1" x14ac:dyDescent="0.3"/>
    <row r="1490" ht="14.25" customHeight="1" x14ac:dyDescent="0.3"/>
    <row r="1491" ht="14.25" customHeight="1" x14ac:dyDescent="0.3"/>
    <row r="1492" ht="14.25" customHeight="1" x14ac:dyDescent="0.3"/>
    <row r="1493" ht="14.25" customHeight="1" x14ac:dyDescent="0.3"/>
    <row r="1494" ht="14.25" customHeight="1" x14ac:dyDescent="0.3"/>
    <row r="1495" ht="14.25" customHeight="1" x14ac:dyDescent="0.3"/>
    <row r="1496" ht="14.25" customHeight="1" x14ac:dyDescent="0.3"/>
    <row r="1497" ht="14.25" customHeight="1" x14ac:dyDescent="0.3"/>
    <row r="1498" ht="14.25" customHeight="1" x14ac:dyDescent="0.3"/>
    <row r="1499" ht="14.25" customHeight="1" x14ac:dyDescent="0.3"/>
    <row r="1500" ht="14.25" customHeight="1" x14ac:dyDescent="0.3"/>
    <row r="1501" ht="14.25" customHeight="1" x14ac:dyDescent="0.3"/>
    <row r="1502" ht="14.25" customHeight="1" x14ac:dyDescent="0.3"/>
    <row r="1503" ht="14.25" customHeight="1" x14ac:dyDescent="0.3"/>
    <row r="1504" ht="14.25" customHeight="1" x14ac:dyDescent="0.3"/>
    <row r="1505" ht="14.25" customHeight="1" x14ac:dyDescent="0.3"/>
    <row r="1506" ht="14.25" customHeight="1" x14ac:dyDescent="0.3"/>
    <row r="1507" ht="14.25" customHeight="1" x14ac:dyDescent="0.3"/>
    <row r="1508" ht="14.25" customHeight="1" x14ac:dyDescent="0.3"/>
    <row r="1509" ht="14.25" customHeight="1" x14ac:dyDescent="0.3"/>
    <row r="1510" ht="14.25" customHeight="1" x14ac:dyDescent="0.3"/>
    <row r="1511" ht="14.25" customHeight="1" x14ac:dyDescent="0.3"/>
    <row r="1512" ht="14.25" customHeight="1" x14ac:dyDescent="0.3"/>
    <row r="1513" ht="14.25" customHeight="1" x14ac:dyDescent="0.3"/>
    <row r="1514" ht="14.25" customHeight="1" x14ac:dyDescent="0.3"/>
    <row r="1515" ht="14.25" customHeight="1" x14ac:dyDescent="0.3"/>
    <row r="1516" ht="14.25" customHeight="1" x14ac:dyDescent="0.3"/>
    <row r="1517" ht="14.25" customHeight="1" x14ac:dyDescent="0.3"/>
    <row r="1518" ht="14.25" customHeight="1" x14ac:dyDescent="0.3"/>
    <row r="1519" ht="14.25" customHeight="1" x14ac:dyDescent="0.3"/>
    <row r="1520" ht="14.25" customHeight="1" x14ac:dyDescent="0.3"/>
    <row r="1521" ht="14.25" customHeight="1" x14ac:dyDescent="0.3"/>
    <row r="1522" ht="14.25" customHeight="1" x14ac:dyDescent="0.3"/>
    <row r="1523" ht="14.25" customHeight="1" x14ac:dyDescent="0.3"/>
    <row r="1524" ht="14.25" customHeight="1" x14ac:dyDescent="0.3"/>
    <row r="1525" ht="14.25" customHeight="1" x14ac:dyDescent="0.3"/>
    <row r="1526" ht="14.25" customHeight="1" x14ac:dyDescent="0.3"/>
    <row r="1527" ht="14.25" customHeight="1" x14ac:dyDescent="0.3"/>
    <row r="1528" ht="14.25" customHeight="1" x14ac:dyDescent="0.3"/>
    <row r="1529" ht="14.25" customHeight="1" x14ac:dyDescent="0.3"/>
    <row r="1530" ht="14.25" customHeight="1" x14ac:dyDescent="0.3"/>
    <row r="1531" ht="14.25" customHeight="1" x14ac:dyDescent="0.3"/>
    <row r="1532" ht="14.25" customHeight="1" x14ac:dyDescent="0.3"/>
    <row r="1533" ht="14.25" customHeight="1" x14ac:dyDescent="0.3"/>
    <row r="1534" ht="14.25" customHeight="1" x14ac:dyDescent="0.3"/>
    <row r="1535" ht="14.25" customHeight="1" x14ac:dyDescent="0.3"/>
    <row r="1536" ht="14.25" customHeight="1" x14ac:dyDescent="0.3"/>
    <row r="1537" ht="14.25" customHeight="1" x14ac:dyDescent="0.3"/>
    <row r="1538" ht="14.25" customHeight="1" x14ac:dyDescent="0.3"/>
    <row r="1539" ht="14.25" customHeight="1" x14ac:dyDescent="0.3"/>
    <row r="1540" ht="14.25" customHeight="1" x14ac:dyDescent="0.3"/>
    <row r="1541" ht="14.25" customHeight="1" x14ac:dyDescent="0.3"/>
    <row r="1542" ht="14.25" customHeight="1" x14ac:dyDescent="0.3"/>
    <row r="1543" ht="14.25" customHeight="1" x14ac:dyDescent="0.3"/>
    <row r="1544" ht="14.25" customHeight="1" x14ac:dyDescent="0.3"/>
    <row r="1545" ht="14.25" customHeight="1" x14ac:dyDescent="0.3"/>
    <row r="1546" ht="14.25" customHeight="1" x14ac:dyDescent="0.3"/>
    <row r="1547" ht="14.25" customHeight="1" x14ac:dyDescent="0.3"/>
    <row r="1548" ht="14.25" customHeight="1" x14ac:dyDescent="0.3"/>
    <row r="1549" ht="14.25" customHeight="1" x14ac:dyDescent="0.3"/>
    <row r="1550" ht="14.25" customHeight="1" x14ac:dyDescent="0.3"/>
    <row r="1551" ht="14.25" customHeight="1" x14ac:dyDescent="0.3"/>
    <row r="1552" ht="14.25" customHeight="1" x14ac:dyDescent="0.3"/>
    <row r="1553" ht="14.25" customHeight="1" x14ac:dyDescent="0.3"/>
    <row r="1554" ht="14.25" customHeight="1" x14ac:dyDescent="0.3"/>
    <row r="1555" ht="14.25" customHeight="1" x14ac:dyDescent="0.3"/>
    <row r="1556" ht="14.25" customHeight="1" x14ac:dyDescent="0.3"/>
    <row r="1557" ht="14.25" customHeight="1" x14ac:dyDescent="0.3"/>
    <row r="1558" ht="14.25" customHeight="1" x14ac:dyDescent="0.3"/>
    <row r="1559" ht="14.25" customHeight="1" x14ac:dyDescent="0.3"/>
    <row r="1560" ht="14.25" customHeight="1" x14ac:dyDescent="0.3"/>
    <row r="1561" ht="14.25" customHeight="1" x14ac:dyDescent="0.3"/>
    <row r="1562" ht="14.25" customHeight="1" x14ac:dyDescent="0.3"/>
    <row r="1563" ht="14.25" customHeight="1" x14ac:dyDescent="0.3"/>
    <row r="1564" ht="14.25" customHeight="1" x14ac:dyDescent="0.3"/>
    <row r="1565" ht="14.25" customHeight="1" x14ac:dyDescent="0.3"/>
    <row r="1566" ht="14.25" customHeight="1" x14ac:dyDescent="0.3"/>
    <row r="1567" ht="14.25" customHeight="1" x14ac:dyDescent="0.3"/>
    <row r="1568" ht="14.25" customHeight="1" x14ac:dyDescent="0.3"/>
    <row r="1569" ht="14.25" customHeight="1" x14ac:dyDescent="0.3"/>
    <row r="1570" ht="14.25" customHeight="1" x14ac:dyDescent="0.3"/>
    <row r="1571" ht="14.25" customHeight="1" x14ac:dyDescent="0.3"/>
    <row r="1572" ht="14.25" customHeight="1" x14ac:dyDescent="0.3"/>
    <row r="1573" ht="14.25" customHeight="1" x14ac:dyDescent="0.3"/>
    <row r="1574" ht="14.25" customHeight="1" x14ac:dyDescent="0.3"/>
    <row r="1575" ht="14.25" customHeight="1" x14ac:dyDescent="0.3"/>
    <row r="1576" ht="14.25" customHeight="1" x14ac:dyDescent="0.3"/>
    <row r="1577" ht="14.25" customHeight="1" x14ac:dyDescent="0.3"/>
    <row r="1578" ht="14.25" customHeight="1" x14ac:dyDescent="0.3"/>
    <row r="1579" ht="14.25" customHeight="1" x14ac:dyDescent="0.3"/>
    <row r="1580" ht="14.25" customHeight="1" x14ac:dyDescent="0.3"/>
    <row r="1581" ht="14.25" customHeight="1" x14ac:dyDescent="0.3"/>
    <row r="1582" ht="14.25" customHeight="1" x14ac:dyDescent="0.3"/>
    <row r="1583" ht="14.25" customHeight="1" x14ac:dyDescent="0.3"/>
    <row r="1584" ht="14.25" customHeight="1" x14ac:dyDescent="0.3"/>
    <row r="1585" ht="14.25" customHeight="1" x14ac:dyDescent="0.3"/>
    <row r="1586" ht="14.25" customHeight="1" x14ac:dyDescent="0.3"/>
    <row r="1587" ht="14.25" customHeight="1" x14ac:dyDescent="0.3"/>
    <row r="1588" ht="14.25" customHeight="1" x14ac:dyDescent="0.3"/>
    <row r="1589" ht="14.25" customHeight="1" x14ac:dyDescent="0.3"/>
    <row r="1590" ht="14.25" customHeight="1" x14ac:dyDescent="0.3"/>
    <row r="1591" ht="14.25" customHeight="1" x14ac:dyDescent="0.3"/>
    <row r="1592" ht="14.25" customHeight="1" x14ac:dyDescent="0.3"/>
    <row r="1593" ht="14.25" customHeight="1" x14ac:dyDescent="0.3"/>
    <row r="1594" ht="14.25" customHeight="1" x14ac:dyDescent="0.3"/>
    <row r="1595" ht="14.25" customHeight="1" x14ac:dyDescent="0.3"/>
    <row r="1596" ht="14.25" customHeight="1" x14ac:dyDescent="0.3"/>
    <row r="1597" ht="14.25" customHeight="1" x14ac:dyDescent="0.3"/>
    <row r="1598" ht="14.25" customHeight="1" x14ac:dyDescent="0.3"/>
    <row r="1599" ht="14.25" customHeight="1" x14ac:dyDescent="0.3"/>
    <row r="1600" ht="14.25" customHeight="1" x14ac:dyDescent="0.3"/>
    <row r="1601" ht="14.25" customHeight="1" x14ac:dyDescent="0.3"/>
    <row r="1602" ht="14.25" customHeight="1" x14ac:dyDescent="0.3"/>
    <row r="1603" ht="14.25" customHeight="1" x14ac:dyDescent="0.3"/>
    <row r="1604" ht="14.25" customHeight="1" x14ac:dyDescent="0.3"/>
    <row r="1605" ht="14.25" customHeight="1" x14ac:dyDescent="0.3"/>
    <row r="1606" ht="14.25" customHeight="1" x14ac:dyDescent="0.3"/>
    <row r="1607" ht="14.25" customHeight="1" x14ac:dyDescent="0.3"/>
    <row r="1608" ht="14.25" customHeight="1" x14ac:dyDescent="0.3"/>
    <row r="1609" ht="14.25" customHeight="1" x14ac:dyDescent="0.3"/>
    <row r="1610" ht="14.25" customHeight="1" x14ac:dyDescent="0.3"/>
    <row r="1611" ht="14.25" customHeight="1" x14ac:dyDescent="0.3"/>
    <row r="1612" ht="14.25" customHeight="1" x14ac:dyDescent="0.3"/>
    <row r="1613" ht="14.25" customHeight="1" x14ac:dyDescent="0.3"/>
    <row r="1614" ht="14.25" customHeight="1" x14ac:dyDescent="0.3"/>
    <row r="1615" ht="14.25" customHeight="1" x14ac:dyDescent="0.3"/>
    <row r="1616" ht="14.25" customHeight="1" x14ac:dyDescent="0.3"/>
    <row r="1617" ht="14.25" customHeight="1" x14ac:dyDescent="0.3"/>
    <row r="1618" ht="14.25" customHeight="1" x14ac:dyDescent="0.3"/>
    <row r="1619" ht="14.25" customHeight="1" x14ac:dyDescent="0.3"/>
    <row r="1620" ht="14.25" customHeight="1" x14ac:dyDescent="0.3"/>
    <row r="1621" ht="14.25" customHeight="1" x14ac:dyDescent="0.3"/>
    <row r="1622" ht="14.25" customHeight="1" x14ac:dyDescent="0.3"/>
    <row r="1623" ht="14.25" customHeight="1" x14ac:dyDescent="0.3"/>
    <row r="1624" ht="14.25" customHeight="1" x14ac:dyDescent="0.3"/>
    <row r="1625" ht="14.25" customHeight="1" x14ac:dyDescent="0.3"/>
    <row r="1626" ht="14.25" customHeight="1" x14ac:dyDescent="0.3"/>
    <row r="1627" ht="14.25" customHeight="1" x14ac:dyDescent="0.3"/>
    <row r="1628" ht="14.25" customHeight="1" x14ac:dyDescent="0.3"/>
    <row r="1629" ht="14.25" customHeight="1" x14ac:dyDescent="0.3"/>
    <row r="1630" ht="14.25" customHeight="1" x14ac:dyDescent="0.3"/>
    <row r="1631" ht="14.25" customHeight="1" x14ac:dyDescent="0.3"/>
    <row r="1632" ht="14.25" customHeight="1" x14ac:dyDescent="0.3"/>
    <row r="1633" ht="14.25" customHeight="1" x14ac:dyDescent="0.3"/>
    <row r="1634" ht="14.25" customHeight="1" x14ac:dyDescent="0.3"/>
    <row r="1635" ht="14.25" customHeight="1" x14ac:dyDescent="0.3"/>
    <row r="1636" ht="14.25" customHeight="1" x14ac:dyDescent="0.3"/>
    <row r="1637" ht="14.25" customHeight="1" x14ac:dyDescent="0.3"/>
    <row r="1638" ht="14.25" customHeight="1" x14ac:dyDescent="0.3"/>
    <row r="1639" ht="14.25" customHeight="1" x14ac:dyDescent="0.3"/>
    <row r="1640" ht="14.25" customHeight="1" x14ac:dyDescent="0.3"/>
    <row r="1641" ht="14.25" customHeight="1" x14ac:dyDescent="0.3"/>
    <row r="1642" ht="14.25" customHeight="1" x14ac:dyDescent="0.3"/>
    <row r="1643" ht="14.25" customHeight="1" x14ac:dyDescent="0.3"/>
    <row r="1644" ht="14.25" customHeight="1" x14ac:dyDescent="0.3"/>
    <row r="1645" ht="14.25" customHeight="1" x14ac:dyDescent="0.3"/>
    <row r="1646" ht="14.25" customHeight="1" x14ac:dyDescent="0.3"/>
    <row r="1647" ht="14.25" customHeight="1" x14ac:dyDescent="0.3"/>
    <row r="1648" ht="14.25" customHeight="1" x14ac:dyDescent="0.3"/>
    <row r="1649" ht="14.25" customHeight="1" x14ac:dyDescent="0.3"/>
    <row r="1650" ht="14.25" customHeight="1" x14ac:dyDescent="0.3"/>
    <row r="1651" ht="14.25" customHeight="1" x14ac:dyDescent="0.3"/>
    <row r="1652" ht="14.25" customHeight="1" x14ac:dyDescent="0.3"/>
    <row r="1653" ht="14.25" customHeight="1" x14ac:dyDescent="0.3"/>
    <row r="1654" ht="14.25" customHeight="1" x14ac:dyDescent="0.3"/>
    <row r="1655" ht="14.25" customHeight="1" x14ac:dyDescent="0.3"/>
    <row r="1656" ht="14.25" customHeight="1" x14ac:dyDescent="0.3"/>
    <row r="1657" ht="14.25" customHeight="1" x14ac:dyDescent="0.3"/>
    <row r="1658" ht="14.25" customHeight="1" x14ac:dyDescent="0.3"/>
    <row r="1659" ht="14.25" customHeight="1" x14ac:dyDescent="0.3"/>
    <row r="1660" ht="14.25" customHeight="1" x14ac:dyDescent="0.3"/>
    <row r="1661" ht="14.25" customHeight="1" x14ac:dyDescent="0.3"/>
    <row r="1662" ht="14.25" customHeight="1" x14ac:dyDescent="0.3"/>
    <row r="1663" ht="14.25" customHeight="1" x14ac:dyDescent="0.3"/>
    <row r="1664" ht="14.25" customHeight="1" x14ac:dyDescent="0.3"/>
    <row r="1665" ht="14.25" customHeight="1" x14ac:dyDescent="0.3"/>
    <row r="1666" ht="14.25" customHeight="1" x14ac:dyDescent="0.3"/>
    <row r="1667" ht="14.25" customHeight="1" x14ac:dyDescent="0.3"/>
    <row r="1668" ht="14.25" customHeight="1" x14ac:dyDescent="0.3"/>
    <row r="1669" ht="14.25" customHeight="1" x14ac:dyDescent="0.3"/>
    <row r="1670" ht="14.25" customHeight="1" x14ac:dyDescent="0.3"/>
    <row r="1671" ht="14.25" customHeight="1" x14ac:dyDescent="0.3"/>
    <row r="1672" ht="14.25" customHeight="1" x14ac:dyDescent="0.3"/>
    <row r="1673" ht="14.25" customHeight="1" x14ac:dyDescent="0.3"/>
    <row r="1674" ht="14.25" customHeight="1" x14ac:dyDescent="0.3"/>
    <row r="1675" ht="14.25" customHeight="1" x14ac:dyDescent="0.3"/>
    <row r="1676" ht="14.25" customHeight="1" x14ac:dyDescent="0.3"/>
    <row r="1677" ht="14.25" customHeight="1" x14ac:dyDescent="0.3"/>
    <row r="1678" ht="14.25" customHeight="1" x14ac:dyDescent="0.3"/>
    <row r="1679" ht="14.25" customHeight="1" x14ac:dyDescent="0.3"/>
    <row r="1680" ht="14.25" customHeight="1" x14ac:dyDescent="0.3"/>
    <row r="1681" ht="14.25" customHeight="1" x14ac:dyDescent="0.3"/>
    <row r="1682" ht="14.25" customHeight="1" x14ac:dyDescent="0.3"/>
    <row r="1683" ht="14.25" customHeight="1" x14ac:dyDescent="0.3"/>
    <row r="1684" ht="14.25" customHeight="1" x14ac:dyDescent="0.3"/>
    <row r="1685" ht="14.25" customHeight="1" x14ac:dyDescent="0.3"/>
    <row r="1686" ht="14.25" customHeight="1" x14ac:dyDescent="0.3"/>
    <row r="1687" ht="14.25" customHeight="1" x14ac:dyDescent="0.3"/>
    <row r="1688" ht="14.25" customHeight="1" x14ac:dyDescent="0.3"/>
    <row r="1689" ht="14.25" customHeight="1" x14ac:dyDescent="0.3"/>
    <row r="1690" ht="14.25" customHeight="1" x14ac:dyDescent="0.3"/>
    <row r="1691" ht="14.25" customHeight="1" x14ac:dyDescent="0.3"/>
    <row r="1692" ht="14.25" customHeight="1" x14ac:dyDescent="0.3"/>
    <row r="1693" ht="14.25" customHeight="1" x14ac:dyDescent="0.3"/>
    <row r="1694" ht="14.25" customHeight="1" x14ac:dyDescent="0.3"/>
    <row r="1695" ht="14.25" customHeight="1" x14ac:dyDescent="0.3"/>
    <row r="1696" ht="14.25" customHeight="1" x14ac:dyDescent="0.3"/>
    <row r="1697" ht="14.25" customHeight="1" x14ac:dyDescent="0.3"/>
    <row r="1698" ht="14.25" customHeight="1" x14ac:dyDescent="0.3"/>
    <row r="1699" ht="14.25" customHeight="1" x14ac:dyDescent="0.3"/>
    <row r="1700" ht="14.25" customHeight="1" x14ac:dyDescent="0.3"/>
    <row r="1701" ht="14.25" customHeight="1" x14ac:dyDescent="0.3"/>
    <row r="1702" ht="14.25" customHeight="1" x14ac:dyDescent="0.3"/>
    <row r="1703" ht="14.25" customHeight="1" x14ac:dyDescent="0.3"/>
    <row r="1704" ht="14.25" customHeight="1" x14ac:dyDescent="0.3"/>
    <row r="1705" ht="14.25" customHeight="1" x14ac:dyDescent="0.3"/>
    <row r="1706" ht="14.25" customHeight="1" x14ac:dyDescent="0.3"/>
    <row r="1707" ht="14.25" customHeight="1" x14ac:dyDescent="0.3"/>
    <row r="1708" ht="14.25" customHeight="1" x14ac:dyDescent="0.3"/>
    <row r="1709" ht="14.25" customHeight="1" x14ac:dyDescent="0.3"/>
    <row r="1710" ht="14.25" customHeight="1" x14ac:dyDescent="0.3"/>
    <row r="1711" ht="14.25" customHeight="1" x14ac:dyDescent="0.3"/>
    <row r="1712" ht="14.25" customHeight="1" x14ac:dyDescent="0.3"/>
    <row r="1713" ht="14.25" customHeight="1" x14ac:dyDescent="0.3"/>
    <row r="1714" ht="14.25" customHeight="1" x14ac:dyDescent="0.3"/>
    <row r="1715" ht="14.25" customHeight="1" x14ac:dyDescent="0.3"/>
    <row r="1716" ht="14.25" customHeight="1" x14ac:dyDescent="0.3"/>
    <row r="1717" ht="14.25" customHeight="1" x14ac:dyDescent="0.3"/>
    <row r="1718" ht="14.25" customHeight="1" x14ac:dyDescent="0.3"/>
    <row r="1719" ht="14.25" customHeight="1" x14ac:dyDescent="0.3"/>
    <row r="1720" ht="14.25" customHeight="1" x14ac:dyDescent="0.3"/>
    <row r="1721" ht="14.25" customHeight="1" x14ac:dyDescent="0.3"/>
    <row r="1722" ht="14.25" customHeight="1" x14ac:dyDescent="0.3"/>
    <row r="1723" ht="14.25" customHeight="1" x14ac:dyDescent="0.3"/>
    <row r="1724" ht="14.25" customHeight="1" x14ac:dyDescent="0.3"/>
    <row r="1725" ht="14.25" customHeight="1" x14ac:dyDescent="0.3"/>
    <row r="1726" ht="14.25" customHeight="1" x14ac:dyDescent="0.3"/>
    <row r="1727" ht="14.25" customHeight="1" x14ac:dyDescent="0.3"/>
    <row r="1728" ht="14.25" customHeight="1" x14ac:dyDescent="0.3"/>
    <row r="1729" ht="14.25" customHeight="1" x14ac:dyDescent="0.3"/>
    <row r="1730" ht="14.25" customHeight="1" x14ac:dyDescent="0.3"/>
    <row r="1731" ht="14.25" customHeight="1" x14ac:dyDescent="0.3"/>
    <row r="1732" ht="14.25" customHeight="1" x14ac:dyDescent="0.3"/>
    <row r="1733" ht="14.25" customHeight="1" x14ac:dyDescent="0.3"/>
    <row r="1734" ht="14.25" customHeight="1" x14ac:dyDescent="0.3"/>
    <row r="1735" ht="14.25" customHeight="1" x14ac:dyDescent="0.3"/>
    <row r="1736" ht="14.25" customHeight="1" x14ac:dyDescent="0.3"/>
    <row r="1737" ht="14.25" customHeight="1" x14ac:dyDescent="0.3"/>
    <row r="1738" ht="14.25" customHeight="1" x14ac:dyDescent="0.3"/>
    <row r="1739" ht="14.25" customHeight="1" x14ac:dyDescent="0.3"/>
    <row r="1740" ht="14.25" customHeight="1" x14ac:dyDescent="0.3"/>
    <row r="1741" ht="14.25" customHeight="1" x14ac:dyDescent="0.3"/>
    <row r="1742" ht="14.25" customHeight="1" x14ac:dyDescent="0.3"/>
    <row r="1743" ht="14.25" customHeight="1" x14ac:dyDescent="0.3"/>
    <row r="1744" ht="14.25" customHeight="1" x14ac:dyDescent="0.3"/>
    <row r="1745" ht="14.25" customHeight="1" x14ac:dyDescent="0.3"/>
    <row r="1746" ht="14.25" customHeight="1" x14ac:dyDescent="0.3"/>
    <row r="1747" ht="14.25" customHeight="1" x14ac:dyDescent="0.3"/>
    <row r="1748" ht="14.25" customHeight="1" x14ac:dyDescent="0.3"/>
    <row r="1749" ht="14.25" customHeight="1" x14ac:dyDescent="0.3"/>
    <row r="1750" ht="14.25" customHeight="1" x14ac:dyDescent="0.3"/>
    <row r="1751" ht="14.25" customHeight="1" x14ac:dyDescent="0.3"/>
    <row r="1752" ht="14.25" customHeight="1" x14ac:dyDescent="0.3"/>
    <row r="1753" ht="14.25" customHeight="1" x14ac:dyDescent="0.3"/>
    <row r="1754" ht="14.25" customHeight="1" x14ac:dyDescent="0.3"/>
    <row r="1755" ht="14.25" customHeight="1" x14ac:dyDescent="0.3"/>
    <row r="1756" ht="14.25" customHeight="1" x14ac:dyDescent="0.3"/>
    <row r="1757" ht="14.25" customHeight="1" x14ac:dyDescent="0.3"/>
    <row r="1758" ht="14.25" customHeight="1" x14ac:dyDescent="0.3"/>
    <row r="1759" ht="14.25" customHeight="1" x14ac:dyDescent="0.3"/>
    <row r="1760" ht="14.25" customHeight="1" x14ac:dyDescent="0.3"/>
    <row r="1761" ht="14.25" customHeight="1" x14ac:dyDescent="0.3"/>
    <row r="1762" ht="14.25" customHeight="1" x14ac:dyDescent="0.3"/>
    <row r="1763" ht="14.25" customHeight="1" x14ac:dyDescent="0.3"/>
    <row r="1764" ht="14.25" customHeight="1" x14ac:dyDescent="0.3"/>
    <row r="1765" ht="14.25" customHeight="1" x14ac:dyDescent="0.3"/>
    <row r="1766" ht="14.25" customHeight="1" x14ac:dyDescent="0.3"/>
    <row r="1767" ht="14.25" customHeight="1" x14ac:dyDescent="0.3"/>
    <row r="1768" ht="14.25" customHeight="1" x14ac:dyDescent="0.3"/>
    <row r="1769" ht="14.25" customHeight="1" x14ac:dyDescent="0.3"/>
    <row r="1770" ht="14.25" customHeight="1" x14ac:dyDescent="0.3"/>
    <row r="1771" ht="14.25" customHeight="1" x14ac:dyDescent="0.3"/>
    <row r="1772" ht="14.25" customHeight="1" x14ac:dyDescent="0.3"/>
    <row r="1773" ht="14.25" customHeight="1" x14ac:dyDescent="0.3"/>
    <row r="1774" ht="14.25" customHeight="1" x14ac:dyDescent="0.3"/>
    <row r="1775" ht="14.25" customHeight="1" x14ac:dyDescent="0.3"/>
    <row r="1776" ht="14.25" customHeight="1" x14ac:dyDescent="0.3"/>
    <row r="1777" ht="14.25" customHeight="1" x14ac:dyDescent="0.3"/>
    <row r="1778" ht="14.25" customHeight="1" x14ac:dyDescent="0.3"/>
    <row r="1779" ht="14.25" customHeight="1" x14ac:dyDescent="0.3"/>
    <row r="1780" ht="14.25" customHeight="1" x14ac:dyDescent="0.3"/>
    <row r="1781" ht="14.25" customHeight="1" x14ac:dyDescent="0.3"/>
    <row r="1782" ht="14.25" customHeight="1" x14ac:dyDescent="0.3"/>
    <row r="1783" ht="14.25" customHeight="1" x14ac:dyDescent="0.3"/>
    <row r="1784" ht="14.25" customHeight="1" x14ac:dyDescent="0.3"/>
    <row r="1785" ht="14.25" customHeight="1" x14ac:dyDescent="0.3"/>
    <row r="1786" ht="14.25" customHeight="1" x14ac:dyDescent="0.3"/>
    <row r="1787" ht="14.25" customHeight="1" x14ac:dyDescent="0.3"/>
    <row r="1788" ht="14.25" customHeight="1" x14ac:dyDescent="0.3"/>
    <row r="1789" ht="14.25" customHeight="1" x14ac:dyDescent="0.3"/>
    <row r="1790" ht="14.25" customHeight="1" x14ac:dyDescent="0.3"/>
    <row r="1791" ht="14.25" customHeight="1" x14ac:dyDescent="0.3"/>
    <row r="1792" ht="14.25" customHeight="1" x14ac:dyDescent="0.3"/>
    <row r="1793" ht="14.25" customHeight="1" x14ac:dyDescent="0.3"/>
    <row r="1794" ht="14.25" customHeight="1" x14ac:dyDescent="0.3"/>
    <row r="1795" ht="14.25" customHeight="1" x14ac:dyDescent="0.3"/>
    <row r="1796" ht="14.25" customHeight="1" x14ac:dyDescent="0.3"/>
    <row r="1797" ht="14.25" customHeight="1" x14ac:dyDescent="0.3"/>
    <row r="1798" ht="14.25" customHeight="1" x14ac:dyDescent="0.3"/>
    <row r="1799" ht="14.25" customHeight="1" x14ac:dyDescent="0.3"/>
    <row r="1800" ht="14.25" customHeight="1" x14ac:dyDescent="0.3"/>
    <row r="1801" ht="14.25" customHeight="1" x14ac:dyDescent="0.3"/>
    <row r="1802" ht="14.25" customHeight="1" x14ac:dyDescent="0.3"/>
    <row r="1803" ht="14.25" customHeight="1" x14ac:dyDescent="0.3"/>
    <row r="1804" ht="14.25" customHeight="1" x14ac:dyDescent="0.3"/>
    <row r="1805" ht="14.25" customHeight="1" x14ac:dyDescent="0.3"/>
    <row r="1806" ht="14.25" customHeight="1" x14ac:dyDescent="0.3"/>
    <row r="1807" ht="14.25" customHeight="1" x14ac:dyDescent="0.3"/>
    <row r="1808" ht="14.25" customHeight="1" x14ac:dyDescent="0.3"/>
    <row r="1809" ht="14.25" customHeight="1" x14ac:dyDescent="0.3"/>
    <row r="1810" ht="14.25" customHeight="1" x14ac:dyDescent="0.3"/>
    <row r="1811" ht="14.25" customHeight="1" x14ac:dyDescent="0.3"/>
    <row r="1812" ht="14.25" customHeight="1" x14ac:dyDescent="0.3"/>
    <row r="1813" ht="14.25" customHeight="1" x14ac:dyDescent="0.3"/>
    <row r="1814" ht="14.25" customHeight="1" x14ac:dyDescent="0.3"/>
    <row r="1815" ht="14.25" customHeight="1" x14ac:dyDescent="0.3"/>
    <row r="1816" ht="14.25" customHeight="1" x14ac:dyDescent="0.3"/>
    <row r="1817" ht="14.25" customHeight="1" x14ac:dyDescent="0.3"/>
    <row r="1818" ht="14.25" customHeight="1" x14ac:dyDescent="0.3"/>
    <row r="1819" ht="14.25" customHeight="1" x14ac:dyDescent="0.3"/>
    <row r="1820" ht="14.25" customHeight="1" x14ac:dyDescent="0.3"/>
    <row r="1821" ht="14.25" customHeight="1" x14ac:dyDescent="0.3"/>
    <row r="1822" ht="14.25" customHeight="1" x14ac:dyDescent="0.3"/>
    <row r="1823" ht="14.25" customHeight="1" x14ac:dyDescent="0.3"/>
    <row r="1824" ht="14.25" customHeight="1" x14ac:dyDescent="0.3"/>
    <row r="1825" ht="14.25" customHeight="1" x14ac:dyDescent="0.3"/>
    <row r="1826" ht="14.25" customHeight="1" x14ac:dyDescent="0.3"/>
    <row r="1827" ht="14.25" customHeight="1" x14ac:dyDescent="0.3"/>
    <row r="1828" ht="14.25" customHeight="1" x14ac:dyDescent="0.3"/>
    <row r="1829" ht="14.25" customHeight="1" x14ac:dyDescent="0.3"/>
    <row r="1830" ht="14.25" customHeight="1" x14ac:dyDescent="0.3"/>
    <row r="1831" ht="14.25" customHeight="1" x14ac:dyDescent="0.3"/>
    <row r="1832" ht="14.25" customHeight="1" x14ac:dyDescent="0.3"/>
    <row r="1833" ht="14.25" customHeight="1" x14ac:dyDescent="0.3"/>
    <row r="1834" ht="14.25" customHeight="1" x14ac:dyDescent="0.3"/>
    <row r="1835" ht="14.25" customHeight="1" x14ac:dyDescent="0.3"/>
    <row r="1836" ht="14.25" customHeight="1" x14ac:dyDescent="0.3"/>
    <row r="1837" ht="14.25" customHeight="1" x14ac:dyDescent="0.3"/>
    <row r="1838" ht="14.25" customHeight="1" x14ac:dyDescent="0.3"/>
    <row r="1839" ht="14.25" customHeight="1" x14ac:dyDescent="0.3"/>
    <row r="1840" ht="14.25" customHeight="1" x14ac:dyDescent="0.3"/>
    <row r="1841" ht="14.25" customHeight="1" x14ac:dyDescent="0.3"/>
    <row r="1842" ht="14.25" customHeight="1" x14ac:dyDescent="0.3"/>
    <row r="1843" ht="14.25" customHeight="1" x14ac:dyDescent="0.3"/>
    <row r="1844" ht="14.25" customHeight="1" x14ac:dyDescent="0.3"/>
    <row r="1845" ht="14.25" customHeight="1" x14ac:dyDescent="0.3"/>
    <row r="1846" ht="14.25" customHeight="1" x14ac:dyDescent="0.3"/>
    <row r="1847" ht="14.25" customHeight="1" x14ac:dyDescent="0.3"/>
    <row r="1848" ht="14.25" customHeight="1" x14ac:dyDescent="0.3"/>
    <row r="1849" ht="14.25" customHeight="1" x14ac:dyDescent="0.3"/>
    <row r="1850" ht="14.25" customHeight="1" x14ac:dyDescent="0.3"/>
    <row r="1851" ht="14.25" customHeight="1" x14ac:dyDescent="0.3"/>
    <row r="1852" ht="14.25" customHeight="1" x14ac:dyDescent="0.3"/>
    <row r="1853" ht="14.25" customHeight="1" x14ac:dyDescent="0.3"/>
    <row r="1854" ht="14.25" customHeight="1" x14ac:dyDescent="0.3"/>
    <row r="1855" ht="14.25" customHeight="1" x14ac:dyDescent="0.3"/>
    <row r="1856" ht="14.25" customHeight="1" x14ac:dyDescent="0.3"/>
    <row r="1857" ht="14.25" customHeight="1" x14ac:dyDescent="0.3"/>
    <row r="1858" ht="14.25" customHeight="1" x14ac:dyDescent="0.3"/>
    <row r="1859" ht="14.25" customHeight="1" x14ac:dyDescent="0.3"/>
    <row r="1860" ht="14.25" customHeight="1" x14ac:dyDescent="0.3"/>
    <row r="1861" ht="14.25" customHeight="1" x14ac:dyDescent="0.3"/>
    <row r="1862" ht="14.25" customHeight="1" x14ac:dyDescent="0.3"/>
    <row r="1863" ht="14.25" customHeight="1" x14ac:dyDescent="0.3"/>
    <row r="1864" ht="14.25" customHeight="1" x14ac:dyDescent="0.3"/>
    <row r="1865" ht="14.25" customHeight="1" x14ac:dyDescent="0.3"/>
    <row r="1866" ht="14.25" customHeight="1" x14ac:dyDescent="0.3"/>
    <row r="1867" ht="14.25" customHeight="1" x14ac:dyDescent="0.3"/>
    <row r="1868" ht="14.25" customHeight="1" x14ac:dyDescent="0.3"/>
    <row r="1869" ht="14.25" customHeight="1" x14ac:dyDescent="0.3"/>
    <row r="1870" ht="14.25" customHeight="1" x14ac:dyDescent="0.3"/>
    <row r="1871" ht="14.25" customHeight="1" x14ac:dyDescent="0.3"/>
    <row r="1872" ht="14.25" customHeight="1" x14ac:dyDescent="0.3"/>
    <row r="1873" ht="14.25" customHeight="1" x14ac:dyDescent="0.3"/>
    <row r="1874" ht="14.25" customHeight="1" x14ac:dyDescent="0.3"/>
    <row r="1875" ht="14.25" customHeight="1" x14ac:dyDescent="0.3"/>
    <row r="1876" ht="14.25" customHeight="1" x14ac:dyDescent="0.3"/>
    <row r="1877" ht="14.25" customHeight="1" x14ac:dyDescent="0.3"/>
    <row r="1878" ht="14.25" customHeight="1" x14ac:dyDescent="0.3"/>
    <row r="1879" ht="14.25" customHeight="1" x14ac:dyDescent="0.3"/>
  </sheetData>
  <autoFilter ref="A1:S1879" xr:uid="{00000000-0009-0000-0000-000006000000}"/>
  <pageMargins left="0.7" right="0.7" top="0.75" bottom="0.75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81"/>
  <sheetViews>
    <sheetView workbookViewId="0">
      <pane ySplit="1" topLeftCell="A2" activePane="bottomLeft" state="frozen"/>
      <selection pane="bottomLeft" activeCell="A2" sqref="A2"/>
    </sheetView>
  </sheetViews>
  <sheetFormatPr defaultRowHeight="14.5" x14ac:dyDescent="0.35"/>
  <cols>
    <col min="1" max="1" width="12" customWidth="1"/>
    <col min="2" max="2" width="11" customWidth="1"/>
    <col min="3" max="3" width="30" customWidth="1"/>
    <col min="4" max="4" width="15" customWidth="1"/>
  </cols>
  <sheetData>
    <row r="1" spans="1:4" x14ac:dyDescent="0.35">
      <c r="A1" s="192" t="s">
        <v>2938</v>
      </c>
      <c r="B1" s="192" t="s">
        <v>622</v>
      </c>
      <c r="C1" s="192" t="s">
        <v>2939</v>
      </c>
      <c r="D1" s="192" t="s">
        <v>2940</v>
      </c>
    </row>
    <row r="2" spans="1:4" x14ac:dyDescent="0.35">
      <c r="A2" s="193"/>
      <c r="D2" s="194"/>
    </row>
    <row r="3" spans="1:4" x14ac:dyDescent="0.35">
      <c r="A3" s="193"/>
      <c r="D3" s="194"/>
    </row>
    <row r="4" spans="1:4" x14ac:dyDescent="0.35">
      <c r="A4" s="193"/>
      <c r="D4" s="194"/>
    </row>
    <row r="5" spans="1:4" x14ac:dyDescent="0.35">
      <c r="A5" s="193"/>
      <c r="D5" s="194"/>
    </row>
    <row r="6" spans="1:4" x14ac:dyDescent="0.35">
      <c r="A6" s="193"/>
      <c r="D6" s="194"/>
    </row>
    <row r="7" spans="1:4" x14ac:dyDescent="0.35">
      <c r="A7" s="193"/>
      <c r="D7" s="194"/>
    </row>
    <row r="8" spans="1:4" x14ac:dyDescent="0.35">
      <c r="A8" s="193"/>
      <c r="D8" s="194"/>
    </row>
    <row r="9" spans="1:4" x14ac:dyDescent="0.35">
      <c r="A9" s="193"/>
      <c r="D9" s="194"/>
    </row>
    <row r="10" spans="1:4" x14ac:dyDescent="0.35">
      <c r="A10" s="193"/>
      <c r="D10" s="194"/>
    </row>
    <row r="11" spans="1:4" x14ac:dyDescent="0.35">
      <c r="A11" s="193"/>
      <c r="D11" s="194"/>
    </row>
    <row r="12" spans="1:4" x14ac:dyDescent="0.35">
      <c r="A12" s="193"/>
      <c r="D12" s="194"/>
    </row>
    <row r="13" spans="1:4" x14ac:dyDescent="0.35">
      <c r="A13" s="193"/>
      <c r="D13" s="194"/>
    </row>
    <row r="14" spans="1:4" x14ac:dyDescent="0.35">
      <c r="A14" s="193"/>
      <c r="D14" s="194"/>
    </row>
    <row r="15" spans="1:4" x14ac:dyDescent="0.35">
      <c r="A15" s="193"/>
      <c r="D15" s="194"/>
    </row>
    <row r="16" spans="1:4" x14ac:dyDescent="0.35">
      <c r="A16" s="193"/>
      <c r="D16" s="194"/>
    </row>
    <row r="17" spans="1:4" x14ac:dyDescent="0.35">
      <c r="A17" s="193"/>
      <c r="D17" s="194"/>
    </row>
    <row r="18" spans="1:4" x14ac:dyDescent="0.35">
      <c r="A18" s="193"/>
      <c r="D18" s="194"/>
    </row>
    <row r="19" spans="1:4" x14ac:dyDescent="0.35">
      <c r="A19" s="193"/>
      <c r="D19" s="194"/>
    </row>
    <row r="20" spans="1:4" x14ac:dyDescent="0.35">
      <c r="A20" s="193"/>
      <c r="D20" s="194"/>
    </row>
    <row r="21" spans="1:4" x14ac:dyDescent="0.35">
      <c r="A21" s="193"/>
      <c r="D21" s="194"/>
    </row>
    <row r="22" spans="1:4" x14ac:dyDescent="0.35">
      <c r="A22" s="193"/>
      <c r="D22" s="194"/>
    </row>
    <row r="23" spans="1:4" x14ac:dyDescent="0.35">
      <c r="A23" s="193"/>
      <c r="D23" s="194"/>
    </row>
    <row r="24" spans="1:4" x14ac:dyDescent="0.35">
      <c r="A24" s="193"/>
      <c r="D24" s="194"/>
    </row>
    <row r="25" spans="1:4" x14ac:dyDescent="0.35">
      <c r="A25" s="193"/>
      <c r="D25" s="194"/>
    </row>
    <row r="26" spans="1:4" x14ac:dyDescent="0.35">
      <c r="A26" s="193"/>
      <c r="D26" s="194"/>
    </row>
    <row r="27" spans="1:4" x14ac:dyDescent="0.35">
      <c r="A27" s="193"/>
      <c r="D27" s="194"/>
    </row>
    <row r="28" spans="1:4" x14ac:dyDescent="0.35">
      <c r="A28" s="193"/>
      <c r="D28" s="194"/>
    </row>
    <row r="29" spans="1:4" x14ac:dyDescent="0.35">
      <c r="A29" s="193"/>
      <c r="D29" s="194"/>
    </row>
    <row r="30" spans="1:4" x14ac:dyDescent="0.35">
      <c r="A30" s="193"/>
      <c r="D30" s="194"/>
    </row>
    <row r="31" spans="1:4" x14ac:dyDescent="0.35">
      <c r="A31" s="193"/>
      <c r="D31" s="194"/>
    </row>
    <row r="32" spans="1:4" x14ac:dyDescent="0.35">
      <c r="A32" s="193"/>
      <c r="D32" s="194"/>
    </row>
    <row r="33" spans="1:4" x14ac:dyDescent="0.35">
      <c r="A33" s="193"/>
      <c r="D33" s="194"/>
    </row>
    <row r="34" spans="1:4" x14ac:dyDescent="0.35">
      <c r="A34" s="193"/>
      <c r="D34" s="194"/>
    </row>
    <row r="35" spans="1:4" x14ac:dyDescent="0.35">
      <c r="A35" s="193"/>
      <c r="D35" s="194"/>
    </row>
    <row r="36" spans="1:4" x14ac:dyDescent="0.35">
      <c r="A36" s="193"/>
      <c r="D36" s="194"/>
    </row>
    <row r="37" spans="1:4" x14ac:dyDescent="0.35">
      <c r="A37" s="193"/>
      <c r="D37" s="194"/>
    </row>
    <row r="38" spans="1:4" x14ac:dyDescent="0.35">
      <c r="A38" s="193"/>
      <c r="D38" s="194"/>
    </row>
    <row r="39" spans="1:4" x14ac:dyDescent="0.35">
      <c r="A39" s="193"/>
      <c r="D39" s="194"/>
    </row>
    <row r="40" spans="1:4" x14ac:dyDescent="0.35">
      <c r="A40" s="193"/>
      <c r="D40" s="194"/>
    </row>
    <row r="41" spans="1:4" x14ac:dyDescent="0.35">
      <c r="A41" s="193"/>
      <c r="D41" s="194"/>
    </row>
    <row r="42" spans="1:4" x14ac:dyDescent="0.35">
      <c r="A42" s="193"/>
      <c r="D42" s="194"/>
    </row>
    <row r="43" spans="1:4" x14ac:dyDescent="0.35">
      <c r="A43" s="193"/>
      <c r="D43" s="194"/>
    </row>
    <row r="44" spans="1:4" x14ac:dyDescent="0.35">
      <c r="A44" s="193"/>
      <c r="D44" s="194"/>
    </row>
    <row r="45" spans="1:4" x14ac:dyDescent="0.35">
      <c r="A45" s="193"/>
      <c r="D45" s="194"/>
    </row>
    <row r="46" spans="1:4" x14ac:dyDescent="0.35">
      <c r="A46" s="193"/>
      <c r="D46" s="194"/>
    </row>
    <row r="47" spans="1:4" x14ac:dyDescent="0.35">
      <c r="A47" s="193"/>
      <c r="D47" s="194"/>
    </row>
    <row r="48" spans="1:4" x14ac:dyDescent="0.35">
      <c r="A48" s="193"/>
      <c r="D48" s="194"/>
    </row>
    <row r="49" spans="1:4" x14ac:dyDescent="0.35">
      <c r="A49" s="193"/>
      <c r="D49" s="194"/>
    </row>
    <row r="50" spans="1:4" x14ac:dyDescent="0.35">
      <c r="A50" s="193"/>
      <c r="D50" s="194"/>
    </row>
    <row r="51" spans="1:4" x14ac:dyDescent="0.35">
      <c r="A51" s="193"/>
      <c r="D51" s="194"/>
    </row>
    <row r="52" spans="1:4" x14ac:dyDescent="0.35">
      <c r="A52" s="193"/>
      <c r="D52" s="194"/>
    </row>
    <row r="53" spans="1:4" x14ac:dyDescent="0.35">
      <c r="A53" s="193"/>
      <c r="D53" s="194"/>
    </row>
    <row r="54" spans="1:4" x14ac:dyDescent="0.35">
      <c r="A54" s="193"/>
      <c r="D54" s="194"/>
    </row>
    <row r="55" spans="1:4" x14ac:dyDescent="0.35">
      <c r="A55" s="193"/>
      <c r="D55" s="194"/>
    </row>
    <row r="56" spans="1:4" x14ac:dyDescent="0.35">
      <c r="A56" s="193"/>
      <c r="D56" s="194"/>
    </row>
    <row r="57" spans="1:4" x14ac:dyDescent="0.35">
      <c r="A57" s="193"/>
      <c r="D57" s="194"/>
    </row>
    <row r="58" spans="1:4" x14ac:dyDescent="0.35">
      <c r="A58" s="193"/>
      <c r="D58" s="194"/>
    </row>
    <row r="59" spans="1:4" x14ac:dyDescent="0.35">
      <c r="A59" s="193"/>
      <c r="D59" s="194"/>
    </row>
    <row r="60" spans="1:4" x14ac:dyDescent="0.35">
      <c r="A60" s="193"/>
      <c r="D60" s="194"/>
    </row>
    <row r="61" spans="1:4" x14ac:dyDescent="0.35">
      <c r="A61" s="193"/>
      <c r="D61" s="194"/>
    </row>
    <row r="62" spans="1:4" x14ac:dyDescent="0.35">
      <c r="A62" s="193"/>
      <c r="D62" s="194"/>
    </row>
    <row r="63" spans="1:4" x14ac:dyDescent="0.35">
      <c r="A63" s="193"/>
      <c r="D63" s="194"/>
    </row>
    <row r="64" spans="1:4" x14ac:dyDescent="0.35">
      <c r="A64" s="193"/>
      <c r="D64" s="194"/>
    </row>
    <row r="65" spans="1:4" x14ac:dyDescent="0.35">
      <c r="A65" s="193"/>
      <c r="D65" s="194"/>
    </row>
    <row r="66" spans="1:4" x14ac:dyDescent="0.35">
      <c r="A66" s="193"/>
      <c r="D66" s="194"/>
    </row>
    <row r="67" spans="1:4" x14ac:dyDescent="0.35">
      <c r="A67" s="193"/>
      <c r="D67" s="194"/>
    </row>
    <row r="68" spans="1:4" x14ac:dyDescent="0.35">
      <c r="A68" s="193"/>
      <c r="D68" s="194"/>
    </row>
    <row r="69" spans="1:4" x14ac:dyDescent="0.35">
      <c r="A69" s="193"/>
      <c r="D69" s="194"/>
    </row>
    <row r="70" spans="1:4" x14ac:dyDescent="0.35">
      <c r="A70" s="193"/>
      <c r="D70" s="194"/>
    </row>
    <row r="71" spans="1:4" x14ac:dyDescent="0.35">
      <c r="A71" s="193"/>
      <c r="D71" s="194"/>
    </row>
    <row r="72" spans="1:4" x14ac:dyDescent="0.35">
      <c r="A72" s="193"/>
      <c r="D72" s="194"/>
    </row>
    <row r="73" spans="1:4" x14ac:dyDescent="0.35">
      <c r="A73" s="193"/>
      <c r="D73" s="194"/>
    </row>
    <row r="74" spans="1:4" x14ac:dyDescent="0.35">
      <c r="A74" s="193"/>
      <c r="D74" s="194"/>
    </row>
    <row r="75" spans="1:4" x14ac:dyDescent="0.35">
      <c r="A75" s="193"/>
      <c r="D75" s="194"/>
    </row>
    <row r="76" spans="1:4" x14ac:dyDescent="0.35">
      <c r="A76" s="193"/>
      <c r="D76" s="194"/>
    </row>
    <row r="77" spans="1:4" x14ac:dyDescent="0.35">
      <c r="A77" s="193"/>
      <c r="D77" s="194"/>
    </row>
    <row r="78" spans="1:4" x14ac:dyDescent="0.35">
      <c r="A78" s="193"/>
      <c r="D78" s="194"/>
    </row>
    <row r="79" spans="1:4" x14ac:dyDescent="0.35">
      <c r="A79" s="193"/>
      <c r="D79" s="194"/>
    </row>
    <row r="80" spans="1:4" x14ac:dyDescent="0.35">
      <c r="A80" s="193"/>
      <c r="D80" s="194"/>
    </row>
    <row r="81" spans="1:4" x14ac:dyDescent="0.35">
      <c r="A81" s="193"/>
      <c r="D81" s="194"/>
    </row>
  </sheetData>
  <dataValidations count="2">
    <dataValidation type="list" allowBlank="1" sqref="B2:B500" xr:uid="{00000000-0002-0000-0700-000000000000}">
      <formula1>"Directo,Indirecto"</formula1>
    </dataValidation>
    <dataValidation type="list" allowBlank="1" sqref="C2:C500" xr:uid="{00000000-0002-0000-0700-000001000000}">
      <formula1>GASTOS_CONCEPTO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</sheetPr>
  <dimension ref="A1:P166"/>
  <sheetViews>
    <sheetView showGridLines="0" zoomScaleNormal="100" workbookViewId="0">
      <pane ySplit="3" topLeftCell="A4" activePane="bottomLeft" state="frozen"/>
      <selection pane="bottomLeft" activeCell="A4" sqref="A4:I4"/>
    </sheetView>
  </sheetViews>
  <sheetFormatPr defaultColWidth="8.7265625" defaultRowHeight="13" x14ac:dyDescent="0.3"/>
  <cols>
    <col min="1" max="1" width="9.81640625" style="16" customWidth="1"/>
    <col min="2" max="2" width="8.1796875" style="16" customWidth="1"/>
    <col min="3" max="3" width="16.453125" style="1" customWidth="1"/>
    <col min="4" max="4" width="13.90625" style="135" customWidth="1"/>
    <col min="5" max="5" width="11.6328125" style="1" customWidth="1"/>
    <col min="6" max="9" width="10.1796875" style="1" customWidth="1"/>
    <col min="10" max="10" width="2.08984375" style="1" customWidth="1"/>
    <col min="11" max="11" width="13" style="16" customWidth="1"/>
    <col min="12" max="15" width="13" style="1" customWidth="1"/>
    <col min="16" max="28" width="8.7265625" style="1" customWidth="1"/>
    <col min="29" max="16384" width="8.7265625" style="1"/>
  </cols>
  <sheetData>
    <row r="1" spans="1:16" ht="12.75" customHeight="1" x14ac:dyDescent="0.3">
      <c r="A1" s="15" t="s">
        <v>2941</v>
      </c>
      <c r="B1" s="15"/>
      <c r="C1" s="15"/>
      <c r="D1" s="15"/>
      <c r="E1" s="15"/>
      <c r="F1" s="15"/>
      <c r="G1" s="15"/>
      <c r="H1" s="15"/>
      <c r="I1" s="15"/>
      <c r="J1" s="136"/>
      <c r="K1" s="1"/>
    </row>
    <row r="2" spans="1:16" ht="12.75" customHeight="1" x14ac:dyDescent="0.3">
      <c r="A2" s="168"/>
      <c r="B2" s="168"/>
      <c r="C2" s="168"/>
      <c r="D2" s="168"/>
      <c r="E2" s="168"/>
      <c r="F2" s="168"/>
      <c r="G2" s="168"/>
      <c r="H2" s="168"/>
      <c r="I2" s="168"/>
      <c r="J2" s="136"/>
      <c r="K2" s="1"/>
    </row>
    <row r="3" spans="1:16" s="138" customFormat="1" ht="27" customHeight="1" x14ac:dyDescent="0.35">
      <c r="A3" s="159" t="s">
        <v>320</v>
      </c>
      <c r="B3" s="159" t="s">
        <v>2942</v>
      </c>
      <c r="C3" s="159" t="s">
        <v>2943</v>
      </c>
      <c r="D3" s="159" t="s">
        <v>2944</v>
      </c>
      <c r="E3" s="159" t="s">
        <v>637</v>
      </c>
      <c r="F3" s="159" t="s">
        <v>2945</v>
      </c>
      <c r="G3" s="159" t="s">
        <v>2946</v>
      </c>
      <c r="H3" s="159" t="s">
        <v>2947</v>
      </c>
      <c r="I3" s="159" t="s">
        <v>2948</v>
      </c>
      <c r="J3" s="137"/>
      <c r="K3" s="166" t="s">
        <v>2949</v>
      </c>
      <c r="L3" s="167" t="s">
        <v>2950</v>
      </c>
      <c r="M3" s="167" t="s">
        <v>2951</v>
      </c>
      <c r="N3" s="167" t="s">
        <v>620</v>
      </c>
      <c r="O3" s="167" t="s">
        <v>2952</v>
      </c>
    </row>
    <row r="4" spans="1:16" ht="12.75" customHeight="1" x14ac:dyDescent="0.3">
      <c r="A4" s="207">
        <v>45689</v>
      </c>
      <c r="B4" s="139" t="s">
        <v>2953</v>
      </c>
      <c r="C4" s="140" t="s">
        <v>2954</v>
      </c>
      <c r="D4" s="141" t="s">
        <v>684</v>
      </c>
      <c r="E4" s="140" t="s">
        <v>44</v>
      </c>
      <c r="F4" s="142">
        <f t="shared" ref="F4:F35" si="0">G4+H4+I4</f>
        <v>248</v>
      </c>
      <c r="G4" s="143">
        <v>248</v>
      </c>
      <c r="H4" s="143">
        <v>0</v>
      </c>
      <c r="I4" s="143">
        <v>0</v>
      </c>
      <c r="J4" s="144"/>
      <c r="K4" s="145"/>
      <c r="L4" s="146"/>
      <c r="M4" s="146"/>
      <c r="N4" s="147"/>
      <c r="O4" s="147"/>
      <c r="P4" s="145"/>
    </row>
    <row r="5" spans="1:16" ht="12.75" customHeight="1" x14ac:dyDescent="0.3">
      <c r="A5" s="208">
        <v>45689</v>
      </c>
      <c r="B5" s="148" t="s">
        <v>2953</v>
      </c>
      <c r="C5" s="149" t="s">
        <v>2954</v>
      </c>
      <c r="D5" s="150" t="s">
        <v>648</v>
      </c>
      <c r="E5" s="149" t="s">
        <v>44</v>
      </c>
      <c r="F5" s="151">
        <f t="shared" si="0"/>
        <v>8</v>
      </c>
      <c r="G5" s="152">
        <v>8</v>
      </c>
      <c r="H5" s="152">
        <v>0</v>
      </c>
      <c r="I5" s="152">
        <v>0</v>
      </c>
      <c r="J5" s="144"/>
      <c r="K5" s="145"/>
      <c r="L5" s="146"/>
      <c r="M5" s="146"/>
      <c r="N5" s="147"/>
      <c r="O5" s="147"/>
    </row>
    <row r="6" spans="1:16" ht="12.75" customHeight="1" x14ac:dyDescent="0.3">
      <c r="A6" s="209">
        <v>45717</v>
      </c>
      <c r="B6" s="153" t="s">
        <v>2955</v>
      </c>
      <c r="C6" s="154" t="s">
        <v>2954</v>
      </c>
      <c r="D6" s="155" t="s">
        <v>684</v>
      </c>
      <c r="E6" s="154" t="s">
        <v>44</v>
      </c>
      <c r="F6" s="156">
        <f t="shared" si="0"/>
        <v>280</v>
      </c>
      <c r="G6" s="157">
        <v>280</v>
      </c>
      <c r="H6" s="157">
        <v>0</v>
      </c>
      <c r="I6" s="157">
        <v>0</v>
      </c>
      <c r="J6" s="144"/>
      <c r="K6" s="145"/>
      <c r="L6" s="146"/>
      <c r="M6" s="146"/>
      <c r="N6" s="147"/>
      <c r="O6" s="147"/>
    </row>
    <row r="7" spans="1:16" ht="12.75" customHeight="1" x14ac:dyDescent="0.3">
      <c r="A7" s="208">
        <v>45717</v>
      </c>
      <c r="B7" s="148" t="s">
        <v>2953</v>
      </c>
      <c r="C7" s="149" t="s">
        <v>2954</v>
      </c>
      <c r="D7" s="150" t="s">
        <v>2956</v>
      </c>
      <c r="E7" s="149" t="s">
        <v>44</v>
      </c>
      <c r="F7" s="151">
        <f t="shared" si="0"/>
        <v>136</v>
      </c>
      <c r="G7" s="152">
        <v>136</v>
      </c>
      <c r="H7" s="152">
        <v>0</v>
      </c>
      <c r="I7" s="152">
        <v>0</v>
      </c>
      <c r="J7" s="144"/>
      <c r="K7" s="145"/>
      <c r="L7" s="146"/>
      <c r="M7" s="146"/>
      <c r="N7" s="147"/>
      <c r="O7" s="147"/>
    </row>
    <row r="8" spans="1:16" ht="12.75" customHeight="1" x14ac:dyDescent="0.3">
      <c r="A8" s="209">
        <v>45717</v>
      </c>
      <c r="B8" s="153" t="s">
        <v>2953</v>
      </c>
      <c r="C8" s="154" t="s">
        <v>2954</v>
      </c>
      <c r="D8" s="155" t="s">
        <v>684</v>
      </c>
      <c r="E8" s="154" t="s">
        <v>44</v>
      </c>
      <c r="F8" s="156">
        <f t="shared" si="0"/>
        <v>28</v>
      </c>
      <c r="G8" s="157">
        <v>28</v>
      </c>
      <c r="H8" s="157">
        <v>0</v>
      </c>
      <c r="I8" s="157">
        <v>0</v>
      </c>
      <c r="J8" s="144"/>
      <c r="K8" s="145"/>
      <c r="L8" s="146"/>
      <c r="M8" s="146"/>
      <c r="N8" s="147"/>
      <c r="O8" s="147"/>
    </row>
    <row r="9" spans="1:16" ht="12.75" customHeight="1" x14ac:dyDescent="0.3">
      <c r="A9" s="208">
        <v>45717</v>
      </c>
      <c r="B9" s="148" t="s">
        <v>2953</v>
      </c>
      <c r="C9" s="149" t="s">
        <v>2954</v>
      </c>
      <c r="D9" s="150" t="s">
        <v>688</v>
      </c>
      <c r="E9" s="149" t="s">
        <v>44</v>
      </c>
      <c r="F9" s="151">
        <f t="shared" si="0"/>
        <v>44</v>
      </c>
      <c r="G9" s="152">
        <v>44</v>
      </c>
      <c r="H9" s="152">
        <v>0</v>
      </c>
      <c r="I9" s="152">
        <v>0</v>
      </c>
      <c r="J9" s="144"/>
      <c r="K9" s="145"/>
      <c r="L9" s="146"/>
      <c r="M9" s="146"/>
      <c r="N9" s="147"/>
      <c r="O9" s="147"/>
    </row>
    <row r="10" spans="1:16" ht="12.75" customHeight="1" x14ac:dyDescent="0.3">
      <c r="A10" s="209">
        <v>45748</v>
      </c>
      <c r="B10" s="153" t="s">
        <v>2955</v>
      </c>
      <c r="C10" s="154" t="s">
        <v>2954</v>
      </c>
      <c r="D10" s="155" t="s">
        <v>2956</v>
      </c>
      <c r="E10" s="154" t="s">
        <v>44</v>
      </c>
      <c r="F10" s="156">
        <f t="shared" si="0"/>
        <v>288</v>
      </c>
      <c r="G10" s="157">
        <v>288</v>
      </c>
      <c r="H10" s="157">
        <v>0</v>
      </c>
      <c r="I10" s="157">
        <v>0</v>
      </c>
      <c r="J10" s="144"/>
      <c r="K10" s="145"/>
      <c r="L10" s="146"/>
      <c r="M10" s="146"/>
      <c r="N10" s="147"/>
      <c r="O10" s="147"/>
    </row>
    <row r="11" spans="1:16" ht="12.75" customHeight="1" x14ac:dyDescent="0.3">
      <c r="A11" s="208">
        <v>45748</v>
      </c>
      <c r="B11" s="148" t="s">
        <v>2955</v>
      </c>
      <c r="C11" s="149" t="s">
        <v>2954</v>
      </c>
      <c r="D11" s="150" t="s">
        <v>684</v>
      </c>
      <c r="E11" s="149" t="s">
        <v>44</v>
      </c>
      <c r="F11" s="151">
        <f t="shared" si="0"/>
        <v>304</v>
      </c>
      <c r="G11" s="152">
        <v>304</v>
      </c>
      <c r="H11" s="152">
        <v>0</v>
      </c>
      <c r="I11" s="152">
        <v>0</v>
      </c>
      <c r="J11" s="144"/>
      <c r="K11" s="145"/>
      <c r="L11" s="146"/>
      <c r="M11" s="146"/>
      <c r="N11" s="147"/>
      <c r="O11" s="147"/>
    </row>
    <row r="12" spans="1:16" ht="12.75" customHeight="1" x14ac:dyDescent="0.3">
      <c r="A12" s="209">
        <v>45748</v>
      </c>
      <c r="B12" s="153" t="s">
        <v>2955</v>
      </c>
      <c r="C12" s="154" t="s">
        <v>2954</v>
      </c>
      <c r="D12" s="155" t="s">
        <v>688</v>
      </c>
      <c r="E12" s="154" t="s">
        <v>44</v>
      </c>
      <c r="F12" s="156">
        <f t="shared" si="0"/>
        <v>88</v>
      </c>
      <c r="G12" s="157">
        <v>88</v>
      </c>
      <c r="H12" s="157">
        <v>0</v>
      </c>
      <c r="I12" s="157">
        <v>0</v>
      </c>
      <c r="J12" s="144"/>
      <c r="K12" s="145"/>
      <c r="L12" s="146"/>
      <c r="M12" s="146"/>
      <c r="N12" s="147"/>
      <c r="O12" s="147"/>
    </row>
    <row r="13" spans="1:16" ht="12.75" customHeight="1" x14ac:dyDescent="0.3">
      <c r="A13" s="208">
        <v>45748</v>
      </c>
      <c r="B13" s="148" t="s">
        <v>2953</v>
      </c>
      <c r="C13" s="149" t="s">
        <v>2954</v>
      </c>
      <c r="D13" s="150" t="s">
        <v>2956</v>
      </c>
      <c r="E13" s="149" t="s">
        <v>44</v>
      </c>
      <c r="F13" s="151">
        <f t="shared" si="0"/>
        <v>384</v>
      </c>
      <c r="G13" s="152">
        <v>384</v>
      </c>
      <c r="H13" s="152">
        <v>0</v>
      </c>
      <c r="I13" s="152">
        <v>0</v>
      </c>
      <c r="J13" s="144"/>
      <c r="K13" s="145"/>
      <c r="L13" s="146"/>
      <c r="M13" s="146"/>
      <c r="N13" s="147"/>
      <c r="O13" s="147"/>
    </row>
    <row r="14" spans="1:16" ht="12.75" customHeight="1" x14ac:dyDescent="0.3">
      <c r="A14" s="209">
        <v>45748</v>
      </c>
      <c r="B14" s="153" t="s">
        <v>2953</v>
      </c>
      <c r="C14" s="154" t="s">
        <v>2954</v>
      </c>
      <c r="D14" s="155" t="s">
        <v>684</v>
      </c>
      <c r="E14" s="154" t="s">
        <v>44</v>
      </c>
      <c r="F14" s="156">
        <f t="shared" si="0"/>
        <v>456</v>
      </c>
      <c r="G14" s="157">
        <v>456</v>
      </c>
      <c r="H14" s="157">
        <v>0</v>
      </c>
      <c r="I14" s="157">
        <v>0</v>
      </c>
      <c r="J14" s="144"/>
      <c r="K14" s="145"/>
      <c r="L14" s="146"/>
      <c r="M14" s="146"/>
      <c r="N14" s="147"/>
      <c r="O14" s="147"/>
    </row>
    <row r="15" spans="1:16" ht="12.75" customHeight="1" x14ac:dyDescent="0.3">
      <c r="A15" s="208">
        <v>45748</v>
      </c>
      <c r="B15" s="148" t="s">
        <v>2953</v>
      </c>
      <c r="C15" s="149" t="s">
        <v>2954</v>
      </c>
      <c r="D15" s="150" t="s">
        <v>688</v>
      </c>
      <c r="E15" s="149" t="s">
        <v>44</v>
      </c>
      <c r="F15" s="151">
        <f t="shared" si="0"/>
        <v>96</v>
      </c>
      <c r="G15" s="152">
        <v>96</v>
      </c>
      <c r="H15" s="152">
        <v>0</v>
      </c>
      <c r="I15" s="152">
        <v>0</v>
      </c>
      <c r="J15" s="144"/>
      <c r="K15" s="145"/>
      <c r="L15" s="146"/>
      <c r="M15" s="146"/>
      <c r="N15" s="147"/>
      <c r="O15" s="147"/>
    </row>
    <row r="16" spans="1:16" ht="12.75" customHeight="1" x14ac:dyDescent="0.3">
      <c r="A16" s="209">
        <v>45778</v>
      </c>
      <c r="B16" s="153" t="s">
        <v>2955</v>
      </c>
      <c r="C16" s="154" t="s">
        <v>2954</v>
      </c>
      <c r="D16" s="155" t="s">
        <v>2956</v>
      </c>
      <c r="E16" s="154" t="s">
        <v>44</v>
      </c>
      <c r="F16" s="156">
        <f t="shared" si="0"/>
        <v>320</v>
      </c>
      <c r="G16" s="157">
        <v>320</v>
      </c>
      <c r="H16" s="157">
        <v>0</v>
      </c>
      <c r="I16" s="157">
        <v>0</v>
      </c>
      <c r="J16" s="144"/>
      <c r="K16" s="145"/>
      <c r="L16" s="146"/>
      <c r="M16" s="146"/>
      <c r="N16" s="147"/>
      <c r="O16" s="147"/>
    </row>
    <row r="17" spans="1:15" ht="12.75" customHeight="1" x14ac:dyDescent="0.3">
      <c r="A17" s="208">
        <v>45778</v>
      </c>
      <c r="B17" s="148" t="s">
        <v>2955</v>
      </c>
      <c r="C17" s="149" t="s">
        <v>2954</v>
      </c>
      <c r="D17" s="150" t="s">
        <v>684</v>
      </c>
      <c r="E17" s="149" t="s">
        <v>44</v>
      </c>
      <c r="F17" s="151">
        <f t="shared" si="0"/>
        <v>408</v>
      </c>
      <c r="G17" s="152">
        <v>408</v>
      </c>
      <c r="H17" s="152">
        <v>0</v>
      </c>
      <c r="I17" s="152">
        <v>0</v>
      </c>
      <c r="J17" s="144"/>
      <c r="K17" s="145"/>
      <c r="L17" s="146"/>
      <c r="M17" s="146"/>
      <c r="N17" s="147"/>
      <c r="O17" s="147"/>
    </row>
    <row r="18" spans="1:15" ht="12.75" customHeight="1" x14ac:dyDescent="0.3">
      <c r="A18" s="209">
        <v>45778</v>
      </c>
      <c r="B18" s="153" t="s">
        <v>2955</v>
      </c>
      <c r="C18" s="154" t="s">
        <v>2954</v>
      </c>
      <c r="D18" s="155" t="s">
        <v>688</v>
      </c>
      <c r="E18" s="154" t="s">
        <v>44</v>
      </c>
      <c r="F18" s="156">
        <f t="shared" si="0"/>
        <v>76</v>
      </c>
      <c r="G18" s="157">
        <v>76</v>
      </c>
      <c r="H18" s="157">
        <v>0</v>
      </c>
      <c r="I18" s="157">
        <v>0</v>
      </c>
      <c r="J18" s="144"/>
      <c r="K18" s="145"/>
      <c r="L18" s="146"/>
      <c r="M18" s="146"/>
      <c r="N18" s="147"/>
      <c r="O18" s="147"/>
    </row>
    <row r="19" spans="1:15" ht="12.75" customHeight="1" x14ac:dyDescent="0.3">
      <c r="A19" s="208">
        <v>45778</v>
      </c>
      <c r="B19" s="148" t="s">
        <v>2955</v>
      </c>
      <c r="C19" s="149" t="s">
        <v>2954</v>
      </c>
      <c r="D19" s="150" t="s">
        <v>648</v>
      </c>
      <c r="E19" s="149" t="s">
        <v>44</v>
      </c>
      <c r="F19" s="151">
        <f t="shared" si="0"/>
        <v>56</v>
      </c>
      <c r="G19" s="152">
        <v>56</v>
      </c>
      <c r="H19" s="152">
        <v>0</v>
      </c>
      <c r="I19" s="152">
        <v>0</v>
      </c>
      <c r="J19" s="144"/>
      <c r="K19" s="145"/>
      <c r="L19" s="146"/>
      <c r="M19" s="146"/>
      <c r="N19" s="147"/>
      <c r="O19" s="147"/>
    </row>
    <row r="20" spans="1:15" ht="12.75" customHeight="1" x14ac:dyDescent="0.3">
      <c r="A20" s="209">
        <v>45778</v>
      </c>
      <c r="B20" s="153" t="s">
        <v>2953</v>
      </c>
      <c r="C20" s="154" t="s">
        <v>2954</v>
      </c>
      <c r="D20" s="155" t="s">
        <v>2956</v>
      </c>
      <c r="E20" s="154" t="s">
        <v>44</v>
      </c>
      <c r="F20" s="156">
        <f t="shared" si="0"/>
        <v>280</v>
      </c>
      <c r="G20" s="157">
        <v>280</v>
      </c>
      <c r="H20" s="157">
        <v>0</v>
      </c>
      <c r="I20" s="157">
        <v>0</v>
      </c>
      <c r="J20" s="144"/>
      <c r="K20" s="145"/>
      <c r="L20" s="146"/>
      <c r="M20" s="146"/>
      <c r="N20" s="147"/>
      <c r="O20" s="147"/>
    </row>
    <row r="21" spans="1:15" ht="12.75" customHeight="1" x14ac:dyDescent="0.3">
      <c r="A21" s="208">
        <v>45778</v>
      </c>
      <c r="B21" s="148" t="s">
        <v>2953</v>
      </c>
      <c r="C21" s="149" t="s">
        <v>2954</v>
      </c>
      <c r="D21" s="150" t="s">
        <v>684</v>
      </c>
      <c r="E21" s="149" t="s">
        <v>44</v>
      </c>
      <c r="F21" s="151">
        <f t="shared" si="0"/>
        <v>368</v>
      </c>
      <c r="G21" s="152">
        <v>368</v>
      </c>
      <c r="H21" s="152">
        <v>0</v>
      </c>
      <c r="I21" s="152">
        <v>0</v>
      </c>
      <c r="J21" s="144"/>
      <c r="K21" s="145"/>
      <c r="L21" s="146"/>
      <c r="M21" s="146"/>
      <c r="N21" s="147"/>
      <c r="O21" s="147"/>
    </row>
    <row r="22" spans="1:15" ht="12.75" customHeight="1" x14ac:dyDescent="0.3">
      <c r="A22" s="209">
        <v>45778</v>
      </c>
      <c r="B22" s="153" t="s">
        <v>2953</v>
      </c>
      <c r="C22" s="154" t="s">
        <v>2954</v>
      </c>
      <c r="D22" s="155" t="s">
        <v>688</v>
      </c>
      <c r="E22" s="154" t="s">
        <v>44</v>
      </c>
      <c r="F22" s="156">
        <f t="shared" si="0"/>
        <v>136</v>
      </c>
      <c r="G22" s="157">
        <v>136</v>
      </c>
      <c r="H22" s="157">
        <v>0</v>
      </c>
      <c r="I22" s="157">
        <v>0</v>
      </c>
      <c r="J22" s="144"/>
      <c r="K22" s="145"/>
      <c r="L22" s="146"/>
      <c r="M22" s="146"/>
      <c r="N22" s="147"/>
      <c r="O22" s="147"/>
    </row>
    <row r="23" spans="1:15" ht="12.75" customHeight="1" x14ac:dyDescent="0.3">
      <c r="A23" s="208">
        <v>45778</v>
      </c>
      <c r="B23" s="148" t="s">
        <v>2953</v>
      </c>
      <c r="C23" s="149" t="s">
        <v>2954</v>
      </c>
      <c r="D23" s="150" t="s">
        <v>648</v>
      </c>
      <c r="E23" s="149" t="s">
        <v>44</v>
      </c>
      <c r="F23" s="151">
        <f t="shared" si="0"/>
        <v>80</v>
      </c>
      <c r="G23" s="152">
        <v>80</v>
      </c>
      <c r="H23" s="152">
        <v>0</v>
      </c>
      <c r="I23" s="152">
        <v>0</v>
      </c>
      <c r="J23" s="144"/>
      <c r="K23" s="145"/>
      <c r="L23" s="146"/>
      <c r="M23" s="146"/>
      <c r="N23" s="147"/>
      <c r="O23" s="147"/>
    </row>
    <row r="24" spans="1:15" ht="12.75" customHeight="1" x14ac:dyDescent="0.3">
      <c r="A24" s="209">
        <v>45809</v>
      </c>
      <c r="B24" s="153" t="s">
        <v>2955</v>
      </c>
      <c r="C24" s="154" t="s">
        <v>2954</v>
      </c>
      <c r="D24" s="155" t="s">
        <v>2956</v>
      </c>
      <c r="E24" s="154" t="s">
        <v>44</v>
      </c>
      <c r="F24" s="156">
        <f t="shared" si="0"/>
        <v>160</v>
      </c>
      <c r="G24" s="157">
        <v>160</v>
      </c>
      <c r="H24" s="157">
        <v>0</v>
      </c>
      <c r="I24" s="157">
        <v>0</v>
      </c>
      <c r="J24" s="144"/>
      <c r="K24" s="145"/>
      <c r="L24" s="146"/>
      <c r="M24" s="146"/>
      <c r="N24" s="147"/>
      <c r="O24" s="147"/>
    </row>
    <row r="25" spans="1:15" ht="12.75" customHeight="1" x14ac:dyDescent="0.3">
      <c r="A25" s="208">
        <v>45809</v>
      </c>
      <c r="B25" s="148" t="s">
        <v>2955</v>
      </c>
      <c r="C25" s="149" t="s">
        <v>2954</v>
      </c>
      <c r="D25" s="150" t="s">
        <v>684</v>
      </c>
      <c r="E25" s="149" t="s">
        <v>44</v>
      </c>
      <c r="F25" s="151">
        <f t="shared" si="0"/>
        <v>448</v>
      </c>
      <c r="G25" s="152">
        <v>448</v>
      </c>
      <c r="H25" s="152">
        <v>0</v>
      </c>
      <c r="I25" s="152">
        <v>0</v>
      </c>
      <c r="J25" s="144"/>
      <c r="K25" s="145"/>
      <c r="L25" s="146"/>
      <c r="M25" s="146"/>
      <c r="N25" s="147"/>
      <c r="O25" s="147"/>
    </row>
    <row r="26" spans="1:15" ht="12.75" customHeight="1" x14ac:dyDescent="0.3">
      <c r="A26" s="209">
        <v>45809</v>
      </c>
      <c r="B26" s="153" t="s">
        <v>2955</v>
      </c>
      <c r="C26" s="154" t="s">
        <v>2954</v>
      </c>
      <c r="D26" s="155" t="s">
        <v>688</v>
      </c>
      <c r="E26" s="154" t="s">
        <v>44</v>
      </c>
      <c r="F26" s="156">
        <f t="shared" si="0"/>
        <v>176</v>
      </c>
      <c r="G26" s="157">
        <v>176</v>
      </c>
      <c r="H26" s="157">
        <v>0</v>
      </c>
      <c r="I26" s="157">
        <v>0</v>
      </c>
      <c r="J26" s="144"/>
      <c r="K26" s="145"/>
      <c r="L26" s="146"/>
      <c r="M26" s="146"/>
      <c r="N26" s="147"/>
      <c r="O26" s="147"/>
    </row>
    <row r="27" spans="1:15" ht="12.75" customHeight="1" x14ac:dyDescent="0.3">
      <c r="A27" s="208">
        <v>45809</v>
      </c>
      <c r="B27" s="148" t="s">
        <v>2955</v>
      </c>
      <c r="C27" s="149" t="s">
        <v>2954</v>
      </c>
      <c r="D27" s="150" t="s">
        <v>648</v>
      </c>
      <c r="E27" s="149" t="s">
        <v>44</v>
      </c>
      <c r="F27" s="151">
        <f t="shared" si="0"/>
        <v>96</v>
      </c>
      <c r="G27" s="152">
        <v>96</v>
      </c>
      <c r="H27" s="152">
        <v>0</v>
      </c>
      <c r="I27" s="152">
        <v>0</v>
      </c>
      <c r="J27" s="144"/>
      <c r="K27" s="145"/>
      <c r="L27" s="146"/>
      <c r="M27" s="146"/>
      <c r="N27" s="147"/>
      <c r="O27" s="147"/>
    </row>
    <row r="28" spans="1:15" ht="12.75" customHeight="1" x14ac:dyDescent="0.3">
      <c r="A28" s="209">
        <v>45809</v>
      </c>
      <c r="B28" s="153" t="s">
        <v>2953</v>
      </c>
      <c r="C28" s="154" t="s">
        <v>2954</v>
      </c>
      <c r="D28" s="155" t="s">
        <v>2956</v>
      </c>
      <c r="E28" s="154" t="s">
        <v>44</v>
      </c>
      <c r="F28" s="156">
        <f t="shared" si="0"/>
        <v>232</v>
      </c>
      <c r="G28" s="157">
        <v>232</v>
      </c>
      <c r="H28" s="157">
        <v>0</v>
      </c>
      <c r="I28" s="157">
        <v>0</v>
      </c>
      <c r="J28" s="144"/>
      <c r="K28" s="145"/>
      <c r="L28" s="146"/>
      <c r="M28" s="146"/>
      <c r="N28" s="147"/>
      <c r="O28" s="147"/>
    </row>
    <row r="29" spans="1:15" ht="12.75" customHeight="1" x14ac:dyDescent="0.3">
      <c r="A29" s="208">
        <v>45809</v>
      </c>
      <c r="B29" s="148" t="s">
        <v>2953</v>
      </c>
      <c r="C29" s="149" t="s">
        <v>2954</v>
      </c>
      <c r="D29" s="150" t="s">
        <v>684</v>
      </c>
      <c r="E29" s="149" t="s">
        <v>44</v>
      </c>
      <c r="F29" s="151">
        <f t="shared" si="0"/>
        <v>688</v>
      </c>
      <c r="G29" s="152">
        <v>688</v>
      </c>
      <c r="H29" s="152">
        <v>0</v>
      </c>
      <c r="I29" s="152">
        <v>0</v>
      </c>
      <c r="J29" s="144"/>
      <c r="K29" s="145"/>
      <c r="L29" s="146"/>
      <c r="M29" s="146"/>
      <c r="N29" s="147"/>
      <c r="O29" s="147"/>
    </row>
    <row r="30" spans="1:15" ht="12.75" customHeight="1" x14ac:dyDescent="0.3">
      <c r="A30" s="209">
        <v>45809</v>
      </c>
      <c r="B30" s="153" t="s">
        <v>2953</v>
      </c>
      <c r="C30" s="154" t="s">
        <v>2954</v>
      </c>
      <c r="D30" s="155" t="s">
        <v>688</v>
      </c>
      <c r="E30" s="154" t="s">
        <v>44</v>
      </c>
      <c r="F30" s="156">
        <f t="shared" si="0"/>
        <v>184</v>
      </c>
      <c r="G30" s="157">
        <v>184</v>
      </c>
      <c r="H30" s="157">
        <v>0</v>
      </c>
      <c r="I30" s="157">
        <v>0</v>
      </c>
      <c r="J30" s="144"/>
      <c r="K30" s="145"/>
      <c r="L30" s="146"/>
      <c r="M30" s="146"/>
      <c r="N30" s="147"/>
      <c r="O30" s="147"/>
    </row>
    <row r="31" spans="1:15" ht="12.75" customHeight="1" x14ac:dyDescent="0.3">
      <c r="A31" s="208">
        <v>45809</v>
      </c>
      <c r="B31" s="148" t="s">
        <v>2953</v>
      </c>
      <c r="C31" s="149" t="s">
        <v>2954</v>
      </c>
      <c r="D31" s="150" t="s">
        <v>648</v>
      </c>
      <c r="E31" s="149" t="s">
        <v>44</v>
      </c>
      <c r="F31" s="151">
        <f t="shared" si="0"/>
        <v>96</v>
      </c>
      <c r="G31" s="152">
        <v>96</v>
      </c>
      <c r="H31" s="152">
        <v>0</v>
      </c>
      <c r="I31" s="152">
        <v>0</v>
      </c>
      <c r="J31" s="144"/>
      <c r="K31" s="145"/>
      <c r="L31" s="146"/>
      <c r="M31" s="146"/>
      <c r="N31" s="147"/>
      <c r="O31" s="147"/>
    </row>
    <row r="32" spans="1:15" ht="12.75" customHeight="1" x14ac:dyDescent="0.3">
      <c r="A32" s="209">
        <v>45839</v>
      </c>
      <c r="B32" s="153" t="s">
        <v>2955</v>
      </c>
      <c r="C32" s="154" t="s">
        <v>2954</v>
      </c>
      <c r="D32" s="155" t="s">
        <v>2956</v>
      </c>
      <c r="E32" s="154" t="s">
        <v>44</v>
      </c>
      <c r="F32" s="156">
        <f t="shared" si="0"/>
        <v>344</v>
      </c>
      <c r="G32" s="157">
        <v>344</v>
      </c>
      <c r="H32" s="157">
        <v>0</v>
      </c>
      <c r="I32" s="157">
        <v>0</v>
      </c>
      <c r="J32" s="144"/>
      <c r="K32" s="145"/>
      <c r="L32" s="146"/>
      <c r="M32" s="146"/>
      <c r="N32" s="147"/>
      <c r="O32" s="147"/>
    </row>
    <row r="33" spans="1:15" ht="12.75" customHeight="1" x14ac:dyDescent="0.3">
      <c r="A33" s="208">
        <v>45839</v>
      </c>
      <c r="B33" s="148" t="s">
        <v>2955</v>
      </c>
      <c r="C33" s="149" t="s">
        <v>2954</v>
      </c>
      <c r="D33" s="150" t="s">
        <v>684</v>
      </c>
      <c r="E33" s="149" t="s">
        <v>44</v>
      </c>
      <c r="F33" s="151">
        <f t="shared" si="0"/>
        <v>472</v>
      </c>
      <c r="G33" s="152">
        <v>472</v>
      </c>
      <c r="H33" s="152">
        <v>0</v>
      </c>
      <c r="I33" s="152">
        <v>0</v>
      </c>
      <c r="J33" s="144"/>
      <c r="K33" s="145"/>
      <c r="L33" s="146"/>
      <c r="M33" s="146"/>
      <c r="N33" s="147"/>
      <c r="O33" s="147"/>
    </row>
    <row r="34" spans="1:15" ht="12.75" customHeight="1" x14ac:dyDescent="0.3">
      <c r="A34" s="209">
        <v>45839</v>
      </c>
      <c r="B34" s="153" t="s">
        <v>2955</v>
      </c>
      <c r="C34" s="154" t="s">
        <v>2954</v>
      </c>
      <c r="D34" s="155" t="s">
        <v>688</v>
      </c>
      <c r="E34" s="154" t="s">
        <v>44</v>
      </c>
      <c r="F34" s="156">
        <f t="shared" si="0"/>
        <v>176</v>
      </c>
      <c r="G34" s="157">
        <v>176</v>
      </c>
      <c r="H34" s="157">
        <v>0</v>
      </c>
      <c r="I34" s="157">
        <v>0</v>
      </c>
      <c r="J34" s="144"/>
      <c r="K34" s="145"/>
      <c r="L34" s="146"/>
      <c r="M34" s="146"/>
      <c r="N34" s="147"/>
      <c r="O34" s="147"/>
    </row>
    <row r="35" spans="1:15" ht="12.75" customHeight="1" x14ac:dyDescent="0.3">
      <c r="A35" s="208">
        <v>45839</v>
      </c>
      <c r="B35" s="148" t="s">
        <v>2955</v>
      </c>
      <c r="C35" s="149" t="s">
        <v>2954</v>
      </c>
      <c r="D35" s="150" t="s">
        <v>648</v>
      </c>
      <c r="E35" s="149" t="s">
        <v>44</v>
      </c>
      <c r="F35" s="151">
        <f t="shared" si="0"/>
        <v>96</v>
      </c>
      <c r="G35" s="152">
        <v>96</v>
      </c>
      <c r="H35" s="152">
        <v>0</v>
      </c>
      <c r="I35" s="152">
        <v>0</v>
      </c>
      <c r="J35" s="144"/>
      <c r="K35" s="145"/>
      <c r="L35" s="146"/>
      <c r="M35" s="146"/>
      <c r="N35" s="147"/>
      <c r="O35" s="147"/>
    </row>
    <row r="36" spans="1:15" ht="12.75" customHeight="1" x14ac:dyDescent="0.3">
      <c r="A36" s="209">
        <v>45839</v>
      </c>
      <c r="B36" s="153" t="s">
        <v>2953</v>
      </c>
      <c r="C36" s="154" t="s">
        <v>2954</v>
      </c>
      <c r="D36" s="155" t="s">
        <v>2956</v>
      </c>
      <c r="E36" s="154" t="s">
        <v>44</v>
      </c>
      <c r="F36" s="156">
        <f t="shared" ref="F36:F67" si="1">G36+H36+I36</f>
        <v>472</v>
      </c>
      <c r="G36" s="157">
        <v>472</v>
      </c>
      <c r="H36" s="157">
        <v>0</v>
      </c>
      <c r="I36" s="157">
        <v>0</v>
      </c>
      <c r="J36" s="144"/>
      <c r="K36" s="145"/>
      <c r="L36" s="146"/>
      <c r="M36" s="146"/>
      <c r="N36" s="147"/>
      <c r="O36" s="147"/>
    </row>
    <row r="37" spans="1:15" ht="12.75" customHeight="1" x14ac:dyDescent="0.3">
      <c r="A37" s="208">
        <v>45839</v>
      </c>
      <c r="B37" s="148" t="s">
        <v>2953</v>
      </c>
      <c r="C37" s="149" t="s">
        <v>2954</v>
      </c>
      <c r="D37" s="150" t="s">
        <v>684</v>
      </c>
      <c r="E37" s="149" t="s">
        <v>44</v>
      </c>
      <c r="F37" s="151">
        <f t="shared" si="1"/>
        <v>568</v>
      </c>
      <c r="G37" s="152">
        <v>568</v>
      </c>
      <c r="H37" s="152">
        <v>0</v>
      </c>
      <c r="I37" s="152">
        <v>0</v>
      </c>
      <c r="J37" s="144"/>
      <c r="K37" s="145"/>
      <c r="L37" s="146"/>
      <c r="M37" s="146"/>
      <c r="N37" s="147"/>
      <c r="O37" s="147"/>
    </row>
    <row r="38" spans="1:15" ht="12.75" customHeight="1" x14ac:dyDescent="0.3">
      <c r="A38" s="209">
        <v>45839</v>
      </c>
      <c r="B38" s="153" t="s">
        <v>2953</v>
      </c>
      <c r="C38" s="154" t="s">
        <v>2954</v>
      </c>
      <c r="D38" s="155" t="s">
        <v>688</v>
      </c>
      <c r="E38" s="154" t="s">
        <v>44</v>
      </c>
      <c r="F38" s="156">
        <f t="shared" si="1"/>
        <v>216</v>
      </c>
      <c r="G38" s="157">
        <v>216</v>
      </c>
      <c r="H38" s="157">
        <v>0</v>
      </c>
      <c r="I38" s="157">
        <v>0</v>
      </c>
      <c r="J38" s="144"/>
      <c r="K38" s="145"/>
      <c r="L38" s="146"/>
      <c r="M38" s="146"/>
      <c r="N38" s="147"/>
      <c r="O38" s="147"/>
    </row>
    <row r="39" spans="1:15" ht="12.75" customHeight="1" x14ac:dyDescent="0.3">
      <c r="A39" s="208">
        <v>45839</v>
      </c>
      <c r="B39" s="148" t="s">
        <v>2953</v>
      </c>
      <c r="C39" s="149" t="s">
        <v>2954</v>
      </c>
      <c r="D39" s="150" t="s">
        <v>648</v>
      </c>
      <c r="E39" s="149" t="s">
        <v>44</v>
      </c>
      <c r="F39" s="151">
        <f t="shared" si="1"/>
        <v>128</v>
      </c>
      <c r="G39" s="152">
        <v>128</v>
      </c>
      <c r="H39" s="152">
        <v>0</v>
      </c>
      <c r="I39" s="152">
        <v>0</v>
      </c>
      <c r="J39" s="144"/>
      <c r="K39" s="145"/>
      <c r="L39" s="146"/>
      <c r="M39" s="146"/>
      <c r="N39" s="147"/>
      <c r="O39" s="147"/>
    </row>
    <row r="40" spans="1:15" ht="12.75" customHeight="1" x14ac:dyDescent="0.3">
      <c r="A40" s="209">
        <v>45870</v>
      </c>
      <c r="B40" s="153" t="s">
        <v>2955</v>
      </c>
      <c r="C40" s="154" t="s">
        <v>2954</v>
      </c>
      <c r="D40" s="155" t="s">
        <v>2956</v>
      </c>
      <c r="E40" s="154" t="s">
        <v>44</v>
      </c>
      <c r="F40" s="156">
        <f t="shared" si="1"/>
        <v>344</v>
      </c>
      <c r="G40" s="157">
        <v>344</v>
      </c>
      <c r="H40" s="157">
        <v>0</v>
      </c>
      <c r="I40" s="157">
        <v>0</v>
      </c>
      <c r="J40" s="144"/>
      <c r="K40" s="145"/>
      <c r="L40" s="146"/>
      <c r="M40" s="146"/>
      <c r="N40" s="147"/>
      <c r="O40" s="147"/>
    </row>
    <row r="41" spans="1:15" ht="12.75" customHeight="1" x14ac:dyDescent="0.3">
      <c r="A41" s="208">
        <v>45870</v>
      </c>
      <c r="B41" s="148" t="s">
        <v>2955</v>
      </c>
      <c r="C41" s="149" t="s">
        <v>2954</v>
      </c>
      <c r="D41" s="150" t="s">
        <v>684</v>
      </c>
      <c r="E41" s="149" t="s">
        <v>44</v>
      </c>
      <c r="F41" s="151">
        <f t="shared" si="1"/>
        <v>408</v>
      </c>
      <c r="G41" s="152">
        <v>408</v>
      </c>
      <c r="H41" s="152">
        <v>0</v>
      </c>
      <c r="I41" s="152">
        <v>0</v>
      </c>
      <c r="J41" s="144"/>
      <c r="K41" s="145"/>
      <c r="L41" s="146"/>
      <c r="M41" s="146"/>
      <c r="N41" s="147"/>
      <c r="O41" s="147"/>
    </row>
    <row r="42" spans="1:15" ht="12.75" customHeight="1" x14ac:dyDescent="0.3">
      <c r="A42" s="209">
        <v>45870</v>
      </c>
      <c r="B42" s="153" t="s">
        <v>2955</v>
      </c>
      <c r="C42" s="154" t="s">
        <v>2954</v>
      </c>
      <c r="D42" s="155" t="s">
        <v>688</v>
      </c>
      <c r="E42" s="154" t="s">
        <v>44</v>
      </c>
      <c r="F42" s="156">
        <f t="shared" si="1"/>
        <v>144</v>
      </c>
      <c r="G42" s="157">
        <v>144</v>
      </c>
      <c r="H42" s="157">
        <v>0</v>
      </c>
      <c r="I42" s="157">
        <v>0</v>
      </c>
      <c r="J42" s="144"/>
      <c r="K42" s="145"/>
      <c r="L42" s="146"/>
      <c r="M42" s="146"/>
      <c r="N42" s="147"/>
      <c r="O42" s="147"/>
    </row>
    <row r="43" spans="1:15" ht="12.75" customHeight="1" x14ac:dyDescent="0.3">
      <c r="A43" s="208">
        <v>45870</v>
      </c>
      <c r="B43" s="148" t="s">
        <v>2955</v>
      </c>
      <c r="C43" s="149" t="s">
        <v>2954</v>
      </c>
      <c r="D43" s="150" t="s">
        <v>648</v>
      </c>
      <c r="E43" s="149" t="s">
        <v>44</v>
      </c>
      <c r="F43" s="151">
        <f t="shared" si="1"/>
        <v>96</v>
      </c>
      <c r="G43" s="152">
        <v>96</v>
      </c>
      <c r="H43" s="152">
        <v>0</v>
      </c>
      <c r="I43" s="152">
        <v>0</v>
      </c>
      <c r="J43" s="144"/>
      <c r="K43" s="145"/>
      <c r="L43" s="146"/>
      <c r="M43" s="146"/>
      <c r="N43" s="147"/>
      <c r="O43" s="147"/>
    </row>
    <row r="44" spans="1:15" ht="12.75" customHeight="1" x14ac:dyDescent="0.3">
      <c r="A44" s="209">
        <v>45870</v>
      </c>
      <c r="B44" s="153" t="s">
        <v>2953</v>
      </c>
      <c r="C44" s="154" t="s">
        <v>2954</v>
      </c>
      <c r="D44" s="155" t="s">
        <v>2956</v>
      </c>
      <c r="E44" s="154" t="s">
        <v>44</v>
      </c>
      <c r="F44" s="156">
        <f t="shared" si="1"/>
        <v>400</v>
      </c>
      <c r="G44" s="157">
        <v>400</v>
      </c>
      <c r="H44" s="157">
        <v>0</v>
      </c>
      <c r="I44" s="157">
        <v>0</v>
      </c>
      <c r="J44" s="144"/>
      <c r="K44" s="145"/>
      <c r="L44" s="146"/>
      <c r="M44" s="146"/>
      <c r="N44" s="147"/>
      <c r="O44" s="147"/>
    </row>
    <row r="45" spans="1:15" ht="12.75" customHeight="1" x14ac:dyDescent="0.3">
      <c r="A45" s="208">
        <v>45870</v>
      </c>
      <c r="B45" s="148" t="s">
        <v>2953</v>
      </c>
      <c r="C45" s="149" t="s">
        <v>2954</v>
      </c>
      <c r="D45" s="150" t="s">
        <v>684</v>
      </c>
      <c r="E45" s="149" t="s">
        <v>44</v>
      </c>
      <c r="F45" s="151">
        <f t="shared" si="1"/>
        <v>436</v>
      </c>
      <c r="G45" s="152">
        <v>436</v>
      </c>
      <c r="H45" s="152">
        <v>0</v>
      </c>
      <c r="I45" s="152">
        <v>0</v>
      </c>
      <c r="J45" s="144"/>
      <c r="K45" s="145"/>
      <c r="L45" s="146"/>
      <c r="M45" s="146"/>
      <c r="N45" s="147"/>
      <c r="O45" s="147"/>
    </row>
    <row r="46" spans="1:15" ht="12.75" customHeight="1" x14ac:dyDescent="0.3">
      <c r="A46" s="209">
        <v>45870</v>
      </c>
      <c r="B46" s="153" t="s">
        <v>2953</v>
      </c>
      <c r="C46" s="154" t="s">
        <v>2954</v>
      </c>
      <c r="D46" s="155" t="s">
        <v>688</v>
      </c>
      <c r="E46" s="154" t="s">
        <v>44</v>
      </c>
      <c r="F46" s="156">
        <f t="shared" si="1"/>
        <v>176</v>
      </c>
      <c r="G46" s="157">
        <v>176</v>
      </c>
      <c r="H46" s="157">
        <v>0</v>
      </c>
      <c r="I46" s="157">
        <v>0</v>
      </c>
      <c r="J46" s="144"/>
      <c r="K46" s="145"/>
      <c r="L46" s="146"/>
      <c r="M46" s="146"/>
      <c r="N46" s="147"/>
      <c r="O46" s="147"/>
    </row>
    <row r="47" spans="1:15" ht="12.75" customHeight="1" x14ac:dyDescent="0.3">
      <c r="A47" s="208">
        <v>45870</v>
      </c>
      <c r="B47" s="148" t="s">
        <v>2953</v>
      </c>
      <c r="C47" s="149" t="s">
        <v>2954</v>
      </c>
      <c r="D47" s="150" t="s">
        <v>648</v>
      </c>
      <c r="E47" s="149" t="s">
        <v>44</v>
      </c>
      <c r="F47" s="151">
        <f t="shared" si="1"/>
        <v>104</v>
      </c>
      <c r="G47" s="152">
        <v>104</v>
      </c>
      <c r="H47" s="152">
        <v>0</v>
      </c>
      <c r="I47" s="152">
        <v>0</v>
      </c>
      <c r="J47" s="144"/>
      <c r="K47" s="145"/>
      <c r="L47" s="146"/>
      <c r="M47" s="146"/>
      <c r="N47" s="147"/>
      <c r="O47" s="147"/>
    </row>
    <row r="48" spans="1:15" ht="12.75" customHeight="1" x14ac:dyDescent="0.3">
      <c r="A48" s="209">
        <v>45901</v>
      </c>
      <c r="B48" s="153" t="s">
        <v>2955</v>
      </c>
      <c r="C48" s="154" t="s">
        <v>2954</v>
      </c>
      <c r="D48" s="155" t="s">
        <v>2956</v>
      </c>
      <c r="E48" s="154" t="s">
        <v>44</v>
      </c>
      <c r="F48" s="156">
        <f t="shared" si="1"/>
        <v>400</v>
      </c>
      <c r="G48" s="157">
        <v>400</v>
      </c>
      <c r="H48" s="157">
        <v>0</v>
      </c>
      <c r="I48" s="157">
        <v>0</v>
      </c>
      <c r="J48" s="144"/>
      <c r="K48" s="145"/>
      <c r="L48" s="146"/>
      <c r="M48" s="146"/>
      <c r="N48" s="147"/>
      <c r="O48" s="147"/>
    </row>
    <row r="49" spans="1:15" ht="12.75" customHeight="1" x14ac:dyDescent="0.3">
      <c r="A49" s="208">
        <v>45901</v>
      </c>
      <c r="B49" s="148" t="s">
        <v>2955</v>
      </c>
      <c r="C49" s="149" t="s">
        <v>2954</v>
      </c>
      <c r="D49" s="150" t="s">
        <v>684</v>
      </c>
      <c r="E49" s="149" t="s">
        <v>44</v>
      </c>
      <c r="F49" s="151">
        <f t="shared" si="1"/>
        <v>476</v>
      </c>
      <c r="G49" s="152">
        <v>476</v>
      </c>
      <c r="H49" s="152">
        <v>0</v>
      </c>
      <c r="I49" s="152">
        <v>0</v>
      </c>
      <c r="J49" s="144"/>
      <c r="K49" s="145"/>
      <c r="L49" s="146"/>
      <c r="M49" s="146"/>
      <c r="N49" s="147"/>
      <c r="O49" s="147"/>
    </row>
    <row r="50" spans="1:15" ht="12.75" customHeight="1" x14ac:dyDescent="0.3">
      <c r="A50" s="209">
        <v>45901</v>
      </c>
      <c r="B50" s="153" t="s">
        <v>2955</v>
      </c>
      <c r="C50" s="154" t="s">
        <v>2954</v>
      </c>
      <c r="D50" s="155" t="s">
        <v>688</v>
      </c>
      <c r="E50" s="154" t="s">
        <v>44</v>
      </c>
      <c r="F50" s="156">
        <f t="shared" si="1"/>
        <v>184</v>
      </c>
      <c r="G50" s="157">
        <v>184</v>
      </c>
      <c r="H50" s="157">
        <v>0</v>
      </c>
      <c r="I50" s="157">
        <v>0</v>
      </c>
      <c r="J50" s="144"/>
      <c r="K50" s="145"/>
      <c r="L50" s="146"/>
      <c r="M50" s="146"/>
      <c r="N50" s="147"/>
      <c r="O50" s="147"/>
    </row>
    <row r="51" spans="1:15" ht="12.75" customHeight="1" x14ac:dyDescent="0.3">
      <c r="A51" s="208">
        <v>45901</v>
      </c>
      <c r="B51" s="148" t="s">
        <v>2955</v>
      </c>
      <c r="C51" s="149" t="s">
        <v>2954</v>
      </c>
      <c r="D51" s="150" t="s">
        <v>648</v>
      </c>
      <c r="E51" s="149" t="s">
        <v>44</v>
      </c>
      <c r="F51" s="151">
        <f t="shared" si="1"/>
        <v>104</v>
      </c>
      <c r="G51" s="152">
        <v>104</v>
      </c>
      <c r="H51" s="152">
        <v>0</v>
      </c>
      <c r="I51" s="152">
        <v>0</v>
      </c>
      <c r="J51" s="144"/>
      <c r="K51" s="145"/>
      <c r="L51" s="146"/>
      <c r="M51" s="146"/>
      <c r="N51" s="147"/>
      <c r="O51" s="147"/>
    </row>
    <row r="52" spans="1:15" ht="12.75" customHeight="1" x14ac:dyDescent="0.3">
      <c r="A52" s="209">
        <v>45901</v>
      </c>
      <c r="B52" s="153" t="s">
        <v>2953</v>
      </c>
      <c r="C52" s="154" t="s">
        <v>2954</v>
      </c>
      <c r="D52" s="155" t="s">
        <v>2956</v>
      </c>
      <c r="E52" s="154" t="s">
        <v>44</v>
      </c>
      <c r="F52" s="156">
        <f t="shared" si="1"/>
        <v>408</v>
      </c>
      <c r="G52" s="157">
        <v>408</v>
      </c>
      <c r="H52" s="157">
        <v>0</v>
      </c>
      <c r="I52" s="157">
        <v>0</v>
      </c>
      <c r="J52" s="144"/>
      <c r="K52" s="145"/>
      <c r="L52" s="146"/>
      <c r="M52" s="146"/>
      <c r="N52" s="147"/>
      <c r="O52" s="147"/>
    </row>
    <row r="53" spans="1:15" ht="12.75" customHeight="1" x14ac:dyDescent="0.3">
      <c r="A53" s="208">
        <v>45901</v>
      </c>
      <c r="B53" s="148" t="s">
        <v>2953</v>
      </c>
      <c r="C53" s="149" t="s">
        <v>2954</v>
      </c>
      <c r="D53" s="150" t="s">
        <v>684</v>
      </c>
      <c r="E53" s="149" t="s">
        <v>44</v>
      </c>
      <c r="F53" s="151">
        <f t="shared" si="1"/>
        <v>484</v>
      </c>
      <c r="G53" s="152">
        <v>484</v>
      </c>
      <c r="H53" s="152">
        <v>0</v>
      </c>
      <c r="I53" s="152">
        <v>0</v>
      </c>
      <c r="J53" s="144"/>
      <c r="K53" s="145"/>
      <c r="L53" s="146"/>
      <c r="M53" s="146"/>
      <c r="N53" s="147"/>
      <c r="O53" s="147"/>
    </row>
    <row r="54" spans="1:15" ht="12.75" customHeight="1" x14ac:dyDescent="0.3">
      <c r="A54" s="209">
        <v>45901</v>
      </c>
      <c r="B54" s="153" t="s">
        <v>2953</v>
      </c>
      <c r="C54" s="154" t="s">
        <v>2954</v>
      </c>
      <c r="D54" s="155" t="s">
        <v>688</v>
      </c>
      <c r="E54" s="154" t="s">
        <v>44</v>
      </c>
      <c r="F54" s="156">
        <f t="shared" si="1"/>
        <v>180</v>
      </c>
      <c r="G54" s="157">
        <v>180</v>
      </c>
      <c r="H54" s="157">
        <v>0</v>
      </c>
      <c r="I54" s="157">
        <v>0</v>
      </c>
      <c r="J54" s="144"/>
      <c r="K54" s="145"/>
      <c r="L54" s="146"/>
      <c r="M54" s="146"/>
      <c r="N54" s="147"/>
      <c r="O54" s="147"/>
    </row>
    <row r="55" spans="1:15" ht="12.75" customHeight="1" x14ac:dyDescent="0.3">
      <c r="A55" s="208">
        <v>45901</v>
      </c>
      <c r="B55" s="148" t="s">
        <v>2953</v>
      </c>
      <c r="C55" s="149" t="s">
        <v>2954</v>
      </c>
      <c r="D55" s="150" t="s">
        <v>648</v>
      </c>
      <c r="E55" s="149" t="s">
        <v>44</v>
      </c>
      <c r="F55" s="151">
        <f t="shared" si="1"/>
        <v>96</v>
      </c>
      <c r="G55" s="152">
        <v>96</v>
      </c>
      <c r="H55" s="152">
        <v>0</v>
      </c>
      <c r="I55" s="152">
        <v>0</v>
      </c>
      <c r="J55" s="144"/>
      <c r="K55" s="145"/>
      <c r="L55" s="146"/>
      <c r="M55" s="146"/>
      <c r="N55" s="147"/>
      <c r="O55" s="147"/>
    </row>
    <row r="56" spans="1:15" ht="12.75" customHeight="1" x14ac:dyDescent="0.3">
      <c r="A56" s="209">
        <v>45931</v>
      </c>
      <c r="B56" s="153" t="s">
        <v>2955</v>
      </c>
      <c r="C56" s="154" t="s">
        <v>2954</v>
      </c>
      <c r="D56" s="155" t="s">
        <v>2956</v>
      </c>
      <c r="E56" s="154" t="s">
        <v>44</v>
      </c>
      <c r="F56" s="156">
        <f t="shared" si="1"/>
        <v>320</v>
      </c>
      <c r="G56" s="157">
        <v>320</v>
      </c>
      <c r="H56" s="157">
        <v>0</v>
      </c>
      <c r="I56" s="157">
        <v>0</v>
      </c>
      <c r="J56" s="144"/>
      <c r="K56" s="145"/>
      <c r="L56" s="146"/>
      <c r="M56" s="146"/>
      <c r="N56" s="147"/>
      <c r="O56" s="147"/>
    </row>
    <row r="57" spans="1:15" ht="12.75" customHeight="1" x14ac:dyDescent="0.3">
      <c r="A57" s="208">
        <v>45931</v>
      </c>
      <c r="B57" s="148" t="s">
        <v>2955</v>
      </c>
      <c r="C57" s="149" t="s">
        <v>2954</v>
      </c>
      <c r="D57" s="150" t="s">
        <v>684</v>
      </c>
      <c r="E57" s="149" t="s">
        <v>44</v>
      </c>
      <c r="F57" s="151">
        <f t="shared" si="1"/>
        <v>716</v>
      </c>
      <c r="G57" s="152">
        <v>716</v>
      </c>
      <c r="H57" s="152">
        <v>0</v>
      </c>
      <c r="I57" s="152">
        <v>0</v>
      </c>
      <c r="J57" s="144"/>
      <c r="K57" s="145"/>
      <c r="L57" s="146"/>
      <c r="M57" s="146"/>
      <c r="N57" s="147"/>
      <c r="O57" s="147"/>
    </row>
    <row r="58" spans="1:15" ht="12.75" customHeight="1" x14ac:dyDescent="0.3">
      <c r="A58" s="209">
        <v>45931</v>
      </c>
      <c r="B58" s="153" t="s">
        <v>2955</v>
      </c>
      <c r="C58" s="154" t="s">
        <v>2954</v>
      </c>
      <c r="D58" s="155" t="s">
        <v>688</v>
      </c>
      <c r="E58" s="154" t="s">
        <v>44</v>
      </c>
      <c r="F58" s="156">
        <f t="shared" si="1"/>
        <v>176</v>
      </c>
      <c r="G58" s="157">
        <v>176</v>
      </c>
      <c r="H58" s="157">
        <v>0</v>
      </c>
      <c r="I58" s="157">
        <v>0</v>
      </c>
      <c r="J58" s="144"/>
      <c r="K58" s="145"/>
      <c r="L58" s="146"/>
      <c r="M58" s="146"/>
      <c r="N58" s="147"/>
      <c r="O58" s="147"/>
    </row>
    <row r="59" spans="1:15" ht="12.75" customHeight="1" x14ac:dyDescent="0.3">
      <c r="A59" s="208">
        <v>45931</v>
      </c>
      <c r="B59" s="148" t="s">
        <v>2955</v>
      </c>
      <c r="C59" s="149" t="s">
        <v>2954</v>
      </c>
      <c r="D59" s="150" t="s">
        <v>648</v>
      </c>
      <c r="E59" s="149" t="s">
        <v>44</v>
      </c>
      <c r="F59" s="151">
        <f t="shared" si="1"/>
        <v>80</v>
      </c>
      <c r="G59" s="152">
        <v>80</v>
      </c>
      <c r="H59" s="152">
        <v>0</v>
      </c>
      <c r="I59" s="152">
        <v>0</v>
      </c>
      <c r="J59" s="144"/>
      <c r="K59" s="145"/>
      <c r="L59" s="146"/>
      <c r="M59" s="146"/>
      <c r="N59" s="147"/>
      <c r="O59" s="147"/>
    </row>
    <row r="60" spans="1:15" ht="12.75" customHeight="1" x14ac:dyDescent="0.3">
      <c r="A60" s="209">
        <v>45931</v>
      </c>
      <c r="B60" s="153" t="s">
        <v>2953</v>
      </c>
      <c r="C60" s="154" t="s">
        <v>2954</v>
      </c>
      <c r="D60" s="155" t="s">
        <v>2956</v>
      </c>
      <c r="E60" s="154" t="s">
        <v>44</v>
      </c>
      <c r="F60" s="156">
        <f t="shared" si="1"/>
        <v>416</v>
      </c>
      <c r="G60" s="157">
        <v>416</v>
      </c>
      <c r="H60" s="157">
        <v>0</v>
      </c>
      <c r="I60" s="157">
        <v>0</v>
      </c>
      <c r="J60" s="144"/>
      <c r="K60" s="145"/>
      <c r="L60" s="146"/>
      <c r="M60" s="146"/>
      <c r="N60" s="147"/>
      <c r="O60" s="147"/>
    </row>
    <row r="61" spans="1:15" ht="12.75" customHeight="1" x14ac:dyDescent="0.3">
      <c r="A61" s="208">
        <v>45931</v>
      </c>
      <c r="B61" s="148" t="s">
        <v>2953</v>
      </c>
      <c r="C61" s="149" t="s">
        <v>2954</v>
      </c>
      <c r="D61" s="150" t="s">
        <v>684</v>
      </c>
      <c r="E61" s="149" t="s">
        <v>44</v>
      </c>
      <c r="F61" s="151">
        <f t="shared" si="1"/>
        <v>824</v>
      </c>
      <c r="G61" s="152">
        <v>824</v>
      </c>
      <c r="H61" s="152">
        <v>0</v>
      </c>
      <c r="I61" s="152">
        <v>0</v>
      </c>
      <c r="J61" s="144"/>
      <c r="K61" s="145"/>
      <c r="L61" s="146"/>
      <c r="M61" s="146"/>
      <c r="N61" s="147"/>
      <c r="O61" s="147"/>
    </row>
    <row r="62" spans="1:15" ht="12.75" customHeight="1" x14ac:dyDescent="0.3">
      <c r="A62" s="209">
        <v>45931</v>
      </c>
      <c r="B62" s="153" t="s">
        <v>2953</v>
      </c>
      <c r="C62" s="154" t="s">
        <v>2954</v>
      </c>
      <c r="D62" s="155" t="s">
        <v>688</v>
      </c>
      <c r="E62" s="154" t="s">
        <v>44</v>
      </c>
      <c r="F62" s="156">
        <f t="shared" si="1"/>
        <v>192</v>
      </c>
      <c r="G62" s="157">
        <v>192</v>
      </c>
      <c r="H62" s="157">
        <v>0</v>
      </c>
      <c r="I62" s="157">
        <v>0</v>
      </c>
      <c r="J62" s="144"/>
      <c r="K62" s="145"/>
      <c r="L62" s="146"/>
      <c r="M62" s="146"/>
      <c r="N62" s="147"/>
      <c r="O62" s="147"/>
    </row>
    <row r="63" spans="1:15" ht="12.75" customHeight="1" x14ac:dyDescent="0.3">
      <c r="A63" s="208">
        <v>45962</v>
      </c>
      <c r="B63" s="148" t="s">
        <v>2955</v>
      </c>
      <c r="C63" s="149" t="s">
        <v>2954</v>
      </c>
      <c r="D63" s="150" t="s">
        <v>2956</v>
      </c>
      <c r="E63" s="149" t="s">
        <v>44</v>
      </c>
      <c r="F63" s="151">
        <f t="shared" si="1"/>
        <v>376</v>
      </c>
      <c r="G63" s="152">
        <v>376</v>
      </c>
      <c r="H63" s="152">
        <v>0</v>
      </c>
      <c r="I63" s="152">
        <v>0</v>
      </c>
      <c r="J63" s="144"/>
      <c r="K63" s="145"/>
      <c r="L63" s="146"/>
      <c r="M63" s="146"/>
      <c r="N63" s="147"/>
      <c r="O63" s="147"/>
    </row>
    <row r="64" spans="1:15" ht="12.75" customHeight="1" x14ac:dyDescent="0.3">
      <c r="A64" s="209">
        <v>45962</v>
      </c>
      <c r="B64" s="153" t="s">
        <v>2955</v>
      </c>
      <c r="C64" s="154" t="s">
        <v>2954</v>
      </c>
      <c r="D64" s="155" t="s">
        <v>684</v>
      </c>
      <c r="E64" s="154" t="s">
        <v>44</v>
      </c>
      <c r="F64" s="156">
        <f t="shared" si="1"/>
        <v>756</v>
      </c>
      <c r="G64" s="157">
        <v>756</v>
      </c>
      <c r="H64" s="157">
        <v>0</v>
      </c>
      <c r="I64" s="157">
        <v>0</v>
      </c>
      <c r="J64" s="144"/>
      <c r="K64" s="145"/>
      <c r="L64" s="146"/>
      <c r="M64" s="146"/>
      <c r="N64" s="147"/>
      <c r="O64" s="147"/>
    </row>
    <row r="65" spans="1:15" ht="12.75" customHeight="1" x14ac:dyDescent="0.3">
      <c r="A65" s="208">
        <v>45962</v>
      </c>
      <c r="B65" s="148" t="s">
        <v>2955</v>
      </c>
      <c r="C65" s="149" t="s">
        <v>2954</v>
      </c>
      <c r="D65" s="150" t="s">
        <v>688</v>
      </c>
      <c r="E65" s="149" t="s">
        <v>44</v>
      </c>
      <c r="F65" s="151">
        <f t="shared" si="1"/>
        <v>176</v>
      </c>
      <c r="G65" s="152">
        <v>176</v>
      </c>
      <c r="H65" s="152">
        <v>0</v>
      </c>
      <c r="I65" s="152">
        <v>0</v>
      </c>
      <c r="J65" s="144"/>
      <c r="K65" s="145"/>
      <c r="L65" s="146"/>
      <c r="M65" s="146"/>
      <c r="N65" s="147"/>
      <c r="O65" s="147"/>
    </row>
    <row r="66" spans="1:15" ht="12.75" customHeight="1" x14ac:dyDescent="0.3">
      <c r="A66" s="209">
        <v>45962</v>
      </c>
      <c r="B66" s="153" t="s">
        <v>2953</v>
      </c>
      <c r="C66" s="154" t="s">
        <v>2954</v>
      </c>
      <c r="D66" s="155" t="s">
        <v>2956</v>
      </c>
      <c r="E66" s="154" t="s">
        <v>44</v>
      </c>
      <c r="F66" s="156">
        <f t="shared" si="1"/>
        <v>324</v>
      </c>
      <c r="G66" s="157">
        <v>324</v>
      </c>
      <c r="H66" s="157">
        <v>0</v>
      </c>
      <c r="I66" s="157">
        <v>0</v>
      </c>
      <c r="J66" s="144"/>
      <c r="K66" s="145"/>
      <c r="L66" s="146"/>
      <c r="M66" s="146"/>
      <c r="N66" s="147"/>
      <c r="O66" s="147"/>
    </row>
    <row r="67" spans="1:15" ht="12.75" customHeight="1" x14ac:dyDescent="0.3">
      <c r="A67" s="208">
        <v>45962</v>
      </c>
      <c r="B67" s="148" t="s">
        <v>2953</v>
      </c>
      <c r="C67" s="149" t="s">
        <v>2954</v>
      </c>
      <c r="D67" s="150" t="s">
        <v>684</v>
      </c>
      <c r="E67" s="149" t="s">
        <v>44</v>
      </c>
      <c r="F67" s="151">
        <f t="shared" si="1"/>
        <v>804</v>
      </c>
      <c r="G67" s="152">
        <v>804</v>
      </c>
      <c r="H67" s="152">
        <v>0</v>
      </c>
      <c r="I67" s="152">
        <v>0</v>
      </c>
      <c r="J67" s="144"/>
      <c r="K67" s="145"/>
      <c r="L67" s="146"/>
      <c r="M67" s="146"/>
      <c r="N67" s="147"/>
      <c r="O67" s="147"/>
    </row>
    <row r="68" spans="1:15" ht="12.75" customHeight="1" x14ac:dyDescent="0.3">
      <c r="A68" s="209">
        <v>45962</v>
      </c>
      <c r="B68" s="153" t="s">
        <v>2953</v>
      </c>
      <c r="C68" s="154" t="s">
        <v>2954</v>
      </c>
      <c r="D68" s="155" t="s">
        <v>688</v>
      </c>
      <c r="E68" s="154" t="s">
        <v>44</v>
      </c>
      <c r="F68" s="156">
        <f t="shared" ref="F68:F99" si="2">G68+H68+I68</f>
        <v>160</v>
      </c>
      <c r="G68" s="157">
        <v>160</v>
      </c>
      <c r="H68" s="157">
        <v>0</v>
      </c>
      <c r="I68" s="157">
        <v>0</v>
      </c>
      <c r="J68" s="144"/>
      <c r="K68" s="145"/>
      <c r="L68" s="146"/>
      <c r="M68" s="146"/>
      <c r="N68" s="147"/>
      <c r="O68" s="147"/>
    </row>
    <row r="69" spans="1:15" ht="12.75" customHeight="1" x14ac:dyDescent="0.3">
      <c r="A69" s="208">
        <v>45992</v>
      </c>
      <c r="B69" s="148" t="s">
        <v>2955</v>
      </c>
      <c r="C69" s="149" t="s">
        <v>2954</v>
      </c>
      <c r="D69" s="150" t="s">
        <v>2956</v>
      </c>
      <c r="E69" s="149" t="s">
        <v>44</v>
      </c>
      <c r="F69" s="151">
        <f t="shared" si="2"/>
        <v>352</v>
      </c>
      <c r="G69" s="152">
        <v>352</v>
      </c>
      <c r="H69" s="152">
        <v>0</v>
      </c>
      <c r="I69" s="152">
        <v>0</v>
      </c>
      <c r="J69" s="144"/>
      <c r="K69" s="145"/>
      <c r="L69" s="146"/>
      <c r="M69" s="146"/>
      <c r="N69" s="147"/>
      <c r="O69" s="147"/>
    </row>
    <row r="70" spans="1:15" ht="12.75" customHeight="1" x14ac:dyDescent="0.3">
      <c r="A70" s="209">
        <v>45992</v>
      </c>
      <c r="B70" s="153" t="s">
        <v>2955</v>
      </c>
      <c r="C70" s="154" t="s">
        <v>2954</v>
      </c>
      <c r="D70" s="155" t="s">
        <v>684</v>
      </c>
      <c r="E70" s="154" t="s">
        <v>44</v>
      </c>
      <c r="F70" s="156">
        <f t="shared" si="2"/>
        <v>880</v>
      </c>
      <c r="G70" s="157">
        <v>880</v>
      </c>
      <c r="H70" s="157">
        <v>0</v>
      </c>
      <c r="I70" s="157">
        <v>0</v>
      </c>
      <c r="J70" s="144"/>
      <c r="K70" s="145"/>
      <c r="L70" s="146"/>
      <c r="M70" s="146"/>
      <c r="N70" s="147"/>
      <c r="O70" s="147"/>
    </row>
    <row r="71" spans="1:15" ht="12.75" customHeight="1" x14ac:dyDescent="0.3">
      <c r="A71" s="208">
        <v>45992</v>
      </c>
      <c r="B71" s="148" t="s">
        <v>2955</v>
      </c>
      <c r="C71" s="149" t="s">
        <v>2954</v>
      </c>
      <c r="D71" s="150" t="s">
        <v>688</v>
      </c>
      <c r="E71" s="149" t="s">
        <v>44</v>
      </c>
      <c r="F71" s="151">
        <f t="shared" si="2"/>
        <v>216</v>
      </c>
      <c r="G71" s="152">
        <v>216</v>
      </c>
      <c r="H71" s="152">
        <v>0</v>
      </c>
      <c r="I71" s="152">
        <v>0</v>
      </c>
      <c r="J71" s="144"/>
      <c r="K71" s="145"/>
      <c r="L71" s="146"/>
      <c r="M71" s="146"/>
      <c r="N71" s="147"/>
      <c r="O71" s="147"/>
    </row>
    <row r="72" spans="1:15" ht="12.75" customHeight="1" x14ac:dyDescent="0.3">
      <c r="A72" s="209">
        <v>45992</v>
      </c>
      <c r="B72" s="153" t="s">
        <v>2953</v>
      </c>
      <c r="C72" s="154" t="s">
        <v>2954</v>
      </c>
      <c r="D72" s="155" t="s">
        <v>2956</v>
      </c>
      <c r="E72" s="154" t="s">
        <v>44</v>
      </c>
      <c r="F72" s="156">
        <f t="shared" si="2"/>
        <v>280</v>
      </c>
      <c r="G72" s="157">
        <v>280</v>
      </c>
      <c r="H72" s="157">
        <v>0</v>
      </c>
      <c r="I72" s="157">
        <v>0</v>
      </c>
      <c r="J72" s="144"/>
      <c r="K72" s="145"/>
      <c r="L72" s="146"/>
      <c r="M72" s="146"/>
      <c r="N72" s="147"/>
      <c r="O72" s="147"/>
    </row>
    <row r="73" spans="1:15" ht="12.75" customHeight="1" x14ac:dyDescent="0.3">
      <c r="A73" s="208">
        <v>45992</v>
      </c>
      <c r="B73" s="148" t="s">
        <v>2953</v>
      </c>
      <c r="C73" s="149" t="s">
        <v>2954</v>
      </c>
      <c r="D73" s="150" t="s">
        <v>684</v>
      </c>
      <c r="E73" s="149" t="s">
        <v>44</v>
      </c>
      <c r="F73" s="151">
        <f t="shared" si="2"/>
        <v>628</v>
      </c>
      <c r="G73" s="152">
        <v>628</v>
      </c>
      <c r="H73" s="152">
        <v>0</v>
      </c>
      <c r="I73" s="152">
        <v>0</v>
      </c>
      <c r="J73" s="144"/>
      <c r="K73" s="145"/>
      <c r="L73" s="146"/>
      <c r="M73" s="146"/>
      <c r="N73" s="147"/>
      <c r="O73" s="147"/>
    </row>
    <row r="74" spans="1:15" ht="12.75" customHeight="1" x14ac:dyDescent="0.3">
      <c r="A74" s="209">
        <v>45992</v>
      </c>
      <c r="B74" s="153" t="s">
        <v>2953</v>
      </c>
      <c r="C74" s="154" t="s">
        <v>2954</v>
      </c>
      <c r="D74" s="155" t="s">
        <v>688</v>
      </c>
      <c r="E74" s="154" t="s">
        <v>44</v>
      </c>
      <c r="F74" s="156">
        <f t="shared" si="2"/>
        <v>52</v>
      </c>
      <c r="G74" s="157">
        <v>52</v>
      </c>
      <c r="H74" s="157">
        <v>0</v>
      </c>
      <c r="I74" s="157">
        <v>0</v>
      </c>
      <c r="J74" s="144"/>
      <c r="K74" s="145"/>
      <c r="L74" s="146"/>
      <c r="M74" s="146"/>
      <c r="N74" s="147"/>
      <c r="O74" s="147"/>
    </row>
    <row r="75" spans="1:15" ht="12.75" customHeight="1" x14ac:dyDescent="0.3">
      <c r="A75" s="208">
        <v>46023</v>
      </c>
      <c r="B75" s="148" t="s">
        <v>2955</v>
      </c>
      <c r="C75" s="149" t="s">
        <v>2954</v>
      </c>
      <c r="D75" s="150" t="s">
        <v>2956</v>
      </c>
      <c r="E75" s="149" t="s">
        <v>44</v>
      </c>
      <c r="F75" s="151">
        <f t="shared" si="2"/>
        <v>312</v>
      </c>
      <c r="G75" s="152">
        <v>312</v>
      </c>
      <c r="H75" s="152">
        <v>0</v>
      </c>
      <c r="I75" s="152">
        <v>0</v>
      </c>
      <c r="J75" s="144"/>
      <c r="K75" s="145"/>
      <c r="L75" s="146"/>
      <c r="M75" s="146"/>
      <c r="N75" s="147"/>
      <c r="O75" s="147"/>
    </row>
    <row r="76" spans="1:15" ht="12.75" customHeight="1" x14ac:dyDescent="0.3">
      <c r="A76" s="209">
        <v>46023</v>
      </c>
      <c r="B76" s="153" t="s">
        <v>2955</v>
      </c>
      <c r="C76" s="154" t="s">
        <v>2954</v>
      </c>
      <c r="D76" s="155" t="s">
        <v>684</v>
      </c>
      <c r="E76" s="154" t="s">
        <v>44</v>
      </c>
      <c r="F76" s="156">
        <f t="shared" si="2"/>
        <v>664</v>
      </c>
      <c r="G76" s="157">
        <v>664</v>
      </c>
      <c r="H76" s="157">
        <v>0</v>
      </c>
      <c r="I76" s="157">
        <v>0</v>
      </c>
      <c r="J76" s="144"/>
      <c r="K76" s="145"/>
      <c r="L76" s="146"/>
      <c r="M76" s="146"/>
      <c r="N76" s="147"/>
      <c r="O76" s="147"/>
    </row>
    <row r="77" spans="1:15" ht="12.75" customHeight="1" x14ac:dyDescent="0.3">
      <c r="A77" s="208">
        <v>46023</v>
      </c>
      <c r="B77" s="148" t="s">
        <v>2953</v>
      </c>
      <c r="C77" s="149" t="s">
        <v>2954</v>
      </c>
      <c r="D77" s="150" t="s">
        <v>2956</v>
      </c>
      <c r="E77" s="149" t="s">
        <v>44</v>
      </c>
      <c r="F77" s="151">
        <f t="shared" si="2"/>
        <v>384</v>
      </c>
      <c r="G77" s="152">
        <v>384</v>
      </c>
      <c r="H77" s="152">
        <v>0</v>
      </c>
      <c r="I77" s="152">
        <v>0</v>
      </c>
      <c r="J77" s="144"/>
      <c r="K77" s="145"/>
      <c r="L77" s="146"/>
      <c r="M77" s="146"/>
      <c r="N77" s="147"/>
      <c r="O77" s="147"/>
    </row>
    <row r="78" spans="1:15" ht="12.75" customHeight="1" x14ac:dyDescent="0.3">
      <c r="A78" s="209">
        <v>46023</v>
      </c>
      <c r="B78" s="153" t="s">
        <v>2953</v>
      </c>
      <c r="C78" s="154" t="s">
        <v>2954</v>
      </c>
      <c r="D78" s="155" t="s">
        <v>684</v>
      </c>
      <c r="E78" s="154" t="s">
        <v>44</v>
      </c>
      <c r="F78" s="156">
        <f t="shared" si="2"/>
        <v>648</v>
      </c>
      <c r="G78" s="158">
        <v>648</v>
      </c>
      <c r="H78" s="158">
        <v>0</v>
      </c>
      <c r="I78" s="158">
        <v>0</v>
      </c>
      <c r="K78" s="145"/>
      <c r="L78" s="146"/>
      <c r="M78" s="146"/>
      <c r="N78" s="147"/>
      <c r="O78" s="147"/>
    </row>
    <row r="79" spans="1:15" ht="12.75" customHeight="1" x14ac:dyDescent="0.3">
      <c r="A79" s="208">
        <v>46054</v>
      </c>
      <c r="B79" s="148" t="s">
        <v>2955</v>
      </c>
      <c r="C79" s="149" t="s">
        <v>2954</v>
      </c>
      <c r="D79" s="150" t="s">
        <v>2956</v>
      </c>
      <c r="E79" s="149" t="s">
        <v>44</v>
      </c>
      <c r="F79" s="151">
        <f t="shared" si="2"/>
        <v>264</v>
      </c>
      <c r="G79" s="144">
        <v>264</v>
      </c>
      <c r="H79" s="144">
        <v>0</v>
      </c>
      <c r="I79" s="144">
        <v>0</v>
      </c>
      <c r="K79" s="145"/>
      <c r="L79" s="146"/>
      <c r="M79" s="146"/>
      <c r="N79" s="147"/>
      <c r="O79" s="147"/>
    </row>
    <row r="80" spans="1:15" ht="12.75" customHeight="1" x14ac:dyDescent="0.3">
      <c r="A80" s="209">
        <v>46054</v>
      </c>
      <c r="B80" s="153" t="s">
        <v>2955</v>
      </c>
      <c r="C80" s="154" t="s">
        <v>2954</v>
      </c>
      <c r="D80" s="155" t="s">
        <v>684</v>
      </c>
      <c r="E80" s="154" t="s">
        <v>44</v>
      </c>
      <c r="F80" s="156">
        <f t="shared" si="2"/>
        <v>500</v>
      </c>
      <c r="G80" s="158">
        <v>500</v>
      </c>
      <c r="H80" s="158">
        <v>0</v>
      </c>
      <c r="I80" s="158">
        <v>0</v>
      </c>
      <c r="K80" s="145"/>
      <c r="L80" s="146"/>
      <c r="M80" s="146"/>
      <c r="N80" s="147"/>
      <c r="O80" s="147"/>
    </row>
    <row r="81" spans="1:15" ht="12.75" customHeight="1" x14ac:dyDescent="0.3">
      <c r="A81" s="208">
        <v>46054</v>
      </c>
      <c r="B81" s="148" t="s">
        <v>2953</v>
      </c>
      <c r="C81" s="149" t="s">
        <v>2954</v>
      </c>
      <c r="D81" s="150" t="s">
        <v>2956</v>
      </c>
      <c r="E81" s="149" t="s">
        <v>44</v>
      </c>
      <c r="F81" s="151">
        <f t="shared" si="2"/>
        <v>180</v>
      </c>
      <c r="G81" s="144">
        <v>180</v>
      </c>
      <c r="H81" s="144">
        <v>0</v>
      </c>
      <c r="I81" s="144">
        <v>0</v>
      </c>
      <c r="K81" s="145"/>
      <c r="L81" s="146"/>
      <c r="M81" s="146"/>
      <c r="N81" s="147"/>
      <c r="O81" s="147"/>
    </row>
    <row r="82" spans="1:15" ht="12.75" customHeight="1" x14ac:dyDescent="0.3">
      <c r="A82" s="209">
        <v>46054</v>
      </c>
      <c r="B82" s="153" t="s">
        <v>2953</v>
      </c>
      <c r="C82" s="154" t="s">
        <v>2954</v>
      </c>
      <c r="D82" s="155" t="s">
        <v>684</v>
      </c>
      <c r="E82" s="154" t="s">
        <v>44</v>
      </c>
      <c r="F82" s="156">
        <f t="shared" si="2"/>
        <v>356</v>
      </c>
      <c r="G82" s="158">
        <v>356</v>
      </c>
      <c r="H82" s="158">
        <v>0</v>
      </c>
      <c r="I82" s="158">
        <v>0</v>
      </c>
      <c r="K82" s="145"/>
      <c r="L82" s="146"/>
      <c r="M82" s="146"/>
      <c r="N82" s="147"/>
      <c r="O82" s="147"/>
    </row>
    <row r="83" spans="1:15" ht="12.75" customHeight="1" x14ac:dyDescent="0.3">
      <c r="A83" s="208">
        <v>46082</v>
      </c>
      <c r="B83" s="148" t="s">
        <v>2955</v>
      </c>
      <c r="C83" s="149" t="s">
        <v>2954</v>
      </c>
      <c r="D83" s="150" t="s">
        <v>2956</v>
      </c>
      <c r="E83" s="149" t="s">
        <v>44</v>
      </c>
      <c r="F83" s="151">
        <f t="shared" si="2"/>
        <v>80</v>
      </c>
      <c r="G83" s="144">
        <v>80</v>
      </c>
      <c r="H83" s="144">
        <v>0</v>
      </c>
      <c r="I83" s="144">
        <v>0</v>
      </c>
      <c r="K83" s="145"/>
      <c r="L83" s="146"/>
      <c r="M83" s="146"/>
      <c r="N83" s="147"/>
      <c r="O83" s="147"/>
    </row>
    <row r="84" spans="1:15" ht="12.75" customHeight="1" x14ac:dyDescent="0.3">
      <c r="A84" s="209">
        <v>46082</v>
      </c>
      <c r="B84" s="153" t="s">
        <v>2955</v>
      </c>
      <c r="C84" s="154" t="s">
        <v>2954</v>
      </c>
      <c r="D84" s="155" t="s">
        <v>684</v>
      </c>
      <c r="E84" s="154" t="s">
        <v>44</v>
      </c>
      <c r="F84" s="156">
        <f t="shared" si="2"/>
        <v>312</v>
      </c>
      <c r="G84" s="158">
        <v>312</v>
      </c>
      <c r="H84" s="158">
        <v>0</v>
      </c>
      <c r="I84" s="158">
        <v>0</v>
      </c>
      <c r="K84" s="145"/>
      <c r="L84" s="146"/>
      <c r="M84" s="146"/>
      <c r="N84" s="147"/>
      <c r="O84" s="147"/>
    </row>
    <row r="85" spans="1:15" ht="12.75" customHeight="1" x14ac:dyDescent="0.3">
      <c r="A85" s="208">
        <v>46082</v>
      </c>
      <c r="B85" s="148" t="s">
        <v>2953</v>
      </c>
      <c r="C85" s="149" t="s">
        <v>2954</v>
      </c>
      <c r="D85" s="150" t="s">
        <v>2956</v>
      </c>
      <c r="E85" s="149" t="s">
        <v>44</v>
      </c>
      <c r="F85" s="151">
        <f t="shared" si="2"/>
        <v>112</v>
      </c>
      <c r="G85" s="144">
        <v>112</v>
      </c>
      <c r="H85" s="144">
        <v>0</v>
      </c>
      <c r="I85" s="144">
        <v>0</v>
      </c>
      <c r="K85" s="145"/>
      <c r="L85" s="146"/>
      <c r="M85" s="146"/>
      <c r="N85" s="147"/>
      <c r="O85" s="147"/>
    </row>
    <row r="86" spans="1:15" ht="12.75" customHeight="1" x14ac:dyDescent="0.3">
      <c r="A86" s="209">
        <v>46082</v>
      </c>
      <c r="B86" s="153" t="s">
        <v>2953</v>
      </c>
      <c r="C86" s="154" t="s">
        <v>2954</v>
      </c>
      <c r="D86" s="155" t="s">
        <v>684</v>
      </c>
      <c r="E86" s="154" t="s">
        <v>44</v>
      </c>
      <c r="F86" s="156">
        <f t="shared" si="2"/>
        <v>296</v>
      </c>
      <c r="G86" s="158">
        <v>296</v>
      </c>
      <c r="H86" s="158">
        <v>0</v>
      </c>
      <c r="I86" s="158">
        <v>0</v>
      </c>
      <c r="K86" s="145"/>
      <c r="L86" s="146"/>
      <c r="M86" s="146"/>
      <c r="N86" s="147"/>
      <c r="O86" s="147"/>
    </row>
    <row r="87" spans="1:15" ht="12.75" customHeight="1" x14ac:dyDescent="0.3">
      <c r="A87" s="208">
        <v>46113</v>
      </c>
      <c r="B87" s="148" t="s">
        <v>2955</v>
      </c>
      <c r="C87" s="149" t="s">
        <v>2954</v>
      </c>
      <c r="D87" s="150" t="s">
        <v>2956</v>
      </c>
      <c r="E87" s="149" t="s">
        <v>44</v>
      </c>
      <c r="F87" s="151">
        <f t="shared" si="2"/>
        <v>64</v>
      </c>
      <c r="G87" s="144">
        <v>64</v>
      </c>
      <c r="H87" s="144">
        <v>0</v>
      </c>
      <c r="I87" s="144">
        <v>0</v>
      </c>
      <c r="K87" s="145"/>
      <c r="L87" s="146"/>
      <c r="M87" s="146"/>
      <c r="N87" s="147"/>
      <c r="O87" s="147"/>
    </row>
    <row r="88" spans="1:15" ht="12.75" customHeight="1" x14ac:dyDescent="0.3">
      <c r="A88" s="209">
        <v>46113</v>
      </c>
      <c r="B88" s="153" t="s">
        <v>2955</v>
      </c>
      <c r="C88" s="154" t="s">
        <v>2954</v>
      </c>
      <c r="D88" s="155" t="s">
        <v>684</v>
      </c>
      <c r="E88" s="154" t="s">
        <v>44</v>
      </c>
      <c r="F88" s="156">
        <f t="shared" si="2"/>
        <v>264</v>
      </c>
      <c r="G88" s="158">
        <v>264</v>
      </c>
      <c r="H88" s="158">
        <v>0</v>
      </c>
      <c r="I88" s="158">
        <v>0</v>
      </c>
      <c r="K88" s="145"/>
      <c r="L88" s="146"/>
      <c r="M88" s="146"/>
      <c r="N88" s="147"/>
      <c r="O88" s="147"/>
    </row>
    <row r="89" spans="1:15" ht="12.75" customHeight="1" x14ac:dyDescent="0.3">
      <c r="A89" s="208">
        <v>46113</v>
      </c>
      <c r="B89" s="148" t="s">
        <v>2953</v>
      </c>
      <c r="C89" s="149" t="s">
        <v>2954</v>
      </c>
      <c r="D89" s="150" t="s">
        <v>2956</v>
      </c>
      <c r="E89" s="149" t="s">
        <v>44</v>
      </c>
      <c r="F89" s="151">
        <f t="shared" si="2"/>
        <v>108</v>
      </c>
      <c r="G89" s="144">
        <v>108</v>
      </c>
      <c r="H89" s="144">
        <v>0</v>
      </c>
      <c r="I89" s="144">
        <v>0</v>
      </c>
      <c r="K89" s="145"/>
      <c r="L89" s="146"/>
      <c r="M89" s="146"/>
      <c r="N89" s="147"/>
      <c r="O89" s="147"/>
    </row>
    <row r="90" spans="1:15" ht="12.75" customHeight="1" x14ac:dyDescent="0.3">
      <c r="A90" s="209">
        <v>46113</v>
      </c>
      <c r="B90" s="153" t="s">
        <v>2953</v>
      </c>
      <c r="C90" s="154" t="s">
        <v>2954</v>
      </c>
      <c r="D90" s="155" t="s">
        <v>684</v>
      </c>
      <c r="E90" s="154" t="s">
        <v>44</v>
      </c>
      <c r="F90" s="156">
        <f t="shared" si="2"/>
        <v>184</v>
      </c>
      <c r="G90" s="158">
        <v>184</v>
      </c>
      <c r="H90" s="158">
        <v>0</v>
      </c>
      <c r="I90" s="158">
        <v>0</v>
      </c>
      <c r="K90" s="145"/>
      <c r="L90" s="146"/>
      <c r="M90" s="146"/>
      <c r="N90" s="147"/>
      <c r="O90" s="147"/>
    </row>
    <row r="91" spans="1:15" ht="12.75" customHeight="1" x14ac:dyDescent="0.3">
      <c r="A91" s="208">
        <v>46143</v>
      </c>
      <c r="B91" s="148" t="s">
        <v>2955</v>
      </c>
      <c r="C91" s="149" t="s">
        <v>2954</v>
      </c>
      <c r="D91" s="150" t="s">
        <v>2956</v>
      </c>
      <c r="E91" s="149" t="s">
        <v>44</v>
      </c>
      <c r="F91" s="151">
        <f t="shared" si="2"/>
        <v>108</v>
      </c>
      <c r="G91" s="144">
        <v>108</v>
      </c>
      <c r="H91" s="144">
        <v>0</v>
      </c>
      <c r="I91" s="144">
        <v>0</v>
      </c>
      <c r="K91" s="145"/>
      <c r="L91" s="146"/>
      <c r="M91" s="146"/>
      <c r="N91" s="147"/>
      <c r="O91" s="147"/>
    </row>
    <row r="92" spans="1:15" ht="12.75" customHeight="1" x14ac:dyDescent="0.3">
      <c r="A92" s="209">
        <v>46143</v>
      </c>
      <c r="B92" s="153" t="s">
        <v>2955</v>
      </c>
      <c r="C92" s="154" t="s">
        <v>2954</v>
      </c>
      <c r="D92" s="155" t="s">
        <v>684</v>
      </c>
      <c r="E92" s="154" t="s">
        <v>44</v>
      </c>
      <c r="F92" s="156">
        <f t="shared" si="2"/>
        <v>204</v>
      </c>
      <c r="G92" s="158">
        <v>204</v>
      </c>
      <c r="H92" s="158">
        <v>0</v>
      </c>
      <c r="I92" s="158">
        <v>0</v>
      </c>
      <c r="K92" s="145"/>
      <c r="L92" s="146"/>
      <c r="M92" s="146"/>
      <c r="N92" s="147"/>
      <c r="O92" s="147"/>
    </row>
    <row r="93" spans="1:15" ht="12.75" customHeight="1" x14ac:dyDescent="0.3">
      <c r="A93" s="208">
        <v>46143</v>
      </c>
      <c r="B93" s="148" t="s">
        <v>2953</v>
      </c>
      <c r="C93" s="149" t="s">
        <v>2954</v>
      </c>
      <c r="D93" s="150" t="s">
        <v>2956</v>
      </c>
      <c r="E93" s="149" t="s">
        <v>44</v>
      </c>
      <c r="F93" s="151">
        <f t="shared" si="2"/>
        <v>96</v>
      </c>
      <c r="G93" s="144">
        <v>96</v>
      </c>
      <c r="H93" s="144">
        <v>0</v>
      </c>
      <c r="I93" s="144">
        <v>0</v>
      </c>
      <c r="K93" s="145"/>
      <c r="L93" s="146"/>
      <c r="M93" s="146"/>
      <c r="N93" s="147"/>
      <c r="O93" s="147"/>
    </row>
    <row r="94" spans="1:15" ht="12.75" customHeight="1" x14ac:dyDescent="0.3">
      <c r="A94" s="209">
        <v>46143</v>
      </c>
      <c r="B94" s="153" t="s">
        <v>2953</v>
      </c>
      <c r="C94" s="154" t="s">
        <v>2954</v>
      </c>
      <c r="D94" s="155" t="s">
        <v>684</v>
      </c>
      <c r="E94" s="154" t="s">
        <v>44</v>
      </c>
      <c r="F94" s="156">
        <f t="shared" si="2"/>
        <v>120</v>
      </c>
      <c r="G94" s="158">
        <v>120</v>
      </c>
      <c r="H94" s="158">
        <v>0</v>
      </c>
      <c r="I94" s="158">
        <v>0</v>
      </c>
      <c r="K94" s="145"/>
      <c r="L94" s="146"/>
      <c r="M94" s="146"/>
      <c r="N94" s="147"/>
      <c r="O94" s="147"/>
    </row>
    <row r="95" spans="1:15" ht="12.75" customHeight="1" x14ac:dyDescent="0.35">
      <c r="A95" s="208">
        <v>45901</v>
      </c>
      <c r="B95" t="s">
        <v>2953</v>
      </c>
      <c r="C95" t="s">
        <v>2954</v>
      </c>
      <c r="D95" t="s">
        <v>2956</v>
      </c>
      <c r="E95" t="s">
        <v>71</v>
      </c>
      <c r="F95">
        <f t="shared" si="2"/>
        <v>112</v>
      </c>
      <c r="G95">
        <v>112</v>
      </c>
      <c r="H95">
        <v>0</v>
      </c>
      <c r="I95">
        <v>0</v>
      </c>
    </row>
    <row r="96" spans="1:15" ht="14.5" customHeight="1" x14ac:dyDescent="0.35">
      <c r="A96" s="202">
        <v>45901</v>
      </c>
      <c r="B96" t="s">
        <v>2953</v>
      </c>
      <c r="C96" t="s">
        <v>2954</v>
      </c>
      <c r="D96" t="s">
        <v>648</v>
      </c>
      <c r="E96" t="s">
        <v>71</v>
      </c>
      <c r="F96">
        <f t="shared" si="2"/>
        <v>40</v>
      </c>
      <c r="G96">
        <v>40</v>
      </c>
      <c r="H96">
        <v>0</v>
      </c>
      <c r="I96">
        <v>0</v>
      </c>
    </row>
    <row r="97" spans="1:9" ht="14.5" customHeight="1" x14ac:dyDescent="0.35">
      <c r="A97" s="202">
        <v>45931</v>
      </c>
      <c r="B97" t="s">
        <v>2955</v>
      </c>
      <c r="C97" t="s">
        <v>2954</v>
      </c>
      <c r="D97" t="s">
        <v>2956</v>
      </c>
      <c r="E97" t="s">
        <v>71</v>
      </c>
      <c r="F97">
        <f t="shared" si="2"/>
        <v>88</v>
      </c>
      <c r="G97">
        <v>88</v>
      </c>
      <c r="H97">
        <v>0</v>
      </c>
      <c r="I97">
        <v>0</v>
      </c>
    </row>
    <row r="98" spans="1:9" ht="14.5" customHeight="1" x14ac:dyDescent="0.35">
      <c r="A98" s="202">
        <v>45931</v>
      </c>
      <c r="B98" t="s">
        <v>2955</v>
      </c>
      <c r="C98" t="s">
        <v>2954</v>
      </c>
      <c r="D98" t="s">
        <v>684</v>
      </c>
      <c r="E98" t="s">
        <v>71</v>
      </c>
      <c r="F98">
        <f t="shared" si="2"/>
        <v>188</v>
      </c>
      <c r="G98">
        <v>188</v>
      </c>
      <c r="H98">
        <v>0</v>
      </c>
      <c r="I98">
        <v>0</v>
      </c>
    </row>
    <row r="99" spans="1:9" ht="14.5" customHeight="1" x14ac:dyDescent="0.35">
      <c r="A99" s="202">
        <v>45931</v>
      </c>
      <c r="B99" t="s">
        <v>2955</v>
      </c>
      <c r="C99" t="s">
        <v>2954</v>
      </c>
      <c r="D99" t="s">
        <v>648</v>
      </c>
      <c r="E99" t="s">
        <v>71</v>
      </c>
      <c r="F99">
        <f t="shared" si="2"/>
        <v>104</v>
      </c>
      <c r="G99">
        <v>104</v>
      </c>
      <c r="H99">
        <v>0</v>
      </c>
      <c r="I99">
        <v>0</v>
      </c>
    </row>
    <row r="100" spans="1:9" ht="14.5" customHeight="1" x14ac:dyDescent="0.35">
      <c r="A100" s="202">
        <v>45931</v>
      </c>
      <c r="B100" t="s">
        <v>2953</v>
      </c>
      <c r="C100" t="s">
        <v>2954</v>
      </c>
      <c r="D100" t="s">
        <v>2956</v>
      </c>
      <c r="E100" t="s">
        <v>71</v>
      </c>
      <c r="F100">
        <f t="shared" ref="F100:F131" si="3">G100+H100+I100</f>
        <v>104</v>
      </c>
      <c r="G100">
        <v>104</v>
      </c>
      <c r="H100">
        <v>0</v>
      </c>
      <c r="I100">
        <v>0</v>
      </c>
    </row>
    <row r="101" spans="1:9" ht="14.5" customHeight="1" x14ac:dyDescent="0.35">
      <c r="A101" s="202">
        <v>45931</v>
      </c>
      <c r="B101" t="s">
        <v>2953</v>
      </c>
      <c r="C101" t="s">
        <v>2954</v>
      </c>
      <c r="D101" t="s">
        <v>684</v>
      </c>
      <c r="E101" t="s">
        <v>71</v>
      </c>
      <c r="F101">
        <f t="shared" si="3"/>
        <v>208</v>
      </c>
      <c r="G101">
        <v>208</v>
      </c>
      <c r="H101">
        <v>0</v>
      </c>
      <c r="I101">
        <v>0</v>
      </c>
    </row>
    <row r="102" spans="1:9" ht="14.5" customHeight="1" x14ac:dyDescent="0.35">
      <c r="A102" s="202">
        <v>45931</v>
      </c>
      <c r="B102" t="s">
        <v>2953</v>
      </c>
      <c r="C102" t="s">
        <v>2954</v>
      </c>
      <c r="D102" t="s">
        <v>648</v>
      </c>
      <c r="E102" t="s">
        <v>71</v>
      </c>
      <c r="F102">
        <f t="shared" si="3"/>
        <v>104</v>
      </c>
      <c r="G102">
        <v>104</v>
      </c>
      <c r="H102">
        <v>0</v>
      </c>
      <c r="I102">
        <v>0</v>
      </c>
    </row>
    <row r="103" spans="1:9" ht="14.5" customHeight="1" x14ac:dyDescent="0.35">
      <c r="A103" s="202">
        <v>45962</v>
      </c>
      <c r="B103" t="s">
        <v>2955</v>
      </c>
      <c r="C103" t="s">
        <v>2954</v>
      </c>
      <c r="D103" t="s">
        <v>684</v>
      </c>
      <c r="E103" t="s">
        <v>71</v>
      </c>
      <c r="F103">
        <f t="shared" si="3"/>
        <v>176</v>
      </c>
      <c r="G103">
        <v>176</v>
      </c>
      <c r="H103">
        <v>0</v>
      </c>
      <c r="I103">
        <v>0</v>
      </c>
    </row>
    <row r="104" spans="1:9" ht="14.5" customHeight="1" x14ac:dyDescent="0.35">
      <c r="A104" s="202">
        <v>45962</v>
      </c>
      <c r="B104" t="s">
        <v>2955</v>
      </c>
      <c r="C104" t="s">
        <v>2954</v>
      </c>
      <c r="D104" t="s">
        <v>648</v>
      </c>
      <c r="E104" t="s">
        <v>71</v>
      </c>
      <c r="F104">
        <f t="shared" si="3"/>
        <v>112</v>
      </c>
      <c r="G104">
        <v>112</v>
      </c>
      <c r="H104">
        <v>0</v>
      </c>
      <c r="I104">
        <v>0</v>
      </c>
    </row>
    <row r="105" spans="1:9" ht="14.5" customHeight="1" x14ac:dyDescent="0.35">
      <c r="A105" s="202">
        <v>45962</v>
      </c>
      <c r="B105" t="s">
        <v>2953</v>
      </c>
      <c r="C105" t="s">
        <v>2954</v>
      </c>
      <c r="D105" t="s">
        <v>684</v>
      </c>
      <c r="E105" t="s">
        <v>71</v>
      </c>
      <c r="F105">
        <f t="shared" si="3"/>
        <v>388</v>
      </c>
      <c r="G105">
        <v>388</v>
      </c>
      <c r="H105">
        <v>0</v>
      </c>
      <c r="I105">
        <v>0</v>
      </c>
    </row>
    <row r="106" spans="1:9" ht="14.5" customHeight="1" x14ac:dyDescent="0.35">
      <c r="A106" s="202">
        <v>45962</v>
      </c>
      <c r="B106" t="s">
        <v>2953</v>
      </c>
      <c r="C106" t="s">
        <v>2954</v>
      </c>
      <c r="D106" t="s">
        <v>648</v>
      </c>
      <c r="E106" t="s">
        <v>71</v>
      </c>
      <c r="F106">
        <f t="shared" si="3"/>
        <v>192</v>
      </c>
      <c r="G106">
        <v>192</v>
      </c>
      <c r="H106">
        <v>0</v>
      </c>
      <c r="I106">
        <v>0</v>
      </c>
    </row>
    <row r="107" spans="1:9" ht="14.5" customHeight="1" x14ac:dyDescent="0.35">
      <c r="A107" s="202">
        <v>45992</v>
      </c>
      <c r="B107" t="s">
        <v>2955</v>
      </c>
      <c r="C107" t="s">
        <v>2954</v>
      </c>
      <c r="D107" t="s">
        <v>684</v>
      </c>
      <c r="E107" t="s">
        <v>71</v>
      </c>
      <c r="F107">
        <f t="shared" si="3"/>
        <v>420</v>
      </c>
      <c r="G107">
        <v>420</v>
      </c>
      <c r="H107">
        <v>0</v>
      </c>
      <c r="I107">
        <v>0</v>
      </c>
    </row>
    <row r="108" spans="1:9" ht="14.5" customHeight="1" x14ac:dyDescent="0.35">
      <c r="A108" s="202">
        <v>45992</v>
      </c>
      <c r="B108" t="s">
        <v>2955</v>
      </c>
      <c r="C108" t="s">
        <v>2954</v>
      </c>
      <c r="D108" t="s">
        <v>648</v>
      </c>
      <c r="E108" t="s">
        <v>71</v>
      </c>
      <c r="F108">
        <f t="shared" si="3"/>
        <v>208</v>
      </c>
      <c r="G108">
        <v>208</v>
      </c>
      <c r="H108">
        <v>0</v>
      </c>
      <c r="I108">
        <v>0</v>
      </c>
    </row>
    <row r="109" spans="1:9" ht="14.5" customHeight="1" x14ac:dyDescent="0.35">
      <c r="A109" s="202">
        <v>45992</v>
      </c>
      <c r="B109" t="s">
        <v>2953</v>
      </c>
      <c r="C109" t="s">
        <v>2954</v>
      </c>
      <c r="D109" t="s">
        <v>684</v>
      </c>
      <c r="E109" t="s">
        <v>71</v>
      </c>
      <c r="F109">
        <f t="shared" si="3"/>
        <v>488</v>
      </c>
      <c r="G109">
        <v>488</v>
      </c>
      <c r="H109">
        <v>0</v>
      </c>
      <c r="I109">
        <v>0</v>
      </c>
    </row>
    <row r="110" spans="1:9" ht="14.5" customHeight="1" x14ac:dyDescent="0.35">
      <c r="A110" s="202">
        <v>45992</v>
      </c>
      <c r="B110" t="s">
        <v>2953</v>
      </c>
      <c r="C110" t="s">
        <v>2954</v>
      </c>
      <c r="D110" t="s">
        <v>648</v>
      </c>
      <c r="E110" t="s">
        <v>71</v>
      </c>
      <c r="F110">
        <f t="shared" si="3"/>
        <v>204</v>
      </c>
      <c r="G110">
        <v>204</v>
      </c>
      <c r="H110">
        <v>0</v>
      </c>
      <c r="I110">
        <v>0</v>
      </c>
    </row>
    <row r="111" spans="1:9" ht="14.5" customHeight="1" x14ac:dyDescent="0.35">
      <c r="A111" s="202">
        <v>46023</v>
      </c>
      <c r="B111" t="s">
        <v>2955</v>
      </c>
      <c r="C111" t="s">
        <v>2954</v>
      </c>
      <c r="D111" t="s">
        <v>684</v>
      </c>
      <c r="E111" t="s">
        <v>71</v>
      </c>
      <c r="F111">
        <f t="shared" si="3"/>
        <v>528</v>
      </c>
      <c r="G111">
        <v>528</v>
      </c>
      <c r="H111">
        <v>0</v>
      </c>
      <c r="I111">
        <v>0</v>
      </c>
    </row>
    <row r="112" spans="1:9" ht="14.5" customHeight="1" x14ac:dyDescent="0.35">
      <c r="A112" s="202">
        <v>46023</v>
      </c>
      <c r="B112" t="s">
        <v>2955</v>
      </c>
      <c r="C112" t="s">
        <v>2954</v>
      </c>
      <c r="D112" t="s">
        <v>648</v>
      </c>
      <c r="E112" t="s">
        <v>71</v>
      </c>
      <c r="F112">
        <f t="shared" si="3"/>
        <v>256</v>
      </c>
      <c r="G112">
        <v>256</v>
      </c>
      <c r="H112">
        <v>0</v>
      </c>
      <c r="I112">
        <v>0</v>
      </c>
    </row>
    <row r="113" spans="1:9" ht="14.5" customHeight="1" x14ac:dyDescent="0.35">
      <c r="A113" s="202">
        <v>46023</v>
      </c>
      <c r="B113" t="s">
        <v>2953</v>
      </c>
      <c r="C113" t="s">
        <v>2954</v>
      </c>
      <c r="D113" t="s">
        <v>2956</v>
      </c>
      <c r="E113" t="s">
        <v>71</v>
      </c>
      <c r="F113">
        <f t="shared" si="3"/>
        <v>112</v>
      </c>
      <c r="G113">
        <v>112</v>
      </c>
      <c r="H113">
        <v>0</v>
      </c>
      <c r="I113">
        <v>0</v>
      </c>
    </row>
    <row r="114" spans="1:9" ht="14.5" customHeight="1" x14ac:dyDescent="0.35">
      <c r="A114" s="202">
        <v>46023</v>
      </c>
      <c r="B114" t="s">
        <v>2953</v>
      </c>
      <c r="C114" t="s">
        <v>2954</v>
      </c>
      <c r="D114" t="s">
        <v>684</v>
      </c>
      <c r="E114" t="s">
        <v>71</v>
      </c>
      <c r="F114">
        <f t="shared" si="3"/>
        <v>704</v>
      </c>
      <c r="G114">
        <v>704</v>
      </c>
      <c r="H114">
        <v>0</v>
      </c>
      <c r="I114">
        <v>0</v>
      </c>
    </row>
    <row r="115" spans="1:9" ht="14.5" customHeight="1" x14ac:dyDescent="0.35">
      <c r="A115" s="202">
        <v>46023</v>
      </c>
      <c r="B115" t="s">
        <v>2953</v>
      </c>
      <c r="C115" t="s">
        <v>2954</v>
      </c>
      <c r="D115" t="s">
        <v>688</v>
      </c>
      <c r="E115" t="s">
        <v>71</v>
      </c>
      <c r="F115">
        <f t="shared" si="3"/>
        <v>136</v>
      </c>
      <c r="G115">
        <v>136</v>
      </c>
      <c r="H115">
        <v>0</v>
      </c>
      <c r="I115">
        <v>0</v>
      </c>
    </row>
    <row r="116" spans="1:9" ht="14.5" customHeight="1" x14ac:dyDescent="0.35">
      <c r="A116" s="202">
        <v>46023</v>
      </c>
      <c r="B116" t="s">
        <v>2953</v>
      </c>
      <c r="C116" t="s">
        <v>2954</v>
      </c>
      <c r="D116" t="s">
        <v>648</v>
      </c>
      <c r="E116" t="s">
        <v>71</v>
      </c>
      <c r="F116">
        <f t="shared" si="3"/>
        <v>200</v>
      </c>
      <c r="G116">
        <v>200</v>
      </c>
      <c r="H116">
        <v>0</v>
      </c>
      <c r="I116">
        <v>0</v>
      </c>
    </row>
    <row r="117" spans="1:9" ht="14.5" customHeight="1" x14ac:dyDescent="0.35">
      <c r="A117" s="202">
        <v>46054</v>
      </c>
      <c r="B117" t="s">
        <v>2955</v>
      </c>
      <c r="C117" t="s">
        <v>2954</v>
      </c>
      <c r="D117" t="s">
        <v>2956</v>
      </c>
      <c r="E117" t="s">
        <v>71</v>
      </c>
      <c r="F117">
        <f t="shared" si="3"/>
        <v>88</v>
      </c>
      <c r="G117">
        <v>88</v>
      </c>
      <c r="H117">
        <v>0</v>
      </c>
      <c r="I117">
        <v>0</v>
      </c>
    </row>
    <row r="118" spans="1:9" ht="14.5" customHeight="1" x14ac:dyDescent="0.35">
      <c r="A118" s="202">
        <v>46054</v>
      </c>
      <c r="B118" t="s">
        <v>2955</v>
      </c>
      <c r="C118" t="s">
        <v>2954</v>
      </c>
      <c r="D118" t="s">
        <v>684</v>
      </c>
      <c r="E118" t="s">
        <v>71</v>
      </c>
      <c r="F118">
        <f t="shared" si="3"/>
        <v>648</v>
      </c>
      <c r="G118">
        <v>648</v>
      </c>
      <c r="H118">
        <v>0</v>
      </c>
      <c r="I118">
        <v>0</v>
      </c>
    </row>
    <row r="119" spans="1:9" ht="14.5" customHeight="1" x14ac:dyDescent="0.35">
      <c r="A119" s="202">
        <v>46054</v>
      </c>
      <c r="B119" t="s">
        <v>2955</v>
      </c>
      <c r="C119" t="s">
        <v>2954</v>
      </c>
      <c r="D119" t="s">
        <v>688</v>
      </c>
      <c r="E119" t="s">
        <v>71</v>
      </c>
      <c r="F119">
        <f t="shared" si="3"/>
        <v>96</v>
      </c>
      <c r="G119">
        <v>96</v>
      </c>
      <c r="H119">
        <v>0</v>
      </c>
      <c r="I119">
        <v>0</v>
      </c>
    </row>
    <row r="120" spans="1:9" ht="14.5" customHeight="1" x14ac:dyDescent="0.35">
      <c r="A120" s="202">
        <v>46054</v>
      </c>
      <c r="B120" t="s">
        <v>2955</v>
      </c>
      <c r="C120" t="s">
        <v>2954</v>
      </c>
      <c r="D120" t="s">
        <v>648</v>
      </c>
      <c r="E120" t="s">
        <v>71</v>
      </c>
      <c r="F120">
        <f t="shared" si="3"/>
        <v>204</v>
      </c>
      <c r="G120">
        <v>204</v>
      </c>
      <c r="H120">
        <v>0</v>
      </c>
      <c r="I120">
        <v>0</v>
      </c>
    </row>
    <row r="121" spans="1:9" ht="14.5" customHeight="1" x14ac:dyDescent="0.35">
      <c r="A121" s="202">
        <v>46054</v>
      </c>
      <c r="B121" t="s">
        <v>2953</v>
      </c>
      <c r="C121" t="s">
        <v>2954</v>
      </c>
      <c r="D121" t="s">
        <v>2956</v>
      </c>
      <c r="E121" t="s">
        <v>71</v>
      </c>
      <c r="F121">
        <f t="shared" si="3"/>
        <v>100</v>
      </c>
      <c r="G121">
        <v>100</v>
      </c>
      <c r="H121">
        <v>0</v>
      </c>
      <c r="I121">
        <v>0</v>
      </c>
    </row>
    <row r="122" spans="1:9" ht="14.5" customHeight="1" x14ac:dyDescent="0.35">
      <c r="A122" s="202">
        <v>46054</v>
      </c>
      <c r="B122" t="s">
        <v>2953</v>
      </c>
      <c r="C122" t="s">
        <v>2954</v>
      </c>
      <c r="D122" t="s">
        <v>684</v>
      </c>
      <c r="E122" t="s">
        <v>71</v>
      </c>
      <c r="F122">
        <f t="shared" si="3"/>
        <v>616</v>
      </c>
      <c r="G122">
        <v>616</v>
      </c>
      <c r="H122">
        <v>0</v>
      </c>
      <c r="I122">
        <v>0</v>
      </c>
    </row>
    <row r="123" spans="1:9" ht="14.5" customHeight="1" x14ac:dyDescent="0.35">
      <c r="A123" s="202">
        <v>46054</v>
      </c>
      <c r="B123" t="s">
        <v>2953</v>
      </c>
      <c r="C123" t="s">
        <v>2954</v>
      </c>
      <c r="D123" t="s">
        <v>688</v>
      </c>
      <c r="E123" t="s">
        <v>71</v>
      </c>
      <c r="F123">
        <f t="shared" si="3"/>
        <v>72</v>
      </c>
      <c r="G123">
        <v>72</v>
      </c>
      <c r="H123">
        <v>0</v>
      </c>
      <c r="I123">
        <v>0</v>
      </c>
    </row>
    <row r="124" spans="1:9" ht="14.5" customHeight="1" x14ac:dyDescent="0.35">
      <c r="A124" s="202">
        <v>46054</v>
      </c>
      <c r="B124" t="s">
        <v>2953</v>
      </c>
      <c r="C124" t="s">
        <v>2954</v>
      </c>
      <c r="D124" t="s">
        <v>648</v>
      </c>
      <c r="E124" t="s">
        <v>71</v>
      </c>
      <c r="F124">
        <f t="shared" si="3"/>
        <v>140</v>
      </c>
      <c r="G124">
        <v>140</v>
      </c>
      <c r="H124">
        <v>0</v>
      </c>
      <c r="I124">
        <v>0</v>
      </c>
    </row>
    <row r="125" spans="1:9" ht="14.5" customHeight="1" x14ac:dyDescent="0.35">
      <c r="A125" s="202">
        <v>46082</v>
      </c>
      <c r="B125" t="s">
        <v>2955</v>
      </c>
      <c r="C125" t="s">
        <v>2954</v>
      </c>
      <c r="D125" t="s">
        <v>2956</v>
      </c>
      <c r="E125" t="s">
        <v>71</v>
      </c>
      <c r="F125">
        <f t="shared" si="3"/>
        <v>112</v>
      </c>
      <c r="G125">
        <v>112</v>
      </c>
      <c r="H125">
        <v>0</v>
      </c>
      <c r="I125">
        <v>0</v>
      </c>
    </row>
    <row r="126" spans="1:9" ht="14.5" customHeight="1" x14ac:dyDescent="0.35">
      <c r="A126" s="202">
        <v>46082</v>
      </c>
      <c r="B126" t="s">
        <v>2955</v>
      </c>
      <c r="C126" t="s">
        <v>2954</v>
      </c>
      <c r="D126" t="s">
        <v>684</v>
      </c>
      <c r="E126" t="s">
        <v>71</v>
      </c>
      <c r="F126">
        <f t="shared" si="3"/>
        <v>600</v>
      </c>
      <c r="G126">
        <v>600</v>
      </c>
      <c r="H126">
        <v>0</v>
      </c>
      <c r="I126">
        <v>0</v>
      </c>
    </row>
    <row r="127" spans="1:9" ht="14.5" customHeight="1" x14ac:dyDescent="0.35">
      <c r="A127" s="202">
        <v>46082</v>
      </c>
      <c r="B127" t="s">
        <v>2955</v>
      </c>
      <c r="C127" t="s">
        <v>2954</v>
      </c>
      <c r="D127" t="s">
        <v>688</v>
      </c>
      <c r="E127" t="s">
        <v>71</v>
      </c>
      <c r="F127">
        <f t="shared" si="3"/>
        <v>200</v>
      </c>
      <c r="G127">
        <v>200</v>
      </c>
      <c r="H127">
        <v>0</v>
      </c>
      <c r="I127">
        <v>0</v>
      </c>
    </row>
    <row r="128" spans="1:9" ht="14.5" customHeight="1" x14ac:dyDescent="0.35">
      <c r="A128" s="202">
        <v>46082</v>
      </c>
      <c r="B128" t="s">
        <v>2955</v>
      </c>
      <c r="C128" t="s">
        <v>2954</v>
      </c>
      <c r="D128" t="s">
        <v>648</v>
      </c>
      <c r="E128" t="s">
        <v>71</v>
      </c>
      <c r="F128">
        <f t="shared" si="3"/>
        <v>168</v>
      </c>
      <c r="G128">
        <v>168</v>
      </c>
      <c r="H128">
        <v>0</v>
      </c>
      <c r="I128">
        <v>0</v>
      </c>
    </row>
    <row r="129" spans="1:9" ht="14.5" customHeight="1" x14ac:dyDescent="0.35">
      <c r="A129" s="202">
        <v>46082</v>
      </c>
      <c r="B129" t="s">
        <v>2953</v>
      </c>
      <c r="C129" t="s">
        <v>2954</v>
      </c>
      <c r="D129" t="s">
        <v>2956</v>
      </c>
      <c r="E129" t="s">
        <v>71</v>
      </c>
      <c r="F129">
        <f t="shared" si="3"/>
        <v>104</v>
      </c>
      <c r="G129">
        <v>104</v>
      </c>
      <c r="H129">
        <v>0</v>
      </c>
      <c r="I129">
        <v>0</v>
      </c>
    </row>
    <row r="130" spans="1:9" ht="14.5" customHeight="1" x14ac:dyDescent="0.35">
      <c r="A130" s="202">
        <v>46082</v>
      </c>
      <c r="B130" t="s">
        <v>2953</v>
      </c>
      <c r="C130" t="s">
        <v>2954</v>
      </c>
      <c r="D130" t="s">
        <v>684</v>
      </c>
      <c r="E130" t="s">
        <v>71</v>
      </c>
      <c r="F130">
        <f t="shared" si="3"/>
        <v>624</v>
      </c>
      <c r="G130">
        <v>624</v>
      </c>
      <c r="H130">
        <v>0</v>
      </c>
      <c r="I130">
        <v>0</v>
      </c>
    </row>
    <row r="131" spans="1:9" ht="14.5" customHeight="1" x14ac:dyDescent="0.35">
      <c r="A131" s="202">
        <v>46082</v>
      </c>
      <c r="B131" t="s">
        <v>2953</v>
      </c>
      <c r="C131" t="s">
        <v>2954</v>
      </c>
      <c r="D131" t="s">
        <v>688</v>
      </c>
      <c r="E131" t="s">
        <v>71</v>
      </c>
      <c r="F131">
        <f t="shared" si="3"/>
        <v>128</v>
      </c>
      <c r="G131">
        <v>128</v>
      </c>
      <c r="H131">
        <v>0</v>
      </c>
      <c r="I131">
        <v>0</v>
      </c>
    </row>
    <row r="132" spans="1:9" ht="14.5" customHeight="1" x14ac:dyDescent="0.35">
      <c r="A132" s="202">
        <v>46082</v>
      </c>
      <c r="B132" t="s">
        <v>2953</v>
      </c>
      <c r="C132" t="s">
        <v>2954</v>
      </c>
      <c r="D132" t="s">
        <v>648</v>
      </c>
      <c r="E132" t="s">
        <v>71</v>
      </c>
      <c r="F132">
        <f t="shared" ref="F132:F163" si="4">G132+H132+I132</f>
        <v>184</v>
      </c>
      <c r="G132">
        <v>184</v>
      </c>
      <c r="H132">
        <v>0</v>
      </c>
      <c r="I132">
        <v>0</v>
      </c>
    </row>
    <row r="133" spans="1:9" ht="14.5" customHeight="1" x14ac:dyDescent="0.35">
      <c r="A133" s="202">
        <v>46113</v>
      </c>
      <c r="B133" t="s">
        <v>2955</v>
      </c>
      <c r="C133" t="s">
        <v>2954</v>
      </c>
      <c r="D133" t="s">
        <v>2956</v>
      </c>
      <c r="E133" t="s">
        <v>71</v>
      </c>
      <c r="F133">
        <f t="shared" si="4"/>
        <v>104</v>
      </c>
      <c r="G133">
        <v>104</v>
      </c>
      <c r="H133">
        <v>0</v>
      </c>
      <c r="I133">
        <v>0</v>
      </c>
    </row>
    <row r="134" spans="1:9" ht="14.5" customHeight="1" x14ac:dyDescent="0.35">
      <c r="A134" s="202">
        <v>46113</v>
      </c>
      <c r="B134" t="s">
        <v>2955</v>
      </c>
      <c r="C134" t="s">
        <v>2954</v>
      </c>
      <c r="D134" t="s">
        <v>684</v>
      </c>
      <c r="E134" t="s">
        <v>71</v>
      </c>
      <c r="F134">
        <f t="shared" si="4"/>
        <v>544</v>
      </c>
      <c r="G134">
        <v>544</v>
      </c>
      <c r="H134">
        <v>0</v>
      </c>
      <c r="I134">
        <v>0</v>
      </c>
    </row>
    <row r="135" spans="1:9" ht="14.5" customHeight="1" x14ac:dyDescent="0.35">
      <c r="A135" s="202">
        <v>46113</v>
      </c>
      <c r="B135" t="s">
        <v>2955</v>
      </c>
      <c r="C135" t="s">
        <v>2954</v>
      </c>
      <c r="D135" t="s">
        <v>688</v>
      </c>
      <c r="E135" t="s">
        <v>71</v>
      </c>
      <c r="F135">
        <f t="shared" si="4"/>
        <v>100</v>
      </c>
      <c r="G135">
        <v>100</v>
      </c>
      <c r="H135">
        <v>0</v>
      </c>
      <c r="I135">
        <v>0</v>
      </c>
    </row>
    <row r="136" spans="1:9" ht="14.5" customHeight="1" x14ac:dyDescent="0.35">
      <c r="A136" s="202">
        <v>46113</v>
      </c>
      <c r="B136" t="s">
        <v>2955</v>
      </c>
      <c r="C136" t="s">
        <v>2954</v>
      </c>
      <c r="D136" t="s">
        <v>648</v>
      </c>
      <c r="E136" t="s">
        <v>71</v>
      </c>
      <c r="F136">
        <f t="shared" si="4"/>
        <v>156</v>
      </c>
      <c r="G136">
        <v>156</v>
      </c>
      <c r="H136">
        <v>0</v>
      </c>
      <c r="I136">
        <v>0</v>
      </c>
    </row>
    <row r="137" spans="1:9" ht="14.5" customHeight="1" x14ac:dyDescent="0.35">
      <c r="A137" s="202">
        <v>46113</v>
      </c>
      <c r="B137" t="s">
        <v>2953</v>
      </c>
      <c r="C137" t="s">
        <v>2954</v>
      </c>
      <c r="D137" t="s">
        <v>2956</v>
      </c>
      <c r="E137" t="s">
        <v>71</v>
      </c>
      <c r="F137">
        <f t="shared" si="4"/>
        <v>108</v>
      </c>
      <c r="G137">
        <v>108</v>
      </c>
      <c r="H137">
        <v>0</v>
      </c>
      <c r="I137">
        <v>0</v>
      </c>
    </row>
    <row r="138" spans="1:9" ht="14.5" customHeight="1" x14ac:dyDescent="0.35">
      <c r="A138" s="202">
        <v>46113</v>
      </c>
      <c r="B138" t="s">
        <v>2953</v>
      </c>
      <c r="C138" t="s">
        <v>2954</v>
      </c>
      <c r="D138" t="s">
        <v>684</v>
      </c>
      <c r="E138" t="s">
        <v>71</v>
      </c>
      <c r="F138">
        <f t="shared" si="4"/>
        <v>616</v>
      </c>
      <c r="G138">
        <v>616</v>
      </c>
      <c r="H138">
        <v>0</v>
      </c>
      <c r="I138">
        <v>0</v>
      </c>
    </row>
    <row r="139" spans="1:9" ht="14.5" customHeight="1" x14ac:dyDescent="0.35">
      <c r="A139" s="202">
        <v>46113</v>
      </c>
      <c r="B139" t="s">
        <v>2953</v>
      </c>
      <c r="C139" t="s">
        <v>2954</v>
      </c>
      <c r="D139" t="s">
        <v>688</v>
      </c>
      <c r="E139" t="s">
        <v>71</v>
      </c>
      <c r="F139">
        <f t="shared" si="4"/>
        <v>116</v>
      </c>
      <c r="G139">
        <v>116</v>
      </c>
      <c r="H139">
        <v>0</v>
      </c>
      <c r="I139">
        <v>0</v>
      </c>
    </row>
    <row r="140" spans="1:9" ht="14.5" customHeight="1" x14ac:dyDescent="0.35">
      <c r="A140" s="202">
        <v>46113</v>
      </c>
      <c r="B140" t="s">
        <v>2953</v>
      </c>
      <c r="C140" t="s">
        <v>2954</v>
      </c>
      <c r="D140" t="s">
        <v>648</v>
      </c>
      <c r="E140" t="s">
        <v>71</v>
      </c>
      <c r="F140">
        <f t="shared" si="4"/>
        <v>124</v>
      </c>
      <c r="G140">
        <v>124</v>
      </c>
      <c r="H140">
        <v>0</v>
      </c>
      <c r="I140">
        <v>0</v>
      </c>
    </row>
    <row r="141" spans="1:9" ht="14.5" customHeight="1" x14ac:dyDescent="0.35">
      <c r="A141" s="202">
        <v>46143</v>
      </c>
      <c r="B141" t="s">
        <v>2955</v>
      </c>
      <c r="C141" t="s">
        <v>2954</v>
      </c>
      <c r="D141" t="s">
        <v>2956</v>
      </c>
      <c r="E141" t="s">
        <v>71</v>
      </c>
      <c r="F141">
        <f t="shared" si="4"/>
        <v>96</v>
      </c>
      <c r="G141">
        <v>96</v>
      </c>
      <c r="H141">
        <v>0</v>
      </c>
      <c r="I141">
        <v>0</v>
      </c>
    </row>
    <row r="142" spans="1:9" ht="14.5" customHeight="1" x14ac:dyDescent="0.35">
      <c r="A142" s="202">
        <v>46143</v>
      </c>
      <c r="B142" t="s">
        <v>2955</v>
      </c>
      <c r="C142" t="s">
        <v>2954</v>
      </c>
      <c r="D142" t="s">
        <v>684</v>
      </c>
      <c r="E142" t="s">
        <v>71</v>
      </c>
      <c r="F142">
        <f t="shared" si="4"/>
        <v>552</v>
      </c>
      <c r="G142">
        <v>552</v>
      </c>
      <c r="H142">
        <v>0</v>
      </c>
      <c r="I142">
        <v>0</v>
      </c>
    </row>
    <row r="143" spans="1:9" ht="14.5" customHeight="1" x14ac:dyDescent="0.35">
      <c r="A143" s="202">
        <v>46143</v>
      </c>
      <c r="B143" t="s">
        <v>2955</v>
      </c>
      <c r="C143" t="s">
        <v>2954</v>
      </c>
      <c r="D143" t="s">
        <v>688</v>
      </c>
      <c r="E143" t="s">
        <v>71</v>
      </c>
      <c r="F143">
        <f t="shared" si="4"/>
        <v>104</v>
      </c>
      <c r="G143">
        <v>104</v>
      </c>
      <c r="H143">
        <v>0</v>
      </c>
      <c r="I143">
        <v>0</v>
      </c>
    </row>
    <row r="144" spans="1:9" ht="14.5" customHeight="1" x14ac:dyDescent="0.35">
      <c r="A144" s="202">
        <v>46143</v>
      </c>
      <c r="B144" t="s">
        <v>2955</v>
      </c>
      <c r="C144" t="s">
        <v>2954</v>
      </c>
      <c r="D144" t="s">
        <v>648</v>
      </c>
      <c r="E144" t="s">
        <v>71</v>
      </c>
      <c r="F144">
        <f t="shared" si="4"/>
        <v>124</v>
      </c>
      <c r="G144">
        <v>124</v>
      </c>
      <c r="H144">
        <v>0</v>
      </c>
      <c r="I144">
        <v>0</v>
      </c>
    </row>
    <row r="145" spans="1:9" ht="14.5" customHeight="1" x14ac:dyDescent="0.35">
      <c r="A145" s="202">
        <v>46143</v>
      </c>
      <c r="B145" t="s">
        <v>2953</v>
      </c>
      <c r="C145" t="s">
        <v>2954</v>
      </c>
      <c r="D145" t="s">
        <v>2956</v>
      </c>
      <c r="E145" t="s">
        <v>71</v>
      </c>
      <c r="F145">
        <f t="shared" si="4"/>
        <v>136</v>
      </c>
      <c r="G145">
        <v>136</v>
      </c>
      <c r="H145">
        <v>0</v>
      </c>
      <c r="I145">
        <v>0</v>
      </c>
    </row>
    <row r="146" spans="1:9" ht="14.5" customHeight="1" x14ac:dyDescent="0.35">
      <c r="A146" s="202">
        <v>46143</v>
      </c>
      <c r="B146" t="s">
        <v>2953</v>
      </c>
      <c r="C146" t="s">
        <v>2954</v>
      </c>
      <c r="D146" t="s">
        <v>684</v>
      </c>
      <c r="E146" t="s">
        <v>71</v>
      </c>
      <c r="F146">
        <f t="shared" si="4"/>
        <v>656</v>
      </c>
      <c r="G146">
        <v>656</v>
      </c>
      <c r="H146">
        <v>0</v>
      </c>
      <c r="I146">
        <v>0</v>
      </c>
    </row>
    <row r="147" spans="1:9" ht="14.5" customHeight="1" x14ac:dyDescent="0.35">
      <c r="A147" s="202">
        <v>46143</v>
      </c>
      <c r="B147" t="s">
        <v>2953</v>
      </c>
      <c r="C147" t="s">
        <v>2954</v>
      </c>
      <c r="D147" t="s">
        <v>688</v>
      </c>
      <c r="E147" t="s">
        <v>71</v>
      </c>
      <c r="F147">
        <f t="shared" si="4"/>
        <v>224</v>
      </c>
      <c r="G147">
        <v>224</v>
      </c>
      <c r="H147">
        <v>0</v>
      </c>
      <c r="I147">
        <v>0</v>
      </c>
    </row>
    <row r="148" spans="1:9" ht="14.5" customHeight="1" x14ac:dyDescent="0.35">
      <c r="A148" s="202">
        <v>46143</v>
      </c>
      <c r="B148" t="s">
        <v>2953</v>
      </c>
      <c r="C148" t="s">
        <v>2954</v>
      </c>
      <c r="D148" t="s">
        <v>648</v>
      </c>
      <c r="E148" t="s">
        <v>71</v>
      </c>
      <c r="F148">
        <f t="shared" si="4"/>
        <v>192</v>
      </c>
      <c r="G148">
        <v>192</v>
      </c>
      <c r="H148">
        <v>0</v>
      </c>
      <c r="I148">
        <v>0</v>
      </c>
    </row>
    <row r="149" spans="1:9" ht="14.5" customHeight="1" x14ac:dyDescent="0.35">
      <c r="A149" s="202">
        <v>45717</v>
      </c>
      <c r="B149" t="s">
        <v>2955</v>
      </c>
      <c r="C149" t="s">
        <v>2954</v>
      </c>
      <c r="D149" t="s">
        <v>684</v>
      </c>
      <c r="E149" t="s">
        <v>187</v>
      </c>
      <c r="F149">
        <f t="shared" si="4"/>
        <v>32</v>
      </c>
      <c r="G149">
        <v>32</v>
      </c>
      <c r="H149">
        <v>0</v>
      </c>
      <c r="I149">
        <v>0</v>
      </c>
    </row>
    <row r="150" spans="1:9" ht="14.5" customHeight="1" x14ac:dyDescent="0.35">
      <c r="A150" s="202">
        <v>46143</v>
      </c>
      <c r="B150" t="s">
        <v>2953</v>
      </c>
      <c r="C150" t="s">
        <v>2954</v>
      </c>
      <c r="D150" t="s">
        <v>684</v>
      </c>
      <c r="E150" t="s">
        <v>187</v>
      </c>
      <c r="F150">
        <f t="shared" si="4"/>
        <v>88</v>
      </c>
      <c r="G150">
        <v>88</v>
      </c>
      <c r="H150">
        <v>0</v>
      </c>
      <c r="I150">
        <v>0</v>
      </c>
    </row>
    <row r="151" spans="1:9" ht="14.5" customHeight="1" x14ac:dyDescent="0.35">
      <c r="A151" s="202">
        <v>45901</v>
      </c>
      <c r="B151" t="s">
        <v>2955</v>
      </c>
      <c r="C151" t="s">
        <v>2954</v>
      </c>
      <c r="D151" t="s">
        <v>684</v>
      </c>
      <c r="E151" t="s">
        <v>220</v>
      </c>
      <c r="F151">
        <f t="shared" si="4"/>
        <v>64</v>
      </c>
      <c r="G151">
        <v>64</v>
      </c>
      <c r="H151">
        <v>0</v>
      </c>
      <c r="I151">
        <v>0</v>
      </c>
    </row>
    <row r="152" spans="1:9" ht="14.5" customHeight="1" x14ac:dyDescent="0.35">
      <c r="A152" s="202">
        <v>45931</v>
      </c>
      <c r="B152" t="s">
        <v>2953</v>
      </c>
      <c r="C152" t="s">
        <v>2954</v>
      </c>
      <c r="D152" t="s">
        <v>684</v>
      </c>
      <c r="E152" t="s">
        <v>220</v>
      </c>
      <c r="F152">
        <f t="shared" si="4"/>
        <v>16</v>
      </c>
      <c r="G152">
        <v>16</v>
      </c>
      <c r="H152">
        <v>0</v>
      </c>
      <c r="I152">
        <v>0</v>
      </c>
    </row>
    <row r="153" spans="1:9" ht="14.5" customHeight="1" x14ac:dyDescent="0.35">
      <c r="A153" s="202">
        <v>45992</v>
      </c>
      <c r="B153" t="s">
        <v>2955</v>
      </c>
      <c r="C153" t="s">
        <v>2954</v>
      </c>
      <c r="D153" t="s">
        <v>684</v>
      </c>
      <c r="E153" t="s">
        <v>220</v>
      </c>
      <c r="F153">
        <f t="shared" si="4"/>
        <v>44</v>
      </c>
      <c r="G153">
        <v>44</v>
      </c>
      <c r="H153">
        <v>0</v>
      </c>
      <c r="I153">
        <v>0</v>
      </c>
    </row>
    <row r="154" spans="1:9" ht="14.5" customHeight="1" x14ac:dyDescent="0.35">
      <c r="A154" s="202">
        <v>46023</v>
      </c>
      <c r="B154" t="s">
        <v>2955</v>
      </c>
      <c r="C154" t="s">
        <v>2954</v>
      </c>
      <c r="D154" t="s">
        <v>684</v>
      </c>
      <c r="E154" t="s">
        <v>220</v>
      </c>
      <c r="F154">
        <f t="shared" si="4"/>
        <v>136</v>
      </c>
      <c r="G154">
        <v>136</v>
      </c>
      <c r="H154">
        <v>0</v>
      </c>
      <c r="I154">
        <v>0</v>
      </c>
    </row>
    <row r="155" spans="1:9" ht="14.5" customHeight="1" x14ac:dyDescent="0.35">
      <c r="A155" s="202">
        <v>46023</v>
      </c>
      <c r="B155" t="s">
        <v>2953</v>
      </c>
      <c r="C155" t="s">
        <v>2954</v>
      </c>
      <c r="D155" t="s">
        <v>684</v>
      </c>
      <c r="E155" t="s">
        <v>220</v>
      </c>
      <c r="F155">
        <f t="shared" si="4"/>
        <v>368</v>
      </c>
      <c r="G155">
        <v>368</v>
      </c>
      <c r="H155">
        <v>0</v>
      </c>
      <c r="I155">
        <v>0</v>
      </c>
    </row>
    <row r="156" spans="1:9" ht="14.5" customHeight="1" x14ac:dyDescent="0.35">
      <c r="A156" s="202">
        <v>46054</v>
      </c>
      <c r="B156" t="s">
        <v>2955</v>
      </c>
      <c r="C156" t="s">
        <v>2954</v>
      </c>
      <c r="D156" t="s">
        <v>684</v>
      </c>
      <c r="E156" t="s">
        <v>220</v>
      </c>
      <c r="F156">
        <f t="shared" si="4"/>
        <v>336</v>
      </c>
      <c r="G156">
        <v>336</v>
      </c>
      <c r="H156">
        <v>0</v>
      </c>
      <c r="I156">
        <v>0</v>
      </c>
    </row>
    <row r="157" spans="1:9" ht="14.5" customHeight="1" x14ac:dyDescent="0.35">
      <c r="A157" s="202">
        <v>46054</v>
      </c>
      <c r="B157" t="s">
        <v>2953</v>
      </c>
      <c r="C157" t="s">
        <v>2954</v>
      </c>
      <c r="D157" t="s">
        <v>684</v>
      </c>
      <c r="E157" t="s">
        <v>220</v>
      </c>
      <c r="F157">
        <f t="shared" si="4"/>
        <v>296</v>
      </c>
      <c r="G157">
        <v>296</v>
      </c>
      <c r="H157">
        <v>0</v>
      </c>
      <c r="I157">
        <v>0</v>
      </c>
    </row>
    <row r="158" spans="1:9" ht="14.5" customHeight="1" x14ac:dyDescent="0.35">
      <c r="A158" s="202">
        <v>46082</v>
      </c>
      <c r="B158" t="s">
        <v>2955</v>
      </c>
      <c r="C158" t="s">
        <v>2954</v>
      </c>
      <c r="D158" t="s">
        <v>684</v>
      </c>
      <c r="E158" t="s">
        <v>220</v>
      </c>
      <c r="F158">
        <f t="shared" si="4"/>
        <v>464</v>
      </c>
      <c r="G158">
        <v>464</v>
      </c>
      <c r="H158">
        <v>0</v>
      </c>
      <c r="I158">
        <v>0</v>
      </c>
    </row>
    <row r="159" spans="1:9" ht="14.5" customHeight="1" x14ac:dyDescent="0.35">
      <c r="A159" s="202">
        <v>46082</v>
      </c>
      <c r="B159" t="s">
        <v>2953</v>
      </c>
      <c r="C159" t="s">
        <v>2954</v>
      </c>
      <c r="D159" t="s">
        <v>684</v>
      </c>
      <c r="E159" t="s">
        <v>220</v>
      </c>
      <c r="F159">
        <f t="shared" si="4"/>
        <v>472</v>
      </c>
      <c r="G159">
        <v>472</v>
      </c>
      <c r="H159">
        <v>0</v>
      </c>
      <c r="I159">
        <v>0</v>
      </c>
    </row>
    <row r="160" spans="1:9" ht="14.5" customHeight="1" x14ac:dyDescent="0.35">
      <c r="A160" s="202">
        <v>46113</v>
      </c>
      <c r="B160" t="s">
        <v>2955</v>
      </c>
      <c r="C160" t="s">
        <v>2954</v>
      </c>
      <c r="D160" t="s">
        <v>684</v>
      </c>
      <c r="E160" t="s">
        <v>220</v>
      </c>
      <c r="F160">
        <f t="shared" si="4"/>
        <v>444</v>
      </c>
      <c r="G160">
        <v>444</v>
      </c>
      <c r="H160">
        <v>0</v>
      </c>
      <c r="I160">
        <v>0</v>
      </c>
    </row>
    <row r="161" spans="1:9" ht="14.5" customHeight="1" x14ac:dyDescent="0.35">
      <c r="A161" s="202">
        <v>46113</v>
      </c>
      <c r="B161" t="s">
        <v>2953</v>
      </c>
      <c r="C161" t="s">
        <v>2954</v>
      </c>
      <c r="D161" t="s">
        <v>684</v>
      </c>
      <c r="E161" t="s">
        <v>220</v>
      </c>
      <c r="F161">
        <f t="shared" si="4"/>
        <v>368</v>
      </c>
      <c r="G161">
        <v>368</v>
      </c>
      <c r="H161">
        <v>0</v>
      </c>
      <c r="I161">
        <v>0</v>
      </c>
    </row>
    <row r="162" spans="1:9" ht="14.5" customHeight="1" x14ac:dyDescent="0.35">
      <c r="A162" s="202">
        <v>46113</v>
      </c>
      <c r="B162" t="s">
        <v>2953</v>
      </c>
      <c r="C162" t="s">
        <v>2954</v>
      </c>
      <c r="D162" t="s">
        <v>648</v>
      </c>
      <c r="E162" t="s">
        <v>220</v>
      </c>
      <c r="F162">
        <f t="shared" si="4"/>
        <v>36</v>
      </c>
      <c r="G162">
        <v>36</v>
      </c>
      <c r="H162">
        <v>0</v>
      </c>
      <c r="I162">
        <v>0</v>
      </c>
    </row>
    <row r="163" spans="1:9" ht="14.5" customHeight="1" x14ac:dyDescent="0.35">
      <c r="A163" s="202">
        <v>46143</v>
      </c>
      <c r="B163" t="s">
        <v>2955</v>
      </c>
      <c r="C163" t="s">
        <v>2954</v>
      </c>
      <c r="D163" t="s">
        <v>684</v>
      </c>
      <c r="E163" t="s">
        <v>220</v>
      </c>
      <c r="F163">
        <f t="shared" si="4"/>
        <v>332</v>
      </c>
      <c r="G163">
        <v>332</v>
      </c>
      <c r="H163">
        <v>0</v>
      </c>
      <c r="I163">
        <v>0</v>
      </c>
    </row>
    <row r="164" spans="1:9" ht="14.5" customHeight="1" x14ac:dyDescent="0.35">
      <c r="A164" s="202">
        <v>46143</v>
      </c>
      <c r="B164" t="s">
        <v>2955</v>
      </c>
      <c r="C164" t="s">
        <v>2954</v>
      </c>
      <c r="D164" t="s">
        <v>648</v>
      </c>
      <c r="E164" t="s">
        <v>220</v>
      </c>
      <c r="F164">
        <f t="shared" ref="F164:F166" si="5">G164+H164+I164</f>
        <v>72</v>
      </c>
      <c r="G164">
        <v>72</v>
      </c>
      <c r="H164">
        <v>0</v>
      </c>
      <c r="I164">
        <v>0</v>
      </c>
    </row>
    <row r="165" spans="1:9" ht="14.5" customHeight="1" x14ac:dyDescent="0.35">
      <c r="A165" s="202">
        <v>46143</v>
      </c>
      <c r="B165" t="s">
        <v>2953</v>
      </c>
      <c r="C165" t="s">
        <v>2954</v>
      </c>
      <c r="D165" t="s">
        <v>684</v>
      </c>
      <c r="E165" t="s">
        <v>220</v>
      </c>
      <c r="F165">
        <f t="shared" si="5"/>
        <v>332</v>
      </c>
      <c r="G165">
        <v>332</v>
      </c>
      <c r="H165">
        <v>0</v>
      </c>
      <c r="I165">
        <v>0</v>
      </c>
    </row>
    <row r="166" spans="1:9" ht="14.5" customHeight="1" x14ac:dyDescent="0.35">
      <c r="A166" s="202">
        <v>46143</v>
      </c>
      <c r="B166" t="s">
        <v>2953</v>
      </c>
      <c r="C166" t="s">
        <v>2954</v>
      </c>
      <c r="D166" t="s">
        <v>648</v>
      </c>
      <c r="E166" t="s">
        <v>220</v>
      </c>
      <c r="F166">
        <f t="shared" si="5"/>
        <v>88</v>
      </c>
      <c r="G166">
        <v>88</v>
      </c>
      <c r="H166">
        <v>0</v>
      </c>
      <c r="I166">
        <v>0</v>
      </c>
    </row>
  </sheetData>
  <autoFilter ref="A3:O77" xr:uid="{00000000-0009-0000-0000-000008000000}"/>
  <dataValidations count="3">
    <dataValidation type="list" allowBlank="1" showInputMessage="1" showErrorMessage="1" errorTitle="Categoría inválida" error="Categoría inválida. Elegir: ESPECIALIZADO, OFICIAL, MEDIO OFICIAL o AYUDANTE." sqref="D3:D80" xr:uid="{00000000-0002-0000-0800-000000000000}">
      <formula1>"ESPECIALIZADO,OFICIAL,MEDIO OFICIAL,AYUDANTE"</formula1>
      <formula2>0</formula2>
    </dataValidation>
    <dataValidation type="list" allowBlank="1" error="Rubro fuera del plan de cuentas" prompt="Elegí un rubro del plan de cuentas" sqref="E4:E95" xr:uid="{00000000-0002-0000-0800-000001000000}">
      <formula1>RUBROS_PLAN</formula1>
    </dataValidation>
    <dataValidation type="list" allowBlank="1" sqref="E4:E166" xr:uid="{00000000-0002-0000-0800-000002000000}">
      <formula1>RUBROS_PLAN</formula1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E75B6"/>
  </sheetPr>
  <dimension ref="A1:N20"/>
  <sheetViews>
    <sheetView zoomScaleNormal="100" workbookViewId="0">
      <pane ySplit="3" topLeftCell="A4" activePane="bottomLeft" state="frozen"/>
      <selection pane="bottomLeft" activeCell="A13" sqref="A13"/>
    </sheetView>
  </sheetViews>
  <sheetFormatPr defaultColWidth="8.54296875" defaultRowHeight="14.5" x14ac:dyDescent="0.35"/>
  <cols>
    <col min="1" max="1" width="13" style="1" customWidth="1"/>
    <col min="2" max="2" width="20" style="1" customWidth="1"/>
    <col min="3" max="3" width="18" style="1" customWidth="1"/>
    <col min="4" max="4" width="22" style="1" customWidth="1"/>
    <col min="5" max="5" width="15" style="1" customWidth="1"/>
    <col min="6" max="6" width="11" style="1" customWidth="1"/>
    <col min="7" max="7" width="10" customWidth="1"/>
    <col min="8" max="8" width="16" customWidth="1"/>
    <col min="9" max="10" width="13" style="1" customWidth="1"/>
    <col min="11" max="11" width="14" style="1" customWidth="1"/>
    <col min="12" max="12" width="15" style="1" customWidth="1"/>
    <col min="13" max="13" width="12" style="1" customWidth="1"/>
    <col min="14" max="14" width="14" customWidth="1"/>
    <col min="15" max="16" width="12" style="1" customWidth="1"/>
    <col min="17" max="25" width="8.54296875" style="1" customWidth="1"/>
    <col min="26" max="16384" width="8.54296875" style="1"/>
  </cols>
  <sheetData>
    <row r="1" spans="1:14" ht="16.5" customHeight="1" x14ac:dyDescent="0.35">
      <c r="A1" s="15" t="s">
        <v>2957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</row>
    <row r="3" spans="1:14" ht="14.25" customHeight="1" x14ac:dyDescent="0.35">
      <c r="A3" s="196" t="s">
        <v>2958</v>
      </c>
      <c r="B3" s="196" t="s">
        <v>2959</v>
      </c>
      <c r="C3" s="196" t="s">
        <v>637</v>
      </c>
      <c r="D3" s="196" t="s">
        <v>7</v>
      </c>
      <c r="E3" s="196" t="s">
        <v>2960</v>
      </c>
      <c r="F3" s="196" t="s">
        <v>2961</v>
      </c>
      <c r="G3" s="196" t="s">
        <v>2962</v>
      </c>
      <c r="H3" s="196" t="s">
        <v>2963</v>
      </c>
      <c r="I3" s="196" t="s">
        <v>2964</v>
      </c>
      <c r="J3" s="196" t="s">
        <v>2965</v>
      </c>
      <c r="K3" s="196" t="s">
        <v>2966</v>
      </c>
      <c r="L3" s="196" t="s">
        <v>2967</v>
      </c>
      <c r="M3" s="196" t="s">
        <v>2968</v>
      </c>
      <c r="N3" s="192" t="s">
        <v>6</v>
      </c>
    </row>
    <row r="4" spans="1:14" ht="14.25" customHeight="1" x14ac:dyDescent="0.35">
      <c r="A4" s="181" t="s">
        <v>2969</v>
      </c>
      <c r="B4" s="149" t="s">
        <v>2970</v>
      </c>
      <c r="C4" s="149" t="s">
        <v>41</v>
      </c>
      <c r="D4" s="149" t="s">
        <v>41</v>
      </c>
      <c r="E4" s="197">
        <v>20625000</v>
      </c>
      <c r="F4" s="148" t="s">
        <v>2971</v>
      </c>
      <c r="G4" s="183">
        <v>0</v>
      </c>
      <c r="H4" s="146">
        <f>SUMIFS('2_Movimientos'!$I:$I,'2_Movimientos'!$Q:$Q,$A4,'2_Movimientos'!$R:$R,"BASE")+SUMIFS('2_Movimientos'!$I:$I,'2_Movimientos'!$Q:$Q,$A4,'2_Movimientos'!$R:$R,"ANT")</f>
        <v>0</v>
      </c>
      <c r="I4" s="184">
        <f>SUMIFS('2_Movimientos'!$I:$I,'2_Movimientos'!$Q:$Q,$A4,'2_Movimientos'!$R:$R,"CAC")</f>
        <v>0</v>
      </c>
      <c r="J4" s="146">
        <f>SUMIFS('2_Movimientos'!$I:$I,'2_Movimientos'!$Q:$Q,$A4,'2_Movimientos'!$R:$R,"CS")</f>
        <v>0</v>
      </c>
      <c r="K4" s="198">
        <f t="shared" ref="K4:K13" si="0">H4+I4+J4</f>
        <v>0</v>
      </c>
      <c r="L4" s="199">
        <f t="shared" ref="L4:L13" si="1">$E4-H4</f>
        <v>20625000</v>
      </c>
      <c r="M4" s="200">
        <f t="shared" ref="M4:M13" si="2">IFERROR(H4/$E4,0)</f>
        <v>0</v>
      </c>
      <c r="N4" t="str">
        <f t="shared" ref="N4:N13" si="3">IF(L4&lt;=0,"🔴 Sin saldo",IF(M4&gt;=0.9,"🟠 &lt;10% saldo","🟢 OK"))</f>
        <v>🟢 OK</v>
      </c>
    </row>
    <row r="5" spans="1:14" ht="14.25" customHeight="1" x14ac:dyDescent="0.35">
      <c r="A5" s="181" t="s">
        <v>2972</v>
      </c>
      <c r="B5" s="149" t="s">
        <v>2973</v>
      </c>
      <c r="C5" s="149" t="s">
        <v>71</v>
      </c>
      <c r="D5" s="149" t="s">
        <v>2974</v>
      </c>
      <c r="E5" s="197">
        <v>0</v>
      </c>
      <c r="F5" s="148" t="s">
        <v>2975</v>
      </c>
      <c r="G5" s="183">
        <v>0</v>
      </c>
      <c r="H5" s="146">
        <f>SUMIFS('2_Movimientos'!$I:$I,'2_Movimientos'!$Q:$Q,$A5,'2_Movimientos'!$R:$R,"BASE")+SUMIFS('2_Movimientos'!$I:$I,'2_Movimientos'!$Q:$Q,$A5,'2_Movimientos'!$R:$R,"ANT")</f>
        <v>0</v>
      </c>
      <c r="I5" s="184">
        <f>SUMIFS('2_Movimientos'!$I:$I,'2_Movimientos'!$Q:$Q,$A5,'2_Movimientos'!$R:$R,"CAC")</f>
        <v>0</v>
      </c>
      <c r="J5" s="146">
        <f>SUMIFS('2_Movimientos'!$I:$I,'2_Movimientos'!$Q:$Q,$A5,'2_Movimientos'!$R:$R,"CS")</f>
        <v>0</v>
      </c>
      <c r="K5" s="198">
        <f t="shared" si="0"/>
        <v>0</v>
      </c>
      <c r="L5" s="199">
        <f t="shared" si="1"/>
        <v>0</v>
      </c>
      <c r="M5" s="200">
        <f t="shared" si="2"/>
        <v>0</v>
      </c>
      <c r="N5" t="str">
        <f t="shared" si="3"/>
        <v>🔴 Sin saldo</v>
      </c>
    </row>
    <row r="6" spans="1:14" ht="14.25" customHeight="1" x14ac:dyDescent="0.35">
      <c r="A6" s="181" t="s">
        <v>2976</v>
      </c>
      <c r="B6" s="149" t="s">
        <v>2977</v>
      </c>
      <c r="C6" s="149" t="s">
        <v>187</v>
      </c>
      <c r="D6" s="149" t="s">
        <v>2978</v>
      </c>
      <c r="E6" s="197">
        <v>37170000</v>
      </c>
      <c r="F6" s="148" t="s">
        <v>2971</v>
      </c>
      <c r="G6" s="183">
        <v>0</v>
      </c>
      <c r="H6" s="146">
        <f>SUMIFS('2_Movimientos'!$I:$I,'2_Movimientos'!$Q:$Q,$A6,'2_Movimientos'!$R:$R,"BASE")+SUMIFS('2_Movimientos'!$I:$I,'2_Movimientos'!$Q:$Q,$A6,'2_Movimientos'!$R:$R,"ANT")</f>
        <v>0</v>
      </c>
      <c r="I6" s="184">
        <f>SUMIFS('2_Movimientos'!$I:$I,'2_Movimientos'!$Q:$Q,$A6,'2_Movimientos'!$R:$R,"CAC")</f>
        <v>0</v>
      </c>
      <c r="J6" s="146">
        <f>SUMIFS('2_Movimientos'!$I:$I,'2_Movimientos'!$Q:$Q,$A6,'2_Movimientos'!$R:$R,"CS")</f>
        <v>0</v>
      </c>
      <c r="K6" s="198">
        <f t="shared" si="0"/>
        <v>0</v>
      </c>
      <c r="L6" s="199">
        <f t="shared" si="1"/>
        <v>37170000</v>
      </c>
      <c r="M6" s="200">
        <f t="shared" si="2"/>
        <v>0</v>
      </c>
      <c r="N6" t="str">
        <f t="shared" si="3"/>
        <v>🟢 OK</v>
      </c>
    </row>
    <row r="7" spans="1:14" ht="14.25" customHeight="1" x14ac:dyDescent="0.35">
      <c r="A7" s="181" t="s">
        <v>2979</v>
      </c>
      <c r="B7" s="149" t="s">
        <v>2980</v>
      </c>
      <c r="C7" s="149" t="s">
        <v>2981</v>
      </c>
      <c r="D7" s="149" t="s">
        <v>2982</v>
      </c>
      <c r="E7" s="197">
        <v>180000</v>
      </c>
      <c r="F7" s="148" t="s">
        <v>2975</v>
      </c>
      <c r="G7" s="183">
        <v>0</v>
      </c>
      <c r="H7" s="146">
        <f>SUMIFS('2_Movimientos'!$I:$I,'2_Movimientos'!$Q:$Q,$A7,'2_Movimientos'!$R:$R,"BASE")+SUMIFS('2_Movimientos'!$I:$I,'2_Movimientos'!$Q:$Q,$A7,'2_Movimientos'!$R:$R,"ANT")</f>
        <v>0</v>
      </c>
      <c r="I7" s="184">
        <f>SUMIFS('2_Movimientos'!$I:$I,'2_Movimientos'!$Q:$Q,$A7,'2_Movimientos'!$R:$R,"CAC")</f>
        <v>0</v>
      </c>
      <c r="J7" s="146">
        <f>SUMIFS('2_Movimientos'!$I:$I,'2_Movimientos'!$Q:$Q,$A7,'2_Movimientos'!$R:$R,"CS")</f>
        <v>0</v>
      </c>
      <c r="K7" s="198">
        <f t="shared" si="0"/>
        <v>0</v>
      </c>
      <c r="L7" s="199">
        <f t="shared" si="1"/>
        <v>180000</v>
      </c>
      <c r="M7" s="200">
        <f t="shared" si="2"/>
        <v>0</v>
      </c>
      <c r="N7" t="str">
        <f t="shared" si="3"/>
        <v>🟢 OK</v>
      </c>
    </row>
    <row r="8" spans="1:14" ht="14.25" customHeight="1" x14ac:dyDescent="0.35">
      <c r="A8" s="181" t="s">
        <v>2983</v>
      </c>
      <c r="B8" s="149" t="s">
        <v>2984</v>
      </c>
      <c r="C8" s="149" t="s">
        <v>187</v>
      </c>
      <c r="D8" s="149" t="s">
        <v>2978</v>
      </c>
      <c r="E8" s="197">
        <v>550000</v>
      </c>
      <c r="F8" s="148" t="s">
        <v>2975</v>
      </c>
      <c r="G8" s="183">
        <v>0</v>
      </c>
      <c r="H8" s="146">
        <f>SUMIFS('2_Movimientos'!$I:$I,'2_Movimientos'!$Q:$Q,$A8,'2_Movimientos'!$R:$R,"BASE")+SUMIFS('2_Movimientos'!$I:$I,'2_Movimientos'!$Q:$Q,$A8,'2_Movimientos'!$R:$R,"ANT")</f>
        <v>0</v>
      </c>
      <c r="I8" s="184">
        <f>SUMIFS('2_Movimientos'!$I:$I,'2_Movimientos'!$Q:$Q,$A8,'2_Movimientos'!$R:$R,"CAC")</f>
        <v>0</v>
      </c>
      <c r="J8" s="146">
        <f>SUMIFS('2_Movimientos'!$I:$I,'2_Movimientos'!$Q:$Q,$A8,'2_Movimientos'!$R:$R,"CS")</f>
        <v>0</v>
      </c>
      <c r="K8" s="198">
        <f t="shared" si="0"/>
        <v>0</v>
      </c>
      <c r="L8" s="199">
        <f t="shared" si="1"/>
        <v>550000</v>
      </c>
      <c r="M8" s="200">
        <f t="shared" si="2"/>
        <v>0</v>
      </c>
      <c r="N8" t="str">
        <f t="shared" si="3"/>
        <v>🟢 OK</v>
      </c>
    </row>
    <row r="9" spans="1:14" ht="14.25" customHeight="1" x14ac:dyDescent="0.35">
      <c r="A9" s="181" t="s">
        <v>2985</v>
      </c>
      <c r="B9" s="149" t="s">
        <v>2986</v>
      </c>
      <c r="C9" s="149" t="s">
        <v>116</v>
      </c>
      <c r="D9" s="149" t="s">
        <v>2987</v>
      </c>
      <c r="E9" s="182">
        <v>66989647</v>
      </c>
      <c r="F9" s="148" t="s">
        <v>2971</v>
      </c>
      <c r="G9" s="183">
        <v>0</v>
      </c>
      <c r="H9" s="146">
        <f>SUMIFS('2_Movimientos'!$I:$I,'2_Movimientos'!$Q:$Q,$A9,'2_Movimientos'!$R:$R,"BASE")+SUMIFS('2_Movimientos'!$I:$I,'2_Movimientos'!$Q:$Q,$A9,'2_Movimientos'!$R:$R,"ANT")</f>
        <v>0</v>
      </c>
      <c r="I9" s="184">
        <f>SUMIFS('2_Movimientos'!$I:$I,'2_Movimientos'!$Q:$Q,$A9,'2_Movimientos'!$R:$R,"CAC")</f>
        <v>0</v>
      </c>
      <c r="J9" s="146">
        <f>SUMIFS('2_Movimientos'!$I:$I,'2_Movimientos'!$Q:$Q,$A9,'2_Movimientos'!$R:$R,"CS")</f>
        <v>0</v>
      </c>
      <c r="K9" s="184">
        <f t="shared" si="0"/>
        <v>0</v>
      </c>
      <c r="L9" s="147">
        <f t="shared" si="1"/>
        <v>66989647</v>
      </c>
      <c r="M9" s="160">
        <f t="shared" si="2"/>
        <v>0</v>
      </c>
      <c r="N9" t="str">
        <f t="shared" si="3"/>
        <v>🟢 OK</v>
      </c>
    </row>
    <row r="10" spans="1:14" ht="14.25" customHeight="1" x14ac:dyDescent="0.35">
      <c r="A10" s="181" t="s">
        <v>2988</v>
      </c>
      <c r="B10" s="149" t="s">
        <v>2989</v>
      </c>
      <c r="C10" s="149" t="s">
        <v>243</v>
      </c>
      <c r="D10" s="149" t="s">
        <v>2990</v>
      </c>
      <c r="E10" s="182">
        <v>18570000</v>
      </c>
      <c r="F10" s="148" t="s">
        <v>2975</v>
      </c>
      <c r="G10" s="183">
        <v>0</v>
      </c>
      <c r="H10" s="146">
        <f>SUMIFS('2_Movimientos'!$I:$I,'2_Movimientos'!$Q:$Q,$A10,'2_Movimientos'!$R:$R,"BASE")+SUMIFS('2_Movimientos'!$I:$I,'2_Movimientos'!$Q:$Q,$A10,'2_Movimientos'!$R:$R,"ANT")</f>
        <v>0</v>
      </c>
      <c r="I10" s="184">
        <f>SUMIFS('2_Movimientos'!$I:$I,'2_Movimientos'!$Q:$Q,$A10,'2_Movimientos'!$R:$R,"CAC")</f>
        <v>0</v>
      </c>
      <c r="J10" s="146">
        <f>SUMIFS('2_Movimientos'!$I:$I,'2_Movimientos'!$Q:$Q,$A10,'2_Movimientos'!$R:$R,"CS")</f>
        <v>0</v>
      </c>
      <c r="K10" s="184">
        <f t="shared" si="0"/>
        <v>0</v>
      </c>
      <c r="L10" s="147">
        <f t="shared" si="1"/>
        <v>18570000</v>
      </c>
      <c r="M10" s="160">
        <f t="shared" si="2"/>
        <v>0</v>
      </c>
      <c r="N10" t="str">
        <f t="shared" si="3"/>
        <v>🟢 OK</v>
      </c>
    </row>
    <row r="11" spans="1:14" ht="14.25" customHeight="1" x14ac:dyDescent="0.35">
      <c r="A11" s="181" t="s">
        <v>2991</v>
      </c>
      <c r="B11" s="149" t="s">
        <v>2992</v>
      </c>
      <c r="C11" s="149" t="s">
        <v>243</v>
      </c>
      <c r="D11" s="149" t="s">
        <v>2990</v>
      </c>
      <c r="E11" s="182">
        <v>4200000</v>
      </c>
      <c r="F11" s="148" t="s">
        <v>2975</v>
      </c>
      <c r="G11" s="183">
        <v>0</v>
      </c>
      <c r="H11" s="146">
        <f>SUMIFS('2_Movimientos'!$I:$I,'2_Movimientos'!$Q:$Q,$A11,'2_Movimientos'!$R:$R,"BASE")+SUMIFS('2_Movimientos'!$I:$I,'2_Movimientos'!$Q:$Q,$A11,'2_Movimientos'!$R:$R,"ANT")</f>
        <v>0</v>
      </c>
      <c r="I11" s="184">
        <f>SUMIFS('2_Movimientos'!$I:$I,'2_Movimientos'!$Q:$Q,$A11,'2_Movimientos'!$R:$R,"CAC")</f>
        <v>0</v>
      </c>
      <c r="J11" s="146">
        <f>SUMIFS('2_Movimientos'!$I:$I,'2_Movimientos'!$Q:$Q,$A11,'2_Movimientos'!$R:$R,"CS")</f>
        <v>0</v>
      </c>
      <c r="K11" s="184">
        <f t="shared" si="0"/>
        <v>0</v>
      </c>
      <c r="L11" s="147">
        <f t="shared" si="1"/>
        <v>4200000</v>
      </c>
      <c r="M11" s="160">
        <f t="shared" si="2"/>
        <v>0</v>
      </c>
      <c r="N11" t="str">
        <f t="shared" si="3"/>
        <v>🟢 OK</v>
      </c>
    </row>
    <row r="12" spans="1:14" ht="14.25" customHeight="1" x14ac:dyDescent="0.35">
      <c r="A12" s="181" t="s">
        <v>2993</v>
      </c>
      <c r="B12" s="149" t="s">
        <v>2994</v>
      </c>
      <c r="C12" s="149" t="s">
        <v>142</v>
      </c>
      <c r="D12" s="149" t="s">
        <v>2995</v>
      </c>
      <c r="E12" s="182">
        <v>4361700</v>
      </c>
      <c r="F12" s="148" t="s">
        <v>2975</v>
      </c>
      <c r="G12" s="183">
        <v>0</v>
      </c>
      <c r="H12" s="146">
        <f>SUMIFS('2_Movimientos'!$I:$I,'2_Movimientos'!$Q:$Q,$A12,'2_Movimientos'!$R:$R,"BASE")+SUMIFS('2_Movimientos'!$I:$I,'2_Movimientos'!$Q:$Q,$A12,'2_Movimientos'!$R:$R,"ANT")</f>
        <v>0</v>
      </c>
      <c r="I12" s="184">
        <f>SUMIFS('2_Movimientos'!$I:$I,'2_Movimientos'!$Q:$Q,$A12,'2_Movimientos'!$R:$R,"CAC")</f>
        <v>0</v>
      </c>
      <c r="J12" s="146">
        <f>SUMIFS('2_Movimientos'!$I:$I,'2_Movimientos'!$Q:$Q,$A12,'2_Movimientos'!$R:$R,"CS")</f>
        <v>0</v>
      </c>
      <c r="K12" s="184">
        <f t="shared" si="0"/>
        <v>0</v>
      </c>
      <c r="L12" s="147">
        <f t="shared" si="1"/>
        <v>4361700</v>
      </c>
      <c r="M12" s="160">
        <f t="shared" si="2"/>
        <v>0</v>
      </c>
      <c r="N12" t="str">
        <f t="shared" si="3"/>
        <v>🟢 OK</v>
      </c>
    </row>
    <row r="13" spans="1:14" ht="14.25" customHeight="1" x14ac:dyDescent="0.35">
      <c r="A13" s="181" t="s">
        <v>2996</v>
      </c>
      <c r="B13" s="149" t="s">
        <v>2997</v>
      </c>
      <c r="C13" s="149" t="s">
        <v>243</v>
      </c>
      <c r="D13" s="149" t="s">
        <v>2998</v>
      </c>
      <c r="E13" s="182">
        <v>40300000</v>
      </c>
      <c r="F13" s="148" t="s">
        <v>2975</v>
      </c>
      <c r="G13" s="183">
        <v>0</v>
      </c>
      <c r="H13" s="146">
        <f>SUMIFS('2_Movimientos'!$I:$I,'2_Movimientos'!$Q:$Q,$A13,'2_Movimientos'!$R:$R,"BASE")+SUMIFS('2_Movimientos'!$I:$I,'2_Movimientos'!$Q:$Q,$A13,'2_Movimientos'!$R:$R,"ANT")</f>
        <v>0</v>
      </c>
      <c r="I13" s="184">
        <f>SUMIFS('2_Movimientos'!$I:$I,'2_Movimientos'!$Q:$Q,$A13,'2_Movimientos'!$R:$R,"CAC")</f>
        <v>0</v>
      </c>
      <c r="J13" s="146">
        <f>SUMIFS('2_Movimientos'!$I:$I,'2_Movimientos'!$Q:$Q,$A13,'2_Movimientos'!$R:$R,"CS")</f>
        <v>0</v>
      </c>
      <c r="K13" s="184">
        <f t="shared" si="0"/>
        <v>0</v>
      </c>
      <c r="L13" s="147">
        <f t="shared" si="1"/>
        <v>40300000</v>
      </c>
      <c r="M13" s="160">
        <f t="shared" si="2"/>
        <v>0</v>
      </c>
      <c r="N13" t="str">
        <f t="shared" si="3"/>
        <v>🟢 OK</v>
      </c>
    </row>
    <row r="14" spans="1:14" ht="14.25" customHeight="1" x14ac:dyDescent="0.35">
      <c r="A14" s="185"/>
      <c r="B14" s="186"/>
      <c r="C14" s="186"/>
      <c r="D14" s="186"/>
      <c r="E14" s="187"/>
      <c r="F14" s="186"/>
      <c r="G14" s="186"/>
      <c r="H14" s="187"/>
      <c r="I14" s="187"/>
      <c r="J14" s="187"/>
      <c r="K14" s="187"/>
      <c r="L14" s="187"/>
      <c r="M14" s="160"/>
    </row>
    <row r="16" spans="1:14" ht="14.25" customHeight="1" x14ac:dyDescent="0.35">
      <c r="A16" s="2"/>
    </row>
    <row r="17" spans="1:1" ht="14.25" customHeight="1" x14ac:dyDescent="0.35">
      <c r="A17" s="5"/>
    </row>
    <row r="18" spans="1:1" ht="14.25" customHeight="1" x14ac:dyDescent="0.35">
      <c r="A18" s="5"/>
    </row>
    <row r="19" spans="1:1" ht="14.25" customHeight="1" x14ac:dyDescent="0.35">
      <c r="A19" s="5"/>
    </row>
    <row r="20" spans="1:1" ht="14.25" customHeight="1" x14ac:dyDescent="0.35">
      <c r="A20" s="5"/>
    </row>
  </sheetData>
  <conditionalFormatting sqref="M4:M14">
    <cfRule type="expression" dxfId="2" priority="1">
      <formula>L4=0</formula>
    </cfRule>
    <cfRule type="expression" dxfId="1" priority="2">
      <formula>L4&lt;0</formula>
    </cfRule>
    <cfRule type="expression" dxfId="0" priority="3">
      <formula>L4&gt;0</formula>
    </cfRule>
  </conditionalFormatting>
  <pageMargins left="0.7" right="0.7" top="0.75" bottom="0.75" header="0.511811023622047" footer="0.511811023622047"/>
  <pageSetup paperSize="9" orientation="portrait" horizontalDpi="300" verticalDpi="30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34"/>
  <sheetViews>
    <sheetView zoomScaleNormal="100" workbookViewId="0"/>
  </sheetViews>
  <sheetFormatPr defaultColWidth="8.54296875" defaultRowHeight="14.5" x14ac:dyDescent="0.35"/>
  <cols>
    <col min="1" max="1" width="30" customWidth="1"/>
    <col min="2" max="2" width="10" customWidth="1"/>
  </cols>
  <sheetData>
    <row r="1" spans="1:10" ht="14.25" customHeight="1" x14ac:dyDescent="0.35">
      <c r="A1" s="162" t="s">
        <v>2999</v>
      </c>
      <c r="B1" s="161" t="s">
        <v>3000</v>
      </c>
      <c r="C1" s="163" t="s">
        <v>3001</v>
      </c>
      <c r="E1" t="s">
        <v>3002</v>
      </c>
      <c r="I1" s="195" t="s">
        <v>3003</v>
      </c>
      <c r="J1" s="195" t="s">
        <v>622</v>
      </c>
    </row>
    <row r="2" spans="1:10" ht="14.25" customHeight="1" x14ac:dyDescent="0.35">
      <c r="A2" s="164" t="s">
        <v>23</v>
      </c>
      <c r="B2" s="165" t="s">
        <v>3004</v>
      </c>
      <c r="C2" s="163" t="s">
        <v>10</v>
      </c>
      <c r="E2" t="s">
        <v>3005</v>
      </c>
      <c r="F2">
        <f>SUMPRODUCT(('1_Presupuesto'!A4:A219&lt;&gt;"")*('1_Presupuesto'!A4:A219&lt;&gt;"-")*ISNA(MATCH('1_Presupuesto'!A4:A219,$A$2:$A$34,0)))+SUMPRODUCT(('1_Presupuesto'!B4:B219&lt;&gt;"")*('1_Presupuesto'!B4:B219&lt;&gt;"-")*ISNA(MATCH('1_Presupuesto'!B4:B219,$A$2:$A$34,0)))+SUMPRODUCT(('1_Presupuesto'!C4:C219&lt;&gt;"")*('1_Presupuesto'!C4:C219&lt;&gt;"-")*ISNA(MATCH('1_Presupuesto'!C4:C219,$A$2:$A$34,0)))+SUMPRODUCT(('1_Presupuesto'!D4:D219&lt;&gt;"")*('1_Presupuesto'!D4:D219&lt;&gt;"-")*ISNA(MATCH('1_Presupuesto'!D4:D219,$A$2:$A$34,0)))</f>
        <v>0</v>
      </c>
      <c r="G2" t="str">
        <f>IF(F2=0,"✓","⚠")</f>
        <v>✓</v>
      </c>
      <c r="I2" t="s">
        <v>330</v>
      </c>
      <c r="J2" t="s">
        <v>3006</v>
      </c>
    </row>
    <row r="3" spans="1:10" ht="14.25" customHeight="1" x14ac:dyDescent="0.35">
      <c r="A3" s="164" t="s">
        <v>3007</v>
      </c>
      <c r="B3" s="165" t="s">
        <v>3008</v>
      </c>
      <c r="C3" s="163" t="s">
        <v>639</v>
      </c>
      <c r="E3" t="s">
        <v>3009</v>
      </c>
      <c r="F3">
        <f>SUMPRODUCT(('2_Quincenas'!E4:E166&lt;&gt;"")*('2_Quincenas'!E4:E166&lt;&gt;"-")*ISNA(MATCH('2_Quincenas'!E4:E166,$A$2:$A$34,0)))</f>
        <v>0</v>
      </c>
      <c r="G3" t="str">
        <f>IF(F3=0,"✓","⚠")</f>
        <v>✓</v>
      </c>
      <c r="I3" t="s">
        <v>332</v>
      </c>
      <c r="J3" t="s">
        <v>3006</v>
      </c>
    </row>
    <row r="4" spans="1:10" ht="14.25" customHeight="1" x14ac:dyDescent="0.35">
      <c r="A4" s="164" t="s">
        <v>41</v>
      </c>
      <c r="B4" t="s">
        <v>3010</v>
      </c>
      <c r="C4" s="163"/>
      <c r="I4" t="s">
        <v>334</v>
      </c>
      <c r="J4" t="s">
        <v>3006</v>
      </c>
    </row>
    <row r="5" spans="1:10" ht="14.25" customHeight="1" x14ac:dyDescent="0.35">
      <c r="A5" s="164" t="s">
        <v>50</v>
      </c>
      <c r="B5" t="s">
        <v>3011</v>
      </c>
      <c r="C5" s="163"/>
      <c r="I5" t="s">
        <v>336</v>
      </c>
      <c r="J5" t="s">
        <v>3006</v>
      </c>
    </row>
    <row r="6" spans="1:10" ht="14.25" customHeight="1" x14ac:dyDescent="0.35">
      <c r="A6" s="164" t="s">
        <v>44</v>
      </c>
      <c r="B6" t="s">
        <v>3012</v>
      </c>
      <c r="I6" t="s">
        <v>342</v>
      </c>
      <c r="J6" t="s">
        <v>3006</v>
      </c>
    </row>
    <row r="7" spans="1:10" ht="14.25" customHeight="1" x14ac:dyDescent="0.35">
      <c r="A7" s="164" t="s">
        <v>3013</v>
      </c>
      <c r="B7" t="s">
        <v>3014</v>
      </c>
      <c r="I7" t="s">
        <v>346</v>
      </c>
      <c r="J7" t="s">
        <v>3006</v>
      </c>
    </row>
    <row r="8" spans="1:10" ht="14.25" customHeight="1" x14ac:dyDescent="0.35">
      <c r="A8" s="164" t="s">
        <v>3015</v>
      </c>
      <c r="B8" t="s">
        <v>3016</v>
      </c>
      <c r="I8" t="s">
        <v>348</v>
      </c>
      <c r="J8" t="s">
        <v>3006</v>
      </c>
    </row>
    <row r="9" spans="1:10" ht="14.25" customHeight="1" x14ac:dyDescent="0.35">
      <c r="A9" s="164" t="s">
        <v>76</v>
      </c>
      <c r="B9" t="s">
        <v>3017</v>
      </c>
      <c r="I9" t="s">
        <v>354</v>
      </c>
      <c r="J9" t="s">
        <v>3006</v>
      </c>
    </row>
    <row r="10" spans="1:10" ht="14.25" customHeight="1" x14ac:dyDescent="0.35">
      <c r="A10" s="164" t="s">
        <v>71</v>
      </c>
      <c r="B10" t="s">
        <v>3018</v>
      </c>
      <c r="I10" t="s">
        <v>357</v>
      </c>
      <c r="J10" t="s">
        <v>3006</v>
      </c>
    </row>
    <row r="11" spans="1:10" ht="14.25" customHeight="1" x14ac:dyDescent="0.35">
      <c r="A11" s="164" t="s">
        <v>115</v>
      </c>
      <c r="B11" t="s">
        <v>3019</v>
      </c>
      <c r="I11" t="s">
        <v>359</v>
      </c>
      <c r="J11" t="s">
        <v>3006</v>
      </c>
    </row>
    <row r="12" spans="1:10" ht="14.25" customHeight="1" x14ac:dyDescent="0.35">
      <c r="A12" s="164" t="s">
        <v>116</v>
      </c>
      <c r="B12" t="s">
        <v>3020</v>
      </c>
      <c r="I12" t="s">
        <v>361</v>
      </c>
      <c r="J12" t="s">
        <v>3006</v>
      </c>
    </row>
    <row r="13" spans="1:10" ht="14.25" customHeight="1" x14ac:dyDescent="0.35">
      <c r="A13" s="164" t="s">
        <v>3021</v>
      </c>
      <c r="B13" t="s">
        <v>3022</v>
      </c>
      <c r="I13" t="s">
        <v>362</v>
      </c>
      <c r="J13" t="s">
        <v>3006</v>
      </c>
    </row>
    <row r="14" spans="1:10" ht="14.25" customHeight="1" x14ac:dyDescent="0.35">
      <c r="A14" s="164" t="s">
        <v>141</v>
      </c>
      <c r="B14" t="s">
        <v>3023</v>
      </c>
      <c r="I14" t="s">
        <v>363</v>
      </c>
      <c r="J14" t="s">
        <v>3006</v>
      </c>
    </row>
    <row r="15" spans="1:10" ht="14.25" customHeight="1" x14ac:dyDescent="0.35">
      <c r="A15" s="164" t="s">
        <v>142</v>
      </c>
      <c r="B15" t="s">
        <v>3024</v>
      </c>
      <c r="I15" t="s">
        <v>3025</v>
      </c>
      <c r="J15" t="s">
        <v>3026</v>
      </c>
    </row>
    <row r="16" spans="1:10" ht="14.25" customHeight="1" x14ac:dyDescent="0.35">
      <c r="A16" s="164" t="s">
        <v>169</v>
      </c>
      <c r="B16" t="s">
        <v>3027</v>
      </c>
      <c r="I16" t="s">
        <v>3028</v>
      </c>
      <c r="J16" t="s">
        <v>3026</v>
      </c>
    </row>
    <row r="17" spans="1:10" ht="14.25" customHeight="1" x14ac:dyDescent="0.35">
      <c r="A17" s="164" t="s">
        <v>3029</v>
      </c>
      <c r="B17" t="s">
        <v>3030</v>
      </c>
      <c r="I17" t="s">
        <v>3031</v>
      </c>
      <c r="J17" t="s">
        <v>3026</v>
      </c>
    </row>
    <row r="18" spans="1:10" ht="14.25" customHeight="1" x14ac:dyDescent="0.35">
      <c r="A18" s="164" t="s">
        <v>219</v>
      </c>
      <c r="B18" t="s">
        <v>3032</v>
      </c>
    </row>
    <row r="19" spans="1:10" ht="14.25" customHeight="1" x14ac:dyDescent="0.35">
      <c r="A19" s="164" t="s">
        <v>220</v>
      </c>
      <c r="B19" t="s">
        <v>3033</v>
      </c>
    </row>
    <row r="20" spans="1:10" ht="14.25" customHeight="1" x14ac:dyDescent="0.35">
      <c r="A20" s="164" t="s">
        <v>186</v>
      </c>
      <c r="B20" t="s">
        <v>3034</v>
      </c>
    </row>
    <row r="21" spans="1:10" ht="14.25" customHeight="1" x14ac:dyDescent="0.35">
      <c r="A21" s="164" t="s">
        <v>187</v>
      </c>
      <c r="B21" t="s">
        <v>3035</v>
      </c>
    </row>
    <row r="22" spans="1:10" ht="14.25" customHeight="1" x14ac:dyDescent="0.35">
      <c r="A22" s="164" t="s">
        <v>3036</v>
      </c>
      <c r="B22" t="s">
        <v>3037</v>
      </c>
    </row>
    <row r="23" spans="1:10" ht="14.25" customHeight="1" x14ac:dyDescent="0.35">
      <c r="A23" s="164" t="s">
        <v>35</v>
      </c>
      <c r="B23" t="s">
        <v>3038</v>
      </c>
    </row>
    <row r="24" spans="1:10" ht="14.25" customHeight="1" x14ac:dyDescent="0.35">
      <c r="A24" s="164" t="s">
        <v>604</v>
      </c>
      <c r="B24" t="s">
        <v>3039</v>
      </c>
    </row>
    <row r="25" spans="1:10" ht="14.25" customHeight="1" x14ac:dyDescent="0.35">
      <c r="A25" s="163" t="s">
        <v>242</v>
      </c>
      <c r="B25" t="s">
        <v>3040</v>
      </c>
    </row>
    <row r="26" spans="1:10" ht="14.25" customHeight="1" x14ac:dyDescent="0.35">
      <c r="A26" s="163" t="s">
        <v>243</v>
      </c>
      <c r="B26" t="s">
        <v>3041</v>
      </c>
    </row>
    <row r="27" spans="1:10" ht="14.25" customHeight="1" x14ac:dyDescent="0.35">
      <c r="A27" s="163" t="s">
        <v>73</v>
      </c>
      <c r="B27" t="s">
        <v>3042</v>
      </c>
    </row>
    <row r="28" spans="1:10" ht="14.25" customHeight="1" x14ac:dyDescent="0.35">
      <c r="A28" s="163" t="s">
        <v>3043</v>
      </c>
      <c r="B28" t="s">
        <v>3044</v>
      </c>
    </row>
    <row r="29" spans="1:10" x14ac:dyDescent="0.35">
      <c r="A29" t="s">
        <v>3045</v>
      </c>
      <c r="B29" t="s">
        <v>3046</v>
      </c>
    </row>
    <row r="30" spans="1:10" x14ac:dyDescent="0.35">
      <c r="A30" t="s">
        <v>83</v>
      </c>
      <c r="B30" t="s">
        <v>3047</v>
      </c>
    </row>
    <row r="31" spans="1:10" x14ac:dyDescent="0.35">
      <c r="A31" t="s">
        <v>3048</v>
      </c>
      <c r="B31" t="s">
        <v>3049</v>
      </c>
    </row>
    <row r="32" spans="1:10" x14ac:dyDescent="0.35">
      <c r="A32" t="s">
        <v>3050</v>
      </c>
      <c r="B32" t="s">
        <v>3051</v>
      </c>
    </row>
    <row r="33" spans="1:2" x14ac:dyDescent="0.35">
      <c r="A33" t="s">
        <v>81</v>
      </c>
      <c r="B33" t="s">
        <v>3052</v>
      </c>
    </row>
    <row r="34" spans="1:2" x14ac:dyDescent="0.35">
      <c r="A34" t="s">
        <v>87</v>
      </c>
      <c r="B34" t="s">
        <v>3053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4"/>
  <sheetViews>
    <sheetView workbookViewId="0">
      <pane ySplit="1" topLeftCell="A2" activePane="bottomLeft" state="frozen"/>
      <selection pane="bottomLeft" activeCell="B3" sqref="B3"/>
    </sheetView>
  </sheetViews>
  <sheetFormatPr defaultRowHeight="14.5" x14ac:dyDescent="0.35"/>
  <sheetData>
    <row r="1" spans="1:13" x14ac:dyDescent="0.35">
      <c r="A1" s="206" t="s">
        <v>2943</v>
      </c>
      <c r="B1" s="206" t="s">
        <v>3054</v>
      </c>
      <c r="C1" s="206" t="s">
        <v>3055</v>
      </c>
      <c r="D1" s="206" t="s">
        <v>3056</v>
      </c>
      <c r="E1" s="206" t="s">
        <v>3057</v>
      </c>
      <c r="F1" s="206" t="s">
        <v>264</v>
      </c>
      <c r="G1" s="206" t="s">
        <v>3058</v>
      </c>
      <c r="H1" s="206" t="s">
        <v>3059</v>
      </c>
      <c r="I1" s="206" t="s">
        <v>3060</v>
      </c>
      <c r="J1" s="206" t="s">
        <v>3061</v>
      </c>
      <c r="K1" s="206" t="s">
        <v>3062</v>
      </c>
      <c r="L1" s="206" t="s">
        <v>20</v>
      </c>
      <c r="M1" s="206" t="s">
        <v>3063</v>
      </c>
    </row>
    <row r="2" spans="1:13" x14ac:dyDescent="0.35">
      <c r="A2" t="s">
        <v>3064</v>
      </c>
      <c r="B2" t="s">
        <v>3065</v>
      </c>
      <c r="C2" t="s">
        <v>3066</v>
      </c>
      <c r="D2" s="194">
        <v>421306052</v>
      </c>
      <c r="E2" s="201">
        <v>0.2</v>
      </c>
      <c r="F2" s="202">
        <v>45536</v>
      </c>
      <c r="G2">
        <f>_xlfn.XLOOKUP(F2,'0_Indice_CAC'!$A:$A,'0_Indice_CAC'!$B:$B)</f>
        <v>14366.9</v>
      </c>
      <c r="H2" s="201">
        <v>0.3745</v>
      </c>
      <c r="I2" s="201">
        <v>0.62549999999999994</v>
      </c>
      <c r="J2" s="201">
        <v>0.2</v>
      </c>
      <c r="K2" s="203">
        <v>0.105</v>
      </c>
      <c r="L2" t="s">
        <v>28</v>
      </c>
    </row>
    <row r="3" spans="1:13" x14ac:dyDescent="0.35">
      <c r="A3" t="s">
        <v>3064</v>
      </c>
      <c r="B3" t="s">
        <v>3067</v>
      </c>
      <c r="C3" t="s">
        <v>3068</v>
      </c>
      <c r="D3" s="194">
        <v>736857133.01999998</v>
      </c>
      <c r="E3" s="201">
        <v>0.4</v>
      </c>
      <c r="F3" s="202">
        <v>45536</v>
      </c>
      <c r="G3">
        <f>_xlfn.XLOOKUP(F3,'0_Indice_CAC'!$A:$A,'0_Indice_CAC'!$B:$B)</f>
        <v>14366.9</v>
      </c>
      <c r="H3" s="201">
        <v>0.2407</v>
      </c>
      <c r="I3" s="201">
        <v>0.75929999999999997</v>
      </c>
      <c r="J3" s="201">
        <v>0.4</v>
      </c>
      <c r="K3" s="203">
        <v>0.105</v>
      </c>
      <c r="L3" t="s">
        <v>92</v>
      </c>
    </row>
    <row r="4" spans="1:13" x14ac:dyDescent="0.35">
      <c r="A4" t="s">
        <v>3064</v>
      </c>
      <c r="B4" t="s">
        <v>3069</v>
      </c>
      <c r="C4" t="s">
        <v>3070</v>
      </c>
      <c r="D4" s="194">
        <v>15315354.68</v>
      </c>
      <c r="E4" s="201">
        <v>0</v>
      </c>
      <c r="F4" s="202">
        <v>45536</v>
      </c>
      <c r="G4">
        <f>_xlfn.XLOOKUP(F4,'0_Indice_CAC'!$A:$A,'0_Indice_CAC'!$B:$B)</f>
        <v>14366.9</v>
      </c>
      <c r="H4" s="201">
        <v>0.31</v>
      </c>
      <c r="I4" s="201">
        <v>0.69</v>
      </c>
      <c r="J4" s="201">
        <v>0</v>
      </c>
      <c r="K4" s="203">
        <v>0.105</v>
      </c>
      <c r="L4" t="s">
        <v>3071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L405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12" x14ac:dyDescent="0.35">
      <c r="A1" s="206" t="s">
        <v>2943</v>
      </c>
      <c r="B1" s="206" t="s">
        <v>3054</v>
      </c>
      <c r="C1" s="206" t="s">
        <v>3072</v>
      </c>
      <c r="D1" s="206" t="s">
        <v>2938</v>
      </c>
      <c r="E1" s="206" t="s">
        <v>3073</v>
      </c>
      <c r="F1" s="206" t="s">
        <v>3074</v>
      </c>
      <c r="G1" s="206" t="s">
        <v>3075</v>
      </c>
      <c r="H1" s="206" t="s">
        <v>3076</v>
      </c>
      <c r="I1" s="206" t="s">
        <v>3077</v>
      </c>
      <c r="J1" s="206" t="s">
        <v>3078</v>
      </c>
      <c r="K1" s="206" t="s">
        <v>20</v>
      </c>
      <c r="L1" s="206" t="s">
        <v>3079</v>
      </c>
    </row>
    <row r="2" spans="1:12" x14ac:dyDescent="0.35">
      <c r="A2" t="s">
        <v>3064</v>
      </c>
      <c r="B2" t="s">
        <v>3065</v>
      </c>
      <c r="C2" t="s">
        <v>3080</v>
      </c>
      <c r="D2" s="193">
        <v>45747</v>
      </c>
      <c r="E2" t="s">
        <v>3081</v>
      </c>
      <c r="F2">
        <v>0</v>
      </c>
      <c r="G2">
        <v>0.65</v>
      </c>
      <c r="H2">
        <f t="shared" ref="H2:H65" si="0">F2+G2</f>
        <v>0.65</v>
      </c>
      <c r="I2" s="194">
        <v>1138764</v>
      </c>
      <c r="J2" s="194">
        <f t="shared" ref="J2:J65" si="1">G2*I2</f>
        <v>740196.6</v>
      </c>
      <c r="K2" t="str">
        <f>_xlfn.XLOOKUP(B2,Cert_OC_Cliente!$B:$B,Cert_OC_Cliente!$L:$L)</f>
        <v>PTO 01</v>
      </c>
      <c r="L2" t="str">
        <f t="shared" ref="L2:L65" si="2">IF($E2="","",IF(AND(ISNUMBER($I2),$H2&lt;=1.0001),"✓","⚠"))</f>
        <v>✓</v>
      </c>
    </row>
    <row r="3" spans="1:12" x14ac:dyDescent="0.35">
      <c r="A3" t="s">
        <v>3064</v>
      </c>
      <c r="B3" t="s">
        <v>3065</v>
      </c>
      <c r="C3" t="s">
        <v>3080</v>
      </c>
      <c r="D3" s="193">
        <v>45747</v>
      </c>
      <c r="E3" t="s">
        <v>3082</v>
      </c>
      <c r="F3">
        <v>0</v>
      </c>
      <c r="G3">
        <v>0.5</v>
      </c>
      <c r="H3">
        <f t="shared" si="0"/>
        <v>0.5</v>
      </c>
      <c r="I3" s="194">
        <v>7548771</v>
      </c>
      <c r="J3" s="194">
        <f t="shared" si="1"/>
        <v>3774385.5</v>
      </c>
      <c r="K3" t="str">
        <f>_xlfn.XLOOKUP(B3,Cert_OC_Cliente!$B:$B,Cert_OC_Cliente!$L:$L)</f>
        <v>PTO 01</v>
      </c>
      <c r="L3" t="str">
        <f t="shared" si="2"/>
        <v>✓</v>
      </c>
    </row>
    <row r="4" spans="1:12" x14ac:dyDescent="0.35">
      <c r="A4" t="s">
        <v>3064</v>
      </c>
      <c r="B4" t="s">
        <v>3065</v>
      </c>
      <c r="C4" t="s">
        <v>3080</v>
      </c>
      <c r="D4" s="193">
        <v>45747</v>
      </c>
      <c r="E4" t="s">
        <v>3083</v>
      </c>
      <c r="F4">
        <v>0</v>
      </c>
      <c r="G4">
        <v>0.3</v>
      </c>
      <c r="H4">
        <f t="shared" si="0"/>
        <v>0.3</v>
      </c>
      <c r="I4" s="194">
        <v>1176084</v>
      </c>
      <c r="J4" s="194">
        <f t="shared" si="1"/>
        <v>352825.2</v>
      </c>
      <c r="K4" t="str">
        <f>_xlfn.XLOOKUP(B4,Cert_OC_Cliente!$B:$B,Cert_OC_Cliente!$L:$L)</f>
        <v>PTO 01</v>
      </c>
      <c r="L4" t="str">
        <f t="shared" si="2"/>
        <v>✓</v>
      </c>
    </row>
    <row r="5" spans="1:12" x14ac:dyDescent="0.35">
      <c r="A5" t="s">
        <v>3064</v>
      </c>
      <c r="B5" t="s">
        <v>3065</v>
      </c>
      <c r="C5" t="s">
        <v>3080</v>
      </c>
      <c r="D5" s="193">
        <v>45747</v>
      </c>
      <c r="E5" t="s">
        <v>3084</v>
      </c>
      <c r="F5">
        <v>0</v>
      </c>
      <c r="G5">
        <v>0.5</v>
      </c>
      <c r="H5">
        <f t="shared" si="0"/>
        <v>0.5</v>
      </c>
      <c r="I5" s="194">
        <v>1731320</v>
      </c>
      <c r="J5" s="194">
        <f t="shared" si="1"/>
        <v>865660</v>
      </c>
      <c r="K5" t="str">
        <f>_xlfn.XLOOKUP(B5,Cert_OC_Cliente!$B:$B,Cert_OC_Cliente!$L:$L)</f>
        <v>PTO 01</v>
      </c>
      <c r="L5" t="str">
        <f t="shared" si="2"/>
        <v>✓</v>
      </c>
    </row>
    <row r="6" spans="1:12" x14ac:dyDescent="0.35">
      <c r="A6" t="s">
        <v>3064</v>
      </c>
      <c r="B6" t="s">
        <v>3065</v>
      </c>
      <c r="C6" t="s">
        <v>3080</v>
      </c>
      <c r="D6" s="193">
        <v>45747</v>
      </c>
      <c r="E6" t="s">
        <v>3085</v>
      </c>
      <c r="F6">
        <v>0</v>
      </c>
      <c r="G6">
        <v>0.5</v>
      </c>
      <c r="H6">
        <f t="shared" si="0"/>
        <v>0.5</v>
      </c>
      <c r="I6" s="194">
        <v>426487</v>
      </c>
      <c r="J6" s="194">
        <f t="shared" si="1"/>
        <v>213243.5</v>
      </c>
      <c r="K6" t="str">
        <f>_xlfn.XLOOKUP(B6,Cert_OC_Cliente!$B:$B,Cert_OC_Cliente!$L:$L)</f>
        <v>PTO 01</v>
      </c>
      <c r="L6" t="str">
        <f t="shared" si="2"/>
        <v>✓</v>
      </c>
    </row>
    <row r="7" spans="1:12" x14ac:dyDescent="0.35">
      <c r="A7" t="s">
        <v>3064</v>
      </c>
      <c r="B7" t="s">
        <v>3065</v>
      </c>
      <c r="C7" t="s">
        <v>3080</v>
      </c>
      <c r="D7" s="193">
        <v>45747</v>
      </c>
      <c r="E7" t="s">
        <v>3086</v>
      </c>
      <c r="F7">
        <v>0</v>
      </c>
      <c r="G7">
        <v>1</v>
      </c>
      <c r="H7">
        <f t="shared" si="0"/>
        <v>1</v>
      </c>
      <c r="I7" s="194">
        <v>9803685</v>
      </c>
      <c r="J7" s="194">
        <f t="shared" si="1"/>
        <v>9803685</v>
      </c>
      <c r="K7" t="str">
        <f>_xlfn.XLOOKUP(B7,Cert_OC_Cliente!$B:$B,Cert_OC_Cliente!$L:$L)</f>
        <v>PTO 01</v>
      </c>
      <c r="L7" t="str">
        <f t="shared" si="2"/>
        <v>✓</v>
      </c>
    </row>
    <row r="8" spans="1:12" x14ac:dyDescent="0.35">
      <c r="A8" t="s">
        <v>3064</v>
      </c>
      <c r="B8" t="s">
        <v>3065</v>
      </c>
      <c r="C8" t="s">
        <v>3080</v>
      </c>
      <c r="D8" s="193">
        <v>45747</v>
      </c>
      <c r="E8" t="s">
        <v>3087</v>
      </c>
      <c r="F8">
        <v>0</v>
      </c>
      <c r="G8">
        <v>0.35</v>
      </c>
      <c r="H8">
        <f t="shared" si="0"/>
        <v>0.35</v>
      </c>
      <c r="I8" s="194">
        <v>41891940</v>
      </c>
      <c r="J8" s="194">
        <f t="shared" si="1"/>
        <v>14662179</v>
      </c>
      <c r="K8" t="str">
        <f>_xlfn.XLOOKUP(B8,Cert_OC_Cliente!$B:$B,Cert_OC_Cliente!$L:$L)</f>
        <v>PTO 01</v>
      </c>
      <c r="L8" t="str">
        <f t="shared" si="2"/>
        <v>✓</v>
      </c>
    </row>
    <row r="9" spans="1:12" x14ac:dyDescent="0.35">
      <c r="A9" t="s">
        <v>3064</v>
      </c>
      <c r="B9" t="s">
        <v>3065</v>
      </c>
      <c r="C9" t="s">
        <v>3080</v>
      </c>
      <c r="D9" s="193">
        <v>45747</v>
      </c>
      <c r="E9" t="s">
        <v>3088</v>
      </c>
      <c r="F9">
        <v>0</v>
      </c>
      <c r="G9">
        <v>0.1</v>
      </c>
      <c r="H9">
        <f t="shared" si="0"/>
        <v>0.1</v>
      </c>
      <c r="I9" s="194">
        <v>6025104</v>
      </c>
      <c r="J9" s="194">
        <f t="shared" si="1"/>
        <v>602510.4</v>
      </c>
      <c r="K9" t="str">
        <f>_xlfn.XLOOKUP(B9,Cert_OC_Cliente!$B:$B,Cert_OC_Cliente!$L:$L)</f>
        <v>PTO 01</v>
      </c>
      <c r="L9" t="str">
        <f t="shared" si="2"/>
        <v>✓</v>
      </c>
    </row>
    <row r="10" spans="1:12" x14ac:dyDescent="0.35">
      <c r="A10" t="s">
        <v>3064</v>
      </c>
      <c r="B10" t="s">
        <v>3065</v>
      </c>
      <c r="C10" t="s">
        <v>3080</v>
      </c>
      <c r="D10" s="193">
        <v>45747</v>
      </c>
      <c r="E10" t="s">
        <v>3089</v>
      </c>
      <c r="F10">
        <v>0</v>
      </c>
      <c r="G10">
        <v>0.1</v>
      </c>
      <c r="H10">
        <f t="shared" si="0"/>
        <v>0.1</v>
      </c>
      <c r="I10" s="194">
        <v>1508264</v>
      </c>
      <c r="J10" s="194">
        <f t="shared" si="1"/>
        <v>150826.4</v>
      </c>
      <c r="K10" t="str">
        <f>_xlfn.XLOOKUP(B10,Cert_OC_Cliente!$B:$B,Cert_OC_Cliente!$L:$L)</f>
        <v>PTO 01</v>
      </c>
      <c r="L10" t="str">
        <f t="shared" si="2"/>
        <v>✓</v>
      </c>
    </row>
    <row r="11" spans="1:12" x14ac:dyDescent="0.35">
      <c r="A11" t="s">
        <v>3064</v>
      </c>
      <c r="B11" t="s">
        <v>3065</v>
      </c>
      <c r="C11" t="s">
        <v>3080</v>
      </c>
      <c r="D11" s="193">
        <v>45747</v>
      </c>
      <c r="E11" t="s">
        <v>3090</v>
      </c>
      <c r="F11">
        <v>0</v>
      </c>
      <c r="G11">
        <v>0.1</v>
      </c>
      <c r="H11">
        <f t="shared" si="0"/>
        <v>0.1</v>
      </c>
      <c r="I11" s="194">
        <v>38192848</v>
      </c>
      <c r="J11" s="194">
        <f t="shared" si="1"/>
        <v>3819284.8000000003</v>
      </c>
      <c r="K11" t="str">
        <f>_xlfn.XLOOKUP(B11,Cert_OC_Cliente!$B:$B,Cert_OC_Cliente!$L:$L)</f>
        <v>PTO 01</v>
      </c>
      <c r="L11" t="str">
        <f t="shared" si="2"/>
        <v>✓</v>
      </c>
    </row>
    <row r="12" spans="1:12" x14ac:dyDescent="0.35">
      <c r="A12" t="s">
        <v>3064</v>
      </c>
      <c r="B12" t="s">
        <v>3065</v>
      </c>
      <c r="C12" t="s">
        <v>3080</v>
      </c>
      <c r="D12" s="193">
        <v>45747</v>
      </c>
      <c r="E12" t="s">
        <v>3091</v>
      </c>
      <c r="F12">
        <v>0</v>
      </c>
      <c r="G12">
        <v>0.1</v>
      </c>
      <c r="H12">
        <f t="shared" si="0"/>
        <v>0.1</v>
      </c>
      <c r="I12" s="194">
        <v>5027536</v>
      </c>
      <c r="J12" s="194">
        <f t="shared" si="1"/>
        <v>502753.60000000003</v>
      </c>
      <c r="K12" t="str">
        <f>_xlfn.XLOOKUP(B12,Cert_OC_Cliente!$B:$B,Cert_OC_Cliente!$L:$L)</f>
        <v>PTO 01</v>
      </c>
      <c r="L12" t="str">
        <f t="shared" si="2"/>
        <v>✓</v>
      </c>
    </row>
    <row r="13" spans="1:12" x14ac:dyDescent="0.35">
      <c r="A13" t="s">
        <v>3064</v>
      </c>
      <c r="B13" t="s">
        <v>3065</v>
      </c>
      <c r="C13" t="s">
        <v>3092</v>
      </c>
      <c r="D13" s="193">
        <v>45777</v>
      </c>
      <c r="E13" t="s">
        <v>3083</v>
      </c>
      <c r="F13">
        <v>0.3</v>
      </c>
      <c r="G13">
        <v>0.2</v>
      </c>
      <c r="H13">
        <f t="shared" si="0"/>
        <v>0.5</v>
      </c>
      <c r="I13" s="194">
        <v>1176084</v>
      </c>
      <c r="J13" s="194">
        <f t="shared" si="1"/>
        <v>235216.80000000002</v>
      </c>
      <c r="K13" t="str">
        <f>_xlfn.XLOOKUP(B13,Cert_OC_Cliente!$B:$B,Cert_OC_Cliente!$L:$L)</f>
        <v>PTO 01</v>
      </c>
      <c r="L13" t="str">
        <f t="shared" si="2"/>
        <v>✓</v>
      </c>
    </row>
    <row r="14" spans="1:12" x14ac:dyDescent="0.35">
      <c r="A14" t="s">
        <v>3064</v>
      </c>
      <c r="B14" t="s">
        <v>3065</v>
      </c>
      <c r="C14" t="s">
        <v>3092</v>
      </c>
      <c r="D14" s="193">
        <v>45777</v>
      </c>
      <c r="E14" t="s">
        <v>3084</v>
      </c>
      <c r="F14">
        <v>0.49999999999999989</v>
      </c>
      <c r="G14">
        <v>0.2</v>
      </c>
      <c r="H14">
        <f t="shared" si="0"/>
        <v>0.7</v>
      </c>
      <c r="I14" s="194">
        <v>1731320</v>
      </c>
      <c r="J14" s="194">
        <f t="shared" si="1"/>
        <v>346264</v>
      </c>
      <c r="K14" t="str">
        <f>_xlfn.XLOOKUP(B14,Cert_OC_Cliente!$B:$B,Cert_OC_Cliente!$L:$L)</f>
        <v>PTO 01</v>
      </c>
      <c r="L14" t="str">
        <f t="shared" si="2"/>
        <v>✓</v>
      </c>
    </row>
    <row r="15" spans="1:12" x14ac:dyDescent="0.35">
      <c r="A15" t="s">
        <v>3064</v>
      </c>
      <c r="B15" t="s">
        <v>3065</v>
      </c>
      <c r="C15" t="s">
        <v>3092</v>
      </c>
      <c r="D15" s="193">
        <v>45777</v>
      </c>
      <c r="E15" t="s">
        <v>3088</v>
      </c>
      <c r="F15">
        <v>0.1</v>
      </c>
      <c r="G15">
        <v>0.1</v>
      </c>
      <c r="H15">
        <f t="shared" si="0"/>
        <v>0.2</v>
      </c>
      <c r="I15" s="194">
        <v>6025104</v>
      </c>
      <c r="J15" s="194">
        <f t="shared" si="1"/>
        <v>602510.4</v>
      </c>
      <c r="K15" t="str">
        <f>_xlfn.XLOOKUP(B15,Cert_OC_Cliente!$B:$B,Cert_OC_Cliente!$L:$L)</f>
        <v>PTO 01</v>
      </c>
      <c r="L15" t="str">
        <f t="shared" si="2"/>
        <v>✓</v>
      </c>
    </row>
    <row r="16" spans="1:12" x14ac:dyDescent="0.35">
      <c r="A16" t="s">
        <v>3064</v>
      </c>
      <c r="B16" t="s">
        <v>3065</v>
      </c>
      <c r="C16" t="s">
        <v>3092</v>
      </c>
      <c r="D16" s="193">
        <v>45777</v>
      </c>
      <c r="E16" t="s">
        <v>3093</v>
      </c>
      <c r="F16">
        <v>0</v>
      </c>
      <c r="G16">
        <v>0.25</v>
      </c>
      <c r="H16">
        <f t="shared" si="0"/>
        <v>0.25</v>
      </c>
      <c r="I16" s="194">
        <v>7779484</v>
      </c>
      <c r="J16" s="194">
        <f t="shared" si="1"/>
        <v>1944871</v>
      </c>
      <c r="K16" t="str">
        <f>_xlfn.XLOOKUP(B16,Cert_OC_Cliente!$B:$B,Cert_OC_Cliente!$L:$L)</f>
        <v>PTO 01</v>
      </c>
      <c r="L16" t="str">
        <f t="shared" si="2"/>
        <v>✓</v>
      </c>
    </row>
    <row r="17" spans="1:12" x14ac:dyDescent="0.35">
      <c r="A17" t="s">
        <v>3064</v>
      </c>
      <c r="B17" t="s">
        <v>3065</v>
      </c>
      <c r="C17" t="s">
        <v>3092</v>
      </c>
      <c r="D17" s="193">
        <v>45777</v>
      </c>
      <c r="E17" t="s">
        <v>3089</v>
      </c>
      <c r="F17">
        <v>0.1</v>
      </c>
      <c r="G17">
        <v>0.1</v>
      </c>
      <c r="H17">
        <f t="shared" si="0"/>
        <v>0.2</v>
      </c>
      <c r="I17" s="194">
        <v>1508264</v>
      </c>
      <c r="J17" s="194">
        <f t="shared" si="1"/>
        <v>150826.4</v>
      </c>
      <c r="K17" t="str">
        <f>_xlfn.XLOOKUP(B17,Cert_OC_Cliente!$B:$B,Cert_OC_Cliente!$L:$L)</f>
        <v>PTO 01</v>
      </c>
      <c r="L17" t="str">
        <f t="shared" si="2"/>
        <v>✓</v>
      </c>
    </row>
    <row r="18" spans="1:12" x14ac:dyDescent="0.35">
      <c r="A18" t="s">
        <v>3064</v>
      </c>
      <c r="B18" t="s">
        <v>3065</v>
      </c>
      <c r="C18" t="s">
        <v>3092</v>
      </c>
      <c r="D18" s="193">
        <v>45777</v>
      </c>
      <c r="E18" t="s">
        <v>3094</v>
      </c>
      <c r="F18">
        <v>0</v>
      </c>
      <c r="G18">
        <v>0.05</v>
      </c>
      <c r="H18">
        <f t="shared" si="0"/>
        <v>0.05</v>
      </c>
      <c r="I18" s="194">
        <v>3618664</v>
      </c>
      <c r="J18" s="194">
        <f t="shared" si="1"/>
        <v>180933.2</v>
      </c>
      <c r="K18" t="str">
        <f>_xlfn.XLOOKUP(B18,Cert_OC_Cliente!$B:$B,Cert_OC_Cliente!$L:$L)</f>
        <v>PTO 01</v>
      </c>
      <c r="L18" t="str">
        <f t="shared" si="2"/>
        <v>✓</v>
      </c>
    </row>
    <row r="19" spans="1:12" x14ac:dyDescent="0.35">
      <c r="A19" t="s">
        <v>3064</v>
      </c>
      <c r="B19" t="s">
        <v>3065</v>
      </c>
      <c r="C19" t="s">
        <v>3092</v>
      </c>
      <c r="D19" s="193">
        <v>45777</v>
      </c>
      <c r="E19" t="s">
        <v>3095</v>
      </c>
      <c r="F19">
        <v>0</v>
      </c>
      <c r="G19">
        <v>0.05</v>
      </c>
      <c r="H19">
        <f t="shared" si="0"/>
        <v>0.05</v>
      </c>
      <c r="I19" s="194">
        <v>2513768</v>
      </c>
      <c r="J19" s="194">
        <f t="shared" si="1"/>
        <v>125688.40000000001</v>
      </c>
      <c r="K19" t="str">
        <f>_xlfn.XLOOKUP(B19,Cert_OC_Cliente!$B:$B,Cert_OC_Cliente!$L:$L)</f>
        <v>PTO 01</v>
      </c>
      <c r="L19" t="str">
        <f t="shared" si="2"/>
        <v>✓</v>
      </c>
    </row>
    <row r="20" spans="1:12" x14ac:dyDescent="0.35">
      <c r="A20" t="s">
        <v>3064</v>
      </c>
      <c r="B20" t="s">
        <v>3065</v>
      </c>
      <c r="C20" t="s">
        <v>3092</v>
      </c>
      <c r="D20" s="193">
        <v>45777</v>
      </c>
      <c r="E20" t="s">
        <v>3090</v>
      </c>
      <c r="F20">
        <v>0.1</v>
      </c>
      <c r="G20">
        <v>0.1</v>
      </c>
      <c r="H20">
        <f t="shared" si="0"/>
        <v>0.2</v>
      </c>
      <c r="I20" s="194">
        <v>38192848</v>
      </c>
      <c r="J20" s="194">
        <f t="shared" si="1"/>
        <v>3819284.8000000003</v>
      </c>
      <c r="K20" t="str">
        <f>_xlfn.XLOOKUP(B20,Cert_OC_Cliente!$B:$B,Cert_OC_Cliente!$L:$L)</f>
        <v>PTO 01</v>
      </c>
      <c r="L20" t="str">
        <f t="shared" si="2"/>
        <v>✓</v>
      </c>
    </row>
    <row r="21" spans="1:12" x14ac:dyDescent="0.35">
      <c r="A21" t="s">
        <v>3064</v>
      </c>
      <c r="B21" t="s">
        <v>3065</v>
      </c>
      <c r="C21" t="s">
        <v>3092</v>
      </c>
      <c r="D21" s="193">
        <v>45777</v>
      </c>
      <c r="E21" t="s">
        <v>3091</v>
      </c>
      <c r="F21">
        <v>0.1</v>
      </c>
      <c r="G21">
        <v>0.1</v>
      </c>
      <c r="H21">
        <f t="shared" si="0"/>
        <v>0.2</v>
      </c>
      <c r="I21" s="194">
        <v>5027536</v>
      </c>
      <c r="J21" s="194">
        <f t="shared" si="1"/>
        <v>502753.60000000003</v>
      </c>
      <c r="K21" t="str">
        <f>_xlfn.XLOOKUP(B21,Cert_OC_Cliente!$B:$B,Cert_OC_Cliente!$L:$L)</f>
        <v>PTO 01</v>
      </c>
      <c r="L21" t="str">
        <f t="shared" si="2"/>
        <v>✓</v>
      </c>
    </row>
    <row r="22" spans="1:12" x14ac:dyDescent="0.35">
      <c r="A22" t="s">
        <v>3064</v>
      </c>
      <c r="B22" t="s">
        <v>3065</v>
      </c>
      <c r="C22" t="s">
        <v>3092</v>
      </c>
      <c r="D22" s="193">
        <v>45777</v>
      </c>
      <c r="E22" t="s">
        <v>3096</v>
      </c>
      <c r="F22">
        <v>0</v>
      </c>
      <c r="G22">
        <v>0.15</v>
      </c>
      <c r="H22">
        <f t="shared" si="0"/>
        <v>0.15</v>
      </c>
      <c r="I22" s="194">
        <v>11006730</v>
      </c>
      <c r="J22" s="194">
        <f t="shared" si="1"/>
        <v>1651009.5</v>
      </c>
      <c r="K22" t="str">
        <f>_xlfn.XLOOKUP(B22,Cert_OC_Cliente!$B:$B,Cert_OC_Cliente!$L:$L)</f>
        <v>PTO 01</v>
      </c>
      <c r="L22" t="str">
        <f t="shared" si="2"/>
        <v>✓</v>
      </c>
    </row>
    <row r="23" spans="1:12" x14ac:dyDescent="0.35">
      <c r="A23" t="s">
        <v>3064</v>
      </c>
      <c r="B23" t="s">
        <v>3065</v>
      </c>
      <c r="C23" t="s">
        <v>3092</v>
      </c>
      <c r="D23" s="193">
        <v>45777</v>
      </c>
      <c r="E23" t="s">
        <v>3097</v>
      </c>
      <c r="F23">
        <v>0</v>
      </c>
      <c r="G23">
        <v>0.25</v>
      </c>
      <c r="H23">
        <f t="shared" si="0"/>
        <v>0.25</v>
      </c>
      <c r="I23" s="194">
        <v>21442464.1853997</v>
      </c>
      <c r="J23" s="194">
        <f t="shared" si="1"/>
        <v>5360616.046349925</v>
      </c>
      <c r="K23" t="str">
        <f>_xlfn.XLOOKUP(B23,Cert_OC_Cliente!$B:$B,Cert_OC_Cliente!$L:$L)</f>
        <v>PTO 01</v>
      </c>
      <c r="L23" t="str">
        <f t="shared" si="2"/>
        <v>✓</v>
      </c>
    </row>
    <row r="24" spans="1:12" x14ac:dyDescent="0.35">
      <c r="A24" t="s">
        <v>3064</v>
      </c>
      <c r="B24" t="s">
        <v>3065</v>
      </c>
      <c r="C24" t="s">
        <v>3092</v>
      </c>
      <c r="D24" s="193">
        <v>45777</v>
      </c>
      <c r="E24" t="s">
        <v>3098</v>
      </c>
      <c r="F24">
        <v>0</v>
      </c>
      <c r="G24">
        <v>0.25</v>
      </c>
      <c r="H24">
        <f t="shared" si="0"/>
        <v>0.25</v>
      </c>
      <c r="I24" s="194">
        <v>12255061.252717109</v>
      </c>
      <c r="J24" s="194">
        <f t="shared" si="1"/>
        <v>3063765.3131792773</v>
      </c>
      <c r="K24" t="str">
        <f>_xlfn.XLOOKUP(B24,Cert_OC_Cliente!$B:$B,Cert_OC_Cliente!$L:$L)</f>
        <v>PTO 01</v>
      </c>
      <c r="L24" t="str">
        <f t="shared" si="2"/>
        <v>✓</v>
      </c>
    </row>
    <row r="25" spans="1:12" x14ac:dyDescent="0.35">
      <c r="A25" t="s">
        <v>3064</v>
      </c>
      <c r="B25" t="s">
        <v>3065</v>
      </c>
      <c r="C25" t="s">
        <v>3092</v>
      </c>
      <c r="D25" s="193">
        <v>45777</v>
      </c>
      <c r="E25" t="s">
        <v>3099</v>
      </c>
      <c r="F25">
        <v>0</v>
      </c>
      <c r="G25">
        <v>0.15</v>
      </c>
      <c r="H25">
        <f t="shared" si="0"/>
        <v>0.15</v>
      </c>
      <c r="I25" s="194">
        <v>38388647.541647263</v>
      </c>
      <c r="J25" s="194">
        <f t="shared" si="1"/>
        <v>5758297.1312470892</v>
      </c>
      <c r="K25" t="str">
        <f>_xlfn.XLOOKUP(B25,Cert_OC_Cliente!$B:$B,Cert_OC_Cliente!$L:$L)</f>
        <v>PTO 01</v>
      </c>
      <c r="L25" t="str">
        <f t="shared" si="2"/>
        <v>✓</v>
      </c>
    </row>
    <row r="26" spans="1:12" x14ac:dyDescent="0.35">
      <c r="A26" t="s">
        <v>3064</v>
      </c>
      <c r="B26" t="s">
        <v>3065</v>
      </c>
      <c r="C26" t="s">
        <v>3092</v>
      </c>
      <c r="D26" s="193">
        <v>45777</v>
      </c>
      <c r="E26" t="s">
        <v>3100</v>
      </c>
      <c r="F26">
        <v>0</v>
      </c>
      <c r="G26">
        <v>0.15</v>
      </c>
      <c r="H26">
        <f t="shared" si="0"/>
        <v>0.15</v>
      </c>
      <c r="I26" s="194">
        <v>7472880</v>
      </c>
      <c r="J26" s="194">
        <f t="shared" si="1"/>
        <v>1120932</v>
      </c>
      <c r="K26" t="str">
        <f>_xlfn.XLOOKUP(B26,Cert_OC_Cliente!$B:$B,Cert_OC_Cliente!$L:$L)</f>
        <v>PTO 01</v>
      </c>
      <c r="L26" t="str">
        <f t="shared" si="2"/>
        <v>✓</v>
      </c>
    </row>
    <row r="27" spans="1:12" x14ac:dyDescent="0.35">
      <c r="A27" t="s">
        <v>3064</v>
      </c>
      <c r="B27" t="s">
        <v>3065</v>
      </c>
      <c r="C27" t="s">
        <v>3092</v>
      </c>
      <c r="D27" s="193">
        <v>45777</v>
      </c>
      <c r="E27" t="s">
        <v>3101</v>
      </c>
      <c r="F27">
        <v>0</v>
      </c>
      <c r="G27">
        <v>0.05</v>
      </c>
      <c r="H27">
        <f t="shared" si="0"/>
        <v>0.05</v>
      </c>
      <c r="I27" s="194">
        <v>2173038</v>
      </c>
      <c r="J27" s="194">
        <f t="shared" si="1"/>
        <v>108651.90000000001</v>
      </c>
      <c r="K27" t="str">
        <f>_xlfn.XLOOKUP(B27,Cert_OC_Cliente!$B:$B,Cert_OC_Cliente!$L:$L)</f>
        <v>PTO 01</v>
      </c>
      <c r="L27" t="str">
        <f t="shared" si="2"/>
        <v>✓</v>
      </c>
    </row>
    <row r="28" spans="1:12" x14ac:dyDescent="0.35">
      <c r="A28" t="s">
        <v>3064</v>
      </c>
      <c r="B28" t="s">
        <v>3065</v>
      </c>
      <c r="C28" t="s">
        <v>3092</v>
      </c>
      <c r="D28" s="193">
        <v>45777</v>
      </c>
      <c r="E28" t="s">
        <v>3102</v>
      </c>
      <c r="F28">
        <v>0</v>
      </c>
      <c r="G28">
        <v>0.25</v>
      </c>
      <c r="H28">
        <f t="shared" si="0"/>
        <v>0.25</v>
      </c>
      <c r="I28" s="194">
        <v>276516</v>
      </c>
      <c r="J28" s="194">
        <f t="shared" si="1"/>
        <v>69129</v>
      </c>
      <c r="K28" t="str">
        <f>_xlfn.XLOOKUP(B28,Cert_OC_Cliente!$B:$B,Cert_OC_Cliente!$L:$L)</f>
        <v>PTO 01</v>
      </c>
      <c r="L28" t="str">
        <f t="shared" si="2"/>
        <v>✓</v>
      </c>
    </row>
    <row r="29" spans="1:12" x14ac:dyDescent="0.35">
      <c r="A29" t="s">
        <v>3064</v>
      </c>
      <c r="B29" t="s">
        <v>3065</v>
      </c>
      <c r="C29" t="s">
        <v>3103</v>
      </c>
      <c r="D29" s="193">
        <v>45807</v>
      </c>
      <c r="E29" t="s">
        <v>3083</v>
      </c>
      <c r="F29">
        <v>0.5</v>
      </c>
      <c r="G29">
        <v>0.25</v>
      </c>
      <c r="H29">
        <f t="shared" si="0"/>
        <v>0.75</v>
      </c>
      <c r="I29" s="194">
        <v>1176084</v>
      </c>
      <c r="J29" s="194">
        <f t="shared" si="1"/>
        <v>294021</v>
      </c>
      <c r="K29" t="str">
        <f>_xlfn.XLOOKUP(B29,Cert_OC_Cliente!$B:$B,Cert_OC_Cliente!$L:$L)</f>
        <v>PTO 01</v>
      </c>
      <c r="L29" t="str">
        <f t="shared" si="2"/>
        <v>✓</v>
      </c>
    </row>
    <row r="30" spans="1:12" x14ac:dyDescent="0.35">
      <c r="A30" t="s">
        <v>3064</v>
      </c>
      <c r="B30" t="s">
        <v>3065</v>
      </c>
      <c r="C30" t="s">
        <v>3103</v>
      </c>
      <c r="D30" s="193">
        <v>45807</v>
      </c>
      <c r="E30" t="s">
        <v>3087</v>
      </c>
      <c r="F30">
        <v>0.35</v>
      </c>
      <c r="G30">
        <v>0.15</v>
      </c>
      <c r="H30">
        <f t="shared" si="0"/>
        <v>0.5</v>
      </c>
      <c r="I30" s="194">
        <v>41891940</v>
      </c>
      <c r="J30" s="194">
        <f t="shared" si="1"/>
        <v>6283791</v>
      </c>
      <c r="K30" t="str">
        <f>_xlfn.XLOOKUP(B30,Cert_OC_Cliente!$B:$B,Cert_OC_Cliente!$L:$L)</f>
        <v>PTO 01</v>
      </c>
      <c r="L30" t="str">
        <f t="shared" si="2"/>
        <v>✓</v>
      </c>
    </row>
    <row r="31" spans="1:12" x14ac:dyDescent="0.35">
      <c r="A31" t="s">
        <v>3064</v>
      </c>
      <c r="B31" t="s">
        <v>3065</v>
      </c>
      <c r="C31" t="s">
        <v>3103</v>
      </c>
      <c r="D31" s="193">
        <v>45807</v>
      </c>
      <c r="E31" t="s">
        <v>3088</v>
      </c>
      <c r="F31">
        <v>0.2</v>
      </c>
      <c r="G31">
        <v>0.1</v>
      </c>
      <c r="H31">
        <f t="shared" si="0"/>
        <v>0.30000000000000004</v>
      </c>
      <c r="I31" s="194">
        <v>6025104</v>
      </c>
      <c r="J31" s="194">
        <f t="shared" si="1"/>
        <v>602510.4</v>
      </c>
      <c r="K31" t="str">
        <f>_xlfn.XLOOKUP(B31,Cert_OC_Cliente!$B:$B,Cert_OC_Cliente!$L:$L)</f>
        <v>PTO 01</v>
      </c>
      <c r="L31" t="str">
        <f t="shared" si="2"/>
        <v>✓</v>
      </c>
    </row>
    <row r="32" spans="1:12" x14ac:dyDescent="0.35">
      <c r="A32" t="s">
        <v>3064</v>
      </c>
      <c r="B32" t="s">
        <v>3065</v>
      </c>
      <c r="C32" t="s">
        <v>3103</v>
      </c>
      <c r="D32" s="193">
        <v>45807</v>
      </c>
      <c r="E32" t="s">
        <v>3093</v>
      </c>
      <c r="F32">
        <v>0.25</v>
      </c>
      <c r="G32">
        <v>0.25</v>
      </c>
      <c r="H32">
        <f t="shared" si="0"/>
        <v>0.5</v>
      </c>
      <c r="I32" s="194">
        <v>7779484</v>
      </c>
      <c r="J32" s="194">
        <f t="shared" si="1"/>
        <v>1944871</v>
      </c>
      <c r="K32" t="str">
        <f>_xlfn.XLOOKUP(B32,Cert_OC_Cliente!$B:$B,Cert_OC_Cliente!$L:$L)</f>
        <v>PTO 01</v>
      </c>
      <c r="L32" t="str">
        <f t="shared" si="2"/>
        <v>✓</v>
      </c>
    </row>
    <row r="33" spans="1:12" x14ac:dyDescent="0.35">
      <c r="A33" t="s">
        <v>3064</v>
      </c>
      <c r="B33" t="s">
        <v>3065</v>
      </c>
      <c r="C33" t="s">
        <v>3103</v>
      </c>
      <c r="D33" s="193">
        <v>45807</v>
      </c>
      <c r="E33" t="s">
        <v>3089</v>
      </c>
      <c r="F33">
        <v>0.2</v>
      </c>
      <c r="G33">
        <v>0.1</v>
      </c>
      <c r="H33">
        <f t="shared" si="0"/>
        <v>0.30000000000000004</v>
      </c>
      <c r="I33" s="194">
        <v>1508264</v>
      </c>
      <c r="J33" s="194">
        <f t="shared" si="1"/>
        <v>150826.4</v>
      </c>
      <c r="K33" t="str">
        <f>_xlfn.XLOOKUP(B33,Cert_OC_Cliente!$B:$B,Cert_OC_Cliente!$L:$L)</f>
        <v>PTO 01</v>
      </c>
      <c r="L33" t="str">
        <f t="shared" si="2"/>
        <v>✓</v>
      </c>
    </row>
    <row r="34" spans="1:12" x14ac:dyDescent="0.35">
      <c r="A34" t="s">
        <v>3064</v>
      </c>
      <c r="B34" t="s">
        <v>3065</v>
      </c>
      <c r="C34" t="s">
        <v>3103</v>
      </c>
      <c r="D34" s="193">
        <v>45807</v>
      </c>
      <c r="E34" t="s">
        <v>3094</v>
      </c>
      <c r="F34">
        <v>0.05</v>
      </c>
      <c r="G34">
        <v>0.05</v>
      </c>
      <c r="H34">
        <f t="shared" si="0"/>
        <v>0.1</v>
      </c>
      <c r="I34" s="194">
        <v>3618664</v>
      </c>
      <c r="J34" s="194">
        <f t="shared" si="1"/>
        <v>180933.2</v>
      </c>
      <c r="K34" t="str">
        <f>_xlfn.XLOOKUP(B34,Cert_OC_Cliente!$B:$B,Cert_OC_Cliente!$L:$L)</f>
        <v>PTO 01</v>
      </c>
      <c r="L34" t="str">
        <f t="shared" si="2"/>
        <v>✓</v>
      </c>
    </row>
    <row r="35" spans="1:12" x14ac:dyDescent="0.35">
      <c r="A35" t="s">
        <v>3064</v>
      </c>
      <c r="B35" t="s">
        <v>3065</v>
      </c>
      <c r="C35" t="s">
        <v>3103</v>
      </c>
      <c r="D35" s="193">
        <v>45807</v>
      </c>
      <c r="E35" t="s">
        <v>3090</v>
      </c>
      <c r="F35">
        <v>0.2</v>
      </c>
      <c r="G35">
        <v>0.1</v>
      </c>
      <c r="H35">
        <f t="shared" si="0"/>
        <v>0.30000000000000004</v>
      </c>
      <c r="I35" s="194">
        <v>38192848</v>
      </c>
      <c r="J35" s="194">
        <f t="shared" si="1"/>
        <v>3819284.8000000003</v>
      </c>
      <c r="K35" t="str">
        <f>_xlfn.XLOOKUP(B35,Cert_OC_Cliente!$B:$B,Cert_OC_Cliente!$L:$L)</f>
        <v>PTO 01</v>
      </c>
      <c r="L35" t="str">
        <f t="shared" si="2"/>
        <v>✓</v>
      </c>
    </row>
    <row r="36" spans="1:12" x14ac:dyDescent="0.35">
      <c r="A36" t="s">
        <v>3064</v>
      </c>
      <c r="B36" t="s">
        <v>3065</v>
      </c>
      <c r="C36" t="s">
        <v>3103</v>
      </c>
      <c r="D36" s="193">
        <v>45807</v>
      </c>
      <c r="E36" t="s">
        <v>3091</v>
      </c>
      <c r="F36">
        <v>0.2</v>
      </c>
      <c r="G36">
        <v>0.1</v>
      </c>
      <c r="H36">
        <f t="shared" si="0"/>
        <v>0.30000000000000004</v>
      </c>
      <c r="I36" s="194">
        <v>5027536</v>
      </c>
      <c r="J36" s="194">
        <f t="shared" si="1"/>
        <v>502753.60000000003</v>
      </c>
      <c r="K36" t="str">
        <f>_xlfn.XLOOKUP(B36,Cert_OC_Cliente!$B:$B,Cert_OC_Cliente!$L:$L)</f>
        <v>PTO 01</v>
      </c>
      <c r="L36" t="str">
        <f t="shared" si="2"/>
        <v>✓</v>
      </c>
    </row>
    <row r="37" spans="1:12" x14ac:dyDescent="0.35">
      <c r="A37" t="s">
        <v>3064</v>
      </c>
      <c r="B37" t="s">
        <v>3065</v>
      </c>
      <c r="C37" t="s">
        <v>3103</v>
      </c>
      <c r="D37" s="193">
        <v>45807</v>
      </c>
      <c r="E37" t="s">
        <v>3096</v>
      </c>
      <c r="F37">
        <v>0.15</v>
      </c>
      <c r="G37">
        <v>0.1</v>
      </c>
      <c r="H37">
        <f t="shared" si="0"/>
        <v>0.25</v>
      </c>
      <c r="I37" s="194">
        <v>11006730</v>
      </c>
      <c r="J37" s="194">
        <f t="shared" si="1"/>
        <v>1100673</v>
      </c>
      <c r="K37" t="str">
        <f>_xlfn.XLOOKUP(B37,Cert_OC_Cliente!$B:$B,Cert_OC_Cliente!$L:$L)</f>
        <v>PTO 01</v>
      </c>
      <c r="L37" t="str">
        <f t="shared" si="2"/>
        <v>✓</v>
      </c>
    </row>
    <row r="38" spans="1:12" x14ac:dyDescent="0.35">
      <c r="A38" t="s">
        <v>3064</v>
      </c>
      <c r="B38" t="s">
        <v>3065</v>
      </c>
      <c r="C38" t="s">
        <v>3103</v>
      </c>
      <c r="D38" s="193">
        <v>45807</v>
      </c>
      <c r="E38" t="s">
        <v>3097</v>
      </c>
      <c r="F38">
        <v>0.25</v>
      </c>
      <c r="G38">
        <v>0.2</v>
      </c>
      <c r="H38">
        <f t="shared" si="0"/>
        <v>0.45</v>
      </c>
      <c r="I38" s="194">
        <v>21442464.1853997</v>
      </c>
      <c r="J38" s="194">
        <f t="shared" si="1"/>
        <v>4288492.8370799404</v>
      </c>
      <c r="K38" t="str">
        <f>_xlfn.XLOOKUP(B38,Cert_OC_Cliente!$B:$B,Cert_OC_Cliente!$L:$L)</f>
        <v>PTO 01</v>
      </c>
      <c r="L38" t="str">
        <f t="shared" si="2"/>
        <v>✓</v>
      </c>
    </row>
    <row r="39" spans="1:12" x14ac:dyDescent="0.35">
      <c r="A39" t="s">
        <v>3064</v>
      </c>
      <c r="B39" t="s">
        <v>3065</v>
      </c>
      <c r="C39" t="s">
        <v>3103</v>
      </c>
      <c r="D39" s="193">
        <v>45807</v>
      </c>
      <c r="E39" t="s">
        <v>3098</v>
      </c>
      <c r="F39">
        <v>0.25</v>
      </c>
      <c r="G39">
        <v>0.2</v>
      </c>
      <c r="H39">
        <f t="shared" si="0"/>
        <v>0.45</v>
      </c>
      <c r="I39" s="194">
        <v>12255061.252717109</v>
      </c>
      <c r="J39" s="194">
        <f t="shared" si="1"/>
        <v>2451012.2505434221</v>
      </c>
      <c r="K39" t="str">
        <f>_xlfn.XLOOKUP(B39,Cert_OC_Cliente!$B:$B,Cert_OC_Cliente!$L:$L)</f>
        <v>PTO 01</v>
      </c>
      <c r="L39" t="str">
        <f t="shared" si="2"/>
        <v>✓</v>
      </c>
    </row>
    <row r="40" spans="1:12" x14ac:dyDescent="0.35">
      <c r="A40" t="s">
        <v>3064</v>
      </c>
      <c r="B40" t="s">
        <v>3065</v>
      </c>
      <c r="C40" t="s">
        <v>3103</v>
      </c>
      <c r="D40" s="193">
        <v>45807</v>
      </c>
      <c r="E40" t="s">
        <v>3099</v>
      </c>
      <c r="F40">
        <v>0.15</v>
      </c>
      <c r="G40">
        <v>0.15</v>
      </c>
      <c r="H40">
        <f t="shared" si="0"/>
        <v>0.3</v>
      </c>
      <c r="I40" s="194">
        <v>38388647.541647263</v>
      </c>
      <c r="J40" s="194">
        <f t="shared" si="1"/>
        <v>5758297.1312470892</v>
      </c>
      <c r="K40" t="str">
        <f>_xlfn.XLOOKUP(B40,Cert_OC_Cliente!$B:$B,Cert_OC_Cliente!$L:$L)</f>
        <v>PTO 01</v>
      </c>
      <c r="L40" t="str">
        <f t="shared" si="2"/>
        <v>✓</v>
      </c>
    </row>
    <row r="41" spans="1:12" x14ac:dyDescent="0.35">
      <c r="A41" t="s">
        <v>3064</v>
      </c>
      <c r="B41" t="s">
        <v>3065</v>
      </c>
      <c r="C41" t="s">
        <v>3103</v>
      </c>
      <c r="D41" s="193">
        <v>45807</v>
      </c>
      <c r="E41" t="s">
        <v>3100</v>
      </c>
      <c r="F41">
        <v>0.15</v>
      </c>
      <c r="G41">
        <v>0.3</v>
      </c>
      <c r="H41">
        <f t="shared" si="0"/>
        <v>0.44999999999999996</v>
      </c>
      <c r="I41" s="194">
        <v>7472880</v>
      </c>
      <c r="J41" s="194">
        <f t="shared" si="1"/>
        <v>2241864</v>
      </c>
      <c r="K41" t="str">
        <f>_xlfn.XLOOKUP(B41,Cert_OC_Cliente!$B:$B,Cert_OC_Cliente!$L:$L)</f>
        <v>PTO 01</v>
      </c>
      <c r="L41" t="str">
        <f t="shared" si="2"/>
        <v>✓</v>
      </c>
    </row>
    <row r="42" spans="1:12" x14ac:dyDescent="0.35">
      <c r="A42" t="s">
        <v>3064</v>
      </c>
      <c r="B42" t="s">
        <v>3065</v>
      </c>
      <c r="C42" t="s">
        <v>3103</v>
      </c>
      <c r="D42" s="193">
        <v>45807</v>
      </c>
      <c r="E42" t="s">
        <v>3101</v>
      </c>
      <c r="F42">
        <v>5.0000000000000017E-2</v>
      </c>
      <c r="G42">
        <v>0.1</v>
      </c>
      <c r="H42">
        <f t="shared" si="0"/>
        <v>0.15000000000000002</v>
      </c>
      <c r="I42" s="194">
        <v>2173038</v>
      </c>
      <c r="J42" s="194">
        <f t="shared" si="1"/>
        <v>217303.80000000002</v>
      </c>
      <c r="K42" t="str">
        <f>_xlfn.XLOOKUP(B42,Cert_OC_Cliente!$B:$B,Cert_OC_Cliente!$L:$L)</f>
        <v>PTO 01</v>
      </c>
      <c r="L42" t="str">
        <f t="shared" si="2"/>
        <v>✓</v>
      </c>
    </row>
    <row r="43" spans="1:12" x14ac:dyDescent="0.35">
      <c r="A43" t="s">
        <v>3064</v>
      </c>
      <c r="B43" t="s">
        <v>3065</v>
      </c>
      <c r="C43" t="s">
        <v>3104</v>
      </c>
      <c r="D43" s="193">
        <v>45835</v>
      </c>
      <c r="E43" t="s">
        <v>3083</v>
      </c>
      <c r="F43">
        <v>0.75</v>
      </c>
      <c r="G43">
        <v>0.25</v>
      </c>
      <c r="H43">
        <f t="shared" si="0"/>
        <v>1</v>
      </c>
      <c r="I43" s="194">
        <v>1176084</v>
      </c>
      <c r="J43" s="194">
        <f t="shared" si="1"/>
        <v>294021</v>
      </c>
      <c r="K43" t="str">
        <f>_xlfn.XLOOKUP(B43,Cert_OC_Cliente!$B:$B,Cert_OC_Cliente!$L:$L)</f>
        <v>PTO 01</v>
      </c>
      <c r="L43" t="str">
        <f t="shared" si="2"/>
        <v>✓</v>
      </c>
    </row>
    <row r="44" spans="1:12" x14ac:dyDescent="0.35">
      <c r="A44" t="s">
        <v>3064</v>
      </c>
      <c r="B44" t="s">
        <v>3065</v>
      </c>
      <c r="C44" t="s">
        <v>3104</v>
      </c>
      <c r="D44" s="193">
        <v>45835</v>
      </c>
      <c r="E44" t="s">
        <v>3087</v>
      </c>
      <c r="F44">
        <v>0.49999999999999989</v>
      </c>
      <c r="G44">
        <v>0.2</v>
      </c>
      <c r="H44">
        <f t="shared" si="0"/>
        <v>0.7</v>
      </c>
      <c r="I44" s="194">
        <v>41891940</v>
      </c>
      <c r="J44" s="194">
        <f t="shared" si="1"/>
        <v>8378388</v>
      </c>
      <c r="K44" t="str">
        <f>_xlfn.XLOOKUP(B44,Cert_OC_Cliente!$B:$B,Cert_OC_Cliente!$L:$L)</f>
        <v>PTO 01</v>
      </c>
      <c r="L44" t="str">
        <f t="shared" si="2"/>
        <v>✓</v>
      </c>
    </row>
    <row r="45" spans="1:12" x14ac:dyDescent="0.35">
      <c r="A45" t="s">
        <v>3064</v>
      </c>
      <c r="B45" t="s">
        <v>3065</v>
      </c>
      <c r="C45" t="s">
        <v>3104</v>
      </c>
      <c r="D45" s="193">
        <v>45835</v>
      </c>
      <c r="E45" t="s">
        <v>3088</v>
      </c>
      <c r="F45">
        <v>0.3</v>
      </c>
      <c r="G45">
        <v>0.15</v>
      </c>
      <c r="H45">
        <f t="shared" si="0"/>
        <v>0.44999999999999996</v>
      </c>
      <c r="I45" s="194">
        <v>6025104</v>
      </c>
      <c r="J45" s="194">
        <f t="shared" si="1"/>
        <v>903765.6</v>
      </c>
      <c r="K45" t="str">
        <f>_xlfn.XLOOKUP(B45,Cert_OC_Cliente!$B:$B,Cert_OC_Cliente!$L:$L)</f>
        <v>PTO 01</v>
      </c>
      <c r="L45" t="str">
        <f t="shared" si="2"/>
        <v>✓</v>
      </c>
    </row>
    <row r="46" spans="1:12" x14ac:dyDescent="0.35">
      <c r="A46" t="s">
        <v>3064</v>
      </c>
      <c r="B46" t="s">
        <v>3065</v>
      </c>
      <c r="C46" t="s">
        <v>3104</v>
      </c>
      <c r="D46" s="193">
        <v>45835</v>
      </c>
      <c r="E46" t="s">
        <v>3093</v>
      </c>
      <c r="F46">
        <v>0.5</v>
      </c>
      <c r="G46">
        <v>0.25</v>
      </c>
      <c r="H46">
        <f t="shared" si="0"/>
        <v>0.75</v>
      </c>
      <c r="I46" s="194">
        <v>7779484</v>
      </c>
      <c r="J46" s="194">
        <f t="shared" si="1"/>
        <v>1944871</v>
      </c>
      <c r="K46" t="str">
        <f>_xlfn.XLOOKUP(B46,Cert_OC_Cliente!$B:$B,Cert_OC_Cliente!$L:$L)</f>
        <v>PTO 01</v>
      </c>
      <c r="L46" t="str">
        <f t="shared" si="2"/>
        <v>✓</v>
      </c>
    </row>
    <row r="47" spans="1:12" x14ac:dyDescent="0.35">
      <c r="A47" t="s">
        <v>3064</v>
      </c>
      <c r="B47" t="s">
        <v>3065</v>
      </c>
      <c r="C47" t="s">
        <v>3104</v>
      </c>
      <c r="D47" s="193">
        <v>45835</v>
      </c>
      <c r="E47" t="s">
        <v>3089</v>
      </c>
      <c r="F47">
        <v>0.3</v>
      </c>
      <c r="G47">
        <v>0.15</v>
      </c>
      <c r="H47">
        <f t="shared" si="0"/>
        <v>0.44999999999999996</v>
      </c>
      <c r="I47" s="194">
        <v>1508264</v>
      </c>
      <c r="J47" s="194">
        <f t="shared" si="1"/>
        <v>226239.6</v>
      </c>
      <c r="K47" t="str">
        <f>_xlfn.XLOOKUP(B47,Cert_OC_Cliente!$B:$B,Cert_OC_Cliente!$L:$L)</f>
        <v>PTO 01</v>
      </c>
      <c r="L47" t="str">
        <f t="shared" si="2"/>
        <v>✓</v>
      </c>
    </row>
    <row r="48" spans="1:12" x14ac:dyDescent="0.35">
      <c r="A48" t="s">
        <v>3064</v>
      </c>
      <c r="B48" t="s">
        <v>3065</v>
      </c>
      <c r="C48" t="s">
        <v>3104</v>
      </c>
      <c r="D48" s="193">
        <v>45835</v>
      </c>
      <c r="E48" t="s">
        <v>3094</v>
      </c>
      <c r="F48">
        <v>0.1</v>
      </c>
      <c r="G48">
        <v>0.1</v>
      </c>
      <c r="H48">
        <f t="shared" si="0"/>
        <v>0.2</v>
      </c>
      <c r="I48" s="194">
        <v>3618664</v>
      </c>
      <c r="J48" s="194">
        <f t="shared" si="1"/>
        <v>361866.4</v>
      </c>
      <c r="K48" t="str">
        <f>_xlfn.XLOOKUP(B48,Cert_OC_Cliente!$B:$B,Cert_OC_Cliente!$L:$L)</f>
        <v>PTO 01</v>
      </c>
      <c r="L48" t="str">
        <f t="shared" si="2"/>
        <v>✓</v>
      </c>
    </row>
    <row r="49" spans="1:12" x14ac:dyDescent="0.35">
      <c r="A49" t="s">
        <v>3064</v>
      </c>
      <c r="B49" t="s">
        <v>3065</v>
      </c>
      <c r="C49" t="s">
        <v>3104</v>
      </c>
      <c r="D49" s="193">
        <v>45835</v>
      </c>
      <c r="E49" t="s">
        <v>3090</v>
      </c>
      <c r="F49">
        <v>0.3</v>
      </c>
      <c r="G49">
        <v>0.15</v>
      </c>
      <c r="H49">
        <f t="shared" si="0"/>
        <v>0.44999999999999996</v>
      </c>
      <c r="I49" s="194">
        <v>38192848</v>
      </c>
      <c r="J49" s="194">
        <f t="shared" si="1"/>
        <v>5728927.2000000002</v>
      </c>
      <c r="K49" t="str">
        <f>_xlfn.XLOOKUP(B49,Cert_OC_Cliente!$B:$B,Cert_OC_Cliente!$L:$L)</f>
        <v>PTO 01</v>
      </c>
      <c r="L49" t="str">
        <f t="shared" si="2"/>
        <v>✓</v>
      </c>
    </row>
    <row r="50" spans="1:12" x14ac:dyDescent="0.35">
      <c r="A50" t="s">
        <v>3064</v>
      </c>
      <c r="B50" t="s">
        <v>3065</v>
      </c>
      <c r="C50" t="s">
        <v>3104</v>
      </c>
      <c r="D50" s="193">
        <v>45835</v>
      </c>
      <c r="E50" t="s">
        <v>3091</v>
      </c>
      <c r="F50">
        <v>0.3</v>
      </c>
      <c r="G50">
        <v>0.15</v>
      </c>
      <c r="H50">
        <f t="shared" si="0"/>
        <v>0.44999999999999996</v>
      </c>
      <c r="I50" s="194">
        <v>5027536</v>
      </c>
      <c r="J50" s="194">
        <f t="shared" si="1"/>
        <v>754130.4</v>
      </c>
      <c r="K50" t="str">
        <f>_xlfn.XLOOKUP(B50,Cert_OC_Cliente!$B:$B,Cert_OC_Cliente!$L:$L)</f>
        <v>PTO 01</v>
      </c>
      <c r="L50" t="str">
        <f t="shared" si="2"/>
        <v>✓</v>
      </c>
    </row>
    <row r="51" spans="1:12" x14ac:dyDescent="0.35">
      <c r="A51" t="s">
        <v>3064</v>
      </c>
      <c r="B51" t="s">
        <v>3065</v>
      </c>
      <c r="C51" t="s">
        <v>3104</v>
      </c>
      <c r="D51" s="193">
        <v>45835</v>
      </c>
      <c r="E51" t="s">
        <v>3096</v>
      </c>
      <c r="F51">
        <v>0.25</v>
      </c>
      <c r="G51">
        <v>0.35</v>
      </c>
      <c r="H51">
        <f t="shared" si="0"/>
        <v>0.6</v>
      </c>
      <c r="I51" s="194">
        <v>11006730</v>
      </c>
      <c r="J51" s="194">
        <f t="shared" si="1"/>
        <v>3852355.4999999995</v>
      </c>
      <c r="K51" t="str">
        <f>_xlfn.XLOOKUP(B51,Cert_OC_Cliente!$B:$B,Cert_OC_Cliente!$L:$L)</f>
        <v>PTO 01</v>
      </c>
      <c r="L51" t="str">
        <f t="shared" si="2"/>
        <v>✓</v>
      </c>
    </row>
    <row r="52" spans="1:12" x14ac:dyDescent="0.35">
      <c r="A52" t="s">
        <v>3064</v>
      </c>
      <c r="B52" t="s">
        <v>3065</v>
      </c>
      <c r="C52" t="s">
        <v>3104</v>
      </c>
      <c r="D52" s="193">
        <v>45835</v>
      </c>
      <c r="E52" t="s">
        <v>3097</v>
      </c>
      <c r="F52">
        <v>0.45</v>
      </c>
      <c r="G52">
        <v>0.15</v>
      </c>
      <c r="H52">
        <f t="shared" si="0"/>
        <v>0.6</v>
      </c>
      <c r="I52" s="194">
        <v>21442464.1853997</v>
      </c>
      <c r="J52" s="194">
        <f t="shared" si="1"/>
        <v>3216369.6278099548</v>
      </c>
      <c r="K52" t="str">
        <f>_xlfn.XLOOKUP(B52,Cert_OC_Cliente!$B:$B,Cert_OC_Cliente!$L:$L)</f>
        <v>PTO 01</v>
      </c>
      <c r="L52" t="str">
        <f t="shared" si="2"/>
        <v>✓</v>
      </c>
    </row>
    <row r="53" spans="1:12" x14ac:dyDescent="0.35">
      <c r="A53" t="s">
        <v>3064</v>
      </c>
      <c r="B53" t="s">
        <v>3065</v>
      </c>
      <c r="C53" t="s">
        <v>3104</v>
      </c>
      <c r="D53" s="193">
        <v>45835</v>
      </c>
      <c r="E53" t="s">
        <v>3098</v>
      </c>
      <c r="F53">
        <v>0.45</v>
      </c>
      <c r="G53">
        <v>0.15</v>
      </c>
      <c r="H53">
        <f t="shared" si="0"/>
        <v>0.6</v>
      </c>
      <c r="I53" s="194">
        <v>12255061.252717109</v>
      </c>
      <c r="J53" s="194">
        <f t="shared" si="1"/>
        <v>1838259.1879075663</v>
      </c>
      <c r="K53" t="str">
        <f>_xlfn.XLOOKUP(B53,Cert_OC_Cliente!$B:$B,Cert_OC_Cliente!$L:$L)</f>
        <v>PTO 01</v>
      </c>
      <c r="L53" t="str">
        <f t="shared" si="2"/>
        <v>✓</v>
      </c>
    </row>
    <row r="54" spans="1:12" x14ac:dyDescent="0.35">
      <c r="A54" t="s">
        <v>3064</v>
      </c>
      <c r="B54" t="s">
        <v>3065</v>
      </c>
      <c r="C54" t="s">
        <v>3104</v>
      </c>
      <c r="D54" s="193">
        <v>45835</v>
      </c>
      <c r="E54" t="s">
        <v>3099</v>
      </c>
      <c r="F54">
        <v>0.3</v>
      </c>
      <c r="G54">
        <v>0.3</v>
      </c>
      <c r="H54">
        <f t="shared" si="0"/>
        <v>0.6</v>
      </c>
      <c r="I54" s="194">
        <v>38388647.541647263</v>
      </c>
      <c r="J54" s="194">
        <f t="shared" si="1"/>
        <v>11516594.262494178</v>
      </c>
      <c r="K54" t="str">
        <f>_xlfn.XLOOKUP(B54,Cert_OC_Cliente!$B:$B,Cert_OC_Cliente!$L:$L)</f>
        <v>PTO 01</v>
      </c>
      <c r="L54" t="str">
        <f t="shared" si="2"/>
        <v>✓</v>
      </c>
    </row>
    <row r="55" spans="1:12" x14ac:dyDescent="0.35">
      <c r="A55" t="s">
        <v>3064</v>
      </c>
      <c r="B55" t="s">
        <v>3065</v>
      </c>
      <c r="C55" t="s">
        <v>3104</v>
      </c>
      <c r="D55" s="193">
        <v>45835</v>
      </c>
      <c r="E55" t="s">
        <v>3105</v>
      </c>
      <c r="F55">
        <v>0</v>
      </c>
      <c r="G55">
        <v>0.05</v>
      </c>
      <c r="H55">
        <f t="shared" si="0"/>
        <v>0.05</v>
      </c>
      <c r="I55" s="194">
        <v>15009724.92977979</v>
      </c>
      <c r="J55" s="194">
        <f t="shared" si="1"/>
        <v>750486.24648898956</v>
      </c>
      <c r="K55" t="str">
        <f>_xlfn.XLOOKUP(B55,Cert_OC_Cliente!$B:$B,Cert_OC_Cliente!$L:$L)</f>
        <v>PTO 01</v>
      </c>
      <c r="L55" t="str">
        <f t="shared" si="2"/>
        <v>✓</v>
      </c>
    </row>
    <row r="56" spans="1:12" x14ac:dyDescent="0.35">
      <c r="A56" t="s">
        <v>3064</v>
      </c>
      <c r="B56" t="s">
        <v>3065</v>
      </c>
      <c r="C56" t="s">
        <v>3104</v>
      </c>
      <c r="D56" s="193">
        <v>45835</v>
      </c>
      <c r="E56" t="s">
        <v>3100</v>
      </c>
      <c r="F56">
        <v>0.45</v>
      </c>
      <c r="G56">
        <v>0.25</v>
      </c>
      <c r="H56">
        <f t="shared" si="0"/>
        <v>0.7</v>
      </c>
      <c r="I56" s="194">
        <v>7472880</v>
      </c>
      <c r="J56" s="194">
        <f t="shared" si="1"/>
        <v>1868220</v>
      </c>
      <c r="K56" t="str">
        <f>_xlfn.XLOOKUP(B56,Cert_OC_Cliente!$B:$B,Cert_OC_Cliente!$L:$L)</f>
        <v>PTO 01</v>
      </c>
      <c r="L56" t="str">
        <f t="shared" si="2"/>
        <v>✓</v>
      </c>
    </row>
    <row r="57" spans="1:12" x14ac:dyDescent="0.35">
      <c r="A57" t="s">
        <v>3064</v>
      </c>
      <c r="B57" t="s">
        <v>3065</v>
      </c>
      <c r="C57" t="s">
        <v>3106</v>
      </c>
      <c r="D57" s="193">
        <v>45861</v>
      </c>
      <c r="E57" t="s">
        <v>3082</v>
      </c>
      <c r="F57">
        <v>0.5</v>
      </c>
      <c r="G57">
        <v>0.3</v>
      </c>
      <c r="H57">
        <f t="shared" si="0"/>
        <v>0.8</v>
      </c>
      <c r="I57" s="194">
        <v>7548771</v>
      </c>
      <c r="J57" s="194">
        <f t="shared" si="1"/>
        <v>2264631.2999999998</v>
      </c>
      <c r="K57" t="str">
        <f>_xlfn.XLOOKUP(B57,Cert_OC_Cliente!$B:$B,Cert_OC_Cliente!$L:$L)</f>
        <v>PTO 01</v>
      </c>
      <c r="L57" t="str">
        <f t="shared" si="2"/>
        <v>✓</v>
      </c>
    </row>
    <row r="58" spans="1:12" x14ac:dyDescent="0.35">
      <c r="A58" t="s">
        <v>3064</v>
      </c>
      <c r="B58" t="s">
        <v>3065</v>
      </c>
      <c r="C58" t="s">
        <v>3106</v>
      </c>
      <c r="D58" s="193">
        <v>45861</v>
      </c>
      <c r="E58" t="s">
        <v>3087</v>
      </c>
      <c r="F58">
        <v>0.7</v>
      </c>
      <c r="G58">
        <v>0.2</v>
      </c>
      <c r="H58">
        <f t="shared" si="0"/>
        <v>0.89999999999999991</v>
      </c>
      <c r="I58" s="194">
        <v>41891940</v>
      </c>
      <c r="J58" s="194">
        <f t="shared" si="1"/>
        <v>8378388</v>
      </c>
      <c r="K58" t="str">
        <f>_xlfn.XLOOKUP(B58,Cert_OC_Cliente!$B:$B,Cert_OC_Cliente!$L:$L)</f>
        <v>PTO 01</v>
      </c>
      <c r="L58" t="str">
        <f t="shared" si="2"/>
        <v>✓</v>
      </c>
    </row>
    <row r="59" spans="1:12" x14ac:dyDescent="0.35">
      <c r="A59" t="s">
        <v>3064</v>
      </c>
      <c r="B59" t="s">
        <v>3065</v>
      </c>
      <c r="C59" t="s">
        <v>3106</v>
      </c>
      <c r="D59" s="193">
        <v>45861</v>
      </c>
      <c r="E59" t="s">
        <v>3088</v>
      </c>
      <c r="F59">
        <v>0.45000000000000012</v>
      </c>
      <c r="G59">
        <v>0.12</v>
      </c>
      <c r="H59">
        <f t="shared" si="0"/>
        <v>0.57000000000000006</v>
      </c>
      <c r="I59" s="194">
        <v>6025104</v>
      </c>
      <c r="J59" s="194">
        <f t="shared" si="1"/>
        <v>723012.48</v>
      </c>
      <c r="K59" t="str">
        <f>_xlfn.XLOOKUP(B59,Cert_OC_Cliente!$B:$B,Cert_OC_Cliente!$L:$L)</f>
        <v>PTO 01</v>
      </c>
      <c r="L59" t="str">
        <f t="shared" si="2"/>
        <v>✓</v>
      </c>
    </row>
    <row r="60" spans="1:12" x14ac:dyDescent="0.35">
      <c r="A60" t="s">
        <v>3064</v>
      </c>
      <c r="B60" t="s">
        <v>3065</v>
      </c>
      <c r="C60" t="s">
        <v>3106</v>
      </c>
      <c r="D60" s="193">
        <v>45861</v>
      </c>
      <c r="E60" t="s">
        <v>3093</v>
      </c>
      <c r="F60">
        <v>0.75</v>
      </c>
      <c r="G60">
        <v>0.15</v>
      </c>
      <c r="H60">
        <f t="shared" si="0"/>
        <v>0.9</v>
      </c>
      <c r="I60" s="194">
        <v>7779484</v>
      </c>
      <c r="J60" s="194">
        <f t="shared" si="1"/>
        <v>1166922.5999999999</v>
      </c>
      <c r="K60" t="str">
        <f>_xlfn.XLOOKUP(B60,Cert_OC_Cliente!$B:$B,Cert_OC_Cliente!$L:$L)</f>
        <v>PTO 01</v>
      </c>
      <c r="L60" t="str">
        <f t="shared" si="2"/>
        <v>✓</v>
      </c>
    </row>
    <row r="61" spans="1:12" x14ac:dyDescent="0.35">
      <c r="A61" t="s">
        <v>3064</v>
      </c>
      <c r="B61" t="s">
        <v>3065</v>
      </c>
      <c r="C61" t="s">
        <v>3106</v>
      </c>
      <c r="D61" s="193">
        <v>45861</v>
      </c>
      <c r="E61" t="s">
        <v>3089</v>
      </c>
      <c r="F61">
        <v>0.45000000000000012</v>
      </c>
      <c r="G61">
        <v>0.12</v>
      </c>
      <c r="H61">
        <f t="shared" si="0"/>
        <v>0.57000000000000006</v>
      </c>
      <c r="I61" s="194">
        <v>1508264</v>
      </c>
      <c r="J61" s="194">
        <f t="shared" si="1"/>
        <v>180991.68</v>
      </c>
      <c r="K61" t="str">
        <f>_xlfn.XLOOKUP(B61,Cert_OC_Cliente!$B:$B,Cert_OC_Cliente!$L:$L)</f>
        <v>PTO 01</v>
      </c>
      <c r="L61" t="str">
        <f t="shared" si="2"/>
        <v>✓</v>
      </c>
    </row>
    <row r="62" spans="1:12" x14ac:dyDescent="0.35">
      <c r="A62" t="s">
        <v>3064</v>
      </c>
      <c r="B62" t="s">
        <v>3065</v>
      </c>
      <c r="C62" t="s">
        <v>3106</v>
      </c>
      <c r="D62" s="193">
        <v>45861</v>
      </c>
      <c r="E62" t="s">
        <v>3094</v>
      </c>
      <c r="F62">
        <v>0.2</v>
      </c>
      <c r="G62">
        <v>0.05</v>
      </c>
      <c r="H62">
        <f t="shared" si="0"/>
        <v>0.25</v>
      </c>
      <c r="I62" s="194">
        <v>3618664</v>
      </c>
      <c r="J62" s="194">
        <f t="shared" si="1"/>
        <v>180933.2</v>
      </c>
      <c r="K62" t="str">
        <f>_xlfn.XLOOKUP(B62,Cert_OC_Cliente!$B:$B,Cert_OC_Cliente!$L:$L)</f>
        <v>PTO 01</v>
      </c>
      <c r="L62" t="str">
        <f t="shared" si="2"/>
        <v>✓</v>
      </c>
    </row>
    <row r="63" spans="1:12" x14ac:dyDescent="0.35">
      <c r="A63" t="s">
        <v>3064</v>
      </c>
      <c r="B63" t="s">
        <v>3065</v>
      </c>
      <c r="C63" t="s">
        <v>3106</v>
      </c>
      <c r="D63" s="193">
        <v>45861</v>
      </c>
      <c r="E63" t="s">
        <v>3095</v>
      </c>
      <c r="F63">
        <v>5.0000000000000017E-2</v>
      </c>
      <c r="G63">
        <v>0.1</v>
      </c>
      <c r="H63">
        <f t="shared" si="0"/>
        <v>0.15000000000000002</v>
      </c>
      <c r="I63" s="194">
        <v>2513768</v>
      </c>
      <c r="J63" s="194">
        <f t="shared" si="1"/>
        <v>251376.80000000002</v>
      </c>
      <c r="K63" t="str">
        <f>_xlfn.XLOOKUP(B63,Cert_OC_Cliente!$B:$B,Cert_OC_Cliente!$L:$L)</f>
        <v>PTO 01</v>
      </c>
      <c r="L63" t="str">
        <f t="shared" si="2"/>
        <v>✓</v>
      </c>
    </row>
    <row r="64" spans="1:12" x14ac:dyDescent="0.35">
      <c r="A64" t="s">
        <v>3064</v>
      </c>
      <c r="B64" t="s">
        <v>3065</v>
      </c>
      <c r="C64" t="s">
        <v>3106</v>
      </c>
      <c r="D64" s="193">
        <v>45861</v>
      </c>
      <c r="E64" t="s">
        <v>3090</v>
      </c>
      <c r="F64">
        <v>0.45000000000000012</v>
      </c>
      <c r="G64">
        <v>0.12</v>
      </c>
      <c r="H64">
        <f t="shared" si="0"/>
        <v>0.57000000000000006</v>
      </c>
      <c r="I64" s="194">
        <v>38192848</v>
      </c>
      <c r="J64" s="194">
        <f t="shared" si="1"/>
        <v>4583141.76</v>
      </c>
      <c r="K64" t="str">
        <f>_xlfn.XLOOKUP(B64,Cert_OC_Cliente!$B:$B,Cert_OC_Cliente!$L:$L)</f>
        <v>PTO 01</v>
      </c>
      <c r="L64" t="str">
        <f t="shared" si="2"/>
        <v>✓</v>
      </c>
    </row>
    <row r="65" spans="1:12" x14ac:dyDescent="0.35">
      <c r="A65" t="s">
        <v>3064</v>
      </c>
      <c r="B65" t="s">
        <v>3065</v>
      </c>
      <c r="C65" t="s">
        <v>3106</v>
      </c>
      <c r="D65" s="193">
        <v>45861</v>
      </c>
      <c r="E65" t="s">
        <v>3091</v>
      </c>
      <c r="F65">
        <v>0.45000000000000012</v>
      </c>
      <c r="G65">
        <v>0.12</v>
      </c>
      <c r="H65">
        <f t="shared" si="0"/>
        <v>0.57000000000000006</v>
      </c>
      <c r="I65" s="194">
        <v>5027536</v>
      </c>
      <c r="J65" s="194">
        <f t="shared" si="1"/>
        <v>603304.31999999995</v>
      </c>
      <c r="K65" t="str">
        <f>_xlfn.XLOOKUP(B65,Cert_OC_Cliente!$B:$B,Cert_OC_Cliente!$L:$L)</f>
        <v>PTO 01</v>
      </c>
      <c r="L65" t="str">
        <f t="shared" si="2"/>
        <v>✓</v>
      </c>
    </row>
    <row r="66" spans="1:12" x14ac:dyDescent="0.35">
      <c r="A66" t="s">
        <v>3064</v>
      </c>
      <c r="B66" t="s">
        <v>3065</v>
      </c>
      <c r="C66" t="s">
        <v>3106</v>
      </c>
      <c r="D66" s="193">
        <v>45861</v>
      </c>
      <c r="E66" t="s">
        <v>3107</v>
      </c>
      <c r="F66">
        <v>0</v>
      </c>
      <c r="G66">
        <v>0.1</v>
      </c>
      <c r="H66">
        <f t="shared" ref="H66:H129" si="3">F66+G66</f>
        <v>0.1</v>
      </c>
      <c r="I66" s="194">
        <v>56158668.631176777</v>
      </c>
      <c r="J66" s="194">
        <f t="shared" ref="J66:J129" si="4">G66*I66</f>
        <v>5615866.8631176781</v>
      </c>
      <c r="K66" t="str">
        <f>_xlfn.XLOOKUP(B66,Cert_OC_Cliente!$B:$B,Cert_OC_Cliente!$L:$L)</f>
        <v>PTO 01</v>
      </c>
      <c r="L66" t="str">
        <f t="shared" ref="L66:L129" si="5">IF($E66="","",IF(AND(ISNUMBER($I66),$H66&lt;=1.0001),"✓","⚠"))</f>
        <v>✓</v>
      </c>
    </row>
    <row r="67" spans="1:12" x14ac:dyDescent="0.35">
      <c r="A67" t="s">
        <v>3064</v>
      </c>
      <c r="B67" t="s">
        <v>3065</v>
      </c>
      <c r="C67" t="s">
        <v>3106</v>
      </c>
      <c r="D67" s="193">
        <v>45861</v>
      </c>
      <c r="E67" t="s">
        <v>3108</v>
      </c>
      <c r="F67">
        <v>0</v>
      </c>
      <c r="G67">
        <v>0.22</v>
      </c>
      <c r="H67">
        <f t="shared" si="3"/>
        <v>0.22</v>
      </c>
      <c r="I67" s="194">
        <v>51288278.390756533</v>
      </c>
      <c r="J67" s="194">
        <f t="shared" si="4"/>
        <v>11283421.245966436</v>
      </c>
      <c r="K67" t="str">
        <f>_xlfn.XLOOKUP(B67,Cert_OC_Cliente!$B:$B,Cert_OC_Cliente!$L:$L)</f>
        <v>PTO 01</v>
      </c>
      <c r="L67" t="str">
        <f t="shared" si="5"/>
        <v>✓</v>
      </c>
    </row>
    <row r="68" spans="1:12" x14ac:dyDescent="0.35">
      <c r="A68" t="s">
        <v>3064</v>
      </c>
      <c r="B68" t="s">
        <v>3065</v>
      </c>
      <c r="C68" t="s">
        <v>3106</v>
      </c>
      <c r="D68" s="193">
        <v>45861</v>
      </c>
      <c r="E68" t="s">
        <v>3105</v>
      </c>
      <c r="F68">
        <v>0.05</v>
      </c>
      <c r="G68">
        <v>0.05</v>
      </c>
      <c r="H68">
        <f t="shared" si="3"/>
        <v>0.1</v>
      </c>
      <c r="I68" s="194">
        <v>15009724.92977979</v>
      </c>
      <c r="J68" s="194">
        <f t="shared" si="4"/>
        <v>750486.24648898956</v>
      </c>
      <c r="K68" t="str">
        <f>_xlfn.XLOOKUP(B68,Cert_OC_Cliente!$B:$B,Cert_OC_Cliente!$L:$L)</f>
        <v>PTO 01</v>
      </c>
      <c r="L68" t="str">
        <f t="shared" si="5"/>
        <v>✓</v>
      </c>
    </row>
    <row r="69" spans="1:12" x14ac:dyDescent="0.35">
      <c r="A69" t="s">
        <v>3064</v>
      </c>
      <c r="B69" t="s">
        <v>3065</v>
      </c>
      <c r="C69" t="s">
        <v>3106</v>
      </c>
      <c r="D69" s="193">
        <v>45861</v>
      </c>
      <c r="E69" t="s">
        <v>3109</v>
      </c>
      <c r="F69">
        <v>0</v>
      </c>
      <c r="G69">
        <v>0.1</v>
      </c>
      <c r="H69">
        <f t="shared" si="3"/>
        <v>0.1</v>
      </c>
      <c r="I69" s="194">
        <v>25588384.388188511</v>
      </c>
      <c r="J69" s="194">
        <f t="shared" si="4"/>
        <v>2558838.4388188515</v>
      </c>
      <c r="K69" t="str">
        <f>_xlfn.XLOOKUP(B69,Cert_OC_Cliente!$B:$B,Cert_OC_Cliente!$L:$L)</f>
        <v>PTO 01</v>
      </c>
      <c r="L69" t="str">
        <f t="shared" si="5"/>
        <v>✓</v>
      </c>
    </row>
    <row r="70" spans="1:12" x14ac:dyDescent="0.35">
      <c r="A70" t="s">
        <v>3064</v>
      </c>
      <c r="B70" t="s">
        <v>3065</v>
      </c>
      <c r="C70" t="s">
        <v>3106</v>
      </c>
      <c r="D70" s="193">
        <v>45861</v>
      </c>
      <c r="E70" t="s">
        <v>3110</v>
      </c>
      <c r="F70">
        <v>0</v>
      </c>
      <c r="G70">
        <v>0.15</v>
      </c>
      <c r="H70">
        <f t="shared" si="3"/>
        <v>0.15</v>
      </c>
      <c r="I70" s="194">
        <v>11089161</v>
      </c>
      <c r="J70" s="194">
        <f t="shared" si="4"/>
        <v>1663374.15</v>
      </c>
      <c r="K70" t="str">
        <f>_xlfn.XLOOKUP(B70,Cert_OC_Cliente!$B:$B,Cert_OC_Cliente!$L:$L)</f>
        <v>PTO 01</v>
      </c>
      <c r="L70" t="str">
        <f t="shared" si="5"/>
        <v>✓</v>
      </c>
    </row>
    <row r="71" spans="1:12" x14ac:dyDescent="0.35">
      <c r="A71" t="s">
        <v>3064</v>
      </c>
      <c r="B71" t="s">
        <v>3065</v>
      </c>
      <c r="C71" t="s">
        <v>3106</v>
      </c>
      <c r="D71" s="193">
        <v>45861</v>
      </c>
      <c r="E71" t="s">
        <v>3101</v>
      </c>
      <c r="F71">
        <v>0.15</v>
      </c>
      <c r="G71">
        <v>0.2</v>
      </c>
      <c r="H71">
        <f t="shared" si="3"/>
        <v>0.35</v>
      </c>
      <c r="I71" s="194">
        <v>2173038</v>
      </c>
      <c r="J71" s="194">
        <f t="shared" si="4"/>
        <v>434607.60000000003</v>
      </c>
      <c r="K71" t="str">
        <f>_xlfn.XLOOKUP(B71,Cert_OC_Cliente!$B:$B,Cert_OC_Cliente!$L:$L)</f>
        <v>PTO 01</v>
      </c>
      <c r="L71" t="str">
        <f t="shared" si="5"/>
        <v>✓</v>
      </c>
    </row>
    <row r="72" spans="1:12" x14ac:dyDescent="0.35">
      <c r="A72" t="s">
        <v>3064</v>
      </c>
      <c r="B72" t="s">
        <v>3065</v>
      </c>
      <c r="C72" t="s">
        <v>3106</v>
      </c>
      <c r="D72" s="193">
        <v>45861</v>
      </c>
      <c r="E72" t="s">
        <v>3102</v>
      </c>
      <c r="F72">
        <v>0.25</v>
      </c>
      <c r="G72">
        <v>0.25</v>
      </c>
      <c r="H72">
        <f t="shared" si="3"/>
        <v>0.5</v>
      </c>
      <c r="I72" s="194">
        <v>276516</v>
      </c>
      <c r="J72" s="194">
        <f t="shared" si="4"/>
        <v>69129</v>
      </c>
      <c r="K72" t="str">
        <f>_xlfn.XLOOKUP(B72,Cert_OC_Cliente!$B:$B,Cert_OC_Cliente!$L:$L)</f>
        <v>PTO 01</v>
      </c>
      <c r="L72" t="str">
        <f t="shared" si="5"/>
        <v>✓</v>
      </c>
    </row>
    <row r="73" spans="1:12" x14ac:dyDescent="0.35">
      <c r="A73" t="s">
        <v>3064</v>
      </c>
      <c r="B73" t="s">
        <v>3065</v>
      </c>
      <c r="C73" t="s">
        <v>3111</v>
      </c>
      <c r="D73" s="193">
        <v>45898</v>
      </c>
      <c r="E73" t="s">
        <v>3084</v>
      </c>
      <c r="F73">
        <v>0.7</v>
      </c>
      <c r="G73">
        <v>0.3</v>
      </c>
      <c r="H73">
        <f t="shared" si="3"/>
        <v>1</v>
      </c>
      <c r="I73" s="194">
        <v>1731320</v>
      </c>
      <c r="J73" s="194">
        <f t="shared" si="4"/>
        <v>519396</v>
      </c>
      <c r="K73" t="str">
        <f>_xlfn.XLOOKUP(B73,Cert_OC_Cliente!$B:$B,Cert_OC_Cliente!$L:$L)</f>
        <v>PTO 01</v>
      </c>
      <c r="L73" t="str">
        <f t="shared" si="5"/>
        <v>✓</v>
      </c>
    </row>
    <row r="74" spans="1:12" x14ac:dyDescent="0.35">
      <c r="A74" t="s">
        <v>3064</v>
      </c>
      <c r="B74" t="s">
        <v>3065</v>
      </c>
      <c r="C74" t="s">
        <v>3111</v>
      </c>
      <c r="D74" s="193">
        <v>45898</v>
      </c>
      <c r="E74" t="s">
        <v>3085</v>
      </c>
      <c r="F74">
        <v>0.5</v>
      </c>
      <c r="G74">
        <v>0.15</v>
      </c>
      <c r="H74">
        <f t="shared" si="3"/>
        <v>0.65</v>
      </c>
      <c r="I74" s="194">
        <v>426487</v>
      </c>
      <c r="J74" s="194">
        <f t="shared" si="4"/>
        <v>63973.049999999996</v>
      </c>
      <c r="K74" t="str">
        <f>_xlfn.XLOOKUP(B74,Cert_OC_Cliente!$B:$B,Cert_OC_Cliente!$L:$L)</f>
        <v>PTO 01</v>
      </c>
      <c r="L74" t="str">
        <f t="shared" si="5"/>
        <v>✓</v>
      </c>
    </row>
    <row r="75" spans="1:12" x14ac:dyDescent="0.35">
      <c r="A75" t="s">
        <v>3064</v>
      </c>
      <c r="B75" t="s">
        <v>3065</v>
      </c>
      <c r="C75" t="s">
        <v>3111</v>
      </c>
      <c r="D75" s="193">
        <v>45898</v>
      </c>
      <c r="E75" t="s">
        <v>3087</v>
      </c>
      <c r="F75">
        <v>0.89999999999999991</v>
      </c>
      <c r="G75">
        <v>0.1</v>
      </c>
      <c r="H75">
        <f t="shared" si="3"/>
        <v>0.99999999999999989</v>
      </c>
      <c r="I75" s="194">
        <v>41891940</v>
      </c>
      <c r="J75" s="194">
        <f t="shared" si="4"/>
        <v>4189194</v>
      </c>
      <c r="K75" t="str">
        <f>_xlfn.XLOOKUP(B75,Cert_OC_Cliente!$B:$B,Cert_OC_Cliente!$L:$L)</f>
        <v>PTO 01</v>
      </c>
      <c r="L75" t="str">
        <f t="shared" si="5"/>
        <v>✓</v>
      </c>
    </row>
    <row r="76" spans="1:12" x14ac:dyDescent="0.35">
      <c r="A76" t="s">
        <v>3064</v>
      </c>
      <c r="B76" t="s">
        <v>3065</v>
      </c>
      <c r="C76" t="s">
        <v>3111</v>
      </c>
      <c r="D76" s="193">
        <v>45898</v>
      </c>
      <c r="E76" t="s">
        <v>3112</v>
      </c>
      <c r="F76">
        <v>0</v>
      </c>
      <c r="G76">
        <v>1</v>
      </c>
      <c r="H76">
        <f t="shared" si="3"/>
        <v>1</v>
      </c>
      <c r="I76" s="194">
        <v>125524</v>
      </c>
      <c r="J76" s="194">
        <f t="shared" si="4"/>
        <v>125524</v>
      </c>
      <c r="K76" t="str">
        <f>_xlfn.XLOOKUP(B76,Cert_OC_Cliente!$B:$B,Cert_OC_Cliente!$L:$L)</f>
        <v>PTO 01</v>
      </c>
      <c r="L76" t="str">
        <f t="shared" si="5"/>
        <v>✓</v>
      </c>
    </row>
    <row r="77" spans="1:12" x14ac:dyDescent="0.35">
      <c r="A77" t="s">
        <v>3064</v>
      </c>
      <c r="B77" t="s">
        <v>3065</v>
      </c>
      <c r="C77" t="s">
        <v>3111</v>
      </c>
      <c r="D77" s="193">
        <v>45898</v>
      </c>
      <c r="E77" t="s">
        <v>3088</v>
      </c>
      <c r="F77">
        <v>0.57000000000000006</v>
      </c>
      <c r="G77">
        <v>0.13</v>
      </c>
      <c r="H77">
        <f t="shared" si="3"/>
        <v>0.70000000000000007</v>
      </c>
      <c r="I77" s="194">
        <v>6025104</v>
      </c>
      <c r="J77" s="194">
        <f t="shared" si="4"/>
        <v>783263.52</v>
      </c>
      <c r="K77" t="str">
        <f>_xlfn.XLOOKUP(B77,Cert_OC_Cliente!$B:$B,Cert_OC_Cliente!$L:$L)</f>
        <v>PTO 01</v>
      </c>
      <c r="L77" t="str">
        <f t="shared" si="5"/>
        <v>✓</v>
      </c>
    </row>
    <row r="78" spans="1:12" x14ac:dyDescent="0.35">
      <c r="A78" t="s">
        <v>3064</v>
      </c>
      <c r="B78" t="s">
        <v>3065</v>
      </c>
      <c r="C78" t="s">
        <v>3111</v>
      </c>
      <c r="D78" s="193">
        <v>45898</v>
      </c>
      <c r="E78" t="s">
        <v>3093</v>
      </c>
      <c r="F78">
        <v>0.9</v>
      </c>
      <c r="G78">
        <v>0.1</v>
      </c>
      <c r="H78">
        <f t="shared" si="3"/>
        <v>1</v>
      </c>
      <c r="I78" s="194">
        <v>7779484</v>
      </c>
      <c r="J78" s="194">
        <f t="shared" si="4"/>
        <v>777948.4</v>
      </c>
      <c r="K78" t="str">
        <f>_xlfn.XLOOKUP(B78,Cert_OC_Cliente!$B:$B,Cert_OC_Cliente!$L:$L)</f>
        <v>PTO 01</v>
      </c>
      <c r="L78" t="str">
        <f t="shared" si="5"/>
        <v>✓</v>
      </c>
    </row>
    <row r="79" spans="1:12" x14ac:dyDescent="0.35">
      <c r="A79" t="s">
        <v>3064</v>
      </c>
      <c r="B79" t="s">
        <v>3065</v>
      </c>
      <c r="C79" t="s">
        <v>3111</v>
      </c>
      <c r="D79" s="193">
        <v>45898</v>
      </c>
      <c r="E79" t="s">
        <v>3089</v>
      </c>
      <c r="F79">
        <v>0.57000000000000006</v>
      </c>
      <c r="G79">
        <v>0.13</v>
      </c>
      <c r="H79">
        <f t="shared" si="3"/>
        <v>0.70000000000000007</v>
      </c>
      <c r="I79" s="194">
        <v>1508264</v>
      </c>
      <c r="J79" s="194">
        <f t="shared" si="4"/>
        <v>196074.32</v>
      </c>
      <c r="K79" t="str">
        <f>_xlfn.XLOOKUP(B79,Cert_OC_Cliente!$B:$B,Cert_OC_Cliente!$L:$L)</f>
        <v>PTO 01</v>
      </c>
      <c r="L79" t="str">
        <f t="shared" si="5"/>
        <v>✓</v>
      </c>
    </row>
    <row r="80" spans="1:12" x14ac:dyDescent="0.35">
      <c r="A80" t="s">
        <v>3064</v>
      </c>
      <c r="B80" t="s">
        <v>3065</v>
      </c>
      <c r="C80" t="s">
        <v>3111</v>
      </c>
      <c r="D80" s="193">
        <v>45898</v>
      </c>
      <c r="E80" t="s">
        <v>3094</v>
      </c>
      <c r="F80">
        <v>0.25</v>
      </c>
      <c r="G80">
        <v>0.25</v>
      </c>
      <c r="H80">
        <f t="shared" si="3"/>
        <v>0.5</v>
      </c>
      <c r="I80" s="194">
        <v>3618664</v>
      </c>
      <c r="J80" s="194">
        <f t="shared" si="4"/>
        <v>904666</v>
      </c>
      <c r="K80" t="str">
        <f>_xlfn.XLOOKUP(B80,Cert_OC_Cliente!$B:$B,Cert_OC_Cliente!$L:$L)</f>
        <v>PTO 01</v>
      </c>
      <c r="L80" t="str">
        <f t="shared" si="5"/>
        <v>✓</v>
      </c>
    </row>
    <row r="81" spans="1:12" x14ac:dyDescent="0.35">
      <c r="A81" t="s">
        <v>3064</v>
      </c>
      <c r="B81" t="s">
        <v>3065</v>
      </c>
      <c r="C81" t="s">
        <v>3111</v>
      </c>
      <c r="D81" s="193">
        <v>45898</v>
      </c>
      <c r="E81" t="s">
        <v>3095</v>
      </c>
      <c r="F81">
        <v>0.15</v>
      </c>
      <c r="G81">
        <v>0.35</v>
      </c>
      <c r="H81">
        <f t="shared" si="3"/>
        <v>0.5</v>
      </c>
      <c r="I81" s="194">
        <v>2513768</v>
      </c>
      <c r="J81" s="194">
        <f t="shared" si="4"/>
        <v>879818.79999999993</v>
      </c>
      <c r="K81" t="str">
        <f>_xlfn.XLOOKUP(B81,Cert_OC_Cliente!$B:$B,Cert_OC_Cliente!$L:$L)</f>
        <v>PTO 01</v>
      </c>
      <c r="L81" t="str">
        <f t="shared" si="5"/>
        <v>✓</v>
      </c>
    </row>
    <row r="82" spans="1:12" x14ac:dyDescent="0.35">
      <c r="A82" t="s">
        <v>3064</v>
      </c>
      <c r="B82" t="s">
        <v>3065</v>
      </c>
      <c r="C82" t="s">
        <v>3111</v>
      </c>
      <c r="D82" s="193">
        <v>45898</v>
      </c>
      <c r="E82" t="s">
        <v>3090</v>
      </c>
      <c r="F82">
        <v>0.57000000000000006</v>
      </c>
      <c r="G82">
        <v>0.13</v>
      </c>
      <c r="H82">
        <f t="shared" si="3"/>
        <v>0.70000000000000007</v>
      </c>
      <c r="I82" s="194">
        <v>38192848</v>
      </c>
      <c r="J82" s="194">
        <f t="shared" si="4"/>
        <v>4965070.24</v>
      </c>
      <c r="K82" t="str">
        <f>_xlfn.XLOOKUP(B82,Cert_OC_Cliente!$B:$B,Cert_OC_Cliente!$L:$L)</f>
        <v>PTO 01</v>
      </c>
      <c r="L82" t="str">
        <f t="shared" si="5"/>
        <v>✓</v>
      </c>
    </row>
    <row r="83" spans="1:12" x14ac:dyDescent="0.35">
      <c r="A83" t="s">
        <v>3064</v>
      </c>
      <c r="B83" t="s">
        <v>3065</v>
      </c>
      <c r="C83" t="s">
        <v>3111</v>
      </c>
      <c r="D83" s="193">
        <v>45898</v>
      </c>
      <c r="E83" t="s">
        <v>3091</v>
      </c>
      <c r="F83">
        <v>0.57000000000000006</v>
      </c>
      <c r="G83">
        <v>0.13</v>
      </c>
      <c r="H83">
        <f t="shared" si="3"/>
        <v>0.70000000000000007</v>
      </c>
      <c r="I83" s="194">
        <v>5027536</v>
      </c>
      <c r="J83" s="194">
        <f t="shared" si="4"/>
        <v>653579.68000000005</v>
      </c>
      <c r="K83" t="str">
        <f>_xlfn.XLOOKUP(B83,Cert_OC_Cliente!$B:$B,Cert_OC_Cliente!$L:$L)</f>
        <v>PTO 01</v>
      </c>
      <c r="L83" t="str">
        <f t="shared" si="5"/>
        <v>✓</v>
      </c>
    </row>
    <row r="84" spans="1:12" x14ac:dyDescent="0.35">
      <c r="A84" t="s">
        <v>3064</v>
      </c>
      <c r="B84" t="s">
        <v>3065</v>
      </c>
      <c r="C84" t="s">
        <v>3111</v>
      </c>
      <c r="D84" s="193">
        <v>45898</v>
      </c>
      <c r="E84" t="s">
        <v>3096</v>
      </c>
      <c r="F84">
        <v>0.6</v>
      </c>
      <c r="G84">
        <v>0.4</v>
      </c>
      <c r="H84">
        <f t="shared" si="3"/>
        <v>1</v>
      </c>
      <c r="I84" s="194">
        <v>11006730</v>
      </c>
      <c r="J84" s="194">
        <f t="shared" si="4"/>
        <v>4402692</v>
      </c>
      <c r="K84" t="str">
        <f>_xlfn.XLOOKUP(B84,Cert_OC_Cliente!$B:$B,Cert_OC_Cliente!$L:$L)</f>
        <v>PTO 01</v>
      </c>
      <c r="L84" t="str">
        <f t="shared" si="5"/>
        <v>✓</v>
      </c>
    </row>
    <row r="85" spans="1:12" x14ac:dyDescent="0.35">
      <c r="A85" t="s">
        <v>3064</v>
      </c>
      <c r="B85" t="s">
        <v>3065</v>
      </c>
      <c r="C85" t="s">
        <v>3111</v>
      </c>
      <c r="D85" s="193">
        <v>45898</v>
      </c>
      <c r="E85" t="s">
        <v>3097</v>
      </c>
      <c r="F85">
        <v>0.6</v>
      </c>
      <c r="G85">
        <v>0.4</v>
      </c>
      <c r="H85">
        <f t="shared" si="3"/>
        <v>1</v>
      </c>
      <c r="I85" s="194">
        <v>21442464.1853997</v>
      </c>
      <c r="J85" s="194">
        <f t="shared" si="4"/>
        <v>8576985.6741598807</v>
      </c>
      <c r="K85" t="str">
        <f>_xlfn.XLOOKUP(B85,Cert_OC_Cliente!$B:$B,Cert_OC_Cliente!$L:$L)</f>
        <v>PTO 01</v>
      </c>
      <c r="L85" t="str">
        <f t="shared" si="5"/>
        <v>✓</v>
      </c>
    </row>
    <row r="86" spans="1:12" x14ac:dyDescent="0.35">
      <c r="A86" t="s">
        <v>3064</v>
      </c>
      <c r="B86" t="s">
        <v>3065</v>
      </c>
      <c r="C86" t="s">
        <v>3111</v>
      </c>
      <c r="D86" s="193">
        <v>45898</v>
      </c>
      <c r="E86" t="s">
        <v>3098</v>
      </c>
      <c r="F86">
        <v>0.6</v>
      </c>
      <c r="G86">
        <v>0.4</v>
      </c>
      <c r="H86">
        <f t="shared" si="3"/>
        <v>1</v>
      </c>
      <c r="I86" s="194">
        <v>12255061.252717109</v>
      </c>
      <c r="J86" s="194">
        <f t="shared" si="4"/>
        <v>4902024.5010868441</v>
      </c>
      <c r="K86" t="str">
        <f>_xlfn.XLOOKUP(B86,Cert_OC_Cliente!$B:$B,Cert_OC_Cliente!$L:$L)</f>
        <v>PTO 01</v>
      </c>
      <c r="L86" t="str">
        <f t="shared" si="5"/>
        <v>✓</v>
      </c>
    </row>
    <row r="87" spans="1:12" x14ac:dyDescent="0.35">
      <c r="A87" t="s">
        <v>3064</v>
      </c>
      <c r="B87" t="s">
        <v>3065</v>
      </c>
      <c r="C87" t="s">
        <v>3111</v>
      </c>
      <c r="D87" s="193">
        <v>45898</v>
      </c>
      <c r="E87" t="s">
        <v>3099</v>
      </c>
      <c r="F87">
        <v>0.6</v>
      </c>
      <c r="G87">
        <v>0.4</v>
      </c>
      <c r="H87">
        <f t="shared" si="3"/>
        <v>1</v>
      </c>
      <c r="I87" s="194">
        <v>38388647.541647263</v>
      </c>
      <c r="J87" s="194">
        <f t="shared" si="4"/>
        <v>15355459.016658906</v>
      </c>
      <c r="K87" t="str">
        <f>_xlfn.XLOOKUP(B87,Cert_OC_Cliente!$B:$B,Cert_OC_Cliente!$L:$L)</f>
        <v>PTO 01</v>
      </c>
      <c r="L87" t="str">
        <f t="shared" si="5"/>
        <v>✓</v>
      </c>
    </row>
    <row r="88" spans="1:12" x14ac:dyDescent="0.35">
      <c r="A88" t="s">
        <v>3064</v>
      </c>
      <c r="B88" t="s">
        <v>3065</v>
      </c>
      <c r="C88" t="s">
        <v>3111</v>
      </c>
      <c r="D88" s="193">
        <v>45898</v>
      </c>
      <c r="E88" t="s">
        <v>3113</v>
      </c>
      <c r="F88">
        <v>0</v>
      </c>
      <c r="G88">
        <v>0.05</v>
      </c>
      <c r="H88">
        <f t="shared" si="3"/>
        <v>0.05</v>
      </c>
      <c r="I88" s="194">
        <v>4627316.5315224333</v>
      </c>
      <c r="J88" s="194">
        <f t="shared" si="4"/>
        <v>231365.82657612168</v>
      </c>
      <c r="K88" t="str">
        <f>_xlfn.XLOOKUP(B88,Cert_OC_Cliente!$B:$B,Cert_OC_Cliente!$L:$L)</f>
        <v>PTO 01</v>
      </c>
      <c r="L88" t="str">
        <f t="shared" si="5"/>
        <v>✓</v>
      </c>
    </row>
    <row r="89" spans="1:12" x14ac:dyDescent="0.35">
      <c r="A89" t="s">
        <v>3064</v>
      </c>
      <c r="B89" t="s">
        <v>3065</v>
      </c>
      <c r="C89" t="s">
        <v>3111</v>
      </c>
      <c r="D89" s="193">
        <v>45898</v>
      </c>
      <c r="E89" t="s">
        <v>3107</v>
      </c>
      <c r="F89">
        <v>0.1</v>
      </c>
      <c r="G89">
        <v>0.05</v>
      </c>
      <c r="H89">
        <f t="shared" si="3"/>
        <v>0.15000000000000002</v>
      </c>
      <c r="I89" s="194">
        <v>56158668.631176777</v>
      </c>
      <c r="J89" s="194">
        <f t="shared" si="4"/>
        <v>2807933.431558839</v>
      </c>
      <c r="K89" t="str">
        <f>_xlfn.XLOOKUP(B89,Cert_OC_Cliente!$B:$B,Cert_OC_Cliente!$L:$L)</f>
        <v>PTO 01</v>
      </c>
      <c r="L89" t="str">
        <f t="shared" si="5"/>
        <v>✓</v>
      </c>
    </row>
    <row r="90" spans="1:12" x14ac:dyDescent="0.35">
      <c r="A90" t="s">
        <v>3064</v>
      </c>
      <c r="B90" t="s">
        <v>3065</v>
      </c>
      <c r="C90" t="s">
        <v>3111</v>
      </c>
      <c r="D90" s="193">
        <v>45898</v>
      </c>
      <c r="E90" t="s">
        <v>3108</v>
      </c>
      <c r="F90">
        <v>0.22</v>
      </c>
      <c r="G90">
        <v>0.08</v>
      </c>
      <c r="H90">
        <f t="shared" si="3"/>
        <v>0.3</v>
      </c>
      <c r="I90" s="194">
        <v>51288278.390756533</v>
      </c>
      <c r="J90" s="194">
        <f t="shared" si="4"/>
        <v>4103062.2712605228</v>
      </c>
      <c r="K90" t="str">
        <f>_xlfn.XLOOKUP(B90,Cert_OC_Cliente!$B:$B,Cert_OC_Cliente!$L:$L)</f>
        <v>PTO 01</v>
      </c>
      <c r="L90" t="str">
        <f t="shared" si="5"/>
        <v>✓</v>
      </c>
    </row>
    <row r="91" spans="1:12" x14ac:dyDescent="0.35">
      <c r="A91" t="s">
        <v>3064</v>
      </c>
      <c r="B91" t="s">
        <v>3065</v>
      </c>
      <c r="C91" t="s">
        <v>3111</v>
      </c>
      <c r="D91" s="193">
        <v>45898</v>
      </c>
      <c r="E91" t="s">
        <v>3105</v>
      </c>
      <c r="F91">
        <v>0.1</v>
      </c>
      <c r="G91">
        <v>0.05</v>
      </c>
      <c r="H91">
        <f t="shared" si="3"/>
        <v>0.15000000000000002</v>
      </c>
      <c r="I91" s="194">
        <v>15009724.92977979</v>
      </c>
      <c r="J91" s="194">
        <f t="shared" si="4"/>
        <v>750486.24648898956</v>
      </c>
      <c r="K91" t="str">
        <f>_xlfn.XLOOKUP(B91,Cert_OC_Cliente!$B:$B,Cert_OC_Cliente!$L:$L)</f>
        <v>PTO 01</v>
      </c>
      <c r="L91" t="str">
        <f t="shared" si="5"/>
        <v>✓</v>
      </c>
    </row>
    <row r="92" spans="1:12" x14ac:dyDescent="0.35">
      <c r="A92" t="s">
        <v>3064</v>
      </c>
      <c r="B92" t="s">
        <v>3065</v>
      </c>
      <c r="C92" t="s">
        <v>3111</v>
      </c>
      <c r="D92" s="193">
        <v>45898</v>
      </c>
      <c r="E92" t="s">
        <v>3109</v>
      </c>
      <c r="F92">
        <v>0.1</v>
      </c>
      <c r="G92">
        <v>0.1</v>
      </c>
      <c r="H92">
        <f t="shared" si="3"/>
        <v>0.2</v>
      </c>
      <c r="I92" s="194">
        <v>25588384.388188511</v>
      </c>
      <c r="J92" s="194">
        <f t="shared" si="4"/>
        <v>2558838.4388188515</v>
      </c>
      <c r="K92" t="str">
        <f>_xlfn.XLOOKUP(B92,Cert_OC_Cliente!$B:$B,Cert_OC_Cliente!$L:$L)</f>
        <v>PTO 01</v>
      </c>
      <c r="L92" t="str">
        <f t="shared" si="5"/>
        <v>✓</v>
      </c>
    </row>
    <row r="93" spans="1:12" x14ac:dyDescent="0.35">
      <c r="A93" t="s">
        <v>3064</v>
      </c>
      <c r="B93" t="s">
        <v>3065</v>
      </c>
      <c r="C93" t="s">
        <v>3111</v>
      </c>
      <c r="D93" s="193">
        <v>45898</v>
      </c>
      <c r="E93" t="s">
        <v>3100</v>
      </c>
      <c r="F93">
        <v>0.7</v>
      </c>
      <c r="G93">
        <v>0.3</v>
      </c>
      <c r="H93">
        <f t="shared" si="3"/>
        <v>1</v>
      </c>
      <c r="I93" s="194">
        <v>7472880</v>
      </c>
      <c r="J93" s="194">
        <f t="shared" si="4"/>
        <v>2241864</v>
      </c>
      <c r="K93" t="str">
        <f>_xlfn.XLOOKUP(B93,Cert_OC_Cliente!$B:$B,Cert_OC_Cliente!$L:$L)</f>
        <v>PTO 01</v>
      </c>
      <c r="L93" t="str">
        <f t="shared" si="5"/>
        <v>✓</v>
      </c>
    </row>
    <row r="94" spans="1:12" x14ac:dyDescent="0.35">
      <c r="A94" t="s">
        <v>3064</v>
      </c>
      <c r="B94" t="s">
        <v>3065</v>
      </c>
      <c r="C94" t="s">
        <v>3111</v>
      </c>
      <c r="D94" s="193">
        <v>45898</v>
      </c>
      <c r="E94" t="s">
        <v>3110</v>
      </c>
      <c r="F94">
        <v>0.15</v>
      </c>
      <c r="G94">
        <v>0.05</v>
      </c>
      <c r="H94">
        <f t="shared" si="3"/>
        <v>0.2</v>
      </c>
      <c r="I94" s="194">
        <v>11089161</v>
      </c>
      <c r="J94" s="194">
        <f t="shared" si="4"/>
        <v>554458.05000000005</v>
      </c>
      <c r="K94" t="str">
        <f>_xlfn.XLOOKUP(B94,Cert_OC_Cliente!$B:$B,Cert_OC_Cliente!$L:$L)</f>
        <v>PTO 01</v>
      </c>
      <c r="L94" t="str">
        <f t="shared" si="5"/>
        <v>✓</v>
      </c>
    </row>
    <row r="95" spans="1:12" x14ac:dyDescent="0.35">
      <c r="A95" t="s">
        <v>3064</v>
      </c>
      <c r="B95" t="s">
        <v>3065</v>
      </c>
      <c r="C95" t="s">
        <v>3111</v>
      </c>
      <c r="D95" s="193">
        <v>45898</v>
      </c>
      <c r="E95" t="s">
        <v>3101</v>
      </c>
      <c r="F95">
        <v>0.35</v>
      </c>
      <c r="G95">
        <v>0.05</v>
      </c>
      <c r="H95">
        <f t="shared" si="3"/>
        <v>0.39999999999999997</v>
      </c>
      <c r="I95" s="194">
        <v>2173038</v>
      </c>
      <c r="J95" s="194">
        <f t="shared" si="4"/>
        <v>108651.90000000001</v>
      </c>
      <c r="K95" t="str">
        <f>_xlfn.XLOOKUP(B95,Cert_OC_Cliente!$B:$B,Cert_OC_Cliente!$L:$L)</f>
        <v>PTO 01</v>
      </c>
      <c r="L95" t="str">
        <f t="shared" si="5"/>
        <v>✓</v>
      </c>
    </row>
    <row r="96" spans="1:12" x14ac:dyDescent="0.35">
      <c r="A96" t="s">
        <v>3064</v>
      </c>
      <c r="B96" t="s">
        <v>3065</v>
      </c>
      <c r="C96" t="s">
        <v>3111</v>
      </c>
      <c r="D96" s="193">
        <v>45898</v>
      </c>
      <c r="E96" t="s">
        <v>3114</v>
      </c>
      <c r="F96">
        <v>0</v>
      </c>
      <c r="G96">
        <v>0.1</v>
      </c>
      <c r="H96">
        <f t="shared" si="3"/>
        <v>0.1</v>
      </c>
      <c r="I96" s="194">
        <v>2285940</v>
      </c>
      <c r="J96" s="194">
        <f t="shared" si="4"/>
        <v>228594</v>
      </c>
      <c r="K96" t="str">
        <f>_xlfn.XLOOKUP(B96,Cert_OC_Cliente!$B:$B,Cert_OC_Cliente!$L:$L)</f>
        <v>PTO 01</v>
      </c>
      <c r="L96" t="str">
        <f t="shared" si="5"/>
        <v>✓</v>
      </c>
    </row>
    <row r="97" spans="1:12" x14ac:dyDescent="0.35">
      <c r="A97" t="s">
        <v>3064</v>
      </c>
      <c r="B97" t="s">
        <v>3065</v>
      </c>
      <c r="C97" t="s">
        <v>3115</v>
      </c>
      <c r="D97" s="193">
        <v>45931</v>
      </c>
      <c r="E97" t="s">
        <v>3088</v>
      </c>
      <c r="F97">
        <v>0.70000000000000007</v>
      </c>
      <c r="G97">
        <v>0.1</v>
      </c>
      <c r="H97">
        <f t="shared" si="3"/>
        <v>0.8</v>
      </c>
      <c r="I97" s="194">
        <v>6025104</v>
      </c>
      <c r="J97" s="194">
        <f t="shared" si="4"/>
        <v>602510.4</v>
      </c>
      <c r="K97" t="str">
        <f>_xlfn.XLOOKUP(B97,Cert_OC_Cliente!$B:$B,Cert_OC_Cliente!$L:$L)</f>
        <v>PTO 01</v>
      </c>
      <c r="L97" t="str">
        <f t="shared" si="5"/>
        <v>✓</v>
      </c>
    </row>
    <row r="98" spans="1:12" x14ac:dyDescent="0.35">
      <c r="A98" t="s">
        <v>3064</v>
      </c>
      <c r="B98" t="s">
        <v>3065</v>
      </c>
      <c r="C98" t="s">
        <v>3115</v>
      </c>
      <c r="D98" s="193">
        <v>45931</v>
      </c>
      <c r="E98" t="s">
        <v>3089</v>
      </c>
      <c r="F98">
        <v>0.70000000000000007</v>
      </c>
      <c r="G98">
        <v>0.1</v>
      </c>
      <c r="H98">
        <f t="shared" si="3"/>
        <v>0.8</v>
      </c>
      <c r="I98" s="194">
        <v>1508264</v>
      </c>
      <c r="J98" s="194">
        <f t="shared" si="4"/>
        <v>150826.4</v>
      </c>
      <c r="K98" t="str">
        <f>_xlfn.XLOOKUP(B98,Cert_OC_Cliente!$B:$B,Cert_OC_Cliente!$L:$L)</f>
        <v>PTO 01</v>
      </c>
      <c r="L98" t="str">
        <f t="shared" si="5"/>
        <v>✓</v>
      </c>
    </row>
    <row r="99" spans="1:12" x14ac:dyDescent="0.35">
      <c r="A99" t="s">
        <v>3064</v>
      </c>
      <c r="B99" t="s">
        <v>3065</v>
      </c>
      <c r="C99" t="s">
        <v>3115</v>
      </c>
      <c r="D99" s="193">
        <v>45931</v>
      </c>
      <c r="E99" t="s">
        <v>3116</v>
      </c>
      <c r="F99">
        <v>0</v>
      </c>
      <c r="G99">
        <v>0.1</v>
      </c>
      <c r="H99">
        <f t="shared" si="3"/>
        <v>0.1</v>
      </c>
      <c r="I99" s="194">
        <v>5569216</v>
      </c>
      <c r="J99" s="194">
        <f t="shared" si="4"/>
        <v>556921.59999999998</v>
      </c>
      <c r="K99" t="str">
        <f>_xlfn.XLOOKUP(B99,Cert_OC_Cliente!$B:$B,Cert_OC_Cliente!$L:$L)</f>
        <v>PTO 01</v>
      </c>
      <c r="L99" t="str">
        <f t="shared" si="5"/>
        <v>✓</v>
      </c>
    </row>
    <row r="100" spans="1:12" x14ac:dyDescent="0.35">
      <c r="A100" t="s">
        <v>3064</v>
      </c>
      <c r="B100" t="s">
        <v>3065</v>
      </c>
      <c r="C100" t="s">
        <v>3115</v>
      </c>
      <c r="D100" s="193">
        <v>45931</v>
      </c>
      <c r="E100" t="s">
        <v>3094</v>
      </c>
      <c r="F100">
        <v>0.5</v>
      </c>
      <c r="G100">
        <v>0.1</v>
      </c>
      <c r="H100">
        <f t="shared" si="3"/>
        <v>0.6</v>
      </c>
      <c r="I100" s="194">
        <v>3618664</v>
      </c>
      <c r="J100" s="194">
        <f t="shared" si="4"/>
        <v>361866.4</v>
      </c>
      <c r="K100" t="str">
        <f>_xlfn.XLOOKUP(B100,Cert_OC_Cliente!$B:$B,Cert_OC_Cliente!$L:$L)</f>
        <v>PTO 01</v>
      </c>
      <c r="L100" t="str">
        <f t="shared" si="5"/>
        <v>✓</v>
      </c>
    </row>
    <row r="101" spans="1:12" x14ac:dyDescent="0.35">
      <c r="A101" t="s">
        <v>3064</v>
      </c>
      <c r="B101" t="s">
        <v>3065</v>
      </c>
      <c r="C101" t="s">
        <v>3115</v>
      </c>
      <c r="D101" s="193">
        <v>45931</v>
      </c>
      <c r="E101" t="s">
        <v>3117</v>
      </c>
      <c r="F101">
        <v>0</v>
      </c>
      <c r="G101">
        <v>0.25</v>
      </c>
      <c r="H101">
        <f t="shared" si="3"/>
        <v>0.25</v>
      </c>
      <c r="I101" s="194">
        <v>2513104</v>
      </c>
      <c r="J101" s="194">
        <f t="shared" si="4"/>
        <v>628276</v>
      </c>
      <c r="K101" t="str">
        <f>_xlfn.XLOOKUP(B101,Cert_OC_Cliente!$B:$B,Cert_OC_Cliente!$L:$L)</f>
        <v>PTO 01</v>
      </c>
      <c r="L101" t="str">
        <f t="shared" si="5"/>
        <v>✓</v>
      </c>
    </row>
    <row r="102" spans="1:12" x14ac:dyDescent="0.35">
      <c r="A102" t="s">
        <v>3064</v>
      </c>
      <c r="B102" t="s">
        <v>3065</v>
      </c>
      <c r="C102" t="s">
        <v>3115</v>
      </c>
      <c r="D102" s="193">
        <v>45931</v>
      </c>
      <c r="E102" t="s">
        <v>3090</v>
      </c>
      <c r="F102">
        <v>0.70000000000000007</v>
      </c>
      <c r="G102">
        <v>0.1</v>
      </c>
      <c r="H102">
        <f t="shared" si="3"/>
        <v>0.8</v>
      </c>
      <c r="I102" s="194">
        <v>38192848</v>
      </c>
      <c r="J102" s="194">
        <f t="shared" si="4"/>
        <v>3819284.8000000003</v>
      </c>
      <c r="K102" t="str">
        <f>_xlfn.XLOOKUP(B102,Cert_OC_Cliente!$B:$B,Cert_OC_Cliente!$L:$L)</f>
        <v>PTO 01</v>
      </c>
      <c r="L102" t="str">
        <f t="shared" si="5"/>
        <v>✓</v>
      </c>
    </row>
    <row r="103" spans="1:12" x14ac:dyDescent="0.35">
      <c r="A103" t="s">
        <v>3064</v>
      </c>
      <c r="B103" t="s">
        <v>3065</v>
      </c>
      <c r="C103" t="s">
        <v>3115</v>
      </c>
      <c r="D103" s="193">
        <v>45931</v>
      </c>
      <c r="E103" t="s">
        <v>3091</v>
      </c>
      <c r="F103">
        <v>0.70000000000000007</v>
      </c>
      <c r="G103">
        <v>0.1</v>
      </c>
      <c r="H103">
        <f t="shared" si="3"/>
        <v>0.8</v>
      </c>
      <c r="I103" s="194">
        <v>5027536</v>
      </c>
      <c r="J103" s="194">
        <f t="shared" si="4"/>
        <v>502753.60000000003</v>
      </c>
      <c r="K103" t="str">
        <f>_xlfn.XLOOKUP(B103,Cert_OC_Cliente!$B:$B,Cert_OC_Cliente!$L:$L)</f>
        <v>PTO 01</v>
      </c>
      <c r="L103" t="str">
        <f t="shared" si="5"/>
        <v>✓</v>
      </c>
    </row>
    <row r="104" spans="1:12" x14ac:dyDescent="0.35">
      <c r="A104" t="s">
        <v>3064</v>
      </c>
      <c r="B104" t="s">
        <v>3065</v>
      </c>
      <c r="C104" t="s">
        <v>3115</v>
      </c>
      <c r="D104" s="193">
        <v>45931</v>
      </c>
      <c r="E104" t="s">
        <v>3113</v>
      </c>
      <c r="F104">
        <v>5.0000000000000037E-2</v>
      </c>
      <c r="G104">
        <v>0.95</v>
      </c>
      <c r="H104">
        <f t="shared" si="3"/>
        <v>1</v>
      </c>
      <c r="I104" s="194">
        <v>4627316.5315224333</v>
      </c>
      <c r="J104" s="194">
        <f t="shared" si="4"/>
        <v>4395950.7049463112</v>
      </c>
      <c r="K104" t="str">
        <f>_xlfn.XLOOKUP(B104,Cert_OC_Cliente!$B:$B,Cert_OC_Cliente!$L:$L)</f>
        <v>PTO 01</v>
      </c>
      <c r="L104" t="str">
        <f t="shared" si="5"/>
        <v>✓</v>
      </c>
    </row>
    <row r="105" spans="1:12" x14ac:dyDescent="0.35">
      <c r="A105" t="s">
        <v>3064</v>
      </c>
      <c r="B105" t="s">
        <v>3065</v>
      </c>
      <c r="C105" t="s">
        <v>3115</v>
      </c>
      <c r="D105" s="193">
        <v>45931</v>
      </c>
      <c r="E105" t="s">
        <v>3107</v>
      </c>
      <c r="F105">
        <v>0.15</v>
      </c>
      <c r="G105">
        <v>0.15</v>
      </c>
      <c r="H105">
        <f t="shared" si="3"/>
        <v>0.3</v>
      </c>
      <c r="I105" s="194">
        <v>56158668.631176777</v>
      </c>
      <c r="J105" s="194">
        <f t="shared" si="4"/>
        <v>8423800.2946765162</v>
      </c>
      <c r="K105" t="str">
        <f>_xlfn.XLOOKUP(B105,Cert_OC_Cliente!$B:$B,Cert_OC_Cliente!$L:$L)</f>
        <v>PTO 01</v>
      </c>
      <c r="L105" t="str">
        <f t="shared" si="5"/>
        <v>✓</v>
      </c>
    </row>
    <row r="106" spans="1:12" x14ac:dyDescent="0.35">
      <c r="A106" t="s">
        <v>3064</v>
      </c>
      <c r="B106" t="s">
        <v>3065</v>
      </c>
      <c r="C106" t="s">
        <v>3115</v>
      </c>
      <c r="D106" s="193">
        <v>45931</v>
      </c>
      <c r="E106" t="s">
        <v>3108</v>
      </c>
      <c r="F106">
        <v>0.3</v>
      </c>
      <c r="G106">
        <v>0.2</v>
      </c>
      <c r="H106">
        <f t="shared" si="3"/>
        <v>0.5</v>
      </c>
      <c r="I106" s="194">
        <v>51288278.390756533</v>
      </c>
      <c r="J106" s="194">
        <f t="shared" si="4"/>
        <v>10257655.678151308</v>
      </c>
      <c r="K106" t="str">
        <f>_xlfn.XLOOKUP(B106,Cert_OC_Cliente!$B:$B,Cert_OC_Cliente!$L:$L)</f>
        <v>PTO 01</v>
      </c>
      <c r="L106" t="str">
        <f t="shared" si="5"/>
        <v>✓</v>
      </c>
    </row>
    <row r="107" spans="1:12" x14ac:dyDescent="0.35">
      <c r="A107" t="s">
        <v>3064</v>
      </c>
      <c r="B107" t="s">
        <v>3065</v>
      </c>
      <c r="C107" t="s">
        <v>3115</v>
      </c>
      <c r="D107" s="193">
        <v>45931</v>
      </c>
      <c r="E107" t="s">
        <v>3118</v>
      </c>
      <c r="F107">
        <v>0</v>
      </c>
      <c r="G107">
        <v>0.25</v>
      </c>
      <c r="H107">
        <f t="shared" si="3"/>
        <v>0.25</v>
      </c>
      <c r="I107" s="194">
        <v>11005413.82265928</v>
      </c>
      <c r="J107" s="194">
        <f t="shared" si="4"/>
        <v>2751353.45566482</v>
      </c>
      <c r="K107" t="str">
        <f>_xlfn.XLOOKUP(B107,Cert_OC_Cliente!$B:$B,Cert_OC_Cliente!$L:$L)</f>
        <v>PTO 01</v>
      </c>
      <c r="L107" t="str">
        <f t="shared" si="5"/>
        <v>✓</v>
      </c>
    </row>
    <row r="108" spans="1:12" x14ac:dyDescent="0.35">
      <c r="A108" t="s">
        <v>3064</v>
      </c>
      <c r="B108" t="s">
        <v>3065</v>
      </c>
      <c r="C108" t="s">
        <v>3115</v>
      </c>
      <c r="D108" s="193">
        <v>45931</v>
      </c>
      <c r="E108" t="s">
        <v>3105</v>
      </c>
      <c r="F108">
        <v>0.15</v>
      </c>
      <c r="G108">
        <v>0.15</v>
      </c>
      <c r="H108">
        <f t="shared" si="3"/>
        <v>0.3</v>
      </c>
      <c r="I108" s="194">
        <v>15009724.92977979</v>
      </c>
      <c r="J108" s="194">
        <f t="shared" si="4"/>
        <v>2251458.7394669685</v>
      </c>
      <c r="K108" t="str">
        <f>_xlfn.XLOOKUP(B108,Cert_OC_Cliente!$B:$B,Cert_OC_Cliente!$L:$L)</f>
        <v>PTO 01</v>
      </c>
      <c r="L108" t="str">
        <f t="shared" si="5"/>
        <v>✓</v>
      </c>
    </row>
    <row r="109" spans="1:12" x14ac:dyDescent="0.35">
      <c r="A109" t="s">
        <v>3064</v>
      </c>
      <c r="B109" t="s">
        <v>3065</v>
      </c>
      <c r="C109" t="s">
        <v>3115</v>
      </c>
      <c r="D109" s="193">
        <v>45931</v>
      </c>
      <c r="E109" t="s">
        <v>3109</v>
      </c>
      <c r="F109">
        <v>0.2</v>
      </c>
      <c r="G109">
        <v>0.2</v>
      </c>
      <c r="H109">
        <f t="shared" si="3"/>
        <v>0.4</v>
      </c>
      <c r="I109" s="194">
        <v>25588384.388188511</v>
      </c>
      <c r="J109" s="194">
        <f t="shared" si="4"/>
        <v>5117676.877637703</v>
      </c>
      <c r="K109" t="str">
        <f>_xlfn.XLOOKUP(B109,Cert_OC_Cliente!$B:$B,Cert_OC_Cliente!$L:$L)</f>
        <v>PTO 01</v>
      </c>
      <c r="L109" t="str">
        <f t="shared" si="5"/>
        <v>✓</v>
      </c>
    </row>
    <row r="110" spans="1:12" x14ac:dyDescent="0.35">
      <c r="A110" t="s">
        <v>3064</v>
      </c>
      <c r="B110" t="s">
        <v>3065</v>
      </c>
      <c r="C110" t="s">
        <v>3115</v>
      </c>
      <c r="D110" s="193">
        <v>45931</v>
      </c>
      <c r="E110" t="s">
        <v>3119</v>
      </c>
      <c r="F110">
        <v>0</v>
      </c>
      <c r="G110">
        <v>0.35</v>
      </c>
      <c r="H110">
        <f t="shared" si="3"/>
        <v>0.35</v>
      </c>
      <c r="I110" s="194">
        <v>5473465.5122476295</v>
      </c>
      <c r="J110" s="194">
        <f t="shared" si="4"/>
        <v>1915712.9292866702</v>
      </c>
      <c r="K110" t="str">
        <f>_xlfn.XLOOKUP(B110,Cert_OC_Cliente!$B:$B,Cert_OC_Cliente!$L:$L)</f>
        <v>PTO 01</v>
      </c>
      <c r="L110" t="str">
        <f t="shared" si="5"/>
        <v>✓</v>
      </c>
    </row>
    <row r="111" spans="1:12" x14ac:dyDescent="0.35">
      <c r="A111" t="s">
        <v>3064</v>
      </c>
      <c r="B111" t="s">
        <v>3065</v>
      </c>
      <c r="C111" t="s">
        <v>3115</v>
      </c>
      <c r="D111" s="193">
        <v>45931</v>
      </c>
      <c r="E111" t="s">
        <v>3110</v>
      </c>
      <c r="F111">
        <v>0.2</v>
      </c>
      <c r="G111">
        <v>0.15</v>
      </c>
      <c r="H111">
        <f t="shared" si="3"/>
        <v>0.35</v>
      </c>
      <c r="I111" s="194">
        <v>11089161</v>
      </c>
      <c r="J111" s="194">
        <f t="shared" si="4"/>
        <v>1663374.15</v>
      </c>
      <c r="K111" t="str">
        <f>_xlfn.XLOOKUP(B111,Cert_OC_Cliente!$B:$B,Cert_OC_Cliente!$L:$L)</f>
        <v>PTO 01</v>
      </c>
      <c r="L111" t="str">
        <f t="shared" si="5"/>
        <v>✓</v>
      </c>
    </row>
    <row r="112" spans="1:12" x14ac:dyDescent="0.35">
      <c r="A112" t="s">
        <v>3064</v>
      </c>
      <c r="B112" t="s">
        <v>3065</v>
      </c>
      <c r="C112" t="s">
        <v>3115</v>
      </c>
      <c r="D112" s="193">
        <v>45931</v>
      </c>
      <c r="E112" t="s">
        <v>3101</v>
      </c>
      <c r="F112">
        <v>0.4</v>
      </c>
      <c r="G112">
        <v>0.1</v>
      </c>
      <c r="H112">
        <f t="shared" si="3"/>
        <v>0.5</v>
      </c>
      <c r="I112" s="194">
        <v>2173038</v>
      </c>
      <c r="J112" s="194">
        <f t="shared" si="4"/>
        <v>217303.80000000002</v>
      </c>
      <c r="K112" t="str">
        <f>_xlfn.XLOOKUP(B112,Cert_OC_Cliente!$B:$B,Cert_OC_Cliente!$L:$L)</f>
        <v>PTO 01</v>
      </c>
      <c r="L112" t="str">
        <f t="shared" si="5"/>
        <v>✓</v>
      </c>
    </row>
    <row r="113" spans="1:12" x14ac:dyDescent="0.35">
      <c r="A113" t="s">
        <v>3064</v>
      </c>
      <c r="B113" t="s">
        <v>3065</v>
      </c>
      <c r="C113" t="s">
        <v>3115</v>
      </c>
      <c r="D113" s="193">
        <v>45931</v>
      </c>
      <c r="E113" t="s">
        <v>3114</v>
      </c>
      <c r="F113">
        <v>9.9999999999999978E-2</v>
      </c>
      <c r="G113">
        <v>0.4</v>
      </c>
      <c r="H113">
        <f t="shared" si="3"/>
        <v>0.5</v>
      </c>
      <c r="I113" s="194">
        <v>2285940</v>
      </c>
      <c r="J113" s="194">
        <f t="shared" si="4"/>
        <v>914376</v>
      </c>
      <c r="K113" t="str">
        <f>_xlfn.XLOOKUP(B113,Cert_OC_Cliente!$B:$B,Cert_OC_Cliente!$L:$L)</f>
        <v>PTO 01</v>
      </c>
      <c r="L113" t="str">
        <f t="shared" si="5"/>
        <v>✓</v>
      </c>
    </row>
    <row r="114" spans="1:12" x14ac:dyDescent="0.35">
      <c r="A114" t="s">
        <v>3064</v>
      </c>
      <c r="B114" t="s">
        <v>3065</v>
      </c>
      <c r="C114" t="s">
        <v>3120</v>
      </c>
      <c r="D114" s="193">
        <v>45957</v>
      </c>
      <c r="E114" t="s">
        <v>3081</v>
      </c>
      <c r="F114">
        <v>0.65</v>
      </c>
      <c r="G114">
        <v>0.35</v>
      </c>
      <c r="H114">
        <f t="shared" si="3"/>
        <v>1</v>
      </c>
      <c r="I114" s="194">
        <v>1138764</v>
      </c>
      <c r="J114" s="194">
        <f t="shared" si="4"/>
        <v>398567.39999999997</v>
      </c>
      <c r="K114" t="str">
        <f>_xlfn.XLOOKUP(B114,Cert_OC_Cliente!$B:$B,Cert_OC_Cliente!$L:$L)</f>
        <v>PTO 01</v>
      </c>
      <c r="L114" t="str">
        <f t="shared" si="5"/>
        <v>✓</v>
      </c>
    </row>
    <row r="115" spans="1:12" x14ac:dyDescent="0.35">
      <c r="A115" t="s">
        <v>3064</v>
      </c>
      <c r="B115" t="s">
        <v>3065</v>
      </c>
      <c r="C115" t="s">
        <v>3120</v>
      </c>
      <c r="D115" s="193">
        <v>45957</v>
      </c>
      <c r="E115" t="s">
        <v>3088</v>
      </c>
      <c r="F115">
        <v>0.8</v>
      </c>
      <c r="G115">
        <v>0.1</v>
      </c>
      <c r="H115">
        <f t="shared" si="3"/>
        <v>0.9</v>
      </c>
      <c r="I115" s="194">
        <v>6025104</v>
      </c>
      <c r="J115" s="194">
        <f t="shared" si="4"/>
        <v>602510.4</v>
      </c>
      <c r="K115" t="str">
        <f>_xlfn.XLOOKUP(B115,Cert_OC_Cliente!$B:$B,Cert_OC_Cliente!$L:$L)</f>
        <v>PTO 01</v>
      </c>
      <c r="L115" t="str">
        <f t="shared" si="5"/>
        <v>✓</v>
      </c>
    </row>
    <row r="116" spans="1:12" x14ac:dyDescent="0.35">
      <c r="A116" t="s">
        <v>3064</v>
      </c>
      <c r="B116" t="s">
        <v>3065</v>
      </c>
      <c r="C116" t="s">
        <v>3120</v>
      </c>
      <c r="D116" s="193">
        <v>45957</v>
      </c>
      <c r="E116" t="s">
        <v>3089</v>
      </c>
      <c r="F116">
        <v>0.8</v>
      </c>
      <c r="G116">
        <v>0.1</v>
      </c>
      <c r="H116">
        <f t="shared" si="3"/>
        <v>0.9</v>
      </c>
      <c r="I116" s="194">
        <v>1508264</v>
      </c>
      <c r="J116" s="194">
        <f t="shared" si="4"/>
        <v>150826.4</v>
      </c>
      <c r="K116" t="str">
        <f>_xlfn.XLOOKUP(B116,Cert_OC_Cliente!$B:$B,Cert_OC_Cliente!$L:$L)</f>
        <v>PTO 01</v>
      </c>
      <c r="L116" t="str">
        <f t="shared" si="5"/>
        <v>✓</v>
      </c>
    </row>
    <row r="117" spans="1:12" x14ac:dyDescent="0.35">
      <c r="A117" t="s">
        <v>3064</v>
      </c>
      <c r="B117" t="s">
        <v>3065</v>
      </c>
      <c r="C117" t="s">
        <v>3120</v>
      </c>
      <c r="D117" s="193">
        <v>45957</v>
      </c>
      <c r="E117" t="s">
        <v>3116</v>
      </c>
      <c r="F117">
        <v>0.1</v>
      </c>
      <c r="G117">
        <v>0.15</v>
      </c>
      <c r="H117">
        <f t="shared" si="3"/>
        <v>0.25</v>
      </c>
      <c r="I117" s="194">
        <v>5569216</v>
      </c>
      <c r="J117" s="194">
        <f t="shared" si="4"/>
        <v>835382.4</v>
      </c>
      <c r="K117" t="str">
        <f>_xlfn.XLOOKUP(B117,Cert_OC_Cliente!$B:$B,Cert_OC_Cliente!$L:$L)</f>
        <v>PTO 01</v>
      </c>
      <c r="L117" t="str">
        <f t="shared" si="5"/>
        <v>✓</v>
      </c>
    </row>
    <row r="118" spans="1:12" x14ac:dyDescent="0.35">
      <c r="A118" t="s">
        <v>3064</v>
      </c>
      <c r="B118" t="s">
        <v>3065</v>
      </c>
      <c r="C118" t="s">
        <v>3120</v>
      </c>
      <c r="D118" s="193">
        <v>45957</v>
      </c>
      <c r="E118" t="s">
        <v>3094</v>
      </c>
      <c r="F118">
        <v>0.6</v>
      </c>
      <c r="G118">
        <v>0.1</v>
      </c>
      <c r="H118">
        <f t="shared" si="3"/>
        <v>0.7</v>
      </c>
      <c r="I118" s="194">
        <v>3618664</v>
      </c>
      <c r="J118" s="194">
        <f t="shared" si="4"/>
        <v>361866.4</v>
      </c>
      <c r="K118" t="str">
        <f>_xlfn.XLOOKUP(B118,Cert_OC_Cliente!$B:$B,Cert_OC_Cliente!$L:$L)</f>
        <v>PTO 01</v>
      </c>
      <c r="L118" t="str">
        <f t="shared" si="5"/>
        <v>✓</v>
      </c>
    </row>
    <row r="119" spans="1:12" x14ac:dyDescent="0.35">
      <c r="A119" t="s">
        <v>3064</v>
      </c>
      <c r="B119" t="s">
        <v>3065</v>
      </c>
      <c r="C119" t="s">
        <v>3120</v>
      </c>
      <c r="D119" s="193">
        <v>45957</v>
      </c>
      <c r="E119" t="s">
        <v>3095</v>
      </c>
      <c r="F119">
        <v>0.5</v>
      </c>
      <c r="G119">
        <v>0.15</v>
      </c>
      <c r="H119">
        <f t="shared" si="3"/>
        <v>0.65</v>
      </c>
      <c r="I119" s="194">
        <v>2513768</v>
      </c>
      <c r="J119" s="194">
        <f t="shared" si="4"/>
        <v>377065.2</v>
      </c>
      <c r="K119" t="str">
        <f>_xlfn.XLOOKUP(B119,Cert_OC_Cliente!$B:$B,Cert_OC_Cliente!$L:$L)</f>
        <v>PTO 01</v>
      </c>
      <c r="L119" t="str">
        <f t="shared" si="5"/>
        <v>✓</v>
      </c>
    </row>
    <row r="120" spans="1:12" x14ac:dyDescent="0.35">
      <c r="A120" t="s">
        <v>3064</v>
      </c>
      <c r="B120" t="s">
        <v>3065</v>
      </c>
      <c r="C120" t="s">
        <v>3120</v>
      </c>
      <c r="D120" s="193">
        <v>45957</v>
      </c>
      <c r="E120" t="s">
        <v>3117</v>
      </c>
      <c r="F120">
        <v>0.25</v>
      </c>
      <c r="G120">
        <v>0.1</v>
      </c>
      <c r="H120">
        <f t="shared" si="3"/>
        <v>0.35</v>
      </c>
      <c r="I120" s="194">
        <v>2513104</v>
      </c>
      <c r="J120" s="194">
        <f t="shared" si="4"/>
        <v>251310.40000000002</v>
      </c>
      <c r="K120" t="str">
        <f>_xlfn.XLOOKUP(B120,Cert_OC_Cliente!$B:$B,Cert_OC_Cliente!$L:$L)</f>
        <v>PTO 01</v>
      </c>
      <c r="L120" t="str">
        <f t="shared" si="5"/>
        <v>✓</v>
      </c>
    </row>
    <row r="121" spans="1:12" x14ac:dyDescent="0.35">
      <c r="A121" t="s">
        <v>3064</v>
      </c>
      <c r="B121" t="s">
        <v>3065</v>
      </c>
      <c r="C121" t="s">
        <v>3120</v>
      </c>
      <c r="D121" s="193">
        <v>45957</v>
      </c>
      <c r="E121" t="s">
        <v>3090</v>
      </c>
      <c r="F121">
        <v>0.8</v>
      </c>
      <c r="G121">
        <v>0.1</v>
      </c>
      <c r="H121">
        <f t="shared" si="3"/>
        <v>0.9</v>
      </c>
      <c r="I121" s="194">
        <v>38192848</v>
      </c>
      <c r="J121" s="194">
        <f t="shared" si="4"/>
        <v>3819284.8000000003</v>
      </c>
      <c r="K121" t="str">
        <f>_xlfn.XLOOKUP(B121,Cert_OC_Cliente!$B:$B,Cert_OC_Cliente!$L:$L)</f>
        <v>PTO 01</v>
      </c>
      <c r="L121" t="str">
        <f t="shared" si="5"/>
        <v>✓</v>
      </c>
    </row>
    <row r="122" spans="1:12" x14ac:dyDescent="0.35">
      <c r="A122" t="s">
        <v>3064</v>
      </c>
      <c r="B122" t="s">
        <v>3065</v>
      </c>
      <c r="C122" t="s">
        <v>3120</v>
      </c>
      <c r="D122" s="193">
        <v>45957</v>
      </c>
      <c r="E122" t="s">
        <v>3091</v>
      </c>
      <c r="F122">
        <v>0.8</v>
      </c>
      <c r="G122">
        <v>0.1</v>
      </c>
      <c r="H122">
        <f t="shared" si="3"/>
        <v>0.9</v>
      </c>
      <c r="I122" s="194">
        <v>5027536</v>
      </c>
      <c r="J122" s="194">
        <f t="shared" si="4"/>
        <v>502753.60000000003</v>
      </c>
      <c r="K122" t="str">
        <f>_xlfn.XLOOKUP(B122,Cert_OC_Cliente!$B:$B,Cert_OC_Cliente!$L:$L)</f>
        <v>PTO 01</v>
      </c>
      <c r="L122" t="str">
        <f t="shared" si="5"/>
        <v>✓</v>
      </c>
    </row>
    <row r="123" spans="1:12" x14ac:dyDescent="0.35">
      <c r="A123" t="s">
        <v>3064</v>
      </c>
      <c r="B123" t="s">
        <v>3065</v>
      </c>
      <c r="C123" t="s">
        <v>3120</v>
      </c>
      <c r="D123" s="193">
        <v>45957</v>
      </c>
      <c r="E123" t="s">
        <v>3107</v>
      </c>
      <c r="F123">
        <v>0.3</v>
      </c>
      <c r="G123">
        <v>0.15</v>
      </c>
      <c r="H123">
        <f t="shared" si="3"/>
        <v>0.44999999999999996</v>
      </c>
      <c r="I123" s="194">
        <v>56158668.631176777</v>
      </c>
      <c r="J123" s="194">
        <f t="shared" si="4"/>
        <v>8423800.2946765162</v>
      </c>
      <c r="K123" t="str">
        <f>_xlfn.XLOOKUP(B123,Cert_OC_Cliente!$B:$B,Cert_OC_Cliente!$L:$L)</f>
        <v>PTO 01</v>
      </c>
      <c r="L123" t="str">
        <f t="shared" si="5"/>
        <v>✓</v>
      </c>
    </row>
    <row r="124" spans="1:12" x14ac:dyDescent="0.35">
      <c r="A124" t="s">
        <v>3064</v>
      </c>
      <c r="B124" t="s">
        <v>3065</v>
      </c>
      <c r="C124" t="s">
        <v>3120</v>
      </c>
      <c r="D124" s="193">
        <v>45957</v>
      </c>
      <c r="E124" t="s">
        <v>3108</v>
      </c>
      <c r="F124">
        <v>0.49999999999999989</v>
      </c>
      <c r="G124">
        <v>0.2</v>
      </c>
      <c r="H124">
        <f t="shared" si="3"/>
        <v>0.7</v>
      </c>
      <c r="I124" s="194">
        <v>51288278.390756533</v>
      </c>
      <c r="J124" s="194">
        <f t="shared" si="4"/>
        <v>10257655.678151308</v>
      </c>
      <c r="K124" t="str">
        <f>_xlfn.XLOOKUP(B124,Cert_OC_Cliente!$B:$B,Cert_OC_Cliente!$L:$L)</f>
        <v>PTO 01</v>
      </c>
      <c r="L124" t="str">
        <f t="shared" si="5"/>
        <v>✓</v>
      </c>
    </row>
    <row r="125" spans="1:12" x14ac:dyDescent="0.35">
      <c r="A125" t="s">
        <v>3064</v>
      </c>
      <c r="B125" t="s">
        <v>3065</v>
      </c>
      <c r="C125" t="s">
        <v>3120</v>
      </c>
      <c r="D125" s="193">
        <v>45957</v>
      </c>
      <c r="E125" t="s">
        <v>3118</v>
      </c>
      <c r="F125">
        <v>0.25000000000000011</v>
      </c>
      <c r="G125">
        <v>0.3</v>
      </c>
      <c r="H125">
        <f t="shared" si="3"/>
        <v>0.55000000000000004</v>
      </c>
      <c r="I125" s="194">
        <v>11005413.82265928</v>
      </c>
      <c r="J125" s="194">
        <f t="shared" si="4"/>
        <v>3301624.1467977841</v>
      </c>
      <c r="K125" t="str">
        <f>_xlfn.XLOOKUP(B125,Cert_OC_Cliente!$B:$B,Cert_OC_Cliente!$L:$L)</f>
        <v>PTO 01</v>
      </c>
      <c r="L125" t="str">
        <f t="shared" si="5"/>
        <v>✓</v>
      </c>
    </row>
    <row r="126" spans="1:12" x14ac:dyDescent="0.35">
      <c r="A126" t="s">
        <v>3064</v>
      </c>
      <c r="B126" t="s">
        <v>3065</v>
      </c>
      <c r="C126" t="s">
        <v>3120</v>
      </c>
      <c r="D126" s="193">
        <v>45957</v>
      </c>
      <c r="E126" t="s">
        <v>3105</v>
      </c>
      <c r="F126">
        <v>0.3</v>
      </c>
      <c r="G126">
        <v>0.15</v>
      </c>
      <c r="H126">
        <f t="shared" si="3"/>
        <v>0.44999999999999996</v>
      </c>
      <c r="I126" s="194">
        <v>15009724.92977979</v>
      </c>
      <c r="J126" s="194">
        <f t="shared" si="4"/>
        <v>2251458.7394669685</v>
      </c>
      <c r="K126" t="str">
        <f>_xlfn.XLOOKUP(B126,Cert_OC_Cliente!$B:$B,Cert_OC_Cliente!$L:$L)</f>
        <v>PTO 01</v>
      </c>
      <c r="L126" t="str">
        <f t="shared" si="5"/>
        <v>✓</v>
      </c>
    </row>
    <row r="127" spans="1:12" x14ac:dyDescent="0.35">
      <c r="A127" t="s">
        <v>3064</v>
      </c>
      <c r="B127" t="s">
        <v>3065</v>
      </c>
      <c r="C127" t="s">
        <v>3120</v>
      </c>
      <c r="D127" s="193">
        <v>45957</v>
      </c>
      <c r="E127" t="s">
        <v>3109</v>
      </c>
      <c r="F127">
        <v>0.40000000000000008</v>
      </c>
      <c r="G127">
        <v>0.2</v>
      </c>
      <c r="H127">
        <f t="shared" si="3"/>
        <v>0.60000000000000009</v>
      </c>
      <c r="I127" s="194">
        <v>25588384.388188511</v>
      </c>
      <c r="J127" s="194">
        <f t="shared" si="4"/>
        <v>5117676.877637703</v>
      </c>
      <c r="K127" t="str">
        <f>_xlfn.XLOOKUP(B127,Cert_OC_Cliente!$B:$B,Cert_OC_Cliente!$L:$L)</f>
        <v>PTO 01</v>
      </c>
      <c r="L127" t="str">
        <f t="shared" si="5"/>
        <v>✓</v>
      </c>
    </row>
    <row r="128" spans="1:12" x14ac:dyDescent="0.35">
      <c r="A128" t="s">
        <v>3064</v>
      </c>
      <c r="B128" t="s">
        <v>3065</v>
      </c>
      <c r="C128" t="s">
        <v>3120</v>
      </c>
      <c r="D128" s="193">
        <v>45957</v>
      </c>
      <c r="E128" t="s">
        <v>3119</v>
      </c>
      <c r="F128">
        <v>0.35</v>
      </c>
      <c r="G128">
        <v>0.15</v>
      </c>
      <c r="H128">
        <f t="shared" si="3"/>
        <v>0.5</v>
      </c>
      <c r="I128" s="194">
        <v>5473465.5122476295</v>
      </c>
      <c r="J128" s="194">
        <f t="shared" si="4"/>
        <v>821019.82683714444</v>
      </c>
      <c r="K128" t="str">
        <f>_xlfn.XLOOKUP(B128,Cert_OC_Cliente!$B:$B,Cert_OC_Cliente!$L:$L)</f>
        <v>PTO 01</v>
      </c>
      <c r="L128" t="str">
        <f t="shared" si="5"/>
        <v>✓</v>
      </c>
    </row>
    <row r="129" spans="1:12" x14ac:dyDescent="0.35">
      <c r="A129" t="s">
        <v>3064</v>
      </c>
      <c r="B129" t="s">
        <v>3065</v>
      </c>
      <c r="C129" t="s">
        <v>3120</v>
      </c>
      <c r="D129" s="193">
        <v>45957</v>
      </c>
      <c r="E129" t="s">
        <v>3110</v>
      </c>
      <c r="F129">
        <v>0.35</v>
      </c>
      <c r="G129">
        <v>0.2</v>
      </c>
      <c r="H129">
        <f t="shared" si="3"/>
        <v>0.55000000000000004</v>
      </c>
      <c r="I129" s="194">
        <v>11089161</v>
      </c>
      <c r="J129" s="194">
        <f t="shared" si="4"/>
        <v>2217832.2000000002</v>
      </c>
      <c r="K129" t="str">
        <f>_xlfn.XLOOKUP(B129,Cert_OC_Cliente!$B:$B,Cert_OC_Cliente!$L:$L)</f>
        <v>PTO 01</v>
      </c>
      <c r="L129" t="str">
        <f t="shared" si="5"/>
        <v>✓</v>
      </c>
    </row>
    <row r="130" spans="1:12" x14ac:dyDescent="0.35">
      <c r="A130" t="s">
        <v>3064</v>
      </c>
      <c r="B130" t="s">
        <v>3065</v>
      </c>
      <c r="C130" t="s">
        <v>3120</v>
      </c>
      <c r="D130" s="193">
        <v>45957</v>
      </c>
      <c r="E130" t="s">
        <v>3101</v>
      </c>
      <c r="F130">
        <v>0.5</v>
      </c>
      <c r="G130">
        <v>0.15</v>
      </c>
      <c r="H130">
        <f t="shared" ref="H130:H193" si="6">F130+G130</f>
        <v>0.65</v>
      </c>
      <c r="I130" s="194">
        <v>2173038</v>
      </c>
      <c r="J130" s="194">
        <f t="shared" ref="J130:J193" si="7">G130*I130</f>
        <v>325955.7</v>
      </c>
      <c r="K130" t="str">
        <f>_xlfn.XLOOKUP(B130,Cert_OC_Cliente!$B:$B,Cert_OC_Cliente!$L:$L)</f>
        <v>PTO 01</v>
      </c>
      <c r="L130" t="str">
        <f t="shared" ref="L130:L193" si="8">IF($E130="","",IF(AND(ISNUMBER($I130),$H130&lt;=1.0001),"✓","⚠"))</f>
        <v>✓</v>
      </c>
    </row>
    <row r="131" spans="1:12" x14ac:dyDescent="0.35">
      <c r="A131" t="s">
        <v>3064</v>
      </c>
      <c r="B131" t="s">
        <v>3065</v>
      </c>
      <c r="C131" t="s">
        <v>3120</v>
      </c>
      <c r="D131" s="193">
        <v>45957</v>
      </c>
      <c r="E131" t="s">
        <v>3102</v>
      </c>
      <c r="F131">
        <v>0.5</v>
      </c>
      <c r="G131">
        <v>0.25</v>
      </c>
      <c r="H131">
        <f t="shared" si="6"/>
        <v>0.75</v>
      </c>
      <c r="I131" s="194">
        <v>276516</v>
      </c>
      <c r="J131" s="194">
        <f t="shared" si="7"/>
        <v>69129</v>
      </c>
      <c r="K131" t="str">
        <f>_xlfn.XLOOKUP(B131,Cert_OC_Cliente!$B:$B,Cert_OC_Cliente!$L:$L)</f>
        <v>PTO 01</v>
      </c>
      <c r="L131" t="str">
        <f t="shared" si="8"/>
        <v>✓</v>
      </c>
    </row>
    <row r="132" spans="1:12" x14ac:dyDescent="0.35">
      <c r="A132" t="s">
        <v>3064</v>
      </c>
      <c r="B132" t="s">
        <v>3065</v>
      </c>
      <c r="C132" t="s">
        <v>3120</v>
      </c>
      <c r="D132" s="193">
        <v>45957</v>
      </c>
      <c r="E132" t="s">
        <v>3114</v>
      </c>
      <c r="F132">
        <v>0.5</v>
      </c>
      <c r="G132">
        <v>0.5</v>
      </c>
      <c r="H132">
        <f t="shared" si="6"/>
        <v>1</v>
      </c>
      <c r="I132" s="194">
        <v>2285940</v>
      </c>
      <c r="J132" s="194">
        <f t="shared" si="7"/>
        <v>1142970</v>
      </c>
      <c r="K132" t="str">
        <f>_xlfn.XLOOKUP(B132,Cert_OC_Cliente!$B:$B,Cert_OC_Cliente!$L:$L)</f>
        <v>PTO 01</v>
      </c>
      <c r="L132" t="str">
        <f t="shared" si="8"/>
        <v>✓</v>
      </c>
    </row>
    <row r="133" spans="1:12" x14ac:dyDescent="0.35">
      <c r="A133" t="s">
        <v>3064</v>
      </c>
      <c r="B133" t="s">
        <v>3065</v>
      </c>
      <c r="C133" t="s">
        <v>3121</v>
      </c>
      <c r="D133" s="193">
        <v>45988</v>
      </c>
      <c r="E133" t="s">
        <v>3122</v>
      </c>
      <c r="F133">
        <v>0</v>
      </c>
      <c r="G133">
        <v>1</v>
      </c>
      <c r="H133">
        <f t="shared" si="6"/>
        <v>1</v>
      </c>
      <c r="I133" s="194">
        <v>1553420</v>
      </c>
      <c r="J133" s="194">
        <f t="shared" si="7"/>
        <v>1553420</v>
      </c>
      <c r="K133" t="str">
        <f>_xlfn.XLOOKUP(B133,Cert_OC_Cliente!$B:$B,Cert_OC_Cliente!$L:$L)</f>
        <v>PTO 01</v>
      </c>
      <c r="L133" t="str">
        <f t="shared" si="8"/>
        <v>✓</v>
      </c>
    </row>
    <row r="134" spans="1:12" x14ac:dyDescent="0.35">
      <c r="A134" t="s">
        <v>3064</v>
      </c>
      <c r="B134" t="s">
        <v>3065</v>
      </c>
      <c r="C134" t="s">
        <v>3121</v>
      </c>
      <c r="D134" s="193">
        <v>45988</v>
      </c>
      <c r="E134" t="s">
        <v>3088</v>
      </c>
      <c r="F134">
        <v>0.9</v>
      </c>
      <c r="G134">
        <v>0.05</v>
      </c>
      <c r="H134">
        <f t="shared" si="6"/>
        <v>0.95000000000000007</v>
      </c>
      <c r="I134" s="194">
        <v>6025104</v>
      </c>
      <c r="J134" s="194">
        <f t="shared" si="7"/>
        <v>301255.2</v>
      </c>
      <c r="K134" t="str">
        <f>_xlfn.XLOOKUP(B134,Cert_OC_Cliente!$B:$B,Cert_OC_Cliente!$L:$L)</f>
        <v>PTO 01</v>
      </c>
      <c r="L134" t="str">
        <f t="shared" si="8"/>
        <v>✓</v>
      </c>
    </row>
    <row r="135" spans="1:12" x14ac:dyDescent="0.35">
      <c r="A135" t="s">
        <v>3064</v>
      </c>
      <c r="B135" t="s">
        <v>3065</v>
      </c>
      <c r="C135" t="s">
        <v>3121</v>
      </c>
      <c r="D135" s="193">
        <v>45988</v>
      </c>
      <c r="E135" t="s">
        <v>3089</v>
      </c>
      <c r="F135">
        <v>0.9</v>
      </c>
      <c r="G135">
        <v>0.05</v>
      </c>
      <c r="H135">
        <f t="shared" si="6"/>
        <v>0.95000000000000007</v>
      </c>
      <c r="I135" s="194">
        <v>1508264</v>
      </c>
      <c r="J135" s="194">
        <f t="shared" si="7"/>
        <v>75413.2</v>
      </c>
      <c r="K135" t="str">
        <f>_xlfn.XLOOKUP(B135,Cert_OC_Cliente!$B:$B,Cert_OC_Cliente!$L:$L)</f>
        <v>PTO 01</v>
      </c>
      <c r="L135" t="str">
        <f t="shared" si="8"/>
        <v>✓</v>
      </c>
    </row>
    <row r="136" spans="1:12" x14ac:dyDescent="0.35">
      <c r="A136" t="s">
        <v>3064</v>
      </c>
      <c r="B136" t="s">
        <v>3065</v>
      </c>
      <c r="C136" t="s">
        <v>3121</v>
      </c>
      <c r="D136" s="193">
        <v>45988</v>
      </c>
      <c r="E136" t="s">
        <v>3123</v>
      </c>
      <c r="F136">
        <v>0</v>
      </c>
      <c r="G136">
        <v>0.5</v>
      </c>
      <c r="H136">
        <f t="shared" si="6"/>
        <v>0.5</v>
      </c>
      <c r="I136" s="194">
        <v>4606562</v>
      </c>
      <c r="J136" s="194">
        <f t="shared" si="7"/>
        <v>2303281</v>
      </c>
      <c r="K136" t="str">
        <f>_xlfn.XLOOKUP(B136,Cert_OC_Cliente!$B:$B,Cert_OC_Cliente!$L:$L)</f>
        <v>PTO 01</v>
      </c>
      <c r="L136" t="str">
        <f t="shared" si="8"/>
        <v>✓</v>
      </c>
    </row>
    <row r="137" spans="1:12" x14ac:dyDescent="0.35">
      <c r="A137" t="s">
        <v>3064</v>
      </c>
      <c r="B137" t="s">
        <v>3065</v>
      </c>
      <c r="C137" t="s">
        <v>3121</v>
      </c>
      <c r="D137" s="193">
        <v>45988</v>
      </c>
      <c r="E137" t="s">
        <v>3116</v>
      </c>
      <c r="F137">
        <v>0.25</v>
      </c>
      <c r="G137">
        <v>0.2</v>
      </c>
      <c r="H137">
        <f t="shared" si="6"/>
        <v>0.45</v>
      </c>
      <c r="I137" s="194">
        <v>5569216</v>
      </c>
      <c r="J137" s="194">
        <f t="shared" si="7"/>
        <v>1113843.2</v>
      </c>
      <c r="K137" t="str">
        <f>_xlfn.XLOOKUP(B137,Cert_OC_Cliente!$B:$B,Cert_OC_Cliente!$L:$L)</f>
        <v>PTO 01</v>
      </c>
      <c r="L137" t="str">
        <f t="shared" si="8"/>
        <v>✓</v>
      </c>
    </row>
    <row r="138" spans="1:12" x14ac:dyDescent="0.35">
      <c r="A138" t="s">
        <v>3064</v>
      </c>
      <c r="B138" t="s">
        <v>3065</v>
      </c>
      <c r="C138" t="s">
        <v>3121</v>
      </c>
      <c r="D138" s="193">
        <v>45988</v>
      </c>
      <c r="E138" t="s">
        <v>3094</v>
      </c>
      <c r="F138">
        <v>0.7</v>
      </c>
      <c r="G138">
        <v>0.1</v>
      </c>
      <c r="H138">
        <f t="shared" si="6"/>
        <v>0.79999999999999993</v>
      </c>
      <c r="I138" s="194">
        <v>3618664</v>
      </c>
      <c r="J138" s="194">
        <f t="shared" si="7"/>
        <v>361866.4</v>
      </c>
      <c r="K138" t="str">
        <f>_xlfn.XLOOKUP(B138,Cert_OC_Cliente!$B:$B,Cert_OC_Cliente!$L:$L)</f>
        <v>PTO 01</v>
      </c>
      <c r="L138" t="str">
        <f t="shared" si="8"/>
        <v>✓</v>
      </c>
    </row>
    <row r="139" spans="1:12" x14ac:dyDescent="0.35">
      <c r="A139" t="s">
        <v>3064</v>
      </c>
      <c r="B139" t="s">
        <v>3065</v>
      </c>
      <c r="C139" t="s">
        <v>3121</v>
      </c>
      <c r="D139" s="193">
        <v>45988</v>
      </c>
      <c r="E139" t="s">
        <v>3095</v>
      </c>
      <c r="F139">
        <v>0.65</v>
      </c>
      <c r="G139">
        <v>0.15</v>
      </c>
      <c r="H139">
        <f t="shared" si="6"/>
        <v>0.8</v>
      </c>
      <c r="I139" s="194">
        <v>2513768</v>
      </c>
      <c r="J139" s="194">
        <f t="shared" si="7"/>
        <v>377065.2</v>
      </c>
      <c r="K139" t="str">
        <f>_xlfn.XLOOKUP(B139,Cert_OC_Cliente!$B:$B,Cert_OC_Cliente!$L:$L)</f>
        <v>PTO 01</v>
      </c>
      <c r="L139" t="str">
        <f t="shared" si="8"/>
        <v>✓</v>
      </c>
    </row>
    <row r="140" spans="1:12" x14ac:dyDescent="0.35">
      <c r="A140" t="s">
        <v>3064</v>
      </c>
      <c r="B140" t="s">
        <v>3065</v>
      </c>
      <c r="C140" t="s">
        <v>3121</v>
      </c>
      <c r="D140" s="193">
        <v>45988</v>
      </c>
      <c r="E140" t="s">
        <v>3117</v>
      </c>
      <c r="F140">
        <v>0.35</v>
      </c>
      <c r="G140">
        <v>0.25</v>
      </c>
      <c r="H140">
        <f t="shared" si="6"/>
        <v>0.6</v>
      </c>
      <c r="I140" s="194">
        <v>2513104</v>
      </c>
      <c r="J140" s="194">
        <f t="shared" si="7"/>
        <v>628276</v>
      </c>
      <c r="K140" t="str">
        <f>_xlfn.XLOOKUP(B140,Cert_OC_Cliente!$B:$B,Cert_OC_Cliente!$L:$L)</f>
        <v>PTO 01</v>
      </c>
      <c r="L140" t="str">
        <f t="shared" si="8"/>
        <v>✓</v>
      </c>
    </row>
    <row r="141" spans="1:12" x14ac:dyDescent="0.35">
      <c r="A141" t="s">
        <v>3064</v>
      </c>
      <c r="B141" t="s">
        <v>3065</v>
      </c>
      <c r="C141" t="s">
        <v>3121</v>
      </c>
      <c r="D141" s="193">
        <v>45988</v>
      </c>
      <c r="E141" t="s">
        <v>3090</v>
      </c>
      <c r="F141">
        <v>0.9</v>
      </c>
      <c r="G141">
        <v>0.05</v>
      </c>
      <c r="H141">
        <f t="shared" si="6"/>
        <v>0.95000000000000007</v>
      </c>
      <c r="I141" s="194">
        <v>38192848</v>
      </c>
      <c r="J141" s="194">
        <f t="shared" si="7"/>
        <v>1909642.4000000001</v>
      </c>
      <c r="K141" t="str">
        <f>_xlfn.XLOOKUP(B141,Cert_OC_Cliente!$B:$B,Cert_OC_Cliente!$L:$L)</f>
        <v>PTO 01</v>
      </c>
      <c r="L141" t="str">
        <f t="shared" si="8"/>
        <v>✓</v>
      </c>
    </row>
    <row r="142" spans="1:12" x14ac:dyDescent="0.35">
      <c r="A142" t="s">
        <v>3064</v>
      </c>
      <c r="B142" t="s">
        <v>3065</v>
      </c>
      <c r="C142" t="s">
        <v>3121</v>
      </c>
      <c r="D142" s="193">
        <v>45988</v>
      </c>
      <c r="E142" t="s">
        <v>3091</v>
      </c>
      <c r="F142">
        <v>0.9</v>
      </c>
      <c r="G142">
        <v>0.05</v>
      </c>
      <c r="H142">
        <f t="shared" si="6"/>
        <v>0.95000000000000007</v>
      </c>
      <c r="I142" s="194">
        <v>5027536</v>
      </c>
      <c r="J142" s="194">
        <f t="shared" si="7"/>
        <v>251376.80000000002</v>
      </c>
      <c r="K142" t="str">
        <f>_xlfn.XLOOKUP(B142,Cert_OC_Cliente!$B:$B,Cert_OC_Cliente!$L:$L)</f>
        <v>PTO 01</v>
      </c>
      <c r="L142" t="str">
        <f t="shared" si="8"/>
        <v>✓</v>
      </c>
    </row>
    <row r="143" spans="1:12" x14ac:dyDescent="0.35">
      <c r="A143" t="s">
        <v>3064</v>
      </c>
      <c r="B143" t="s">
        <v>3065</v>
      </c>
      <c r="C143" t="s">
        <v>3121</v>
      </c>
      <c r="D143" s="193">
        <v>45988</v>
      </c>
      <c r="E143" t="s">
        <v>3107</v>
      </c>
      <c r="F143">
        <v>0.45000000000000012</v>
      </c>
      <c r="G143">
        <v>0.2</v>
      </c>
      <c r="H143">
        <f t="shared" si="6"/>
        <v>0.65000000000000013</v>
      </c>
      <c r="I143" s="194">
        <v>56158668.631176777</v>
      </c>
      <c r="J143" s="194">
        <f t="shared" si="7"/>
        <v>11231733.726235356</v>
      </c>
      <c r="K143" t="str">
        <f>_xlfn.XLOOKUP(B143,Cert_OC_Cliente!$B:$B,Cert_OC_Cliente!$L:$L)</f>
        <v>PTO 01</v>
      </c>
      <c r="L143" t="str">
        <f t="shared" si="8"/>
        <v>✓</v>
      </c>
    </row>
    <row r="144" spans="1:12" x14ac:dyDescent="0.35">
      <c r="A144" t="s">
        <v>3064</v>
      </c>
      <c r="B144" t="s">
        <v>3065</v>
      </c>
      <c r="C144" t="s">
        <v>3121</v>
      </c>
      <c r="D144" s="193">
        <v>45988</v>
      </c>
      <c r="E144" t="s">
        <v>3108</v>
      </c>
      <c r="F144">
        <v>0.7</v>
      </c>
      <c r="G144">
        <v>0.1</v>
      </c>
      <c r="H144">
        <f t="shared" si="6"/>
        <v>0.79999999999999993</v>
      </c>
      <c r="I144" s="194">
        <v>51288278.390756533</v>
      </c>
      <c r="J144" s="194">
        <f t="shared" si="7"/>
        <v>5128827.8390756538</v>
      </c>
      <c r="K144" t="str">
        <f>_xlfn.XLOOKUP(B144,Cert_OC_Cliente!$B:$B,Cert_OC_Cliente!$L:$L)</f>
        <v>PTO 01</v>
      </c>
      <c r="L144" t="str">
        <f t="shared" si="8"/>
        <v>✓</v>
      </c>
    </row>
    <row r="145" spans="1:12" x14ac:dyDescent="0.35">
      <c r="A145" t="s">
        <v>3064</v>
      </c>
      <c r="B145" t="s">
        <v>3065</v>
      </c>
      <c r="C145" t="s">
        <v>3121</v>
      </c>
      <c r="D145" s="193">
        <v>45988</v>
      </c>
      <c r="E145" t="s">
        <v>3118</v>
      </c>
      <c r="F145">
        <v>0.55000000000000004</v>
      </c>
      <c r="G145">
        <v>0.3</v>
      </c>
      <c r="H145">
        <f t="shared" si="6"/>
        <v>0.85000000000000009</v>
      </c>
      <c r="I145" s="194">
        <v>11005413.82265928</v>
      </c>
      <c r="J145" s="194">
        <f t="shared" si="7"/>
        <v>3301624.1467977841</v>
      </c>
      <c r="K145" t="str">
        <f>_xlfn.XLOOKUP(B145,Cert_OC_Cliente!$B:$B,Cert_OC_Cliente!$L:$L)</f>
        <v>PTO 01</v>
      </c>
      <c r="L145" t="str">
        <f t="shared" si="8"/>
        <v>✓</v>
      </c>
    </row>
    <row r="146" spans="1:12" x14ac:dyDescent="0.35">
      <c r="A146" t="s">
        <v>3064</v>
      </c>
      <c r="B146" t="s">
        <v>3065</v>
      </c>
      <c r="C146" t="s">
        <v>3121</v>
      </c>
      <c r="D146" s="193">
        <v>45988</v>
      </c>
      <c r="E146" t="s">
        <v>3105</v>
      </c>
      <c r="F146">
        <v>0.45000000000000012</v>
      </c>
      <c r="G146">
        <v>0.15</v>
      </c>
      <c r="H146">
        <f t="shared" si="6"/>
        <v>0.60000000000000009</v>
      </c>
      <c r="I146" s="194">
        <v>15009724.92977979</v>
      </c>
      <c r="J146" s="194">
        <f t="shared" si="7"/>
        <v>2251458.7394669685</v>
      </c>
      <c r="K146" t="str">
        <f>_xlfn.XLOOKUP(B146,Cert_OC_Cliente!$B:$B,Cert_OC_Cliente!$L:$L)</f>
        <v>PTO 01</v>
      </c>
      <c r="L146" t="str">
        <f t="shared" si="8"/>
        <v>✓</v>
      </c>
    </row>
    <row r="147" spans="1:12" x14ac:dyDescent="0.35">
      <c r="A147" t="s">
        <v>3064</v>
      </c>
      <c r="B147" t="s">
        <v>3065</v>
      </c>
      <c r="C147" t="s">
        <v>3121</v>
      </c>
      <c r="D147" s="193">
        <v>45988</v>
      </c>
      <c r="E147" t="s">
        <v>3109</v>
      </c>
      <c r="F147">
        <v>0.60000000000000009</v>
      </c>
      <c r="G147">
        <v>0.1</v>
      </c>
      <c r="H147">
        <f t="shared" si="6"/>
        <v>0.70000000000000007</v>
      </c>
      <c r="I147" s="194">
        <v>25588384.388188511</v>
      </c>
      <c r="J147" s="194">
        <f t="shared" si="7"/>
        <v>2558838.4388188515</v>
      </c>
      <c r="K147" t="str">
        <f>_xlfn.XLOOKUP(B147,Cert_OC_Cliente!$B:$B,Cert_OC_Cliente!$L:$L)</f>
        <v>PTO 01</v>
      </c>
      <c r="L147" t="str">
        <f t="shared" si="8"/>
        <v>✓</v>
      </c>
    </row>
    <row r="148" spans="1:12" x14ac:dyDescent="0.35">
      <c r="A148" t="s">
        <v>3064</v>
      </c>
      <c r="B148" t="s">
        <v>3065</v>
      </c>
      <c r="C148" t="s">
        <v>3121</v>
      </c>
      <c r="D148" s="193">
        <v>45988</v>
      </c>
      <c r="E148" t="s">
        <v>3119</v>
      </c>
      <c r="F148">
        <v>0.5</v>
      </c>
      <c r="G148">
        <v>0.15</v>
      </c>
      <c r="H148">
        <f t="shared" si="6"/>
        <v>0.65</v>
      </c>
      <c r="I148" s="194">
        <v>5473465.5122476295</v>
      </c>
      <c r="J148" s="194">
        <f t="shared" si="7"/>
        <v>821019.82683714444</v>
      </c>
      <c r="K148" t="str">
        <f>_xlfn.XLOOKUP(B148,Cert_OC_Cliente!$B:$B,Cert_OC_Cliente!$L:$L)</f>
        <v>PTO 01</v>
      </c>
      <c r="L148" t="str">
        <f t="shared" si="8"/>
        <v>✓</v>
      </c>
    </row>
    <row r="149" spans="1:12" x14ac:dyDescent="0.35">
      <c r="A149" t="s">
        <v>3064</v>
      </c>
      <c r="B149" t="s">
        <v>3065</v>
      </c>
      <c r="C149" t="s">
        <v>3121</v>
      </c>
      <c r="D149" s="193">
        <v>45988</v>
      </c>
      <c r="E149" t="s">
        <v>3110</v>
      </c>
      <c r="F149">
        <v>0.55000000000000004</v>
      </c>
      <c r="G149">
        <v>0.15</v>
      </c>
      <c r="H149">
        <f t="shared" si="6"/>
        <v>0.70000000000000007</v>
      </c>
      <c r="I149" s="194">
        <v>11089161</v>
      </c>
      <c r="J149" s="194">
        <f t="shared" si="7"/>
        <v>1663374.15</v>
      </c>
      <c r="K149" t="str">
        <f>_xlfn.XLOOKUP(B149,Cert_OC_Cliente!$B:$B,Cert_OC_Cliente!$L:$L)</f>
        <v>PTO 01</v>
      </c>
      <c r="L149" t="str">
        <f t="shared" si="8"/>
        <v>✓</v>
      </c>
    </row>
    <row r="150" spans="1:12" x14ac:dyDescent="0.35">
      <c r="A150" t="s">
        <v>3064</v>
      </c>
      <c r="B150" t="s">
        <v>3065</v>
      </c>
      <c r="C150" t="s">
        <v>3121</v>
      </c>
      <c r="D150" s="193">
        <v>45988</v>
      </c>
      <c r="E150" t="s">
        <v>3101</v>
      </c>
      <c r="F150">
        <v>0.65</v>
      </c>
      <c r="G150">
        <v>0.15</v>
      </c>
      <c r="H150">
        <f t="shared" si="6"/>
        <v>0.8</v>
      </c>
      <c r="I150" s="194">
        <v>2173038</v>
      </c>
      <c r="J150" s="194">
        <f t="shared" si="7"/>
        <v>325955.7</v>
      </c>
      <c r="K150" t="str">
        <f>_xlfn.XLOOKUP(B150,Cert_OC_Cliente!$B:$B,Cert_OC_Cliente!$L:$L)</f>
        <v>PTO 01</v>
      </c>
      <c r="L150" t="str">
        <f t="shared" si="8"/>
        <v>✓</v>
      </c>
    </row>
    <row r="151" spans="1:12" x14ac:dyDescent="0.35">
      <c r="A151" t="s">
        <v>3064</v>
      </c>
      <c r="B151" t="s">
        <v>3065</v>
      </c>
      <c r="C151" t="s">
        <v>3124</v>
      </c>
      <c r="D151" s="193">
        <v>45988</v>
      </c>
      <c r="E151" t="s">
        <v>3088</v>
      </c>
      <c r="F151">
        <v>0.95</v>
      </c>
      <c r="G151">
        <v>0.05</v>
      </c>
      <c r="H151">
        <f t="shared" si="6"/>
        <v>1</v>
      </c>
      <c r="I151" s="194">
        <v>6025104</v>
      </c>
      <c r="J151" s="194">
        <f t="shared" si="7"/>
        <v>301255.2</v>
      </c>
      <c r="K151" t="str">
        <f>_xlfn.XLOOKUP(B151,Cert_OC_Cliente!$B:$B,Cert_OC_Cliente!$L:$L)</f>
        <v>PTO 01</v>
      </c>
      <c r="L151" t="str">
        <f t="shared" si="8"/>
        <v>✓</v>
      </c>
    </row>
    <row r="152" spans="1:12" x14ac:dyDescent="0.35">
      <c r="A152" t="s">
        <v>3064</v>
      </c>
      <c r="B152" t="s">
        <v>3065</v>
      </c>
      <c r="C152" t="s">
        <v>3124</v>
      </c>
      <c r="D152" s="193">
        <v>45988</v>
      </c>
      <c r="E152" t="s">
        <v>3089</v>
      </c>
      <c r="F152">
        <v>0.95</v>
      </c>
      <c r="G152">
        <v>0.05</v>
      </c>
      <c r="H152">
        <f t="shared" si="6"/>
        <v>1</v>
      </c>
      <c r="I152" s="194">
        <v>1508264</v>
      </c>
      <c r="J152" s="194">
        <f t="shared" si="7"/>
        <v>75413.2</v>
      </c>
      <c r="K152" t="str">
        <f>_xlfn.XLOOKUP(B152,Cert_OC_Cliente!$B:$B,Cert_OC_Cliente!$L:$L)</f>
        <v>PTO 01</v>
      </c>
      <c r="L152" t="str">
        <f t="shared" si="8"/>
        <v>✓</v>
      </c>
    </row>
    <row r="153" spans="1:12" x14ac:dyDescent="0.35">
      <c r="A153" t="s">
        <v>3064</v>
      </c>
      <c r="B153" t="s">
        <v>3065</v>
      </c>
      <c r="C153" t="s">
        <v>3124</v>
      </c>
      <c r="D153" s="193">
        <v>45988</v>
      </c>
      <c r="E153" t="s">
        <v>3116</v>
      </c>
      <c r="F153">
        <v>0.45</v>
      </c>
      <c r="G153">
        <v>0.15</v>
      </c>
      <c r="H153">
        <f t="shared" si="6"/>
        <v>0.6</v>
      </c>
      <c r="I153" s="194">
        <v>5569216</v>
      </c>
      <c r="J153" s="194">
        <f t="shared" si="7"/>
        <v>835382.4</v>
      </c>
      <c r="K153" t="str">
        <f>_xlfn.XLOOKUP(B153,Cert_OC_Cliente!$B:$B,Cert_OC_Cliente!$L:$L)</f>
        <v>PTO 01</v>
      </c>
      <c r="L153" t="str">
        <f t="shared" si="8"/>
        <v>✓</v>
      </c>
    </row>
    <row r="154" spans="1:12" x14ac:dyDescent="0.35">
      <c r="A154" t="s">
        <v>3064</v>
      </c>
      <c r="B154" t="s">
        <v>3065</v>
      </c>
      <c r="C154" t="s">
        <v>3124</v>
      </c>
      <c r="D154" s="193">
        <v>45988</v>
      </c>
      <c r="E154" t="s">
        <v>3094</v>
      </c>
      <c r="F154">
        <v>0.79999999999999993</v>
      </c>
      <c r="G154">
        <v>0.05</v>
      </c>
      <c r="H154">
        <f t="shared" si="6"/>
        <v>0.85</v>
      </c>
      <c r="I154" s="194">
        <v>3618664</v>
      </c>
      <c r="J154" s="194">
        <f t="shared" si="7"/>
        <v>180933.2</v>
      </c>
      <c r="K154" t="str">
        <f>_xlfn.XLOOKUP(B154,Cert_OC_Cliente!$B:$B,Cert_OC_Cliente!$L:$L)</f>
        <v>PTO 01</v>
      </c>
      <c r="L154" t="str">
        <f t="shared" si="8"/>
        <v>✓</v>
      </c>
    </row>
    <row r="155" spans="1:12" x14ac:dyDescent="0.35">
      <c r="A155" t="s">
        <v>3064</v>
      </c>
      <c r="B155" t="s">
        <v>3065</v>
      </c>
      <c r="C155" t="s">
        <v>3124</v>
      </c>
      <c r="D155" s="193">
        <v>45988</v>
      </c>
      <c r="E155" t="s">
        <v>3095</v>
      </c>
      <c r="F155">
        <v>0.8</v>
      </c>
      <c r="G155">
        <v>0.1</v>
      </c>
      <c r="H155">
        <f t="shared" si="6"/>
        <v>0.9</v>
      </c>
      <c r="I155" s="194">
        <v>2513768</v>
      </c>
      <c r="J155" s="194">
        <f t="shared" si="7"/>
        <v>251376.80000000002</v>
      </c>
      <c r="K155" t="str">
        <f>_xlfn.XLOOKUP(B155,Cert_OC_Cliente!$B:$B,Cert_OC_Cliente!$L:$L)</f>
        <v>PTO 01</v>
      </c>
      <c r="L155" t="str">
        <f t="shared" si="8"/>
        <v>✓</v>
      </c>
    </row>
    <row r="156" spans="1:12" x14ac:dyDescent="0.35">
      <c r="A156" t="s">
        <v>3064</v>
      </c>
      <c r="B156" t="s">
        <v>3065</v>
      </c>
      <c r="C156" t="s">
        <v>3124</v>
      </c>
      <c r="D156" s="193">
        <v>45988</v>
      </c>
      <c r="E156" t="s">
        <v>3117</v>
      </c>
      <c r="F156">
        <v>0.6</v>
      </c>
      <c r="G156">
        <v>0.1</v>
      </c>
      <c r="H156">
        <f t="shared" si="6"/>
        <v>0.7</v>
      </c>
      <c r="I156" s="194">
        <v>2513104</v>
      </c>
      <c r="J156" s="194">
        <f t="shared" si="7"/>
        <v>251310.40000000002</v>
      </c>
      <c r="K156" t="str">
        <f>_xlfn.XLOOKUP(B156,Cert_OC_Cliente!$B:$B,Cert_OC_Cliente!$L:$L)</f>
        <v>PTO 01</v>
      </c>
      <c r="L156" t="str">
        <f t="shared" si="8"/>
        <v>✓</v>
      </c>
    </row>
    <row r="157" spans="1:12" x14ac:dyDescent="0.35">
      <c r="A157" t="s">
        <v>3064</v>
      </c>
      <c r="B157" t="s">
        <v>3065</v>
      </c>
      <c r="C157" t="s">
        <v>3124</v>
      </c>
      <c r="D157" s="193">
        <v>45988</v>
      </c>
      <c r="E157" t="s">
        <v>3090</v>
      </c>
      <c r="F157">
        <v>0.95</v>
      </c>
      <c r="G157">
        <v>0.05</v>
      </c>
      <c r="H157">
        <f t="shared" si="6"/>
        <v>1</v>
      </c>
      <c r="I157" s="194">
        <v>38192848</v>
      </c>
      <c r="J157" s="194">
        <f t="shared" si="7"/>
        <v>1909642.4000000001</v>
      </c>
      <c r="K157" t="str">
        <f>_xlfn.XLOOKUP(B157,Cert_OC_Cliente!$B:$B,Cert_OC_Cliente!$L:$L)</f>
        <v>PTO 01</v>
      </c>
      <c r="L157" t="str">
        <f t="shared" si="8"/>
        <v>✓</v>
      </c>
    </row>
    <row r="158" spans="1:12" x14ac:dyDescent="0.35">
      <c r="A158" t="s">
        <v>3064</v>
      </c>
      <c r="B158" t="s">
        <v>3065</v>
      </c>
      <c r="C158" t="s">
        <v>3124</v>
      </c>
      <c r="D158" s="193">
        <v>45988</v>
      </c>
      <c r="E158" t="s">
        <v>3091</v>
      </c>
      <c r="F158">
        <v>0.95</v>
      </c>
      <c r="G158">
        <v>0.05</v>
      </c>
      <c r="H158">
        <f t="shared" si="6"/>
        <v>1</v>
      </c>
      <c r="I158" s="194">
        <v>5027536</v>
      </c>
      <c r="J158" s="194">
        <f t="shared" si="7"/>
        <v>251376.80000000002</v>
      </c>
      <c r="K158" t="str">
        <f>_xlfn.XLOOKUP(B158,Cert_OC_Cliente!$B:$B,Cert_OC_Cliente!$L:$L)</f>
        <v>PTO 01</v>
      </c>
      <c r="L158" t="str">
        <f t="shared" si="8"/>
        <v>✓</v>
      </c>
    </row>
    <row r="159" spans="1:12" x14ac:dyDescent="0.35">
      <c r="A159" t="s">
        <v>3064</v>
      </c>
      <c r="B159" t="s">
        <v>3065</v>
      </c>
      <c r="C159" t="s">
        <v>3124</v>
      </c>
      <c r="D159" s="193">
        <v>45988</v>
      </c>
      <c r="E159" t="s">
        <v>3107</v>
      </c>
      <c r="F159">
        <v>0.65000000000000013</v>
      </c>
      <c r="G159">
        <v>0.2</v>
      </c>
      <c r="H159">
        <f t="shared" si="6"/>
        <v>0.85000000000000009</v>
      </c>
      <c r="I159" s="194">
        <v>56158668.631176777</v>
      </c>
      <c r="J159" s="194">
        <f t="shared" si="7"/>
        <v>11231733.726235356</v>
      </c>
      <c r="K159" t="str">
        <f>_xlfn.XLOOKUP(B159,Cert_OC_Cliente!$B:$B,Cert_OC_Cliente!$L:$L)</f>
        <v>PTO 01</v>
      </c>
      <c r="L159" t="str">
        <f t="shared" si="8"/>
        <v>✓</v>
      </c>
    </row>
    <row r="160" spans="1:12" x14ac:dyDescent="0.35">
      <c r="A160" t="s">
        <v>3064</v>
      </c>
      <c r="B160" t="s">
        <v>3065</v>
      </c>
      <c r="C160" t="s">
        <v>3124</v>
      </c>
      <c r="D160" s="193">
        <v>45988</v>
      </c>
      <c r="E160" t="s">
        <v>3108</v>
      </c>
      <c r="F160">
        <v>0.79999999999999993</v>
      </c>
      <c r="G160">
        <v>0.05</v>
      </c>
      <c r="H160">
        <f t="shared" si="6"/>
        <v>0.85</v>
      </c>
      <c r="I160" s="194">
        <v>51288278.390756533</v>
      </c>
      <c r="J160" s="194">
        <f t="shared" si="7"/>
        <v>2564413.9195378269</v>
      </c>
      <c r="K160" t="str">
        <f>_xlfn.XLOOKUP(B160,Cert_OC_Cliente!$B:$B,Cert_OC_Cliente!$L:$L)</f>
        <v>PTO 01</v>
      </c>
      <c r="L160" t="str">
        <f t="shared" si="8"/>
        <v>✓</v>
      </c>
    </row>
    <row r="161" spans="1:12" x14ac:dyDescent="0.35">
      <c r="A161" t="s">
        <v>3064</v>
      </c>
      <c r="B161" t="s">
        <v>3065</v>
      </c>
      <c r="C161" t="s">
        <v>3124</v>
      </c>
      <c r="D161" s="193">
        <v>45988</v>
      </c>
      <c r="E161" t="s">
        <v>3118</v>
      </c>
      <c r="F161">
        <v>0.85000000000000009</v>
      </c>
      <c r="G161">
        <v>0.1</v>
      </c>
      <c r="H161">
        <f t="shared" si="6"/>
        <v>0.95000000000000007</v>
      </c>
      <c r="I161" s="194">
        <v>11005413.82265928</v>
      </c>
      <c r="J161" s="194">
        <f t="shared" si="7"/>
        <v>1100541.382265928</v>
      </c>
      <c r="K161" t="str">
        <f>_xlfn.XLOOKUP(B161,Cert_OC_Cliente!$B:$B,Cert_OC_Cliente!$L:$L)</f>
        <v>PTO 01</v>
      </c>
      <c r="L161" t="str">
        <f t="shared" si="8"/>
        <v>✓</v>
      </c>
    </row>
    <row r="162" spans="1:12" x14ac:dyDescent="0.35">
      <c r="A162" t="s">
        <v>3064</v>
      </c>
      <c r="B162" t="s">
        <v>3065</v>
      </c>
      <c r="C162" t="s">
        <v>3124</v>
      </c>
      <c r="D162" s="193">
        <v>45988</v>
      </c>
      <c r="E162" t="s">
        <v>3105</v>
      </c>
      <c r="F162">
        <v>0.60000000000000009</v>
      </c>
      <c r="G162">
        <v>0.05</v>
      </c>
      <c r="H162">
        <f t="shared" si="6"/>
        <v>0.65000000000000013</v>
      </c>
      <c r="I162" s="194">
        <v>15009724.92977979</v>
      </c>
      <c r="J162" s="194">
        <f t="shared" si="7"/>
        <v>750486.24648898956</v>
      </c>
      <c r="K162" t="str">
        <f>_xlfn.XLOOKUP(B162,Cert_OC_Cliente!$B:$B,Cert_OC_Cliente!$L:$L)</f>
        <v>PTO 01</v>
      </c>
      <c r="L162" t="str">
        <f t="shared" si="8"/>
        <v>✓</v>
      </c>
    </row>
    <row r="163" spans="1:12" x14ac:dyDescent="0.35">
      <c r="A163" t="s">
        <v>3064</v>
      </c>
      <c r="B163" t="s">
        <v>3065</v>
      </c>
      <c r="C163" t="s">
        <v>3124</v>
      </c>
      <c r="D163" s="193">
        <v>45988</v>
      </c>
      <c r="E163" t="s">
        <v>3109</v>
      </c>
      <c r="F163">
        <v>0.70000000000000007</v>
      </c>
      <c r="G163">
        <v>0.1</v>
      </c>
      <c r="H163">
        <f t="shared" si="6"/>
        <v>0.8</v>
      </c>
      <c r="I163" s="194">
        <v>25588384.388188511</v>
      </c>
      <c r="J163" s="194">
        <f t="shared" si="7"/>
        <v>2558838.4388188515</v>
      </c>
      <c r="K163" t="str">
        <f>_xlfn.XLOOKUP(B163,Cert_OC_Cliente!$B:$B,Cert_OC_Cliente!$L:$L)</f>
        <v>PTO 01</v>
      </c>
      <c r="L163" t="str">
        <f t="shared" si="8"/>
        <v>✓</v>
      </c>
    </row>
    <row r="164" spans="1:12" x14ac:dyDescent="0.35">
      <c r="A164" t="s">
        <v>3064</v>
      </c>
      <c r="B164" t="s">
        <v>3065</v>
      </c>
      <c r="C164" t="s">
        <v>3124</v>
      </c>
      <c r="D164" s="193">
        <v>45988</v>
      </c>
      <c r="E164" t="s">
        <v>3119</v>
      </c>
      <c r="F164">
        <v>0.65000000000000013</v>
      </c>
      <c r="G164">
        <v>0.2</v>
      </c>
      <c r="H164">
        <f t="shared" si="6"/>
        <v>0.85000000000000009</v>
      </c>
      <c r="I164" s="194">
        <v>5473465.5122476295</v>
      </c>
      <c r="J164" s="194">
        <f t="shared" si="7"/>
        <v>1094693.1024495258</v>
      </c>
      <c r="K164" t="str">
        <f>_xlfn.XLOOKUP(B164,Cert_OC_Cliente!$B:$B,Cert_OC_Cliente!$L:$L)</f>
        <v>PTO 01</v>
      </c>
      <c r="L164" t="str">
        <f t="shared" si="8"/>
        <v>✓</v>
      </c>
    </row>
    <row r="165" spans="1:12" x14ac:dyDescent="0.35">
      <c r="A165" t="s">
        <v>3064</v>
      </c>
      <c r="B165" t="s">
        <v>3065</v>
      </c>
      <c r="C165" t="s">
        <v>3124</v>
      </c>
      <c r="D165" s="193">
        <v>45988</v>
      </c>
      <c r="E165" t="s">
        <v>3110</v>
      </c>
      <c r="F165">
        <v>0.70000000000000007</v>
      </c>
      <c r="G165">
        <v>0.1</v>
      </c>
      <c r="H165">
        <f t="shared" si="6"/>
        <v>0.8</v>
      </c>
      <c r="I165" s="194">
        <v>11089161</v>
      </c>
      <c r="J165" s="194">
        <f t="shared" si="7"/>
        <v>1108916.1000000001</v>
      </c>
      <c r="K165" t="str">
        <f>_xlfn.XLOOKUP(B165,Cert_OC_Cliente!$B:$B,Cert_OC_Cliente!$L:$L)</f>
        <v>PTO 01</v>
      </c>
      <c r="L165" t="str">
        <f t="shared" si="8"/>
        <v>✓</v>
      </c>
    </row>
    <row r="166" spans="1:12" x14ac:dyDescent="0.35">
      <c r="A166" t="s">
        <v>3064</v>
      </c>
      <c r="B166" t="s">
        <v>3065</v>
      </c>
      <c r="C166" t="s">
        <v>3124</v>
      </c>
      <c r="D166" s="193">
        <v>45988</v>
      </c>
      <c r="E166" t="s">
        <v>3101</v>
      </c>
      <c r="F166">
        <v>0.8</v>
      </c>
      <c r="G166">
        <v>0.05</v>
      </c>
      <c r="H166">
        <f t="shared" si="6"/>
        <v>0.85000000000000009</v>
      </c>
      <c r="I166" s="194">
        <v>2173038</v>
      </c>
      <c r="J166" s="194">
        <f t="shared" si="7"/>
        <v>108651.90000000001</v>
      </c>
      <c r="K166" t="str">
        <f>_xlfn.XLOOKUP(B166,Cert_OC_Cliente!$B:$B,Cert_OC_Cliente!$L:$L)</f>
        <v>PTO 01</v>
      </c>
      <c r="L166" t="str">
        <f t="shared" si="8"/>
        <v>✓</v>
      </c>
    </row>
    <row r="167" spans="1:12" x14ac:dyDescent="0.35">
      <c r="A167" t="s">
        <v>3064</v>
      </c>
      <c r="B167" t="s">
        <v>3065</v>
      </c>
      <c r="C167" t="s">
        <v>3125</v>
      </c>
      <c r="D167" s="193">
        <v>46050</v>
      </c>
      <c r="E167" t="s">
        <v>3123</v>
      </c>
      <c r="F167">
        <v>0.5</v>
      </c>
      <c r="G167">
        <v>0.3</v>
      </c>
      <c r="H167">
        <f t="shared" si="6"/>
        <v>0.8</v>
      </c>
      <c r="I167" s="194">
        <v>4606562</v>
      </c>
      <c r="J167" s="194">
        <f t="shared" si="7"/>
        <v>1381968.5999999999</v>
      </c>
      <c r="K167" t="str">
        <f>_xlfn.XLOOKUP(B167,Cert_OC_Cliente!$B:$B,Cert_OC_Cliente!$L:$L)</f>
        <v>PTO 01</v>
      </c>
      <c r="L167" t="str">
        <f t="shared" si="8"/>
        <v>✓</v>
      </c>
    </row>
    <row r="168" spans="1:12" x14ac:dyDescent="0.35">
      <c r="A168" t="s">
        <v>3064</v>
      </c>
      <c r="B168" t="s">
        <v>3065</v>
      </c>
      <c r="C168" t="s">
        <v>3125</v>
      </c>
      <c r="D168" s="193">
        <v>46050</v>
      </c>
      <c r="E168" t="s">
        <v>3116</v>
      </c>
      <c r="F168">
        <v>0.60000000000000009</v>
      </c>
      <c r="G168">
        <v>0.2</v>
      </c>
      <c r="H168">
        <f t="shared" si="6"/>
        <v>0.8</v>
      </c>
      <c r="I168" s="194">
        <v>5569216</v>
      </c>
      <c r="J168" s="194">
        <f t="shared" si="7"/>
        <v>1113843.2</v>
      </c>
      <c r="K168" t="str">
        <f>_xlfn.XLOOKUP(B168,Cert_OC_Cliente!$B:$B,Cert_OC_Cliente!$L:$L)</f>
        <v>PTO 01</v>
      </c>
      <c r="L168" t="str">
        <f t="shared" si="8"/>
        <v>✓</v>
      </c>
    </row>
    <row r="169" spans="1:12" x14ac:dyDescent="0.35">
      <c r="A169" t="s">
        <v>3064</v>
      </c>
      <c r="B169" t="s">
        <v>3065</v>
      </c>
      <c r="C169" t="s">
        <v>3125</v>
      </c>
      <c r="D169" s="193">
        <v>46050</v>
      </c>
      <c r="E169" t="s">
        <v>3094</v>
      </c>
      <c r="F169">
        <v>0.85</v>
      </c>
      <c r="G169">
        <v>0.05</v>
      </c>
      <c r="H169">
        <f t="shared" si="6"/>
        <v>0.9</v>
      </c>
      <c r="I169" s="194">
        <v>3618664</v>
      </c>
      <c r="J169" s="194">
        <f t="shared" si="7"/>
        <v>180933.2</v>
      </c>
      <c r="K169" t="str">
        <f>_xlfn.XLOOKUP(B169,Cert_OC_Cliente!$B:$B,Cert_OC_Cliente!$L:$L)</f>
        <v>PTO 01</v>
      </c>
      <c r="L169" t="str">
        <f t="shared" si="8"/>
        <v>✓</v>
      </c>
    </row>
    <row r="170" spans="1:12" x14ac:dyDescent="0.35">
      <c r="A170" t="s">
        <v>3064</v>
      </c>
      <c r="B170" t="s">
        <v>3065</v>
      </c>
      <c r="C170" t="s">
        <v>3125</v>
      </c>
      <c r="D170" s="193">
        <v>46050</v>
      </c>
      <c r="E170" t="s">
        <v>3095</v>
      </c>
      <c r="F170">
        <v>0.9</v>
      </c>
      <c r="G170">
        <v>0.1</v>
      </c>
      <c r="H170">
        <f t="shared" si="6"/>
        <v>1</v>
      </c>
      <c r="I170" s="194">
        <v>2513768</v>
      </c>
      <c r="J170" s="194">
        <f t="shared" si="7"/>
        <v>251376.80000000002</v>
      </c>
      <c r="K170" t="str">
        <f>_xlfn.XLOOKUP(B170,Cert_OC_Cliente!$B:$B,Cert_OC_Cliente!$L:$L)</f>
        <v>PTO 01</v>
      </c>
      <c r="L170" t="str">
        <f t="shared" si="8"/>
        <v>✓</v>
      </c>
    </row>
    <row r="171" spans="1:12" x14ac:dyDescent="0.35">
      <c r="A171" t="s">
        <v>3064</v>
      </c>
      <c r="B171" t="s">
        <v>3065</v>
      </c>
      <c r="C171" t="s">
        <v>3125</v>
      </c>
      <c r="D171" s="193">
        <v>46050</v>
      </c>
      <c r="E171" t="s">
        <v>3117</v>
      </c>
      <c r="F171">
        <v>0.7</v>
      </c>
      <c r="G171">
        <v>0.1</v>
      </c>
      <c r="H171">
        <f t="shared" si="6"/>
        <v>0.79999999999999993</v>
      </c>
      <c r="I171" s="194">
        <v>2513104</v>
      </c>
      <c r="J171" s="194">
        <f t="shared" si="7"/>
        <v>251310.40000000002</v>
      </c>
      <c r="K171" t="str">
        <f>_xlfn.XLOOKUP(B171,Cert_OC_Cliente!$B:$B,Cert_OC_Cliente!$L:$L)</f>
        <v>PTO 01</v>
      </c>
      <c r="L171" t="str">
        <f t="shared" si="8"/>
        <v>✓</v>
      </c>
    </row>
    <row r="172" spans="1:12" x14ac:dyDescent="0.35">
      <c r="A172" t="s">
        <v>3064</v>
      </c>
      <c r="B172" t="s">
        <v>3065</v>
      </c>
      <c r="C172" t="s">
        <v>3125</v>
      </c>
      <c r="D172" s="193">
        <v>46050</v>
      </c>
      <c r="E172" t="s">
        <v>3107</v>
      </c>
      <c r="F172">
        <v>0.85</v>
      </c>
      <c r="G172">
        <v>0.15</v>
      </c>
      <c r="H172">
        <f t="shared" si="6"/>
        <v>1</v>
      </c>
      <c r="I172" s="194">
        <v>56158668.631176777</v>
      </c>
      <c r="J172" s="194">
        <f t="shared" si="7"/>
        <v>8423800.2946765162</v>
      </c>
      <c r="K172" t="str">
        <f>_xlfn.XLOOKUP(B172,Cert_OC_Cliente!$B:$B,Cert_OC_Cliente!$L:$L)</f>
        <v>PTO 01</v>
      </c>
      <c r="L172" t="str">
        <f t="shared" si="8"/>
        <v>✓</v>
      </c>
    </row>
    <row r="173" spans="1:12" x14ac:dyDescent="0.35">
      <c r="A173" t="s">
        <v>3064</v>
      </c>
      <c r="B173" t="s">
        <v>3065</v>
      </c>
      <c r="C173" t="s">
        <v>3125</v>
      </c>
      <c r="D173" s="193">
        <v>46050</v>
      </c>
      <c r="E173" t="s">
        <v>3108</v>
      </c>
      <c r="F173">
        <v>0.85</v>
      </c>
      <c r="G173">
        <v>0.15</v>
      </c>
      <c r="H173">
        <f t="shared" si="6"/>
        <v>1</v>
      </c>
      <c r="I173" s="194">
        <v>51288278.390756533</v>
      </c>
      <c r="J173" s="194">
        <f t="shared" si="7"/>
        <v>7693241.7586134793</v>
      </c>
      <c r="K173" t="str">
        <f>_xlfn.XLOOKUP(B173,Cert_OC_Cliente!$B:$B,Cert_OC_Cliente!$L:$L)</f>
        <v>PTO 01</v>
      </c>
      <c r="L173" t="str">
        <f t="shared" si="8"/>
        <v>✓</v>
      </c>
    </row>
    <row r="174" spans="1:12" x14ac:dyDescent="0.35">
      <c r="A174" t="s">
        <v>3064</v>
      </c>
      <c r="B174" t="s">
        <v>3065</v>
      </c>
      <c r="C174" t="s">
        <v>3125</v>
      </c>
      <c r="D174" s="193">
        <v>46050</v>
      </c>
      <c r="E174" t="s">
        <v>3118</v>
      </c>
      <c r="F174">
        <v>0.95</v>
      </c>
      <c r="G174">
        <v>0.05</v>
      </c>
      <c r="H174">
        <f t="shared" si="6"/>
        <v>1</v>
      </c>
      <c r="I174" s="194">
        <v>11005413.82265928</v>
      </c>
      <c r="J174" s="194">
        <f t="shared" si="7"/>
        <v>550270.69113296398</v>
      </c>
      <c r="K174" t="str">
        <f>_xlfn.XLOOKUP(B174,Cert_OC_Cliente!$B:$B,Cert_OC_Cliente!$L:$L)</f>
        <v>PTO 01</v>
      </c>
      <c r="L174" t="str">
        <f t="shared" si="8"/>
        <v>✓</v>
      </c>
    </row>
    <row r="175" spans="1:12" x14ac:dyDescent="0.35">
      <c r="A175" t="s">
        <v>3064</v>
      </c>
      <c r="B175" t="s">
        <v>3065</v>
      </c>
      <c r="C175" t="s">
        <v>3125</v>
      </c>
      <c r="D175" s="193">
        <v>46050</v>
      </c>
      <c r="E175" t="s">
        <v>3105</v>
      </c>
      <c r="F175">
        <v>0.65</v>
      </c>
      <c r="G175">
        <v>0.35</v>
      </c>
      <c r="H175">
        <f t="shared" si="6"/>
        <v>1</v>
      </c>
      <c r="I175" s="194">
        <v>15009724.92977979</v>
      </c>
      <c r="J175" s="194">
        <f t="shared" si="7"/>
        <v>5253403.7254229262</v>
      </c>
      <c r="K175" t="str">
        <f>_xlfn.XLOOKUP(B175,Cert_OC_Cliente!$B:$B,Cert_OC_Cliente!$L:$L)</f>
        <v>PTO 01</v>
      </c>
      <c r="L175" t="str">
        <f t="shared" si="8"/>
        <v>✓</v>
      </c>
    </row>
    <row r="176" spans="1:12" x14ac:dyDescent="0.35">
      <c r="A176" t="s">
        <v>3064</v>
      </c>
      <c r="B176" t="s">
        <v>3065</v>
      </c>
      <c r="C176" t="s">
        <v>3125</v>
      </c>
      <c r="D176" s="193">
        <v>46050</v>
      </c>
      <c r="E176" t="s">
        <v>3109</v>
      </c>
      <c r="F176">
        <v>0.8</v>
      </c>
      <c r="G176">
        <v>0.2</v>
      </c>
      <c r="H176">
        <f t="shared" si="6"/>
        <v>1</v>
      </c>
      <c r="I176" s="194">
        <v>25588384.388188511</v>
      </c>
      <c r="J176" s="194">
        <f t="shared" si="7"/>
        <v>5117676.877637703</v>
      </c>
      <c r="K176" t="str">
        <f>_xlfn.XLOOKUP(B176,Cert_OC_Cliente!$B:$B,Cert_OC_Cliente!$L:$L)</f>
        <v>PTO 01</v>
      </c>
      <c r="L176" t="str">
        <f t="shared" si="8"/>
        <v>✓</v>
      </c>
    </row>
    <row r="177" spans="1:12" x14ac:dyDescent="0.35">
      <c r="A177" t="s">
        <v>3064</v>
      </c>
      <c r="B177" t="s">
        <v>3065</v>
      </c>
      <c r="C177" t="s">
        <v>3125</v>
      </c>
      <c r="D177" s="193">
        <v>46050</v>
      </c>
      <c r="E177" t="s">
        <v>3119</v>
      </c>
      <c r="F177">
        <v>0.85</v>
      </c>
      <c r="G177">
        <v>0.15</v>
      </c>
      <c r="H177">
        <f t="shared" si="6"/>
        <v>1</v>
      </c>
      <c r="I177" s="194">
        <v>5473465.5122476295</v>
      </c>
      <c r="J177" s="194">
        <f t="shared" si="7"/>
        <v>821019.82683714444</v>
      </c>
      <c r="K177" t="str">
        <f>_xlfn.XLOOKUP(B177,Cert_OC_Cliente!$B:$B,Cert_OC_Cliente!$L:$L)</f>
        <v>PTO 01</v>
      </c>
      <c r="L177" t="str">
        <f t="shared" si="8"/>
        <v>✓</v>
      </c>
    </row>
    <row r="178" spans="1:12" x14ac:dyDescent="0.35">
      <c r="A178" t="s">
        <v>3064</v>
      </c>
      <c r="B178" t="s">
        <v>3065</v>
      </c>
      <c r="C178" t="s">
        <v>3125</v>
      </c>
      <c r="D178" s="193">
        <v>46050</v>
      </c>
      <c r="E178" t="s">
        <v>3126</v>
      </c>
      <c r="F178">
        <v>0</v>
      </c>
      <c r="G178">
        <v>1</v>
      </c>
      <c r="H178">
        <f t="shared" si="6"/>
        <v>1</v>
      </c>
      <c r="I178" s="194">
        <v>-1608184.8139049781</v>
      </c>
      <c r="J178" s="194">
        <f t="shared" si="7"/>
        <v>-1608184.8139049781</v>
      </c>
      <c r="K178" t="str">
        <f>_xlfn.XLOOKUP(B178,Cert_OC_Cliente!$B:$B,Cert_OC_Cliente!$L:$L)</f>
        <v>PTO 01</v>
      </c>
      <c r="L178" t="str">
        <f t="shared" si="8"/>
        <v>✓</v>
      </c>
    </row>
    <row r="179" spans="1:12" x14ac:dyDescent="0.35">
      <c r="A179" t="s">
        <v>3064</v>
      </c>
      <c r="B179" t="s">
        <v>3065</v>
      </c>
      <c r="C179" t="s">
        <v>3125</v>
      </c>
      <c r="D179" s="193">
        <v>46050</v>
      </c>
      <c r="E179" t="s">
        <v>3101</v>
      </c>
      <c r="F179">
        <v>0.85</v>
      </c>
      <c r="G179">
        <v>0.15</v>
      </c>
      <c r="H179">
        <f t="shared" si="6"/>
        <v>1</v>
      </c>
      <c r="I179" s="194">
        <v>2173038</v>
      </c>
      <c r="J179" s="194">
        <f t="shared" si="7"/>
        <v>325955.7</v>
      </c>
      <c r="K179" t="str">
        <f>_xlfn.XLOOKUP(B179,Cert_OC_Cliente!$B:$B,Cert_OC_Cliente!$L:$L)</f>
        <v>PTO 01</v>
      </c>
      <c r="L179" t="str">
        <f t="shared" si="8"/>
        <v>✓</v>
      </c>
    </row>
    <row r="180" spans="1:12" x14ac:dyDescent="0.35">
      <c r="A180" t="s">
        <v>3064</v>
      </c>
      <c r="B180" t="s">
        <v>3065</v>
      </c>
      <c r="C180" t="s">
        <v>3125</v>
      </c>
      <c r="D180" s="193">
        <v>46050</v>
      </c>
      <c r="E180" t="s">
        <v>3102</v>
      </c>
      <c r="F180">
        <v>0.75</v>
      </c>
      <c r="G180">
        <v>0.25</v>
      </c>
      <c r="H180">
        <f t="shared" si="6"/>
        <v>1</v>
      </c>
      <c r="I180" s="194">
        <v>276516</v>
      </c>
      <c r="J180" s="194">
        <f t="shared" si="7"/>
        <v>69129</v>
      </c>
      <c r="K180" t="str">
        <f>_xlfn.XLOOKUP(B180,Cert_OC_Cliente!$B:$B,Cert_OC_Cliente!$L:$L)</f>
        <v>PTO 01</v>
      </c>
      <c r="L180" t="str">
        <f t="shared" si="8"/>
        <v>✓</v>
      </c>
    </row>
    <row r="181" spans="1:12" x14ac:dyDescent="0.35">
      <c r="A181" t="s">
        <v>3064</v>
      </c>
      <c r="B181" t="s">
        <v>3065</v>
      </c>
      <c r="C181" t="s">
        <v>3127</v>
      </c>
      <c r="D181" s="193">
        <v>46080</v>
      </c>
      <c r="E181" t="s">
        <v>3082</v>
      </c>
      <c r="F181">
        <v>0.8</v>
      </c>
      <c r="G181">
        <v>0.2</v>
      </c>
      <c r="H181">
        <f t="shared" si="6"/>
        <v>1</v>
      </c>
      <c r="I181" s="194">
        <v>7548771</v>
      </c>
      <c r="J181" s="194">
        <f t="shared" si="7"/>
        <v>1509754.2000000002</v>
      </c>
      <c r="K181" t="str">
        <f>_xlfn.XLOOKUP(B181,Cert_OC_Cliente!$B:$B,Cert_OC_Cliente!$L:$L)</f>
        <v>PTO 01</v>
      </c>
      <c r="L181" t="str">
        <f t="shared" si="8"/>
        <v>✓</v>
      </c>
    </row>
    <row r="182" spans="1:12" x14ac:dyDescent="0.35">
      <c r="A182" t="s">
        <v>3064</v>
      </c>
      <c r="B182" t="s">
        <v>3065</v>
      </c>
      <c r="C182" t="s">
        <v>3127</v>
      </c>
      <c r="D182" s="193">
        <v>46080</v>
      </c>
      <c r="E182" t="s">
        <v>3128</v>
      </c>
      <c r="F182">
        <v>0</v>
      </c>
      <c r="G182">
        <v>1</v>
      </c>
      <c r="H182">
        <f t="shared" si="6"/>
        <v>1</v>
      </c>
      <c r="I182" s="194">
        <v>1405632</v>
      </c>
      <c r="J182" s="194">
        <f t="shared" si="7"/>
        <v>1405632</v>
      </c>
      <c r="K182" t="str">
        <f>_xlfn.XLOOKUP(B182,Cert_OC_Cliente!$B:$B,Cert_OC_Cliente!$L:$L)</f>
        <v>PTO 01</v>
      </c>
      <c r="L182" t="str">
        <f t="shared" si="8"/>
        <v>✓</v>
      </c>
    </row>
    <row r="183" spans="1:12" x14ac:dyDescent="0.35">
      <c r="A183" t="s">
        <v>3064</v>
      </c>
      <c r="B183" t="s">
        <v>3065</v>
      </c>
      <c r="C183" t="s">
        <v>3127</v>
      </c>
      <c r="D183" s="193">
        <v>46080</v>
      </c>
      <c r="E183" t="s">
        <v>3085</v>
      </c>
      <c r="F183">
        <v>0.65</v>
      </c>
      <c r="G183">
        <v>0.35</v>
      </c>
      <c r="H183">
        <f t="shared" si="6"/>
        <v>1</v>
      </c>
      <c r="I183" s="194">
        <v>426487</v>
      </c>
      <c r="J183" s="194">
        <f t="shared" si="7"/>
        <v>149270.44999999998</v>
      </c>
      <c r="K183" t="str">
        <f>_xlfn.XLOOKUP(B183,Cert_OC_Cliente!$B:$B,Cert_OC_Cliente!$L:$L)</f>
        <v>PTO 01</v>
      </c>
      <c r="L183" t="str">
        <f t="shared" si="8"/>
        <v>✓</v>
      </c>
    </row>
    <row r="184" spans="1:12" x14ac:dyDescent="0.35">
      <c r="A184" t="s">
        <v>3064</v>
      </c>
      <c r="B184" t="s">
        <v>3065</v>
      </c>
      <c r="C184" t="s">
        <v>3127</v>
      </c>
      <c r="D184" s="193">
        <v>46080</v>
      </c>
      <c r="E184" t="s">
        <v>3123</v>
      </c>
      <c r="F184">
        <v>0.8</v>
      </c>
      <c r="G184">
        <v>0.2</v>
      </c>
      <c r="H184">
        <f t="shared" si="6"/>
        <v>1</v>
      </c>
      <c r="I184" s="194">
        <v>4606562</v>
      </c>
      <c r="J184" s="194">
        <f t="shared" si="7"/>
        <v>921312.4</v>
      </c>
      <c r="K184" t="str">
        <f>_xlfn.XLOOKUP(B184,Cert_OC_Cliente!$B:$B,Cert_OC_Cliente!$L:$L)</f>
        <v>PTO 01</v>
      </c>
      <c r="L184" t="str">
        <f t="shared" si="8"/>
        <v>✓</v>
      </c>
    </row>
    <row r="185" spans="1:12" x14ac:dyDescent="0.35">
      <c r="A185" t="s">
        <v>3064</v>
      </c>
      <c r="B185" t="s">
        <v>3065</v>
      </c>
      <c r="C185" t="s">
        <v>3127</v>
      </c>
      <c r="D185" s="193">
        <v>46080</v>
      </c>
      <c r="E185" t="s">
        <v>3116</v>
      </c>
      <c r="F185">
        <v>0.8</v>
      </c>
      <c r="G185">
        <v>0.2</v>
      </c>
      <c r="H185">
        <f t="shared" si="6"/>
        <v>1</v>
      </c>
      <c r="I185" s="194">
        <v>5569216</v>
      </c>
      <c r="J185" s="194">
        <f t="shared" si="7"/>
        <v>1113843.2</v>
      </c>
      <c r="K185" t="str">
        <f>_xlfn.XLOOKUP(B185,Cert_OC_Cliente!$B:$B,Cert_OC_Cliente!$L:$L)</f>
        <v>PTO 01</v>
      </c>
      <c r="L185" t="str">
        <f t="shared" si="8"/>
        <v>✓</v>
      </c>
    </row>
    <row r="186" spans="1:12" x14ac:dyDescent="0.35">
      <c r="A186" t="s">
        <v>3064</v>
      </c>
      <c r="B186" t="s">
        <v>3065</v>
      </c>
      <c r="C186" t="s">
        <v>3127</v>
      </c>
      <c r="D186" s="193">
        <v>46080</v>
      </c>
      <c r="E186" t="s">
        <v>3094</v>
      </c>
      <c r="F186">
        <v>0.9</v>
      </c>
      <c r="G186">
        <v>0.1</v>
      </c>
      <c r="H186">
        <f t="shared" si="6"/>
        <v>1</v>
      </c>
      <c r="I186" s="194">
        <v>3618664</v>
      </c>
      <c r="J186" s="194">
        <f t="shared" si="7"/>
        <v>361866.4</v>
      </c>
      <c r="K186" t="str">
        <f>_xlfn.XLOOKUP(B186,Cert_OC_Cliente!$B:$B,Cert_OC_Cliente!$L:$L)</f>
        <v>PTO 01</v>
      </c>
      <c r="L186" t="str">
        <f t="shared" si="8"/>
        <v>✓</v>
      </c>
    </row>
    <row r="187" spans="1:12" x14ac:dyDescent="0.35">
      <c r="A187" t="s">
        <v>3064</v>
      </c>
      <c r="B187" t="s">
        <v>3065</v>
      </c>
      <c r="C187" t="s">
        <v>3127</v>
      </c>
      <c r="D187" s="193">
        <v>46080</v>
      </c>
      <c r="E187" t="s">
        <v>3117</v>
      </c>
      <c r="F187">
        <v>0.8</v>
      </c>
      <c r="G187">
        <v>0.2</v>
      </c>
      <c r="H187">
        <f t="shared" si="6"/>
        <v>1</v>
      </c>
      <c r="I187" s="194">
        <v>2513104</v>
      </c>
      <c r="J187" s="194">
        <f t="shared" si="7"/>
        <v>502620.80000000005</v>
      </c>
      <c r="K187" t="str">
        <f>_xlfn.XLOOKUP(B187,Cert_OC_Cliente!$B:$B,Cert_OC_Cliente!$L:$L)</f>
        <v>PTO 01</v>
      </c>
      <c r="L187" t="str">
        <f t="shared" si="8"/>
        <v>✓</v>
      </c>
    </row>
    <row r="188" spans="1:12" x14ac:dyDescent="0.35">
      <c r="A188" t="s">
        <v>3064</v>
      </c>
      <c r="B188" t="s">
        <v>3065</v>
      </c>
      <c r="C188" t="s">
        <v>3127</v>
      </c>
      <c r="D188" s="193">
        <v>46080</v>
      </c>
      <c r="E188" t="s">
        <v>3110</v>
      </c>
      <c r="F188">
        <v>0.8</v>
      </c>
      <c r="G188">
        <v>0.2</v>
      </c>
      <c r="H188">
        <f t="shared" si="6"/>
        <v>1</v>
      </c>
      <c r="I188" s="194">
        <v>11089161</v>
      </c>
      <c r="J188" s="194">
        <f t="shared" si="7"/>
        <v>2217832.2000000002</v>
      </c>
      <c r="K188" t="str">
        <f>_xlfn.XLOOKUP(B188,Cert_OC_Cliente!$B:$B,Cert_OC_Cliente!$L:$L)</f>
        <v>PTO 01</v>
      </c>
      <c r="L188" t="str">
        <f t="shared" si="8"/>
        <v>✓</v>
      </c>
    </row>
    <row r="189" spans="1:12" x14ac:dyDescent="0.35">
      <c r="A189" t="s">
        <v>3064</v>
      </c>
      <c r="B189" t="s">
        <v>3067</v>
      </c>
      <c r="C189" t="s">
        <v>3129</v>
      </c>
      <c r="D189" s="193">
        <v>45958</v>
      </c>
      <c r="E189" t="s">
        <v>3130</v>
      </c>
      <c r="F189">
        <v>0</v>
      </c>
      <c r="G189">
        <v>0.2</v>
      </c>
      <c r="H189">
        <f t="shared" si="6"/>
        <v>0.2</v>
      </c>
      <c r="I189" s="194">
        <v>23499616</v>
      </c>
      <c r="J189" s="194">
        <f t="shared" si="7"/>
        <v>4699923.2</v>
      </c>
      <c r="K189" t="str">
        <f>_xlfn.XLOOKUP(B189,Cert_OC_Cliente!$B:$B,Cert_OC_Cliente!$L:$L)</f>
        <v>PTO 02</v>
      </c>
      <c r="L189" t="str">
        <f t="shared" si="8"/>
        <v>✓</v>
      </c>
    </row>
    <row r="190" spans="1:12" x14ac:dyDescent="0.35">
      <c r="A190" t="s">
        <v>3064</v>
      </c>
      <c r="B190" t="s">
        <v>3067</v>
      </c>
      <c r="C190" t="s">
        <v>3129</v>
      </c>
      <c r="D190" s="193">
        <v>45958</v>
      </c>
      <c r="E190" t="s">
        <v>3131</v>
      </c>
      <c r="F190">
        <v>0</v>
      </c>
      <c r="G190">
        <v>0.1</v>
      </c>
      <c r="H190">
        <f t="shared" si="6"/>
        <v>0.1</v>
      </c>
      <c r="I190" s="194">
        <v>1139012</v>
      </c>
      <c r="J190" s="194">
        <f t="shared" si="7"/>
        <v>113901.20000000001</v>
      </c>
      <c r="K190" t="str">
        <f>_xlfn.XLOOKUP(B190,Cert_OC_Cliente!$B:$B,Cert_OC_Cliente!$L:$L)</f>
        <v>PTO 02</v>
      </c>
      <c r="L190" t="str">
        <f t="shared" si="8"/>
        <v>✓</v>
      </c>
    </row>
    <row r="191" spans="1:12" x14ac:dyDescent="0.35">
      <c r="A191" t="s">
        <v>3064</v>
      </c>
      <c r="B191" t="s">
        <v>3067</v>
      </c>
      <c r="C191" t="s">
        <v>3129</v>
      </c>
      <c r="D191" s="193">
        <v>45958</v>
      </c>
      <c r="E191" t="s">
        <v>3132</v>
      </c>
      <c r="F191">
        <v>0</v>
      </c>
      <c r="G191">
        <v>0.1</v>
      </c>
      <c r="H191">
        <f t="shared" si="6"/>
        <v>0.1</v>
      </c>
      <c r="I191" s="194">
        <v>20048305</v>
      </c>
      <c r="J191" s="194">
        <f t="shared" si="7"/>
        <v>2004830.5</v>
      </c>
      <c r="K191" t="str">
        <f>_xlfn.XLOOKUP(B191,Cert_OC_Cliente!$B:$B,Cert_OC_Cliente!$L:$L)</f>
        <v>PTO 02</v>
      </c>
      <c r="L191" t="str">
        <f t="shared" si="8"/>
        <v>✓</v>
      </c>
    </row>
    <row r="192" spans="1:12" x14ac:dyDescent="0.35">
      <c r="A192" t="s">
        <v>3064</v>
      </c>
      <c r="B192" t="s">
        <v>3067</v>
      </c>
      <c r="C192" t="s">
        <v>3129</v>
      </c>
      <c r="D192" s="193">
        <v>45958</v>
      </c>
      <c r="E192" t="s">
        <v>3133</v>
      </c>
      <c r="F192">
        <v>0</v>
      </c>
      <c r="G192">
        <v>0.1</v>
      </c>
      <c r="H192">
        <f t="shared" si="6"/>
        <v>0.1</v>
      </c>
      <c r="I192" s="194">
        <v>2256800</v>
      </c>
      <c r="J192" s="194">
        <f t="shared" si="7"/>
        <v>225680</v>
      </c>
      <c r="K192" t="str">
        <f>_xlfn.XLOOKUP(B192,Cert_OC_Cliente!$B:$B,Cert_OC_Cliente!$L:$L)</f>
        <v>PTO 02</v>
      </c>
      <c r="L192" t="str">
        <f t="shared" si="8"/>
        <v>✓</v>
      </c>
    </row>
    <row r="193" spans="1:12" x14ac:dyDescent="0.35">
      <c r="A193" t="s">
        <v>3064</v>
      </c>
      <c r="B193" t="s">
        <v>3067</v>
      </c>
      <c r="C193" t="s">
        <v>3129</v>
      </c>
      <c r="D193" s="193">
        <v>45958</v>
      </c>
      <c r="E193" t="s">
        <v>3134</v>
      </c>
      <c r="F193">
        <v>0</v>
      </c>
      <c r="G193">
        <v>0.1</v>
      </c>
      <c r="H193">
        <f t="shared" si="6"/>
        <v>0.1</v>
      </c>
      <c r="I193" s="194">
        <v>919120</v>
      </c>
      <c r="J193" s="194">
        <f t="shared" si="7"/>
        <v>91912</v>
      </c>
      <c r="K193" t="str">
        <f>_xlfn.XLOOKUP(B193,Cert_OC_Cliente!$B:$B,Cert_OC_Cliente!$L:$L)</f>
        <v>PTO 02</v>
      </c>
      <c r="L193" t="str">
        <f t="shared" si="8"/>
        <v>✓</v>
      </c>
    </row>
    <row r="194" spans="1:12" x14ac:dyDescent="0.35">
      <c r="A194" t="s">
        <v>3064</v>
      </c>
      <c r="B194" t="s">
        <v>3067</v>
      </c>
      <c r="C194" t="s">
        <v>3129</v>
      </c>
      <c r="D194" s="193">
        <v>45958</v>
      </c>
      <c r="E194" t="s">
        <v>3135</v>
      </c>
      <c r="F194">
        <v>0</v>
      </c>
      <c r="G194">
        <v>0.1</v>
      </c>
      <c r="H194">
        <f t="shared" ref="H194:H257" si="9">F194+G194</f>
        <v>0.1</v>
      </c>
      <c r="I194" s="194">
        <v>1987798</v>
      </c>
      <c r="J194" s="194">
        <f t="shared" ref="J194:J257" si="10">G194*I194</f>
        <v>198779.80000000002</v>
      </c>
      <c r="K194" t="str">
        <f>_xlfn.XLOOKUP(B194,Cert_OC_Cliente!$B:$B,Cert_OC_Cliente!$L:$L)</f>
        <v>PTO 02</v>
      </c>
      <c r="L194" t="str">
        <f t="shared" ref="L194:L257" si="11">IF($E194="","",IF(AND(ISNUMBER($I194),$H194&lt;=1.0001),"✓","⚠"))</f>
        <v>✓</v>
      </c>
    </row>
    <row r="195" spans="1:12" x14ac:dyDescent="0.35">
      <c r="A195" t="s">
        <v>3064</v>
      </c>
      <c r="B195" t="s">
        <v>3067</v>
      </c>
      <c r="C195" t="s">
        <v>3129</v>
      </c>
      <c r="D195" s="193">
        <v>45958</v>
      </c>
      <c r="E195" t="s">
        <v>3136</v>
      </c>
      <c r="F195">
        <v>0</v>
      </c>
      <c r="G195">
        <v>0.1</v>
      </c>
      <c r="H195">
        <f t="shared" si="9"/>
        <v>0.1</v>
      </c>
      <c r="I195" s="194">
        <v>734621</v>
      </c>
      <c r="J195" s="194">
        <f t="shared" si="10"/>
        <v>73462.100000000006</v>
      </c>
      <c r="K195" t="str">
        <f>_xlfn.XLOOKUP(B195,Cert_OC_Cliente!$B:$B,Cert_OC_Cliente!$L:$L)</f>
        <v>PTO 02</v>
      </c>
      <c r="L195" t="str">
        <f t="shared" si="11"/>
        <v>✓</v>
      </c>
    </row>
    <row r="196" spans="1:12" x14ac:dyDescent="0.35">
      <c r="A196" t="s">
        <v>3064</v>
      </c>
      <c r="B196" t="s">
        <v>3067</v>
      </c>
      <c r="C196" t="s">
        <v>3129</v>
      </c>
      <c r="D196" s="193">
        <v>45958</v>
      </c>
      <c r="E196" t="s">
        <v>3137</v>
      </c>
      <c r="F196">
        <v>0</v>
      </c>
      <c r="G196">
        <v>0.6</v>
      </c>
      <c r="H196">
        <f t="shared" si="9"/>
        <v>0.6</v>
      </c>
      <c r="I196" s="194">
        <v>475343</v>
      </c>
      <c r="J196" s="194">
        <f t="shared" si="10"/>
        <v>285205.8</v>
      </c>
      <c r="K196" t="str">
        <f>_xlfn.XLOOKUP(B196,Cert_OC_Cliente!$B:$B,Cert_OC_Cliente!$L:$L)</f>
        <v>PTO 02</v>
      </c>
      <c r="L196" t="str">
        <f t="shared" si="11"/>
        <v>✓</v>
      </c>
    </row>
    <row r="197" spans="1:12" x14ac:dyDescent="0.35">
      <c r="A197" t="s">
        <v>3064</v>
      </c>
      <c r="B197" t="s">
        <v>3067</v>
      </c>
      <c r="C197" t="s">
        <v>3129</v>
      </c>
      <c r="D197" s="193">
        <v>45958</v>
      </c>
      <c r="E197" t="s">
        <v>3138</v>
      </c>
      <c r="F197">
        <v>0</v>
      </c>
      <c r="G197">
        <v>0.05</v>
      </c>
      <c r="H197">
        <f t="shared" si="9"/>
        <v>0.05</v>
      </c>
      <c r="I197" s="194">
        <v>7236758</v>
      </c>
      <c r="J197" s="194">
        <f t="shared" si="10"/>
        <v>361837.9</v>
      </c>
      <c r="K197" t="str">
        <f>_xlfn.XLOOKUP(B197,Cert_OC_Cliente!$B:$B,Cert_OC_Cliente!$L:$L)</f>
        <v>PTO 02</v>
      </c>
      <c r="L197" t="str">
        <f t="shared" si="11"/>
        <v>✓</v>
      </c>
    </row>
    <row r="198" spans="1:12" x14ac:dyDescent="0.35">
      <c r="A198" t="s">
        <v>3064</v>
      </c>
      <c r="B198" t="s">
        <v>3067</v>
      </c>
      <c r="C198" t="s">
        <v>3129</v>
      </c>
      <c r="D198" s="193">
        <v>45958</v>
      </c>
      <c r="E198" t="s">
        <v>3139</v>
      </c>
      <c r="F198">
        <v>0</v>
      </c>
      <c r="G198">
        <v>0.05</v>
      </c>
      <c r="H198">
        <f t="shared" si="9"/>
        <v>0.05</v>
      </c>
      <c r="I198" s="194">
        <v>2675380</v>
      </c>
      <c r="J198" s="194">
        <f t="shared" si="10"/>
        <v>133769</v>
      </c>
      <c r="K198" t="str">
        <f>_xlfn.XLOOKUP(B198,Cert_OC_Cliente!$B:$B,Cert_OC_Cliente!$L:$L)</f>
        <v>PTO 02</v>
      </c>
      <c r="L198" t="str">
        <f t="shared" si="11"/>
        <v>✓</v>
      </c>
    </row>
    <row r="199" spans="1:12" x14ac:dyDescent="0.35">
      <c r="A199" t="s">
        <v>3064</v>
      </c>
      <c r="B199" t="s">
        <v>3067</v>
      </c>
      <c r="C199" t="s">
        <v>3129</v>
      </c>
      <c r="D199" s="193">
        <v>45958</v>
      </c>
      <c r="E199" t="s">
        <v>3140</v>
      </c>
      <c r="F199">
        <v>0</v>
      </c>
      <c r="G199">
        <v>1</v>
      </c>
      <c r="H199">
        <f t="shared" si="9"/>
        <v>1</v>
      </c>
      <c r="I199" s="194">
        <v>16967915</v>
      </c>
      <c r="J199" s="194">
        <f t="shared" si="10"/>
        <v>16967915</v>
      </c>
      <c r="K199" t="str">
        <f>_xlfn.XLOOKUP(B199,Cert_OC_Cliente!$B:$B,Cert_OC_Cliente!$L:$L)</f>
        <v>PTO 02</v>
      </c>
      <c r="L199" t="str">
        <f t="shared" si="11"/>
        <v>✓</v>
      </c>
    </row>
    <row r="200" spans="1:12" x14ac:dyDescent="0.35">
      <c r="A200" t="s">
        <v>3064</v>
      </c>
      <c r="B200" t="s">
        <v>3067</v>
      </c>
      <c r="C200" t="s">
        <v>3129</v>
      </c>
      <c r="D200" s="193">
        <v>45958</v>
      </c>
      <c r="E200" t="s">
        <v>3141</v>
      </c>
      <c r="F200">
        <v>0</v>
      </c>
      <c r="G200">
        <v>0.5</v>
      </c>
      <c r="H200">
        <f t="shared" si="9"/>
        <v>0.5</v>
      </c>
      <c r="I200" s="194">
        <v>3319680</v>
      </c>
      <c r="J200" s="194">
        <f t="shared" si="10"/>
        <v>1659840</v>
      </c>
      <c r="K200" t="str">
        <f>_xlfn.XLOOKUP(B200,Cert_OC_Cliente!$B:$B,Cert_OC_Cliente!$L:$L)</f>
        <v>PTO 02</v>
      </c>
      <c r="L200" t="str">
        <f t="shared" si="11"/>
        <v>✓</v>
      </c>
    </row>
    <row r="201" spans="1:12" x14ac:dyDescent="0.35">
      <c r="A201" t="s">
        <v>3064</v>
      </c>
      <c r="B201" t="s">
        <v>3067</v>
      </c>
      <c r="C201" t="s">
        <v>3142</v>
      </c>
      <c r="D201" s="193">
        <v>45988</v>
      </c>
      <c r="E201" t="s">
        <v>3130</v>
      </c>
      <c r="F201">
        <v>0.2</v>
      </c>
      <c r="G201">
        <v>0.1</v>
      </c>
      <c r="H201">
        <f t="shared" si="9"/>
        <v>0.30000000000000004</v>
      </c>
      <c r="I201" s="194">
        <v>23499616</v>
      </c>
      <c r="J201" s="194">
        <f t="shared" si="10"/>
        <v>2349961.6</v>
      </c>
      <c r="K201" t="str">
        <f>_xlfn.XLOOKUP(B201,Cert_OC_Cliente!$B:$B,Cert_OC_Cliente!$L:$L)</f>
        <v>PTO 02</v>
      </c>
      <c r="L201" t="str">
        <f t="shared" si="11"/>
        <v>✓</v>
      </c>
    </row>
    <row r="202" spans="1:12" x14ac:dyDescent="0.35">
      <c r="A202" t="s">
        <v>3064</v>
      </c>
      <c r="B202" t="s">
        <v>3067</v>
      </c>
      <c r="C202" t="s">
        <v>3142</v>
      </c>
      <c r="D202" s="193">
        <v>45988</v>
      </c>
      <c r="E202" t="s">
        <v>3131</v>
      </c>
      <c r="F202">
        <v>0.1</v>
      </c>
      <c r="G202">
        <v>0.05</v>
      </c>
      <c r="H202">
        <f t="shared" si="9"/>
        <v>0.15000000000000002</v>
      </c>
      <c r="I202" s="194">
        <v>1139012</v>
      </c>
      <c r="J202" s="194">
        <f t="shared" si="10"/>
        <v>56950.600000000006</v>
      </c>
      <c r="K202" t="str">
        <f>_xlfn.XLOOKUP(B202,Cert_OC_Cliente!$B:$B,Cert_OC_Cliente!$L:$L)</f>
        <v>PTO 02</v>
      </c>
      <c r="L202" t="str">
        <f t="shared" si="11"/>
        <v>✓</v>
      </c>
    </row>
    <row r="203" spans="1:12" x14ac:dyDescent="0.35">
      <c r="A203" t="s">
        <v>3064</v>
      </c>
      <c r="B203" t="s">
        <v>3067</v>
      </c>
      <c r="C203" t="s">
        <v>3142</v>
      </c>
      <c r="D203" s="193">
        <v>45988</v>
      </c>
      <c r="E203" t="s">
        <v>3132</v>
      </c>
      <c r="F203">
        <v>0.1</v>
      </c>
      <c r="G203">
        <v>0.05</v>
      </c>
      <c r="H203">
        <f t="shared" si="9"/>
        <v>0.15000000000000002</v>
      </c>
      <c r="I203" s="194">
        <v>20048305</v>
      </c>
      <c r="J203" s="194">
        <f t="shared" si="10"/>
        <v>1002415.25</v>
      </c>
      <c r="K203" t="str">
        <f>_xlfn.XLOOKUP(B203,Cert_OC_Cliente!$B:$B,Cert_OC_Cliente!$L:$L)</f>
        <v>PTO 02</v>
      </c>
      <c r="L203" t="str">
        <f t="shared" si="11"/>
        <v>✓</v>
      </c>
    </row>
    <row r="204" spans="1:12" x14ac:dyDescent="0.35">
      <c r="A204" t="s">
        <v>3064</v>
      </c>
      <c r="B204" t="s">
        <v>3067</v>
      </c>
      <c r="C204" t="s">
        <v>3142</v>
      </c>
      <c r="D204" s="193">
        <v>45988</v>
      </c>
      <c r="E204" t="s">
        <v>3133</v>
      </c>
      <c r="F204">
        <v>0.1</v>
      </c>
      <c r="G204">
        <v>0.05</v>
      </c>
      <c r="H204">
        <f t="shared" si="9"/>
        <v>0.15000000000000002</v>
      </c>
      <c r="I204" s="194">
        <v>2256800</v>
      </c>
      <c r="J204" s="194">
        <f t="shared" si="10"/>
        <v>112840</v>
      </c>
      <c r="K204" t="str">
        <f>_xlfn.XLOOKUP(B204,Cert_OC_Cliente!$B:$B,Cert_OC_Cliente!$L:$L)</f>
        <v>PTO 02</v>
      </c>
      <c r="L204" t="str">
        <f t="shared" si="11"/>
        <v>✓</v>
      </c>
    </row>
    <row r="205" spans="1:12" x14ac:dyDescent="0.35">
      <c r="A205" t="s">
        <v>3064</v>
      </c>
      <c r="B205" t="s">
        <v>3067</v>
      </c>
      <c r="C205" t="s">
        <v>3142</v>
      </c>
      <c r="D205" s="193">
        <v>45988</v>
      </c>
      <c r="E205" t="s">
        <v>3134</v>
      </c>
      <c r="F205">
        <v>0.1</v>
      </c>
      <c r="G205">
        <v>0.05</v>
      </c>
      <c r="H205">
        <f t="shared" si="9"/>
        <v>0.15000000000000002</v>
      </c>
      <c r="I205" s="194">
        <v>919120</v>
      </c>
      <c r="J205" s="194">
        <f t="shared" si="10"/>
        <v>45956</v>
      </c>
      <c r="K205" t="str">
        <f>_xlfn.XLOOKUP(B205,Cert_OC_Cliente!$B:$B,Cert_OC_Cliente!$L:$L)</f>
        <v>PTO 02</v>
      </c>
      <c r="L205" t="str">
        <f t="shared" si="11"/>
        <v>✓</v>
      </c>
    </row>
    <row r="206" spans="1:12" x14ac:dyDescent="0.35">
      <c r="A206" t="s">
        <v>3064</v>
      </c>
      <c r="B206" t="s">
        <v>3067</v>
      </c>
      <c r="C206" t="s">
        <v>3142</v>
      </c>
      <c r="D206" s="193">
        <v>45988</v>
      </c>
      <c r="E206" t="s">
        <v>3135</v>
      </c>
      <c r="F206">
        <v>0.1</v>
      </c>
      <c r="G206">
        <v>0.05</v>
      </c>
      <c r="H206">
        <f t="shared" si="9"/>
        <v>0.15000000000000002</v>
      </c>
      <c r="I206" s="194">
        <v>1987798</v>
      </c>
      <c r="J206" s="194">
        <f t="shared" si="10"/>
        <v>99389.900000000009</v>
      </c>
      <c r="K206" t="str">
        <f>_xlfn.XLOOKUP(B206,Cert_OC_Cliente!$B:$B,Cert_OC_Cliente!$L:$L)</f>
        <v>PTO 02</v>
      </c>
      <c r="L206" t="str">
        <f t="shared" si="11"/>
        <v>✓</v>
      </c>
    </row>
    <row r="207" spans="1:12" x14ac:dyDescent="0.35">
      <c r="A207" t="s">
        <v>3064</v>
      </c>
      <c r="B207" t="s">
        <v>3067</v>
      </c>
      <c r="C207" t="s">
        <v>3142</v>
      </c>
      <c r="D207" s="193">
        <v>45988</v>
      </c>
      <c r="E207" t="s">
        <v>3136</v>
      </c>
      <c r="F207">
        <v>0.1</v>
      </c>
      <c r="G207">
        <v>0.05</v>
      </c>
      <c r="H207">
        <f t="shared" si="9"/>
        <v>0.15000000000000002</v>
      </c>
      <c r="I207" s="194">
        <v>734621</v>
      </c>
      <c r="J207" s="194">
        <f t="shared" si="10"/>
        <v>36731.050000000003</v>
      </c>
      <c r="K207" t="str">
        <f>_xlfn.XLOOKUP(B207,Cert_OC_Cliente!$B:$B,Cert_OC_Cliente!$L:$L)</f>
        <v>PTO 02</v>
      </c>
      <c r="L207" t="str">
        <f t="shared" si="11"/>
        <v>✓</v>
      </c>
    </row>
    <row r="208" spans="1:12" x14ac:dyDescent="0.35">
      <c r="A208" t="s">
        <v>3064</v>
      </c>
      <c r="B208" t="s">
        <v>3067</v>
      </c>
      <c r="C208" t="s">
        <v>3142</v>
      </c>
      <c r="D208" s="193">
        <v>45988</v>
      </c>
      <c r="E208" t="s">
        <v>3143</v>
      </c>
      <c r="F208">
        <v>0</v>
      </c>
      <c r="G208">
        <v>0.15</v>
      </c>
      <c r="H208">
        <f t="shared" si="9"/>
        <v>0.15</v>
      </c>
      <c r="I208" s="194">
        <v>15555267</v>
      </c>
      <c r="J208" s="194">
        <f t="shared" si="10"/>
        <v>2333290.0499999998</v>
      </c>
      <c r="K208" t="str">
        <f>_xlfn.XLOOKUP(B208,Cert_OC_Cliente!$B:$B,Cert_OC_Cliente!$L:$L)</f>
        <v>PTO 02</v>
      </c>
      <c r="L208" t="str">
        <f t="shared" si="11"/>
        <v>✓</v>
      </c>
    </row>
    <row r="209" spans="1:12" x14ac:dyDescent="0.35">
      <c r="A209" t="s">
        <v>3064</v>
      </c>
      <c r="B209" t="s">
        <v>3067</v>
      </c>
      <c r="C209" t="s">
        <v>3142</v>
      </c>
      <c r="D209" s="193">
        <v>45988</v>
      </c>
      <c r="E209" t="s">
        <v>3144</v>
      </c>
      <c r="F209">
        <v>0</v>
      </c>
      <c r="G209">
        <v>0.05</v>
      </c>
      <c r="H209">
        <f t="shared" si="9"/>
        <v>0.05</v>
      </c>
      <c r="I209" s="194">
        <v>15405264</v>
      </c>
      <c r="J209" s="194">
        <f t="shared" si="10"/>
        <v>770263.20000000007</v>
      </c>
      <c r="K209" t="str">
        <f>_xlfn.XLOOKUP(B209,Cert_OC_Cliente!$B:$B,Cert_OC_Cliente!$L:$L)</f>
        <v>PTO 02</v>
      </c>
      <c r="L209" t="str">
        <f t="shared" si="11"/>
        <v>✓</v>
      </c>
    </row>
    <row r="210" spans="1:12" x14ac:dyDescent="0.35">
      <c r="A210" t="s">
        <v>3064</v>
      </c>
      <c r="B210" t="s">
        <v>3067</v>
      </c>
      <c r="C210" t="s">
        <v>3142</v>
      </c>
      <c r="D210" s="193">
        <v>45988</v>
      </c>
      <c r="E210" t="s">
        <v>3145</v>
      </c>
      <c r="F210">
        <v>0</v>
      </c>
      <c r="G210">
        <v>0.1</v>
      </c>
      <c r="H210">
        <f t="shared" si="9"/>
        <v>0.1</v>
      </c>
      <c r="I210" s="194">
        <v>13425324</v>
      </c>
      <c r="J210" s="194">
        <f t="shared" si="10"/>
        <v>1342532.4000000001</v>
      </c>
      <c r="K210" t="str">
        <f>_xlfn.XLOOKUP(B210,Cert_OC_Cliente!$B:$B,Cert_OC_Cliente!$L:$L)</f>
        <v>PTO 02</v>
      </c>
      <c r="L210" t="str">
        <f t="shared" si="11"/>
        <v>✓</v>
      </c>
    </row>
    <row r="211" spans="1:12" x14ac:dyDescent="0.35">
      <c r="A211" t="s">
        <v>3064</v>
      </c>
      <c r="B211" t="s">
        <v>3067</v>
      </c>
      <c r="C211" t="s">
        <v>3142</v>
      </c>
      <c r="D211" s="193">
        <v>45988</v>
      </c>
      <c r="E211" t="s">
        <v>3146</v>
      </c>
      <c r="F211">
        <v>0</v>
      </c>
      <c r="G211">
        <v>0.5</v>
      </c>
      <c r="H211">
        <f t="shared" si="9"/>
        <v>0.5</v>
      </c>
      <c r="I211" s="194">
        <v>1119953</v>
      </c>
      <c r="J211" s="194">
        <f t="shared" si="10"/>
        <v>559976.5</v>
      </c>
      <c r="K211" t="str">
        <f>_xlfn.XLOOKUP(B211,Cert_OC_Cliente!$B:$B,Cert_OC_Cliente!$L:$L)</f>
        <v>PTO 02</v>
      </c>
      <c r="L211" t="str">
        <f t="shared" si="11"/>
        <v>✓</v>
      </c>
    </row>
    <row r="212" spans="1:12" x14ac:dyDescent="0.35">
      <c r="A212" t="s">
        <v>3064</v>
      </c>
      <c r="B212" t="s">
        <v>3067</v>
      </c>
      <c r="C212" t="s">
        <v>3142</v>
      </c>
      <c r="D212" s="193">
        <v>45988</v>
      </c>
      <c r="E212" t="s">
        <v>3141</v>
      </c>
      <c r="F212">
        <v>0.5</v>
      </c>
      <c r="G212">
        <v>0.5</v>
      </c>
      <c r="H212">
        <f t="shared" si="9"/>
        <v>1</v>
      </c>
      <c r="I212" s="194">
        <v>3319680</v>
      </c>
      <c r="J212" s="194">
        <f t="shared" si="10"/>
        <v>1659840</v>
      </c>
      <c r="K212" t="str">
        <f>_xlfn.XLOOKUP(B212,Cert_OC_Cliente!$B:$B,Cert_OC_Cliente!$L:$L)</f>
        <v>PTO 02</v>
      </c>
      <c r="L212" t="str">
        <f t="shared" si="11"/>
        <v>✓</v>
      </c>
    </row>
    <row r="213" spans="1:12" x14ac:dyDescent="0.35">
      <c r="A213" t="s">
        <v>3064</v>
      </c>
      <c r="B213" t="s">
        <v>3067</v>
      </c>
      <c r="C213" t="s">
        <v>3147</v>
      </c>
      <c r="D213" s="193">
        <v>46020</v>
      </c>
      <c r="E213" t="s">
        <v>3148</v>
      </c>
      <c r="F213">
        <v>0</v>
      </c>
      <c r="G213">
        <v>0.08</v>
      </c>
      <c r="H213">
        <f t="shared" si="9"/>
        <v>0.08</v>
      </c>
      <c r="I213" s="194">
        <v>1477336</v>
      </c>
      <c r="J213" s="194">
        <f t="shared" si="10"/>
        <v>118186.88</v>
      </c>
      <c r="K213" t="str">
        <f>_xlfn.XLOOKUP(B213,Cert_OC_Cliente!$B:$B,Cert_OC_Cliente!$L:$L)</f>
        <v>PTO 02</v>
      </c>
      <c r="L213" t="str">
        <f t="shared" si="11"/>
        <v>✓</v>
      </c>
    </row>
    <row r="214" spans="1:12" x14ac:dyDescent="0.35">
      <c r="A214" t="s">
        <v>3064</v>
      </c>
      <c r="B214" t="s">
        <v>3067</v>
      </c>
      <c r="C214" t="s">
        <v>3147</v>
      </c>
      <c r="D214" s="193">
        <v>46020</v>
      </c>
      <c r="E214" t="s">
        <v>3130</v>
      </c>
      <c r="F214">
        <v>0.3</v>
      </c>
      <c r="G214">
        <v>0.1</v>
      </c>
      <c r="H214">
        <f t="shared" si="9"/>
        <v>0.4</v>
      </c>
      <c r="I214" s="194">
        <v>23499616</v>
      </c>
      <c r="J214" s="194">
        <f t="shared" si="10"/>
        <v>2349961.6</v>
      </c>
      <c r="K214" t="str">
        <f>_xlfn.XLOOKUP(B214,Cert_OC_Cliente!$B:$B,Cert_OC_Cliente!$L:$L)</f>
        <v>PTO 02</v>
      </c>
      <c r="L214" t="str">
        <f t="shared" si="11"/>
        <v>✓</v>
      </c>
    </row>
    <row r="215" spans="1:12" x14ac:dyDescent="0.35">
      <c r="A215" t="s">
        <v>3064</v>
      </c>
      <c r="B215" t="s">
        <v>3067</v>
      </c>
      <c r="C215" t="s">
        <v>3147</v>
      </c>
      <c r="D215" s="193">
        <v>46020</v>
      </c>
      <c r="E215" t="s">
        <v>3131</v>
      </c>
      <c r="F215">
        <v>0.15</v>
      </c>
      <c r="G215">
        <v>0.05</v>
      </c>
      <c r="H215">
        <f t="shared" si="9"/>
        <v>0.2</v>
      </c>
      <c r="I215" s="194">
        <v>1139012</v>
      </c>
      <c r="J215" s="194">
        <f t="shared" si="10"/>
        <v>56950.600000000006</v>
      </c>
      <c r="K215" t="str">
        <f>_xlfn.XLOOKUP(B215,Cert_OC_Cliente!$B:$B,Cert_OC_Cliente!$L:$L)</f>
        <v>PTO 02</v>
      </c>
      <c r="L215" t="str">
        <f t="shared" si="11"/>
        <v>✓</v>
      </c>
    </row>
    <row r="216" spans="1:12" x14ac:dyDescent="0.35">
      <c r="A216" t="s">
        <v>3064</v>
      </c>
      <c r="B216" t="s">
        <v>3067</v>
      </c>
      <c r="C216" t="s">
        <v>3147</v>
      </c>
      <c r="D216" s="193">
        <v>46020</v>
      </c>
      <c r="E216" t="s">
        <v>3132</v>
      </c>
      <c r="F216">
        <v>0.15</v>
      </c>
      <c r="G216">
        <v>0.05</v>
      </c>
      <c r="H216">
        <f t="shared" si="9"/>
        <v>0.2</v>
      </c>
      <c r="I216" s="194">
        <v>20048305</v>
      </c>
      <c r="J216" s="194">
        <f t="shared" si="10"/>
        <v>1002415.25</v>
      </c>
      <c r="K216" t="str">
        <f>_xlfn.XLOOKUP(B216,Cert_OC_Cliente!$B:$B,Cert_OC_Cliente!$L:$L)</f>
        <v>PTO 02</v>
      </c>
      <c r="L216" t="str">
        <f t="shared" si="11"/>
        <v>✓</v>
      </c>
    </row>
    <row r="217" spans="1:12" x14ac:dyDescent="0.35">
      <c r="A217" t="s">
        <v>3064</v>
      </c>
      <c r="B217" t="s">
        <v>3067</v>
      </c>
      <c r="C217" t="s">
        <v>3147</v>
      </c>
      <c r="D217" s="193">
        <v>46020</v>
      </c>
      <c r="E217" t="s">
        <v>3133</v>
      </c>
      <c r="F217">
        <v>0.15</v>
      </c>
      <c r="G217">
        <v>0.05</v>
      </c>
      <c r="H217">
        <f t="shared" si="9"/>
        <v>0.2</v>
      </c>
      <c r="I217" s="194">
        <v>2256800</v>
      </c>
      <c r="J217" s="194">
        <f t="shared" si="10"/>
        <v>112840</v>
      </c>
      <c r="K217" t="str">
        <f>_xlfn.XLOOKUP(B217,Cert_OC_Cliente!$B:$B,Cert_OC_Cliente!$L:$L)</f>
        <v>PTO 02</v>
      </c>
      <c r="L217" t="str">
        <f t="shared" si="11"/>
        <v>✓</v>
      </c>
    </row>
    <row r="218" spans="1:12" x14ac:dyDescent="0.35">
      <c r="A218" t="s">
        <v>3064</v>
      </c>
      <c r="B218" t="s">
        <v>3067</v>
      </c>
      <c r="C218" t="s">
        <v>3147</v>
      </c>
      <c r="D218" s="193">
        <v>46020</v>
      </c>
      <c r="E218" t="s">
        <v>3134</v>
      </c>
      <c r="F218">
        <v>0.15</v>
      </c>
      <c r="G218">
        <v>0.05</v>
      </c>
      <c r="H218">
        <f t="shared" si="9"/>
        <v>0.2</v>
      </c>
      <c r="I218" s="194">
        <v>919120</v>
      </c>
      <c r="J218" s="194">
        <f t="shared" si="10"/>
        <v>45956</v>
      </c>
      <c r="K218" t="str">
        <f>_xlfn.XLOOKUP(B218,Cert_OC_Cliente!$B:$B,Cert_OC_Cliente!$L:$L)</f>
        <v>PTO 02</v>
      </c>
      <c r="L218" t="str">
        <f t="shared" si="11"/>
        <v>✓</v>
      </c>
    </row>
    <row r="219" spans="1:12" x14ac:dyDescent="0.35">
      <c r="A219" t="s">
        <v>3064</v>
      </c>
      <c r="B219" t="s">
        <v>3067</v>
      </c>
      <c r="C219" t="s">
        <v>3147</v>
      </c>
      <c r="D219" s="193">
        <v>46020</v>
      </c>
      <c r="E219" t="s">
        <v>3135</v>
      </c>
      <c r="F219">
        <v>0.15</v>
      </c>
      <c r="G219">
        <v>0.05</v>
      </c>
      <c r="H219">
        <f t="shared" si="9"/>
        <v>0.2</v>
      </c>
      <c r="I219" s="194">
        <v>1987798</v>
      </c>
      <c r="J219" s="194">
        <f t="shared" si="10"/>
        <v>99389.900000000009</v>
      </c>
      <c r="K219" t="str">
        <f>_xlfn.XLOOKUP(B219,Cert_OC_Cliente!$B:$B,Cert_OC_Cliente!$L:$L)</f>
        <v>PTO 02</v>
      </c>
      <c r="L219" t="str">
        <f t="shared" si="11"/>
        <v>✓</v>
      </c>
    </row>
    <row r="220" spans="1:12" x14ac:dyDescent="0.35">
      <c r="A220" t="s">
        <v>3064</v>
      </c>
      <c r="B220" t="s">
        <v>3067</v>
      </c>
      <c r="C220" t="s">
        <v>3147</v>
      </c>
      <c r="D220" s="193">
        <v>46020</v>
      </c>
      <c r="E220" t="s">
        <v>3136</v>
      </c>
      <c r="F220">
        <v>0.15</v>
      </c>
      <c r="G220">
        <v>0.05</v>
      </c>
      <c r="H220">
        <f t="shared" si="9"/>
        <v>0.2</v>
      </c>
      <c r="I220" s="194">
        <v>734621</v>
      </c>
      <c r="J220" s="194">
        <f t="shared" si="10"/>
        <v>36731.050000000003</v>
      </c>
      <c r="K220" t="str">
        <f>_xlfn.XLOOKUP(B220,Cert_OC_Cliente!$B:$B,Cert_OC_Cliente!$L:$L)</f>
        <v>PTO 02</v>
      </c>
      <c r="L220" t="str">
        <f t="shared" si="11"/>
        <v>✓</v>
      </c>
    </row>
    <row r="221" spans="1:12" x14ac:dyDescent="0.35">
      <c r="A221" t="s">
        <v>3064</v>
      </c>
      <c r="B221" t="s">
        <v>3067</v>
      </c>
      <c r="C221" t="s">
        <v>3147</v>
      </c>
      <c r="D221" s="193">
        <v>46020</v>
      </c>
      <c r="E221" t="s">
        <v>3143</v>
      </c>
      <c r="F221">
        <v>0.15</v>
      </c>
      <c r="G221">
        <v>0.2</v>
      </c>
      <c r="H221">
        <f t="shared" si="9"/>
        <v>0.35</v>
      </c>
      <c r="I221" s="194">
        <v>15555267</v>
      </c>
      <c r="J221" s="194">
        <f t="shared" si="10"/>
        <v>3111053.4000000004</v>
      </c>
      <c r="K221" t="str">
        <f>_xlfn.XLOOKUP(B221,Cert_OC_Cliente!$B:$B,Cert_OC_Cliente!$L:$L)</f>
        <v>PTO 02</v>
      </c>
      <c r="L221" t="str">
        <f t="shared" si="11"/>
        <v>✓</v>
      </c>
    </row>
    <row r="222" spans="1:12" x14ac:dyDescent="0.35">
      <c r="A222" t="s">
        <v>3064</v>
      </c>
      <c r="B222" t="s">
        <v>3067</v>
      </c>
      <c r="C222" t="s">
        <v>3147</v>
      </c>
      <c r="D222" s="193">
        <v>46020</v>
      </c>
      <c r="E222" t="s">
        <v>3144</v>
      </c>
      <c r="F222">
        <v>4.9999999999999989E-2</v>
      </c>
      <c r="G222">
        <v>0.2</v>
      </c>
      <c r="H222">
        <f t="shared" si="9"/>
        <v>0.25</v>
      </c>
      <c r="I222" s="194">
        <v>15405264</v>
      </c>
      <c r="J222" s="194">
        <f t="shared" si="10"/>
        <v>3081052.8000000003</v>
      </c>
      <c r="K222" t="str">
        <f>_xlfn.XLOOKUP(B222,Cert_OC_Cliente!$B:$B,Cert_OC_Cliente!$L:$L)</f>
        <v>PTO 02</v>
      </c>
      <c r="L222" t="str">
        <f t="shared" si="11"/>
        <v>✓</v>
      </c>
    </row>
    <row r="223" spans="1:12" x14ac:dyDescent="0.35">
      <c r="A223" t="s">
        <v>3064</v>
      </c>
      <c r="B223" t="s">
        <v>3067</v>
      </c>
      <c r="C223" t="s">
        <v>3147</v>
      </c>
      <c r="D223" s="193">
        <v>46020</v>
      </c>
      <c r="E223" t="s">
        <v>3145</v>
      </c>
      <c r="F223">
        <v>9.9999999999999978E-2</v>
      </c>
      <c r="G223">
        <v>0.25</v>
      </c>
      <c r="H223">
        <f t="shared" si="9"/>
        <v>0.35</v>
      </c>
      <c r="I223" s="194">
        <v>13425324</v>
      </c>
      <c r="J223" s="194">
        <f t="shared" si="10"/>
        <v>3356331</v>
      </c>
      <c r="K223" t="str">
        <f>_xlfn.XLOOKUP(B223,Cert_OC_Cliente!$B:$B,Cert_OC_Cliente!$L:$L)</f>
        <v>PTO 02</v>
      </c>
      <c r="L223" t="str">
        <f t="shared" si="11"/>
        <v>✓</v>
      </c>
    </row>
    <row r="224" spans="1:12" x14ac:dyDescent="0.35">
      <c r="A224" t="s">
        <v>3064</v>
      </c>
      <c r="B224" t="s">
        <v>3067</v>
      </c>
      <c r="C224" t="s">
        <v>3147</v>
      </c>
      <c r="D224" s="193">
        <v>46020</v>
      </c>
      <c r="E224" t="s">
        <v>3149</v>
      </c>
      <c r="F224">
        <v>0</v>
      </c>
      <c r="G224">
        <v>0.15</v>
      </c>
      <c r="H224">
        <f t="shared" si="9"/>
        <v>0.15</v>
      </c>
      <c r="I224" s="194">
        <v>2942940</v>
      </c>
      <c r="J224" s="194">
        <f t="shared" si="10"/>
        <v>441441</v>
      </c>
      <c r="K224" t="str">
        <f>_xlfn.XLOOKUP(B224,Cert_OC_Cliente!$B:$B,Cert_OC_Cliente!$L:$L)</f>
        <v>PTO 02</v>
      </c>
      <c r="L224" t="str">
        <f t="shared" si="11"/>
        <v>✓</v>
      </c>
    </row>
    <row r="225" spans="1:12" x14ac:dyDescent="0.35">
      <c r="A225" t="s">
        <v>3064</v>
      </c>
      <c r="B225" t="s">
        <v>3067</v>
      </c>
      <c r="C225" t="s">
        <v>3150</v>
      </c>
      <c r="D225" s="193">
        <v>46050</v>
      </c>
      <c r="E225" t="s">
        <v>3151</v>
      </c>
      <c r="F225">
        <v>0</v>
      </c>
      <c r="G225">
        <v>0.15</v>
      </c>
      <c r="H225">
        <f t="shared" si="9"/>
        <v>0.15</v>
      </c>
      <c r="I225" s="194">
        <v>3018904</v>
      </c>
      <c r="J225" s="194">
        <f t="shared" si="10"/>
        <v>452835.6</v>
      </c>
      <c r="K225" t="str">
        <f>_xlfn.XLOOKUP(B225,Cert_OC_Cliente!$B:$B,Cert_OC_Cliente!$L:$L)</f>
        <v>PTO 02</v>
      </c>
      <c r="L225" t="str">
        <f t="shared" si="11"/>
        <v>✓</v>
      </c>
    </row>
    <row r="226" spans="1:12" x14ac:dyDescent="0.35">
      <c r="A226" t="s">
        <v>3064</v>
      </c>
      <c r="B226" t="s">
        <v>3067</v>
      </c>
      <c r="C226" t="s">
        <v>3150</v>
      </c>
      <c r="D226" s="193">
        <v>46050</v>
      </c>
      <c r="E226" t="s">
        <v>3148</v>
      </c>
      <c r="F226">
        <v>7.9999999999999988E-2</v>
      </c>
      <c r="G226">
        <v>0.15</v>
      </c>
      <c r="H226">
        <f t="shared" si="9"/>
        <v>0.22999999999999998</v>
      </c>
      <c r="I226" s="194">
        <v>1477336</v>
      </c>
      <c r="J226" s="194">
        <f t="shared" si="10"/>
        <v>221600.4</v>
      </c>
      <c r="K226" t="str">
        <f>_xlfn.XLOOKUP(B226,Cert_OC_Cliente!$B:$B,Cert_OC_Cliente!$L:$L)</f>
        <v>PTO 02</v>
      </c>
      <c r="L226" t="str">
        <f t="shared" si="11"/>
        <v>✓</v>
      </c>
    </row>
    <row r="227" spans="1:12" x14ac:dyDescent="0.35">
      <c r="A227" t="s">
        <v>3064</v>
      </c>
      <c r="B227" t="s">
        <v>3067</v>
      </c>
      <c r="C227" t="s">
        <v>3150</v>
      </c>
      <c r="D227" s="193">
        <v>46050</v>
      </c>
      <c r="E227" t="s">
        <v>3152</v>
      </c>
      <c r="F227">
        <v>0</v>
      </c>
      <c r="G227">
        <v>0.1</v>
      </c>
      <c r="H227">
        <f t="shared" si="9"/>
        <v>0.1</v>
      </c>
      <c r="I227" s="194">
        <v>2106096</v>
      </c>
      <c r="J227" s="194">
        <f t="shared" si="10"/>
        <v>210609.6</v>
      </c>
      <c r="K227" t="str">
        <f>_xlfn.XLOOKUP(B227,Cert_OC_Cliente!$B:$B,Cert_OC_Cliente!$L:$L)</f>
        <v>PTO 02</v>
      </c>
      <c r="L227" t="str">
        <f t="shared" si="11"/>
        <v>✓</v>
      </c>
    </row>
    <row r="228" spans="1:12" x14ac:dyDescent="0.35">
      <c r="A228" t="s">
        <v>3064</v>
      </c>
      <c r="B228" t="s">
        <v>3067</v>
      </c>
      <c r="C228" t="s">
        <v>3150</v>
      </c>
      <c r="D228" s="193">
        <v>46050</v>
      </c>
      <c r="E228" t="s">
        <v>3131</v>
      </c>
      <c r="F228">
        <v>0.2</v>
      </c>
      <c r="G228">
        <v>0.05</v>
      </c>
      <c r="H228">
        <f t="shared" si="9"/>
        <v>0.25</v>
      </c>
      <c r="I228" s="194">
        <v>1139012</v>
      </c>
      <c r="J228" s="194">
        <f t="shared" si="10"/>
        <v>56950.600000000006</v>
      </c>
      <c r="K228" t="str">
        <f>_xlfn.XLOOKUP(B228,Cert_OC_Cliente!$B:$B,Cert_OC_Cliente!$L:$L)</f>
        <v>PTO 02</v>
      </c>
      <c r="L228" t="str">
        <f t="shared" si="11"/>
        <v>✓</v>
      </c>
    </row>
    <row r="229" spans="1:12" x14ac:dyDescent="0.35">
      <c r="A229" t="s">
        <v>3064</v>
      </c>
      <c r="B229" t="s">
        <v>3067</v>
      </c>
      <c r="C229" t="s">
        <v>3150</v>
      </c>
      <c r="D229" s="193">
        <v>46050</v>
      </c>
      <c r="E229" t="s">
        <v>3133</v>
      </c>
      <c r="F229">
        <v>0.2</v>
      </c>
      <c r="G229">
        <v>0.05</v>
      </c>
      <c r="H229">
        <f t="shared" si="9"/>
        <v>0.25</v>
      </c>
      <c r="I229" s="194">
        <v>2256800</v>
      </c>
      <c r="J229" s="194">
        <f t="shared" si="10"/>
        <v>112840</v>
      </c>
      <c r="K229" t="str">
        <f>_xlfn.XLOOKUP(B229,Cert_OC_Cliente!$B:$B,Cert_OC_Cliente!$L:$L)</f>
        <v>PTO 02</v>
      </c>
      <c r="L229" t="str">
        <f t="shared" si="11"/>
        <v>✓</v>
      </c>
    </row>
    <row r="230" spans="1:12" x14ac:dyDescent="0.35">
      <c r="A230" t="s">
        <v>3064</v>
      </c>
      <c r="B230" t="s">
        <v>3067</v>
      </c>
      <c r="C230" t="s">
        <v>3150</v>
      </c>
      <c r="D230" s="193">
        <v>46050</v>
      </c>
      <c r="E230" t="s">
        <v>3135</v>
      </c>
      <c r="F230">
        <v>0.2</v>
      </c>
      <c r="G230">
        <v>0.05</v>
      </c>
      <c r="H230">
        <f t="shared" si="9"/>
        <v>0.25</v>
      </c>
      <c r="I230" s="194">
        <v>1987798</v>
      </c>
      <c r="J230" s="194">
        <f t="shared" si="10"/>
        <v>99389.900000000009</v>
      </c>
      <c r="K230" t="str">
        <f>_xlfn.XLOOKUP(B230,Cert_OC_Cliente!$B:$B,Cert_OC_Cliente!$L:$L)</f>
        <v>PTO 02</v>
      </c>
      <c r="L230" t="str">
        <f t="shared" si="11"/>
        <v>✓</v>
      </c>
    </row>
    <row r="231" spans="1:12" x14ac:dyDescent="0.35">
      <c r="A231" t="s">
        <v>3064</v>
      </c>
      <c r="B231" t="s">
        <v>3067</v>
      </c>
      <c r="C231" t="s">
        <v>3150</v>
      </c>
      <c r="D231" s="193">
        <v>46050</v>
      </c>
      <c r="E231" t="s">
        <v>3136</v>
      </c>
      <c r="F231">
        <v>0.2</v>
      </c>
      <c r="G231">
        <v>0.05</v>
      </c>
      <c r="H231">
        <f t="shared" si="9"/>
        <v>0.25</v>
      </c>
      <c r="I231" s="194">
        <v>734621</v>
      </c>
      <c r="J231" s="194">
        <f t="shared" si="10"/>
        <v>36731.050000000003</v>
      </c>
      <c r="K231" t="str">
        <f>_xlfn.XLOOKUP(B231,Cert_OC_Cliente!$B:$B,Cert_OC_Cliente!$L:$L)</f>
        <v>PTO 02</v>
      </c>
      <c r="L231" t="str">
        <f t="shared" si="11"/>
        <v>✓</v>
      </c>
    </row>
    <row r="232" spans="1:12" x14ac:dyDescent="0.35">
      <c r="A232" t="s">
        <v>3064</v>
      </c>
      <c r="B232" t="s">
        <v>3067</v>
      </c>
      <c r="C232" t="s">
        <v>3150</v>
      </c>
      <c r="D232" s="193">
        <v>46050</v>
      </c>
      <c r="E232" t="s">
        <v>3137</v>
      </c>
      <c r="F232">
        <v>0.6</v>
      </c>
      <c r="G232">
        <v>0.05</v>
      </c>
      <c r="H232">
        <f t="shared" si="9"/>
        <v>0.65</v>
      </c>
      <c r="I232" s="194">
        <v>475343</v>
      </c>
      <c r="J232" s="194">
        <f t="shared" si="10"/>
        <v>23767.15</v>
      </c>
      <c r="K232" t="str">
        <f>_xlfn.XLOOKUP(B232,Cert_OC_Cliente!$B:$B,Cert_OC_Cliente!$L:$L)</f>
        <v>PTO 02</v>
      </c>
      <c r="L232" t="str">
        <f t="shared" si="11"/>
        <v>✓</v>
      </c>
    </row>
    <row r="233" spans="1:12" x14ac:dyDescent="0.35">
      <c r="A233" t="s">
        <v>3064</v>
      </c>
      <c r="B233" t="s">
        <v>3067</v>
      </c>
      <c r="C233" t="s">
        <v>3150</v>
      </c>
      <c r="D233" s="193">
        <v>46050</v>
      </c>
      <c r="E233" t="s">
        <v>3153</v>
      </c>
      <c r="F233">
        <v>0</v>
      </c>
      <c r="G233">
        <v>0.02</v>
      </c>
      <c r="H233">
        <f t="shared" si="9"/>
        <v>0.02</v>
      </c>
      <c r="I233" s="194">
        <v>3555286</v>
      </c>
      <c r="J233" s="194">
        <f t="shared" si="10"/>
        <v>71105.72</v>
      </c>
      <c r="K233" t="str">
        <f>_xlfn.XLOOKUP(B233,Cert_OC_Cliente!$B:$B,Cert_OC_Cliente!$L:$L)</f>
        <v>PTO 02</v>
      </c>
      <c r="L233" t="str">
        <f t="shared" si="11"/>
        <v>✓</v>
      </c>
    </row>
    <row r="234" spans="1:12" x14ac:dyDescent="0.35">
      <c r="A234" t="s">
        <v>3064</v>
      </c>
      <c r="B234" t="s">
        <v>3067</v>
      </c>
      <c r="C234" t="s">
        <v>3150</v>
      </c>
      <c r="D234" s="193">
        <v>46050</v>
      </c>
      <c r="E234" t="s">
        <v>3154</v>
      </c>
      <c r="F234">
        <v>0</v>
      </c>
      <c r="G234">
        <v>0.02</v>
      </c>
      <c r="H234">
        <f t="shared" si="9"/>
        <v>0.02</v>
      </c>
      <c r="I234" s="194">
        <v>5359482</v>
      </c>
      <c r="J234" s="194">
        <f t="shared" si="10"/>
        <v>107189.64</v>
      </c>
      <c r="K234" t="str">
        <f>_xlfn.XLOOKUP(B234,Cert_OC_Cliente!$B:$B,Cert_OC_Cliente!$L:$L)</f>
        <v>PTO 02</v>
      </c>
      <c r="L234" t="str">
        <f t="shared" si="11"/>
        <v>✓</v>
      </c>
    </row>
    <row r="235" spans="1:12" x14ac:dyDescent="0.35">
      <c r="A235" t="s">
        <v>3064</v>
      </c>
      <c r="B235" t="s">
        <v>3067</v>
      </c>
      <c r="C235" t="s">
        <v>3150</v>
      </c>
      <c r="D235" s="193">
        <v>46050</v>
      </c>
      <c r="E235" t="s">
        <v>3138</v>
      </c>
      <c r="F235">
        <v>0.05</v>
      </c>
      <c r="G235">
        <v>0.05</v>
      </c>
      <c r="H235">
        <f t="shared" si="9"/>
        <v>0.1</v>
      </c>
      <c r="I235" s="194">
        <v>7236758</v>
      </c>
      <c r="J235" s="194">
        <f t="shared" si="10"/>
        <v>361837.9</v>
      </c>
      <c r="K235" t="str">
        <f>_xlfn.XLOOKUP(B235,Cert_OC_Cliente!$B:$B,Cert_OC_Cliente!$L:$L)</f>
        <v>PTO 02</v>
      </c>
      <c r="L235" t="str">
        <f t="shared" si="11"/>
        <v>✓</v>
      </c>
    </row>
    <row r="236" spans="1:12" x14ac:dyDescent="0.35">
      <c r="A236" t="s">
        <v>3064</v>
      </c>
      <c r="B236" t="s">
        <v>3067</v>
      </c>
      <c r="C236" t="s">
        <v>3150</v>
      </c>
      <c r="D236" s="193">
        <v>46050</v>
      </c>
      <c r="E236" t="s">
        <v>3155</v>
      </c>
      <c r="F236">
        <v>0</v>
      </c>
      <c r="G236">
        <v>0.1</v>
      </c>
      <c r="H236">
        <f t="shared" si="9"/>
        <v>0.1</v>
      </c>
      <c r="I236" s="194">
        <v>8787491</v>
      </c>
      <c r="J236" s="194">
        <f t="shared" si="10"/>
        <v>878749.10000000009</v>
      </c>
      <c r="K236" t="str">
        <f>_xlfn.XLOOKUP(B236,Cert_OC_Cliente!$B:$B,Cert_OC_Cliente!$L:$L)</f>
        <v>PTO 02</v>
      </c>
      <c r="L236" t="str">
        <f t="shared" si="11"/>
        <v>✓</v>
      </c>
    </row>
    <row r="237" spans="1:12" x14ac:dyDescent="0.35">
      <c r="A237" t="s">
        <v>3064</v>
      </c>
      <c r="B237" t="s">
        <v>3067</v>
      </c>
      <c r="C237" t="s">
        <v>3150</v>
      </c>
      <c r="D237" s="193">
        <v>46050</v>
      </c>
      <c r="E237" t="s">
        <v>3156</v>
      </c>
      <c r="F237">
        <v>0</v>
      </c>
      <c r="G237">
        <v>0.05</v>
      </c>
      <c r="H237">
        <f t="shared" si="9"/>
        <v>0.05</v>
      </c>
      <c r="I237" s="194">
        <v>4135290</v>
      </c>
      <c r="J237" s="194">
        <f t="shared" si="10"/>
        <v>206764.5</v>
      </c>
      <c r="K237" t="str">
        <f>_xlfn.XLOOKUP(B237,Cert_OC_Cliente!$B:$B,Cert_OC_Cliente!$L:$L)</f>
        <v>PTO 02</v>
      </c>
      <c r="L237" t="str">
        <f t="shared" si="11"/>
        <v>✓</v>
      </c>
    </row>
    <row r="238" spans="1:12" x14ac:dyDescent="0.35">
      <c r="A238" t="s">
        <v>3064</v>
      </c>
      <c r="B238" t="s">
        <v>3067</v>
      </c>
      <c r="C238" t="s">
        <v>3150</v>
      </c>
      <c r="D238" s="193">
        <v>46050</v>
      </c>
      <c r="E238" t="s">
        <v>3139</v>
      </c>
      <c r="F238">
        <v>4.9999999999999989E-2</v>
      </c>
      <c r="G238">
        <v>0.3</v>
      </c>
      <c r="H238">
        <f t="shared" si="9"/>
        <v>0.35</v>
      </c>
      <c r="I238" s="194">
        <v>2675380</v>
      </c>
      <c r="J238" s="194">
        <f t="shared" si="10"/>
        <v>802614</v>
      </c>
      <c r="K238" t="str">
        <f>_xlfn.XLOOKUP(B238,Cert_OC_Cliente!$B:$B,Cert_OC_Cliente!$L:$L)</f>
        <v>PTO 02</v>
      </c>
      <c r="L238" t="str">
        <f t="shared" si="11"/>
        <v>✓</v>
      </c>
    </row>
    <row r="239" spans="1:12" x14ac:dyDescent="0.35">
      <c r="A239" t="s">
        <v>3064</v>
      </c>
      <c r="B239" t="s">
        <v>3067</v>
      </c>
      <c r="C239" t="s">
        <v>3150</v>
      </c>
      <c r="D239" s="193">
        <v>46050</v>
      </c>
      <c r="E239" t="s">
        <v>3157</v>
      </c>
      <c r="F239">
        <v>0</v>
      </c>
      <c r="G239">
        <v>0.35</v>
      </c>
      <c r="H239">
        <f t="shared" si="9"/>
        <v>0.35</v>
      </c>
      <c r="I239" s="194">
        <v>3057577</v>
      </c>
      <c r="J239" s="194">
        <f t="shared" si="10"/>
        <v>1070151.95</v>
      </c>
      <c r="K239" t="str">
        <f>_xlfn.XLOOKUP(B239,Cert_OC_Cliente!$B:$B,Cert_OC_Cliente!$L:$L)</f>
        <v>PTO 02</v>
      </c>
      <c r="L239" t="str">
        <f t="shared" si="11"/>
        <v>✓</v>
      </c>
    </row>
    <row r="240" spans="1:12" x14ac:dyDescent="0.35">
      <c r="A240" t="s">
        <v>3064</v>
      </c>
      <c r="B240" t="s">
        <v>3067</v>
      </c>
      <c r="C240" t="s">
        <v>3150</v>
      </c>
      <c r="D240" s="193">
        <v>46050</v>
      </c>
      <c r="E240" t="s">
        <v>3158</v>
      </c>
      <c r="F240">
        <v>0</v>
      </c>
      <c r="G240">
        <v>0.1</v>
      </c>
      <c r="H240">
        <f t="shared" si="9"/>
        <v>0.1</v>
      </c>
      <c r="I240" s="194">
        <v>14001552</v>
      </c>
      <c r="J240" s="194">
        <f t="shared" si="10"/>
        <v>1400155.2000000002</v>
      </c>
      <c r="K240" t="str">
        <f>_xlfn.XLOOKUP(B240,Cert_OC_Cliente!$B:$B,Cert_OC_Cliente!$L:$L)</f>
        <v>PTO 02</v>
      </c>
      <c r="L240" t="str">
        <f t="shared" si="11"/>
        <v>✓</v>
      </c>
    </row>
    <row r="241" spans="1:12" x14ac:dyDescent="0.35">
      <c r="A241" t="s">
        <v>3064</v>
      </c>
      <c r="B241" t="s">
        <v>3067</v>
      </c>
      <c r="C241" t="s">
        <v>3150</v>
      </c>
      <c r="D241" s="193">
        <v>46050</v>
      </c>
      <c r="E241" t="s">
        <v>3159</v>
      </c>
      <c r="F241">
        <v>0</v>
      </c>
      <c r="G241">
        <v>0.2</v>
      </c>
      <c r="H241">
        <f t="shared" si="9"/>
        <v>0.2</v>
      </c>
      <c r="I241" s="194">
        <v>3676382</v>
      </c>
      <c r="J241" s="194">
        <f t="shared" si="10"/>
        <v>735276.4</v>
      </c>
      <c r="K241" t="str">
        <f>_xlfn.XLOOKUP(B241,Cert_OC_Cliente!$B:$B,Cert_OC_Cliente!$L:$L)</f>
        <v>PTO 02</v>
      </c>
      <c r="L241" t="str">
        <f t="shared" si="11"/>
        <v>✓</v>
      </c>
    </row>
    <row r="242" spans="1:12" x14ac:dyDescent="0.35">
      <c r="A242" t="s">
        <v>3064</v>
      </c>
      <c r="B242" t="s">
        <v>3067</v>
      </c>
      <c r="C242" t="s">
        <v>3150</v>
      </c>
      <c r="D242" s="193">
        <v>46050</v>
      </c>
      <c r="E242" t="s">
        <v>3088</v>
      </c>
      <c r="F242">
        <v>0</v>
      </c>
      <c r="G242">
        <v>0.1</v>
      </c>
      <c r="H242">
        <f t="shared" si="9"/>
        <v>0.1</v>
      </c>
      <c r="I242" s="194">
        <v>4518828</v>
      </c>
      <c r="J242" s="194">
        <f t="shared" si="10"/>
        <v>451882.80000000005</v>
      </c>
      <c r="K242" t="str">
        <f>_xlfn.XLOOKUP(B242,Cert_OC_Cliente!$B:$B,Cert_OC_Cliente!$L:$L)</f>
        <v>PTO 02</v>
      </c>
      <c r="L242" t="str">
        <f t="shared" si="11"/>
        <v>✓</v>
      </c>
    </row>
    <row r="243" spans="1:12" x14ac:dyDescent="0.35">
      <c r="A243" t="s">
        <v>3064</v>
      </c>
      <c r="B243" t="s">
        <v>3067</v>
      </c>
      <c r="C243" t="s">
        <v>3150</v>
      </c>
      <c r="D243" s="193">
        <v>46050</v>
      </c>
      <c r="E243" t="s">
        <v>3089</v>
      </c>
      <c r="F243">
        <v>0</v>
      </c>
      <c r="G243">
        <v>0.1</v>
      </c>
      <c r="H243">
        <f t="shared" si="9"/>
        <v>0.1</v>
      </c>
      <c r="I243" s="194">
        <v>1131198</v>
      </c>
      <c r="J243" s="194">
        <f t="shared" si="10"/>
        <v>113119.8</v>
      </c>
      <c r="K243" t="str">
        <f>_xlfn.XLOOKUP(B243,Cert_OC_Cliente!$B:$B,Cert_OC_Cliente!$L:$L)</f>
        <v>PTO 02</v>
      </c>
      <c r="L243" t="str">
        <f t="shared" si="11"/>
        <v>✓</v>
      </c>
    </row>
    <row r="244" spans="1:12" x14ac:dyDescent="0.35">
      <c r="A244" t="s">
        <v>3064</v>
      </c>
      <c r="B244" t="s">
        <v>3067</v>
      </c>
      <c r="C244" t="s">
        <v>3150</v>
      </c>
      <c r="D244" s="193">
        <v>46050</v>
      </c>
      <c r="E244" t="s">
        <v>3090</v>
      </c>
      <c r="F244">
        <v>0</v>
      </c>
      <c r="G244">
        <v>0.1</v>
      </c>
      <c r="H244">
        <f t="shared" si="9"/>
        <v>0.1</v>
      </c>
      <c r="I244" s="194">
        <v>28644636</v>
      </c>
      <c r="J244" s="194">
        <f t="shared" si="10"/>
        <v>2864463.6</v>
      </c>
      <c r="K244" t="str">
        <f>_xlfn.XLOOKUP(B244,Cert_OC_Cliente!$B:$B,Cert_OC_Cliente!$L:$L)</f>
        <v>PTO 02</v>
      </c>
      <c r="L244" t="str">
        <f t="shared" si="11"/>
        <v>✓</v>
      </c>
    </row>
    <row r="245" spans="1:12" x14ac:dyDescent="0.35">
      <c r="A245" t="s">
        <v>3064</v>
      </c>
      <c r="B245" t="s">
        <v>3067</v>
      </c>
      <c r="C245" t="s">
        <v>3150</v>
      </c>
      <c r="D245" s="193">
        <v>46050</v>
      </c>
      <c r="E245" t="s">
        <v>3091</v>
      </c>
      <c r="F245">
        <v>0</v>
      </c>
      <c r="G245">
        <v>0.1</v>
      </c>
      <c r="H245">
        <f t="shared" si="9"/>
        <v>0.1</v>
      </c>
      <c r="I245" s="194">
        <v>3770652</v>
      </c>
      <c r="J245" s="194">
        <f t="shared" si="10"/>
        <v>377065.2</v>
      </c>
      <c r="K245" t="str">
        <f>_xlfn.XLOOKUP(B245,Cert_OC_Cliente!$B:$B,Cert_OC_Cliente!$L:$L)</f>
        <v>PTO 02</v>
      </c>
      <c r="L245" t="str">
        <f t="shared" si="11"/>
        <v>✓</v>
      </c>
    </row>
    <row r="246" spans="1:12" x14ac:dyDescent="0.35">
      <c r="A246" t="s">
        <v>3064</v>
      </c>
      <c r="B246" t="s">
        <v>3067</v>
      </c>
      <c r="C246" t="s">
        <v>3150</v>
      </c>
      <c r="D246" s="193">
        <v>46050</v>
      </c>
      <c r="E246" t="s">
        <v>3143</v>
      </c>
      <c r="F246">
        <v>0.35</v>
      </c>
      <c r="G246">
        <v>0.2</v>
      </c>
      <c r="H246">
        <f t="shared" si="9"/>
        <v>0.55000000000000004</v>
      </c>
      <c r="I246" s="194">
        <v>15555267</v>
      </c>
      <c r="J246" s="194">
        <f t="shared" si="10"/>
        <v>3111053.4000000004</v>
      </c>
      <c r="K246" t="str">
        <f>_xlfn.XLOOKUP(B246,Cert_OC_Cliente!$B:$B,Cert_OC_Cliente!$L:$L)</f>
        <v>PTO 02</v>
      </c>
      <c r="L246" t="str">
        <f t="shared" si="11"/>
        <v>✓</v>
      </c>
    </row>
    <row r="247" spans="1:12" x14ac:dyDescent="0.35">
      <c r="A247" t="s">
        <v>3064</v>
      </c>
      <c r="B247" t="s">
        <v>3067</v>
      </c>
      <c r="C247" t="s">
        <v>3150</v>
      </c>
      <c r="D247" s="193">
        <v>46050</v>
      </c>
      <c r="E247" t="s">
        <v>3144</v>
      </c>
      <c r="F247">
        <v>0</v>
      </c>
      <c r="G247">
        <v>0.9</v>
      </c>
      <c r="H247">
        <f t="shared" si="9"/>
        <v>0.9</v>
      </c>
      <c r="I247" s="194">
        <v>-4178552</v>
      </c>
      <c r="J247" s="194">
        <f t="shared" si="10"/>
        <v>-3760696.8000000003</v>
      </c>
      <c r="K247" t="str">
        <f>_xlfn.XLOOKUP(B247,Cert_OC_Cliente!$B:$B,Cert_OC_Cliente!$L:$L)</f>
        <v>PTO 02</v>
      </c>
      <c r="L247" t="str">
        <f t="shared" si="11"/>
        <v>✓</v>
      </c>
    </row>
    <row r="248" spans="1:12" x14ac:dyDescent="0.35">
      <c r="A248" t="s">
        <v>3064</v>
      </c>
      <c r="B248" t="s">
        <v>3067</v>
      </c>
      <c r="C248" t="s">
        <v>3150</v>
      </c>
      <c r="D248" s="193">
        <v>46050</v>
      </c>
      <c r="E248" t="s">
        <v>3145</v>
      </c>
      <c r="F248">
        <v>0.35</v>
      </c>
      <c r="G248">
        <v>0.2</v>
      </c>
      <c r="H248">
        <f t="shared" si="9"/>
        <v>0.55000000000000004</v>
      </c>
      <c r="I248" s="194">
        <v>13425324</v>
      </c>
      <c r="J248" s="194">
        <f t="shared" si="10"/>
        <v>2685064.8000000003</v>
      </c>
      <c r="K248" t="str">
        <f>_xlfn.XLOOKUP(B248,Cert_OC_Cliente!$B:$B,Cert_OC_Cliente!$L:$L)</f>
        <v>PTO 02</v>
      </c>
      <c r="L248" t="str">
        <f t="shared" si="11"/>
        <v>✓</v>
      </c>
    </row>
    <row r="249" spans="1:12" x14ac:dyDescent="0.35">
      <c r="A249" t="s">
        <v>3064</v>
      </c>
      <c r="B249" t="s">
        <v>3067</v>
      </c>
      <c r="C249" t="s">
        <v>3150</v>
      </c>
      <c r="D249" s="193">
        <v>46050</v>
      </c>
      <c r="E249" t="s">
        <v>3160</v>
      </c>
      <c r="F249">
        <v>0</v>
      </c>
      <c r="G249">
        <v>0.45</v>
      </c>
      <c r="H249">
        <f t="shared" si="9"/>
        <v>0.45</v>
      </c>
      <c r="I249" s="194">
        <v>26419929.682999998</v>
      </c>
      <c r="J249" s="194">
        <f t="shared" si="10"/>
        <v>11888968.357349999</v>
      </c>
      <c r="K249" t="str">
        <f>_xlfn.XLOOKUP(B249,Cert_OC_Cliente!$B:$B,Cert_OC_Cliente!$L:$L)</f>
        <v>PTO 02</v>
      </c>
      <c r="L249" t="str">
        <f t="shared" si="11"/>
        <v>✓</v>
      </c>
    </row>
    <row r="250" spans="1:12" x14ac:dyDescent="0.35">
      <c r="A250" t="s">
        <v>3064</v>
      </c>
      <c r="B250" t="s">
        <v>3067</v>
      </c>
      <c r="C250" t="s">
        <v>3161</v>
      </c>
      <c r="D250" s="193">
        <v>46080</v>
      </c>
      <c r="E250" t="s">
        <v>3151</v>
      </c>
      <c r="F250">
        <v>0.15</v>
      </c>
      <c r="G250">
        <v>0.2</v>
      </c>
      <c r="H250">
        <f t="shared" si="9"/>
        <v>0.35</v>
      </c>
      <c r="I250" s="194">
        <v>3018904</v>
      </c>
      <c r="J250" s="194">
        <f t="shared" si="10"/>
        <v>603780.80000000005</v>
      </c>
      <c r="K250" t="str">
        <f>_xlfn.XLOOKUP(B250,Cert_OC_Cliente!$B:$B,Cert_OC_Cliente!$L:$L)</f>
        <v>PTO 02</v>
      </c>
      <c r="L250" t="str">
        <f t="shared" si="11"/>
        <v>✓</v>
      </c>
    </row>
    <row r="251" spans="1:12" x14ac:dyDescent="0.35">
      <c r="A251" t="s">
        <v>3064</v>
      </c>
      <c r="B251" t="s">
        <v>3067</v>
      </c>
      <c r="C251" t="s">
        <v>3161</v>
      </c>
      <c r="D251" s="193">
        <v>46080</v>
      </c>
      <c r="E251" t="s">
        <v>3148</v>
      </c>
      <c r="F251">
        <v>0.23</v>
      </c>
      <c r="G251">
        <v>0.15</v>
      </c>
      <c r="H251">
        <f t="shared" si="9"/>
        <v>0.38</v>
      </c>
      <c r="I251" s="194">
        <v>1477336</v>
      </c>
      <c r="J251" s="194">
        <f t="shared" si="10"/>
        <v>221600.4</v>
      </c>
      <c r="K251" t="str">
        <f>_xlfn.XLOOKUP(B251,Cert_OC_Cliente!$B:$B,Cert_OC_Cliente!$L:$L)</f>
        <v>PTO 02</v>
      </c>
      <c r="L251" t="str">
        <f t="shared" si="11"/>
        <v>✓</v>
      </c>
    </row>
    <row r="252" spans="1:12" x14ac:dyDescent="0.35">
      <c r="A252" t="s">
        <v>3064</v>
      </c>
      <c r="B252" t="s">
        <v>3067</v>
      </c>
      <c r="C252" t="s">
        <v>3161</v>
      </c>
      <c r="D252" s="193">
        <v>46080</v>
      </c>
      <c r="E252" t="s">
        <v>3152</v>
      </c>
      <c r="F252">
        <v>0.1</v>
      </c>
      <c r="G252">
        <v>0.3</v>
      </c>
      <c r="H252">
        <f t="shared" si="9"/>
        <v>0.4</v>
      </c>
      <c r="I252" s="194">
        <v>2106096</v>
      </c>
      <c r="J252" s="194">
        <f t="shared" si="10"/>
        <v>631828.79999999993</v>
      </c>
      <c r="K252" t="str">
        <f>_xlfn.XLOOKUP(B252,Cert_OC_Cliente!$B:$B,Cert_OC_Cliente!$L:$L)</f>
        <v>PTO 02</v>
      </c>
      <c r="L252" t="str">
        <f t="shared" si="11"/>
        <v>✓</v>
      </c>
    </row>
    <row r="253" spans="1:12" x14ac:dyDescent="0.35">
      <c r="A253" t="s">
        <v>3064</v>
      </c>
      <c r="B253" t="s">
        <v>3067</v>
      </c>
      <c r="C253" t="s">
        <v>3161</v>
      </c>
      <c r="D253" s="193">
        <v>46080</v>
      </c>
      <c r="E253" t="s">
        <v>3130</v>
      </c>
      <c r="F253">
        <v>0.4</v>
      </c>
      <c r="G253">
        <v>0.05</v>
      </c>
      <c r="H253">
        <f t="shared" si="9"/>
        <v>0.45</v>
      </c>
      <c r="I253" s="194">
        <v>23499616</v>
      </c>
      <c r="J253" s="194">
        <f t="shared" si="10"/>
        <v>1174980.8</v>
      </c>
      <c r="K253" t="str">
        <f>_xlfn.XLOOKUP(B253,Cert_OC_Cliente!$B:$B,Cert_OC_Cliente!$L:$L)</f>
        <v>PTO 02</v>
      </c>
      <c r="L253" t="str">
        <f t="shared" si="11"/>
        <v>✓</v>
      </c>
    </row>
    <row r="254" spans="1:12" x14ac:dyDescent="0.35">
      <c r="A254" t="s">
        <v>3064</v>
      </c>
      <c r="B254" t="s">
        <v>3067</v>
      </c>
      <c r="C254" t="s">
        <v>3161</v>
      </c>
      <c r="D254" s="193">
        <v>46080</v>
      </c>
      <c r="E254" t="s">
        <v>3131</v>
      </c>
      <c r="F254">
        <v>0.25</v>
      </c>
      <c r="G254">
        <v>0.05</v>
      </c>
      <c r="H254">
        <f t="shared" si="9"/>
        <v>0.3</v>
      </c>
      <c r="I254" s="194">
        <v>1139012</v>
      </c>
      <c r="J254" s="194">
        <f t="shared" si="10"/>
        <v>56950.600000000006</v>
      </c>
      <c r="K254" t="str">
        <f>_xlfn.XLOOKUP(B254,Cert_OC_Cliente!$B:$B,Cert_OC_Cliente!$L:$L)</f>
        <v>PTO 02</v>
      </c>
      <c r="L254" t="str">
        <f t="shared" si="11"/>
        <v>✓</v>
      </c>
    </row>
    <row r="255" spans="1:12" x14ac:dyDescent="0.35">
      <c r="A255" t="s">
        <v>3064</v>
      </c>
      <c r="B255" t="s">
        <v>3067</v>
      </c>
      <c r="C255" t="s">
        <v>3161</v>
      </c>
      <c r="D255" s="193">
        <v>46080</v>
      </c>
      <c r="E255" t="s">
        <v>3132</v>
      </c>
      <c r="F255">
        <v>0</v>
      </c>
      <c r="G255">
        <v>0.5</v>
      </c>
      <c r="H255">
        <f t="shared" si="9"/>
        <v>0.5</v>
      </c>
      <c r="I255" s="194">
        <v>-402115</v>
      </c>
      <c r="J255" s="194">
        <f t="shared" si="10"/>
        <v>-201057.5</v>
      </c>
      <c r="K255" t="str">
        <f>_xlfn.XLOOKUP(B255,Cert_OC_Cliente!$B:$B,Cert_OC_Cliente!$L:$L)</f>
        <v>PTO 02</v>
      </c>
      <c r="L255" t="str">
        <f t="shared" si="11"/>
        <v>✓</v>
      </c>
    </row>
    <row r="256" spans="1:12" x14ac:dyDescent="0.35">
      <c r="A256" t="s">
        <v>3064</v>
      </c>
      <c r="B256" t="s">
        <v>3067</v>
      </c>
      <c r="C256" t="s">
        <v>3161</v>
      </c>
      <c r="D256" s="193">
        <v>46080</v>
      </c>
      <c r="E256" t="s">
        <v>3133</v>
      </c>
      <c r="F256">
        <v>0.25</v>
      </c>
      <c r="G256">
        <v>0.05</v>
      </c>
      <c r="H256">
        <f t="shared" si="9"/>
        <v>0.3</v>
      </c>
      <c r="I256" s="194">
        <v>2256800</v>
      </c>
      <c r="J256" s="194">
        <f t="shared" si="10"/>
        <v>112840</v>
      </c>
      <c r="K256" t="str">
        <f>_xlfn.XLOOKUP(B256,Cert_OC_Cliente!$B:$B,Cert_OC_Cliente!$L:$L)</f>
        <v>PTO 02</v>
      </c>
      <c r="L256" t="str">
        <f t="shared" si="11"/>
        <v>✓</v>
      </c>
    </row>
    <row r="257" spans="1:12" x14ac:dyDescent="0.35">
      <c r="A257" t="s">
        <v>3064</v>
      </c>
      <c r="B257" t="s">
        <v>3067</v>
      </c>
      <c r="C257" t="s">
        <v>3161</v>
      </c>
      <c r="D257" s="193">
        <v>46080</v>
      </c>
      <c r="E257" t="s">
        <v>3162</v>
      </c>
      <c r="F257">
        <v>0</v>
      </c>
      <c r="G257">
        <v>0.1</v>
      </c>
      <c r="H257">
        <f t="shared" si="9"/>
        <v>0.1</v>
      </c>
      <c r="I257" s="194">
        <v>919120</v>
      </c>
      <c r="J257" s="194">
        <f t="shared" si="10"/>
        <v>91912</v>
      </c>
      <c r="K257" t="str">
        <f>_xlfn.XLOOKUP(B257,Cert_OC_Cliente!$B:$B,Cert_OC_Cliente!$L:$L)</f>
        <v>PTO 02</v>
      </c>
      <c r="L257" t="str">
        <f t="shared" si="11"/>
        <v>✓</v>
      </c>
    </row>
    <row r="258" spans="1:12" x14ac:dyDescent="0.35">
      <c r="A258" t="s">
        <v>3064</v>
      </c>
      <c r="B258" t="s">
        <v>3067</v>
      </c>
      <c r="C258" t="s">
        <v>3161</v>
      </c>
      <c r="D258" s="193">
        <v>46080</v>
      </c>
      <c r="E258" t="s">
        <v>3134</v>
      </c>
      <c r="F258">
        <v>0.2</v>
      </c>
      <c r="G258">
        <v>0.1</v>
      </c>
      <c r="H258">
        <f t="shared" ref="H258:H321" si="12">F258+G258</f>
        <v>0.30000000000000004</v>
      </c>
      <c r="I258" s="194">
        <v>919120</v>
      </c>
      <c r="J258" s="194">
        <f t="shared" ref="J258:J321" si="13">G258*I258</f>
        <v>91912</v>
      </c>
      <c r="K258" t="str">
        <f>_xlfn.XLOOKUP(B258,Cert_OC_Cliente!$B:$B,Cert_OC_Cliente!$L:$L)</f>
        <v>PTO 02</v>
      </c>
      <c r="L258" t="str">
        <f t="shared" ref="L258:L321" si="14">IF($E258="","",IF(AND(ISNUMBER($I258),$H258&lt;=1.0001),"✓","⚠"))</f>
        <v>✓</v>
      </c>
    </row>
    <row r="259" spans="1:12" x14ac:dyDescent="0.35">
      <c r="A259" t="s">
        <v>3064</v>
      </c>
      <c r="B259" t="s">
        <v>3067</v>
      </c>
      <c r="C259" t="s">
        <v>3161</v>
      </c>
      <c r="D259" s="193">
        <v>46080</v>
      </c>
      <c r="E259" t="s">
        <v>3135</v>
      </c>
      <c r="F259">
        <v>0.25</v>
      </c>
      <c r="G259">
        <v>0.05</v>
      </c>
      <c r="H259">
        <f t="shared" si="12"/>
        <v>0.3</v>
      </c>
      <c r="I259" s="194">
        <v>1987798</v>
      </c>
      <c r="J259" s="194">
        <f t="shared" si="13"/>
        <v>99389.900000000009</v>
      </c>
      <c r="K259" t="str">
        <f>_xlfn.XLOOKUP(B259,Cert_OC_Cliente!$B:$B,Cert_OC_Cliente!$L:$L)</f>
        <v>PTO 02</v>
      </c>
      <c r="L259" t="str">
        <f t="shared" si="14"/>
        <v>✓</v>
      </c>
    </row>
    <row r="260" spans="1:12" x14ac:dyDescent="0.35">
      <c r="A260" t="s">
        <v>3064</v>
      </c>
      <c r="B260" t="s">
        <v>3067</v>
      </c>
      <c r="C260" t="s">
        <v>3161</v>
      </c>
      <c r="D260" s="193">
        <v>46080</v>
      </c>
      <c r="E260" t="s">
        <v>3136</v>
      </c>
      <c r="F260">
        <v>0.25</v>
      </c>
      <c r="G260">
        <v>0.05</v>
      </c>
      <c r="H260">
        <f t="shared" si="12"/>
        <v>0.3</v>
      </c>
      <c r="I260" s="194">
        <v>734621</v>
      </c>
      <c r="J260" s="194">
        <f t="shared" si="13"/>
        <v>36731.050000000003</v>
      </c>
      <c r="K260" t="str">
        <f>_xlfn.XLOOKUP(B260,Cert_OC_Cliente!$B:$B,Cert_OC_Cliente!$L:$L)</f>
        <v>PTO 02</v>
      </c>
      <c r="L260" t="str">
        <f t="shared" si="14"/>
        <v>✓</v>
      </c>
    </row>
    <row r="261" spans="1:12" x14ac:dyDescent="0.35">
      <c r="A261" t="s">
        <v>3064</v>
      </c>
      <c r="B261" t="s">
        <v>3067</v>
      </c>
      <c r="C261" t="s">
        <v>3161</v>
      </c>
      <c r="D261" s="193">
        <v>46080</v>
      </c>
      <c r="E261" t="s">
        <v>3153</v>
      </c>
      <c r="F261">
        <v>0.02</v>
      </c>
      <c r="G261">
        <v>0.03</v>
      </c>
      <c r="H261">
        <f t="shared" si="12"/>
        <v>0.05</v>
      </c>
      <c r="I261" s="194">
        <v>3555286</v>
      </c>
      <c r="J261" s="194">
        <f t="shared" si="13"/>
        <v>106658.58</v>
      </c>
      <c r="K261" t="str">
        <f>_xlfn.XLOOKUP(B261,Cert_OC_Cliente!$B:$B,Cert_OC_Cliente!$L:$L)</f>
        <v>PTO 02</v>
      </c>
      <c r="L261" t="str">
        <f t="shared" si="14"/>
        <v>✓</v>
      </c>
    </row>
    <row r="262" spans="1:12" x14ac:dyDescent="0.35">
      <c r="A262" t="s">
        <v>3064</v>
      </c>
      <c r="B262" t="s">
        <v>3067</v>
      </c>
      <c r="C262" t="s">
        <v>3161</v>
      </c>
      <c r="D262" s="193">
        <v>46080</v>
      </c>
      <c r="E262" t="s">
        <v>3154</v>
      </c>
      <c r="F262">
        <v>0.02</v>
      </c>
      <c r="G262">
        <v>0.03</v>
      </c>
      <c r="H262">
        <f t="shared" si="12"/>
        <v>0.05</v>
      </c>
      <c r="I262" s="194">
        <v>5359482</v>
      </c>
      <c r="J262" s="194">
        <f t="shared" si="13"/>
        <v>160784.46</v>
      </c>
      <c r="K262" t="str">
        <f>_xlfn.XLOOKUP(B262,Cert_OC_Cliente!$B:$B,Cert_OC_Cliente!$L:$L)</f>
        <v>PTO 02</v>
      </c>
      <c r="L262" t="str">
        <f t="shared" si="14"/>
        <v>✓</v>
      </c>
    </row>
    <row r="263" spans="1:12" x14ac:dyDescent="0.35">
      <c r="A263" t="s">
        <v>3064</v>
      </c>
      <c r="B263" t="s">
        <v>3067</v>
      </c>
      <c r="C263" t="s">
        <v>3161</v>
      </c>
      <c r="D263" s="193">
        <v>46080</v>
      </c>
      <c r="E263" t="s">
        <v>3138</v>
      </c>
      <c r="F263">
        <v>0.1</v>
      </c>
      <c r="G263">
        <v>0.1</v>
      </c>
      <c r="H263">
        <f t="shared" si="12"/>
        <v>0.2</v>
      </c>
      <c r="I263" s="194">
        <v>7236758</v>
      </c>
      <c r="J263" s="194">
        <f t="shared" si="13"/>
        <v>723675.8</v>
      </c>
      <c r="K263" t="str">
        <f>_xlfn.XLOOKUP(B263,Cert_OC_Cliente!$B:$B,Cert_OC_Cliente!$L:$L)</f>
        <v>PTO 02</v>
      </c>
      <c r="L263" t="str">
        <f t="shared" si="14"/>
        <v>✓</v>
      </c>
    </row>
    <row r="264" spans="1:12" x14ac:dyDescent="0.35">
      <c r="A264" t="s">
        <v>3064</v>
      </c>
      <c r="B264" t="s">
        <v>3067</v>
      </c>
      <c r="C264" t="s">
        <v>3161</v>
      </c>
      <c r="D264" s="193">
        <v>46080</v>
      </c>
      <c r="E264" t="s">
        <v>3156</v>
      </c>
      <c r="F264">
        <v>5.0000000000000017E-2</v>
      </c>
      <c r="G264">
        <v>0.15</v>
      </c>
      <c r="H264">
        <f t="shared" si="12"/>
        <v>0.2</v>
      </c>
      <c r="I264" s="194">
        <v>4135290</v>
      </c>
      <c r="J264" s="194">
        <f t="shared" si="13"/>
        <v>620293.5</v>
      </c>
      <c r="K264" t="str">
        <f>_xlfn.XLOOKUP(B264,Cert_OC_Cliente!$B:$B,Cert_OC_Cliente!$L:$L)</f>
        <v>PTO 02</v>
      </c>
      <c r="L264" t="str">
        <f t="shared" si="14"/>
        <v>✓</v>
      </c>
    </row>
    <row r="265" spans="1:12" x14ac:dyDescent="0.35">
      <c r="A265" t="s">
        <v>3064</v>
      </c>
      <c r="B265" t="s">
        <v>3067</v>
      </c>
      <c r="C265" t="s">
        <v>3161</v>
      </c>
      <c r="D265" s="193">
        <v>46080</v>
      </c>
      <c r="E265" t="s">
        <v>3139</v>
      </c>
      <c r="F265">
        <v>0.35</v>
      </c>
      <c r="G265">
        <v>0.15</v>
      </c>
      <c r="H265">
        <f t="shared" si="12"/>
        <v>0.5</v>
      </c>
      <c r="I265" s="194">
        <v>2675380</v>
      </c>
      <c r="J265" s="194">
        <f t="shared" si="13"/>
        <v>401307</v>
      </c>
      <c r="K265" t="str">
        <f>_xlfn.XLOOKUP(B265,Cert_OC_Cliente!$B:$B,Cert_OC_Cliente!$L:$L)</f>
        <v>PTO 02</v>
      </c>
      <c r="L265" t="str">
        <f t="shared" si="14"/>
        <v>✓</v>
      </c>
    </row>
    <row r="266" spans="1:12" x14ac:dyDescent="0.35">
      <c r="A266" t="s">
        <v>3064</v>
      </c>
      <c r="B266" t="s">
        <v>3067</v>
      </c>
      <c r="C266" t="s">
        <v>3161</v>
      </c>
      <c r="D266" s="193">
        <v>46080</v>
      </c>
      <c r="E266" t="s">
        <v>3157</v>
      </c>
      <c r="F266">
        <v>0.35</v>
      </c>
      <c r="G266">
        <v>0.15</v>
      </c>
      <c r="H266">
        <f t="shared" si="12"/>
        <v>0.5</v>
      </c>
      <c r="I266" s="194">
        <v>3057577</v>
      </c>
      <c r="J266" s="194">
        <f t="shared" si="13"/>
        <v>458636.55</v>
      </c>
      <c r="K266" t="str">
        <f>_xlfn.XLOOKUP(B266,Cert_OC_Cliente!$B:$B,Cert_OC_Cliente!$L:$L)</f>
        <v>PTO 02</v>
      </c>
      <c r="L266" t="str">
        <f t="shared" si="14"/>
        <v>✓</v>
      </c>
    </row>
    <row r="267" spans="1:12" x14ac:dyDescent="0.35">
      <c r="A267" t="s">
        <v>3064</v>
      </c>
      <c r="B267" t="s">
        <v>3067</v>
      </c>
      <c r="C267" t="s">
        <v>3161</v>
      </c>
      <c r="D267" s="193">
        <v>46080</v>
      </c>
      <c r="E267" t="s">
        <v>3158</v>
      </c>
      <c r="F267">
        <v>0.1</v>
      </c>
      <c r="G267">
        <v>0.2</v>
      </c>
      <c r="H267">
        <f t="shared" si="12"/>
        <v>0.30000000000000004</v>
      </c>
      <c r="I267" s="194">
        <v>14001552</v>
      </c>
      <c r="J267" s="194">
        <f t="shared" si="13"/>
        <v>2800310.4000000004</v>
      </c>
      <c r="K267" t="str">
        <f>_xlfn.XLOOKUP(B267,Cert_OC_Cliente!$B:$B,Cert_OC_Cliente!$L:$L)</f>
        <v>PTO 02</v>
      </c>
      <c r="L267" t="str">
        <f t="shared" si="14"/>
        <v>✓</v>
      </c>
    </row>
    <row r="268" spans="1:12" x14ac:dyDescent="0.35">
      <c r="A268" t="s">
        <v>3064</v>
      </c>
      <c r="B268" t="s">
        <v>3067</v>
      </c>
      <c r="C268" t="s">
        <v>3161</v>
      </c>
      <c r="D268" s="193">
        <v>46080</v>
      </c>
      <c r="E268" t="s">
        <v>3163</v>
      </c>
      <c r="F268">
        <v>0</v>
      </c>
      <c r="G268">
        <v>0.2</v>
      </c>
      <c r="H268">
        <f t="shared" si="12"/>
        <v>0.2</v>
      </c>
      <c r="I268" s="194">
        <v>2047485</v>
      </c>
      <c r="J268" s="194">
        <f t="shared" si="13"/>
        <v>409497</v>
      </c>
      <c r="K268" t="str">
        <f>_xlfn.XLOOKUP(B268,Cert_OC_Cliente!$B:$B,Cert_OC_Cliente!$L:$L)</f>
        <v>PTO 02</v>
      </c>
      <c r="L268" t="str">
        <f t="shared" si="14"/>
        <v>✓</v>
      </c>
    </row>
    <row r="269" spans="1:12" x14ac:dyDescent="0.35">
      <c r="A269" t="s">
        <v>3064</v>
      </c>
      <c r="B269" t="s">
        <v>3067</v>
      </c>
      <c r="C269" t="s">
        <v>3161</v>
      </c>
      <c r="D269" s="193">
        <v>46080</v>
      </c>
      <c r="E269" t="s">
        <v>3164</v>
      </c>
      <c r="F269">
        <v>0</v>
      </c>
      <c r="G269">
        <v>0.15</v>
      </c>
      <c r="H269">
        <f t="shared" si="12"/>
        <v>0.15</v>
      </c>
      <c r="I269" s="194">
        <v>16584566</v>
      </c>
      <c r="J269" s="194">
        <f t="shared" si="13"/>
        <v>2487684.9</v>
      </c>
      <c r="K269" t="str">
        <f>_xlfn.XLOOKUP(B269,Cert_OC_Cliente!$B:$B,Cert_OC_Cliente!$L:$L)</f>
        <v>PTO 02</v>
      </c>
      <c r="L269" t="str">
        <f t="shared" si="14"/>
        <v>✓</v>
      </c>
    </row>
    <row r="270" spans="1:12" x14ac:dyDescent="0.35">
      <c r="A270" t="s">
        <v>3064</v>
      </c>
      <c r="B270" t="s">
        <v>3067</v>
      </c>
      <c r="C270" t="s">
        <v>3161</v>
      </c>
      <c r="D270" s="193">
        <v>46080</v>
      </c>
      <c r="E270" t="s">
        <v>3165</v>
      </c>
      <c r="F270">
        <v>0</v>
      </c>
      <c r="G270">
        <v>0.1</v>
      </c>
      <c r="H270">
        <f t="shared" si="12"/>
        <v>0.1</v>
      </c>
      <c r="I270" s="194">
        <v>3124814</v>
      </c>
      <c r="J270" s="194">
        <f t="shared" si="13"/>
        <v>312481.40000000002</v>
      </c>
      <c r="K270" t="str">
        <f>_xlfn.XLOOKUP(B270,Cert_OC_Cliente!$B:$B,Cert_OC_Cliente!$L:$L)</f>
        <v>PTO 02</v>
      </c>
      <c r="L270" t="str">
        <f t="shared" si="14"/>
        <v>✓</v>
      </c>
    </row>
    <row r="271" spans="1:12" x14ac:dyDescent="0.35">
      <c r="A271" t="s">
        <v>3064</v>
      </c>
      <c r="B271" t="s">
        <v>3067</v>
      </c>
      <c r="C271" t="s">
        <v>3161</v>
      </c>
      <c r="D271" s="193">
        <v>46080</v>
      </c>
      <c r="E271" t="s">
        <v>3088</v>
      </c>
      <c r="F271">
        <v>0.1</v>
      </c>
      <c r="G271">
        <v>0.1</v>
      </c>
      <c r="H271">
        <f t="shared" si="12"/>
        <v>0.2</v>
      </c>
      <c r="I271" s="194">
        <v>4518828</v>
      </c>
      <c r="J271" s="194">
        <f t="shared" si="13"/>
        <v>451882.80000000005</v>
      </c>
      <c r="K271" t="str">
        <f>_xlfn.XLOOKUP(B271,Cert_OC_Cliente!$B:$B,Cert_OC_Cliente!$L:$L)</f>
        <v>PTO 02</v>
      </c>
      <c r="L271" t="str">
        <f t="shared" si="14"/>
        <v>✓</v>
      </c>
    </row>
    <row r="272" spans="1:12" x14ac:dyDescent="0.35">
      <c r="A272" t="s">
        <v>3064</v>
      </c>
      <c r="B272" t="s">
        <v>3067</v>
      </c>
      <c r="C272" t="s">
        <v>3161</v>
      </c>
      <c r="D272" s="193">
        <v>46080</v>
      </c>
      <c r="E272" t="s">
        <v>3089</v>
      </c>
      <c r="F272">
        <v>0.1</v>
      </c>
      <c r="G272">
        <v>0.1</v>
      </c>
      <c r="H272">
        <f t="shared" si="12"/>
        <v>0.2</v>
      </c>
      <c r="I272" s="194">
        <v>1131198</v>
      </c>
      <c r="J272" s="194">
        <f t="shared" si="13"/>
        <v>113119.8</v>
      </c>
      <c r="K272" t="str">
        <f>_xlfn.XLOOKUP(B272,Cert_OC_Cliente!$B:$B,Cert_OC_Cliente!$L:$L)</f>
        <v>PTO 02</v>
      </c>
      <c r="L272" t="str">
        <f t="shared" si="14"/>
        <v>✓</v>
      </c>
    </row>
    <row r="273" spans="1:12" x14ac:dyDescent="0.35">
      <c r="A273" t="s">
        <v>3064</v>
      </c>
      <c r="B273" t="s">
        <v>3067</v>
      </c>
      <c r="C273" t="s">
        <v>3161</v>
      </c>
      <c r="D273" s="193">
        <v>46080</v>
      </c>
      <c r="E273" t="s">
        <v>3116</v>
      </c>
      <c r="F273">
        <v>0</v>
      </c>
      <c r="G273">
        <v>0.1</v>
      </c>
      <c r="H273">
        <f t="shared" si="12"/>
        <v>0.1</v>
      </c>
      <c r="I273" s="194">
        <v>4176912</v>
      </c>
      <c r="J273" s="194">
        <f t="shared" si="13"/>
        <v>417691.2</v>
      </c>
      <c r="K273" t="str">
        <f>_xlfn.XLOOKUP(B273,Cert_OC_Cliente!$B:$B,Cert_OC_Cliente!$L:$L)</f>
        <v>PTO 02</v>
      </c>
      <c r="L273" t="str">
        <f t="shared" si="14"/>
        <v>✓</v>
      </c>
    </row>
    <row r="274" spans="1:12" x14ac:dyDescent="0.35">
      <c r="A274" t="s">
        <v>3064</v>
      </c>
      <c r="B274" t="s">
        <v>3067</v>
      </c>
      <c r="C274" t="s">
        <v>3161</v>
      </c>
      <c r="D274" s="193">
        <v>46080</v>
      </c>
      <c r="E274" t="s">
        <v>3094</v>
      </c>
      <c r="F274">
        <v>0</v>
      </c>
      <c r="G274">
        <v>0.1</v>
      </c>
      <c r="H274">
        <f t="shared" si="12"/>
        <v>0.1</v>
      </c>
      <c r="I274" s="194">
        <v>2713998</v>
      </c>
      <c r="J274" s="194">
        <f t="shared" si="13"/>
        <v>271399.8</v>
      </c>
      <c r="K274" t="str">
        <f>_xlfn.XLOOKUP(B274,Cert_OC_Cliente!$B:$B,Cert_OC_Cliente!$L:$L)</f>
        <v>PTO 02</v>
      </c>
      <c r="L274" t="str">
        <f t="shared" si="14"/>
        <v>✓</v>
      </c>
    </row>
    <row r="275" spans="1:12" x14ac:dyDescent="0.35">
      <c r="A275" t="s">
        <v>3064</v>
      </c>
      <c r="B275" t="s">
        <v>3067</v>
      </c>
      <c r="C275" t="s">
        <v>3161</v>
      </c>
      <c r="D275" s="193">
        <v>46080</v>
      </c>
      <c r="E275" t="s">
        <v>3095</v>
      </c>
      <c r="F275">
        <v>0</v>
      </c>
      <c r="G275">
        <v>0.1</v>
      </c>
      <c r="H275">
        <f t="shared" si="12"/>
        <v>0.1</v>
      </c>
      <c r="I275" s="194">
        <v>1885326</v>
      </c>
      <c r="J275" s="194">
        <f t="shared" si="13"/>
        <v>188532.6</v>
      </c>
      <c r="K275" t="str">
        <f>_xlfn.XLOOKUP(B275,Cert_OC_Cliente!$B:$B,Cert_OC_Cliente!$L:$L)</f>
        <v>PTO 02</v>
      </c>
      <c r="L275" t="str">
        <f t="shared" si="14"/>
        <v>✓</v>
      </c>
    </row>
    <row r="276" spans="1:12" x14ac:dyDescent="0.35">
      <c r="A276" t="s">
        <v>3064</v>
      </c>
      <c r="B276" t="s">
        <v>3067</v>
      </c>
      <c r="C276" t="s">
        <v>3161</v>
      </c>
      <c r="D276" s="193">
        <v>46080</v>
      </c>
      <c r="E276" t="s">
        <v>3117</v>
      </c>
      <c r="F276">
        <v>0</v>
      </c>
      <c r="G276">
        <v>0.1</v>
      </c>
      <c r="H276">
        <f t="shared" si="12"/>
        <v>0.1</v>
      </c>
      <c r="I276" s="194">
        <v>1884828</v>
      </c>
      <c r="J276" s="194">
        <f t="shared" si="13"/>
        <v>188482.80000000002</v>
      </c>
      <c r="K276" t="str">
        <f>_xlfn.XLOOKUP(B276,Cert_OC_Cliente!$B:$B,Cert_OC_Cliente!$L:$L)</f>
        <v>PTO 02</v>
      </c>
      <c r="L276" t="str">
        <f t="shared" si="14"/>
        <v>✓</v>
      </c>
    </row>
    <row r="277" spans="1:12" x14ac:dyDescent="0.35">
      <c r="A277" t="s">
        <v>3064</v>
      </c>
      <c r="B277" t="s">
        <v>3067</v>
      </c>
      <c r="C277" t="s">
        <v>3161</v>
      </c>
      <c r="D277" s="193">
        <v>46080</v>
      </c>
      <c r="E277" t="s">
        <v>3090</v>
      </c>
      <c r="F277">
        <v>0.1</v>
      </c>
      <c r="G277">
        <v>0.1</v>
      </c>
      <c r="H277">
        <f t="shared" si="12"/>
        <v>0.2</v>
      </c>
      <c r="I277" s="194">
        <v>28644636</v>
      </c>
      <c r="J277" s="194">
        <f t="shared" si="13"/>
        <v>2864463.6</v>
      </c>
      <c r="K277" t="str">
        <f>_xlfn.XLOOKUP(B277,Cert_OC_Cliente!$B:$B,Cert_OC_Cliente!$L:$L)</f>
        <v>PTO 02</v>
      </c>
      <c r="L277" t="str">
        <f t="shared" si="14"/>
        <v>✓</v>
      </c>
    </row>
    <row r="278" spans="1:12" x14ac:dyDescent="0.35">
      <c r="A278" t="s">
        <v>3064</v>
      </c>
      <c r="B278" t="s">
        <v>3067</v>
      </c>
      <c r="C278" t="s">
        <v>3161</v>
      </c>
      <c r="D278" s="193">
        <v>46080</v>
      </c>
      <c r="E278" t="s">
        <v>3091</v>
      </c>
      <c r="F278">
        <v>0.1</v>
      </c>
      <c r="G278">
        <v>0.1</v>
      </c>
      <c r="H278">
        <f t="shared" si="12"/>
        <v>0.2</v>
      </c>
      <c r="I278" s="194">
        <v>3770652</v>
      </c>
      <c r="J278" s="194">
        <f t="shared" si="13"/>
        <v>377065.2</v>
      </c>
      <c r="K278" t="str">
        <f>_xlfn.XLOOKUP(B278,Cert_OC_Cliente!$B:$B,Cert_OC_Cliente!$L:$L)</f>
        <v>PTO 02</v>
      </c>
      <c r="L278" t="str">
        <f t="shared" si="14"/>
        <v>✓</v>
      </c>
    </row>
    <row r="279" spans="1:12" x14ac:dyDescent="0.35">
      <c r="A279" t="s">
        <v>3064</v>
      </c>
      <c r="B279" t="s">
        <v>3067</v>
      </c>
      <c r="C279" t="s">
        <v>3161</v>
      </c>
      <c r="D279" s="193">
        <v>46080</v>
      </c>
      <c r="E279" t="s">
        <v>3143</v>
      </c>
      <c r="F279">
        <v>0.55000000000000004</v>
      </c>
      <c r="G279">
        <v>0.15</v>
      </c>
      <c r="H279">
        <f t="shared" si="12"/>
        <v>0.70000000000000007</v>
      </c>
      <c r="I279" s="194">
        <v>15555267</v>
      </c>
      <c r="J279" s="194">
        <f t="shared" si="13"/>
        <v>2333290.0499999998</v>
      </c>
      <c r="K279" t="str">
        <f>_xlfn.XLOOKUP(B279,Cert_OC_Cliente!$B:$B,Cert_OC_Cliente!$L:$L)</f>
        <v>PTO 02</v>
      </c>
      <c r="L279" t="str">
        <f t="shared" si="14"/>
        <v>✓</v>
      </c>
    </row>
    <row r="280" spans="1:12" x14ac:dyDescent="0.35">
      <c r="A280" t="s">
        <v>3064</v>
      </c>
      <c r="B280" t="s">
        <v>3067</v>
      </c>
      <c r="C280" t="s">
        <v>3161</v>
      </c>
      <c r="D280" s="193">
        <v>46080</v>
      </c>
      <c r="E280" t="s">
        <v>3145</v>
      </c>
      <c r="F280">
        <v>0.55000000000000004</v>
      </c>
      <c r="G280">
        <v>0.15</v>
      </c>
      <c r="H280">
        <f t="shared" si="12"/>
        <v>0.70000000000000007</v>
      </c>
      <c r="I280" s="194">
        <v>13425324</v>
      </c>
      <c r="J280" s="194">
        <f t="shared" si="13"/>
        <v>2013798.5999999999</v>
      </c>
      <c r="K280" t="str">
        <f>_xlfn.XLOOKUP(B280,Cert_OC_Cliente!$B:$B,Cert_OC_Cliente!$L:$L)</f>
        <v>PTO 02</v>
      </c>
      <c r="L280" t="str">
        <f t="shared" si="14"/>
        <v>✓</v>
      </c>
    </row>
    <row r="281" spans="1:12" x14ac:dyDescent="0.35">
      <c r="A281" t="s">
        <v>3064</v>
      </c>
      <c r="B281" t="s">
        <v>3067</v>
      </c>
      <c r="C281" t="s">
        <v>3161</v>
      </c>
      <c r="D281" s="193">
        <v>46080</v>
      </c>
      <c r="E281" t="s">
        <v>3166</v>
      </c>
      <c r="F281">
        <v>0</v>
      </c>
      <c r="G281">
        <v>0.05</v>
      </c>
      <c r="H281">
        <f t="shared" si="12"/>
        <v>0.05</v>
      </c>
      <c r="I281" s="194">
        <v>56751165.702000029</v>
      </c>
      <c r="J281" s="194">
        <f t="shared" si="13"/>
        <v>2837558.2851000018</v>
      </c>
      <c r="K281" t="str">
        <f>_xlfn.XLOOKUP(B281,Cert_OC_Cliente!$B:$B,Cert_OC_Cliente!$L:$L)</f>
        <v>PTO 02</v>
      </c>
      <c r="L281" t="str">
        <f t="shared" si="14"/>
        <v>✓</v>
      </c>
    </row>
    <row r="282" spans="1:12" x14ac:dyDescent="0.35">
      <c r="A282" t="s">
        <v>3064</v>
      </c>
      <c r="B282" t="s">
        <v>3067</v>
      </c>
      <c r="C282" t="s">
        <v>3161</v>
      </c>
      <c r="D282" s="193">
        <v>46080</v>
      </c>
      <c r="E282" t="s">
        <v>3167</v>
      </c>
      <c r="F282">
        <v>0</v>
      </c>
      <c r="G282">
        <v>0.05</v>
      </c>
      <c r="H282">
        <f t="shared" si="12"/>
        <v>0.05</v>
      </c>
      <c r="I282" s="194">
        <v>6511932.8999999994</v>
      </c>
      <c r="J282" s="194">
        <f t="shared" si="13"/>
        <v>325596.64500000002</v>
      </c>
      <c r="K282" t="str">
        <f>_xlfn.XLOOKUP(B282,Cert_OC_Cliente!$B:$B,Cert_OC_Cliente!$L:$L)</f>
        <v>PTO 02</v>
      </c>
      <c r="L282" t="str">
        <f t="shared" si="14"/>
        <v>✓</v>
      </c>
    </row>
    <row r="283" spans="1:12" x14ac:dyDescent="0.35">
      <c r="A283" t="s">
        <v>3064</v>
      </c>
      <c r="B283" t="s">
        <v>3067</v>
      </c>
      <c r="C283" t="s">
        <v>3168</v>
      </c>
      <c r="D283" s="193">
        <v>46108</v>
      </c>
      <c r="E283" t="s">
        <v>3169</v>
      </c>
      <c r="F283">
        <v>0</v>
      </c>
      <c r="G283">
        <v>0.2</v>
      </c>
      <c r="H283">
        <f t="shared" si="12"/>
        <v>0.2</v>
      </c>
      <c r="I283" s="194">
        <v>2199545</v>
      </c>
      <c r="J283" s="194">
        <f t="shared" si="13"/>
        <v>439909</v>
      </c>
      <c r="K283" t="str">
        <f>_xlfn.XLOOKUP(B283,Cert_OC_Cliente!$B:$B,Cert_OC_Cliente!$L:$L)</f>
        <v>PTO 02</v>
      </c>
      <c r="L283" t="str">
        <f t="shared" si="14"/>
        <v>✓</v>
      </c>
    </row>
    <row r="284" spans="1:12" x14ac:dyDescent="0.35">
      <c r="A284" t="s">
        <v>3064</v>
      </c>
      <c r="B284" t="s">
        <v>3067</v>
      </c>
      <c r="C284" t="s">
        <v>3168</v>
      </c>
      <c r="D284" s="193">
        <v>46108</v>
      </c>
      <c r="E284" t="s">
        <v>3170</v>
      </c>
      <c r="F284">
        <v>0</v>
      </c>
      <c r="G284">
        <v>0.05</v>
      </c>
      <c r="H284">
        <f t="shared" si="12"/>
        <v>0.05</v>
      </c>
      <c r="I284" s="194">
        <v>9802967.9039999992</v>
      </c>
      <c r="J284" s="194">
        <f t="shared" si="13"/>
        <v>490148.39519999997</v>
      </c>
      <c r="K284" t="str">
        <f>_xlfn.XLOOKUP(B284,Cert_OC_Cliente!$B:$B,Cert_OC_Cliente!$L:$L)</f>
        <v>PTO 02</v>
      </c>
      <c r="L284" t="str">
        <f t="shared" si="14"/>
        <v>✓</v>
      </c>
    </row>
    <row r="285" spans="1:12" x14ac:dyDescent="0.35">
      <c r="A285" t="s">
        <v>3064</v>
      </c>
      <c r="B285" t="s">
        <v>3067</v>
      </c>
      <c r="C285" t="s">
        <v>3168</v>
      </c>
      <c r="D285" s="193">
        <v>46108</v>
      </c>
      <c r="E285" t="s">
        <v>3171</v>
      </c>
      <c r="F285">
        <v>0</v>
      </c>
      <c r="G285">
        <v>0.05</v>
      </c>
      <c r="H285">
        <f t="shared" si="12"/>
        <v>0.05</v>
      </c>
      <c r="I285" s="194">
        <v>9524051.2871000003</v>
      </c>
      <c r="J285" s="194">
        <f t="shared" si="13"/>
        <v>476202.56435500004</v>
      </c>
      <c r="K285" t="str">
        <f>_xlfn.XLOOKUP(B285,Cert_OC_Cliente!$B:$B,Cert_OC_Cliente!$L:$L)</f>
        <v>PTO 02</v>
      </c>
      <c r="L285" t="str">
        <f t="shared" si="14"/>
        <v>✓</v>
      </c>
    </row>
    <row r="286" spans="1:12" x14ac:dyDescent="0.35">
      <c r="A286" t="s">
        <v>3064</v>
      </c>
      <c r="B286" t="s">
        <v>3067</v>
      </c>
      <c r="C286" t="s">
        <v>3168</v>
      </c>
      <c r="D286" s="193">
        <v>46108</v>
      </c>
      <c r="E286" t="s">
        <v>3172</v>
      </c>
      <c r="F286">
        <v>0</v>
      </c>
      <c r="G286">
        <v>0.05</v>
      </c>
      <c r="H286">
        <f t="shared" si="12"/>
        <v>0.05</v>
      </c>
      <c r="I286" s="194">
        <v>1779616</v>
      </c>
      <c r="J286" s="194">
        <f t="shared" si="13"/>
        <v>88980.800000000003</v>
      </c>
      <c r="K286" t="str">
        <f>_xlfn.XLOOKUP(B286,Cert_OC_Cliente!$B:$B,Cert_OC_Cliente!$L:$L)</f>
        <v>PTO 02</v>
      </c>
      <c r="L286" t="str">
        <f t="shared" si="14"/>
        <v>✓</v>
      </c>
    </row>
    <row r="287" spans="1:12" x14ac:dyDescent="0.35">
      <c r="A287" t="s">
        <v>3064</v>
      </c>
      <c r="B287" t="s">
        <v>3067</v>
      </c>
      <c r="C287" t="s">
        <v>3168</v>
      </c>
      <c r="D287" s="193">
        <v>46108</v>
      </c>
      <c r="E287" t="s">
        <v>3151</v>
      </c>
      <c r="F287">
        <v>0.35</v>
      </c>
      <c r="G287">
        <v>0.25</v>
      </c>
      <c r="H287">
        <f t="shared" si="12"/>
        <v>0.6</v>
      </c>
      <c r="I287" s="194">
        <v>3018904</v>
      </c>
      <c r="J287" s="194">
        <f t="shared" si="13"/>
        <v>754726</v>
      </c>
      <c r="K287" t="str">
        <f>_xlfn.XLOOKUP(B287,Cert_OC_Cliente!$B:$B,Cert_OC_Cliente!$L:$L)</f>
        <v>PTO 02</v>
      </c>
      <c r="L287" t="str">
        <f t="shared" si="14"/>
        <v>✓</v>
      </c>
    </row>
    <row r="288" spans="1:12" x14ac:dyDescent="0.35">
      <c r="A288" t="s">
        <v>3064</v>
      </c>
      <c r="B288" t="s">
        <v>3067</v>
      </c>
      <c r="C288" t="s">
        <v>3168</v>
      </c>
      <c r="D288" s="193">
        <v>46108</v>
      </c>
      <c r="E288" t="s">
        <v>3148</v>
      </c>
      <c r="F288">
        <v>0.38</v>
      </c>
      <c r="G288">
        <v>0.47</v>
      </c>
      <c r="H288">
        <f t="shared" si="12"/>
        <v>0.85</v>
      </c>
      <c r="I288" s="194">
        <v>1477336</v>
      </c>
      <c r="J288" s="194">
        <f t="shared" si="13"/>
        <v>694347.91999999993</v>
      </c>
      <c r="K288" t="str">
        <f>_xlfn.XLOOKUP(B288,Cert_OC_Cliente!$B:$B,Cert_OC_Cliente!$L:$L)</f>
        <v>PTO 02</v>
      </c>
      <c r="L288" t="str">
        <f t="shared" si="14"/>
        <v>✓</v>
      </c>
    </row>
    <row r="289" spans="1:12" x14ac:dyDescent="0.35">
      <c r="A289" t="s">
        <v>3064</v>
      </c>
      <c r="B289" t="s">
        <v>3067</v>
      </c>
      <c r="C289" t="s">
        <v>3168</v>
      </c>
      <c r="D289" s="193">
        <v>46108</v>
      </c>
      <c r="E289" t="s">
        <v>3152</v>
      </c>
      <c r="F289">
        <v>0.4</v>
      </c>
      <c r="G289">
        <v>0.3</v>
      </c>
      <c r="H289">
        <f t="shared" si="12"/>
        <v>0.7</v>
      </c>
      <c r="I289" s="194">
        <v>2106096</v>
      </c>
      <c r="J289" s="194">
        <f t="shared" si="13"/>
        <v>631828.79999999993</v>
      </c>
      <c r="K289" t="str">
        <f>_xlfn.XLOOKUP(B289,Cert_OC_Cliente!$B:$B,Cert_OC_Cliente!$L:$L)</f>
        <v>PTO 02</v>
      </c>
      <c r="L289" t="str">
        <f t="shared" si="14"/>
        <v>✓</v>
      </c>
    </row>
    <row r="290" spans="1:12" x14ac:dyDescent="0.35">
      <c r="A290" t="s">
        <v>3064</v>
      </c>
      <c r="B290" t="s">
        <v>3067</v>
      </c>
      <c r="C290" t="s">
        <v>3168</v>
      </c>
      <c r="D290" s="193">
        <v>46108</v>
      </c>
      <c r="E290" t="s">
        <v>3131</v>
      </c>
      <c r="F290">
        <v>0.3</v>
      </c>
      <c r="G290">
        <v>0.05</v>
      </c>
      <c r="H290">
        <f t="shared" si="12"/>
        <v>0.35</v>
      </c>
      <c r="I290" s="194">
        <v>1139012</v>
      </c>
      <c r="J290" s="194">
        <f t="shared" si="13"/>
        <v>56950.600000000006</v>
      </c>
      <c r="K290" t="str">
        <f>_xlfn.XLOOKUP(B290,Cert_OC_Cliente!$B:$B,Cert_OC_Cliente!$L:$L)</f>
        <v>PTO 02</v>
      </c>
      <c r="L290" t="str">
        <f t="shared" si="14"/>
        <v>✓</v>
      </c>
    </row>
    <row r="291" spans="1:12" x14ac:dyDescent="0.35">
      <c r="A291" t="s">
        <v>3064</v>
      </c>
      <c r="B291" t="s">
        <v>3067</v>
      </c>
      <c r="C291" t="s">
        <v>3168</v>
      </c>
      <c r="D291" s="193">
        <v>46108</v>
      </c>
      <c r="E291" t="s">
        <v>3133</v>
      </c>
      <c r="F291">
        <v>0.3</v>
      </c>
      <c r="G291">
        <v>0.05</v>
      </c>
      <c r="H291">
        <f t="shared" si="12"/>
        <v>0.35</v>
      </c>
      <c r="I291" s="194">
        <v>2256800</v>
      </c>
      <c r="J291" s="194">
        <f t="shared" si="13"/>
        <v>112840</v>
      </c>
      <c r="K291" t="str">
        <f>_xlfn.XLOOKUP(B291,Cert_OC_Cliente!$B:$B,Cert_OC_Cliente!$L:$L)</f>
        <v>PTO 02</v>
      </c>
      <c r="L291" t="str">
        <f t="shared" si="14"/>
        <v>✓</v>
      </c>
    </row>
    <row r="292" spans="1:12" x14ac:dyDescent="0.35">
      <c r="A292" t="s">
        <v>3064</v>
      </c>
      <c r="B292" t="s">
        <v>3067</v>
      </c>
      <c r="C292" t="s">
        <v>3168</v>
      </c>
      <c r="D292" s="193">
        <v>46108</v>
      </c>
      <c r="E292" t="s">
        <v>3162</v>
      </c>
      <c r="F292">
        <v>9.9999999999999978E-2</v>
      </c>
      <c r="G292">
        <v>0.25</v>
      </c>
      <c r="H292">
        <f t="shared" si="12"/>
        <v>0.35</v>
      </c>
      <c r="I292" s="194">
        <v>919120</v>
      </c>
      <c r="J292" s="194">
        <f t="shared" si="13"/>
        <v>229780</v>
      </c>
      <c r="K292" t="str">
        <f>_xlfn.XLOOKUP(B292,Cert_OC_Cliente!$B:$B,Cert_OC_Cliente!$L:$L)</f>
        <v>PTO 02</v>
      </c>
      <c r="L292" t="str">
        <f t="shared" si="14"/>
        <v>✓</v>
      </c>
    </row>
    <row r="293" spans="1:12" x14ac:dyDescent="0.35">
      <c r="A293" t="s">
        <v>3064</v>
      </c>
      <c r="B293" t="s">
        <v>3067</v>
      </c>
      <c r="C293" t="s">
        <v>3168</v>
      </c>
      <c r="D293" s="193">
        <v>46108</v>
      </c>
      <c r="E293" t="s">
        <v>3134</v>
      </c>
      <c r="F293">
        <v>0.3</v>
      </c>
      <c r="G293">
        <v>0.05</v>
      </c>
      <c r="H293">
        <f t="shared" si="12"/>
        <v>0.35</v>
      </c>
      <c r="I293" s="194">
        <v>919120</v>
      </c>
      <c r="J293" s="194">
        <f t="shared" si="13"/>
        <v>45956</v>
      </c>
      <c r="K293" t="str">
        <f>_xlfn.XLOOKUP(B293,Cert_OC_Cliente!$B:$B,Cert_OC_Cliente!$L:$L)</f>
        <v>PTO 02</v>
      </c>
      <c r="L293" t="str">
        <f t="shared" si="14"/>
        <v>✓</v>
      </c>
    </row>
    <row r="294" spans="1:12" x14ac:dyDescent="0.35">
      <c r="A294" t="s">
        <v>3064</v>
      </c>
      <c r="B294" t="s">
        <v>3067</v>
      </c>
      <c r="C294" t="s">
        <v>3168</v>
      </c>
      <c r="D294" s="193">
        <v>46108</v>
      </c>
      <c r="E294" t="s">
        <v>3135</v>
      </c>
      <c r="F294">
        <v>0.3</v>
      </c>
      <c r="G294">
        <v>0.05</v>
      </c>
      <c r="H294">
        <f t="shared" si="12"/>
        <v>0.35</v>
      </c>
      <c r="I294" s="194">
        <v>1987798</v>
      </c>
      <c r="J294" s="194">
        <f t="shared" si="13"/>
        <v>99389.900000000009</v>
      </c>
      <c r="K294" t="str">
        <f>_xlfn.XLOOKUP(B294,Cert_OC_Cliente!$B:$B,Cert_OC_Cliente!$L:$L)</f>
        <v>PTO 02</v>
      </c>
      <c r="L294" t="str">
        <f t="shared" si="14"/>
        <v>✓</v>
      </c>
    </row>
    <row r="295" spans="1:12" x14ac:dyDescent="0.35">
      <c r="A295" t="s">
        <v>3064</v>
      </c>
      <c r="B295" t="s">
        <v>3067</v>
      </c>
      <c r="C295" t="s">
        <v>3168</v>
      </c>
      <c r="D295" s="193">
        <v>46108</v>
      </c>
      <c r="E295" t="s">
        <v>3136</v>
      </c>
      <c r="F295">
        <v>0.3</v>
      </c>
      <c r="G295">
        <v>0.05</v>
      </c>
      <c r="H295">
        <f t="shared" si="12"/>
        <v>0.35</v>
      </c>
      <c r="I295" s="194">
        <v>734621</v>
      </c>
      <c r="J295" s="194">
        <f t="shared" si="13"/>
        <v>36731.050000000003</v>
      </c>
      <c r="K295" t="str">
        <f>_xlfn.XLOOKUP(B295,Cert_OC_Cliente!$B:$B,Cert_OC_Cliente!$L:$L)</f>
        <v>PTO 02</v>
      </c>
      <c r="L295" t="str">
        <f t="shared" si="14"/>
        <v>✓</v>
      </c>
    </row>
    <row r="296" spans="1:12" x14ac:dyDescent="0.35">
      <c r="A296" t="s">
        <v>3064</v>
      </c>
      <c r="B296" t="s">
        <v>3067</v>
      </c>
      <c r="C296" t="s">
        <v>3168</v>
      </c>
      <c r="D296" s="193">
        <v>46108</v>
      </c>
      <c r="E296" t="s">
        <v>3155</v>
      </c>
      <c r="F296">
        <v>9.9999999999999978E-2</v>
      </c>
      <c r="G296">
        <v>0.25</v>
      </c>
      <c r="H296">
        <f t="shared" si="12"/>
        <v>0.35</v>
      </c>
      <c r="I296" s="194">
        <v>8787491</v>
      </c>
      <c r="J296" s="194">
        <f t="shared" si="13"/>
        <v>2196872.75</v>
      </c>
      <c r="K296" t="str">
        <f>_xlfn.XLOOKUP(B296,Cert_OC_Cliente!$B:$B,Cert_OC_Cliente!$L:$L)</f>
        <v>PTO 02</v>
      </c>
      <c r="L296" t="str">
        <f t="shared" si="14"/>
        <v>✓</v>
      </c>
    </row>
    <row r="297" spans="1:12" x14ac:dyDescent="0.35">
      <c r="A297" t="s">
        <v>3064</v>
      </c>
      <c r="B297" t="s">
        <v>3067</v>
      </c>
      <c r="C297" t="s">
        <v>3168</v>
      </c>
      <c r="D297" s="193">
        <v>46108</v>
      </c>
      <c r="E297" t="s">
        <v>3156</v>
      </c>
      <c r="F297">
        <v>0.2</v>
      </c>
      <c r="G297">
        <v>0.1</v>
      </c>
      <c r="H297">
        <f t="shared" si="12"/>
        <v>0.30000000000000004</v>
      </c>
      <c r="I297" s="194">
        <v>4135290</v>
      </c>
      <c r="J297" s="194">
        <f t="shared" si="13"/>
        <v>413529</v>
      </c>
      <c r="K297" t="str">
        <f>_xlfn.XLOOKUP(B297,Cert_OC_Cliente!$B:$B,Cert_OC_Cliente!$L:$L)</f>
        <v>PTO 02</v>
      </c>
      <c r="L297" t="str">
        <f t="shared" si="14"/>
        <v>✓</v>
      </c>
    </row>
    <row r="298" spans="1:12" x14ac:dyDescent="0.35">
      <c r="A298" t="s">
        <v>3064</v>
      </c>
      <c r="B298" t="s">
        <v>3067</v>
      </c>
      <c r="C298" t="s">
        <v>3168</v>
      </c>
      <c r="D298" s="193">
        <v>46108</v>
      </c>
      <c r="E298" t="s">
        <v>3157</v>
      </c>
      <c r="F298">
        <v>0.49999999999999989</v>
      </c>
      <c r="G298">
        <v>0.2</v>
      </c>
      <c r="H298">
        <f t="shared" si="12"/>
        <v>0.7</v>
      </c>
      <c r="I298" s="194">
        <v>3057577</v>
      </c>
      <c r="J298" s="194">
        <f t="shared" si="13"/>
        <v>611515.4</v>
      </c>
      <c r="K298" t="str">
        <f>_xlfn.XLOOKUP(B298,Cert_OC_Cliente!$B:$B,Cert_OC_Cliente!$L:$L)</f>
        <v>PTO 02</v>
      </c>
      <c r="L298" t="str">
        <f t="shared" si="14"/>
        <v>✓</v>
      </c>
    </row>
    <row r="299" spans="1:12" x14ac:dyDescent="0.35">
      <c r="A299" t="s">
        <v>3064</v>
      </c>
      <c r="B299" t="s">
        <v>3067</v>
      </c>
      <c r="C299" t="s">
        <v>3168</v>
      </c>
      <c r="D299" s="193">
        <v>46108</v>
      </c>
      <c r="E299" t="s">
        <v>3158</v>
      </c>
      <c r="F299">
        <v>0.3</v>
      </c>
      <c r="G299">
        <v>0.05</v>
      </c>
      <c r="H299">
        <f t="shared" si="12"/>
        <v>0.35</v>
      </c>
      <c r="I299" s="194">
        <v>14001552</v>
      </c>
      <c r="J299" s="194">
        <f t="shared" si="13"/>
        <v>700077.60000000009</v>
      </c>
      <c r="K299" t="str">
        <f>_xlfn.XLOOKUP(B299,Cert_OC_Cliente!$B:$B,Cert_OC_Cliente!$L:$L)</f>
        <v>PTO 02</v>
      </c>
      <c r="L299" t="str">
        <f t="shared" si="14"/>
        <v>✓</v>
      </c>
    </row>
    <row r="300" spans="1:12" x14ac:dyDescent="0.35">
      <c r="A300" t="s">
        <v>3064</v>
      </c>
      <c r="B300" t="s">
        <v>3067</v>
      </c>
      <c r="C300" t="s">
        <v>3168</v>
      </c>
      <c r="D300" s="193">
        <v>46108</v>
      </c>
      <c r="E300" t="s">
        <v>3163</v>
      </c>
      <c r="F300">
        <v>0.2</v>
      </c>
      <c r="G300">
        <v>0.15</v>
      </c>
      <c r="H300">
        <f t="shared" si="12"/>
        <v>0.35</v>
      </c>
      <c r="I300" s="194">
        <v>2047485</v>
      </c>
      <c r="J300" s="194">
        <f t="shared" si="13"/>
        <v>307122.75</v>
      </c>
      <c r="K300" t="str">
        <f>_xlfn.XLOOKUP(B300,Cert_OC_Cliente!$B:$B,Cert_OC_Cliente!$L:$L)</f>
        <v>PTO 02</v>
      </c>
      <c r="L300" t="str">
        <f t="shared" si="14"/>
        <v>✓</v>
      </c>
    </row>
    <row r="301" spans="1:12" x14ac:dyDescent="0.35">
      <c r="A301" t="s">
        <v>3064</v>
      </c>
      <c r="B301" t="s">
        <v>3067</v>
      </c>
      <c r="C301" t="s">
        <v>3168</v>
      </c>
      <c r="D301" s="193">
        <v>46108</v>
      </c>
      <c r="E301" t="s">
        <v>3164</v>
      </c>
      <c r="F301">
        <v>0.15</v>
      </c>
      <c r="G301">
        <v>0.2</v>
      </c>
      <c r="H301">
        <f t="shared" si="12"/>
        <v>0.35</v>
      </c>
      <c r="I301" s="194">
        <v>16584566</v>
      </c>
      <c r="J301" s="194">
        <f t="shared" si="13"/>
        <v>3316913.2</v>
      </c>
      <c r="K301" t="str">
        <f>_xlfn.XLOOKUP(B301,Cert_OC_Cliente!$B:$B,Cert_OC_Cliente!$L:$L)</f>
        <v>PTO 02</v>
      </c>
      <c r="L301" t="str">
        <f t="shared" si="14"/>
        <v>✓</v>
      </c>
    </row>
    <row r="302" spans="1:12" x14ac:dyDescent="0.35">
      <c r="A302" t="s">
        <v>3064</v>
      </c>
      <c r="B302" t="s">
        <v>3067</v>
      </c>
      <c r="C302" t="s">
        <v>3168</v>
      </c>
      <c r="D302" s="193">
        <v>46108</v>
      </c>
      <c r="E302" t="s">
        <v>3159</v>
      </c>
      <c r="F302">
        <v>0.2</v>
      </c>
      <c r="G302">
        <v>0.1</v>
      </c>
      <c r="H302">
        <f t="shared" si="12"/>
        <v>0.30000000000000004</v>
      </c>
      <c r="I302" s="194">
        <v>3676382</v>
      </c>
      <c r="J302" s="194">
        <f t="shared" si="13"/>
        <v>367638.2</v>
      </c>
      <c r="K302" t="str">
        <f>_xlfn.XLOOKUP(B302,Cert_OC_Cliente!$B:$B,Cert_OC_Cliente!$L:$L)</f>
        <v>PTO 02</v>
      </c>
      <c r="L302" t="str">
        <f t="shared" si="14"/>
        <v>✓</v>
      </c>
    </row>
    <row r="303" spans="1:12" x14ac:dyDescent="0.35">
      <c r="A303" t="s">
        <v>3064</v>
      </c>
      <c r="B303" t="s">
        <v>3067</v>
      </c>
      <c r="C303" t="s">
        <v>3168</v>
      </c>
      <c r="D303" s="193">
        <v>46108</v>
      </c>
      <c r="E303" t="s">
        <v>3173</v>
      </c>
      <c r="F303">
        <v>0</v>
      </c>
      <c r="G303">
        <v>0.35</v>
      </c>
      <c r="H303">
        <f t="shared" si="12"/>
        <v>0.35</v>
      </c>
      <c r="I303" s="194">
        <v>26645940</v>
      </c>
      <c r="J303" s="194">
        <f t="shared" si="13"/>
        <v>9326079</v>
      </c>
      <c r="K303" t="str">
        <f>_xlfn.XLOOKUP(B303,Cert_OC_Cliente!$B:$B,Cert_OC_Cliente!$L:$L)</f>
        <v>PTO 02</v>
      </c>
      <c r="L303" t="str">
        <f t="shared" si="14"/>
        <v>✓</v>
      </c>
    </row>
    <row r="304" spans="1:12" x14ac:dyDescent="0.35">
      <c r="A304" t="s">
        <v>3064</v>
      </c>
      <c r="B304" t="s">
        <v>3067</v>
      </c>
      <c r="C304" t="s">
        <v>3168</v>
      </c>
      <c r="D304" s="193">
        <v>46108</v>
      </c>
      <c r="E304" t="s">
        <v>3088</v>
      </c>
      <c r="F304">
        <v>0.2</v>
      </c>
      <c r="G304">
        <v>0.1</v>
      </c>
      <c r="H304">
        <f t="shared" si="12"/>
        <v>0.30000000000000004</v>
      </c>
      <c r="I304" s="194">
        <v>4518828</v>
      </c>
      <c r="J304" s="194">
        <f t="shared" si="13"/>
        <v>451882.80000000005</v>
      </c>
      <c r="K304" t="str">
        <f>_xlfn.XLOOKUP(B304,Cert_OC_Cliente!$B:$B,Cert_OC_Cliente!$L:$L)</f>
        <v>PTO 02</v>
      </c>
      <c r="L304" t="str">
        <f t="shared" si="14"/>
        <v>✓</v>
      </c>
    </row>
    <row r="305" spans="1:12" x14ac:dyDescent="0.35">
      <c r="A305" t="s">
        <v>3064</v>
      </c>
      <c r="B305" t="s">
        <v>3067</v>
      </c>
      <c r="C305" t="s">
        <v>3168</v>
      </c>
      <c r="D305" s="193">
        <v>46108</v>
      </c>
      <c r="E305" t="s">
        <v>3089</v>
      </c>
      <c r="F305">
        <v>0.2</v>
      </c>
      <c r="G305">
        <v>0.1</v>
      </c>
      <c r="H305">
        <f t="shared" si="12"/>
        <v>0.30000000000000004</v>
      </c>
      <c r="I305" s="194">
        <v>1131198</v>
      </c>
      <c r="J305" s="194">
        <f t="shared" si="13"/>
        <v>113119.8</v>
      </c>
      <c r="K305" t="str">
        <f>_xlfn.XLOOKUP(B305,Cert_OC_Cliente!$B:$B,Cert_OC_Cliente!$L:$L)</f>
        <v>PTO 02</v>
      </c>
      <c r="L305" t="str">
        <f t="shared" si="14"/>
        <v>✓</v>
      </c>
    </row>
    <row r="306" spans="1:12" x14ac:dyDescent="0.35">
      <c r="A306" t="s">
        <v>3064</v>
      </c>
      <c r="B306" t="s">
        <v>3067</v>
      </c>
      <c r="C306" t="s">
        <v>3168</v>
      </c>
      <c r="D306" s="193">
        <v>46108</v>
      </c>
      <c r="E306" t="s">
        <v>3116</v>
      </c>
      <c r="F306">
        <v>0.1</v>
      </c>
      <c r="G306">
        <v>0.1</v>
      </c>
      <c r="H306">
        <f t="shared" si="12"/>
        <v>0.2</v>
      </c>
      <c r="I306" s="194">
        <v>4176912</v>
      </c>
      <c r="J306" s="194">
        <f t="shared" si="13"/>
        <v>417691.2</v>
      </c>
      <c r="K306" t="str">
        <f>_xlfn.XLOOKUP(B306,Cert_OC_Cliente!$B:$B,Cert_OC_Cliente!$L:$L)</f>
        <v>PTO 02</v>
      </c>
      <c r="L306" t="str">
        <f t="shared" si="14"/>
        <v>✓</v>
      </c>
    </row>
    <row r="307" spans="1:12" x14ac:dyDescent="0.35">
      <c r="A307" t="s">
        <v>3064</v>
      </c>
      <c r="B307" t="s">
        <v>3067</v>
      </c>
      <c r="C307" t="s">
        <v>3168</v>
      </c>
      <c r="D307" s="193">
        <v>46108</v>
      </c>
      <c r="E307" t="s">
        <v>3094</v>
      </c>
      <c r="F307">
        <v>0.1</v>
      </c>
      <c r="G307">
        <v>0.1</v>
      </c>
      <c r="H307">
        <f t="shared" si="12"/>
        <v>0.2</v>
      </c>
      <c r="I307" s="194">
        <v>2713998</v>
      </c>
      <c r="J307" s="194">
        <f t="shared" si="13"/>
        <v>271399.8</v>
      </c>
      <c r="K307" t="str">
        <f>_xlfn.XLOOKUP(B307,Cert_OC_Cliente!$B:$B,Cert_OC_Cliente!$L:$L)</f>
        <v>PTO 02</v>
      </c>
      <c r="L307" t="str">
        <f t="shared" si="14"/>
        <v>✓</v>
      </c>
    </row>
    <row r="308" spans="1:12" x14ac:dyDescent="0.35">
      <c r="A308" t="s">
        <v>3064</v>
      </c>
      <c r="B308" t="s">
        <v>3067</v>
      </c>
      <c r="C308" t="s">
        <v>3168</v>
      </c>
      <c r="D308" s="193">
        <v>46108</v>
      </c>
      <c r="E308" t="s">
        <v>3095</v>
      </c>
      <c r="F308">
        <v>0.1</v>
      </c>
      <c r="G308">
        <v>0.1</v>
      </c>
      <c r="H308">
        <f t="shared" si="12"/>
        <v>0.2</v>
      </c>
      <c r="I308" s="194">
        <v>1885326</v>
      </c>
      <c r="J308" s="194">
        <f t="shared" si="13"/>
        <v>188532.6</v>
      </c>
      <c r="K308" t="str">
        <f>_xlfn.XLOOKUP(B308,Cert_OC_Cliente!$B:$B,Cert_OC_Cliente!$L:$L)</f>
        <v>PTO 02</v>
      </c>
      <c r="L308" t="str">
        <f t="shared" si="14"/>
        <v>✓</v>
      </c>
    </row>
    <row r="309" spans="1:12" x14ac:dyDescent="0.35">
      <c r="A309" t="s">
        <v>3064</v>
      </c>
      <c r="B309" t="s">
        <v>3067</v>
      </c>
      <c r="C309" t="s">
        <v>3168</v>
      </c>
      <c r="D309" s="193">
        <v>46108</v>
      </c>
      <c r="E309" t="s">
        <v>3117</v>
      </c>
      <c r="F309">
        <v>0.1</v>
      </c>
      <c r="G309">
        <v>0.1</v>
      </c>
      <c r="H309">
        <f t="shared" si="12"/>
        <v>0.2</v>
      </c>
      <c r="I309" s="194">
        <v>1884828</v>
      </c>
      <c r="J309" s="194">
        <f t="shared" si="13"/>
        <v>188482.80000000002</v>
      </c>
      <c r="K309" t="str">
        <f>_xlfn.XLOOKUP(B309,Cert_OC_Cliente!$B:$B,Cert_OC_Cliente!$L:$L)</f>
        <v>PTO 02</v>
      </c>
      <c r="L309" t="str">
        <f t="shared" si="14"/>
        <v>✓</v>
      </c>
    </row>
    <row r="310" spans="1:12" x14ac:dyDescent="0.35">
      <c r="A310" t="s">
        <v>3064</v>
      </c>
      <c r="B310" t="s">
        <v>3067</v>
      </c>
      <c r="C310" t="s">
        <v>3168</v>
      </c>
      <c r="D310" s="193">
        <v>46108</v>
      </c>
      <c r="E310" t="s">
        <v>3090</v>
      </c>
      <c r="F310">
        <v>0.2</v>
      </c>
      <c r="G310">
        <v>0.1</v>
      </c>
      <c r="H310">
        <f t="shared" si="12"/>
        <v>0.30000000000000004</v>
      </c>
      <c r="I310" s="194">
        <v>28644636</v>
      </c>
      <c r="J310" s="194">
        <f t="shared" si="13"/>
        <v>2864463.6</v>
      </c>
      <c r="K310" t="str">
        <f>_xlfn.XLOOKUP(B310,Cert_OC_Cliente!$B:$B,Cert_OC_Cliente!$L:$L)</f>
        <v>PTO 02</v>
      </c>
      <c r="L310" t="str">
        <f t="shared" si="14"/>
        <v>✓</v>
      </c>
    </row>
    <row r="311" spans="1:12" x14ac:dyDescent="0.35">
      <c r="A311" t="s">
        <v>3064</v>
      </c>
      <c r="B311" t="s">
        <v>3067</v>
      </c>
      <c r="C311" t="s">
        <v>3168</v>
      </c>
      <c r="D311" s="193">
        <v>46108</v>
      </c>
      <c r="E311" t="s">
        <v>3091</v>
      </c>
      <c r="F311">
        <v>0.2</v>
      </c>
      <c r="G311">
        <v>0.1</v>
      </c>
      <c r="H311">
        <f t="shared" si="12"/>
        <v>0.30000000000000004</v>
      </c>
      <c r="I311" s="194">
        <v>3770652</v>
      </c>
      <c r="J311" s="194">
        <f t="shared" si="13"/>
        <v>377065.2</v>
      </c>
      <c r="K311" t="str">
        <f>_xlfn.XLOOKUP(B311,Cert_OC_Cliente!$B:$B,Cert_OC_Cliente!$L:$L)</f>
        <v>PTO 02</v>
      </c>
      <c r="L311" t="str">
        <f t="shared" si="14"/>
        <v>✓</v>
      </c>
    </row>
    <row r="312" spans="1:12" x14ac:dyDescent="0.35">
      <c r="A312" t="s">
        <v>3064</v>
      </c>
      <c r="B312" t="s">
        <v>3067</v>
      </c>
      <c r="C312" t="s">
        <v>3168</v>
      </c>
      <c r="D312" s="193">
        <v>46108</v>
      </c>
      <c r="E312" t="s">
        <v>3143</v>
      </c>
      <c r="F312">
        <v>0.55000000000000004</v>
      </c>
      <c r="G312">
        <v>0.3</v>
      </c>
      <c r="H312">
        <f t="shared" si="12"/>
        <v>0.85000000000000009</v>
      </c>
      <c r="I312" s="194">
        <v>15555267</v>
      </c>
      <c r="J312" s="194">
        <f t="shared" si="13"/>
        <v>4666580.0999999996</v>
      </c>
      <c r="K312" t="str">
        <f>_xlfn.XLOOKUP(B312,Cert_OC_Cliente!$B:$B,Cert_OC_Cliente!$L:$L)</f>
        <v>PTO 02</v>
      </c>
      <c r="L312" t="str">
        <f t="shared" si="14"/>
        <v>✓</v>
      </c>
    </row>
    <row r="313" spans="1:12" x14ac:dyDescent="0.35">
      <c r="A313" t="s">
        <v>3064</v>
      </c>
      <c r="B313" t="s">
        <v>3067</v>
      </c>
      <c r="C313" t="s">
        <v>3168</v>
      </c>
      <c r="D313" s="193">
        <v>46108</v>
      </c>
      <c r="E313" t="s">
        <v>3145</v>
      </c>
      <c r="F313">
        <v>0.55000000000000004</v>
      </c>
      <c r="G313">
        <v>0.3</v>
      </c>
      <c r="H313">
        <f t="shared" si="12"/>
        <v>0.85000000000000009</v>
      </c>
      <c r="I313" s="194">
        <v>13425324</v>
      </c>
      <c r="J313" s="194">
        <f t="shared" si="13"/>
        <v>4027597.1999999997</v>
      </c>
      <c r="K313" t="str">
        <f>_xlfn.XLOOKUP(B313,Cert_OC_Cliente!$B:$B,Cert_OC_Cliente!$L:$L)</f>
        <v>PTO 02</v>
      </c>
      <c r="L313" t="str">
        <f t="shared" si="14"/>
        <v>✓</v>
      </c>
    </row>
    <row r="314" spans="1:12" x14ac:dyDescent="0.35">
      <c r="A314" t="s">
        <v>3064</v>
      </c>
      <c r="B314" t="s">
        <v>3067</v>
      </c>
      <c r="C314" t="s">
        <v>3168</v>
      </c>
      <c r="D314" s="193">
        <v>46108</v>
      </c>
      <c r="E314" t="s">
        <v>3174</v>
      </c>
      <c r="F314">
        <v>0</v>
      </c>
      <c r="G314">
        <v>1</v>
      </c>
      <c r="H314">
        <f t="shared" si="12"/>
        <v>1</v>
      </c>
      <c r="I314" s="194">
        <v>1317792</v>
      </c>
      <c r="J314" s="194">
        <f t="shared" si="13"/>
        <v>1317792</v>
      </c>
      <c r="K314" t="str">
        <f>_xlfn.XLOOKUP(B314,Cert_OC_Cliente!$B:$B,Cert_OC_Cliente!$L:$L)</f>
        <v>PTO 02</v>
      </c>
      <c r="L314" t="str">
        <f t="shared" si="14"/>
        <v>✓</v>
      </c>
    </row>
    <row r="315" spans="1:12" x14ac:dyDescent="0.35">
      <c r="A315" t="s">
        <v>3064</v>
      </c>
      <c r="B315" t="s">
        <v>3067</v>
      </c>
      <c r="C315" t="s">
        <v>3168</v>
      </c>
      <c r="D315" s="193">
        <v>46108</v>
      </c>
      <c r="E315" t="s">
        <v>3175</v>
      </c>
      <c r="F315">
        <v>0</v>
      </c>
      <c r="G315">
        <v>0.75</v>
      </c>
      <c r="H315">
        <f t="shared" si="12"/>
        <v>0.75</v>
      </c>
      <c r="I315" s="194">
        <v>2510109</v>
      </c>
      <c r="J315" s="194">
        <f t="shared" si="13"/>
        <v>1882581.75</v>
      </c>
      <c r="K315" t="str">
        <f>_xlfn.XLOOKUP(B315,Cert_OC_Cliente!$B:$B,Cert_OC_Cliente!$L:$L)</f>
        <v>PTO 02</v>
      </c>
      <c r="L315" t="str">
        <f t="shared" si="14"/>
        <v>✓</v>
      </c>
    </row>
    <row r="316" spans="1:12" x14ac:dyDescent="0.35">
      <c r="A316" t="s">
        <v>3064</v>
      </c>
      <c r="B316" t="s">
        <v>3067</v>
      </c>
      <c r="C316" t="s">
        <v>3168</v>
      </c>
      <c r="D316" s="193">
        <v>46108</v>
      </c>
      <c r="E316" t="s">
        <v>3176</v>
      </c>
      <c r="F316">
        <v>0</v>
      </c>
      <c r="G316">
        <v>0.5</v>
      </c>
      <c r="H316">
        <f t="shared" si="12"/>
        <v>0.5</v>
      </c>
      <c r="I316" s="194">
        <v>1612800</v>
      </c>
      <c r="J316" s="194">
        <f t="shared" si="13"/>
        <v>806400</v>
      </c>
      <c r="K316" t="str">
        <f>_xlfn.XLOOKUP(B316,Cert_OC_Cliente!$B:$B,Cert_OC_Cliente!$L:$L)</f>
        <v>PTO 02</v>
      </c>
      <c r="L316" t="str">
        <f t="shared" si="14"/>
        <v>✓</v>
      </c>
    </row>
    <row r="317" spans="1:12" x14ac:dyDescent="0.35">
      <c r="A317" t="s">
        <v>3064</v>
      </c>
      <c r="B317" t="s">
        <v>3067</v>
      </c>
      <c r="C317" t="s">
        <v>3177</v>
      </c>
      <c r="D317" s="193">
        <v>46141</v>
      </c>
      <c r="E317" t="s">
        <v>3169</v>
      </c>
      <c r="F317">
        <v>0.2</v>
      </c>
      <c r="G317">
        <v>0.3</v>
      </c>
      <c r="H317">
        <f t="shared" si="12"/>
        <v>0.5</v>
      </c>
      <c r="I317" s="194">
        <v>2199545</v>
      </c>
      <c r="J317" s="194">
        <f t="shared" si="13"/>
        <v>659863.5</v>
      </c>
      <c r="K317" t="str">
        <f>_xlfn.XLOOKUP(B317,Cert_OC_Cliente!$B:$B,Cert_OC_Cliente!$L:$L)</f>
        <v>PTO 02</v>
      </c>
      <c r="L317" t="str">
        <f t="shared" si="14"/>
        <v>✓</v>
      </c>
    </row>
    <row r="318" spans="1:12" x14ac:dyDescent="0.35">
      <c r="A318" t="s">
        <v>3064</v>
      </c>
      <c r="B318" t="s">
        <v>3067</v>
      </c>
      <c r="C318" t="s">
        <v>3177</v>
      </c>
      <c r="D318" s="193">
        <v>46141</v>
      </c>
      <c r="E318" t="s">
        <v>3178</v>
      </c>
      <c r="F318">
        <v>0</v>
      </c>
      <c r="G318">
        <v>1</v>
      </c>
      <c r="H318">
        <f t="shared" si="12"/>
        <v>1</v>
      </c>
      <c r="I318" s="194">
        <v>16697332</v>
      </c>
      <c r="J318" s="194">
        <f t="shared" si="13"/>
        <v>16697332</v>
      </c>
      <c r="K318" t="str">
        <f>_xlfn.XLOOKUP(B318,Cert_OC_Cliente!$B:$B,Cert_OC_Cliente!$L:$L)</f>
        <v>PTO 02</v>
      </c>
      <c r="L318" t="str">
        <f t="shared" si="14"/>
        <v>✓</v>
      </c>
    </row>
    <row r="319" spans="1:12" x14ac:dyDescent="0.35">
      <c r="A319" t="s">
        <v>3064</v>
      </c>
      <c r="B319" t="s">
        <v>3067</v>
      </c>
      <c r="C319" t="s">
        <v>3177</v>
      </c>
      <c r="D319" s="193">
        <v>46141</v>
      </c>
      <c r="E319" t="s">
        <v>3170</v>
      </c>
      <c r="F319">
        <v>5.0000000000000017E-2</v>
      </c>
      <c r="G319">
        <v>0.15</v>
      </c>
      <c r="H319">
        <f t="shared" si="12"/>
        <v>0.2</v>
      </c>
      <c r="I319" s="194">
        <v>9802967.9039999992</v>
      </c>
      <c r="J319" s="194">
        <f t="shared" si="13"/>
        <v>1470445.1855999997</v>
      </c>
      <c r="K319" t="str">
        <f>_xlfn.XLOOKUP(B319,Cert_OC_Cliente!$B:$B,Cert_OC_Cliente!$L:$L)</f>
        <v>PTO 02</v>
      </c>
      <c r="L319" t="str">
        <f t="shared" si="14"/>
        <v>✓</v>
      </c>
    </row>
    <row r="320" spans="1:12" x14ac:dyDescent="0.35">
      <c r="A320" t="s">
        <v>3064</v>
      </c>
      <c r="B320" t="s">
        <v>3067</v>
      </c>
      <c r="C320" t="s">
        <v>3177</v>
      </c>
      <c r="D320" s="193">
        <v>46141</v>
      </c>
      <c r="E320" t="s">
        <v>3171</v>
      </c>
      <c r="F320">
        <v>5.0000000000000017E-2</v>
      </c>
      <c r="G320">
        <v>0.15</v>
      </c>
      <c r="H320">
        <f t="shared" si="12"/>
        <v>0.2</v>
      </c>
      <c r="I320" s="194">
        <v>9524051.2871000003</v>
      </c>
      <c r="J320" s="194">
        <f t="shared" si="13"/>
        <v>1428607.693065</v>
      </c>
      <c r="K320" t="str">
        <f>_xlfn.XLOOKUP(B320,Cert_OC_Cliente!$B:$B,Cert_OC_Cliente!$L:$L)</f>
        <v>PTO 02</v>
      </c>
      <c r="L320" t="str">
        <f t="shared" si="14"/>
        <v>✓</v>
      </c>
    </row>
    <row r="321" spans="1:12" x14ac:dyDescent="0.35">
      <c r="A321" t="s">
        <v>3064</v>
      </c>
      <c r="B321" t="s">
        <v>3067</v>
      </c>
      <c r="C321" t="s">
        <v>3177</v>
      </c>
      <c r="D321" s="193">
        <v>46141</v>
      </c>
      <c r="E321" t="s">
        <v>3172</v>
      </c>
      <c r="F321">
        <v>4.9999999999999989E-2</v>
      </c>
      <c r="G321">
        <v>0.2</v>
      </c>
      <c r="H321">
        <f t="shared" si="12"/>
        <v>0.25</v>
      </c>
      <c r="I321" s="194">
        <v>1779616</v>
      </c>
      <c r="J321" s="194">
        <f t="shared" si="13"/>
        <v>355923.20000000001</v>
      </c>
      <c r="K321" t="str">
        <f>_xlfn.XLOOKUP(B321,Cert_OC_Cliente!$B:$B,Cert_OC_Cliente!$L:$L)</f>
        <v>PTO 02</v>
      </c>
      <c r="L321" t="str">
        <f t="shared" si="14"/>
        <v>✓</v>
      </c>
    </row>
    <row r="322" spans="1:12" x14ac:dyDescent="0.35">
      <c r="A322" t="s">
        <v>3064</v>
      </c>
      <c r="B322" t="s">
        <v>3067</v>
      </c>
      <c r="C322" t="s">
        <v>3177</v>
      </c>
      <c r="D322" s="193">
        <v>46141</v>
      </c>
      <c r="E322" t="s">
        <v>3179</v>
      </c>
      <c r="F322">
        <v>0</v>
      </c>
      <c r="G322">
        <v>0.25</v>
      </c>
      <c r="H322">
        <f t="shared" ref="H322:H385" si="15">F322+G322</f>
        <v>0.25</v>
      </c>
      <c r="I322" s="194">
        <v>8332625.7399999974</v>
      </c>
      <c r="J322" s="194">
        <f t="shared" ref="J322:J385" si="16">G322*I322</f>
        <v>2083156.4349999994</v>
      </c>
      <c r="K322" t="str">
        <f>_xlfn.XLOOKUP(B322,Cert_OC_Cliente!$B:$B,Cert_OC_Cliente!$L:$L)</f>
        <v>PTO 02</v>
      </c>
      <c r="L322" t="str">
        <f t="shared" ref="L322:L385" si="17">IF($E322="","",IF(AND(ISNUMBER($I322),$H322&lt;=1.0001),"✓","⚠"))</f>
        <v>✓</v>
      </c>
    </row>
    <row r="323" spans="1:12" x14ac:dyDescent="0.35">
      <c r="A323" t="s">
        <v>3064</v>
      </c>
      <c r="B323" t="s">
        <v>3067</v>
      </c>
      <c r="C323" t="s">
        <v>3177</v>
      </c>
      <c r="D323" s="193">
        <v>46141</v>
      </c>
      <c r="E323" t="s">
        <v>3180</v>
      </c>
      <c r="F323">
        <v>0</v>
      </c>
      <c r="G323">
        <v>0.2</v>
      </c>
      <c r="H323">
        <f t="shared" si="15"/>
        <v>0.2</v>
      </c>
      <c r="I323" s="194">
        <v>11778311.080800001</v>
      </c>
      <c r="J323" s="194">
        <f t="shared" si="16"/>
        <v>2355662.2161600003</v>
      </c>
      <c r="K323" t="str">
        <f>_xlfn.XLOOKUP(B323,Cert_OC_Cliente!$B:$B,Cert_OC_Cliente!$L:$L)</f>
        <v>PTO 02</v>
      </c>
      <c r="L323" t="str">
        <f t="shared" si="17"/>
        <v>✓</v>
      </c>
    </row>
    <row r="324" spans="1:12" x14ac:dyDescent="0.35">
      <c r="A324" t="s">
        <v>3064</v>
      </c>
      <c r="B324" t="s">
        <v>3067</v>
      </c>
      <c r="C324" t="s">
        <v>3177</v>
      </c>
      <c r="D324" s="193">
        <v>46141</v>
      </c>
      <c r="E324" t="s">
        <v>3181</v>
      </c>
      <c r="F324">
        <v>0</v>
      </c>
      <c r="G324">
        <v>0.2</v>
      </c>
      <c r="H324">
        <f t="shared" si="15"/>
        <v>0.2</v>
      </c>
      <c r="I324" s="194">
        <v>7100548.29</v>
      </c>
      <c r="J324" s="194">
        <f t="shared" si="16"/>
        <v>1420109.6580000001</v>
      </c>
      <c r="K324" t="str">
        <f>_xlfn.XLOOKUP(B324,Cert_OC_Cliente!$B:$B,Cert_OC_Cliente!$L:$L)</f>
        <v>PTO 02</v>
      </c>
      <c r="L324" t="str">
        <f t="shared" si="17"/>
        <v>✓</v>
      </c>
    </row>
    <row r="325" spans="1:12" x14ac:dyDescent="0.35">
      <c r="A325" t="s">
        <v>3064</v>
      </c>
      <c r="B325" t="s">
        <v>3067</v>
      </c>
      <c r="C325" t="s">
        <v>3177</v>
      </c>
      <c r="D325" s="193">
        <v>46141</v>
      </c>
      <c r="E325" t="s">
        <v>3151</v>
      </c>
      <c r="F325">
        <v>0.6</v>
      </c>
      <c r="G325">
        <v>0.25</v>
      </c>
      <c r="H325">
        <f t="shared" si="15"/>
        <v>0.85</v>
      </c>
      <c r="I325" s="194">
        <v>3018904</v>
      </c>
      <c r="J325" s="194">
        <f t="shared" si="16"/>
        <v>754726</v>
      </c>
      <c r="K325" t="str">
        <f>_xlfn.XLOOKUP(B325,Cert_OC_Cliente!$B:$B,Cert_OC_Cliente!$L:$L)</f>
        <v>PTO 02</v>
      </c>
      <c r="L325" t="str">
        <f t="shared" si="17"/>
        <v>✓</v>
      </c>
    </row>
    <row r="326" spans="1:12" x14ac:dyDescent="0.35">
      <c r="A326" t="s">
        <v>3064</v>
      </c>
      <c r="B326" t="s">
        <v>3067</v>
      </c>
      <c r="C326" t="s">
        <v>3177</v>
      </c>
      <c r="D326" s="193">
        <v>46141</v>
      </c>
      <c r="E326" t="s">
        <v>3152</v>
      </c>
      <c r="F326">
        <v>0.7</v>
      </c>
      <c r="G326">
        <v>0.15</v>
      </c>
      <c r="H326">
        <f t="shared" si="15"/>
        <v>0.85</v>
      </c>
      <c r="I326" s="194">
        <v>2106096</v>
      </c>
      <c r="J326" s="194">
        <f t="shared" si="16"/>
        <v>315914.39999999997</v>
      </c>
      <c r="K326" t="str">
        <f>_xlfn.XLOOKUP(B326,Cert_OC_Cliente!$B:$B,Cert_OC_Cliente!$L:$L)</f>
        <v>PTO 02</v>
      </c>
      <c r="L326" t="str">
        <f t="shared" si="17"/>
        <v>✓</v>
      </c>
    </row>
    <row r="327" spans="1:12" x14ac:dyDescent="0.35">
      <c r="A327" t="s">
        <v>3064</v>
      </c>
      <c r="B327" t="s">
        <v>3067</v>
      </c>
      <c r="C327" t="s">
        <v>3177</v>
      </c>
      <c r="D327" s="193">
        <v>46141</v>
      </c>
      <c r="E327" t="s">
        <v>3131</v>
      </c>
      <c r="F327">
        <v>0.35</v>
      </c>
      <c r="G327">
        <v>0.1</v>
      </c>
      <c r="H327">
        <f t="shared" si="15"/>
        <v>0.44999999999999996</v>
      </c>
      <c r="I327" s="194">
        <v>1139012</v>
      </c>
      <c r="J327" s="194">
        <f t="shared" si="16"/>
        <v>113901.20000000001</v>
      </c>
      <c r="K327" t="str">
        <f>_xlfn.XLOOKUP(B327,Cert_OC_Cliente!$B:$B,Cert_OC_Cliente!$L:$L)</f>
        <v>PTO 02</v>
      </c>
      <c r="L327" t="str">
        <f t="shared" si="17"/>
        <v>✓</v>
      </c>
    </row>
    <row r="328" spans="1:12" x14ac:dyDescent="0.35">
      <c r="A328" t="s">
        <v>3064</v>
      </c>
      <c r="B328" t="s">
        <v>3067</v>
      </c>
      <c r="C328" t="s">
        <v>3177</v>
      </c>
      <c r="D328" s="193">
        <v>46141</v>
      </c>
      <c r="E328" t="s">
        <v>3132</v>
      </c>
      <c r="F328">
        <v>0</v>
      </c>
      <c r="G328">
        <v>1</v>
      </c>
      <c r="H328">
        <f t="shared" si="15"/>
        <v>1</v>
      </c>
      <c r="I328" s="194">
        <v>-402115</v>
      </c>
      <c r="J328" s="194">
        <f t="shared" si="16"/>
        <v>-402115</v>
      </c>
      <c r="K328" t="str">
        <f>_xlfn.XLOOKUP(B328,Cert_OC_Cliente!$B:$B,Cert_OC_Cliente!$L:$L)</f>
        <v>PTO 02</v>
      </c>
      <c r="L328" t="str">
        <f t="shared" si="17"/>
        <v>✓</v>
      </c>
    </row>
    <row r="329" spans="1:12" x14ac:dyDescent="0.35">
      <c r="A329" t="s">
        <v>3064</v>
      </c>
      <c r="B329" t="s">
        <v>3067</v>
      </c>
      <c r="C329" t="s">
        <v>3177</v>
      </c>
      <c r="D329" s="193">
        <v>46141</v>
      </c>
      <c r="E329" t="s">
        <v>3133</v>
      </c>
      <c r="F329">
        <v>0.35</v>
      </c>
      <c r="G329">
        <v>0.05</v>
      </c>
      <c r="H329">
        <f t="shared" si="15"/>
        <v>0.39999999999999997</v>
      </c>
      <c r="I329" s="194">
        <v>2256800</v>
      </c>
      <c r="J329" s="194">
        <f t="shared" si="16"/>
        <v>112840</v>
      </c>
      <c r="K329" t="str">
        <f>_xlfn.XLOOKUP(B329,Cert_OC_Cliente!$B:$B,Cert_OC_Cliente!$L:$L)</f>
        <v>PTO 02</v>
      </c>
      <c r="L329" t="str">
        <f t="shared" si="17"/>
        <v>✓</v>
      </c>
    </row>
    <row r="330" spans="1:12" x14ac:dyDescent="0.35">
      <c r="A330" t="s">
        <v>3064</v>
      </c>
      <c r="B330" t="s">
        <v>3067</v>
      </c>
      <c r="C330" t="s">
        <v>3177</v>
      </c>
      <c r="D330" s="193">
        <v>46141</v>
      </c>
      <c r="E330" t="s">
        <v>3162</v>
      </c>
      <c r="F330">
        <v>0.35</v>
      </c>
      <c r="G330">
        <v>0.05</v>
      </c>
      <c r="H330">
        <f t="shared" si="15"/>
        <v>0.39999999999999997</v>
      </c>
      <c r="I330" s="194">
        <v>919120</v>
      </c>
      <c r="J330" s="194">
        <f t="shared" si="16"/>
        <v>45956</v>
      </c>
      <c r="K330" t="str">
        <f>_xlfn.XLOOKUP(B330,Cert_OC_Cliente!$B:$B,Cert_OC_Cliente!$L:$L)</f>
        <v>PTO 02</v>
      </c>
      <c r="L330" t="str">
        <f t="shared" si="17"/>
        <v>✓</v>
      </c>
    </row>
    <row r="331" spans="1:12" x14ac:dyDescent="0.35">
      <c r="A331" t="s">
        <v>3064</v>
      </c>
      <c r="B331" t="s">
        <v>3067</v>
      </c>
      <c r="C331" t="s">
        <v>3177</v>
      </c>
      <c r="D331" s="193">
        <v>46141</v>
      </c>
      <c r="E331" t="s">
        <v>3134</v>
      </c>
      <c r="F331">
        <v>0.35</v>
      </c>
      <c r="G331">
        <v>0.05</v>
      </c>
      <c r="H331">
        <f t="shared" si="15"/>
        <v>0.39999999999999997</v>
      </c>
      <c r="I331" s="194">
        <v>919120</v>
      </c>
      <c r="J331" s="194">
        <f t="shared" si="16"/>
        <v>45956</v>
      </c>
      <c r="K331" t="str">
        <f>_xlfn.XLOOKUP(B331,Cert_OC_Cliente!$B:$B,Cert_OC_Cliente!$L:$L)</f>
        <v>PTO 02</v>
      </c>
      <c r="L331" t="str">
        <f t="shared" si="17"/>
        <v>✓</v>
      </c>
    </row>
    <row r="332" spans="1:12" x14ac:dyDescent="0.35">
      <c r="A332" t="s">
        <v>3064</v>
      </c>
      <c r="B332" t="s">
        <v>3067</v>
      </c>
      <c r="C332" t="s">
        <v>3177</v>
      </c>
      <c r="D332" s="193">
        <v>46141</v>
      </c>
      <c r="E332" t="s">
        <v>3135</v>
      </c>
      <c r="F332">
        <v>0.35</v>
      </c>
      <c r="G332">
        <v>0.05</v>
      </c>
      <c r="H332">
        <f t="shared" si="15"/>
        <v>0.39999999999999997</v>
      </c>
      <c r="I332" s="194">
        <v>1987798</v>
      </c>
      <c r="J332" s="194">
        <f t="shared" si="16"/>
        <v>99389.900000000009</v>
      </c>
      <c r="K332" t="str">
        <f>_xlfn.XLOOKUP(B332,Cert_OC_Cliente!$B:$B,Cert_OC_Cliente!$L:$L)</f>
        <v>PTO 02</v>
      </c>
      <c r="L332" t="str">
        <f t="shared" si="17"/>
        <v>✓</v>
      </c>
    </row>
    <row r="333" spans="1:12" x14ac:dyDescent="0.35">
      <c r="A333" t="s">
        <v>3064</v>
      </c>
      <c r="B333" t="s">
        <v>3067</v>
      </c>
      <c r="C333" t="s">
        <v>3177</v>
      </c>
      <c r="D333" s="193">
        <v>46141</v>
      </c>
      <c r="E333" t="s">
        <v>3136</v>
      </c>
      <c r="F333">
        <v>0.35</v>
      </c>
      <c r="G333">
        <v>0.05</v>
      </c>
      <c r="H333">
        <f t="shared" si="15"/>
        <v>0.39999999999999997</v>
      </c>
      <c r="I333" s="194">
        <v>734621</v>
      </c>
      <c r="J333" s="194">
        <f t="shared" si="16"/>
        <v>36731.050000000003</v>
      </c>
      <c r="K333" t="str">
        <f>_xlfn.XLOOKUP(B333,Cert_OC_Cliente!$B:$B,Cert_OC_Cliente!$L:$L)</f>
        <v>PTO 02</v>
      </c>
      <c r="L333" t="str">
        <f t="shared" si="17"/>
        <v>✓</v>
      </c>
    </row>
    <row r="334" spans="1:12" x14ac:dyDescent="0.35">
      <c r="A334" t="s">
        <v>3064</v>
      </c>
      <c r="B334" t="s">
        <v>3067</v>
      </c>
      <c r="C334" t="s">
        <v>3177</v>
      </c>
      <c r="D334" s="193">
        <v>46141</v>
      </c>
      <c r="E334" t="s">
        <v>3155</v>
      </c>
      <c r="F334">
        <v>0.35</v>
      </c>
      <c r="G334">
        <v>0.45</v>
      </c>
      <c r="H334">
        <f t="shared" si="15"/>
        <v>0.8</v>
      </c>
      <c r="I334" s="194">
        <v>8787491</v>
      </c>
      <c r="J334" s="194">
        <f t="shared" si="16"/>
        <v>3954370.95</v>
      </c>
      <c r="K334" t="str">
        <f>_xlfn.XLOOKUP(B334,Cert_OC_Cliente!$B:$B,Cert_OC_Cliente!$L:$L)</f>
        <v>PTO 02</v>
      </c>
      <c r="L334" t="str">
        <f t="shared" si="17"/>
        <v>✓</v>
      </c>
    </row>
    <row r="335" spans="1:12" x14ac:dyDescent="0.35">
      <c r="A335" t="s">
        <v>3064</v>
      </c>
      <c r="B335" t="s">
        <v>3067</v>
      </c>
      <c r="C335" t="s">
        <v>3177</v>
      </c>
      <c r="D335" s="193">
        <v>46141</v>
      </c>
      <c r="E335" t="s">
        <v>3156</v>
      </c>
      <c r="F335">
        <v>0.3</v>
      </c>
      <c r="G335">
        <v>0.4</v>
      </c>
      <c r="H335">
        <f t="shared" si="15"/>
        <v>0.7</v>
      </c>
      <c r="I335" s="194">
        <v>4135290</v>
      </c>
      <c r="J335" s="194">
        <f t="shared" si="16"/>
        <v>1654116</v>
      </c>
      <c r="K335" t="str">
        <f>_xlfn.XLOOKUP(B335,Cert_OC_Cliente!$B:$B,Cert_OC_Cliente!$L:$L)</f>
        <v>PTO 02</v>
      </c>
      <c r="L335" t="str">
        <f t="shared" si="17"/>
        <v>✓</v>
      </c>
    </row>
    <row r="336" spans="1:12" x14ac:dyDescent="0.35">
      <c r="A336" t="s">
        <v>3064</v>
      </c>
      <c r="B336" t="s">
        <v>3067</v>
      </c>
      <c r="C336" t="s">
        <v>3177</v>
      </c>
      <c r="D336" s="193">
        <v>46141</v>
      </c>
      <c r="E336" t="s">
        <v>3157</v>
      </c>
      <c r="F336">
        <v>0.7</v>
      </c>
      <c r="G336">
        <v>0.05</v>
      </c>
      <c r="H336">
        <f t="shared" si="15"/>
        <v>0.75</v>
      </c>
      <c r="I336" s="194">
        <v>3057577</v>
      </c>
      <c r="J336" s="194">
        <f t="shared" si="16"/>
        <v>152878.85</v>
      </c>
      <c r="K336" t="str">
        <f>_xlfn.XLOOKUP(B336,Cert_OC_Cliente!$B:$B,Cert_OC_Cliente!$L:$L)</f>
        <v>PTO 02</v>
      </c>
      <c r="L336" t="str">
        <f t="shared" si="17"/>
        <v>✓</v>
      </c>
    </row>
    <row r="337" spans="1:12" x14ac:dyDescent="0.35">
      <c r="A337" t="s">
        <v>3064</v>
      </c>
      <c r="B337" t="s">
        <v>3067</v>
      </c>
      <c r="C337" t="s">
        <v>3177</v>
      </c>
      <c r="D337" s="193">
        <v>46141</v>
      </c>
      <c r="E337" t="s">
        <v>3158</v>
      </c>
      <c r="F337">
        <v>0.35000000000000009</v>
      </c>
      <c r="G337">
        <v>0.25</v>
      </c>
      <c r="H337">
        <f t="shared" si="15"/>
        <v>0.60000000000000009</v>
      </c>
      <c r="I337" s="194">
        <v>14001552</v>
      </c>
      <c r="J337" s="194">
        <f t="shared" si="16"/>
        <v>3500388</v>
      </c>
      <c r="K337" t="str">
        <f>_xlfn.XLOOKUP(B337,Cert_OC_Cliente!$B:$B,Cert_OC_Cliente!$L:$L)</f>
        <v>PTO 02</v>
      </c>
      <c r="L337" t="str">
        <f t="shared" si="17"/>
        <v>✓</v>
      </c>
    </row>
    <row r="338" spans="1:12" x14ac:dyDescent="0.35">
      <c r="A338" t="s">
        <v>3064</v>
      </c>
      <c r="B338" t="s">
        <v>3067</v>
      </c>
      <c r="C338" t="s">
        <v>3177</v>
      </c>
      <c r="D338" s="193">
        <v>46141</v>
      </c>
      <c r="E338" t="s">
        <v>3163</v>
      </c>
      <c r="F338">
        <v>0.35</v>
      </c>
      <c r="G338">
        <v>0.05</v>
      </c>
      <c r="H338">
        <f t="shared" si="15"/>
        <v>0.39999999999999997</v>
      </c>
      <c r="I338" s="194">
        <v>2047485</v>
      </c>
      <c r="J338" s="194">
        <f t="shared" si="16"/>
        <v>102374.25</v>
      </c>
      <c r="K338" t="str">
        <f>_xlfn.XLOOKUP(B338,Cert_OC_Cliente!$B:$B,Cert_OC_Cliente!$L:$L)</f>
        <v>PTO 02</v>
      </c>
      <c r="L338" t="str">
        <f t="shared" si="17"/>
        <v>✓</v>
      </c>
    </row>
    <row r="339" spans="1:12" x14ac:dyDescent="0.35">
      <c r="A339" t="s">
        <v>3064</v>
      </c>
      <c r="B339" t="s">
        <v>3067</v>
      </c>
      <c r="C339" t="s">
        <v>3177</v>
      </c>
      <c r="D339" s="193">
        <v>46141</v>
      </c>
      <c r="E339" t="s">
        <v>3164</v>
      </c>
      <c r="F339">
        <v>0.35</v>
      </c>
      <c r="G339">
        <v>0.15</v>
      </c>
      <c r="H339">
        <f t="shared" si="15"/>
        <v>0.5</v>
      </c>
      <c r="I339" s="194">
        <v>16584566</v>
      </c>
      <c r="J339" s="194">
        <f t="shared" si="16"/>
        <v>2487684.9</v>
      </c>
      <c r="K339" t="str">
        <f>_xlfn.XLOOKUP(B339,Cert_OC_Cliente!$B:$B,Cert_OC_Cliente!$L:$L)</f>
        <v>PTO 02</v>
      </c>
      <c r="L339" t="str">
        <f t="shared" si="17"/>
        <v>✓</v>
      </c>
    </row>
    <row r="340" spans="1:12" x14ac:dyDescent="0.35">
      <c r="A340" t="s">
        <v>3064</v>
      </c>
      <c r="B340" t="s">
        <v>3067</v>
      </c>
      <c r="C340" t="s">
        <v>3177</v>
      </c>
      <c r="D340" s="193">
        <v>46141</v>
      </c>
      <c r="E340" t="s">
        <v>3173</v>
      </c>
      <c r="F340">
        <v>0.35</v>
      </c>
      <c r="G340">
        <v>0.25</v>
      </c>
      <c r="H340">
        <f t="shared" si="15"/>
        <v>0.6</v>
      </c>
      <c r="I340" s="194">
        <v>26645940</v>
      </c>
      <c r="J340" s="194">
        <f t="shared" si="16"/>
        <v>6661485</v>
      </c>
      <c r="K340" t="str">
        <f>_xlfn.XLOOKUP(B340,Cert_OC_Cliente!$B:$B,Cert_OC_Cliente!$L:$L)</f>
        <v>PTO 02</v>
      </c>
      <c r="L340" t="str">
        <f t="shared" si="17"/>
        <v>✓</v>
      </c>
    </row>
    <row r="341" spans="1:12" x14ac:dyDescent="0.35">
      <c r="A341" t="s">
        <v>3064</v>
      </c>
      <c r="B341" t="s">
        <v>3067</v>
      </c>
      <c r="C341" t="s">
        <v>3177</v>
      </c>
      <c r="D341" s="193">
        <v>46141</v>
      </c>
      <c r="E341" t="s">
        <v>3182</v>
      </c>
      <c r="F341">
        <v>0</v>
      </c>
      <c r="G341">
        <v>0.85</v>
      </c>
      <c r="H341">
        <f t="shared" si="15"/>
        <v>0.85</v>
      </c>
      <c r="I341" s="194">
        <v>672060</v>
      </c>
      <c r="J341" s="194">
        <f t="shared" si="16"/>
        <v>571251</v>
      </c>
      <c r="K341" t="str">
        <f>_xlfn.XLOOKUP(B341,Cert_OC_Cliente!$B:$B,Cert_OC_Cliente!$L:$L)</f>
        <v>PTO 02</v>
      </c>
      <c r="L341" t="str">
        <f t="shared" si="17"/>
        <v>✓</v>
      </c>
    </row>
    <row r="342" spans="1:12" x14ac:dyDescent="0.35">
      <c r="A342" t="s">
        <v>3064</v>
      </c>
      <c r="B342" t="s">
        <v>3067</v>
      </c>
      <c r="C342" t="s">
        <v>3177</v>
      </c>
      <c r="D342" s="193">
        <v>46141</v>
      </c>
      <c r="E342" t="s">
        <v>3088</v>
      </c>
      <c r="F342">
        <v>0.3</v>
      </c>
      <c r="G342">
        <v>0.1</v>
      </c>
      <c r="H342">
        <f t="shared" si="15"/>
        <v>0.4</v>
      </c>
      <c r="I342" s="194">
        <v>4518828</v>
      </c>
      <c r="J342" s="194">
        <f t="shared" si="16"/>
        <v>451882.80000000005</v>
      </c>
      <c r="K342" t="str">
        <f>_xlfn.XLOOKUP(B342,Cert_OC_Cliente!$B:$B,Cert_OC_Cliente!$L:$L)</f>
        <v>PTO 02</v>
      </c>
      <c r="L342" t="str">
        <f t="shared" si="17"/>
        <v>✓</v>
      </c>
    </row>
    <row r="343" spans="1:12" x14ac:dyDescent="0.35">
      <c r="A343" t="s">
        <v>3064</v>
      </c>
      <c r="B343" t="s">
        <v>3067</v>
      </c>
      <c r="C343" t="s">
        <v>3177</v>
      </c>
      <c r="D343" s="193">
        <v>46141</v>
      </c>
      <c r="E343" t="s">
        <v>3089</v>
      </c>
      <c r="F343">
        <v>0.3</v>
      </c>
      <c r="G343">
        <v>0.1</v>
      </c>
      <c r="H343">
        <f t="shared" si="15"/>
        <v>0.4</v>
      </c>
      <c r="I343" s="194">
        <v>1131198</v>
      </c>
      <c r="J343" s="194">
        <f t="shared" si="16"/>
        <v>113119.8</v>
      </c>
      <c r="K343" t="str">
        <f>_xlfn.XLOOKUP(B343,Cert_OC_Cliente!$B:$B,Cert_OC_Cliente!$L:$L)</f>
        <v>PTO 02</v>
      </c>
      <c r="L343" t="str">
        <f t="shared" si="17"/>
        <v>✓</v>
      </c>
    </row>
    <row r="344" spans="1:12" x14ac:dyDescent="0.35">
      <c r="A344" t="s">
        <v>3064</v>
      </c>
      <c r="B344" t="s">
        <v>3067</v>
      </c>
      <c r="C344" t="s">
        <v>3177</v>
      </c>
      <c r="D344" s="193">
        <v>46141</v>
      </c>
      <c r="E344" t="s">
        <v>3116</v>
      </c>
      <c r="F344">
        <v>0.2</v>
      </c>
      <c r="G344">
        <v>0.1</v>
      </c>
      <c r="H344">
        <f t="shared" si="15"/>
        <v>0.30000000000000004</v>
      </c>
      <c r="I344" s="194">
        <v>4176912</v>
      </c>
      <c r="J344" s="194">
        <f t="shared" si="16"/>
        <v>417691.2</v>
      </c>
      <c r="K344" t="str">
        <f>_xlfn.XLOOKUP(B344,Cert_OC_Cliente!$B:$B,Cert_OC_Cliente!$L:$L)</f>
        <v>PTO 02</v>
      </c>
      <c r="L344" t="str">
        <f t="shared" si="17"/>
        <v>✓</v>
      </c>
    </row>
    <row r="345" spans="1:12" x14ac:dyDescent="0.35">
      <c r="A345" t="s">
        <v>3064</v>
      </c>
      <c r="B345" t="s">
        <v>3067</v>
      </c>
      <c r="C345" t="s">
        <v>3177</v>
      </c>
      <c r="D345" s="193">
        <v>46141</v>
      </c>
      <c r="E345" t="s">
        <v>3094</v>
      </c>
      <c r="F345">
        <v>0.2</v>
      </c>
      <c r="G345">
        <v>0.1</v>
      </c>
      <c r="H345">
        <f t="shared" si="15"/>
        <v>0.30000000000000004</v>
      </c>
      <c r="I345" s="194">
        <v>2713998</v>
      </c>
      <c r="J345" s="194">
        <f t="shared" si="16"/>
        <v>271399.8</v>
      </c>
      <c r="K345" t="str">
        <f>_xlfn.XLOOKUP(B345,Cert_OC_Cliente!$B:$B,Cert_OC_Cliente!$L:$L)</f>
        <v>PTO 02</v>
      </c>
      <c r="L345" t="str">
        <f t="shared" si="17"/>
        <v>✓</v>
      </c>
    </row>
    <row r="346" spans="1:12" x14ac:dyDescent="0.35">
      <c r="A346" t="s">
        <v>3064</v>
      </c>
      <c r="B346" t="s">
        <v>3067</v>
      </c>
      <c r="C346" t="s">
        <v>3177</v>
      </c>
      <c r="D346" s="193">
        <v>46141</v>
      </c>
      <c r="E346" t="s">
        <v>3095</v>
      </c>
      <c r="F346">
        <v>0.2</v>
      </c>
      <c r="G346">
        <v>0.1</v>
      </c>
      <c r="H346">
        <f t="shared" si="15"/>
        <v>0.30000000000000004</v>
      </c>
      <c r="I346" s="194">
        <v>1885326</v>
      </c>
      <c r="J346" s="194">
        <f t="shared" si="16"/>
        <v>188532.6</v>
      </c>
      <c r="K346" t="str">
        <f>_xlfn.XLOOKUP(B346,Cert_OC_Cliente!$B:$B,Cert_OC_Cliente!$L:$L)</f>
        <v>PTO 02</v>
      </c>
      <c r="L346" t="str">
        <f t="shared" si="17"/>
        <v>✓</v>
      </c>
    </row>
    <row r="347" spans="1:12" x14ac:dyDescent="0.35">
      <c r="A347" t="s">
        <v>3064</v>
      </c>
      <c r="B347" t="s">
        <v>3067</v>
      </c>
      <c r="C347" t="s">
        <v>3177</v>
      </c>
      <c r="D347" s="193">
        <v>46141</v>
      </c>
      <c r="E347" t="s">
        <v>3117</v>
      </c>
      <c r="F347">
        <v>0.2</v>
      </c>
      <c r="G347">
        <v>0.1</v>
      </c>
      <c r="H347">
        <f t="shared" si="15"/>
        <v>0.30000000000000004</v>
      </c>
      <c r="I347" s="194">
        <v>1884828</v>
      </c>
      <c r="J347" s="194">
        <f t="shared" si="16"/>
        <v>188482.80000000002</v>
      </c>
      <c r="K347" t="str">
        <f>_xlfn.XLOOKUP(B347,Cert_OC_Cliente!$B:$B,Cert_OC_Cliente!$L:$L)</f>
        <v>PTO 02</v>
      </c>
      <c r="L347" t="str">
        <f t="shared" si="17"/>
        <v>✓</v>
      </c>
    </row>
    <row r="348" spans="1:12" x14ac:dyDescent="0.35">
      <c r="A348" t="s">
        <v>3064</v>
      </c>
      <c r="B348" t="s">
        <v>3067</v>
      </c>
      <c r="C348" t="s">
        <v>3177</v>
      </c>
      <c r="D348" s="193">
        <v>46141</v>
      </c>
      <c r="E348" t="s">
        <v>3090</v>
      </c>
      <c r="F348">
        <v>0.3</v>
      </c>
      <c r="G348">
        <v>0.1</v>
      </c>
      <c r="H348">
        <f t="shared" si="15"/>
        <v>0.4</v>
      </c>
      <c r="I348" s="194">
        <v>28644636</v>
      </c>
      <c r="J348" s="194">
        <f t="shared" si="16"/>
        <v>2864463.6</v>
      </c>
      <c r="K348" t="str">
        <f>_xlfn.XLOOKUP(B348,Cert_OC_Cliente!$B:$B,Cert_OC_Cliente!$L:$L)</f>
        <v>PTO 02</v>
      </c>
      <c r="L348" t="str">
        <f t="shared" si="17"/>
        <v>✓</v>
      </c>
    </row>
    <row r="349" spans="1:12" x14ac:dyDescent="0.35">
      <c r="A349" t="s">
        <v>3064</v>
      </c>
      <c r="B349" t="s">
        <v>3067</v>
      </c>
      <c r="C349" t="s">
        <v>3177</v>
      </c>
      <c r="D349" s="193">
        <v>46141</v>
      </c>
      <c r="E349" t="s">
        <v>3091</v>
      </c>
      <c r="F349">
        <v>0.3</v>
      </c>
      <c r="G349">
        <v>0.1</v>
      </c>
      <c r="H349">
        <f t="shared" si="15"/>
        <v>0.4</v>
      </c>
      <c r="I349" s="194">
        <v>3770652</v>
      </c>
      <c r="J349" s="194">
        <f t="shared" si="16"/>
        <v>377065.2</v>
      </c>
      <c r="K349" t="str">
        <f>_xlfn.XLOOKUP(B349,Cert_OC_Cliente!$B:$B,Cert_OC_Cliente!$L:$L)</f>
        <v>PTO 02</v>
      </c>
      <c r="L349" t="str">
        <f t="shared" si="17"/>
        <v>✓</v>
      </c>
    </row>
    <row r="350" spans="1:12" x14ac:dyDescent="0.35">
      <c r="A350" t="s">
        <v>3064</v>
      </c>
      <c r="B350" t="s">
        <v>3067</v>
      </c>
      <c r="C350" t="s">
        <v>3177</v>
      </c>
      <c r="D350" s="193">
        <v>46141</v>
      </c>
      <c r="E350" t="s">
        <v>3144</v>
      </c>
      <c r="F350">
        <v>0.9</v>
      </c>
      <c r="G350">
        <v>0.1</v>
      </c>
      <c r="H350">
        <f t="shared" si="15"/>
        <v>1</v>
      </c>
      <c r="I350" s="194">
        <v>-4178552</v>
      </c>
      <c r="J350" s="194">
        <f t="shared" si="16"/>
        <v>-417855.2</v>
      </c>
      <c r="K350" t="str">
        <f>_xlfn.XLOOKUP(B350,Cert_OC_Cliente!$B:$B,Cert_OC_Cliente!$L:$L)</f>
        <v>PTO 02</v>
      </c>
      <c r="L350" t="str">
        <f t="shared" si="17"/>
        <v>✓</v>
      </c>
    </row>
    <row r="351" spans="1:12" x14ac:dyDescent="0.35">
      <c r="A351" t="s">
        <v>3064</v>
      </c>
      <c r="B351" t="s">
        <v>3067</v>
      </c>
      <c r="C351" t="s">
        <v>3177</v>
      </c>
      <c r="D351" s="193">
        <v>46141</v>
      </c>
      <c r="E351" t="s">
        <v>3175</v>
      </c>
      <c r="F351">
        <v>0.75</v>
      </c>
      <c r="G351">
        <v>0.15</v>
      </c>
      <c r="H351">
        <f t="shared" si="15"/>
        <v>0.9</v>
      </c>
      <c r="I351" s="194">
        <v>2510109</v>
      </c>
      <c r="J351" s="194">
        <f t="shared" si="16"/>
        <v>376516.35</v>
      </c>
      <c r="K351" t="str">
        <f>_xlfn.XLOOKUP(B351,Cert_OC_Cliente!$B:$B,Cert_OC_Cliente!$L:$L)</f>
        <v>PTO 02</v>
      </c>
      <c r="L351" t="str">
        <f t="shared" si="17"/>
        <v>✓</v>
      </c>
    </row>
    <row r="352" spans="1:12" x14ac:dyDescent="0.35">
      <c r="A352" t="s">
        <v>3064</v>
      </c>
      <c r="B352" t="s">
        <v>3067</v>
      </c>
      <c r="C352" t="s">
        <v>3177</v>
      </c>
      <c r="D352" s="193">
        <v>46141</v>
      </c>
      <c r="E352" t="s">
        <v>3176</v>
      </c>
      <c r="F352">
        <v>0.5</v>
      </c>
      <c r="G352">
        <v>0.25</v>
      </c>
      <c r="H352">
        <f t="shared" si="15"/>
        <v>0.75</v>
      </c>
      <c r="I352" s="194">
        <v>1612800</v>
      </c>
      <c r="J352" s="194">
        <f t="shared" si="16"/>
        <v>403200</v>
      </c>
      <c r="K352" t="str">
        <f>_xlfn.XLOOKUP(B352,Cert_OC_Cliente!$B:$B,Cert_OC_Cliente!$L:$L)</f>
        <v>PTO 02</v>
      </c>
      <c r="L352" t="str">
        <f t="shared" si="17"/>
        <v>✓</v>
      </c>
    </row>
    <row r="353" spans="1:12" x14ac:dyDescent="0.35">
      <c r="A353" t="s">
        <v>3064</v>
      </c>
      <c r="B353" t="s">
        <v>3067</v>
      </c>
      <c r="C353" t="s">
        <v>3177</v>
      </c>
      <c r="D353" s="193">
        <v>46141</v>
      </c>
      <c r="E353" t="s">
        <v>3183</v>
      </c>
      <c r="F353">
        <v>0</v>
      </c>
      <c r="G353">
        <v>0.05</v>
      </c>
      <c r="H353">
        <f t="shared" si="15"/>
        <v>0.05</v>
      </c>
      <c r="I353" s="194">
        <v>11239313.892000001</v>
      </c>
      <c r="J353" s="194">
        <f t="shared" si="16"/>
        <v>561965.69460000005</v>
      </c>
      <c r="K353" t="str">
        <f>_xlfn.XLOOKUP(B353,Cert_OC_Cliente!$B:$B,Cert_OC_Cliente!$L:$L)</f>
        <v>PTO 02</v>
      </c>
      <c r="L353" t="str">
        <f t="shared" si="17"/>
        <v>✓</v>
      </c>
    </row>
    <row r="354" spans="1:12" x14ac:dyDescent="0.35">
      <c r="A354" t="s">
        <v>3064</v>
      </c>
      <c r="B354" t="s">
        <v>3067</v>
      </c>
      <c r="C354" t="s">
        <v>3177</v>
      </c>
      <c r="D354" s="193">
        <v>46141</v>
      </c>
      <c r="E354" t="s">
        <v>3184</v>
      </c>
      <c r="F354">
        <v>0</v>
      </c>
      <c r="G354">
        <v>1</v>
      </c>
      <c r="H354">
        <f t="shared" si="15"/>
        <v>1</v>
      </c>
      <c r="I354" s="194">
        <v>-3682378</v>
      </c>
      <c r="J354" s="194">
        <f t="shared" si="16"/>
        <v>-3682378</v>
      </c>
      <c r="K354" t="str">
        <f>_xlfn.XLOOKUP(B354,Cert_OC_Cliente!$B:$B,Cert_OC_Cliente!$L:$L)</f>
        <v>PTO 02</v>
      </c>
      <c r="L354" t="str">
        <f t="shared" si="17"/>
        <v>✓</v>
      </c>
    </row>
    <row r="355" spans="1:12" x14ac:dyDescent="0.35">
      <c r="A355" t="s">
        <v>3064</v>
      </c>
      <c r="B355" t="s">
        <v>3067</v>
      </c>
      <c r="C355" t="s">
        <v>3177</v>
      </c>
      <c r="D355" s="193">
        <v>46141</v>
      </c>
      <c r="E355" t="s">
        <v>3185</v>
      </c>
      <c r="F355">
        <v>0</v>
      </c>
      <c r="G355">
        <v>0.5</v>
      </c>
      <c r="H355">
        <f t="shared" si="15"/>
        <v>0.5</v>
      </c>
      <c r="I355" s="194">
        <v>1966692</v>
      </c>
      <c r="J355" s="194">
        <f t="shared" si="16"/>
        <v>983346</v>
      </c>
      <c r="K355" t="str">
        <f>_xlfn.XLOOKUP(B355,Cert_OC_Cliente!$B:$B,Cert_OC_Cliente!$L:$L)</f>
        <v>PTO 02</v>
      </c>
      <c r="L355" t="str">
        <f t="shared" si="17"/>
        <v>✓</v>
      </c>
    </row>
    <row r="356" spans="1:12" x14ac:dyDescent="0.35">
      <c r="A356" t="s">
        <v>3064</v>
      </c>
      <c r="B356" t="s">
        <v>3067</v>
      </c>
      <c r="C356" t="s">
        <v>3177</v>
      </c>
      <c r="D356" s="193">
        <v>46141</v>
      </c>
      <c r="E356" t="s">
        <v>3166</v>
      </c>
      <c r="F356">
        <v>5.0000000000000017E-2</v>
      </c>
      <c r="G356">
        <v>0.15</v>
      </c>
      <c r="H356">
        <f t="shared" si="15"/>
        <v>0.2</v>
      </c>
      <c r="I356" s="194">
        <v>56751165.702000029</v>
      </c>
      <c r="J356" s="194">
        <f t="shared" si="16"/>
        <v>8512674.8553000037</v>
      </c>
      <c r="K356" t="str">
        <f>_xlfn.XLOOKUP(B356,Cert_OC_Cliente!$B:$B,Cert_OC_Cliente!$L:$L)</f>
        <v>PTO 02</v>
      </c>
      <c r="L356" t="str">
        <f t="shared" si="17"/>
        <v>✓</v>
      </c>
    </row>
    <row r="357" spans="1:12" x14ac:dyDescent="0.35">
      <c r="A357" t="s">
        <v>3064</v>
      </c>
      <c r="B357" t="s">
        <v>3067</v>
      </c>
      <c r="C357" t="s">
        <v>3177</v>
      </c>
      <c r="D357" s="193">
        <v>46141</v>
      </c>
      <c r="E357" t="s">
        <v>3167</v>
      </c>
      <c r="F357">
        <v>5.0000000000000017E-2</v>
      </c>
      <c r="G357">
        <v>0.15</v>
      </c>
      <c r="H357">
        <f t="shared" si="15"/>
        <v>0.2</v>
      </c>
      <c r="I357" s="194">
        <v>6511932.8999999994</v>
      </c>
      <c r="J357" s="194">
        <f t="shared" si="16"/>
        <v>976789.93499999982</v>
      </c>
      <c r="K357" t="str">
        <f>_xlfn.XLOOKUP(B357,Cert_OC_Cliente!$B:$B,Cert_OC_Cliente!$L:$L)</f>
        <v>PTO 02</v>
      </c>
      <c r="L357" t="str">
        <f t="shared" si="17"/>
        <v>✓</v>
      </c>
    </row>
    <row r="358" spans="1:12" x14ac:dyDescent="0.35">
      <c r="A358" t="s">
        <v>3064</v>
      </c>
      <c r="B358" t="s">
        <v>3067</v>
      </c>
      <c r="C358" t="s">
        <v>3177</v>
      </c>
      <c r="D358" s="193">
        <v>46141</v>
      </c>
      <c r="E358" t="s">
        <v>3186</v>
      </c>
      <c r="F358">
        <v>0</v>
      </c>
      <c r="G358">
        <v>0.15</v>
      </c>
      <c r="H358">
        <f t="shared" si="15"/>
        <v>0.15</v>
      </c>
      <c r="I358" s="194">
        <v>2959506</v>
      </c>
      <c r="J358" s="194">
        <f t="shared" si="16"/>
        <v>443925.89999999997</v>
      </c>
      <c r="K358" t="str">
        <f>_xlfn.XLOOKUP(B358,Cert_OC_Cliente!$B:$B,Cert_OC_Cliente!$L:$L)</f>
        <v>PTO 02</v>
      </c>
      <c r="L358" t="str">
        <f t="shared" si="17"/>
        <v>✓</v>
      </c>
    </row>
    <row r="359" spans="1:12" x14ac:dyDescent="0.35">
      <c r="A359" t="s">
        <v>3064</v>
      </c>
      <c r="B359" t="s">
        <v>3067</v>
      </c>
      <c r="C359" t="s">
        <v>3177</v>
      </c>
      <c r="D359" s="193">
        <v>46141</v>
      </c>
      <c r="E359" t="s">
        <v>3187</v>
      </c>
      <c r="F359">
        <v>0</v>
      </c>
      <c r="G359">
        <v>0.15</v>
      </c>
      <c r="H359">
        <f t="shared" si="15"/>
        <v>0.15</v>
      </c>
      <c r="I359" s="194">
        <v>11107905.862</v>
      </c>
      <c r="J359" s="194">
        <f t="shared" si="16"/>
        <v>1666185.8792999999</v>
      </c>
      <c r="K359" t="str">
        <f>_xlfn.XLOOKUP(B359,Cert_OC_Cliente!$B:$B,Cert_OC_Cliente!$L:$L)</f>
        <v>PTO 02</v>
      </c>
      <c r="L359" t="str">
        <f t="shared" si="17"/>
        <v>✓</v>
      </c>
    </row>
    <row r="360" spans="1:12" x14ac:dyDescent="0.35">
      <c r="A360" t="s">
        <v>3064</v>
      </c>
      <c r="B360" t="s">
        <v>3067</v>
      </c>
      <c r="C360" t="s">
        <v>3188</v>
      </c>
      <c r="D360" s="193">
        <v>46174</v>
      </c>
      <c r="E360" t="s">
        <v>3169</v>
      </c>
      <c r="F360">
        <v>0.5</v>
      </c>
      <c r="G360">
        <v>0.35</v>
      </c>
      <c r="H360">
        <f t="shared" si="15"/>
        <v>0.85</v>
      </c>
      <c r="I360" s="194">
        <v>2199545</v>
      </c>
      <c r="J360" s="194">
        <f t="shared" si="16"/>
        <v>769840.75</v>
      </c>
      <c r="K360" t="str">
        <f>_xlfn.XLOOKUP(B360,Cert_OC_Cliente!$B:$B,Cert_OC_Cliente!$L:$L)</f>
        <v>PTO 02</v>
      </c>
      <c r="L360" t="str">
        <f t="shared" si="17"/>
        <v>✓</v>
      </c>
    </row>
    <row r="361" spans="1:12" x14ac:dyDescent="0.35">
      <c r="A361" t="s">
        <v>3064</v>
      </c>
      <c r="B361" t="s">
        <v>3067</v>
      </c>
      <c r="C361" t="s">
        <v>3188</v>
      </c>
      <c r="D361" s="193">
        <v>46174</v>
      </c>
      <c r="E361" t="s">
        <v>3170</v>
      </c>
      <c r="F361">
        <v>0.20000000000000009</v>
      </c>
      <c r="G361">
        <v>0.4</v>
      </c>
      <c r="H361">
        <f t="shared" si="15"/>
        <v>0.60000000000000009</v>
      </c>
      <c r="I361" s="194">
        <v>9802967.9039999992</v>
      </c>
      <c r="J361" s="194">
        <f t="shared" si="16"/>
        <v>3921187.1615999998</v>
      </c>
      <c r="K361" t="str">
        <f>_xlfn.XLOOKUP(B361,Cert_OC_Cliente!$B:$B,Cert_OC_Cliente!$L:$L)</f>
        <v>PTO 02</v>
      </c>
      <c r="L361" t="str">
        <f t="shared" si="17"/>
        <v>✓</v>
      </c>
    </row>
    <row r="362" spans="1:12" x14ac:dyDescent="0.35">
      <c r="A362" t="s">
        <v>3064</v>
      </c>
      <c r="B362" t="s">
        <v>3067</v>
      </c>
      <c r="C362" t="s">
        <v>3188</v>
      </c>
      <c r="D362" s="193">
        <v>46174</v>
      </c>
      <c r="E362" t="s">
        <v>3171</v>
      </c>
      <c r="F362">
        <v>0.2</v>
      </c>
      <c r="G362">
        <v>0.5</v>
      </c>
      <c r="H362">
        <f t="shared" si="15"/>
        <v>0.7</v>
      </c>
      <c r="I362" s="194">
        <v>9524051.2871000003</v>
      </c>
      <c r="J362" s="194">
        <f t="shared" si="16"/>
        <v>4762025.6435500002</v>
      </c>
      <c r="K362" t="str">
        <f>_xlfn.XLOOKUP(B362,Cert_OC_Cliente!$B:$B,Cert_OC_Cliente!$L:$L)</f>
        <v>PTO 02</v>
      </c>
      <c r="L362" t="str">
        <f t="shared" si="17"/>
        <v>✓</v>
      </c>
    </row>
    <row r="363" spans="1:12" x14ac:dyDescent="0.35">
      <c r="A363" t="s">
        <v>3064</v>
      </c>
      <c r="B363" t="s">
        <v>3067</v>
      </c>
      <c r="C363" t="s">
        <v>3188</v>
      </c>
      <c r="D363" s="193">
        <v>46174</v>
      </c>
      <c r="E363" t="s">
        <v>3172</v>
      </c>
      <c r="F363">
        <v>0.25</v>
      </c>
      <c r="G363">
        <v>0.35</v>
      </c>
      <c r="H363">
        <f t="shared" si="15"/>
        <v>0.6</v>
      </c>
      <c r="I363" s="194">
        <v>1779616</v>
      </c>
      <c r="J363" s="194">
        <f t="shared" si="16"/>
        <v>622865.6</v>
      </c>
      <c r="K363" t="str">
        <f>_xlfn.XLOOKUP(B363,Cert_OC_Cliente!$B:$B,Cert_OC_Cliente!$L:$L)</f>
        <v>PTO 02</v>
      </c>
      <c r="L363" t="str">
        <f t="shared" si="17"/>
        <v>✓</v>
      </c>
    </row>
    <row r="364" spans="1:12" x14ac:dyDescent="0.35">
      <c r="A364" t="s">
        <v>3064</v>
      </c>
      <c r="B364" t="s">
        <v>3067</v>
      </c>
      <c r="C364" t="s">
        <v>3188</v>
      </c>
      <c r="D364" s="193">
        <v>46174</v>
      </c>
      <c r="E364" t="s">
        <v>3179</v>
      </c>
      <c r="F364">
        <v>0.25</v>
      </c>
      <c r="G364">
        <v>0.35</v>
      </c>
      <c r="H364">
        <f t="shared" si="15"/>
        <v>0.6</v>
      </c>
      <c r="I364" s="194">
        <v>8332625.7399999974</v>
      </c>
      <c r="J364" s="194">
        <f t="shared" si="16"/>
        <v>2916419.0089999991</v>
      </c>
      <c r="K364" t="str">
        <f>_xlfn.XLOOKUP(B364,Cert_OC_Cliente!$B:$B,Cert_OC_Cliente!$L:$L)</f>
        <v>PTO 02</v>
      </c>
      <c r="L364" t="str">
        <f t="shared" si="17"/>
        <v>✓</v>
      </c>
    </row>
    <row r="365" spans="1:12" x14ac:dyDescent="0.35">
      <c r="A365" t="s">
        <v>3064</v>
      </c>
      <c r="B365" t="s">
        <v>3067</v>
      </c>
      <c r="C365" t="s">
        <v>3188</v>
      </c>
      <c r="D365" s="193">
        <v>46174</v>
      </c>
      <c r="E365" t="s">
        <v>3180</v>
      </c>
      <c r="F365">
        <v>0.20000000000000009</v>
      </c>
      <c r="G365">
        <v>0.4</v>
      </c>
      <c r="H365">
        <f t="shared" si="15"/>
        <v>0.60000000000000009</v>
      </c>
      <c r="I365" s="194">
        <v>11778311.080800001</v>
      </c>
      <c r="J365" s="194">
        <f t="shared" si="16"/>
        <v>4711324.4323200006</v>
      </c>
      <c r="K365" t="str">
        <f>_xlfn.XLOOKUP(B365,Cert_OC_Cliente!$B:$B,Cert_OC_Cliente!$L:$L)</f>
        <v>PTO 02</v>
      </c>
      <c r="L365" t="str">
        <f t="shared" si="17"/>
        <v>✓</v>
      </c>
    </row>
    <row r="366" spans="1:12" x14ac:dyDescent="0.35">
      <c r="A366" t="s">
        <v>3064</v>
      </c>
      <c r="B366" t="s">
        <v>3067</v>
      </c>
      <c r="C366" t="s">
        <v>3188</v>
      </c>
      <c r="D366" s="193">
        <v>46174</v>
      </c>
      <c r="E366" t="s">
        <v>3181</v>
      </c>
      <c r="F366">
        <v>0.20000000000000009</v>
      </c>
      <c r="G366">
        <v>0.4</v>
      </c>
      <c r="H366">
        <f t="shared" si="15"/>
        <v>0.60000000000000009</v>
      </c>
      <c r="I366" s="194">
        <v>7100548.29</v>
      </c>
      <c r="J366" s="194">
        <f t="shared" si="16"/>
        <v>2840219.3160000001</v>
      </c>
      <c r="K366" t="str">
        <f>_xlfn.XLOOKUP(B366,Cert_OC_Cliente!$B:$B,Cert_OC_Cliente!$L:$L)</f>
        <v>PTO 02</v>
      </c>
      <c r="L366" t="str">
        <f t="shared" si="17"/>
        <v>✓</v>
      </c>
    </row>
    <row r="367" spans="1:12" x14ac:dyDescent="0.35">
      <c r="A367" t="s">
        <v>3064</v>
      </c>
      <c r="B367" t="s">
        <v>3067</v>
      </c>
      <c r="C367" t="s">
        <v>3188</v>
      </c>
      <c r="D367" s="193">
        <v>46174</v>
      </c>
      <c r="E367" t="s">
        <v>3130</v>
      </c>
      <c r="F367">
        <v>0.45</v>
      </c>
      <c r="G367">
        <v>0.05</v>
      </c>
      <c r="H367">
        <f t="shared" si="15"/>
        <v>0.5</v>
      </c>
      <c r="I367" s="194">
        <v>23499616</v>
      </c>
      <c r="J367" s="194">
        <f t="shared" si="16"/>
        <v>1174980.8</v>
      </c>
      <c r="K367" t="str">
        <f>_xlfn.XLOOKUP(B367,Cert_OC_Cliente!$B:$B,Cert_OC_Cliente!$L:$L)</f>
        <v>PTO 02</v>
      </c>
      <c r="L367" t="str">
        <f t="shared" si="17"/>
        <v>✓</v>
      </c>
    </row>
    <row r="368" spans="1:12" x14ac:dyDescent="0.35">
      <c r="A368" t="s">
        <v>3064</v>
      </c>
      <c r="B368" t="s">
        <v>3067</v>
      </c>
      <c r="C368" t="s">
        <v>3188</v>
      </c>
      <c r="D368" s="193">
        <v>46174</v>
      </c>
      <c r="E368" t="s">
        <v>3131</v>
      </c>
      <c r="F368">
        <v>0.45</v>
      </c>
      <c r="G368">
        <v>0.05</v>
      </c>
      <c r="H368">
        <f t="shared" si="15"/>
        <v>0.5</v>
      </c>
      <c r="I368" s="194">
        <v>1139012</v>
      </c>
      <c r="J368" s="194">
        <f t="shared" si="16"/>
        <v>56950.600000000006</v>
      </c>
      <c r="K368" t="str">
        <f>_xlfn.XLOOKUP(B368,Cert_OC_Cliente!$B:$B,Cert_OC_Cliente!$L:$L)</f>
        <v>PTO 02</v>
      </c>
      <c r="L368" t="str">
        <f t="shared" si="17"/>
        <v>✓</v>
      </c>
    </row>
    <row r="369" spans="1:12" x14ac:dyDescent="0.35">
      <c r="A369" t="s">
        <v>3064</v>
      </c>
      <c r="B369" t="s">
        <v>3067</v>
      </c>
      <c r="C369" t="s">
        <v>3188</v>
      </c>
      <c r="D369" s="193">
        <v>46174</v>
      </c>
      <c r="E369" t="s">
        <v>3133</v>
      </c>
      <c r="F369">
        <v>0.4</v>
      </c>
      <c r="G369">
        <v>0.1</v>
      </c>
      <c r="H369">
        <f t="shared" si="15"/>
        <v>0.5</v>
      </c>
      <c r="I369" s="194">
        <v>2256800</v>
      </c>
      <c r="J369" s="194">
        <f t="shared" si="16"/>
        <v>225680</v>
      </c>
      <c r="K369" t="str">
        <f>_xlfn.XLOOKUP(B369,Cert_OC_Cliente!$B:$B,Cert_OC_Cliente!$L:$L)</f>
        <v>PTO 02</v>
      </c>
      <c r="L369" t="str">
        <f t="shared" si="17"/>
        <v>✓</v>
      </c>
    </row>
    <row r="370" spans="1:12" x14ac:dyDescent="0.35">
      <c r="A370" t="s">
        <v>3064</v>
      </c>
      <c r="B370" t="s">
        <v>3067</v>
      </c>
      <c r="C370" t="s">
        <v>3188</v>
      </c>
      <c r="D370" s="193">
        <v>46174</v>
      </c>
      <c r="E370" t="s">
        <v>3162</v>
      </c>
      <c r="F370">
        <v>0.4</v>
      </c>
      <c r="G370">
        <v>0.1</v>
      </c>
      <c r="H370">
        <f t="shared" si="15"/>
        <v>0.5</v>
      </c>
      <c r="I370" s="194">
        <v>919120</v>
      </c>
      <c r="J370" s="194">
        <f t="shared" si="16"/>
        <v>91912</v>
      </c>
      <c r="K370" t="str">
        <f>_xlfn.XLOOKUP(B370,Cert_OC_Cliente!$B:$B,Cert_OC_Cliente!$L:$L)</f>
        <v>PTO 02</v>
      </c>
      <c r="L370" t="str">
        <f t="shared" si="17"/>
        <v>✓</v>
      </c>
    </row>
    <row r="371" spans="1:12" x14ac:dyDescent="0.35">
      <c r="A371" t="s">
        <v>3064</v>
      </c>
      <c r="B371" t="s">
        <v>3067</v>
      </c>
      <c r="C371" t="s">
        <v>3188</v>
      </c>
      <c r="D371" s="193">
        <v>46174</v>
      </c>
      <c r="E371" t="s">
        <v>3134</v>
      </c>
      <c r="F371">
        <v>0.4</v>
      </c>
      <c r="G371">
        <v>0.1</v>
      </c>
      <c r="H371">
        <f t="shared" si="15"/>
        <v>0.5</v>
      </c>
      <c r="I371" s="194">
        <v>919120</v>
      </c>
      <c r="J371" s="194">
        <f t="shared" si="16"/>
        <v>91912</v>
      </c>
      <c r="K371" t="str">
        <f>_xlfn.XLOOKUP(B371,Cert_OC_Cliente!$B:$B,Cert_OC_Cliente!$L:$L)</f>
        <v>PTO 02</v>
      </c>
      <c r="L371" t="str">
        <f t="shared" si="17"/>
        <v>✓</v>
      </c>
    </row>
    <row r="372" spans="1:12" x14ac:dyDescent="0.35">
      <c r="A372" t="s">
        <v>3064</v>
      </c>
      <c r="B372" t="s">
        <v>3067</v>
      </c>
      <c r="C372" t="s">
        <v>3188</v>
      </c>
      <c r="D372" s="193">
        <v>46174</v>
      </c>
      <c r="E372" t="s">
        <v>3135</v>
      </c>
      <c r="F372">
        <v>0.4</v>
      </c>
      <c r="G372">
        <v>0.1</v>
      </c>
      <c r="H372">
        <f t="shared" si="15"/>
        <v>0.5</v>
      </c>
      <c r="I372" s="194">
        <v>1987798</v>
      </c>
      <c r="J372" s="194">
        <f t="shared" si="16"/>
        <v>198779.80000000002</v>
      </c>
      <c r="K372" t="str">
        <f>_xlfn.XLOOKUP(B372,Cert_OC_Cliente!$B:$B,Cert_OC_Cliente!$L:$L)</f>
        <v>PTO 02</v>
      </c>
      <c r="L372" t="str">
        <f t="shared" si="17"/>
        <v>✓</v>
      </c>
    </row>
    <row r="373" spans="1:12" x14ac:dyDescent="0.35">
      <c r="A373" t="s">
        <v>3064</v>
      </c>
      <c r="B373" t="s">
        <v>3067</v>
      </c>
      <c r="C373" t="s">
        <v>3188</v>
      </c>
      <c r="D373" s="193">
        <v>46174</v>
      </c>
      <c r="E373" t="s">
        <v>3136</v>
      </c>
      <c r="F373">
        <v>0.4</v>
      </c>
      <c r="G373">
        <v>0.1</v>
      </c>
      <c r="H373">
        <f t="shared" si="15"/>
        <v>0.5</v>
      </c>
      <c r="I373" s="194">
        <v>734621</v>
      </c>
      <c r="J373" s="194">
        <f t="shared" si="16"/>
        <v>73462.100000000006</v>
      </c>
      <c r="K373" t="str">
        <f>_xlfn.XLOOKUP(B373,Cert_OC_Cliente!$B:$B,Cert_OC_Cliente!$L:$L)</f>
        <v>PTO 02</v>
      </c>
      <c r="L373" t="str">
        <f t="shared" si="17"/>
        <v>✓</v>
      </c>
    </row>
    <row r="374" spans="1:12" x14ac:dyDescent="0.35">
      <c r="A374" t="s">
        <v>3064</v>
      </c>
      <c r="B374" t="s">
        <v>3067</v>
      </c>
      <c r="C374" t="s">
        <v>3188</v>
      </c>
      <c r="D374" s="193">
        <v>46174</v>
      </c>
      <c r="E374" t="s">
        <v>3155</v>
      </c>
      <c r="F374">
        <v>0.8</v>
      </c>
      <c r="G374">
        <v>0.1</v>
      </c>
      <c r="H374">
        <f t="shared" si="15"/>
        <v>0.9</v>
      </c>
      <c r="I374" s="194">
        <v>8787491</v>
      </c>
      <c r="J374" s="194">
        <f t="shared" si="16"/>
        <v>878749.10000000009</v>
      </c>
      <c r="K374" t="str">
        <f>_xlfn.XLOOKUP(B374,Cert_OC_Cliente!$B:$B,Cert_OC_Cliente!$L:$L)</f>
        <v>PTO 02</v>
      </c>
      <c r="L374" t="str">
        <f t="shared" si="17"/>
        <v>✓</v>
      </c>
    </row>
    <row r="375" spans="1:12" x14ac:dyDescent="0.35">
      <c r="A375" t="s">
        <v>3064</v>
      </c>
      <c r="B375" t="s">
        <v>3067</v>
      </c>
      <c r="C375" t="s">
        <v>3188</v>
      </c>
      <c r="D375" s="193">
        <v>46174</v>
      </c>
      <c r="E375" t="s">
        <v>3156</v>
      </c>
      <c r="F375">
        <v>0.70000000000000007</v>
      </c>
      <c r="G375">
        <v>0.15</v>
      </c>
      <c r="H375">
        <f t="shared" si="15"/>
        <v>0.85000000000000009</v>
      </c>
      <c r="I375" s="194">
        <v>4135290</v>
      </c>
      <c r="J375" s="194">
        <f t="shared" si="16"/>
        <v>620293.5</v>
      </c>
      <c r="K375" t="str">
        <f>_xlfn.XLOOKUP(B375,Cert_OC_Cliente!$B:$B,Cert_OC_Cliente!$L:$L)</f>
        <v>PTO 02</v>
      </c>
      <c r="L375" t="str">
        <f t="shared" si="17"/>
        <v>✓</v>
      </c>
    </row>
    <row r="376" spans="1:12" x14ac:dyDescent="0.35">
      <c r="A376" t="s">
        <v>3064</v>
      </c>
      <c r="B376" t="s">
        <v>3067</v>
      </c>
      <c r="C376" t="s">
        <v>3188</v>
      </c>
      <c r="D376" s="193">
        <v>46174</v>
      </c>
      <c r="E376" t="s">
        <v>3157</v>
      </c>
      <c r="F376">
        <v>0.75</v>
      </c>
      <c r="G376">
        <v>0.15</v>
      </c>
      <c r="H376">
        <f t="shared" si="15"/>
        <v>0.9</v>
      </c>
      <c r="I376" s="194">
        <v>3057577</v>
      </c>
      <c r="J376" s="194">
        <f t="shared" si="16"/>
        <v>458636.55</v>
      </c>
      <c r="K376" t="str">
        <f>_xlfn.XLOOKUP(B376,Cert_OC_Cliente!$B:$B,Cert_OC_Cliente!$L:$L)</f>
        <v>PTO 02</v>
      </c>
      <c r="L376" t="str">
        <f t="shared" si="17"/>
        <v>✓</v>
      </c>
    </row>
    <row r="377" spans="1:12" x14ac:dyDescent="0.35">
      <c r="A377" t="s">
        <v>3064</v>
      </c>
      <c r="B377" t="s">
        <v>3067</v>
      </c>
      <c r="C377" t="s">
        <v>3188</v>
      </c>
      <c r="D377" s="193">
        <v>46174</v>
      </c>
      <c r="E377" t="s">
        <v>3158</v>
      </c>
      <c r="F377">
        <v>0.60000000000000009</v>
      </c>
      <c r="G377">
        <v>0.2</v>
      </c>
      <c r="H377">
        <f t="shared" si="15"/>
        <v>0.8</v>
      </c>
      <c r="I377" s="194">
        <v>14001552</v>
      </c>
      <c r="J377" s="194">
        <f t="shared" si="16"/>
        <v>2800310.4000000004</v>
      </c>
      <c r="K377" t="str">
        <f>_xlfn.XLOOKUP(B377,Cert_OC_Cliente!$B:$B,Cert_OC_Cliente!$L:$L)</f>
        <v>PTO 02</v>
      </c>
      <c r="L377" t="str">
        <f t="shared" si="17"/>
        <v>✓</v>
      </c>
    </row>
    <row r="378" spans="1:12" x14ac:dyDescent="0.35">
      <c r="A378" t="s">
        <v>3064</v>
      </c>
      <c r="B378" t="s">
        <v>3067</v>
      </c>
      <c r="C378" t="s">
        <v>3188</v>
      </c>
      <c r="D378" s="193">
        <v>46174</v>
      </c>
      <c r="E378" t="s">
        <v>3163</v>
      </c>
      <c r="F378">
        <v>0.4</v>
      </c>
      <c r="G378">
        <v>0.4</v>
      </c>
      <c r="H378">
        <f t="shared" si="15"/>
        <v>0.8</v>
      </c>
      <c r="I378" s="194">
        <v>2047485</v>
      </c>
      <c r="J378" s="194">
        <f t="shared" si="16"/>
        <v>818994</v>
      </c>
      <c r="K378" t="str">
        <f>_xlfn.XLOOKUP(B378,Cert_OC_Cliente!$B:$B,Cert_OC_Cliente!$L:$L)</f>
        <v>PTO 02</v>
      </c>
      <c r="L378" t="str">
        <f t="shared" si="17"/>
        <v>✓</v>
      </c>
    </row>
    <row r="379" spans="1:12" x14ac:dyDescent="0.35">
      <c r="A379" t="s">
        <v>3064</v>
      </c>
      <c r="B379" t="s">
        <v>3067</v>
      </c>
      <c r="C379" t="s">
        <v>3188</v>
      </c>
      <c r="D379" s="193">
        <v>46174</v>
      </c>
      <c r="E379" t="s">
        <v>3189</v>
      </c>
      <c r="F379">
        <v>0</v>
      </c>
      <c r="G379">
        <v>0.4</v>
      </c>
      <c r="H379">
        <f t="shared" si="15"/>
        <v>0.4</v>
      </c>
      <c r="I379" s="194">
        <v>15888634</v>
      </c>
      <c r="J379" s="194">
        <f t="shared" si="16"/>
        <v>6355453.6000000006</v>
      </c>
      <c r="K379" t="str">
        <f>_xlfn.XLOOKUP(B379,Cert_OC_Cliente!$B:$B,Cert_OC_Cliente!$L:$L)</f>
        <v>PTO 02</v>
      </c>
      <c r="L379" t="str">
        <f t="shared" si="17"/>
        <v>✓</v>
      </c>
    </row>
    <row r="380" spans="1:12" x14ac:dyDescent="0.35">
      <c r="A380" t="s">
        <v>3064</v>
      </c>
      <c r="B380" t="s">
        <v>3067</v>
      </c>
      <c r="C380" t="s">
        <v>3188</v>
      </c>
      <c r="D380" s="193">
        <v>46174</v>
      </c>
      <c r="E380" t="s">
        <v>3190</v>
      </c>
      <c r="F380">
        <v>0</v>
      </c>
      <c r="G380">
        <v>0.4</v>
      </c>
      <c r="H380">
        <f t="shared" si="15"/>
        <v>0.4</v>
      </c>
      <c r="I380" s="194">
        <v>6190377</v>
      </c>
      <c r="J380" s="194">
        <f t="shared" si="16"/>
        <v>2476150.8000000003</v>
      </c>
      <c r="K380" t="str">
        <f>_xlfn.XLOOKUP(B380,Cert_OC_Cliente!$B:$B,Cert_OC_Cliente!$L:$L)</f>
        <v>PTO 02</v>
      </c>
      <c r="L380" t="str">
        <f t="shared" si="17"/>
        <v>✓</v>
      </c>
    </row>
    <row r="381" spans="1:12" x14ac:dyDescent="0.35">
      <c r="A381" t="s">
        <v>3064</v>
      </c>
      <c r="B381" t="s">
        <v>3067</v>
      </c>
      <c r="C381" t="s">
        <v>3188</v>
      </c>
      <c r="D381" s="193">
        <v>46174</v>
      </c>
      <c r="E381" t="s">
        <v>3164</v>
      </c>
      <c r="F381">
        <v>0.49999999999999989</v>
      </c>
      <c r="G381">
        <v>0.2</v>
      </c>
      <c r="H381">
        <f t="shared" si="15"/>
        <v>0.7</v>
      </c>
      <c r="I381" s="194">
        <v>16584566</v>
      </c>
      <c r="J381" s="194">
        <f t="shared" si="16"/>
        <v>3316913.2</v>
      </c>
      <c r="K381" t="str">
        <f>_xlfn.XLOOKUP(B381,Cert_OC_Cliente!$B:$B,Cert_OC_Cliente!$L:$L)</f>
        <v>PTO 02</v>
      </c>
      <c r="L381" t="str">
        <f t="shared" si="17"/>
        <v>✓</v>
      </c>
    </row>
    <row r="382" spans="1:12" x14ac:dyDescent="0.35">
      <c r="A382" t="s">
        <v>3064</v>
      </c>
      <c r="B382" t="s">
        <v>3067</v>
      </c>
      <c r="C382" t="s">
        <v>3188</v>
      </c>
      <c r="D382" s="193">
        <v>46174</v>
      </c>
      <c r="E382" t="s">
        <v>3159</v>
      </c>
      <c r="F382">
        <v>0.3</v>
      </c>
      <c r="G382">
        <v>0.2</v>
      </c>
      <c r="H382">
        <f t="shared" si="15"/>
        <v>0.5</v>
      </c>
      <c r="I382" s="194">
        <v>3676382</v>
      </c>
      <c r="J382" s="194">
        <f t="shared" si="16"/>
        <v>735276.4</v>
      </c>
      <c r="K382" t="str">
        <f>_xlfn.XLOOKUP(B382,Cert_OC_Cliente!$B:$B,Cert_OC_Cliente!$L:$L)</f>
        <v>PTO 02</v>
      </c>
      <c r="L382" t="str">
        <f t="shared" si="17"/>
        <v>✓</v>
      </c>
    </row>
    <row r="383" spans="1:12" x14ac:dyDescent="0.35">
      <c r="A383" t="s">
        <v>3064</v>
      </c>
      <c r="B383" t="s">
        <v>3067</v>
      </c>
      <c r="C383" t="s">
        <v>3188</v>
      </c>
      <c r="D383" s="193">
        <v>46174</v>
      </c>
      <c r="E383" t="s">
        <v>3173</v>
      </c>
      <c r="F383">
        <v>0.60000000000000009</v>
      </c>
      <c r="G383">
        <v>0.2</v>
      </c>
      <c r="H383">
        <f t="shared" si="15"/>
        <v>0.8</v>
      </c>
      <c r="I383" s="194">
        <v>26645940</v>
      </c>
      <c r="J383" s="194">
        <f t="shared" si="16"/>
        <v>5329188</v>
      </c>
      <c r="K383" t="str">
        <f>_xlfn.XLOOKUP(B383,Cert_OC_Cliente!$B:$B,Cert_OC_Cliente!$L:$L)</f>
        <v>PTO 02</v>
      </c>
      <c r="L383" t="str">
        <f t="shared" si="17"/>
        <v>✓</v>
      </c>
    </row>
    <row r="384" spans="1:12" x14ac:dyDescent="0.35">
      <c r="A384" t="s">
        <v>3064</v>
      </c>
      <c r="B384" t="s">
        <v>3067</v>
      </c>
      <c r="C384" t="s">
        <v>3188</v>
      </c>
      <c r="D384" s="193">
        <v>46174</v>
      </c>
      <c r="E384" t="s">
        <v>3088</v>
      </c>
      <c r="F384">
        <v>0.4</v>
      </c>
      <c r="G384">
        <v>0.1</v>
      </c>
      <c r="H384">
        <f t="shared" si="15"/>
        <v>0.5</v>
      </c>
      <c r="I384" s="194">
        <v>4518828</v>
      </c>
      <c r="J384" s="194">
        <f t="shared" si="16"/>
        <v>451882.80000000005</v>
      </c>
      <c r="K384" t="str">
        <f>_xlfn.XLOOKUP(B384,Cert_OC_Cliente!$B:$B,Cert_OC_Cliente!$L:$L)</f>
        <v>PTO 02</v>
      </c>
      <c r="L384" t="str">
        <f t="shared" si="17"/>
        <v>✓</v>
      </c>
    </row>
    <row r="385" spans="1:12" x14ac:dyDescent="0.35">
      <c r="A385" t="s">
        <v>3064</v>
      </c>
      <c r="B385" t="s">
        <v>3067</v>
      </c>
      <c r="C385" t="s">
        <v>3188</v>
      </c>
      <c r="D385" s="193">
        <v>46174</v>
      </c>
      <c r="E385" t="s">
        <v>3089</v>
      </c>
      <c r="F385">
        <v>0.4</v>
      </c>
      <c r="G385">
        <v>0.1</v>
      </c>
      <c r="H385">
        <f t="shared" si="15"/>
        <v>0.5</v>
      </c>
      <c r="I385" s="194">
        <v>1131198</v>
      </c>
      <c r="J385" s="194">
        <f t="shared" si="16"/>
        <v>113119.8</v>
      </c>
      <c r="K385" t="str">
        <f>_xlfn.XLOOKUP(B385,Cert_OC_Cliente!$B:$B,Cert_OC_Cliente!$L:$L)</f>
        <v>PTO 02</v>
      </c>
      <c r="L385" t="str">
        <f t="shared" si="17"/>
        <v>✓</v>
      </c>
    </row>
    <row r="386" spans="1:12" x14ac:dyDescent="0.35">
      <c r="A386" t="s">
        <v>3064</v>
      </c>
      <c r="B386" t="s">
        <v>3067</v>
      </c>
      <c r="C386" t="s">
        <v>3188</v>
      </c>
      <c r="D386" s="193">
        <v>46174</v>
      </c>
      <c r="E386" t="s">
        <v>3116</v>
      </c>
      <c r="F386">
        <v>0.3</v>
      </c>
      <c r="G386">
        <v>0.1</v>
      </c>
      <c r="H386">
        <f t="shared" ref="H386:H405" si="18">F386+G386</f>
        <v>0.4</v>
      </c>
      <c r="I386" s="194">
        <v>4176912</v>
      </c>
      <c r="J386" s="194">
        <f t="shared" ref="J386:J405" si="19">G386*I386</f>
        <v>417691.2</v>
      </c>
      <c r="K386" t="str">
        <f>_xlfn.XLOOKUP(B386,Cert_OC_Cliente!$B:$B,Cert_OC_Cliente!$L:$L)</f>
        <v>PTO 02</v>
      </c>
      <c r="L386" t="str">
        <f t="shared" ref="L386:L405" si="20">IF($E386="","",IF(AND(ISNUMBER($I386),$H386&lt;=1.0001),"✓","⚠"))</f>
        <v>✓</v>
      </c>
    </row>
    <row r="387" spans="1:12" x14ac:dyDescent="0.35">
      <c r="A387" t="s">
        <v>3064</v>
      </c>
      <c r="B387" t="s">
        <v>3067</v>
      </c>
      <c r="C387" t="s">
        <v>3188</v>
      </c>
      <c r="D387" s="193">
        <v>46174</v>
      </c>
      <c r="E387" t="s">
        <v>3094</v>
      </c>
      <c r="F387">
        <v>0.3</v>
      </c>
      <c r="G387">
        <v>0.1</v>
      </c>
      <c r="H387">
        <f t="shared" si="18"/>
        <v>0.4</v>
      </c>
      <c r="I387" s="194">
        <v>2713998</v>
      </c>
      <c r="J387" s="194">
        <f t="shared" si="19"/>
        <v>271399.8</v>
      </c>
      <c r="K387" t="str">
        <f>_xlfn.XLOOKUP(B387,Cert_OC_Cliente!$B:$B,Cert_OC_Cliente!$L:$L)</f>
        <v>PTO 02</v>
      </c>
      <c r="L387" t="str">
        <f t="shared" si="20"/>
        <v>✓</v>
      </c>
    </row>
    <row r="388" spans="1:12" x14ac:dyDescent="0.35">
      <c r="A388" t="s">
        <v>3064</v>
      </c>
      <c r="B388" t="s">
        <v>3067</v>
      </c>
      <c r="C388" t="s">
        <v>3188</v>
      </c>
      <c r="D388" s="193">
        <v>46174</v>
      </c>
      <c r="E388" t="s">
        <v>3095</v>
      </c>
      <c r="F388">
        <v>0.3</v>
      </c>
      <c r="G388">
        <v>0.1</v>
      </c>
      <c r="H388">
        <f t="shared" si="18"/>
        <v>0.4</v>
      </c>
      <c r="I388" s="194">
        <v>1885326</v>
      </c>
      <c r="J388" s="194">
        <f t="shared" si="19"/>
        <v>188532.6</v>
      </c>
      <c r="K388" t="str">
        <f>_xlfn.XLOOKUP(B388,Cert_OC_Cliente!$B:$B,Cert_OC_Cliente!$L:$L)</f>
        <v>PTO 02</v>
      </c>
      <c r="L388" t="str">
        <f t="shared" si="20"/>
        <v>✓</v>
      </c>
    </row>
    <row r="389" spans="1:12" x14ac:dyDescent="0.35">
      <c r="A389" t="s">
        <v>3064</v>
      </c>
      <c r="B389" t="s">
        <v>3067</v>
      </c>
      <c r="C389" t="s">
        <v>3188</v>
      </c>
      <c r="D389" s="193">
        <v>46174</v>
      </c>
      <c r="E389" t="s">
        <v>3117</v>
      </c>
      <c r="F389">
        <v>0.3</v>
      </c>
      <c r="G389">
        <v>0.1</v>
      </c>
      <c r="H389">
        <f t="shared" si="18"/>
        <v>0.4</v>
      </c>
      <c r="I389" s="194">
        <v>1884828</v>
      </c>
      <c r="J389" s="194">
        <f t="shared" si="19"/>
        <v>188482.80000000002</v>
      </c>
      <c r="K389" t="str">
        <f>_xlfn.XLOOKUP(B389,Cert_OC_Cliente!$B:$B,Cert_OC_Cliente!$L:$L)</f>
        <v>PTO 02</v>
      </c>
      <c r="L389" t="str">
        <f t="shared" si="20"/>
        <v>✓</v>
      </c>
    </row>
    <row r="390" spans="1:12" x14ac:dyDescent="0.35">
      <c r="A390" t="s">
        <v>3064</v>
      </c>
      <c r="B390" t="s">
        <v>3067</v>
      </c>
      <c r="C390" t="s">
        <v>3188</v>
      </c>
      <c r="D390" s="193">
        <v>46174</v>
      </c>
      <c r="E390" t="s">
        <v>3090</v>
      </c>
      <c r="F390">
        <v>0.4</v>
      </c>
      <c r="G390">
        <v>0.1</v>
      </c>
      <c r="H390">
        <f t="shared" si="18"/>
        <v>0.5</v>
      </c>
      <c r="I390" s="194">
        <v>28644636</v>
      </c>
      <c r="J390" s="194">
        <f t="shared" si="19"/>
        <v>2864463.6</v>
      </c>
      <c r="K390" t="str">
        <f>_xlfn.XLOOKUP(B390,Cert_OC_Cliente!$B:$B,Cert_OC_Cliente!$L:$L)</f>
        <v>PTO 02</v>
      </c>
      <c r="L390" t="str">
        <f t="shared" si="20"/>
        <v>✓</v>
      </c>
    </row>
    <row r="391" spans="1:12" x14ac:dyDescent="0.35">
      <c r="A391" t="s">
        <v>3064</v>
      </c>
      <c r="B391" t="s">
        <v>3067</v>
      </c>
      <c r="C391" t="s">
        <v>3188</v>
      </c>
      <c r="D391" s="193">
        <v>46174</v>
      </c>
      <c r="E391" t="s">
        <v>3091</v>
      </c>
      <c r="F391">
        <v>0.4</v>
      </c>
      <c r="G391">
        <v>0.1</v>
      </c>
      <c r="H391">
        <f t="shared" si="18"/>
        <v>0.5</v>
      </c>
      <c r="I391" s="194">
        <v>3770652</v>
      </c>
      <c r="J391" s="194">
        <f t="shared" si="19"/>
        <v>377065.2</v>
      </c>
      <c r="K391" t="str">
        <f>_xlfn.XLOOKUP(B391,Cert_OC_Cliente!$B:$B,Cert_OC_Cliente!$L:$L)</f>
        <v>PTO 02</v>
      </c>
      <c r="L391" t="str">
        <f t="shared" si="20"/>
        <v>✓</v>
      </c>
    </row>
    <row r="392" spans="1:12" x14ac:dyDescent="0.35">
      <c r="A392" t="s">
        <v>3064</v>
      </c>
      <c r="B392" t="s">
        <v>3067</v>
      </c>
      <c r="C392" t="s">
        <v>3188</v>
      </c>
      <c r="D392" s="193">
        <v>46174</v>
      </c>
      <c r="E392" t="s">
        <v>3143</v>
      </c>
      <c r="F392">
        <v>0.85000000000000009</v>
      </c>
      <c r="G392">
        <v>0.05</v>
      </c>
      <c r="H392">
        <f t="shared" si="18"/>
        <v>0.90000000000000013</v>
      </c>
      <c r="I392" s="194">
        <v>15555267</v>
      </c>
      <c r="J392" s="194">
        <f t="shared" si="19"/>
        <v>777763.35000000009</v>
      </c>
      <c r="K392" t="str">
        <f>_xlfn.XLOOKUP(B392,Cert_OC_Cliente!$B:$B,Cert_OC_Cliente!$L:$L)</f>
        <v>PTO 02</v>
      </c>
      <c r="L392" t="str">
        <f t="shared" si="20"/>
        <v>✓</v>
      </c>
    </row>
    <row r="393" spans="1:12" x14ac:dyDescent="0.35">
      <c r="A393" t="s">
        <v>3064</v>
      </c>
      <c r="B393" t="s">
        <v>3067</v>
      </c>
      <c r="C393" t="s">
        <v>3188</v>
      </c>
      <c r="D393" s="193">
        <v>46174</v>
      </c>
      <c r="E393" t="s">
        <v>3145</v>
      </c>
      <c r="F393">
        <v>0.85000000000000009</v>
      </c>
      <c r="G393">
        <v>0.05</v>
      </c>
      <c r="H393">
        <f t="shared" si="18"/>
        <v>0.90000000000000013</v>
      </c>
      <c r="I393" s="194">
        <v>13425324</v>
      </c>
      <c r="J393" s="194">
        <f t="shared" si="19"/>
        <v>671266.20000000007</v>
      </c>
      <c r="K393" t="str">
        <f>_xlfn.XLOOKUP(B393,Cert_OC_Cliente!$B:$B,Cert_OC_Cliente!$L:$L)</f>
        <v>PTO 02</v>
      </c>
      <c r="L393" t="str">
        <f t="shared" si="20"/>
        <v>✓</v>
      </c>
    </row>
    <row r="394" spans="1:12" x14ac:dyDescent="0.35">
      <c r="A394" t="s">
        <v>3064</v>
      </c>
      <c r="B394" t="s">
        <v>3067</v>
      </c>
      <c r="C394" t="s">
        <v>3188</v>
      </c>
      <c r="D394" s="193">
        <v>46174</v>
      </c>
      <c r="E394" t="s">
        <v>3191</v>
      </c>
      <c r="F394">
        <v>0</v>
      </c>
      <c r="G394">
        <v>0.3</v>
      </c>
      <c r="H394">
        <f t="shared" si="18"/>
        <v>0.3</v>
      </c>
      <c r="I394" s="194">
        <v>3031290</v>
      </c>
      <c r="J394" s="194">
        <f t="shared" si="19"/>
        <v>909387</v>
      </c>
      <c r="K394" t="str">
        <f>_xlfn.XLOOKUP(B394,Cert_OC_Cliente!$B:$B,Cert_OC_Cliente!$L:$L)</f>
        <v>PTO 02</v>
      </c>
      <c r="L394" t="str">
        <f t="shared" si="20"/>
        <v>✓</v>
      </c>
    </row>
    <row r="395" spans="1:12" x14ac:dyDescent="0.35">
      <c r="A395" t="s">
        <v>3064</v>
      </c>
      <c r="B395" t="s">
        <v>3067</v>
      </c>
      <c r="C395" t="s">
        <v>3188</v>
      </c>
      <c r="D395" s="193">
        <v>46174</v>
      </c>
      <c r="E395" t="s">
        <v>3176</v>
      </c>
      <c r="F395">
        <v>0.75</v>
      </c>
      <c r="G395">
        <v>0.25</v>
      </c>
      <c r="H395">
        <f t="shared" si="18"/>
        <v>1</v>
      </c>
      <c r="I395" s="194">
        <v>1612800</v>
      </c>
      <c r="J395" s="194">
        <f t="shared" si="19"/>
        <v>403200</v>
      </c>
      <c r="K395" t="str">
        <f>_xlfn.XLOOKUP(B395,Cert_OC_Cliente!$B:$B,Cert_OC_Cliente!$L:$L)</f>
        <v>PTO 02</v>
      </c>
      <c r="L395" t="str">
        <f t="shared" si="20"/>
        <v>✓</v>
      </c>
    </row>
    <row r="396" spans="1:12" x14ac:dyDescent="0.35">
      <c r="A396" t="s">
        <v>3064</v>
      </c>
      <c r="B396" t="s">
        <v>3067</v>
      </c>
      <c r="C396" t="s">
        <v>3188</v>
      </c>
      <c r="D396" s="193">
        <v>46174</v>
      </c>
      <c r="E396" t="s">
        <v>3192</v>
      </c>
      <c r="F396">
        <v>0</v>
      </c>
      <c r="G396">
        <v>0.7</v>
      </c>
      <c r="H396">
        <f t="shared" si="18"/>
        <v>0.7</v>
      </c>
      <c r="I396" s="194">
        <v>1824780</v>
      </c>
      <c r="J396" s="194">
        <f t="shared" si="19"/>
        <v>1277346</v>
      </c>
      <c r="K396" t="str">
        <f>_xlfn.XLOOKUP(B396,Cert_OC_Cliente!$B:$B,Cert_OC_Cliente!$L:$L)</f>
        <v>PTO 02</v>
      </c>
      <c r="L396" t="str">
        <f t="shared" si="20"/>
        <v>✓</v>
      </c>
    </row>
    <row r="397" spans="1:12" x14ac:dyDescent="0.35">
      <c r="A397" t="s">
        <v>3064</v>
      </c>
      <c r="B397" t="s">
        <v>3067</v>
      </c>
      <c r="C397" t="s">
        <v>3188</v>
      </c>
      <c r="D397" s="193">
        <v>46174</v>
      </c>
      <c r="E397" t="s">
        <v>3183</v>
      </c>
      <c r="F397">
        <v>5.0000000000000017E-2</v>
      </c>
      <c r="G397">
        <v>0.1</v>
      </c>
      <c r="H397">
        <f t="shared" si="18"/>
        <v>0.15000000000000002</v>
      </c>
      <c r="I397" s="194">
        <v>11239313.892000001</v>
      </c>
      <c r="J397" s="194">
        <f t="shared" si="19"/>
        <v>1123931.3892000001</v>
      </c>
      <c r="K397" t="str">
        <f>_xlfn.XLOOKUP(B397,Cert_OC_Cliente!$B:$B,Cert_OC_Cliente!$L:$L)</f>
        <v>PTO 02</v>
      </c>
      <c r="L397" t="str">
        <f t="shared" si="20"/>
        <v>✓</v>
      </c>
    </row>
    <row r="398" spans="1:12" x14ac:dyDescent="0.35">
      <c r="A398" t="s">
        <v>3064</v>
      </c>
      <c r="B398" t="s">
        <v>3067</v>
      </c>
      <c r="C398" t="s">
        <v>3188</v>
      </c>
      <c r="D398" s="193">
        <v>46174</v>
      </c>
      <c r="E398" t="s">
        <v>3185</v>
      </c>
      <c r="F398">
        <v>0.5</v>
      </c>
      <c r="G398">
        <v>0.15</v>
      </c>
      <c r="H398">
        <f t="shared" si="18"/>
        <v>0.65</v>
      </c>
      <c r="I398" s="194">
        <v>1966692</v>
      </c>
      <c r="J398" s="194">
        <f t="shared" si="19"/>
        <v>295003.8</v>
      </c>
      <c r="K398" t="str">
        <f>_xlfn.XLOOKUP(B398,Cert_OC_Cliente!$B:$B,Cert_OC_Cliente!$L:$L)</f>
        <v>PTO 02</v>
      </c>
      <c r="L398" t="str">
        <f t="shared" si="20"/>
        <v>✓</v>
      </c>
    </row>
    <row r="399" spans="1:12" x14ac:dyDescent="0.35">
      <c r="A399" t="s">
        <v>3064</v>
      </c>
      <c r="B399" t="s">
        <v>3067</v>
      </c>
      <c r="C399" t="s">
        <v>3188</v>
      </c>
      <c r="D399" s="193">
        <v>46174</v>
      </c>
      <c r="E399" t="s">
        <v>3160</v>
      </c>
      <c r="F399">
        <v>0.45</v>
      </c>
      <c r="G399">
        <v>0.15</v>
      </c>
      <c r="H399">
        <f t="shared" si="18"/>
        <v>0.6</v>
      </c>
      <c r="I399" s="194">
        <v>26419929.682999998</v>
      </c>
      <c r="J399" s="194">
        <f t="shared" si="19"/>
        <v>3962989.4524499997</v>
      </c>
      <c r="K399" t="str">
        <f>_xlfn.XLOOKUP(B399,Cert_OC_Cliente!$B:$B,Cert_OC_Cliente!$L:$L)</f>
        <v>PTO 02</v>
      </c>
      <c r="L399" t="str">
        <f t="shared" si="20"/>
        <v>✓</v>
      </c>
    </row>
    <row r="400" spans="1:12" x14ac:dyDescent="0.35">
      <c r="A400" t="s">
        <v>3064</v>
      </c>
      <c r="B400" t="s">
        <v>3067</v>
      </c>
      <c r="C400" t="s">
        <v>3188</v>
      </c>
      <c r="D400" s="193">
        <v>46174</v>
      </c>
      <c r="E400" t="s">
        <v>3166</v>
      </c>
      <c r="F400">
        <v>0.2</v>
      </c>
      <c r="G400">
        <v>0.3</v>
      </c>
      <c r="H400">
        <f t="shared" si="18"/>
        <v>0.5</v>
      </c>
      <c r="I400" s="194">
        <v>56751165.702000029</v>
      </c>
      <c r="J400" s="194">
        <f t="shared" si="19"/>
        <v>17025349.710600007</v>
      </c>
      <c r="K400" t="str">
        <f>_xlfn.XLOOKUP(B400,Cert_OC_Cliente!$B:$B,Cert_OC_Cliente!$L:$L)</f>
        <v>PTO 02</v>
      </c>
      <c r="L400" t="str">
        <f t="shared" si="20"/>
        <v>✓</v>
      </c>
    </row>
    <row r="401" spans="1:12" x14ac:dyDescent="0.35">
      <c r="A401" t="s">
        <v>3064</v>
      </c>
      <c r="B401" t="s">
        <v>3067</v>
      </c>
      <c r="C401" t="s">
        <v>3188</v>
      </c>
      <c r="D401" s="193">
        <v>46174</v>
      </c>
      <c r="E401" t="s">
        <v>3167</v>
      </c>
      <c r="F401">
        <v>0.2</v>
      </c>
      <c r="G401">
        <v>0.3</v>
      </c>
      <c r="H401">
        <f t="shared" si="18"/>
        <v>0.5</v>
      </c>
      <c r="I401" s="194">
        <v>6511932.8999999994</v>
      </c>
      <c r="J401" s="194">
        <f t="shared" si="19"/>
        <v>1953579.8699999996</v>
      </c>
      <c r="K401" t="str">
        <f>_xlfn.XLOOKUP(B401,Cert_OC_Cliente!$B:$B,Cert_OC_Cliente!$L:$L)</f>
        <v>PTO 02</v>
      </c>
      <c r="L401" t="str">
        <f t="shared" si="20"/>
        <v>✓</v>
      </c>
    </row>
    <row r="402" spans="1:12" x14ac:dyDescent="0.35">
      <c r="A402" t="s">
        <v>3064</v>
      </c>
      <c r="B402" t="s">
        <v>3067</v>
      </c>
      <c r="C402" t="s">
        <v>3188</v>
      </c>
      <c r="D402" s="193">
        <v>46174</v>
      </c>
      <c r="E402" t="s">
        <v>3186</v>
      </c>
      <c r="F402">
        <v>0.15</v>
      </c>
      <c r="G402">
        <v>0.35</v>
      </c>
      <c r="H402">
        <f t="shared" si="18"/>
        <v>0.5</v>
      </c>
      <c r="I402" s="194">
        <v>2959506</v>
      </c>
      <c r="J402" s="194">
        <f t="shared" si="19"/>
        <v>1035827.1</v>
      </c>
      <c r="K402" t="str">
        <f>_xlfn.XLOOKUP(B402,Cert_OC_Cliente!$B:$B,Cert_OC_Cliente!$L:$L)</f>
        <v>PTO 02</v>
      </c>
      <c r="L402" t="str">
        <f t="shared" si="20"/>
        <v>✓</v>
      </c>
    </row>
    <row r="403" spans="1:12" x14ac:dyDescent="0.35">
      <c r="A403" t="s">
        <v>3064</v>
      </c>
      <c r="B403" t="s">
        <v>3067</v>
      </c>
      <c r="C403" t="s">
        <v>3188</v>
      </c>
      <c r="D403" s="193">
        <v>46174</v>
      </c>
      <c r="E403" t="s">
        <v>3187</v>
      </c>
      <c r="F403">
        <v>0.15</v>
      </c>
      <c r="G403">
        <v>0.4</v>
      </c>
      <c r="H403">
        <f t="shared" si="18"/>
        <v>0.55000000000000004</v>
      </c>
      <c r="I403" s="194">
        <v>11107905.862</v>
      </c>
      <c r="J403" s="194">
        <f t="shared" si="19"/>
        <v>4443162.3448000001</v>
      </c>
      <c r="K403" t="str">
        <f>_xlfn.XLOOKUP(B403,Cert_OC_Cliente!$B:$B,Cert_OC_Cliente!$L:$L)</f>
        <v>PTO 02</v>
      </c>
      <c r="L403" t="str">
        <f t="shared" si="20"/>
        <v>✓</v>
      </c>
    </row>
    <row r="404" spans="1:12" x14ac:dyDescent="0.35">
      <c r="A404" t="s">
        <v>3064</v>
      </c>
      <c r="B404" t="s">
        <v>3067</v>
      </c>
      <c r="C404" t="s">
        <v>3188</v>
      </c>
      <c r="D404" s="193">
        <v>46174</v>
      </c>
      <c r="E404" t="s">
        <v>3193</v>
      </c>
      <c r="F404">
        <v>0</v>
      </c>
      <c r="G404">
        <v>0.05</v>
      </c>
      <c r="H404">
        <f t="shared" si="18"/>
        <v>0.05</v>
      </c>
      <c r="I404" s="194">
        <v>16687268</v>
      </c>
      <c r="J404" s="194">
        <f t="shared" si="19"/>
        <v>834363.4</v>
      </c>
      <c r="K404" t="str">
        <f>_xlfn.XLOOKUP(B404,Cert_OC_Cliente!$B:$B,Cert_OC_Cliente!$L:$L)</f>
        <v>PTO 02</v>
      </c>
      <c r="L404" t="str">
        <f t="shared" si="20"/>
        <v>✓</v>
      </c>
    </row>
    <row r="405" spans="1:12" x14ac:dyDescent="0.35">
      <c r="A405" t="s">
        <v>3064</v>
      </c>
      <c r="B405" t="s">
        <v>3067</v>
      </c>
      <c r="C405" t="s">
        <v>3188</v>
      </c>
      <c r="D405" s="193">
        <v>46174</v>
      </c>
      <c r="E405" t="s">
        <v>3194</v>
      </c>
      <c r="F405">
        <v>0</v>
      </c>
      <c r="G405">
        <v>0.05</v>
      </c>
      <c r="H405">
        <f t="shared" si="18"/>
        <v>0.05</v>
      </c>
      <c r="I405" s="194">
        <v>2426924</v>
      </c>
      <c r="J405" s="194">
        <f t="shared" si="19"/>
        <v>121346.20000000001</v>
      </c>
      <c r="K405" t="str">
        <f>_xlfn.XLOOKUP(B405,Cert_OC_Cliente!$B:$B,Cert_OC_Cliente!$L:$L)</f>
        <v>PTO 02</v>
      </c>
      <c r="L405" t="str">
        <f t="shared" si="20"/>
        <v>✓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24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8" x14ac:dyDescent="0.35">
      <c r="A1" s="206" t="s">
        <v>3072</v>
      </c>
      <c r="B1" s="206" t="s">
        <v>3054</v>
      </c>
      <c r="C1" s="206" t="s">
        <v>2938</v>
      </c>
      <c r="D1" s="206" t="s">
        <v>3195</v>
      </c>
      <c r="E1" s="206" t="s">
        <v>3196</v>
      </c>
      <c r="F1" s="206" t="s">
        <v>3197</v>
      </c>
      <c r="G1" s="206" t="s">
        <v>3198</v>
      </c>
      <c r="H1" s="206" t="s">
        <v>3199</v>
      </c>
    </row>
    <row r="2" spans="1:8" x14ac:dyDescent="0.35">
      <c r="A2" t="s">
        <v>3200</v>
      </c>
      <c r="B2" t="str">
        <f t="shared" ref="B2:B24" si="0">LEFT($A2,FIND("|",SUBSTITUTE($A2,"-","|",2))-1)</f>
        <v>SVD-OC01</v>
      </c>
      <c r="C2" t="str">
        <f>IFERROR(_xlfn.XLOOKUP($A2,Cert_App_Output!$C:$C,Cert_App_Output!$D:$D),"")</f>
        <v/>
      </c>
      <c r="D2">
        <f>SUMIFS(Cert_App_Output!$J:$J,Cert_App_Output!$C:$C,$A2)</f>
        <v>0</v>
      </c>
      <c r="E2" s="201">
        <v>0</v>
      </c>
      <c r="F2">
        <f t="shared" ref="F2:F24" si="1">$D2*$E2</f>
        <v>0</v>
      </c>
      <c r="G2">
        <f t="shared" ref="G2:G24" si="2">$D2-$F2</f>
        <v>0</v>
      </c>
      <c r="H2" t="str">
        <f>IF(COUNTIF(Cert_Calculo!$A:$A,$A2)&gt;0,"OK","FALTA en Calculo")</f>
        <v>OK</v>
      </c>
    </row>
    <row r="3" spans="1:8" x14ac:dyDescent="0.35">
      <c r="A3" t="s">
        <v>3201</v>
      </c>
      <c r="B3" t="str">
        <f t="shared" si="0"/>
        <v>SVD-OC02</v>
      </c>
      <c r="C3" t="str">
        <f>IFERROR(_xlfn.XLOOKUP($A3,Cert_App_Output!$C:$C,Cert_App_Output!$D:$D),"")</f>
        <v/>
      </c>
      <c r="D3">
        <f>SUMIFS(Cert_App_Output!$J:$J,Cert_App_Output!$C:$C,$A3)</f>
        <v>0</v>
      </c>
      <c r="E3" s="201">
        <v>0</v>
      </c>
      <c r="F3">
        <f t="shared" si="1"/>
        <v>0</v>
      </c>
      <c r="G3">
        <f t="shared" si="2"/>
        <v>0</v>
      </c>
      <c r="H3" t="str">
        <f>IF(COUNTIF(Cert_Calculo!$A:$A,$A3)&gt;0,"OK","FALTA en Calculo")</f>
        <v>OK</v>
      </c>
    </row>
    <row r="4" spans="1:8" x14ac:dyDescent="0.35">
      <c r="A4" t="s">
        <v>3202</v>
      </c>
      <c r="B4" t="str">
        <f t="shared" si="0"/>
        <v>SVD-OC03</v>
      </c>
      <c r="C4" t="str">
        <f>IFERROR(_xlfn.XLOOKUP($A4,Cert_App_Output!$C:$C,Cert_App_Output!$D:$D),"")</f>
        <v/>
      </c>
      <c r="D4">
        <f>SUMIFS(Cert_App_Output!$J:$J,Cert_App_Output!$C:$C,$A4)</f>
        <v>0</v>
      </c>
      <c r="E4" s="201">
        <v>0</v>
      </c>
      <c r="F4">
        <f t="shared" si="1"/>
        <v>0</v>
      </c>
      <c r="G4">
        <f t="shared" si="2"/>
        <v>0</v>
      </c>
      <c r="H4" t="str">
        <f>IF(COUNTIF(Cert_Calculo!$A:$A,$A4)&gt;0,"OK","FALTA en Calculo")</f>
        <v>OK</v>
      </c>
    </row>
    <row r="5" spans="1:8" x14ac:dyDescent="0.35">
      <c r="A5" t="s">
        <v>3080</v>
      </c>
      <c r="B5" t="str">
        <f t="shared" si="0"/>
        <v>SVD-OC01</v>
      </c>
      <c r="C5">
        <f>IFERROR(_xlfn.XLOOKUP($A5,Cert_App_Output!$C:$C,Cert_App_Output!$D:$D),"")</f>
        <v>45747</v>
      </c>
      <c r="D5">
        <f>SUMIFS(Cert_App_Output!$J:$J,Cert_App_Output!$C:$C,$A5)</f>
        <v>35487550</v>
      </c>
      <c r="E5" s="201">
        <v>0.2</v>
      </c>
      <c r="F5">
        <f t="shared" si="1"/>
        <v>7097510</v>
      </c>
      <c r="G5">
        <f t="shared" si="2"/>
        <v>28390040</v>
      </c>
      <c r="H5" t="str">
        <f>IF(COUNTIF(Cert_Calculo!$A:$A,$A5)&gt;0,"OK","FALTA en Calculo")</f>
        <v>OK</v>
      </c>
    </row>
    <row r="6" spans="1:8" x14ac:dyDescent="0.35">
      <c r="A6" t="s">
        <v>3092</v>
      </c>
      <c r="B6" t="str">
        <f t="shared" si="0"/>
        <v>SVD-OC01</v>
      </c>
      <c r="C6">
        <f>IFERROR(_xlfn.XLOOKUP($A6,Cert_App_Output!$C:$C,Cert_App_Output!$D:$D),"")</f>
        <v>45777</v>
      </c>
      <c r="D6">
        <f>SUMIFS(Cert_App_Output!$J:$J,Cert_App_Output!$C:$C,$A6)</f>
        <v>25040749.490776289</v>
      </c>
      <c r="E6" s="201">
        <v>0.2</v>
      </c>
      <c r="F6">
        <f t="shared" si="1"/>
        <v>5008149.898155258</v>
      </c>
      <c r="G6">
        <f t="shared" si="2"/>
        <v>20032599.592621032</v>
      </c>
      <c r="H6" t="str">
        <f>IF(COUNTIF(Cert_Calculo!$A:$A,$A6)&gt;0,"OK","FALTA en Calculo")</f>
        <v>OK</v>
      </c>
    </row>
    <row r="7" spans="1:8" x14ac:dyDescent="0.35">
      <c r="A7" t="s">
        <v>3103</v>
      </c>
      <c r="B7" t="str">
        <f t="shared" si="0"/>
        <v>SVD-OC01</v>
      </c>
      <c r="C7">
        <f>IFERROR(_xlfn.XLOOKUP($A7,Cert_App_Output!$C:$C,Cert_App_Output!$D:$D),"")</f>
        <v>45807</v>
      </c>
      <c r="D7">
        <f>SUMIFS(Cert_App_Output!$J:$J,Cert_App_Output!$C:$C,$A7)</f>
        <v>29836634.418870453</v>
      </c>
      <c r="E7" s="201">
        <v>0.2</v>
      </c>
      <c r="F7">
        <f t="shared" si="1"/>
        <v>5967326.8837740906</v>
      </c>
      <c r="G7">
        <f t="shared" si="2"/>
        <v>23869307.535096362</v>
      </c>
      <c r="H7" t="str">
        <f>IF(COUNTIF(Cert_Calculo!$A:$A,$A7)&gt;0,"OK","FALTA en Calculo")</f>
        <v>OK</v>
      </c>
    </row>
    <row r="8" spans="1:8" x14ac:dyDescent="0.35">
      <c r="A8" t="s">
        <v>3104</v>
      </c>
      <c r="B8" t="str">
        <f t="shared" si="0"/>
        <v>SVD-OC01</v>
      </c>
      <c r="C8">
        <f>IFERROR(_xlfn.XLOOKUP($A8,Cert_App_Output!$C:$C,Cert_App_Output!$D:$D),"")</f>
        <v>45835</v>
      </c>
      <c r="D8">
        <f>SUMIFS(Cert_App_Output!$J:$J,Cert_App_Output!$C:$C,$A8)</f>
        <v>41634494.024700686</v>
      </c>
      <c r="E8" s="201">
        <v>0.2</v>
      </c>
      <c r="F8">
        <f t="shared" si="1"/>
        <v>8326898.804940138</v>
      </c>
      <c r="G8">
        <f t="shared" si="2"/>
        <v>33307595.219760548</v>
      </c>
      <c r="H8" t="str">
        <f>IF(COUNTIF(Cert_Calculo!$A:$A,$A8)&gt;0,"OK","FALTA en Calculo")</f>
        <v>OK</v>
      </c>
    </row>
    <row r="9" spans="1:8" x14ac:dyDescent="0.35">
      <c r="A9" t="s">
        <v>3106</v>
      </c>
      <c r="B9" t="str">
        <f t="shared" si="0"/>
        <v>SVD-OC01</v>
      </c>
      <c r="C9">
        <f>IFERROR(_xlfn.XLOOKUP($A9,Cert_App_Output!$C:$C,Cert_App_Output!$D:$D),"")</f>
        <v>45861</v>
      </c>
      <c r="D9">
        <f>SUMIFS(Cert_App_Output!$J:$J,Cert_App_Output!$C:$C,$A9)</f>
        <v>40708425.684391953</v>
      </c>
      <c r="E9" s="201">
        <v>0.2</v>
      </c>
      <c r="F9">
        <f t="shared" si="1"/>
        <v>8141685.1368783908</v>
      </c>
      <c r="G9">
        <f t="shared" si="2"/>
        <v>32566740.547513563</v>
      </c>
      <c r="H9" t="str">
        <f>IF(COUNTIF(Cert_Calculo!$A:$A,$A9)&gt;0,"OK","FALTA en Calculo")</f>
        <v>OK</v>
      </c>
    </row>
    <row r="10" spans="1:8" x14ac:dyDescent="0.35">
      <c r="A10" t="s">
        <v>3111</v>
      </c>
      <c r="B10" t="str">
        <f t="shared" si="0"/>
        <v>SVD-OC01</v>
      </c>
      <c r="C10">
        <f>IFERROR(_xlfn.XLOOKUP($A10,Cert_App_Output!$C:$C,Cert_App_Output!$D:$D),"")</f>
        <v>45898</v>
      </c>
      <c r="D10">
        <f>SUMIFS(Cert_App_Output!$J:$J,Cert_App_Output!$C:$C,$A10)</f>
        <v>60880923.366608955</v>
      </c>
      <c r="E10" s="201">
        <v>0.2</v>
      </c>
      <c r="F10">
        <f t="shared" si="1"/>
        <v>12176184.673321791</v>
      </c>
      <c r="G10">
        <f t="shared" si="2"/>
        <v>48704738.693287164</v>
      </c>
      <c r="H10" t="str">
        <f>IF(COUNTIF(Cert_Calculo!$A:$A,$A10)&gt;0,"OK","FALTA en Calculo")</f>
        <v>OK</v>
      </c>
    </row>
    <row r="11" spans="1:8" x14ac:dyDescent="0.35">
      <c r="A11" t="s">
        <v>3115</v>
      </c>
      <c r="B11" t="str">
        <f t="shared" si="0"/>
        <v>SVD-OC01</v>
      </c>
      <c r="C11">
        <f>IFERROR(_xlfn.XLOOKUP($A11,Cert_App_Output!$C:$C,Cert_App_Output!$D:$D),"")</f>
        <v>45931</v>
      </c>
      <c r="D11">
        <f>SUMIFS(Cert_App_Output!$J:$J,Cert_App_Output!$C:$C,$A11)</f>
        <v>44531101.829830296</v>
      </c>
      <c r="E11" s="201">
        <v>0.2</v>
      </c>
      <c r="F11">
        <f t="shared" si="1"/>
        <v>8906220.3659660593</v>
      </c>
      <c r="G11">
        <f t="shared" si="2"/>
        <v>35624881.463864237</v>
      </c>
      <c r="H11" t="str">
        <f>IF(COUNTIF(Cert_Calculo!$A:$A,$A11)&gt;0,"OK","FALTA en Calculo")</f>
        <v>OK</v>
      </c>
    </row>
    <row r="12" spans="1:8" x14ac:dyDescent="0.35">
      <c r="A12" t="s">
        <v>3120</v>
      </c>
      <c r="B12" t="str">
        <f t="shared" si="0"/>
        <v>SVD-OC01</v>
      </c>
      <c r="C12">
        <f>IFERROR(_xlfn.XLOOKUP($A12,Cert_App_Output!$C:$C,Cert_App_Output!$D:$D),"")</f>
        <v>45957</v>
      </c>
      <c r="D12">
        <f>SUMIFS(Cert_App_Output!$J:$J,Cert_App_Output!$C:$C,$A12)</f>
        <v>41228689.463567428</v>
      </c>
      <c r="E12" s="201">
        <v>0.2</v>
      </c>
      <c r="F12">
        <f t="shared" si="1"/>
        <v>8245737.8927134862</v>
      </c>
      <c r="G12">
        <f t="shared" si="2"/>
        <v>32982951.570853941</v>
      </c>
      <c r="H12" t="str">
        <f>IF(COUNTIF(Cert_Calculo!$A:$A,$A12)&gt;0,"OK","FALTA en Calculo")</f>
        <v>OK</v>
      </c>
    </row>
    <row r="13" spans="1:8" x14ac:dyDescent="0.35">
      <c r="A13" t="s">
        <v>3121</v>
      </c>
      <c r="B13" t="str">
        <f t="shared" si="0"/>
        <v>SVD-OC01</v>
      </c>
      <c r="C13">
        <f>IFERROR(_xlfn.XLOOKUP($A13,Cert_App_Output!$C:$C,Cert_App_Output!$D:$D),"")</f>
        <v>45988</v>
      </c>
      <c r="D13">
        <f>SUMIFS(Cert_App_Output!$J:$J,Cert_App_Output!$C:$C,$A13)</f>
        <v>36158271.967231765</v>
      </c>
      <c r="E13" s="201">
        <v>0.2</v>
      </c>
      <c r="F13">
        <f t="shared" si="1"/>
        <v>7231654.3934463533</v>
      </c>
      <c r="G13">
        <f t="shared" si="2"/>
        <v>28926617.573785413</v>
      </c>
      <c r="H13" t="str">
        <f>IF(COUNTIF(Cert_Calculo!$A:$A,$A13)&gt;0,"OK","FALTA en Calculo")</f>
        <v>OK</v>
      </c>
    </row>
    <row r="14" spans="1:8" x14ac:dyDescent="0.35">
      <c r="A14" t="s">
        <v>3124</v>
      </c>
      <c r="B14" t="str">
        <f t="shared" si="0"/>
        <v>SVD-OC01</v>
      </c>
      <c r="C14">
        <f>IFERROR(_xlfn.XLOOKUP($A14,Cert_App_Output!$C:$C,Cert_App_Output!$D:$D),"")</f>
        <v>45988</v>
      </c>
      <c r="D14">
        <f>SUMIFS(Cert_App_Output!$J:$J,Cert_App_Output!$C:$C,$A14)</f>
        <v>24574965.215796474</v>
      </c>
      <c r="E14" s="201">
        <v>0.2</v>
      </c>
      <c r="F14">
        <f t="shared" si="1"/>
        <v>4914993.0431592949</v>
      </c>
      <c r="G14">
        <f t="shared" si="2"/>
        <v>19659972.172637179</v>
      </c>
      <c r="H14" t="str">
        <f>IF(COUNTIF(Cert_Calculo!$A:$A,$A14)&gt;0,"OK","FALTA en Calculo")</f>
        <v>OK</v>
      </c>
    </row>
    <row r="15" spans="1:8" x14ac:dyDescent="0.35">
      <c r="A15" t="s">
        <v>3125</v>
      </c>
      <c r="B15" t="str">
        <f t="shared" si="0"/>
        <v>SVD-OC01</v>
      </c>
      <c r="C15">
        <f>IFERROR(_xlfn.XLOOKUP($A15,Cert_App_Output!$C:$C,Cert_App_Output!$D:$D),"")</f>
        <v>46050</v>
      </c>
      <c r="D15">
        <f>SUMIFS(Cert_App_Output!$J:$J,Cert_App_Output!$C:$C,$A15)</f>
        <v>29825745.260415751</v>
      </c>
      <c r="E15" s="201">
        <v>0.2</v>
      </c>
      <c r="F15">
        <f t="shared" si="1"/>
        <v>5965149.0520831505</v>
      </c>
      <c r="G15">
        <f t="shared" si="2"/>
        <v>23860596.208332602</v>
      </c>
      <c r="H15" t="str">
        <f>IF(COUNTIF(Cert_Calculo!$A:$A,$A15)&gt;0,"OK","FALTA en Calculo")</f>
        <v>OK</v>
      </c>
    </row>
    <row r="16" spans="1:8" x14ac:dyDescent="0.35">
      <c r="A16" t="s">
        <v>3127</v>
      </c>
      <c r="B16" t="str">
        <f t="shared" si="0"/>
        <v>SVD-OC01</v>
      </c>
      <c r="C16">
        <f>IFERROR(_xlfn.XLOOKUP($A16,Cert_App_Output!$C:$C,Cert_App_Output!$D:$D),"")</f>
        <v>46080</v>
      </c>
      <c r="D16">
        <f>SUMIFS(Cert_App_Output!$J:$J,Cert_App_Output!$C:$C,$A16)</f>
        <v>8182131.6500000004</v>
      </c>
      <c r="E16" s="201">
        <v>0.2</v>
      </c>
      <c r="F16">
        <f t="shared" si="1"/>
        <v>1636426.33</v>
      </c>
      <c r="G16">
        <f t="shared" si="2"/>
        <v>6545705.3200000003</v>
      </c>
      <c r="H16" t="str">
        <f>IF(COUNTIF(Cert_Calculo!$A:$A,$A16)&gt;0,"OK","FALTA en Calculo")</f>
        <v>OK</v>
      </c>
    </row>
    <row r="17" spans="1:8" x14ac:dyDescent="0.35">
      <c r="A17" t="s">
        <v>3129</v>
      </c>
      <c r="B17" t="str">
        <f t="shared" si="0"/>
        <v>SVD-OC02</v>
      </c>
      <c r="C17">
        <f>IFERROR(_xlfn.XLOOKUP($A17,Cert_App_Output!$C:$C,Cert_App_Output!$D:$D),"")</f>
        <v>45958</v>
      </c>
      <c r="D17">
        <f>SUMIFS(Cert_App_Output!$J:$J,Cert_App_Output!$C:$C,$A17)</f>
        <v>26817056.5</v>
      </c>
      <c r="E17" s="201">
        <v>0.4</v>
      </c>
      <c r="F17">
        <f t="shared" si="1"/>
        <v>10726822.600000001</v>
      </c>
      <c r="G17">
        <f t="shared" si="2"/>
        <v>16090233.899999999</v>
      </c>
      <c r="H17" t="str">
        <f>IF(COUNTIF(Cert_Calculo!$A:$A,$A17)&gt;0,"OK","FALTA en Calculo")</f>
        <v>OK</v>
      </c>
    </row>
    <row r="18" spans="1:8" x14ac:dyDescent="0.35">
      <c r="A18" t="s">
        <v>3142</v>
      </c>
      <c r="B18" t="str">
        <f t="shared" si="0"/>
        <v>SVD-OC02</v>
      </c>
      <c r="C18">
        <f>IFERROR(_xlfn.XLOOKUP($A18,Cert_App_Output!$C:$C,Cert_App_Output!$D:$D),"")</f>
        <v>45988</v>
      </c>
      <c r="D18">
        <f>SUMIFS(Cert_App_Output!$J:$J,Cert_App_Output!$C:$C,$A18)</f>
        <v>10370146.550000001</v>
      </c>
      <c r="E18" s="201">
        <v>0.4</v>
      </c>
      <c r="F18">
        <f t="shared" si="1"/>
        <v>4148058.6200000006</v>
      </c>
      <c r="G18">
        <f t="shared" si="2"/>
        <v>6222087.9299999997</v>
      </c>
      <c r="H18" t="str">
        <f>IF(COUNTIF(Cert_Calculo!$A:$A,$A18)&gt;0,"OK","FALTA en Calculo")</f>
        <v>OK</v>
      </c>
    </row>
    <row r="19" spans="1:8" x14ac:dyDescent="0.35">
      <c r="A19" t="s">
        <v>3147</v>
      </c>
      <c r="B19" t="str">
        <f t="shared" si="0"/>
        <v>SVD-OC02</v>
      </c>
      <c r="C19">
        <f>IFERROR(_xlfn.XLOOKUP($A19,Cert_App_Output!$C:$C,Cert_App_Output!$D:$D),"")</f>
        <v>46020</v>
      </c>
      <c r="D19">
        <f>SUMIFS(Cert_App_Output!$J:$J,Cert_App_Output!$C:$C,$A19)</f>
        <v>13812309.48</v>
      </c>
      <c r="E19" s="201">
        <v>0.4</v>
      </c>
      <c r="F19">
        <f t="shared" si="1"/>
        <v>5524923.7920000004</v>
      </c>
      <c r="G19">
        <f t="shared" si="2"/>
        <v>8287385.6880000001</v>
      </c>
      <c r="H19" t="str">
        <f>IF(COUNTIF(Cert_Calculo!$A:$A,$A19)&gt;0,"OK","FALTA en Calculo")</f>
        <v>OK</v>
      </c>
    </row>
    <row r="20" spans="1:8" x14ac:dyDescent="0.35">
      <c r="A20" t="s">
        <v>3150</v>
      </c>
      <c r="B20" t="str">
        <f t="shared" si="0"/>
        <v>SVD-OC02</v>
      </c>
      <c r="C20">
        <f>IFERROR(_xlfn.XLOOKUP($A20,Cert_App_Output!$C:$C,Cert_App_Output!$D:$D),"")</f>
        <v>46050</v>
      </c>
      <c r="D20">
        <f>SUMIFS(Cert_App_Output!$J:$J,Cert_App_Output!$C:$C,$A20)</f>
        <v>24579489.867349997</v>
      </c>
      <c r="E20" s="201">
        <v>0.4</v>
      </c>
      <c r="F20">
        <f t="shared" si="1"/>
        <v>9831795.9469399992</v>
      </c>
      <c r="G20">
        <f t="shared" si="2"/>
        <v>14747693.920409998</v>
      </c>
      <c r="H20" t="str">
        <f>IF(COUNTIF(Cert_Calculo!$A:$A,$A20)&gt;0,"OK","FALTA en Calculo")</f>
        <v>OK</v>
      </c>
    </row>
    <row r="21" spans="1:8" x14ac:dyDescent="0.35">
      <c r="A21" t="s">
        <v>3161</v>
      </c>
      <c r="B21" t="str">
        <f t="shared" si="0"/>
        <v>SVD-OC02</v>
      </c>
      <c r="C21">
        <f>IFERROR(_xlfn.XLOOKUP($A21,Cert_App_Output!$C:$C,Cert_App_Output!$D:$D),"")</f>
        <v>46080</v>
      </c>
      <c r="D21">
        <f>SUMIFS(Cert_App_Output!$J:$J,Cert_App_Output!$C:$C,$A21)</f>
        <v>23785079.820100006</v>
      </c>
      <c r="E21" s="201">
        <v>0.4</v>
      </c>
      <c r="F21">
        <f t="shared" si="1"/>
        <v>9514031.9280400034</v>
      </c>
      <c r="G21">
        <f t="shared" si="2"/>
        <v>14271047.892060002</v>
      </c>
      <c r="H21" t="str">
        <f>IF(COUNTIF(Cert_Calculo!$A:$A,$A21)&gt;0,"OK","FALTA en Calculo")</f>
        <v>OK</v>
      </c>
    </row>
    <row r="22" spans="1:8" x14ac:dyDescent="0.35">
      <c r="A22" t="s">
        <v>3168</v>
      </c>
      <c r="B22" t="str">
        <f t="shared" si="0"/>
        <v>SVD-OC02</v>
      </c>
      <c r="C22">
        <f>IFERROR(_xlfn.XLOOKUP($A22,Cert_App_Output!$C:$C,Cert_App_Output!$D:$D),"")</f>
        <v>46108</v>
      </c>
      <c r="D22">
        <f>SUMIFS(Cert_App_Output!$J:$J,Cert_App_Output!$C:$C,$A22)</f>
        <v>38971127.779555008</v>
      </c>
      <c r="E22" s="201">
        <v>0.4</v>
      </c>
      <c r="F22">
        <f t="shared" si="1"/>
        <v>15588451.111822003</v>
      </c>
      <c r="G22">
        <f t="shared" si="2"/>
        <v>23382676.667733006</v>
      </c>
      <c r="H22" t="str">
        <f>IF(COUNTIF(Cert_Calculo!$A:$A,$A22)&gt;0,"OK","FALTA en Calculo")</f>
        <v>OK</v>
      </c>
    </row>
    <row r="23" spans="1:8" x14ac:dyDescent="0.35">
      <c r="A23" t="s">
        <v>3177</v>
      </c>
      <c r="B23" t="str">
        <f t="shared" si="0"/>
        <v>SVD-OC02</v>
      </c>
      <c r="C23">
        <f>IFERROR(_xlfn.XLOOKUP($A23,Cert_App_Output!$C:$C,Cert_App_Output!$D:$D),"")</f>
        <v>46141</v>
      </c>
      <c r="D23">
        <f>SUMIFS(Cert_App_Output!$J:$J,Cert_App_Output!$C:$C,$A23)</f>
        <v>61375957.602024987</v>
      </c>
      <c r="E23" s="201">
        <v>0.4</v>
      </c>
      <c r="F23">
        <f t="shared" si="1"/>
        <v>24550383.040809996</v>
      </c>
      <c r="G23">
        <f t="shared" si="2"/>
        <v>36825574.561214991</v>
      </c>
      <c r="H23" t="str">
        <f>IF(COUNTIF(Cert_Calculo!$A:$A,$A23)&gt;0,"OK","FALTA en Calculo")</f>
        <v>OK</v>
      </c>
    </row>
    <row r="24" spans="1:8" x14ac:dyDescent="0.35">
      <c r="A24" t="s">
        <v>3188</v>
      </c>
      <c r="B24" t="str">
        <f t="shared" si="0"/>
        <v>SVD-OC02</v>
      </c>
      <c r="C24">
        <f>IFERROR(_xlfn.XLOOKUP($A24,Cert_App_Output!$C:$C,Cert_App_Output!$D:$D),"")</f>
        <v>46174</v>
      </c>
      <c r="D24">
        <f>SUMIFS(Cert_App_Output!$J:$J,Cert_App_Output!$C:$C,$A24)</f>
        <v>85954678.379520014</v>
      </c>
      <c r="E24" s="201">
        <v>0.4</v>
      </c>
      <c r="F24">
        <f t="shared" si="1"/>
        <v>34381871.351808004</v>
      </c>
      <c r="G24">
        <f t="shared" si="2"/>
        <v>51572807.02771201</v>
      </c>
      <c r="H24" t="str">
        <f>IF(COUNTIF(Cert_Calculo!$A:$A,$A24)&gt;0,"OK","FALTA en Calculo")</f>
        <v>OK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Y47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25" x14ac:dyDescent="0.35">
      <c r="A1" s="206" t="s">
        <v>3072</v>
      </c>
      <c r="B1" s="206" t="s">
        <v>3203</v>
      </c>
      <c r="C1" s="206" t="s">
        <v>622</v>
      </c>
      <c r="D1" s="206" t="s">
        <v>2943</v>
      </c>
      <c r="E1" s="206" t="s">
        <v>3054</v>
      </c>
      <c r="F1" s="206" t="s">
        <v>2938</v>
      </c>
      <c r="G1" s="206" t="s">
        <v>3204</v>
      </c>
      <c r="H1" s="206" t="s">
        <v>3205</v>
      </c>
      <c r="I1" s="206" t="s">
        <v>3206</v>
      </c>
      <c r="J1" s="206" t="s">
        <v>3207</v>
      </c>
      <c r="K1" s="206" t="s">
        <v>3197</v>
      </c>
      <c r="L1" s="206" t="s">
        <v>3208</v>
      </c>
      <c r="M1" s="206" t="s">
        <v>3058</v>
      </c>
      <c r="N1" s="206" t="s">
        <v>3209</v>
      </c>
      <c r="O1" s="206" t="s">
        <v>3210</v>
      </c>
      <c r="P1" s="206" t="s">
        <v>3211</v>
      </c>
      <c r="Q1" s="206" t="s">
        <v>3212</v>
      </c>
      <c r="R1" s="206" t="s">
        <v>3213</v>
      </c>
      <c r="S1" s="206" t="s">
        <v>3214</v>
      </c>
      <c r="T1" s="206" t="s">
        <v>3215</v>
      </c>
      <c r="U1" s="206" t="s">
        <v>3216</v>
      </c>
      <c r="V1" s="206" t="s">
        <v>3217</v>
      </c>
      <c r="W1" s="206"/>
      <c r="X1" s="206" t="s">
        <v>3218</v>
      </c>
      <c r="Y1" s="206" t="s">
        <v>3219</v>
      </c>
    </row>
    <row r="2" spans="1:25" x14ac:dyDescent="0.35">
      <c r="A2" t="s">
        <v>3200</v>
      </c>
      <c r="B2" t="s">
        <v>3220</v>
      </c>
      <c r="C2" t="s">
        <v>3221</v>
      </c>
      <c r="D2" t="s">
        <v>3064</v>
      </c>
      <c r="E2" t="s">
        <v>3065</v>
      </c>
      <c r="G2" s="194">
        <v>84261210.400000006</v>
      </c>
      <c r="H2" s="201">
        <v>0.3745</v>
      </c>
      <c r="I2">
        <f t="shared" ref="I2:I47" si="0">$G2*H2</f>
        <v>31555823.294800002</v>
      </c>
      <c r="J2">
        <f>_xlfn.XLOOKUP($A2,Cert_Cabecera!$A:$A,Cert_Cabecera!$E:$E)</f>
        <v>0</v>
      </c>
      <c r="K2">
        <f t="shared" ref="K2:K47" si="1">-I2*J2</f>
        <v>0</v>
      </c>
      <c r="L2">
        <f t="shared" ref="L2:L47" si="2">I2+K2</f>
        <v>31555823.294800002</v>
      </c>
      <c r="M2">
        <f>_xlfn.XLOOKUP($E2,Cert_OC_Cliente!$B:$B,Cert_OC_Cliente!$G:$G)</f>
        <v>14366.9</v>
      </c>
      <c r="N2">
        <f>IF($Y2="",'0_Indice_CAC'!$B$4,$Y2)</f>
        <v>14366.9</v>
      </c>
      <c r="O2">
        <f t="shared" ref="O2:O47" si="3">N2/M2</f>
        <v>1</v>
      </c>
      <c r="P2">
        <f t="shared" ref="P2:P47" si="4">L2*(O2-1)</f>
        <v>0</v>
      </c>
      <c r="Q2">
        <f t="shared" ref="Q2:Q47" si="5">L2+P2</f>
        <v>31555823.294800002</v>
      </c>
      <c r="R2" s="203">
        <v>0.105</v>
      </c>
      <c r="S2">
        <f t="shared" ref="S2:S47" si="6">Q2*R2</f>
        <v>3313361.4459540001</v>
      </c>
      <c r="T2">
        <f t="shared" ref="T2:T47" si="7">Q2+S2</f>
        <v>34869184.740754001</v>
      </c>
      <c r="U2">
        <v>1170</v>
      </c>
      <c r="V2" t="str">
        <f t="shared" ref="V2:V47" si="8">IF(C2="Negro",T2/U2,"")</f>
        <v/>
      </c>
      <c r="X2" t="str">
        <f t="shared" ref="X2:X47" si="9">IF(ABS(SUMIFS($H:$H,$A:$A,$A2)-1)&lt;0.0001,"✓","⚠ ≠100%")</f>
        <v>✓</v>
      </c>
    </row>
    <row r="3" spans="1:25" x14ac:dyDescent="0.35">
      <c r="A3" t="s">
        <v>3200</v>
      </c>
      <c r="B3" t="s">
        <v>3222</v>
      </c>
      <c r="C3" t="s">
        <v>3223</v>
      </c>
      <c r="D3" t="s">
        <v>3064</v>
      </c>
      <c r="E3" t="s">
        <v>3065</v>
      </c>
      <c r="G3" s="194">
        <v>84261210.400000006</v>
      </c>
      <c r="H3" s="201">
        <v>0.62549999999999994</v>
      </c>
      <c r="I3">
        <f t="shared" si="0"/>
        <v>52705387.1052</v>
      </c>
      <c r="J3">
        <f>_xlfn.XLOOKUP($A3,Cert_Cabecera!$A:$A,Cert_Cabecera!$E:$E)</f>
        <v>0</v>
      </c>
      <c r="K3">
        <f t="shared" si="1"/>
        <v>0</v>
      </c>
      <c r="L3">
        <f t="shared" si="2"/>
        <v>52705387.1052</v>
      </c>
      <c r="M3">
        <f>_xlfn.XLOOKUP($E3,Cert_OC_Cliente!$B:$B,Cert_OC_Cliente!$G:$G)</f>
        <v>14366.9</v>
      </c>
      <c r="N3">
        <f>IF($Y3="",'0_Indice_CAC'!$B$4,$Y3)</f>
        <v>14366.9</v>
      </c>
      <c r="O3">
        <f t="shared" si="3"/>
        <v>1</v>
      </c>
      <c r="P3">
        <f t="shared" si="4"/>
        <v>0</v>
      </c>
      <c r="Q3">
        <f t="shared" si="5"/>
        <v>52705387.1052</v>
      </c>
      <c r="R3" s="203">
        <v>0</v>
      </c>
      <c r="S3">
        <f t="shared" si="6"/>
        <v>0</v>
      </c>
      <c r="T3">
        <f t="shared" si="7"/>
        <v>52705387.1052</v>
      </c>
      <c r="U3">
        <v>1170</v>
      </c>
      <c r="V3">
        <f t="shared" si="8"/>
        <v>45047.339406153849</v>
      </c>
      <c r="X3" t="str">
        <f t="shared" si="9"/>
        <v>✓</v>
      </c>
    </row>
    <row r="4" spans="1:25" x14ac:dyDescent="0.35">
      <c r="A4" t="s">
        <v>3201</v>
      </c>
      <c r="B4" t="s">
        <v>3224</v>
      </c>
      <c r="C4" t="s">
        <v>3221</v>
      </c>
      <c r="D4" t="s">
        <v>3064</v>
      </c>
      <c r="E4" t="s">
        <v>3067</v>
      </c>
      <c r="G4" s="194">
        <v>294742853.208</v>
      </c>
      <c r="H4" s="201">
        <v>0.2407</v>
      </c>
      <c r="I4">
        <f t="shared" si="0"/>
        <v>70944604.767165601</v>
      </c>
      <c r="J4">
        <f>_xlfn.XLOOKUP($A4,Cert_Cabecera!$A:$A,Cert_Cabecera!$E:$E)</f>
        <v>0</v>
      </c>
      <c r="K4">
        <f t="shared" si="1"/>
        <v>0</v>
      </c>
      <c r="L4">
        <f t="shared" si="2"/>
        <v>70944604.767165601</v>
      </c>
      <c r="M4">
        <f>_xlfn.XLOOKUP($E4,Cert_OC_Cliente!$B:$B,Cert_OC_Cliente!$G:$G)</f>
        <v>14366.9</v>
      </c>
      <c r="N4">
        <f>IF($Y4="",'0_Indice_CAC'!$B$4,$Y4)</f>
        <v>14366.9</v>
      </c>
      <c r="O4">
        <f t="shared" si="3"/>
        <v>1</v>
      </c>
      <c r="P4">
        <f t="shared" si="4"/>
        <v>0</v>
      </c>
      <c r="Q4">
        <f t="shared" si="5"/>
        <v>70944604.767165601</v>
      </c>
      <c r="R4" s="203">
        <v>0.105</v>
      </c>
      <c r="S4">
        <f t="shared" si="6"/>
        <v>7449183.5005523879</v>
      </c>
      <c r="T4">
        <f t="shared" si="7"/>
        <v>78393788.267717987</v>
      </c>
      <c r="U4">
        <v>1170</v>
      </c>
      <c r="V4" t="str">
        <f t="shared" si="8"/>
        <v/>
      </c>
      <c r="X4" t="str">
        <f t="shared" si="9"/>
        <v>✓</v>
      </c>
    </row>
    <row r="5" spans="1:25" x14ac:dyDescent="0.35">
      <c r="A5" t="s">
        <v>3201</v>
      </c>
      <c r="B5" t="s">
        <v>3225</v>
      </c>
      <c r="C5" t="s">
        <v>3223</v>
      </c>
      <c r="D5" t="s">
        <v>3064</v>
      </c>
      <c r="E5" t="s">
        <v>3067</v>
      </c>
      <c r="G5" s="194">
        <v>294742853.208</v>
      </c>
      <c r="H5" s="201">
        <v>0.75929999999999997</v>
      </c>
      <c r="I5">
        <f t="shared" si="0"/>
        <v>223798248.4408344</v>
      </c>
      <c r="J5">
        <f>_xlfn.XLOOKUP($A5,Cert_Cabecera!$A:$A,Cert_Cabecera!$E:$E)</f>
        <v>0</v>
      </c>
      <c r="K5">
        <f t="shared" si="1"/>
        <v>0</v>
      </c>
      <c r="L5">
        <f t="shared" si="2"/>
        <v>223798248.4408344</v>
      </c>
      <c r="M5">
        <f>_xlfn.XLOOKUP($E5,Cert_OC_Cliente!$B:$B,Cert_OC_Cliente!$G:$G)</f>
        <v>14366.9</v>
      </c>
      <c r="N5">
        <f>IF($Y5="",'0_Indice_CAC'!$B$4,$Y5)</f>
        <v>14366.9</v>
      </c>
      <c r="O5">
        <f t="shared" si="3"/>
        <v>1</v>
      </c>
      <c r="P5">
        <f t="shared" si="4"/>
        <v>0</v>
      </c>
      <c r="Q5">
        <f t="shared" si="5"/>
        <v>223798248.4408344</v>
      </c>
      <c r="R5" s="203">
        <v>0</v>
      </c>
      <c r="S5">
        <f t="shared" si="6"/>
        <v>0</v>
      </c>
      <c r="T5">
        <f t="shared" si="7"/>
        <v>223798248.4408344</v>
      </c>
      <c r="U5">
        <v>1170</v>
      </c>
      <c r="V5">
        <f t="shared" si="8"/>
        <v>191280.55422293537</v>
      </c>
      <c r="X5" t="str">
        <f t="shared" si="9"/>
        <v>✓</v>
      </c>
    </row>
    <row r="6" spans="1:25" x14ac:dyDescent="0.35">
      <c r="A6" t="s">
        <v>3202</v>
      </c>
      <c r="B6" t="s">
        <v>3226</v>
      </c>
      <c r="C6" t="s">
        <v>3221</v>
      </c>
      <c r="D6" t="s">
        <v>3064</v>
      </c>
      <c r="E6" t="s">
        <v>3069</v>
      </c>
      <c r="G6" s="194">
        <v>0</v>
      </c>
      <c r="H6" s="201">
        <v>0.31</v>
      </c>
      <c r="I6">
        <f t="shared" si="0"/>
        <v>0</v>
      </c>
      <c r="J6">
        <f>_xlfn.XLOOKUP($A6,Cert_Cabecera!$A:$A,Cert_Cabecera!$E:$E)</f>
        <v>0</v>
      </c>
      <c r="K6">
        <f t="shared" si="1"/>
        <v>0</v>
      </c>
      <c r="L6">
        <f t="shared" si="2"/>
        <v>0</v>
      </c>
      <c r="M6">
        <f>_xlfn.XLOOKUP($E6,Cert_OC_Cliente!$B:$B,Cert_OC_Cliente!$G:$G)</f>
        <v>14366.9</v>
      </c>
      <c r="N6">
        <f>IF($Y6="",'0_Indice_CAC'!$B$4,$Y6)</f>
        <v>14366.9</v>
      </c>
      <c r="O6">
        <f t="shared" si="3"/>
        <v>1</v>
      </c>
      <c r="P6">
        <f t="shared" si="4"/>
        <v>0</v>
      </c>
      <c r="Q6">
        <f t="shared" si="5"/>
        <v>0</v>
      </c>
      <c r="R6" s="203">
        <v>0.105</v>
      </c>
      <c r="S6">
        <f t="shared" si="6"/>
        <v>0</v>
      </c>
      <c r="T6">
        <f t="shared" si="7"/>
        <v>0</v>
      </c>
      <c r="U6">
        <v>1170</v>
      </c>
      <c r="V6" t="str">
        <f t="shared" si="8"/>
        <v/>
      </c>
      <c r="X6" t="str">
        <f t="shared" si="9"/>
        <v>✓</v>
      </c>
    </row>
    <row r="7" spans="1:25" x14ac:dyDescent="0.35">
      <c r="A7" t="s">
        <v>3202</v>
      </c>
      <c r="B7" t="s">
        <v>3227</v>
      </c>
      <c r="C7" t="s">
        <v>3223</v>
      </c>
      <c r="D7" t="s">
        <v>3064</v>
      </c>
      <c r="E7" t="s">
        <v>3069</v>
      </c>
      <c r="G7" s="194">
        <v>0</v>
      </c>
      <c r="H7" s="201">
        <v>0.69</v>
      </c>
      <c r="I7">
        <f t="shared" si="0"/>
        <v>0</v>
      </c>
      <c r="J7">
        <f>_xlfn.XLOOKUP($A7,Cert_Cabecera!$A:$A,Cert_Cabecera!$E:$E)</f>
        <v>0</v>
      </c>
      <c r="K7">
        <f t="shared" si="1"/>
        <v>0</v>
      </c>
      <c r="L7">
        <f t="shared" si="2"/>
        <v>0</v>
      </c>
      <c r="M7">
        <f>_xlfn.XLOOKUP($E7,Cert_OC_Cliente!$B:$B,Cert_OC_Cliente!$G:$G)</f>
        <v>14366.9</v>
      </c>
      <c r="N7">
        <f>IF($Y7="",'0_Indice_CAC'!$B$4,$Y7)</f>
        <v>14366.9</v>
      </c>
      <c r="O7">
        <f t="shared" si="3"/>
        <v>1</v>
      </c>
      <c r="P7">
        <f t="shared" si="4"/>
        <v>0</v>
      </c>
      <c r="Q7">
        <f t="shared" si="5"/>
        <v>0</v>
      </c>
      <c r="R7" s="203">
        <v>0</v>
      </c>
      <c r="S7">
        <f t="shared" si="6"/>
        <v>0</v>
      </c>
      <c r="T7">
        <f t="shared" si="7"/>
        <v>0</v>
      </c>
      <c r="U7">
        <v>1170</v>
      </c>
      <c r="V7">
        <f t="shared" si="8"/>
        <v>0</v>
      </c>
      <c r="X7" t="str">
        <f t="shared" si="9"/>
        <v>✓</v>
      </c>
    </row>
    <row r="8" spans="1:25" x14ac:dyDescent="0.35">
      <c r="A8" t="s">
        <v>3080</v>
      </c>
      <c r="B8" t="s">
        <v>3228</v>
      </c>
      <c r="C8" t="s">
        <v>3221</v>
      </c>
      <c r="D8" t="str">
        <f>_xlfn.XLOOKUP(A8,Cert_App_Output!$C:$C,Cert_App_Output!$A:$A)</f>
        <v>SVD 4140</v>
      </c>
      <c r="E8" t="s">
        <v>3065</v>
      </c>
      <c r="F8">
        <f>_xlfn.XLOOKUP(A8,Cert_App_Output!$C:$C,Cert_App_Output!$D:$D)</f>
        <v>45747</v>
      </c>
      <c r="G8">
        <f>SUMIFS(Cert_App_Output!$J:$J,Cert_App_Output!$C:$C,$A8)</f>
        <v>35487550</v>
      </c>
      <c r="H8" s="201">
        <v>0.3745</v>
      </c>
      <c r="I8">
        <f t="shared" si="0"/>
        <v>13290087.475</v>
      </c>
      <c r="J8">
        <f>_xlfn.XLOOKUP($A8,Cert_Cabecera!$A:$A,Cert_Cabecera!$E:$E)</f>
        <v>0.2</v>
      </c>
      <c r="K8">
        <f t="shared" si="1"/>
        <v>-2658017.4950000001</v>
      </c>
      <c r="L8">
        <f t="shared" si="2"/>
        <v>10632069.98</v>
      </c>
      <c r="M8">
        <f>_xlfn.XLOOKUP($E8,Cert_OC_Cliente!$B:$B,Cert_OC_Cliente!$G:$G)</f>
        <v>14366.9</v>
      </c>
      <c r="N8">
        <f>IF($Y8="",_xlfn.XLOOKUP(DATE(YEAR(F8),MONTH(F8),1),'0_Indice_CAC'!$A:$A,'0_Indice_CAC'!$B:$B),$Y8)</f>
        <v>15995.4</v>
      </c>
      <c r="O8">
        <f t="shared" si="3"/>
        <v>1.1133508272487453</v>
      </c>
      <c r="P8">
        <f t="shared" si="4"/>
        <v>1205153.9275995514</v>
      </c>
      <c r="Q8">
        <f t="shared" si="5"/>
        <v>11837223.907599552</v>
      </c>
      <c r="R8" s="203">
        <v>0.105</v>
      </c>
      <c r="S8">
        <f t="shared" si="6"/>
        <v>1242908.5102979529</v>
      </c>
      <c r="T8">
        <f t="shared" si="7"/>
        <v>13080132.417897504</v>
      </c>
      <c r="U8">
        <v>1170</v>
      </c>
      <c r="V8" t="str">
        <f t="shared" si="8"/>
        <v/>
      </c>
      <c r="X8" t="str">
        <f t="shared" si="9"/>
        <v>✓</v>
      </c>
    </row>
    <row r="9" spans="1:25" x14ac:dyDescent="0.35">
      <c r="A9" t="s">
        <v>3080</v>
      </c>
      <c r="B9" t="s">
        <v>3229</v>
      </c>
      <c r="C9" t="s">
        <v>3223</v>
      </c>
      <c r="D9" t="str">
        <f>_xlfn.XLOOKUP(A9,Cert_App_Output!$C:$C,Cert_App_Output!$A:$A)</f>
        <v>SVD 4140</v>
      </c>
      <c r="E9" t="s">
        <v>3065</v>
      </c>
      <c r="F9">
        <f>_xlfn.XLOOKUP(A9,Cert_App_Output!$C:$C,Cert_App_Output!$D:$D)</f>
        <v>45747</v>
      </c>
      <c r="G9">
        <f>SUMIFS(Cert_App_Output!$J:$J,Cert_App_Output!$C:$C,$A9)</f>
        <v>35487550</v>
      </c>
      <c r="H9" s="201">
        <v>0.62549999999999994</v>
      </c>
      <c r="I9">
        <f t="shared" si="0"/>
        <v>22197462.524999999</v>
      </c>
      <c r="J9">
        <f>_xlfn.XLOOKUP($A9,Cert_Cabecera!$A:$A,Cert_Cabecera!$E:$E)</f>
        <v>0.2</v>
      </c>
      <c r="K9">
        <f t="shared" si="1"/>
        <v>-4439492.5049999999</v>
      </c>
      <c r="L9">
        <f t="shared" si="2"/>
        <v>17757970.02</v>
      </c>
      <c r="M9">
        <f>_xlfn.XLOOKUP($E9,Cert_OC_Cliente!$B:$B,Cert_OC_Cliente!$G:$G)</f>
        <v>14366.9</v>
      </c>
      <c r="N9">
        <f>IF($Y9="",_xlfn.XLOOKUP(DATE(YEAR(F9),MONTH(F9),1),'0_Indice_CAC'!$A:$A,'0_Indice_CAC'!$B:$B),$Y9)</f>
        <v>15995.4</v>
      </c>
      <c r="O9">
        <f t="shared" si="3"/>
        <v>1.1133508272487453</v>
      </c>
      <c r="P9">
        <f t="shared" si="4"/>
        <v>2012880.5920254188</v>
      </c>
      <c r="Q9">
        <f t="shared" si="5"/>
        <v>19770850.612025417</v>
      </c>
      <c r="R9" s="203">
        <v>0</v>
      </c>
      <c r="S9">
        <f t="shared" si="6"/>
        <v>0</v>
      </c>
      <c r="T9">
        <f t="shared" si="7"/>
        <v>19770850.612025417</v>
      </c>
      <c r="U9">
        <v>1170</v>
      </c>
      <c r="V9">
        <f t="shared" si="8"/>
        <v>16898.162916261041</v>
      </c>
      <c r="X9" t="str">
        <f t="shared" si="9"/>
        <v>✓</v>
      </c>
    </row>
    <row r="10" spans="1:25" x14ac:dyDescent="0.35">
      <c r="A10" t="s">
        <v>3092</v>
      </c>
      <c r="B10" t="s">
        <v>3230</v>
      </c>
      <c r="C10" t="s">
        <v>3221</v>
      </c>
      <c r="D10" t="str">
        <f>_xlfn.XLOOKUP(A10,Cert_App_Output!$C:$C,Cert_App_Output!$A:$A)</f>
        <v>SVD 4140</v>
      </c>
      <c r="E10" t="s">
        <v>3065</v>
      </c>
      <c r="F10">
        <f>_xlfn.XLOOKUP(A10,Cert_App_Output!$C:$C,Cert_App_Output!$D:$D)</f>
        <v>45777</v>
      </c>
      <c r="G10">
        <f>SUMIFS(Cert_App_Output!$J:$J,Cert_App_Output!$C:$C,$A10)</f>
        <v>25040749.490776289</v>
      </c>
      <c r="H10" s="201">
        <v>0.3745</v>
      </c>
      <c r="I10">
        <f t="shared" si="0"/>
        <v>9377760.6842957195</v>
      </c>
      <c r="J10">
        <f>_xlfn.XLOOKUP($A10,Cert_Cabecera!$A:$A,Cert_Cabecera!$E:$E)</f>
        <v>0.2</v>
      </c>
      <c r="K10">
        <f t="shared" si="1"/>
        <v>-1875552.1368591441</v>
      </c>
      <c r="L10">
        <f t="shared" si="2"/>
        <v>7502208.5474365754</v>
      </c>
      <c r="M10">
        <f>_xlfn.XLOOKUP($E10,Cert_OC_Cliente!$B:$B,Cert_OC_Cliente!$G:$G)</f>
        <v>14366.9</v>
      </c>
      <c r="N10">
        <f>IF($Y10="",_xlfn.XLOOKUP(DATE(YEAR(F10),MONTH(F10),1),'0_Indice_CAC'!$A:$A,'0_Indice_CAC'!$B:$B),$Y10)</f>
        <v>16253.5</v>
      </c>
      <c r="O10">
        <f t="shared" si="3"/>
        <v>1.1313157326911165</v>
      </c>
      <c r="P10">
        <f t="shared" si="4"/>
        <v>985158.01220819086</v>
      </c>
      <c r="Q10">
        <f t="shared" si="5"/>
        <v>8487366.5596447662</v>
      </c>
      <c r="R10" s="203">
        <v>0.105</v>
      </c>
      <c r="S10">
        <f t="shared" si="6"/>
        <v>891173.48876270046</v>
      </c>
      <c r="T10">
        <f t="shared" si="7"/>
        <v>9378540.0484074671</v>
      </c>
      <c r="U10">
        <v>1170</v>
      </c>
      <c r="V10" t="str">
        <f t="shared" si="8"/>
        <v/>
      </c>
      <c r="X10" t="str">
        <f t="shared" si="9"/>
        <v>✓</v>
      </c>
    </row>
    <row r="11" spans="1:25" x14ac:dyDescent="0.35">
      <c r="A11" t="s">
        <v>3092</v>
      </c>
      <c r="B11" t="s">
        <v>3231</v>
      </c>
      <c r="C11" t="s">
        <v>3223</v>
      </c>
      <c r="D11" t="str">
        <f>_xlfn.XLOOKUP(A11,Cert_App_Output!$C:$C,Cert_App_Output!$A:$A)</f>
        <v>SVD 4140</v>
      </c>
      <c r="E11" t="s">
        <v>3065</v>
      </c>
      <c r="F11">
        <f>_xlfn.XLOOKUP(A11,Cert_App_Output!$C:$C,Cert_App_Output!$D:$D)</f>
        <v>45777</v>
      </c>
      <c r="G11">
        <f>SUMIFS(Cert_App_Output!$J:$J,Cert_App_Output!$C:$C,$A11)</f>
        <v>25040749.490776289</v>
      </c>
      <c r="H11" s="201">
        <v>0.62549999999999994</v>
      </c>
      <c r="I11">
        <f t="shared" si="0"/>
        <v>15662988.806480568</v>
      </c>
      <c r="J11">
        <f>_xlfn.XLOOKUP($A11,Cert_Cabecera!$A:$A,Cert_Cabecera!$E:$E)</f>
        <v>0.2</v>
      </c>
      <c r="K11">
        <f t="shared" si="1"/>
        <v>-3132597.761296114</v>
      </c>
      <c r="L11">
        <f t="shared" si="2"/>
        <v>12530391.045184454</v>
      </c>
      <c r="M11">
        <f>_xlfn.XLOOKUP($E11,Cert_OC_Cliente!$B:$B,Cert_OC_Cliente!$G:$G)</f>
        <v>14366.9</v>
      </c>
      <c r="N11">
        <f>IF($Y11="",_xlfn.XLOOKUP(DATE(YEAR(F11),MONTH(F11),1),'0_Indice_CAC'!$A:$A,'0_Indice_CAC'!$B:$B),$Y11)</f>
        <v>16253.5</v>
      </c>
      <c r="O11">
        <f t="shared" si="3"/>
        <v>1.1313157326911165</v>
      </c>
      <c r="P11">
        <f t="shared" si="4"/>
        <v>1645437.4810046018</v>
      </c>
      <c r="Q11">
        <f t="shared" si="5"/>
        <v>14175828.526189055</v>
      </c>
      <c r="R11" s="203">
        <v>0</v>
      </c>
      <c r="S11">
        <f t="shared" si="6"/>
        <v>0</v>
      </c>
      <c r="T11">
        <f t="shared" si="7"/>
        <v>14175828.526189055</v>
      </c>
      <c r="U11">
        <v>1170</v>
      </c>
      <c r="V11">
        <f t="shared" si="8"/>
        <v>12116.092757426542</v>
      </c>
      <c r="X11" t="str">
        <f t="shared" si="9"/>
        <v>✓</v>
      </c>
    </row>
    <row r="12" spans="1:25" x14ac:dyDescent="0.35">
      <c r="A12" t="s">
        <v>3103</v>
      </c>
      <c r="B12" t="s">
        <v>3232</v>
      </c>
      <c r="C12" t="s">
        <v>3221</v>
      </c>
      <c r="D12" t="str">
        <f>_xlfn.XLOOKUP(A12,Cert_App_Output!$C:$C,Cert_App_Output!$A:$A)</f>
        <v>SVD 4140</v>
      </c>
      <c r="E12" t="s">
        <v>3065</v>
      </c>
      <c r="F12">
        <f>_xlfn.XLOOKUP(A12,Cert_App_Output!$C:$C,Cert_App_Output!$D:$D)</f>
        <v>45807</v>
      </c>
      <c r="G12">
        <f>SUMIFS(Cert_App_Output!$J:$J,Cert_App_Output!$C:$C,$A12)</f>
        <v>29836634.418870453</v>
      </c>
      <c r="H12" s="201">
        <v>0.3745</v>
      </c>
      <c r="I12">
        <f t="shared" si="0"/>
        <v>11173819.589866985</v>
      </c>
      <c r="J12">
        <f>_xlfn.XLOOKUP($A12,Cert_Cabecera!$A:$A,Cert_Cabecera!$E:$E)</f>
        <v>0.2</v>
      </c>
      <c r="K12">
        <f t="shared" si="1"/>
        <v>-2234763.9179733968</v>
      </c>
      <c r="L12">
        <f t="shared" si="2"/>
        <v>8939055.6718935873</v>
      </c>
      <c r="M12">
        <f>_xlfn.XLOOKUP($E12,Cert_OC_Cliente!$B:$B,Cert_OC_Cliente!$G:$G)</f>
        <v>14366.9</v>
      </c>
      <c r="N12">
        <f>IF($Y12="",_xlfn.XLOOKUP(DATE(YEAR(F12),MONTH(F12),1),'0_Indice_CAC'!$A:$A,'0_Indice_CAC'!$B:$B),$Y12)</f>
        <v>16521.3</v>
      </c>
      <c r="O12">
        <f t="shared" si="3"/>
        <v>1.1499558011818833</v>
      </c>
      <c r="P12">
        <f t="shared" si="4"/>
        <v>1340463.2550882613</v>
      </c>
      <c r="Q12">
        <f t="shared" si="5"/>
        <v>10279518.926981848</v>
      </c>
      <c r="R12" s="203">
        <v>0.105</v>
      </c>
      <c r="S12">
        <f t="shared" si="6"/>
        <v>1079349.487333094</v>
      </c>
      <c r="T12">
        <f t="shared" si="7"/>
        <v>11358868.414314942</v>
      </c>
      <c r="U12">
        <v>1170</v>
      </c>
      <c r="V12" t="str">
        <f t="shared" si="8"/>
        <v/>
      </c>
      <c r="X12" t="str">
        <f t="shared" si="9"/>
        <v>✓</v>
      </c>
    </row>
    <row r="13" spans="1:25" x14ac:dyDescent="0.35">
      <c r="A13" t="s">
        <v>3103</v>
      </c>
      <c r="B13" t="s">
        <v>3233</v>
      </c>
      <c r="C13" t="s">
        <v>3223</v>
      </c>
      <c r="D13" t="str">
        <f>_xlfn.XLOOKUP(A13,Cert_App_Output!$C:$C,Cert_App_Output!$A:$A)</f>
        <v>SVD 4140</v>
      </c>
      <c r="E13" t="s">
        <v>3065</v>
      </c>
      <c r="F13">
        <f>_xlfn.XLOOKUP(A13,Cert_App_Output!$C:$C,Cert_App_Output!$D:$D)</f>
        <v>45807</v>
      </c>
      <c r="G13">
        <f>SUMIFS(Cert_App_Output!$J:$J,Cert_App_Output!$C:$C,$A13)</f>
        <v>29836634.418870453</v>
      </c>
      <c r="H13" s="201">
        <v>0.62549999999999994</v>
      </c>
      <c r="I13">
        <f t="shared" si="0"/>
        <v>18662814.829003468</v>
      </c>
      <c r="J13">
        <f>_xlfn.XLOOKUP($A13,Cert_Cabecera!$A:$A,Cert_Cabecera!$E:$E)</f>
        <v>0.2</v>
      </c>
      <c r="K13">
        <f t="shared" si="1"/>
        <v>-3732562.9658006937</v>
      </c>
      <c r="L13">
        <f t="shared" si="2"/>
        <v>14930251.863202775</v>
      </c>
      <c r="M13">
        <f>_xlfn.XLOOKUP($E13,Cert_OC_Cliente!$B:$B,Cert_OC_Cliente!$G:$G)</f>
        <v>14366.9</v>
      </c>
      <c r="N13">
        <f>IF($Y13="",_xlfn.XLOOKUP(DATE(YEAR(F13),MONTH(F13),1),'0_Indice_CAC'!$A:$A,'0_Indice_CAC'!$B:$B),$Y13)</f>
        <v>16521.3</v>
      </c>
      <c r="O13">
        <f t="shared" si="3"/>
        <v>1.1499558011818833</v>
      </c>
      <c r="P13">
        <f t="shared" si="4"/>
        <v>2238877.8799938788</v>
      </c>
      <c r="Q13">
        <f t="shared" si="5"/>
        <v>17169129.743196655</v>
      </c>
      <c r="R13" s="203">
        <v>0</v>
      </c>
      <c r="S13">
        <f t="shared" si="6"/>
        <v>0</v>
      </c>
      <c r="T13">
        <f t="shared" si="7"/>
        <v>17169129.743196655</v>
      </c>
      <c r="U13">
        <v>1170</v>
      </c>
      <c r="V13">
        <f t="shared" si="8"/>
        <v>14674.469865980047</v>
      </c>
      <c r="X13" t="str">
        <f t="shared" si="9"/>
        <v>✓</v>
      </c>
    </row>
    <row r="14" spans="1:25" x14ac:dyDescent="0.35">
      <c r="A14" t="s">
        <v>3104</v>
      </c>
      <c r="B14" t="s">
        <v>3234</v>
      </c>
      <c r="C14" t="s">
        <v>3221</v>
      </c>
      <c r="D14" t="str">
        <f>_xlfn.XLOOKUP(A14,Cert_App_Output!$C:$C,Cert_App_Output!$A:$A)</f>
        <v>SVD 4140</v>
      </c>
      <c r="E14" t="s">
        <v>3065</v>
      </c>
      <c r="F14">
        <f>_xlfn.XLOOKUP(A14,Cert_App_Output!$C:$C,Cert_App_Output!$D:$D)</f>
        <v>45835</v>
      </c>
      <c r="G14">
        <f>SUMIFS(Cert_App_Output!$J:$J,Cert_App_Output!$C:$C,$A14)</f>
        <v>41634494.024700686</v>
      </c>
      <c r="H14" s="201">
        <v>0.3745</v>
      </c>
      <c r="I14">
        <f t="shared" si="0"/>
        <v>15592118.012250407</v>
      </c>
      <c r="J14">
        <f>_xlfn.XLOOKUP($A14,Cert_Cabecera!$A:$A,Cert_Cabecera!$E:$E)</f>
        <v>0.2</v>
      </c>
      <c r="K14">
        <f t="shared" si="1"/>
        <v>-3118423.6024500816</v>
      </c>
      <c r="L14">
        <f t="shared" si="2"/>
        <v>12473694.409800325</v>
      </c>
      <c r="M14">
        <f>_xlfn.XLOOKUP($E14,Cert_OC_Cliente!$B:$B,Cert_OC_Cliente!$G:$G)</f>
        <v>14366.9</v>
      </c>
      <c r="N14">
        <f>IF($Y14="",_xlfn.XLOOKUP(DATE(YEAR(F14),MONTH(F14),1),'0_Indice_CAC'!$A:$A,'0_Indice_CAC'!$B:$B),$Y14)</f>
        <v>16643.400000000001</v>
      </c>
      <c r="O14">
        <f t="shared" si="3"/>
        <v>1.1584545030591151</v>
      </c>
      <c r="P14">
        <f t="shared" si="4"/>
        <v>1976513.0490161728</v>
      </c>
      <c r="Q14">
        <f t="shared" si="5"/>
        <v>14450207.458816497</v>
      </c>
      <c r="R14" s="203">
        <v>0.105</v>
      </c>
      <c r="S14">
        <f t="shared" si="6"/>
        <v>1517271.783175732</v>
      </c>
      <c r="T14">
        <f t="shared" si="7"/>
        <v>15967479.241992228</v>
      </c>
      <c r="U14">
        <v>1170</v>
      </c>
      <c r="V14" t="str">
        <f t="shared" si="8"/>
        <v/>
      </c>
      <c r="X14" t="str">
        <f t="shared" si="9"/>
        <v>✓</v>
      </c>
    </row>
    <row r="15" spans="1:25" x14ac:dyDescent="0.35">
      <c r="A15" t="s">
        <v>3104</v>
      </c>
      <c r="B15" t="s">
        <v>3235</v>
      </c>
      <c r="C15" t="s">
        <v>3223</v>
      </c>
      <c r="D15" t="str">
        <f>_xlfn.XLOOKUP(A15,Cert_App_Output!$C:$C,Cert_App_Output!$A:$A)</f>
        <v>SVD 4140</v>
      </c>
      <c r="E15" t="s">
        <v>3065</v>
      </c>
      <c r="F15">
        <f>_xlfn.XLOOKUP(A15,Cert_App_Output!$C:$C,Cert_App_Output!$D:$D)</f>
        <v>45835</v>
      </c>
      <c r="G15">
        <f>SUMIFS(Cert_App_Output!$J:$J,Cert_App_Output!$C:$C,$A15)</f>
        <v>41634494.024700686</v>
      </c>
      <c r="H15" s="201">
        <v>0.62549999999999994</v>
      </c>
      <c r="I15">
        <f t="shared" si="0"/>
        <v>26042376.012450278</v>
      </c>
      <c r="J15">
        <f>_xlfn.XLOOKUP($A15,Cert_Cabecera!$A:$A,Cert_Cabecera!$E:$E)</f>
        <v>0.2</v>
      </c>
      <c r="K15">
        <f t="shared" si="1"/>
        <v>-5208475.2024900559</v>
      </c>
      <c r="L15">
        <f t="shared" si="2"/>
        <v>20833900.809960224</v>
      </c>
      <c r="M15">
        <f>_xlfn.XLOOKUP($E15,Cert_OC_Cliente!$B:$B,Cert_OC_Cliente!$G:$G)</f>
        <v>14366.9</v>
      </c>
      <c r="N15">
        <f>IF($Y15="",_xlfn.XLOOKUP(DATE(YEAR(F15),MONTH(F15),1),'0_Indice_CAC'!$A:$A,'0_Indice_CAC'!$B:$B),$Y15)</f>
        <v>16643.400000000001</v>
      </c>
      <c r="O15">
        <f t="shared" si="3"/>
        <v>1.1584545030591151</v>
      </c>
      <c r="P15">
        <f t="shared" si="4"/>
        <v>3301225.3996251435</v>
      </c>
      <c r="Q15">
        <f t="shared" si="5"/>
        <v>24135126.209585369</v>
      </c>
      <c r="R15" s="203">
        <v>0</v>
      </c>
      <c r="S15">
        <f t="shared" si="6"/>
        <v>0</v>
      </c>
      <c r="T15">
        <f t="shared" si="7"/>
        <v>24135126.209585369</v>
      </c>
      <c r="U15">
        <v>1170</v>
      </c>
      <c r="V15">
        <f t="shared" si="8"/>
        <v>20628.312999645615</v>
      </c>
      <c r="X15" t="str">
        <f t="shared" si="9"/>
        <v>✓</v>
      </c>
    </row>
    <row r="16" spans="1:25" x14ac:dyDescent="0.35">
      <c r="A16" t="s">
        <v>3106</v>
      </c>
      <c r="B16" t="s">
        <v>3236</v>
      </c>
      <c r="C16" t="s">
        <v>3221</v>
      </c>
      <c r="D16" t="str">
        <f>_xlfn.XLOOKUP(A16,Cert_App_Output!$C:$C,Cert_App_Output!$A:$A)</f>
        <v>SVD 4140</v>
      </c>
      <c r="E16" t="s">
        <v>3065</v>
      </c>
      <c r="F16">
        <f>_xlfn.XLOOKUP(A16,Cert_App_Output!$C:$C,Cert_App_Output!$D:$D)</f>
        <v>45861</v>
      </c>
      <c r="G16">
        <f>SUMIFS(Cert_App_Output!$J:$J,Cert_App_Output!$C:$C,$A16)</f>
        <v>40708425.684391953</v>
      </c>
      <c r="H16" s="201">
        <v>0.3745</v>
      </c>
      <c r="I16">
        <f t="shared" si="0"/>
        <v>15245305.418804787</v>
      </c>
      <c r="J16">
        <f>_xlfn.XLOOKUP($A16,Cert_Cabecera!$A:$A,Cert_Cabecera!$E:$E)</f>
        <v>0.2</v>
      </c>
      <c r="K16">
        <f t="shared" si="1"/>
        <v>-3049061.0837609577</v>
      </c>
      <c r="L16">
        <f t="shared" si="2"/>
        <v>12196244.335043829</v>
      </c>
      <c r="M16">
        <f>_xlfn.XLOOKUP($E16,Cert_OC_Cliente!$B:$B,Cert_OC_Cliente!$G:$G)</f>
        <v>14366.9</v>
      </c>
      <c r="N16">
        <f>IF($Y16="",_xlfn.XLOOKUP(DATE(YEAR(F16),MONTH(F16),1),'0_Indice_CAC'!$A:$A,'0_Indice_CAC'!$B:$B),$Y16)</f>
        <v>16939.5</v>
      </c>
      <c r="O16">
        <f t="shared" si="3"/>
        <v>1.1790643771446867</v>
      </c>
      <c r="P16">
        <f t="shared" si="4"/>
        <v>2183912.895359037</v>
      </c>
      <c r="Q16">
        <f t="shared" si="5"/>
        <v>14380157.230402866</v>
      </c>
      <c r="R16" s="203">
        <v>0.105</v>
      </c>
      <c r="S16">
        <f t="shared" si="6"/>
        <v>1509916.509192301</v>
      </c>
      <c r="T16">
        <f t="shared" si="7"/>
        <v>15890073.739595167</v>
      </c>
      <c r="U16">
        <v>1170</v>
      </c>
      <c r="V16" t="str">
        <f t="shared" si="8"/>
        <v/>
      </c>
      <c r="X16" t="str">
        <f t="shared" si="9"/>
        <v>✓</v>
      </c>
    </row>
    <row r="17" spans="1:24" x14ac:dyDescent="0.35">
      <c r="A17" t="s">
        <v>3106</v>
      </c>
      <c r="B17" t="s">
        <v>3237</v>
      </c>
      <c r="C17" t="s">
        <v>3223</v>
      </c>
      <c r="D17" t="str">
        <f>_xlfn.XLOOKUP(A17,Cert_App_Output!$C:$C,Cert_App_Output!$A:$A)</f>
        <v>SVD 4140</v>
      </c>
      <c r="E17" t="s">
        <v>3065</v>
      </c>
      <c r="F17">
        <f>_xlfn.XLOOKUP(A17,Cert_App_Output!$C:$C,Cert_App_Output!$D:$D)</f>
        <v>45861</v>
      </c>
      <c r="G17">
        <f>SUMIFS(Cert_App_Output!$J:$J,Cert_App_Output!$C:$C,$A17)</f>
        <v>40708425.684391953</v>
      </c>
      <c r="H17" s="201">
        <v>0.62549999999999994</v>
      </c>
      <c r="I17">
        <f t="shared" si="0"/>
        <v>25463120.265587166</v>
      </c>
      <c r="J17">
        <f>_xlfn.XLOOKUP($A17,Cert_Cabecera!$A:$A,Cert_Cabecera!$E:$E)</f>
        <v>0.2</v>
      </c>
      <c r="K17">
        <f t="shared" si="1"/>
        <v>-5092624.0531174336</v>
      </c>
      <c r="L17">
        <f t="shared" si="2"/>
        <v>20370496.212469734</v>
      </c>
      <c r="M17">
        <f>_xlfn.XLOOKUP($E17,Cert_OC_Cliente!$B:$B,Cert_OC_Cliente!$G:$G)</f>
        <v>14366.9</v>
      </c>
      <c r="N17">
        <f>IF($Y17="",_xlfn.XLOOKUP(DATE(YEAR(F17),MONTH(F17),1),'0_Indice_CAC'!$A:$A,'0_Indice_CAC'!$B:$B),$Y17)</f>
        <v>16939.5</v>
      </c>
      <c r="O17">
        <f t="shared" si="3"/>
        <v>1.1790643771446867</v>
      </c>
      <c r="P17">
        <f t="shared" si="4"/>
        <v>3647630.2164140926</v>
      </c>
      <c r="Q17">
        <f t="shared" si="5"/>
        <v>24018126.428883828</v>
      </c>
      <c r="R17" s="203">
        <v>0</v>
      </c>
      <c r="S17">
        <f t="shared" si="6"/>
        <v>0</v>
      </c>
      <c r="T17">
        <f t="shared" si="7"/>
        <v>24018126.428883828</v>
      </c>
      <c r="U17">
        <v>1170</v>
      </c>
      <c r="V17">
        <f t="shared" si="8"/>
        <v>20528.313187080195</v>
      </c>
      <c r="X17" t="str">
        <f t="shared" si="9"/>
        <v>✓</v>
      </c>
    </row>
    <row r="18" spans="1:24" x14ac:dyDescent="0.35">
      <c r="A18" t="s">
        <v>3111</v>
      </c>
      <c r="B18" t="s">
        <v>3238</v>
      </c>
      <c r="C18" t="s">
        <v>3221</v>
      </c>
      <c r="D18" t="str">
        <f>_xlfn.XLOOKUP(A18,Cert_App_Output!$C:$C,Cert_App_Output!$A:$A)</f>
        <v>SVD 4140</v>
      </c>
      <c r="E18" t="s">
        <v>3065</v>
      </c>
      <c r="F18">
        <f>_xlfn.XLOOKUP(A18,Cert_App_Output!$C:$C,Cert_App_Output!$D:$D)</f>
        <v>45898</v>
      </c>
      <c r="G18">
        <f>SUMIFS(Cert_App_Output!$J:$J,Cert_App_Output!$C:$C,$A18)</f>
        <v>60880923.366608955</v>
      </c>
      <c r="H18" s="201">
        <v>0.3745</v>
      </c>
      <c r="I18">
        <f t="shared" si="0"/>
        <v>22799905.800795052</v>
      </c>
      <c r="J18">
        <f>_xlfn.XLOOKUP($A18,Cert_Cabecera!$A:$A,Cert_Cabecera!$E:$E)</f>
        <v>0.2</v>
      </c>
      <c r="K18">
        <f t="shared" si="1"/>
        <v>-4559981.1601590104</v>
      </c>
      <c r="L18">
        <f t="shared" si="2"/>
        <v>18239924.640636042</v>
      </c>
      <c r="M18">
        <f>_xlfn.XLOOKUP($E18,Cert_OC_Cliente!$B:$B,Cert_OC_Cliente!$G:$G)</f>
        <v>14366.9</v>
      </c>
      <c r="N18">
        <f>IF($Y18="",_xlfn.XLOOKUP(DATE(YEAR(F18),MONTH(F18),1),'0_Indice_CAC'!$A:$A,'0_Indice_CAC'!$B:$B),$Y18)</f>
        <v>17187.599999999999</v>
      </c>
      <c r="O18">
        <f t="shared" si="3"/>
        <v>1.196333238207268</v>
      </c>
      <c r="P18">
        <f t="shared" si="4"/>
        <v>3581103.4693526132</v>
      </c>
      <c r="Q18">
        <f t="shared" si="5"/>
        <v>21821028.109988656</v>
      </c>
      <c r="R18" s="203">
        <v>0.105</v>
      </c>
      <c r="S18">
        <f t="shared" si="6"/>
        <v>2291207.9515488087</v>
      </c>
      <c r="T18">
        <f t="shared" si="7"/>
        <v>24112236.061537463</v>
      </c>
      <c r="U18">
        <v>1170</v>
      </c>
      <c r="V18" t="str">
        <f t="shared" si="8"/>
        <v/>
      </c>
      <c r="X18" t="str">
        <f t="shared" si="9"/>
        <v>✓</v>
      </c>
    </row>
    <row r="19" spans="1:24" x14ac:dyDescent="0.35">
      <c r="A19" t="s">
        <v>3111</v>
      </c>
      <c r="B19" t="s">
        <v>3239</v>
      </c>
      <c r="C19" t="s">
        <v>3223</v>
      </c>
      <c r="D19" t="str">
        <f>_xlfn.XLOOKUP(A19,Cert_App_Output!$C:$C,Cert_App_Output!$A:$A)</f>
        <v>SVD 4140</v>
      </c>
      <c r="E19" t="s">
        <v>3065</v>
      </c>
      <c r="F19">
        <f>_xlfn.XLOOKUP(A19,Cert_App_Output!$C:$C,Cert_App_Output!$D:$D)</f>
        <v>45898</v>
      </c>
      <c r="G19">
        <f>SUMIFS(Cert_App_Output!$J:$J,Cert_App_Output!$C:$C,$A19)</f>
        <v>60880923.366608955</v>
      </c>
      <c r="H19" s="201">
        <v>0.62549999999999994</v>
      </c>
      <c r="I19">
        <f t="shared" si="0"/>
        <v>38081017.565813899</v>
      </c>
      <c r="J19">
        <f>_xlfn.XLOOKUP($A19,Cert_Cabecera!$A:$A,Cert_Cabecera!$E:$E)</f>
        <v>0.2</v>
      </c>
      <c r="K19">
        <f t="shared" si="1"/>
        <v>-7616203.5131627806</v>
      </c>
      <c r="L19">
        <f t="shared" si="2"/>
        <v>30464814.052651118</v>
      </c>
      <c r="M19">
        <f>_xlfn.XLOOKUP($E19,Cert_OC_Cliente!$B:$B,Cert_OC_Cliente!$G:$G)</f>
        <v>14366.9</v>
      </c>
      <c r="N19">
        <f>IF($Y19="",_xlfn.XLOOKUP(DATE(YEAR(F19),MONTH(F19),1),'0_Indice_CAC'!$A:$A,'0_Indice_CAC'!$B:$B),$Y19)</f>
        <v>17187.599999999999</v>
      </c>
      <c r="O19">
        <f t="shared" si="3"/>
        <v>1.196333238207268</v>
      </c>
      <c r="P19">
        <f t="shared" si="4"/>
        <v>5981255.5943392776</v>
      </c>
      <c r="Q19">
        <f t="shared" si="5"/>
        <v>36446069.646990396</v>
      </c>
      <c r="R19" s="203">
        <v>0</v>
      </c>
      <c r="S19">
        <f t="shared" si="6"/>
        <v>0</v>
      </c>
      <c r="T19">
        <f t="shared" si="7"/>
        <v>36446069.646990396</v>
      </c>
      <c r="U19">
        <v>1170</v>
      </c>
      <c r="V19">
        <f t="shared" si="8"/>
        <v>31150.48687776957</v>
      </c>
      <c r="X19" t="str">
        <f t="shared" si="9"/>
        <v>✓</v>
      </c>
    </row>
    <row r="20" spans="1:24" x14ac:dyDescent="0.35">
      <c r="A20" t="s">
        <v>3115</v>
      </c>
      <c r="B20" t="s">
        <v>3240</v>
      </c>
      <c r="C20" t="s">
        <v>3221</v>
      </c>
      <c r="D20" t="str">
        <f>_xlfn.XLOOKUP(A20,Cert_App_Output!$C:$C,Cert_App_Output!$A:$A)</f>
        <v>SVD 4140</v>
      </c>
      <c r="E20" t="s">
        <v>3065</v>
      </c>
      <c r="F20">
        <f>_xlfn.XLOOKUP(A20,Cert_App_Output!$C:$C,Cert_App_Output!$D:$D)</f>
        <v>45931</v>
      </c>
      <c r="G20">
        <f>SUMIFS(Cert_App_Output!$J:$J,Cert_App_Output!$C:$C,$A20)</f>
        <v>44531101.829830296</v>
      </c>
      <c r="H20" s="201">
        <v>0.3745</v>
      </c>
      <c r="I20">
        <f t="shared" si="0"/>
        <v>16676897.635271447</v>
      </c>
      <c r="J20">
        <f>_xlfn.XLOOKUP($A20,Cert_Cabecera!$A:$A,Cert_Cabecera!$E:$E)</f>
        <v>0.2</v>
      </c>
      <c r="K20">
        <f t="shared" si="1"/>
        <v>-3335379.5270542894</v>
      </c>
      <c r="L20">
        <f t="shared" si="2"/>
        <v>13341518.108217157</v>
      </c>
      <c r="M20">
        <f>_xlfn.XLOOKUP($E20,Cert_OC_Cliente!$B:$B,Cert_OC_Cliente!$G:$G)</f>
        <v>14366.9</v>
      </c>
      <c r="N20">
        <f>IF($Y20="",_xlfn.XLOOKUP(DATE(YEAR(F20),MONTH(F20),1),'0_Indice_CAC'!$A:$A,'0_Indice_CAC'!$B:$B),$Y20)</f>
        <v>18172.8</v>
      </c>
      <c r="O20">
        <f t="shared" si="3"/>
        <v>1.2649075305041448</v>
      </c>
      <c r="P20">
        <f t="shared" si="4"/>
        <v>3534268.6152241374</v>
      </c>
      <c r="Q20">
        <f t="shared" si="5"/>
        <v>16875786.723441295</v>
      </c>
      <c r="R20" s="203">
        <v>0.105</v>
      </c>
      <c r="S20">
        <f t="shared" si="6"/>
        <v>1771957.6059613361</v>
      </c>
      <c r="T20">
        <f t="shared" si="7"/>
        <v>18647744.329402633</v>
      </c>
      <c r="U20">
        <v>1170</v>
      </c>
      <c r="V20" t="str">
        <f t="shared" si="8"/>
        <v/>
      </c>
      <c r="X20" t="str">
        <f t="shared" si="9"/>
        <v>✓</v>
      </c>
    </row>
    <row r="21" spans="1:24" x14ac:dyDescent="0.35">
      <c r="A21" t="s">
        <v>3115</v>
      </c>
      <c r="B21" t="s">
        <v>3241</v>
      </c>
      <c r="C21" t="s">
        <v>3223</v>
      </c>
      <c r="D21" t="str">
        <f>_xlfn.XLOOKUP(A21,Cert_App_Output!$C:$C,Cert_App_Output!$A:$A)</f>
        <v>SVD 4140</v>
      </c>
      <c r="E21" t="s">
        <v>3065</v>
      </c>
      <c r="F21">
        <f>_xlfn.XLOOKUP(A21,Cert_App_Output!$C:$C,Cert_App_Output!$D:$D)</f>
        <v>45931</v>
      </c>
      <c r="G21">
        <f>SUMIFS(Cert_App_Output!$J:$J,Cert_App_Output!$C:$C,$A21)</f>
        <v>44531101.829830296</v>
      </c>
      <c r="H21" s="201">
        <v>0.62549999999999994</v>
      </c>
      <c r="I21">
        <f t="shared" si="0"/>
        <v>27854204.194558848</v>
      </c>
      <c r="J21">
        <f>_xlfn.XLOOKUP($A21,Cert_Cabecera!$A:$A,Cert_Cabecera!$E:$E)</f>
        <v>0.2</v>
      </c>
      <c r="K21">
        <f t="shared" si="1"/>
        <v>-5570840.8389117699</v>
      </c>
      <c r="L21">
        <f t="shared" si="2"/>
        <v>22283363.35564708</v>
      </c>
      <c r="M21">
        <f>_xlfn.XLOOKUP($E21,Cert_OC_Cliente!$B:$B,Cert_OC_Cliente!$G:$G)</f>
        <v>14366.9</v>
      </c>
      <c r="N21">
        <f>IF($Y21="",_xlfn.XLOOKUP(DATE(YEAR(F21),MONTH(F21),1),'0_Indice_CAC'!$A:$A,'0_Indice_CAC'!$B:$B),$Y21)</f>
        <v>18172.8</v>
      </c>
      <c r="O21">
        <f t="shared" si="3"/>
        <v>1.2649075305041448</v>
      </c>
      <c r="P21">
        <f t="shared" si="4"/>
        <v>5903030.7578710224</v>
      </c>
      <c r="Q21">
        <f t="shared" si="5"/>
        <v>28186394.113518104</v>
      </c>
      <c r="R21" s="203">
        <v>0</v>
      </c>
      <c r="S21">
        <f t="shared" si="6"/>
        <v>0</v>
      </c>
      <c r="T21">
        <f t="shared" si="7"/>
        <v>28186394.113518104</v>
      </c>
      <c r="U21">
        <v>1170</v>
      </c>
      <c r="V21">
        <f t="shared" si="8"/>
        <v>24090.935139759062</v>
      </c>
      <c r="X21" t="str">
        <f t="shared" si="9"/>
        <v>✓</v>
      </c>
    </row>
    <row r="22" spans="1:24" x14ac:dyDescent="0.35">
      <c r="A22" t="s">
        <v>3120</v>
      </c>
      <c r="B22" t="s">
        <v>3242</v>
      </c>
      <c r="C22" t="s">
        <v>3221</v>
      </c>
      <c r="D22" t="str">
        <f>_xlfn.XLOOKUP(A22,Cert_App_Output!$C:$C,Cert_App_Output!$A:$A)</f>
        <v>SVD 4140</v>
      </c>
      <c r="E22" t="s">
        <v>3065</v>
      </c>
      <c r="F22">
        <f>_xlfn.XLOOKUP(A22,Cert_App_Output!$C:$C,Cert_App_Output!$D:$D)</f>
        <v>45957</v>
      </c>
      <c r="G22">
        <f>SUMIFS(Cert_App_Output!$J:$J,Cert_App_Output!$C:$C,$A22)</f>
        <v>41228689.463567428</v>
      </c>
      <c r="H22" s="201">
        <v>0.3745</v>
      </c>
      <c r="I22">
        <f t="shared" si="0"/>
        <v>15440144.204106001</v>
      </c>
      <c r="J22">
        <f>_xlfn.XLOOKUP($A22,Cert_Cabecera!$A:$A,Cert_Cabecera!$E:$E)</f>
        <v>0.2</v>
      </c>
      <c r="K22">
        <f t="shared" si="1"/>
        <v>-3088028.8408212005</v>
      </c>
      <c r="L22">
        <f t="shared" si="2"/>
        <v>12352115.3632848</v>
      </c>
      <c r="M22">
        <f>_xlfn.XLOOKUP($E22,Cert_OC_Cliente!$B:$B,Cert_OC_Cliente!$G:$G)</f>
        <v>14366.9</v>
      </c>
      <c r="N22">
        <f>IF($Y22="",_xlfn.XLOOKUP(DATE(YEAR(F22),MONTH(F22),1),'0_Indice_CAC'!$A:$A,'0_Indice_CAC'!$B:$B),$Y22)</f>
        <v>18172.8</v>
      </c>
      <c r="O22">
        <f t="shared" si="3"/>
        <v>1.2649075305041448</v>
      </c>
      <c r="P22">
        <f t="shared" si="4"/>
        <v>3272168.3773900843</v>
      </c>
      <c r="Q22">
        <f t="shared" si="5"/>
        <v>15624283.740674885</v>
      </c>
      <c r="R22" s="203">
        <v>0.105</v>
      </c>
      <c r="S22">
        <f t="shared" si="6"/>
        <v>1640549.7927708628</v>
      </c>
      <c r="T22">
        <f t="shared" si="7"/>
        <v>17264833.533445749</v>
      </c>
      <c r="U22">
        <v>1170</v>
      </c>
      <c r="V22" t="str">
        <f t="shared" si="8"/>
        <v/>
      </c>
      <c r="X22" t="str">
        <f t="shared" si="9"/>
        <v>✓</v>
      </c>
    </row>
    <row r="23" spans="1:24" x14ac:dyDescent="0.35">
      <c r="A23" t="s">
        <v>3120</v>
      </c>
      <c r="B23" t="s">
        <v>3243</v>
      </c>
      <c r="C23" t="s">
        <v>3223</v>
      </c>
      <c r="D23" t="str">
        <f>_xlfn.XLOOKUP(A23,Cert_App_Output!$C:$C,Cert_App_Output!$A:$A)</f>
        <v>SVD 4140</v>
      </c>
      <c r="E23" t="s">
        <v>3065</v>
      </c>
      <c r="F23">
        <f>_xlfn.XLOOKUP(A23,Cert_App_Output!$C:$C,Cert_App_Output!$D:$D)</f>
        <v>45957</v>
      </c>
      <c r="G23">
        <f>SUMIFS(Cert_App_Output!$J:$J,Cert_App_Output!$C:$C,$A23)</f>
        <v>41228689.463567428</v>
      </c>
      <c r="H23" s="201">
        <v>0.62549999999999994</v>
      </c>
      <c r="I23">
        <f t="shared" si="0"/>
        <v>25788545.259461425</v>
      </c>
      <c r="J23">
        <f>_xlfn.XLOOKUP($A23,Cert_Cabecera!$A:$A,Cert_Cabecera!$E:$E)</f>
        <v>0.2</v>
      </c>
      <c r="K23">
        <f t="shared" si="1"/>
        <v>-5157709.0518922852</v>
      </c>
      <c r="L23">
        <f t="shared" si="2"/>
        <v>20630836.207569141</v>
      </c>
      <c r="M23">
        <f>_xlfn.XLOOKUP($E23,Cert_OC_Cliente!$B:$B,Cert_OC_Cliente!$G:$G)</f>
        <v>14366.9</v>
      </c>
      <c r="N23">
        <f>IF($Y23="",_xlfn.XLOOKUP(DATE(YEAR(F23),MONTH(F23),1),'0_Indice_CAC'!$A:$A,'0_Indice_CAC'!$B:$B),$Y23)</f>
        <v>18172.8</v>
      </c>
      <c r="O23">
        <f t="shared" si="3"/>
        <v>1.2649075305041448</v>
      </c>
      <c r="P23">
        <f t="shared" si="4"/>
        <v>5465263.8719826378</v>
      </c>
      <c r="Q23">
        <f t="shared" si="5"/>
        <v>26096100.079551779</v>
      </c>
      <c r="R23" s="203">
        <v>0</v>
      </c>
      <c r="S23">
        <f t="shared" si="6"/>
        <v>0</v>
      </c>
      <c r="T23">
        <f t="shared" si="7"/>
        <v>26096100.079551779</v>
      </c>
      <c r="U23">
        <v>1170</v>
      </c>
      <c r="V23">
        <f t="shared" si="8"/>
        <v>22304.359042351949</v>
      </c>
      <c r="X23" t="str">
        <f t="shared" si="9"/>
        <v>✓</v>
      </c>
    </row>
    <row r="24" spans="1:24" x14ac:dyDescent="0.35">
      <c r="A24" t="s">
        <v>3121</v>
      </c>
      <c r="B24" t="s">
        <v>3244</v>
      </c>
      <c r="C24" t="s">
        <v>3221</v>
      </c>
      <c r="D24" t="str">
        <f>_xlfn.XLOOKUP(A24,Cert_App_Output!$C:$C,Cert_App_Output!$A:$A)</f>
        <v>SVD 4140</v>
      </c>
      <c r="E24" t="s">
        <v>3065</v>
      </c>
      <c r="F24">
        <f>_xlfn.XLOOKUP(A24,Cert_App_Output!$C:$C,Cert_App_Output!$D:$D)</f>
        <v>45988</v>
      </c>
      <c r="G24">
        <f>SUMIFS(Cert_App_Output!$J:$J,Cert_App_Output!$C:$C,$A24)</f>
        <v>36158271.967231765</v>
      </c>
      <c r="H24" s="201">
        <v>0.3745</v>
      </c>
      <c r="I24">
        <f t="shared" si="0"/>
        <v>13541272.851728296</v>
      </c>
      <c r="J24">
        <f>_xlfn.XLOOKUP($A24,Cert_Cabecera!$A:$A,Cert_Cabecera!$E:$E)</f>
        <v>0.2</v>
      </c>
      <c r="K24">
        <f t="shared" si="1"/>
        <v>-2708254.5703456593</v>
      </c>
      <c r="L24">
        <f t="shared" si="2"/>
        <v>10833018.281382637</v>
      </c>
      <c r="M24">
        <f>_xlfn.XLOOKUP($E24,Cert_OC_Cliente!$B:$B,Cert_OC_Cliente!$G:$G)</f>
        <v>14366.9</v>
      </c>
      <c r="N24">
        <f>IF($Y24="",_xlfn.XLOOKUP(DATE(YEAR(F24),MONTH(F24),1),'0_Indice_CAC'!$A:$A,'0_Indice_CAC'!$B:$B),$Y24)</f>
        <v>18534.900000000001</v>
      </c>
      <c r="O24">
        <f t="shared" si="3"/>
        <v>1.2901112974963285</v>
      </c>
      <c r="P24">
        <f t="shared" si="4"/>
        <v>3142780.9894133634</v>
      </c>
      <c r="Q24">
        <f t="shared" si="5"/>
        <v>13975799.270796001</v>
      </c>
      <c r="R24" s="203">
        <v>0.105</v>
      </c>
      <c r="S24">
        <f t="shared" si="6"/>
        <v>1467458.92343358</v>
      </c>
      <c r="T24">
        <f t="shared" si="7"/>
        <v>15443258.19422958</v>
      </c>
      <c r="U24">
        <v>1170</v>
      </c>
      <c r="V24" t="str">
        <f t="shared" si="8"/>
        <v/>
      </c>
      <c r="X24" t="str">
        <f t="shared" si="9"/>
        <v>✓</v>
      </c>
    </row>
    <row r="25" spans="1:24" x14ac:dyDescent="0.35">
      <c r="A25" t="s">
        <v>3121</v>
      </c>
      <c r="B25" t="s">
        <v>3245</v>
      </c>
      <c r="C25" t="s">
        <v>3223</v>
      </c>
      <c r="D25" t="str">
        <f>_xlfn.XLOOKUP(A25,Cert_App_Output!$C:$C,Cert_App_Output!$A:$A)</f>
        <v>SVD 4140</v>
      </c>
      <c r="E25" t="s">
        <v>3065</v>
      </c>
      <c r="F25">
        <f>_xlfn.XLOOKUP(A25,Cert_App_Output!$C:$C,Cert_App_Output!$D:$D)</f>
        <v>45988</v>
      </c>
      <c r="G25">
        <f>SUMIFS(Cert_App_Output!$J:$J,Cert_App_Output!$C:$C,$A25)</f>
        <v>36158271.967231765</v>
      </c>
      <c r="H25" s="201">
        <v>0.62549999999999994</v>
      </c>
      <c r="I25">
        <f t="shared" si="0"/>
        <v>22616999.115503468</v>
      </c>
      <c r="J25">
        <f>_xlfn.XLOOKUP($A25,Cert_Cabecera!$A:$A,Cert_Cabecera!$E:$E)</f>
        <v>0.2</v>
      </c>
      <c r="K25">
        <f t="shared" si="1"/>
        <v>-4523399.8231006935</v>
      </c>
      <c r="L25">
        <f t="shared" si="2"/>
        <v>18093599.292402774</v>
      </c>
      <c r="M25">
        <f>_xlfn.XLOOKUP($E25,Cert_OC_Cliente!$B:$B,Cert_OC_Cliente!$G:$G)</f>
        <v>14366.9</v>
      </c>
      <c r="N25">
        <f>IF($Y25="",_xlfn.XLOOKUP(DATE(YEAR(F25),MONTH(F25),1),'0_Indice_CAC'!$A:$A,'0_Indice_CAC'!$B:$B),$Y25)</f>
        <v>18534.900000000001</v>
      </c>
      <c r="O25">
        <f t="shared" si="3"/>
        <v>1.2901112974963285</v>
      </c>
      <c r="P25">
        <f t="shared" si="4"/>
        <v>5249157.5670976192</v>
      </c>
      <c r="Q25">
        <f t="shared" si="5"/>
        <v>23342756.859500393</v>
      </c>
      <c r="R25" s="203">
        <v>0</v>
      </c>
      <c r="S25">
        <f t="shared" si="6"/>
        <v>0</v>
      </c>
      <c r="T25">
        <f t="shared" si="7"/>
        <v>23342756.859500393</v>
      </c>
      <c r="U25">
        <v>1170</v>
      </c>
      <c r="V25">
        <f t="shared" si="8"/>
        <v>19951.074238889225</v>
      </c>
      <c r="X25" t="str">
        <f t="shared" si="9"/>
        <v>✓</v>
      </c>
    </row>
    <row r="26" spans="1:24" x14ac:dyDescent="0.35">
      <c r="A26" t="s">
        <v>3124</v>
      </c>
      <c r="B26" t="s">
        <v>3246</v>
      </c>
      <c r="C26" t="s">
        <v>3221</v>
      </c>
      <c r="D26" t="str">
        <f>_xlfn.XLOOKUP(A26,Cert_App_Output!$C:$C,Cert_App_Output!$A:$A)</f>
        <v>SVD 4140</v>
      </c>
      <c r="E26" t="s">
        <v>3065</v>
      </c>
      <c r="F26">
        <f>_xlfn.XLOOKUP(A26,Cert_App_Output!$C:$C,Cert_App_Output!$D:$D)</f>
        <v>45988</v>
      </c>
      <c r="G26">
        <f>SUMIFS(Cert_App_Output!$J:$J,Cert_App_Output!$C:$C,$A26)</f>
        <v>24574965.215796474</v>
      </c>
      <c r="H26" s="201">
        <v>0.3745</v>
      </c>
      <c r="I26">
        <f t="shared" si="0"/>
        <v>9203324.4733157791</v>
      </c>
      <c r="J26">
        <f>_xlfn.XLOOKUP($A26,Cert_Cabecera!$A:$A,Cert_Cabecera!$E:$E)</f>
        <v>0.2</v>
      </c>
      <c r="K26">
        <f t="shared" si="1"/>
        <v>-1840664.894663156</v>
      </c>
      <c r="L26">
        <f t="shared" si="2"/>
        <v>7362659.5786526231</v>
      </c>
      <c r="M26">
        <f>_xlfn.XLOOKUP($E26,Cert_OC_Cliente!$B:$B,Cert_OC_Cliente!$G:$G)</f>
        <v>14366.9</v>
      </c>
      <c r="N26">
        <f>IF($Y26="",_xlfn.XLOOKUP(DATE(YEAR(F26),MONTH(F26),1),'0_Indice_CAC'!$A:$A,'0_Indice_CAC'!$B:$B),$Y26)</f>
        <v>18534.900000000001</v>
      </c>
      <c r="O26">
        <f t="shared" si="3"/>
        <v>1.2901112974963285</v>
      </c>
      <c r="P26">
        <f t="shared" si="4"/>
        <v>2135990.7233866835</v>
      </c>
      <c r="Q26">
        <f t="shared" si="5"/>
        <v>9498650.3020393066</v>
      </c>
      <c r="R26" s="203">
        <v>0.105</v>
      </c>
      <c r="S26">
        <f t="shared" si="6"/>
        <v>997358.28171412717</v>
      </c>
      <c r="T26">
        <f t="shared" si="7"/>
        <v>10496008.583753433</v>
      </c>
      <c r="U26">
        <v>1170</v>
      </c>
      <c r="V26" t="str">
        <f t="shared" si="8"/>
        <v/>
      </c>
      <c r="X26" t="str">
        <f t="shared" si="9"/>
        <v>✓</v>
      </c>
    </row>
    <row r="27" spans="1:24" x14ac:dyDescent="0.35">
      <c r="A27" t="s">
        <v>3124</v>
      </c>
      <c r="B27" t="s">
        <v>3247</v>
      </c>
      <c r="C27" t="s">
        <v>3223</v>
      </c>
      <c r="D27" t="str">
        <f>_xlfn.XLOOKUP(A27,Cert_App_Output!$C:$C,Cert_App_Output!$A:$A)</f>
        <v>SVD 4140</v>
      </c>
      <c r="E27" t="s">
        <v>3065</v>
      </c>
      <c r="F27">
        <f>_xlfn.XLOOKUP(A27,Cert_App_Output!$C:$C,Cert_App_Output!$D:$D)</f>
        <v>45988</v>
      </c>
      <c r="G27">
        <f>SUMIFS(Cert_App_Output!$J:$J,Cert_App_Output!$C:$C,$A27)</f>
        <v>24574965.215796474</v>
      </c>
      <c r="H27" s="201">
        <v>0.62549999999999994</v>
      </c>
      <c r="I27">
        <f t="shared" si="0"/>
        <v>15371640.742480693</v>
      </c>
      <c r="J27">
        <f>_xlfn.XLOOKUP($A27,Cert_Cabecera!$A:$A,Cert_Cabecera!$E:$E)</f>
        <v>0.2</v>
      </c>
      <c r="K27">
        <f t="shared" si="1"/>
        <v>-3074328.1484961389</v>
      </c>
      <c r="L27">
        <f t="shared" si="2"/>
        <v>12297312.593984555</v>
      </c>
      <c r="M27">
        <f>_xlfn.XLOOKUP($E27,Cert_OC_Cliente!$B:$B,Cert_OC_Cliente!$G:$G)</f>
        <v>14366.9</v>
      </c>
      <c r="N27">
        <f>IF($Y27="",_xlfn.XLOOKUP(DATE(YEAR(F27),MONTH(F27),1),'0_Indice_CAC'!$A:$A,'0_Indice_CAC'!$B:$B),$Y27)</f>
        <v>18534.900000000001</v>
      </c>
      <c r="O27">
        <f t="shared" si="3"/>
        <v>1.2901112974963285</v>
      </c>
      <c r="P27">
        <f t="shared" si="4"/>
        <v>3567589.3123588003</v>
      </c>
      <c r="Q27">
        <f t="shared" si="5"/>
        <v>15864901.906343356</v>
      </c>
      <c r="R27" s="203">
        <v>0</v>
      </c>
      <c r="S27">
        <f t="shared" si="6"/>
        <v>0</v>
      </c>
      <c r="T27">
        <f t="shared" si="7"/>
        <v>15864901.906343356</v>
      </c>
      <c r="U27">
        <v>1170</v>
      </c>
      <c r="V27">
        <f t="shared" si="8"/>
        <v>13559.745219096885</v>
      </c>
      <c r="X27" t="str">
        <f t="shared" si="9"/>
        <v>✓</v>
      </c>
    </row>
    <row r="28" spans="1:24" x14ac:dyDescent="0.35">
      <c r="A28" t="s">
        <v>3125</v>
      </c>
      <c r="B28" t="s">
        <v>3248</v>
      </c>
      <c r="C28" t="s">
        <v>3221</v>
      </c>
      <c r="D28" t="str">
        <f>_xlfn.XLOOKUP(A28,Cert_App_Output!$C:$C,Cert_App_Output!$A:$A)</f>
        <v>SVD 4140</v>
      </c>
      <c r="E28" t="s">
        <v>3065</v>
      </c>
      <c r="F28">
        <f>_xlfn.XLOOKUP(A28,Cert_App_Output!$C:$C,Cert_App_Output!$D:$D)</f>
        <v>46050</v>
      </c>
      <c r="G28">
        <f>SUMIFS(Cert_App_Output!$J:$J,Cert_App_Output!$C:$C,$A28)</f>
        <v>29825745.260415751</v>
      </c>
      <c r="H28" s="201">
        <v>0.3745</v>
      </c>
      <c r="I28">
        <f t="shared" si="0"/>
        <v>11169741.600025699</v>
      </c>
      <c r="J28">
        <f>_xlfn.XLOOKUP($A28,Cert_Cabecera!$A:$A,Cert_Cabecera!$E:$E)</f>
        <v>0.2</v>
      </c>
      <c r="K28">
        <f t="shared" si="1"/>
        <v>-2233948.3200051398</v>
      </c>
      <c r="L28">
        <f t="shared" si="2"/>
        <v>8935793.2800205592</v>
      </c>
      <c r="M28">
        <f>_xlfn.XLOOKUP($E28,Cert_OC_Cliente!$B:$B,Cert_OC_Cliente!$G:$G)</f>
        <v>14366.9</v>
      </c>
      <c r="N28">
        <f>IF($Y28="",_xlfn.XLOOKUP(DATE(YEAR(F28),MONTH(F28),1),'0_Indice_CAC'!$A:$A,'0_Indice_CAC'!$B:$B),$Y28)</f>
        <v>19209.400000000001</v>
      </c>
      <c r="O28">
        <f t="shared" si="3"/>
        <v>1.3370594909131408</v>
      </c>
      <c r="P28">
        <f t="shared" si="4"/>
        <v>3011893.9338687942</v>
      </c>
      <c r="Q28">
        <f t="shared" si="5"/>
        <v>11947687.213889353</v>
      </c>
      <c r="R28" s="203">
        <v>0.105</v>
      </c>
      <c r="S28">
        <f t="shared" si="6"/>
        <v>1254507.157458382</v>
      </c>
      <c r="T28">
        <f t="shared" si="7"/>
        <v>13202194.371347735</v>
      </c>
      <c r="U28">
        <v>1170</v>
      </c>
      <c r="V28" t="str">
        <f t="shared" si="8"/>
        <v/>
      </c>
      <c r="X28" t="str">
        <f t="shared" si="9"/>
        <v>✓</v>
      </c>
    </row>
    <row r="29" spans="1:24" x14ac:dyDescent="0.35">
      <c r="A29" t="s">
        <v>3125</v>
      </c>
      <c r="B29" t="s">
        <v>3249</v>
      </c>
      <c r="C29" t="s">
        <v>3223</v>
      </c>
      <c r="D29" t="str">
        <f>_xlfn.XLOOKUP(A29,Cert_App_Output!$C:$C,Cert_App_Output!$A:$A)</f>
        <v>SVD 4140</v>
      </c>
      <c r="E29" t="s">
        <v>3065</v>
      </c>
      <c r="F29">
        <f>_xlfn.XLOOKUP(A29,Cert_App_Output!$C:$C,Cert_App_Output!$D:$D)</f>
        <v>46050</v>
      </c>
      <c r="G29">
        <f>SUMIFS(Cert_App_Output!$J:$J,Cert_App_Output!$C:$C,$A29)</f>
        <v>29825745.260415751</v>
      </c>
      <c r="H29" s="201">
        <v>0.62549999999999994</v>
      </c>
      <c r="I29">
        <f t="shared" si="0"/>
        <v>18656003.660390049</v>
      </c>
      <c r="J29">
        <f>_xlfn.XLOOKUP($A29,Cert_Cabecera!$A:$A,Cert_Cabecera!$E:$E)</f>
        <v>0.2</v>
      </c>
      <c r="K29">
        <f t="shared" si="1"/>
        <v>-3731200.7320780102</v>
      </c>
      <c r="L29">
        <f t="shared" si="2"/>
        <v>14924802.928312039</v>
      </c>
      <c r="M29">
        <f>_xlfn.XLOOKUP($E29,Cert_OC_Cliente!$B:$B,Cert_OC_Cliente!$G:$G)</f>
        <v>14366.9</v>
      </c>
      <c r="N29">
        <f>IF($Y29="",_xlfn.XLOOKUP(DATE(YEAR(F29),MONTH(F29),1),'0_Indice_CAC'!$A:$A,'0_Indice_CAC'!$B:$B),$Y29)</f>
        <v>19209.400000000001</v>
      </c>
      <c r="O29">
        <f t="shared" si="3"/>
        <v>1.3370594909131408</v>
      </c>
      <c r="P29">
        <f t="shared" si="4"/>
        <v>5030546.476995809</v>
      </c>
      <c r="Q29">
        <f t="shared" si="5"/>
        <v>19955349.405307848</v>
      </c>
      <c r="R29" s="203">
        <v>0</v>
      </c>
      <c r="S29">
        <f t="shared" si="6"/>
        <v>0</v>
      </c>
      <c r="T29">
        <f t="shared" si="7"/>
        <v>19955349.405307848</v>
      </c>
      <c r="U29">
        <v>1170</v>
      </c>
      <c r="V29">
        <f t="shared" si="8"/>
        <v>17055.854192570809</v>
      </c>
      <c r="X29" t="str">
        <f t="shared" si="9"/>
        <v>✓</v>
      </c>
    </row>
    <row r="30" spans="1:24" x14ac:dyDescent="0.35">
      <c r="A30" t="s">
        <v>3127</v>
      </c>
      <c r="B30" t="s">
        <v>3250</v>
      </c>
      <c r="C30" t="s">
        <v>3221</v>
      </c>
      <c r="D30" t="str">
        <f>_xlfn.XLOOKUP(A30,Cert_App_Output!$C:$C,Cert_App_Output!$A:$A)</f>
        <v>SVD 4140</v>
      </c>
      <c r="E30" t="s">
        <v>3065</v>
      </c>
      <c r="F30">
        <f>_xlfn.XLOOKUP(A30,Cert_App_Output!$C:$C,Cert_App_Output!$D:$D)</f>
        <v>46080</v>
      </c>
      <c r="G30">
        <f>SUMIFS(Cert_App_Output!$J:$J,Cert_App_Output!$C:$C,$A30)</f>
        <v>8182131.6500000004</v>
      </c>
      <c r="H30" s="201">
        <v>0.3745</v>
      </c>
      <c r="I30">
        <f t="shared" si="0"/>
        <v>3064208.302925</v>
      </c>
      <c r="J30">
        <f>_xlfn.XLOOKUP($A30,Cert_Cabecera!$A:$A,Cert_Cabecera!$E:$E)</f>
        <v>0.2</v>
      </c>
      <c r="K30">
        <f t="shared" si="1"/>
        <v>-612841.66058500006</v>
      </c>
      <c r="L30">
        <f t="shared" si="2"/>
        <v>2451366.6423399998</v>
      </c>
      <c r="M30">
        <f>_xlfn.XLOOKUP($E30,Cert_OC_Cliente!$B:$B,Cert_OC_Cliente!$G:$G)</f>
        <v>14366.9</v>
      </c>
      <c r="N30">
        <f>IF($Y30="",_xlfn.XLOOKUP(DATE(YEAR(F30),MONTH(F30),1),'0_Indice_CAC'!$A:$A,'0_Indice_CAC'!$B:$B),$Y30)</f>
        <v>19453</v>
      </c>
      <c r="O30">
        <f t="shared" si="3"/>
        <v>1.3540151320048166</v>
      </c>
      <c r="P30">
        <f t="shared" si="4"/>
        <v>867820.88548019913</v>
      </c>
      <c r="Q30">
        <f t="shared" si="5"/>
        <v>3319187.5278201988</v>
      </c>
      <c r="R30" s="203">
        <v>0.105</v>
      </c>
      <c r="S30">
        <f t="shared" si="6"/>
        <v>348514.69042112085</v>
      </c>
      <c r="T30">
        <f t="shared" si="7"/>
        <v>3667702.2182413195</v>
      </c>
      <c r="U30">
        <v>1170</v>
      </c>
      <c r="V30" t="str">
        <f t="shared" si="8"/>
        <v/>
      </c>
      <c r="X30" t="str">
        <f t="shared" si="9"/>
        <v>✓</v>
      </c>
    </row>
    <row r="31" spans="1:24" x14ac:dyDescent="0.35">
      <c r="A31" t="s">
        <v>3127</v>
      </c>
      <c r="B31" t="s">
        <v>3251</v>
      </c>
      <c r="C31" t="s">
        <v>3223</v>
      </c>
      <c r="D31" t="str">
        <f>_xlfn.XLOOKUP(A31,Cert_App_Output!$C:$C,Cert_App_Output!$A:$A)</f>
        <v>SVD 4140</v>
      </c>
      <c r="E31" t="s">
        <v>3065</v>
      </c>
      <c r="F31">
        <f>_xlfn.XLOOKUP(A31,Cert_App_Output!$C:$C,Cert_App_Output!$D:$D)</f>
        <v>46080</v>
      </c>
      <c r="G31">
        <f>SUMIFS(Cert_App_Output!$J:$J,Cert_App_Output!$C:$C,$A31)</f>
        <v>8182131.6500000004</v>
      </c>
      <c r="H31" s="201">
        <v>0.62549999999999994</v>
      </c>
      <c r="I31">
        <f t="shared" si="0"/>
        <v>5117923.3470749995</v>
      </c>
      <c r="J31">
        <f>_xlfn.XLOOKUP($A31,Cert_Cabecera!$A:$A,Cert_Cabecera!$E:$E)</f>
        <v>0.2</v>
      </c>
      <c r="K31">
        <f t="shared" si="1"/>
        <v>-1023584.6694149999</v>
      </c>
      <c r="L31">
        <f t="shared" si="2"/>
        <v>4094338.6776599996</v>
      </c>
      <c r="M31">
        <f>_xlfn.XLOOKUP($E31,Cert_OC_Cliente!$B:$B,Cert_OC_Cliente!$G:$G)</f>
        <v>14366.9</v>
      </c>
      <c r="N31">
        <f>IF($Y31="",_xlfn.XLOOKUP(DATE(YEAR(F31),MONTH(F31),1),'0_Indice_CAC'!$A:$A,'0_Indice_CAC'!$B:$B),$Y31)</f>
        <v>19453</v>
      </c>
      <c r="O31">
        <f t="shared" si="3"/>
        <v>1.3540151320048166</v>
      </c>
      <c r="P31">
        <f t="shared" si="4"/>
        <v>1449457.8474442309</v>
      </c>
      <c r="Q31">
        <f t="shared" si="5"/>
        <v>5543796.5251042303</v>
      </c>
      <c r="R31" s="203">
        <v>0</v>
      </c>
      <c r="S31">
        <f t="shared" si="6"/>
        <v>0</v>
      </c>
      <c r="T31">
        <f t="shared" si="7"/>
        <v>5543796.5251042303</v>
      </c>
      <c r="U31">
        <v>1170</v>
      </c>
      <c r="V31">
        <f t="shared" si="8"/>
        <v>4738.2876282942143</v>
      </c>
      <c r="X31" t="str">
        <f t="shared" si="9"/>
        <v>✓</v>
      </c>
    </row>
    <row r="32" spans="1:24" x14ac:dyDescent="0.35">
      <c r="A32" t="s">
        <v>3129</v>
      </c>
      <c r="B32" t="s">
        <v>3252</v>
      </c>
      <c r="C32" t="s">
        <v>3221</v>
      </c>
      <c r="D32" t="str">
        <f>_xlfn.XLOOKUP(A32,Cert_App_Output!$C:$C,Cert_App_Output!$A:$A)</f>
        <v>SVD 4140</v>
      </c>
      <c r="E32" t="s">
        <v>3067</v>
      </c>
      <c r="F32">
        <f>_xlfn.XLOOKUP(A32,Cert_App_Output!$C:$C,Cert_App_Output!$D:$D)</f>
        <v>45958</v>
      </c>
      <c r="G32">
        <f>SUMIFS(Cert_App_Output!$J:$J,Cert_App_Output!$C:$C,$A32)</f>
        <v>26817056.5</v>
      </c>
      <c r="H32" s="201">
        <v>0.2407</v>
      </c>
      <c r="I32">
        <f t="shared" si="0"/>
        <v>6454865.4995499998</v>
      </c>
      <c r="J32">
        <f>_xlfn.XLOOKUP($A32,Cert_Cabecera!$A:$A,Cert_Cabecera!$E:$E)</f>
        <v>0.4</v>
      </c>
      <c r="K32">
        <f t="shared" si="1"/>
        <v>-2581946.1998200002</v>
      </c>
      <c r="L32">
        <f t="shared" si="2"/>
        <v>3872919.2997299996</v>
      </c>
      <c r="M32">
        <f>_xlfn.XLOOKUP($E32,Cert_OC_Cliente!$B:$B,Cert_OC_Cliente!$G:$G)</f>
        <v>14366.9</v>
      </c>
      <c r="N32">
        <f>IF($Y32="",_xlfn.XLOOKUP(DATE(YEAR(F32),MONTH(F32),1),'0_Indice_CAC'!$A:$A,'0_Indice_CAC'!$B:$B),$Y32)</f>
        <v>18172.8</v>
      </c>
      <c r="O32">
        <f t="shared" si="3"/>
        <v>1.2649075305041448</v>
      </c>
      <c r="P32">
        <f t="shared" si="4"/>
        <v>1025965.4875333161</v>
      </c>
      <c r="Q32">
        <f t="shared" si="5"/>
        <v>4898884.7872633161</v>
      </c>
      <c r="R32" s="203">
        <v>0.105</v>
      </c>
      <c r="S32">
        <f t="shared" si="6"/>
        <v>514382.90266264818</v>
      </c>
      <c r="T32">
        <f t="shared" si="7"/>
        <v>5413267.689925964</v>
      </c>
      <c r="U32">
        <v>1170</v>
      </c>
      <c r="V32" t="str">
        <f t="shared" si="8"/>
        <v/>
      </c>
      <c r="X32" t="str">
        <f t="shared" si="9"/>
        <v>✓</v>
      </c>
    </row>
    <row r="33" spans="1:24" x14ac:dyDescent="0.35">
      <c r="A33" t="s">
        <v>3129</v>
      </c>
      <c r="B33" t="s">
        <v>3253</v>
      </c>
      <c r="C33" t="s">
        <v>3223</v>
      </c>
      <c r="D33" t="str">
        <f>_xlfn.XLOOKUP(A33,Cert_App_Output!$C:$C,Cert_App_Output!$A:$A)</f>
        <v>SVD 4140</v>
      </c>
      <c r="E33" t="s">
        <v>3067</v>
      </c>
      <c r="F33">
        <f>_xlfn.XLOOKUP(A33,Cert_App_Output!$C:$C,Cert_App_Output!$D:$D)</f>
        <v>45958</v>
      </c>
      <c r="G33">
        <f>SUMIFS(Cert_App_Output!$J:$J,Cert_App_Output!$C:$C,$A33)</f>
        <v>26817056.5</v>
      </c>
      <c r="H33" s="201">
        <v>0.75929999999999997</v>
      </c>
      <c r="I33">
        <f t="shared" si="0"/>
        <v>20362191.00045</v>
      </c>
      <c r="J33">
        <f>_xlfn.XLOOKUP($A33,Cert_Cabecera!$A:$A,Cert_Cabecera!$E:$E)</f>
        <v>0.4</v>
      </c>
      <c r="K33">
        <f t="shared" si="1"/>
        <v>-8144876.4001800008</v>
      </c>
      <c r="L33">
        <f t="shared" si="2"/>
        <v>12217314.600269999</v>
      </c>
      <c r="M33">
        <f>_xlfn.XLOOKUP($E33,Cert_OC_Cliente!$B:$B,Cert_OC_Cliente!$G:$G)</f>
        <v>14366.9</v>
      </c>
      <c r="N33">
        <f>IF($Y33="",_xlfn.XLOOKUP(DATE(YEAR(F33),MONTH(F33),1),'0_Indice_CAC'!$A:$A,'0_Indice_CAC'!$B:$B),$Y33)</f>
        <v>18172.8</v>
      </c>
      <c r="O33">
        <f t="shared" si="3"/>
        <v>1.2649075305041448</v>
      </c>
      <c r="P33">
        <f t="shared" si="4"/>
        <v>3236458.6401497591</v>
      </c>
      <c r="Q33">
        <f t="shared" si="5"/>
        <v>15453773.240419758</v>
      </c>
      <c r="R33" s="203">
        <v>0</v>
      </c>
      <c r="S33">
        <f t="shared" si="6"/>
        <v>0</v>
      </c>
      <c r="T33">
        <f t="shared" si="7"/>
        <v>15453773.240419758</v>
      </c>
      <c r="U33">
        <v>1170</v>
      </c>
      <c r="V33">
        <f t="shared" si="8"/>
        <v>13208.353196939965</v>
      </c>
      <c r="X33" t="str">
        <f t="shared" si="9"/>
        <v>✓</v>
      </c>
    </row>
    <row r="34" spans="1:24" x14ac:dyDescent="0.35">
      <c r="A34" t="s">
        <v>3142</v>
      </c>
      <c r="B34" t="s">
        <v>3254</v>
      </c>
      <c r="C34" t="s">
        <v>3221</v>
      </c>
      <c r="D34" t="str">
        <f>_xlfn.XLOOKUP(A34,Cert_App_Output!$C:$C,Cert_App_Output!$A:$A)</f>
        <v>SVD 4140</v>
      </c>
      <c r="E34" t="s">
        <v>3067</v>
      </c>
      <c r="F34">
        <f>_xlfn.XLOOKUP(A34,Cert_App_Output!$C:$C,Cert_App_Output!$D:$D)</f>
        <v>45988</v>
      </c>
      <c r="G34">
        <f>SUMIFS(Cert_App_Output!$J:$J,Cert_App_Output!$C:$C,$A34)</f>
        <v>10370146.550000001</v>
      </c>
      <c r="H34" s="201">
        <v>0.2407</v>
      </c>
      <c r="I34">
        <f t="shared" si="0"/>
        <v>2496094.2745850002</v>
      </c>
      <c r="J34">
        <f>_xlfn.XLOOKUP($A34,Cert_Cabecera!$A:$A,Cert_Cabecera!$E:$E)</f>
        <v>0.4</v>
      </c>
      <c r="K34">
        <f t="shared" si="1"/>
        <v>-998437.7098340001</v>
      </c>
      <c r="L34">
        <f t="shared" si="2"/>
        <v>1497656.5647510001</v>
      </c>
      <c r="M34">
        <f>_xlfn.XLOOKUP($E34,Cert_OC_Cliente!$B:$B,Cert_OC_Cliente!$G:$G)</f>
        <v>14366.9</v>
      </c>
      <c r="N34">
        <f>IF($Y34="",_xlfn.XLOOKUP(DATE(YEAR(F34),MONTH(F34),1),'0_Indice_CAC'!$A:$A,'0_Indice_CAC'!$B:$B),$Y34)</f>
        <v>18534.900000000001</v>
      </c>
      <c r="O34">
        <f t="shared" si="3"/>
        <v>1.2901112974963285</v>
      </c>
      <c r="P34">
        <f t="shared" si="4"/>
        <v>434487.08920380671</v>
      </c>
      <c r="Q34">
        <f t="shared" si="5"/>
        <v>1932143.6539548067</v>
      </c>
      <c r="R34" s="203">
        <v>0.105</v>
      </c>
      <c r="S34">
        <f t="shared" si="6"/>
        <v>202875.0836652547</v>
      </c>
      <c r="T34">
        <f t="shared" si="7"/>
        <v>2135018.7376200613</v>
      </c>
      <c r="U34">
        <v>1170</v>
      </c>
      <c r="V34" t="str">
        <f t="shared" si="8"/>
        <v/>
      </c>
      <c r="X34" t="str">
        <f t="shared" si="9"/>
        <v>✓</v>
      </c>
    </row>
    <row r="35" spans="1:24" x14ac:dyDescent="0.35">
      <c r="A35" t="s">
        <v>3142</v>
      </c>
      <c r="B35" t="s">
        <v>3255</v>
      </c>
      <c r="C35" t="s">
        <v>3223</v>
      </c>
      <c r="D35" t="str">
        <f>_xlfn.XLOOKUP(A35,Cert_App_Output!$C:$C,Cert_App_Output!$A:$A)</f>
        <v>SVD 4140</v>
      </c>
      <c r="E35" t="s">
        <v>3067</v>
      </c>
      <c r="F35">
        <f>_xlfn.XLOOKUP(A35,Cert_App_Output!$C:$C,Cert_App_Output!$D:$D)</f>
        <v>45988</v>
      </c>
      <c r="G35">
        <f>SUMIFS(Cert_App_Output!$J:$J,Cert_App_Output!$C:$C,$A35)</f>
        <v>10370146.550000001</v>
      </c>
      <c r="H35" s="201">
        <v>0.75929999999999997</v>
      </c>
      <c r="I35">
        <f t="shared" si="0"/>
        <v>7874052.2754150005</v>
      </c>
      <c r="J35">
        <f>_xlfn.XLOOKUP($A35,Cert_Cabecera!$A:$A,Cert_Cabecera!$E:$E)</f>
        <v>0.4</v>
      </c>
      <c r="K35">
        <f t="shared" si="1"/>
        <v>-3149620.9101660005</v>
      </c>
      <c r="L35">
        <f t="shared" si="2"/>
        <v>4724431.3652490005</v>
      </c>
      <c r="M35">
        <f>_xlfn.XLOOKUP($E35,Cert_OC_Cliente!$B:$B,Cert_OC_Cliente!$G:$G)</f>
        <v>14366.9</v>
      </c>
      <c r="N35">
        <f>IF($Y35="",_xlfn.XLOOKUP(DATE(YEAR(F35),MONTH(F35),1),'0_Indice_CAC'!$A:$A,'0_Indice_CAC'!$B:$B),$Y35)</f>
        <v>18534.900000000001</v>
      </c>
      <c r="O35">
        <f t="shared" si="3"/>
        <v>1.2901112974963285</v>
      </c>
      <c r="P35">
        <f t="shared" si="4"/>
        <v>1370610.913304738</v>
      </c>
      <c r="Q35">
        <f t="shared" si="5"/>
        <v>6095042.2785537383</v>
      </c>
      <c r="R35" s="203">
        <v>0</v>
      </c>
      <c r="S35">
        <f t="shared" si="6"/>
        <v>0</v>
      </c>
      <c r="T35">
        <f t="shared" si="7"/>
        <v>6095042.2785537383</v>
      </c>
      <c r="U35">
        <v>1170</v>
      </c>
      <c r="V35">
        <f t="shared" si="8"/>
        <v>5209.4378449177248</v>
      </c>
      <c r="X35" t="str">
        <f t="shared" si="9"/>
        <v>✓</v>
      </c>
    </row>
    <row r="36" spans="1:24" x14ac:dyDescent="0.35">
      <c r="A36" t="s">
        <v>3147</v>
      </c>
      <c r="B36" t="s">
        <v>3256</v>
      </c>
      <c r="C36" t="s">
        <v>3221</v>
      </c>
      <c r="D36" t="str">
        <f>_xlfn.XLOOKUP(A36,Cert_App_Output!$C:$C,Cert_App_Output!$A:$A)</f>
        <v>SVD 4140</v>
      </c>
      <c r="E36" t="s">
        <v>3067</v>
      </c>
      <c r="F36">
        <f>_xlfn.XLOOKUP(A36,Cert_App_Output!$C:$C,Cert_App_Output!$D:$D)</f>
        <v>46020</v>
      </c>
      <c r="G36">
        <f>SUMIFS(Cert_App_Output!$J:$J,Cert_App_Output!$C:$C,$A36)</f>
        <v>13812309.48</v>
      </c>
      <c r="H36" s="201">
        <v>0.2407</v>
      </c>
      <c r="I36">
        <f t="shared" si="0"/>
        <v>3324622.8918360001</v>
      </c>
      <c r="J36">
        <f>_xlfn.XLOOKUP($A36,Cert_Cabecera!$A:$A,Cert_Cabecera!$E:$E)</f>
        <v>0.4</v>
      </c>
      <c r="K36">
        <f t="shared" si="1"/>
        <v>-1329849.1567344002</v>
      </c>
      <c r="L36">
        <f t="shared" si="2"/>
        <v>1994773.7351015999</v>
      </c>
      <c r="M36">
        <f>_xlfn.XLOOKUP($E36,Cert_OC_Cliente!$B:$B,Cert_OC_Cliente!$G:$G)</f>
        <v>14366.9</v>
      </c>
      <c r="N36">
        <f>IF($Y36="",_xlfn.XLOOKUP(DATE(YEAR(F36),MONTH(F36),1),'0_Indice_CAC'!$A:$A,'0_Indice_CAC'!$B:$B),$Y36)</f>
        <v>18776.5</v>
      </c>
      <c r="O36">
        <f t="shared" si="3"/>
        <v>1.3069277297120465</v>
      </c>
      <c r="P36">
        <f t="shared" si="4"/>
        <v>612251.37380395329</v>
      </c>
      <c r="Q36">
        <f t="shared" si="5"/>
        <v>2607025.1089055534</v>
      </c>
      <c r="R36" s="203">
        <v>0.105</v>
      </c>
      <c r="S36">
        <f t="shared" si="6"/>
        <v>273737.63643508311</v>
      </c>
      <c r="T36">
        <f t="shared" si="7"/>
        <v>2880762.7453406365</v>
      </c>
      <c r="U36">
        <v>1170</v>
      </c>
      <c r="V36" t="str">
        <f t="shared" si="8"/>
        <v/>
      </c>
      <c r="X36" t="str">
        <f t="shared" si="9"/>
        <v>✓</v>
      </c>
    </row>
    <row r="37" spans="1:24" x14ac:dyDescent="0.35">
      <c r="A37" t="s">
        <v>3147</v>
      </c>
      <c r="B37" t="s">
        <v>3257</v>
      </c>
      <c r="C37" t="s">
        <v>3223</v>
      </c>
      <c r="D37" t="str">
        <f>_xlfn.XLOOKUP(A37,Cert_App_Output!$C:$C,Cert_App_Output!$A:$A)</f>
        <v>SVD 4140</v>
      </c>
      <c r="E37" t="s">
        <v>3067</v>
      </c>
      <c r="F37">
        <f>_xlfn.XLOOKUP(A37,Cert_App_Output!$C:$C,Cert_App_Output!$D:$D)</f>
        <v>46020</v>
      </c>
      <c r="G37">
        <f>SUMIFS(Cert_App_Output!$J:$J,Cert_App_Output!$C:$C,$A37)</f>
        <v>13812309.48</v>
      </c>
      <c r="H37" s="201">
        <v>0.75929999999999997</v>
      </c>
      <c r="I37">
        <f t="shared" si="0"/>
        <v>10487686.588164</v>
      </c>
      <c r="J37">
        <f>_xlfn.XLOOKUP($A37,Cert_Cabecera!$A:$A,Cert_Cabecera!$E:$E)</f>
        <v>0.4</v>
      </c>
      <c r="K37">
        <f t="shared" si="1"/>
        <v>-4195074.6352655999</v>
      </c>
      <c r="L37">
        <f t="shared" si="2"/>
        <v>6292611.9528983999</v>
      </c>
      <c r="M37">
        <f>_xlfn.XLOOKUP($E37,Cert_OC_Cliente!$B:$B,Cert_OC_Cliente!$G:$G)</f>
        <v>14366.9</v>
      </c>
      <c r="N37">
        <f>IF($Y37="",_xlfn.XLOOKUP(DATE(YEAR(F37),MONTH(F37),1),'0_Indice_CAC'!$A:$A,'0_Indice_CAC'!$B:$B),$Y37)</f>
        <v>18776.5</v>
      </c>
      <c r="O37">
        <f t="shared" si="3"/>
        <v>1.3069277297120465</v>
      </c>
      <c r="P37">
        <f t="shared" si="4"/>
        <v>1931377.1006619933</v>
      </c>
      <c r="Q37">
        <f t="shared" si="5"/>
        <v>8223989.0535603929</v>
      </c>
      <c r="R37" s="203">
        <v>0</v>
      </c>
      <c r="S37">
        <f t="shared" si="6"/>
        <v>0</v>
      </c>
      <c r="T37">
        <f t="shared" si="7"/>
        <v>8223989.0535603929</v>
      </c>
      <c r="U37">
        <v>1170</v>
      </c>
      <c r="V37">
        <f t="shared" si="8"/>
        <v>7029.0504731285409</v>
      </c>
      <c r="X37" t="str">
        <f t="shared" si="9"/>
        <v>✓</v>
      </c>
    </row>
    <row r="38" spans="1:24" x14ac:dyDescent="0.35">
      <c r="A38" t="s">
        <v>3150</v>
      </c>
      <c r="B38" t="s">
        <v>3258</v>
      </c>
      <c r="C38" t="s">
        <v>3221</v>
      </c>
      <c r="D38" t="str">
        <f>_xlfn.XLOOKUP(A38,Cert_App_Output!$C:$C,Cert_App_Output!$A:$A)</f>
        <v>SVD 4140</v>
      </c>
      <c r="E38" t="s">
        <v>3067</v>
      </c>
      <c r="F38">
        <f>_xlfn.XLOOKUP(A38,Cert_App_Output!$C:$C,Cert_App_Output!$D:$D)</f>
        <v>46050</v>
      </c>
      <c r="G38">
        <f>SUMIFS(Cert_App_Output!$J:$J,Cert_App_Output!$C:$C,$A38)</f>
        <v>24579489.867349997</v>
      </c>
      <c r="H38" s="201">
        <v>0.2407</v>
      </c>
      <c r="I38">
        <f t="shared" si="0"/>
        <v>5916283.2110711439</v>
      </c>
      <c r="J38">
        <f>_xlfn.XLOOKUP($A38,Cert_Cabecera!$A:$A,Cert_Cabecera!$E:$E)</f>
        <v>0.4</v>
      </c>
      <c r="K38">
        <f t="shared" si="1"/>
        <v>-2366513.2844284577</v>
      </c>
      <c r="L38">
        <f t="shared" si="2"/>
        <v>3549769.9266426861</v>
      </c>
      <c r="M38">
        <f>_xlfn.XLOOKUP($E38,Cert_OC_Cliente!$B:$B,Cert_OC_Cliente!$G:$G)</f>
        <v>14366.9</v>
      </c>
      <c r="N38">
        <f>IF($Y38="",_xlfn.XLOOKUP(DATE(YEAR(F38),MONTH(F38),1),'0_Indice_CAC'!$A:$A,'0_Indice_CAC'!$B:$B),$Y38)</f>
        <v>19209.400000000001</v>
      </c>
      <c r="O38">
        <f t="shared" si="3"/>
        <v>1.3370594909131408</v>
      </c>
      <c r="P38">
        <f t="shared" si="4"/>
        <v>1196483.6443329609</v>
      </c>
      <c r="Q38">
        <f t="shared" si="5"/>
        <v>4746253.5709756473</v>
      </c>
      <c r="R38" s="203">
        <v>0.105</v>
      </c>
      <c r="S38">
        <f t="shared" si="6"/>
        <v>498356.62495244294</v>
      </c>
      <c r="T38">
        <f t="shared" si="7"/>
        <v>5244610.1959280903</v>
      </c>
      <c r="U38">
        <v>1170</v>
      </c>
      <c r="V38" t="str">
        <f t="shared" si="8"/>
        <v/>
      </c>
      <c r="X38" t="str">
        <f t="shared" si="9"/>
        <v>✓</v>
      </c>
    </row>
    <row r="39" spans="1:24" x14ac:dyDescent="0.35">
      <c r="A39" t="s">
        <v>3150</v>
      </c>
      <c r="B39" t="s">
        <v>3259</v>
      </c>
      <c r="C39" t="s">
        <v>3223</v>
      </c>
      <c r="D39" t="str">
        <f>_xlfn.XLOOKUP(A39,Cert_App_Output!$C:$C,Cert_App_Output!$A:$A)</f>
        <v>SVD 4140</v>
      </c>
      <c r="E39" t="s">
        <v>3067</v>
      </c>
      <c r="F39">
        <f>_xlfn.XLOOKUP(A39,Cert_App_Output!$C:$C,Cert_App_Output!$D:$D)</f>
        <v>46050</v>
      </c>
      <c r="G39">
        <f>SUMIFS(Cert_App_Output!$J:$J,Cert_App_Output!$C:$C,$A39)</f>
        <v>24579489.867349997</v>
      </c>
      <c r="H39" s="201">
        <v>0.75929999999999997</v>
      </c>
      <c r="I39">
        <f t="shared" si="0"/>
        <v>18663206.656278852</v>
      </c>
      <c r="J39">
        <f>_xlfn.XLOOKUP($A39,Cert_Cabecera!$A:$A,Cert_Cabecera!$E:$E)</f>
        <v>0.4</v>
      </c>
      <c r="K39">
        <f t="shared" si="1"/>
        <v>-7465282.6625115415</v>
      </c>
      <c r="L39">
        <f t="shared" si="2"/>
        <v>11197923.99376731</v>
      </c>
      <c r="M39">
        <f>_xlfn.XLOOKUP($E39,Cert_OC_Cliente!$B:$B,Cert_OC_Cliente!$G:$G)</f>
        <v>14366.9</v>
      </c>
      <c r="N39">
        <f>IF($Y39="",_xlfn.XLOOKUP(DATE(YEAR(F39),MONTH(F39),1),'0_Indice_CAC'!$A:$A,'0_Indice_CAC'!$B:$B),$Y39)</f>
        <v>19209.400000000001</v>
      </c>
      <c r="O39">
        <f t="shared" si="3"/>
        <v>1.3370594909131408</v>
      </c>
      <c r="P39">
        <f t="shared" si="4"/>
        <v>3774366.5606232542</v>
      </c>
      <c r="Q39">
        <f t="shared" si="5"/>
        <v>14972290.554390565</v>
      </c>
      <c r="R39" s="203">
        <v>0</v>
      </c>
      <c r="S39">
        <f t="shared" si="6"/>
        <v>0</v>
      </c>
      <c r="T39">
        <f t="shared" si="7"/>
        <v>14972290.554390565</v>
      </c>
      <c r="U39">
        <v>1170</v>
      </c>
      <c r="V39">
        <f t="shared" si="8"/>
        <v>12796.829533667149</v>
      </c>
      <c r="X39" t="str">
        <f t="shared" si="9"/>
        <v>✓</v>
      </c>
    </row>
    <row r="40" spans="1:24" x14ac:dyDescent="0.35">
      <c r="A40" t="s">
        <v>3161</v>
      </c>
      <c r="B40" t="s">
        <v>3260</v>
      </c>
      <c r="C40" t="s">
        <v>3221</v>
      </c>
      <c r="D40" t="str">
        <f>_xlfn.XLOOKUP(A40,Cert_App_Output!$C:$C,Cert_App_Output!$A:$A)</f>
        <v>SVD 4140</v>
      </c>
      <c r="E40" t="s">
        <v>3067</v>
      </c>
      <c r="F40">
        <f>_xlfn.XLOOKUP(A40,Cert_App_Output!$C:$C,Cert_App_Output!$D:$D)</f>
        <v>46080</v>
      </c>
      <c r="G40">
        <f>SUMIFS(Cert_App_Output!$J:$J,Cert_App_Output!$C:$C,$A40)</f>
        <v>23785079.820100006</v>
      </c>
      <c r="H40" s="201">
        <v>0.2407</v>
      </c>
      <c r="I40">
        <f t="shared" si="0"/>
        <v>5725068.7126980713</v>
      </c>
      <c r="J40">
        <f>_xlfn.XLOOKUP($A40,Cert_Cabecera!$A:$A,Cert_Cabecera!$E:$E)</f>
        <v>0.4</v>
      </c>
      <c r="K40">
        <f t="shared" si="1"/>
        <v>-2290027.4850792284</v>
      </c>
      <c r="L40">
        <f t="shared" si="2"/>
        <v>3435041.2276188429</v>
      </c>
      <c r="M40">
        <f>_xlfn.XLOOKUP($E40,Cert_OC_Cliente!$B:$B,Cert_OC_Cliente!$G:$G)</f>
        <v>14366.9</v>
      </c>
      <c r="N40">
        <f>IF($Y40="",_xlfn.XLOOKUP(DATE(YEAR(F40),MONTH(F40),1),'0_Indice_CAC'!$A:$A,'0_Indice_CAC'!$B:$B),$Y40)</f>
        <v>19453</v>
      </c>
      <c r="O40">
        <f t="shared" si="3"/>
        <v>1.3540151320048166</v>
      </c>
      <c r="P40">
        <f t="shared" si="4"/>
        <v>1216056.573637472</v>
      </c>
      <c r="Q40">
        <f t="shared" si="5"/>
        <v>4651097.8012563149</v>
      </c>
      <c r="R40" s="203">
        <v>0.105</v>
      </c>
      <c r="S40">
        <f t="shared" si="6"/>
        <v>488365.26913191302</v>
      </c>
      <c r="T40">
        <f t="shared" si="7"/>
        <v>5139463.0703882277</v>
      </c>
      <c r="U40">
        <v>1170</v>
      </c>
      <c r="V40" t="str">
        <f t="shared" si="8"/>
        <v/>
      </c>
      <c r="X40" t="str">
        <f t="shared" si="9"/>
        <v>✓</v>
      </c>
    </row>
    <row r="41" spans="1:24" x14ac:dyDescent="0.35">
      <c r="A41" t="s">
        <v>3161</v>
      </c>
      <c r="B41" t="s">
        <v>3261</v>
      </c>
      <c r="C41" t="s">
        <v>3223</v>
      </c>
      <c r="D41" t="str">
        <f>_xlfn.XLOOKUP(A41,Cert_App_Output!$C:$C,Cert_App_Output!$A:$A)</f>
        <v>SVD 4140</v>
      </c>
      <c r="E41" t="s">
        <v>3067</v>
      </c>
      <c r="F41">
        <f>_xlfn.XLOOKUP(A41,Cert_App_Output!$C:$C,Cert_App_Output!$D:$D)</f>
        <v>46080</v>
      </c>
      <c r="G41">
        <f>SUMIFS(Cert_App_Output!$J:$J,Cert_App_Output!$C:$C,$A41)</f>
        <v>23785079.820100006</v>
      </c>
      <c r="H41" s="201">
        <v>0.75929999999999997</v>
      </c>
      <c r="I41">
        <f t="shared" si="0"/>
        <v>18060011.107401934</v>
      </c>
      <c r="J41">
        <f>_xlfn.XLOOKUP($A41,Cert_Cabecera!$A:$A,Cert_Cabecera!$E:$E)</f>
        <v>0.4</v>
      </c>
      <c r="K41">
        <f t="shared" si="1"/>
        <v>-7224004.4429607736</v>
      </c>
      <c r="L41">
        <f t="shared" si="2"/>
        <v>10836006.664441161</v>
      </c>
      <c r="M41">
        <f>_xlfn.XLOOKUP($E41,Cert_OC_Cliente!$B:$B,Cert_OC_Cliente!$G:$G)</f>
        <v>14366.9</v>
      </c>
      <c r="N41">
        <f>IF($Y41="",_xlfn.XLOOKUP(DATE(YEAR(F41),MONTH(F41),1),'0_Indice_CAC'!$A:$A,'0_Indice_CAC'!$B:$B),$Y41)</f>
        <v>19453</v>
      </c>
      <c r="O41">
        <f t="shared" si="3"/>
        <v>1.3540151320048166</v>
      </c>
      <c r="P41">
        <f t="shared" si="4"/>
        <v>3836110.32971721</v>
      </c>
      <c r="Q41">
        <f t="shared" si="5"/>
        <v>14672116.99415837</v>
      </c>
      <c r="R41" s="203">
        <v>0</v>
      </c>
      <c r="S41">
        <f t="shared" si="6"/>
        <v>0</v>
      </c>
      <c r="T41">
        <f t="shared" si="7"/>
        <v>14672116.99415837</v>
      </c>
      <c r="U41">
        <v>1170</v>
      </c>
      <c r="V41">
        <f t="shared" si="8"/>
        <v>12540.270935178094</v>
      </c>
      <c r="X41" t="str">
        <f t="shared" si="9"/>
        <v>✓</v>
      </c>
    </row>
    <row r="42" spans="1:24" x14ac:dyDescent="0.35">
      <c r="A42" t="s">
        <v>3168</v>
      </c>
      <c r="B42" t="s">
        <v>3262</v>
      </c>
      <c r="C42" t="s">
        <v>3221</v>
      </c>
      <c r="D42" t="str">
        <f>_xlfn.XLOOKUP(A42,Cert_App_Output!$C:$C,Cert_App_Output!$A:$A)</f>
        <v>SVD 4140</v>
      </c>
      <c r="E42" t="s">
        <v>3067</v>
      </c>
      <c r="F42">
        <f>_xlfn.XLOOKUP(A42,Cert_App_Output!$C:$C,Cert_App_Output!$D:$D)</f>
        <v>46108</v>
      </c>
      <c r="G42">
        <f>SUMIFS(Cert_App_Output!$J:$J,Cert_App_Output!$C:$C,$A42)</f>
        <v>38971127.779555008</v>
      </c>
      <c r="H42" s="201">
        <v>0.2407</v>
      </c>
      <c r="I42">
        <f t="shared" si="0"/>
        <v>9380350.4565388896</v>
      </c>
      <c r="J42">
        <f>_xlfn.XLOOKUP($A42,Cert_Cabecera!$A:$A,Cert_Cabecera!$E:$E)</f>
        <v>0.4</v>
      </c>
      <c r="K42">
        <f t="shared" si="1"/>
        <v>-3752140.1826155558</v>
      </c>
      <c r="L42">
        <f t="shared" si="2"/>
        <v>5628210.2739233337</v>
      </c>
      <c r="M42">
        <f>_xlfn.XLOOKUP($E42,Cert_OC_Cliente!$B:$B,Cert_OC_Cliente!$G:$G)</f>
        <v>14366.9</v>
      </c>
      <c r="N42">
        <f>IF($Y42="",_xlfn.XLOOKUP(DATE(YEAR(F42),MONTH(F42),1),'0_Indice_CAC'!$A:$A,'0_Indice_CAC'!$B:$B),$Y42)</f>
        <v>19806.24059391124</v>
      </c>
      <c r="O42">
        <f t="shared" si="3"/>
        <v>1.3786022450153645</v>
      </c>
      <c r="P42">
        <f t="shared" si="4"/>
        <v>2130853.0451259138</v>
      </c>
      <c r="Q42">
        <f t="shared" si="5"/>
        <v>7759063.3190492475</v>
      </c>
      <c r="R42" s="203">
        <v>0.105</v>
      </c>
      <c r="S42">
        <f t="shared" si="6"/>
        <v>814701.64850017091</v>
      </c>
      <c r="T42">
        <f t="shared" si="7"/>
        <v>8573764.967549419</v>
      </c>
      <c r="U42">
        <v>1170</v>
      </c>
      <c r="V42" t="str">
        <f t="shared" si="8"/>
        <v/>
      </c>
      <c r="X42" t="str">
        <f t="shared" si="9"/>
        <v>✓</v>
      </c>
    </row>
    <row r="43" spans="1:24" x14ac:dyDescent="0.35">
      <c r="A43" t="s">
        <v>3168</v>
      </c>
      <c r="B43" t="s">
        <v>3263</v>
      </c>
      <c r="C43" t="s">
        <v>3223</v>
      </c>
      <c r="D43" t="str">
        <f>_xlfn.XLOOKUP(A43,Cert_App_Output!$C:$C,Cert_App_Output!$A:$A)</f>
        <v>SVD 4140</v>
      </c>
      <c r="E43" t="s">
        <v>3067</v>
      </c>
      <c r="F43">
        <f>_xlfn.XLOOKUP(A43,Cert_App_Output!$C:$C,Cert_App_Output!$D:$D)</f>
        <v>46108</v>
      </c>
      <c r="G43">
        <f>SUMIFS(Cert_App_Output!$J:$J,Cert_App_Output!$C:$C,$A43)</f>
        <v>38971127.779555008</v>
      </c>
      <c r="H43" s="201">
        <v>0.75929999999999997</v>
      </c>
      <c r="I43">
        <f t="shared" si="0"/>
        <v>29590777.323016118</v>
      </c>
      <c r="J43">
        <f>_xlfn.XLOOKUP($A43,Cert_Cabecera!$A:$A,Cert_Cabecera!$E:$E)</f>
        <v>0.4</v>
      </c>
      <c r="K43">
        <f t="shared" si="1"/>
        <v>-11836310.929206448</v>
      </c>
      <c r="L43">
        <f t="shared" si="2"/>
        <v>17754466.393809669</v>
      </c>
      <c r="M43">
        <f>_xlfn.XLOOKUP($E43,Cert_OC_Cliente!$B:$B,Cert_OC_Cliente!$G:$G)</f>
        <v>14366.9</v>
      </c>
      <c r="N43">
        <f>IF($Y43="",_xlfn.XLOOKUP(DATE(YEAR(F43),MONTH(F43),1),'0_Indice_CAC'!$A:$A,'0_Indice_CAC'!$B:$B),$Y43)</f>
        <v>19806.24059391124</v>
      </c>
      <c r="O43">
        <f t="shared" si="3"/>
        <v>1.3786022450153645</v>
      </c>
      <c r="P43">
        <f t="shared" si="4"/>
        <v>6721880.835746184</v>
      </c>
      <c r="Q43">
        <f t="shared" si="5"/>
        <v>24476347.229555853</v>
      </c>
      <c r="R43" s="203">
        <v>0</v>
      </c>
      <c r="S43">
        <f t="shared" si="6"/>
        <v>0</v>
      </c>
      <c r="T43">
        <f t="shared" si="7"/>
        <v>24476347.229555853</v>
      </c>
      <c r="U43">
        <v>1170</v>
      </c>
      <c r="V43">
        <f t="shared" si="8"/>
        <v>20919.954897056283</v>
      </c>
      <c r="X43" t="str">
        <f t="shared" si="9"/>
        <v>✓</v>
      </c>
    </row>
    <row r="44" spans="1:24" x14ac:dyDescent="0.35">
      <c r="A44" t="s">
        <v>3177</v>
      </c>
      <c r="B44" t="s">
        <v>3264</v>
      </c>
      <c r="C44" t="s">
        <v>3221</v>
      </c>
      <c r="D44" t="str">
        <f>_xlfn.XLOOKUP(A44,Cert_App_Output!$C:$C,Cert_App_Output!$A:$A)</f>
        <v>SVD 4140</v>
      </c>
      <c r="E44" t="s">
        <v>3067</v>
      </c>
      <c r="F44">
        <f>_xlfn.XLOOKUP(A44,Cert_App_Output!$C:$C,Cert_App_Output!$D:$D)</f>
        <v>46141</v>
      </c>
      <c r="G44">
        <f>SUMIFS(Cert_App_Output!$J:$J,Cert_App_Output!$C:$C,$A44)</f>
        <v>61375957.602024987</v>
      </c>
      <c r="H44" s="201">
        <v>0.2407</v>
      </c>
      <c r="I44">
        <f t="shared" si="0"/>
        <v>14773192.994807415</v>
      </c>
      <c r="J44">
        <f>_xlfn.XLOOKUP($A44,Cert_Cabecera!$A:$A,Cert_Cabecera!$E:$E)</f>
        <v>0.4</v>
      </c>
      <c r="K44">
        <f t="shared" si="1"/>
        <v>-5909277.1979229664</v>
      </c>
      <c r="L44">
        <f t="shared" si="2"/>
        <v>8863915.7968844473</v>
      </c>
      <c r="M44">
        <f>_xlfn.XLOOKUP($E44,Cert_OC_Cliente!$B:$B,Cert_OC_Cliente!$G:$G)</f>
        <v>14366.9</v>
      </c>
      <c r="N44">
        <f>IF($Y44="",_xlfn.XLOOKUP(DATE(YEAR(F44),MONTH(F44),1),'0_Indice_CAC'!$A:$A,'0_Indice_CAC'!$B:$B),$Y44)</f>
        <v>20138.793405782741</v>
      </c>
      <c r="O44">
        <f t="shared" si="3"/>
        <v>1.4017493965840049</v>
      </c>
      <c r="P44">
        <f t="shared" si="4"/>
        <v>3561072.8227697555</v>
      </c>
      <c r="Q44">
        <f t="shared" si="5"/>
        <v>12424988.619654203</v>
      </c>
      <c r="R44" s="203">
        <v>0.105</v>
      </c>
      <c r="S44">
        <f t="shared" si="6"/>
        <v>1304623.8050636912</v>
      </c>
      <c r="T44">
        <f t="shared" si="7"/>
        <v>13729612.424717894</v>
      </c>
      <c r="U44">
        <v>1170</v>
      </c>
      <c r="V44" t="str">
        <f t="shared" si="8"/>
        <v/>
      </c>
      <c r="X44" t="str">
        <f t="shared" si="9"/>
        <v>✓</v>
      </c>
    </row>
    <row r="45" spans="1:24" x14ac:dyDescent="0.35">
      <c r="A45" t="s">
        <v>3177</v>
      </c>
      <c r="B45" t="s">
        <v>3265</v>
      </c>
      <c r="C45" t="s">
        <v>3223</v>
      </c>
      <c r="D45" t="str">
        <f>_xlfn.XLOOKUP(A45,Cert_App_Output!$C:$C,Cert_App_Output!$A:$A)</f>
        <v>SVD 4140</v>
      </c>
      <c r="E45" t="s">
        <v>3067</v>
      </c>
      <c r="F45">
        <f>_xlfn.XLOOKUP(A45,Cert_App_Output!$C:$C,Cert_App_Output!$D:$D)</f>
        <v>46141</v>
      </c>
      <c r="G45">
        <f>SUMIFS(Cert_App_Output!$J:$J,Cert_App_Output!$C:$C,$A45)</f>
        <v>61375957.602024987</v>
      </c>
      <c r="H45" s="201">
        <v>0.75929999999999997</v>
      </c>
      <c r="I45">
        <f t="shared" si="0"/>
        <v>46602764.607217573</v>
      </c>
      <c r="J45">
        <f>_xlfn.XLOOKUP($A45,Cert_Cabecera!$A:$A,Cert_Cabecera!$E:$E)</f>
        <v>0.4</v>
      </c>
      <c r="K45">
        <f t="shared" si="1"/>
        <v>-18641105.842887029</v>
      </c>
      <c r="L45">
        <f t="shared" si="2"/>
        <v>27961658.764330544</v>
      </c>
      <c r="M45">
        <f>_xlfn.XLOOKUP($E45,Cert_OC_Cliente!$B:$B,Cert_OC_Cliente!$G:$G)</f>
        <v>14366.9</v>
      </c>
      <c r="N45">
        <f>IF($Y45="",_xlfn.XLOOKUP(DATE(YEAR(F45),MONTH(F45),1),'0_Indice_CAC'!$A:$A,'0_Indice_CAC'!$B:$B),$Y45)</f>
        <v>20138.793405782741</v>
      </c>
      <c r="O45">
        <f t="shared" si="3"/>
        <v>1.4017493965840049</v>
      </c>
      <c r="P45">
        <f t="shared" si="4"/>
        <v>11233579.536057647</v>
      </c>
      <c r="Q45">
        <f t="shared" si="5"/>
        <v>39195238.300388187</v>
      </c>
      <c r="R45" s="203">
        <v>0</v>
      </c>
      <c r="S45">
        <f t="shared" si="6"/>
        <v>0</v>
      </c>
      <c r="T45">
        <f t="shared" si="7"/>
        <v>39195238.300388187</v>
      </c>
      <c r="U45">
        <v>1170</v>
      </c>
      <c r="V45">
        <f t="shared" si="8"/>
        <v>33500.203675545461</v>
      </c>
      <c r="X45" t="str">
        <f t="shared" si="9"/>
        <v>✓</v>
      </c>
    </row>
    <row r="46" spans="1:24" x14ac:dyDescent="0.35">
      <c r="A46" t="s">
        <v>3188</v>
      </c>
      <c r="B46" t="s">
        <v>3266</v>
      </c>
      <c r="C46" t="s">
        <v>3221</v>
      </c>
      <c r="D46" t="str">
        <f>_xlfn.XLOOKUP(A46,Cert_App_Output!$C:$C,Cert_App_Output!$A:$A)</f>
        <v>SVD 4140</v>
      </c>
      <c r="E46" t="s">
        <v>3067</v>
      </c>
      <c r="F46">
        <f>_xlfn.XLOOKUP(A46,Cert_App_Output!$C:$C,Cert_App_Output!$D:$D)</f>
        <v>46174</v>
      </c>
      <c r="G46">
        <f>SUMIFS(Cert_App_Output!$J:$J,Cert_App_Output!$C:$C,$A46)</f>
        <v>85954678.379520014</v>
      </c>
      <c r="H46" s="201">
        <v>0.2407</v>
      </c>
      <c r="I46">
        <f t="shared" si="0"/>
        <v>20689291.085950468</v>
      </c>
      <c r="J46">
        <f>_xlfn.XLOOKUP($A46,Cert_Cabecera!$A:$A,Cert_Cabecera!$E:$E)</f>
        <v>0.4</v>
      </c>
      <c r="K46">
        <f t="shared" si="1"/>
        <v>-8275716.4343801877</v>
      </c>
      <c r="L46">
        <f t="shared" si="2"/>
        <v>12413574.651570279</v>
      </c>
      <c r="M46">
        <f>_xlfn.XLOOKUP($E46,Cert_OC_Cliente!$B:$B,Cert_OC_Cliente!$G:$G)</f>
        <v>14366.9</v>
      </c>
      <c r="N46">
        <f>IF($Y46="",_xlfn.XLOOKUP(DATE(YEAR(F46),MONTH(F46),1),'0_Indice_CAC'!$A:$A,'0_Indice_CAC'!$B:$B),$Y46)</f>
        <v>20471.346217654242</v>
      </c>
      <c r="O46">
        <f t="shared" si="3"/>
        <v>1.4248965481526454</v>
      </c>
      <c r="P46">
        <f t="shared" si="4"/>
        <v>5274485.01968739</v>
      </c>
      <c r="Q46">
        <f t="shared" si="5"/>
        <v>17688059.671257667</v>
      </c>
      <c r="R46" s="203">
        <v>0.105</v>
      </c>
      <c r="S46">
        <f t="shared" si="6"/>
        <v>1857246.265482055</v>
      </c>
      <c r="T46">
        <f t="shared" si="7"/>
        <v>19545305.93673972</v>
      </c>
      <c r="U46">
        <v>1170</v>
      </c>
      <c r="V46" t="str">
        <f t="shared" si="8"/>
        <v/>
      </c>
      <c r="X46" t="str">
        <f t="shared" si="9"/>
        <v>✓</v>
      </c>
    </row>
    <row r="47" spans="1:24" x14ac:dyDescent="0.35">
      <c r="A47" t="s">
        <v>3188</v>
      </c>
      <c r="B47" t="s">
        <v>3267</v>
      </c>
      <c r="C47" t="s">
        <v>3223</v>
      </c>
      <c r="D47" t="str">
        <f>_xlfn.XLOOKUP(A47,Cert_App_Output!$C:$C,Cert_App_Output!$A:$A)</f>
        <v>SVD 4140</v>
      </c>
      <c r="E47" t="s">
        <v>3067</v>
      </c>
      <c r="F47">
        <f>_xlfn.XLOOKUP(A47,Cert_App_Output!$C:$C,Cert_App_Output!$D:$D)</f>
        <v>46174</v>
      </c>
      <c r="G47">
        <f>SUMIFS(Cert_App_Output!$J:$J,Cert_App_Output!$C:$C,$A47)</f>
        <v>85954678.379520014</v>
      </c>
      <c r="H47" s="201">
        <v>0.75929999999999997</v>
      </c>
      <c r="I47">
        <f t="shared" si="0"/>
        <v>65265387.293569542</v>
      </c>
      <c r="J47">
        <f>_xlfn.XLOOKUP($A47,Cert_Cabecera!$A:$A,Cert_Cabecera!$E:$E)</f>
        <v>0.4</v>
      </c>
      <c r="K47">
        <f t="shared" si="1"/>
        <v>-26106154.917427819</v>
      </c>
      <c r="L47">
        <f t="shared" si="2"/>
        <v>39159232.376141727</v>
      </c>
      <c r="M47">
        <f>_xlfn.XLOOKUP($E47,Cert_OC_Cliente!$B:$B,Cert_OC_Cliente!$G:$G)</f>
        <v>14366.9</v>
      </c>
      <c r="N47">
        <f>IF($Y47="",_xlfn.XLOOKUP(DATE(YEAR(F47),MONTH(F47),1),'0_Indice_CAC'!$A:$A,'0_Indice_CAC'!$B:$B),$Y47)</f>
        <v>20471.346217654242</v>
      </c>
      <c r="O47">
        <f t="shared" si="3"/>
        <v>1.4248965481526454</v>
      </c>
      <c r="P47">
        <f t="shared" si="4"/>
        <v>16638622.664929936</v>
      </c>
      <c r="Q47">
        <f t="shared" si="5"/>
        <v>55797855.041071661</v>
      </c>
      <c r="R47" s="203">
        <v>0</v>
      </c>
      <c r="S47">
        <f t="shared" si="6"/>
        <v>0</v>
      </c>
      <c r="T47">
        <f t="shared" si="7"/>
        <v>55797855.041071661</v>
      </c>
      <c r="U47">
        <v>1170</v>
      </c>
      <c r="V47">
        <f t="shared" si="8"/>
        <v>47690.474394078345</v>
      </c>
      <c r="X47" t="str">
        <f t="shared" si="9"/>
        <v>✓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1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17" x14ac:dyDescent="0.35">
      <c r="A1" s="206" t="s">
        <v>3268</v>
      </c>
      <c r="B1" s="206" t="s">
        <v>3269</v>
      </c>
      <c r="C1" s="206" t="s">
        <v>622</v>
      </c>
      <c r="D1" s="206" t="s">
        <v>3270</v>
      </c>
      <c r="E1" s="206" t="s">
        <v>3271</v>
      </c>
      <c r="F1" s="206" t="s">
        <v>3272</v>
      </c>
      <c r="G1" s="206" t="s">
        <v>3273</v>
      </c>
      <c r="H1" s="206" t="s">
        <v>3274</v>
      </c>
      <c r="I1" s="206" t="s">
        <v>3275</v>
      </c>
      <c r="J1" s="206" t="s">
        <v>3276</v>
      </c>
      <c r="K1" s="206" t="s">
        <v>3277</v>
      </c>
      <c r="L1" s="206" t="s">
        <v>3278</v>
      </c>
      <c r="M1" s="206" t="s">
        <v>3279</v>
      </c>
      <c r="N1" s="206" t="s">
        <v>3280</v>
      </c>
      <c r="O1" s="206" t="s">
        <v>3281</v>
      </c>
      <c r="P1" s="206" t="s">
        <v>3282</v>
      </c>
      <c r="Q1" s="206" t="s">
        <v>3283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2E7D32"/>
  </sheetPr>
  <dimension ref="A1:M5"/>
  <sheetViews>
    <sheetView tabSelected="1" workbookViewId="0">
      <pane ySplit="1" topLeftCell="A2" activePane="bottomLeft" state="frozen"/>
      <selection pane="bottomLeft" activeCell="A6" sqref="A6"/>
    </sheetView>
  </sheetViews>
  <sheetFormatPr defaultRowHeight="14.5" x14ac:dyDescent="0.35"/>
  <cols>
    <col min="1" max="1" width="9.453125" bestFit="1" customWidth="1"/>
    <col min="2" max="2" width="11.81640625" bestFit="1" customWidth="1"/>
    <col min="3" max="3" width="44.54296875" bestFit="1" customWidth="1"/>
    <col min="4" max="4" width="13.54296875" bestFit="1" customWidth="1"/>
    <col min="5" max="5" width="14.26953125" bestFit="1" customWidth="1"/>
    <col min="6" max="6" width="13.54296875" bestFit="1" customWidth="1"/>
    <col min="7" max="7" width="10.7265625" bestFit="1" customWidth="1"/>
    <col min="8" max="8" width="9.6328125" bestFit="1" customWidth="1"/>
    <col min="9" max="9" width="15.08984375" bestFit="1" customWidth="1"/>
    <col min="10" max="10" width="18.54296875" bestFit="1" customWidth="1"/>
    <col min="11" max="11" width="14.26953125" bestFit="1" customWidth="1"/>
    <col min="12" max="12" width="13.08984375" bestFit="1" customWidth="1"/>
    <col min="13" max="13" width="13.90625" bestFit="1" customWidth="1"/>
  </cols>
  <sheetData>
    <row r="1" spans="1:13" x14ac:dyDescent="0.35">
      <c r="A1" s="206" t="s">
        <v>3054</v>
      </c>
      <c r="B1" s="206" t="s">
        <v>20</v>
      </c>
      <c r="C1" s="206" t="s">
        <v>3055</v>
      </c>
      <c r="D1" s="206" t="s">
        <v>3284</v>
      </c>
      <c r="E1" s="206" t="s">
        <v>3285</v>
      </c>
      <c r="F1" s="206" t="s">
        <v>3286</v>
      </c>
      <c r="G1" s="206" t="s">
        <v>3287</v>
      </c>
      <c r="H1" s="206" t="s">
        <v>3288</v>
      </c>
      <c r="I1" s="206" t="s">
        <v>3289</v>
      </c>
      <c r="J1" s="206" t="s">
        <v>3290</v>
      </c>
      <c r="K1" s="206" t="s">
        <v>3276</v>
      </c>
      <c r="L1" s="206" t="s">
        <v>3291</v>
      </c>
      <c r="M1" s="206" t="s">
        <v>6</v>
      </c>
    </row>
    <row r="2" spans="1:13" x14ac:dyDescent="0.35">
      <c r="A2" t="str">
        <f>Cert_OC_Cliente!B2</f>
        <v>SVD-OC01</v>
      </c>
      <c r="B2" t="str">
        <f>_xlfn.XLOOKUP($A2,Cert_OC_Cliente!$B:$B,Cert_OC_Cliente!$L:$L)</f>
        <v>PTO 01</v>
      </c>
      <c r="C2" t="str">
        <f>_xlfn.XLOOKUP($A2,Cert_OC_Cliente!$B:$B,Cert_OC_Cliente!$C:$C)</f>
        <v>Pto 1 - Preliminares + Mov.Suelo + Hormigón</v>
      </c>
      <c r="D2">
        <f>_xlfn.XLOOKUP($A2,Cert_OC_Cliente!$B:$B,Cert_OC_Cliente!$D:$D)</f>
        <v>421306052</v>
      </c>
      <c r="E2">
        <f>IFERROR(SUMPRODUCT(('1_Presupuesto'!$X$5:$X$219=$B2)*'1_Presupuesto'!$Y$5:$Y$219*'1_Presupuesto'!$V$5:$V$219)/SUMPRODUCT(('1_Presupuesto'!$X$5:$X$219=$B2)*'1_Presupuesto'!$V$5:$V$219),0)</f>
        <v>1</v>
      </c>
      <c r="F2">
        <f>SUMIFS(Cert_Calculo!$T:$T,Cert_Calculo!$E:$E,$A2)</f>
        <v>510788073.05631572</v>
      </c>
      <c r="G2">
        <f>SUMIFS(Cert_Facturacion!$G:$G,Cert_Facturacion!$A:$A,$A2&amp;"-*")</f>
        <v>0</v>
      </c>
      <c r="H2">
        <f>SUMIFS(Cert_Facturacion!$G:$G,Cert_Facturacion!$A:$A,$A2&amp;"-*",Cert_Facturacion!$F:$F,"&gt;0")</f>
        <v>0</v>
      </c>
      <c r="I2">
        <f>SUMIFS(Cert_Calculo!$T:$T,Cert_Calculo!$E:$E,$A2,Cert_Calculo!$B:$B,"*ANT*")</f>
        <v>87574571.845954001</v>
      </c>
      <c r="J2">
        <f>SUMIFS(Cert_App_Output!$J:$J,Cert_App_Output!$B:$B,$A2)-SUMIFS(Cert_Calculo!$I:$I,Cert_Calculo!$E:$E,$A2,Cert_Calculo!$B:$B,"&lt;&gt;*ANT*")</f>
        <v>-5.3644180297851563E-7</v>
      </c>
      <c r="K2">
        <f t="shared" ref="K2:L4" si="0">F2-G2</f>
        <v>510788073.05631572</v>
      </c>
      <c r="L2">
        <f t="shared" si="0"/>
        <v>0</v>
      </c>
      <c r="M2" t="str">
        <f>IF(J2&gt;1000,"⚠ Certificar",IF(F2=0,"🔴 Sin iniciar",IF(K2&gt;1000,"🟠 Por facturar",IF(L2&gt;1000,"🔵 Por cobrar",IF(E2&gt;=0.999,"🟢 Cerrada","🟡 En ejecucion")))))</f>
        <v>🟠 Por facturar</v>
      </c>
    </row>
    <row r="3" spans="1:13" x14ac:dyDescent="0.35">
      <c r="A3" t="str">
        <f>Cert_OC_Cliente!B3</f>
        <v>SVD-OC02</v>
      </c>
      <c r="B3" t="str">
        <f>_xlfn.XLOOKUP($A3,Cert_OC_Cliente!$B:$B,Cert_OC_Cliente!$L:$L)</f>
        <v>PTO 02</v>
      </c>
      <c r="C3" t="str">
        <f>_xlfn.XLOOKUP($A3,Cert_OC_Cliente!$B:$B,Cert_OC_Cliente!$C:$C)</f>
        <v>Pto 2 - Albañilería + Instalaciones + Terminaciones</v>
      </c>
      <c r="D3">
        <f>_xlfn.XLOOKUP($A3,Cert_OC_Cliente!$B:$B,Cert_OC_Cliente!$D:$D)</f>
        <v>736857133.01999998</v>
      </c>
      <c r="E3">
        <f>IFERROR(SUMPRODUCT(('1_Presupuesto'!$X$5:$X$219=$B3)*'1_Presupuesto'!$Y$5:$Y$219*'1_Presupuesto'!$V$5:$V$219)/SUMPRODUCT(('1_Presupuesto'!$X$5:$X$219=$B3)*'1_Presupuesto'!$V$5:$V$219),0)</f>
        <v>0.4879124637972877</v>
      </c>
      <c r="F3">
        <f>SUMIFS(Cert_Calculo!$T:$T,Cert_Calculo!$E:$E,$A3)</f>
        <v>543740495.16886103</v>
      </c>
      <c r="G3">
        <f>SUMIFS(Cert_Facturacion!$G:$G,Cert_Facturacion!$A:$A,$A3&amp;"-*")</f>
        <v>0</v>
      </c>
      <c r="H3">
        <f>SUMIFS(Cert_Facturacion!$G:$G,Cert_Facturacion!$A:$A,$A3&amp;"-*",Cert_Facturacion!$F:$F,"&gt;0")</f>
        <v>0</v>
      </c>
      <c r="I3">
        <f>SUMIFS(Cert_Calculo!$T:$T,Cert_Calculo!$E:$E,$A3,Cert_Calculo!$B:$B,"*ANT*")</f>
        <v>302192036.70855236</v>
      </c>
      <c r="J3">
        <f>SUMIFS(Cert_App_Output!$J:$J,Cert_App_Output!$B:$B,$A3)-SUMIFS(Cert_Calculo!$I:$I,Cert_Calculo!$E:$E,$A3,Cert_Calculo!$B:$B,"&lt;&gt;*ANT*")</f>
        <v>0</v>
      </c>
      <c r="K3">
        <f t="shared" si="0"/>
        <v>543740495.16886103</v>
      </c>
      <c r="L3">
        <f t="shared" si="0"/>
        <v>0</v>
      </c>
      <c r="M3" t="str">
        <f>IF(J3&gt;1000,"⚠ Certificar",IF(F3=0,"🔴 Sin iniciar",IF(K3&gt;1000,"🟠 Por facturar",IF(L3&gt;1000,"🔵 Por cobrar",IF(E3&gt;=0.999,"🟢 Cerrada","🟡 En ejecucion")))))</f>
        <v>🟠 Por facturar</v>
      </c>
    </row>
    <row r="4" spans="1:13" x14ac:dyDescent="0.35">
      <c r="A4" t="str">
        <f>Cert_OC_Cliente!B4</f>
        <v>SVD-OC03</v>
      </c>
      <c r="B4" t="str">
        <f>_xlfn.XLOOKUP($A4,Cert_OC_Cliente!$B:$B,Cert_OC_Cliente!$L:$L)</f>
        <v>PTO 03</v>
      </c>
      <c r="C4" t="str">
        <f>_xlfn.XLOOKUP($A4,Cert_OC_Cliente!$B:$B,Cert_OC_Cliente!$C:$C)</f>
        <v>Adicionales / Trabajos Complementarios</v>
      </c>
      <c r="D4">
        <f>_xlfn.XLOOKUP($A4,Cert_OC_Cliente!$B:$B,Cert_OC_Cliente!$D:$D)</f>
        <v>15315354.68</v>
      </c>
      <c r="E4">
        <f>IFERROR(SUMPRODUCT(('1_Presupuesto'!$X$5:$X$219=$B4)*'1_Presupuesto'!$Y$5:$Y$219*'1_Presupuesto'!$V$5:$V$219)/SUMPRODUCT(('1_Presupuesto'!$X$5:$X$219=$B4)*'1_Presupuesto'!$V$5:$V$219),0)</f>
        <v>0</v>
      </c>
      <c r="F4">
        <f>SUMIFS(Cert_Calculo!$T:$T,Cert_Calculo!$E:$E,$A4)</f>
        <v>0</v>
      </c>
      <c r="G4">
        <f>SUMIFS(Cert_Facturacion!$G:$G,Cert_Facturacion!$A:$A,$A4&amp;"-*")</f>
        <v>0</v>
      </c>
      <c r="H4">
        <f>SUMIFS(Cert_Facturacion!$G:$G,Cert_Facturacion!$A:$A,$A4&amp;"-*",Cert_Facturacion!$F:$F,"&gt;0")</f>
        <v>0</v>
      </c>
      <c r="I4">
        <f>SUMIFS(Cert_Calculo!$T:$T,Cert_Calculo!$E:$E,$A4,Cert_Calculo!$B:$B,"*ANT*")</f>
        <v>0</v>
      </c>
      <c r="J4">
        <f>SUMIFS(Cert_App_Output!$J:$J,Cert_App_Output!$B:$B,$A4)-SUMIFS(Cert_Calculo!$I:$I,Cert_Calculo!$E:$E,$A4,Cert_Calculo!$B:$B,"&lt;&gt;*ANT*")</f>
        <v>0</v>
      </c>
      <c r="K4">
        <f t="shared" si="0"/>
        <v>0</v>
      </c>
      <c r="L4">
        <f t="shared" si="0"/>
        <v>0</v>
      </c>
      <c r="M4" t="str">
        <f>IF(J4&gt;1000,"⚠ Certificar",IF(F4=0,"🔴 Sin iniciar",IF(K4&gt;1000,"🟠 Por facturar",IF(L4&gt;1000,"🔵 Por cobrar",IF(E4&gt;=0.999,"🟢 Cerrada","🟡 En ejecucion")))))</f>
        <v>🔴 Sin iniciar</v>
      </c>
    </row>
    <row r="5" spans="1:13" s="228" customFormat="1" x14ac:dyDescent="0.35">
      <c r="A5" s="227" t="s">
        <v>3292</v>
      </c>
      <c r="D5" s="229">
        <f>SUM(D2:D4)</f>
        <v>1173478539.7</v>
      </c>
      <c r="E5" s="230">
        <f>SUMPRODUCT($D$2:$D$4,$E$2:$E$4)/SUM($D$2:$D$4)</f>
        <v>0.66539591890450145</v>
      </c>
      <c r="F5" s="229">
        <f t="shared" ref="F5:L5" si="1">SUM(F2:F4)</f>
        <v>1054528568.2251768</v>
      </c>
      <c r="G5" s="229">
        <f t="shared" si="1"/>
        <v>0</v>
      </c>
      <c r="H5" s="229">
        <f t="shared" si="1"/>
        <v>0</v>
      </c>
      <c r="I5" s="229">
        <f t="shared" si="1"/>
        <v>389766608.55450636</v>
      </c>
      <c r="J5" s="229">
        <f t="shared" si="1"/>
        <v>-5.3644180297851563E-7</v>
      </c>
      <c r="K5" s="229">
        <f t="shared" si="1"/>
        <v>1054528568.2251768</v>
      </c>
      <c r="L5" s="229">
        <f t="shared" si="1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2</vt:i4>
      </vt:variant>
    </vt:vector>
  </HeadingPairs>
  <TitlesOfParts>
    <vt:vector size="19" baseType="lpstr">
      <vt:lpstr>0_CONFIG</vt:lpstr>
      <vt:lpstr>0_Indice_CAC</vt:lpstr>
      <vt:lpstr>0_Jornales_MO</vt:lpstr>
      <vt:lpstr>1_Presupuesto</vt:lpstr>
      <vt:lpstr>1_GGBB</vt:lpstr>
      <vt:lpstr>2_Movimientos</vt:lpstr>
      <vt:lpstr>1_Composicion</vt:lpstr>
      <vt:lpstr>2_Gastos_DirInd</vt:lpstr>
      <vt:lpstr>2_Quincenas</vt:lpstr>
      <vt:lpstr>2_Subcontratos</vt:lpstr>
      <vt:lpstr>_Listas</vt:lpstr>
      <vt:lpstr>Cert_OC_Cliente</vt:lpstr>
      <vt:lpstr>Cert_App_Output</vt:lpstr>
      <vt:lpstr>Cert_Cabecera</vt:lpstr>
      <vt:lpstr>Cert_Calculo</vt:lpstr>
      <vt:lpstr>Cert_Facturacion</vt:lpstr>
      <vt:lpstr>Cert_Control_OC</vt:lpstr>
      <vt:lpstr>GASTOS_CONCEPTO</vt:lpstr>
      <vt:lpstr>RUBROS_PLAN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Rebeca</dc:creator>
  <cp:lastModifiedBy>Pedro Pagliaricci</cp:lastModifiedBy>
  <cp:revision>0</cp:revision>
  <cp:lastPrinted>2025-10-02T18:28:42Z</cp:lastPrinted>
  <dcterms:created xsi:type="dcterms:W3CDTF">2022-09-08T13:59:40Z</dcterms:created>
  <dcterms:modified xsi:type="dcterms:W3CDTF">2026-06-26T16:02:08Z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0x010100AE9CEA585CBBC74FBBAE7EC15B2535DB</vt:lpwstr>
  </property>
  <property fmtid="{D5CDD505-2E9C-101B-9397-08002B2CF9AE}" pid="3" name="MediaServiceImageTags">
    <vt:lpwstr/>
  </property>
</Properties>
</file>